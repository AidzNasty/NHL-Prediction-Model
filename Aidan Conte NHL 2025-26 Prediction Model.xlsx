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955" documentId="14_{BC0C37BD-5950-BD49-823D-87212FE79B51}" xr6:coauthVersionLast="47" xr6:coauthVersionMax="47" xr10:uidLastSave="{A5E972D2-9D06-EB47-B3A1-8A1EB9364E04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'NHL2025-26PlayerStats'!$A$1:$AE$982</definedName>
    <definedName name="ExternalData_1" localSheetId="0" hidden="1">'NHL2025-26Results'!$A$1:$J$1313</definedName>
    <definedName name="ExternalData_4" localSheetId="4" hidden="1">'ML Prediction Model'!$A$1:$T$324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0" i="1" l="1"/>
  <c r="E741" i="1"/>
  <c r="E742" i="1"/>
  <c r="E743" i="1"/>
  <c r="G740" i="1"/>
  <c r="H740" i="1" s="1"/>
  <c r="I740" i="1"/>
  <c r="G741" i="1"/>
  <c r="H741" i="1" s="1"/>
  <c r="I741" i="1"/>
  <c r="G742" i="1"/>
  <c r="H742" i="1" s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H730" i="1" s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H738" i="1" s="1"/>
  <c r="I738" i="1"/>
  <c r="G739" i="1"/>
  <c r="H739" i="1" s="1"/>
  <c r="I739" i="1"/>
  <c r="J741" i="1" l="1"/>
  <c r="J740" i="1"/>
  <c r="J742" i="1"/>
  <c r="H743" i="1"/>
  <c r="J743" i="1" s="1"/>
  <c r="H736" i="1"/>
  <c r="H732" i="1"/>
  <c r="H735" i="1"/>
  <c r="J735" i="1" s="1"/>
  <c r="H731" i="1"/>
  <c r="J731" i="1" s="1"/>
  <c r="H734" i="1"/>
  <c r="J734" i="1" s="1"/>
  <c r="H733" i="1"/>
  <c r="J733" i="1" s="1"/>
  <c r="J736" i="1"/>
  <c r="J732" i="1"/>
  <c r="J739" i="1"/>
  <c r="J738" i="1"/>
  <c r="J730" i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H721" i="1" s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H729" i="1" s="1"/>
  <c r="I729" i="1"/>
  <c r="E716" i="1"/>
  <c r="E717" i="1"/>
  <c r="E718" i="1"/>
  <c r="E719" i="1"/>
  <c r="E720" i="1"/>
  <c r="G716" i="1"/>
  <c r="I716" i="1"/>
  <c r="G717" i="1"/>
  <c r="H717" i="1" s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19" i="1" l="1"/>
  <c r="H718" i="1"/>
  <c r="J718" i="1" s="1"/>
  <c r="H727" i="1"/>
  <c r="J727" i="1" s="1"/>
  <c r="H723" i="1"/>
  <c r="H713" i="1"/>
  <c r="J713" i="1" s="1"/>
  <c r="H722" i="1"/>
  <c r="J722" i="1" s="1"/>
  <c r="H706" i="1"/>
  <c r="J706" i="1" s="1"/>
  <c r="J723" i="1"/>
  <c r="J729" i="1"/>
  <c r="J721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J719" i="1"/>
  <c r="J717" i="1"/>
  <c r="H709" i="1"/>
  <c r="J709" i="1" s="1"/>
  <c r="H691" i="1"/>
  <c r="J691" i="1" s="1"/>
  <c r="H705" i="1"/>
  <c r="J705" i="1" s="1"/>
  <c r="H702" i="1"/>
  <c r="H703" i="1"/>
  <c r="J703" i="1" s="1"/>
  <c r="H697" i="1"/>
  <c r="J697" i="1" s="1"/>
  <c r="H699" i="1"/>
  <c r="J699" i="1" s="1"/>
  <c r="H715" i="1"/>
  <c r="J715" i="1" s="1"/>
  <c r="J710" i="1"/>
  <c r="J702" i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J115" i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96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22" i="4" l="1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<sst xmlns="http://schemas.openxmlformats.org/spreadsheetml/2006/main" count="23454" uniqueCount="2896">
  <si>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</si>
  <si>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</si>
  <si>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</si>
  <si>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</si>
  <si>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</si>
  <si>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</si>
  <si>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</si>
  <si>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</si>
  <si>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</si>
  <si>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</si>
  <si>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</si>
  <si>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</si>
  <si>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</si>
  <si>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</si>
  <si>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</si>
  <si>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</si>
  <si>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</si>
  <si>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</si>
  <si>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</si>
  <si>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</si>
  <si>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</si>
  <si>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</si>
  <si>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</si>
  <si>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</si>
  <si>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</si>
  <si>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</si>
  <si>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</si>
  <si>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</si>
  <si>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</si>
  <si>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</si>
  <si>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</si>
  <si>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</si>
  <si>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</si>
  <si>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</si>
  <si>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</si>
  <si>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</si>
  <si>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</si>
  <si>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</si>
  <si>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</si>
  <si>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</si>
  <si>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</si>
  <si>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</si>
  <si>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</si>
  <si>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</si>
  <si>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</si>
  <si>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</si>
  <si>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</si>
  <si>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</si>
  <si>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</si>
  <si>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</si>
  <si>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</si>
  <si>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</si>
  <si>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</si>
  <si>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</si>
  <si>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</si>
  <si>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</si>
  <si>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</si>
  <si>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</si>
  <si>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</si>
  <si>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</si>
  <si>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</si>
  <si>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</si>
  <si>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</si>
  <si>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</si>
  <si>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</si>
  <si>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</si>
  <si>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</si>
  <si>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</si>
  <si>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</si>
  <si>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</si>
  <si>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</si>
  <si>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</si>
  <si>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</si>
  <si>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</si>
  <si>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</si>
  <si>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</si>
  <si>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</si>
  <si>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</si>
  <si>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</si>
  <si>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</si>
  <si>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</si>
  <si>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</si>
  <si>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</si>
  <si>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</si>
  <si>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</si>
  <si>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</si>
  <si>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</si>
  <si>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</si>
  <si>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</si>
  <si>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</si>
  <si>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</si>
  <si>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</si>
  <si>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</si>
  <si>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</si>
  <si>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</si>
  <si>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</si>
  <si>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</si>
  <si>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</si>
  <si>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</si>
  <si>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</si>
  <si>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</si>
  <si>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</si>
  <si>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</si>
  <si>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</si>
  <si>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</si>
  <si>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</si>
  <si>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</si>
  <si>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</si>
  <si>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</si>
  <si>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</si>
  <si>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</si>
  <si>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</si>
  <si>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</si>
  <si>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</si>
  <si>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</si>
  <si>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</si>
  <si>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</si>
  <si>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</si>
  <si>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</si>
  <si>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</si>
  <si>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</si>
  <si>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</si>
  <si>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</si>
  <si>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</si>
  <si>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</si>
  <si>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</si>
  <si>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</si>
  <si>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</si>
  <si>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</si>
  <si>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</si>
  <si>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</si>
  <si>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</si>
  <si>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</si>
  <si>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</si>
  <si>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</si>
  <si>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</si>
  <si>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</si>
  <si>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</si>
  <si>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</si>
  <si>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</si>
  <si>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</si>
  <si>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</si>
  <si>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</si>
  <si>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</si>
  <si>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</si>
  <si>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</si>
  <si>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</si>
  <si>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</si>
  <si>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</si>
  <si>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</si>
  <si>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</si>
  <si>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</si>
  <si>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</si>
  <si>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</si>
  <si>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</si>
  <si>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</si>
  <si>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</si>
  <si>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</si>
  <si>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</si>
  <si>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</si>
  <si>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</si>
  <si>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</si>
  <si>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</si>
  <si>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</si>
  <si>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</si>
  <si>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</si>
  <si>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</si>
  <si>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</si>
  <si>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</si>
  <si>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</si>
  <si>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</si>
  <si>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</si>
  <si>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</si>
  <si>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</si>
  <si>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</si>
  <si>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</si>
  <si>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</si>
  <si>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</si>
  <si>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</si>
  <si>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</si>
  <si>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</si>
  <si>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</si>
  <si>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</si>
  <si>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</si>
  <si>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</si>
  <si>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</si>
  <si>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</si>
  <si>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</si>
  <si>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</si>
  <si>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</si>
  <si>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</si>
  <si>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</si>
  <si>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</si>
  <si>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</si>
  <si>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</si>
  <si>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</si>
  <si>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</si>
  <si>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</si>
  <si>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</si>
  <si>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</si>
  <si>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</si>
  <si>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</si>
  <si>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</si>
  <si>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</si>
  <si>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</si>
  <si>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</si>
  <si>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</si>
  <si>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</si>
  <si>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</si>
  <si>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</si>
  <si>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</si>
  <si>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</si>
  <si>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</si>
  <si>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</si>
  <si>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</si>
  <si>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</si>
  <si>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</si>
  <si>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</si>
  <si>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</si>
  <si>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</si>
  <si>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</si>
  <si>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</si>
  <si>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</si>
  <si>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</si>
  <si>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</si>
  <si>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</si>
  <si>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</si>
  <si>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</si>
  <si>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</si>
  <si>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</si>
  <si>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</si>
  <si>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</si>
  <si>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</si>
  <si>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</si>
  <si>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</si>
  <si>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</si>
  <si>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</si>
  <si>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</si>
  <si>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</si>
  <si>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</si>
  <si>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</si>
  <si>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</si>
  <si>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</si>
  <si>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</si>
  <si>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</si>
  <si>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</si>
  <si>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</si>
  <si>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</si>
  <si>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</si>
  <si>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</si>
  <si>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</si>
  <si>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</si>
  <si>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</si>
  <si>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</si>
  <si>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</si>
  <si>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</si>
  <si>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</si>
  <si>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</si>
  <si>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</si>
  <si>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</si>
  <si>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</si>
  <si>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</si>
  <si>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</si>
  <si>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</si>
  <si>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</si>
  <si>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</si>
  <si>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</si>
  <si>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</si>
  <si>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</si>
  <si>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</si>
  <si>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</si>
  <si>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</si>
  <si>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</si>
  <si>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</si>
  <si>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</si>
  <si>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</si>
  <si>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</si>
  <si>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</si>
  <si>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</si>
  <si>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</si>
  <si>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</si>
  <si>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</si>
  <si>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</si>
  <si>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</si>
  <si>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</si>
  <si>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</si>
  <si>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</si>
  <si>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</si>
  <si>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</si>
  <si>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</si>
  <si>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</si>
  <si>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</si>
  <si>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</si>
  <si>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</si>
  <si>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</si>
  <si>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</si>
  <si>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</si>
  <si>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</si>
  <si>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</si>
  <si>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</si>
  <si>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</si>
  <si>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</si>
  <si>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</si>
  <si>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</si>
  <si>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</si>
  <si>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</si>
  <si>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</si>
  <si>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</si>
  <si>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</si>
  <si>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</si>
  <si>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</si>
  <si>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</si>
  <si>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</si>
  <si>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</si>
  <si>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</si>
  <si>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</si>
  <si>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</si>
  <si>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</si>
  <si>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</si>
  <si>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</si>
  <si>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</si>
  <si>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</si>
  <si>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</si>
  <si>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</si>
  <si>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</si>
  <si>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</si>
  <si>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</si>
  <si>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</si>
  <si>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</si>
  <si>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</si>
  <si>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</si>
  <si>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</si>
  <si>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</si>
  <si>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</si>
  <si>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</si>
  <si>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</si>
  <si>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</si>
  <si>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</si>
  <si>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</si>
  <si>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</si>
  <si>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</si>
  <si>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</si>
  <si>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</si>
  <si>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</si>
  <si>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</si>
  <si>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</si>
  <si>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</si>
  <si>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</si>
  <si>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</si>
  <si>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</si>
  <si>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</si>
  <si>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</si>
  <si>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</si>
  <si>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</si>
  <si>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</si>
  <si>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</si>
  <si>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</si>
  <si>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</si>
  <si>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</si>
  <si>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</si>
  <si>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</si>
  <si>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</si>
  <si>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</si>
  <si>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</si>
  <si>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</si>
  <si>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</si>
  <si>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</si>
  <si>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</si>
  <si>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</si>
  <si>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</si>
  <si>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</si>
  <si>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</si>
  <si>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</si>
  <si>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</si>
  <si>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</si>
  <si>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</si>
  <si>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</si>
  <si>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</si>
  <si>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</si>
  <si>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</si>
  <si>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</si>
  <si>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</si>
  <si>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</si>
  <si>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</si>
  <si>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</si>
  <si>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</si>
  <si>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</si>
  <si>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</si>
  <si>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</si>
  <si>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</si>
  <si>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</si>
  <si>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</si>
  <si>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</si>
  <si>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</si>
  <si>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</si>
  <si>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</si>
  <si>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</si>
  <si>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</si>
  <si>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</si>
  <si>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</si>
  <si>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</si>
  <si>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</si>
  <si>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</si>
  <si>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</si>
  <si>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</si>
  <si>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</si>
  <si>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</si>
  <si>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</si>
  <si>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</si>
  <si>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</si>
  <si>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</si>
  <si>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</si>
  <si>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</si>
  <si>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</si>
  <si>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</si>
  <si>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</si>
  <si>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</si>
  <si>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</si>
  <si>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</si>
  <si>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</si>
  <si>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</si>
  <si>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</si>
  <si>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</si>
  <si>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</si>
  <si>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</si>
  <si>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</si>
  <si>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</si>
  <si>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</si>
  <si>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</si>
  <si>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</si>
  <si>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</si>
  <si>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</si>
  <si>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</si>
  <si>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</si>
  <si>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</si>
  <si>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</si>
  <si>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</si>
  <si>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</si>
  <si>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</si>
  <si>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</si>
  <si>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</si>
  <si>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</si>
  <si>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</si>
  <si>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</si>
  <si>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</si>
  <si>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</si>
  <si>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</si>
  <si>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</si>
  <si>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</si>
  <si>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</si>
  <si>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</si>
  <si>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</si>
  <si>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</si>
  <si>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</si>
  <si>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</si>
  <si>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</si>
  <si>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</si>
  <si>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</si>
  <si>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</si>
  <si>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</si>
  <si>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</si>
  <si>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</si>
  <si>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</si>
  <si>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</si>
  <si>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</si>
  <si>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</si>
  <si>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</si>
  <si>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</si>
  <si>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</si>
  <si>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</si>
  <si>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</si>
  <si>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</si>
  <si>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</si>
  <si>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</si>
  <si>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</si>
  <si>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</si>
  <si>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</si>
  <si>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</si>
  <si>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</si>
  <si>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</si>
  <si>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</si>
  <si>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</si>
  <si>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</si>
  <si>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</si>
  <si>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</si>
  <si>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</si>
  <si>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</si>
  <si>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</si>
  <si>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</si>
  <si>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</si>
  <si>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</si>
  <si>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</si>
  <si>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</si>
  <si>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</si>
  <si>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</si>
  <si>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</si>
  <si>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</si>
  <si>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</si>
  <si>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</si>
  <si>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</si>
  <si>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</si>
  <si>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</si>
  <si>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</si>
  <si>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</si>
  <si>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</si>
  <si>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</si>
  <si>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</si>
  <si>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</si>
  <si>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</si>
  <si>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</si>
  <si>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</si>
  <si>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</si>
  <si>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</si>
  <si>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</si>
  <si>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</si>
  <si>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</si>
  <si>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</si>
  <si>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</si>
  <si>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</si>
  <si>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</si>
  <si>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</si>
  <si>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</si>
  <si>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</si>
  <si>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</si>
  <si>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</si>
  <si>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</si>
  <si>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</si>
  <si>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</si>
  <si>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</si>
  <si>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</si>
  <si>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</si>
  <si>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</si>
  <si>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</si>
  <si>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</si>
  <si>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</si>
  <si>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</si>
  <si>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</si>
  <si>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</si>
  <si>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</si>
  <si>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</si>
  <si>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</si>
  <si>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</si>
  <si>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</si>
  <si>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</si>
  <si>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</si>
  <si>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</si>
  <si>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</si>
  <si>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</si>
  <si>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</si>
  <si>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</si>
  <si>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</si>
  <si>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</si>
  <si>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</si>
  <si>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</si>
  <si>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</si>
  <si>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</si>
  <si>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</si>
  <si>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</si>
  <si>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</si>
  <si>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</si>
  <si>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</si>
  <si>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</si>
  <si>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</si>
  <si>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</si>
  <si>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</si>
  <si>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</si>
  <si>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</si>
  <si>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</si>
  <si>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</si>
  <si>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</si>
  <si>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</si>
  <si>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</si>
  <si>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</si>
  <si>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</si>
  <si>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</si>
  <si>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</si>
  <si>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</si>
  <si>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</si>
  <si>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</si>
  <si>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</si>
  <si>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</si>
  <si>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</si>
  <si>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</si>
  <si>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</si>
  <si>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</si>
  <si>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</si>
  <si>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</si>
  <si>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</si>
  <si>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</si>
  <si>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</si>
  <si>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</si>
  <si>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</si>
  <si>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</si>
  <si>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</si>
  <si>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</si>
  <si>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</si>
  <si>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</si>
  <si>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</si>
  <si>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</si>
  <si>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</si>
  <si>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</si>
  <si>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</si>
  <si>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</si>
  <si>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</si>
  <si>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</si>
  <si>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</si>
  <si>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</si>
  <si>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</si>
  <si>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</si>
  <si>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</si>
  <si>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</si>
  <si>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</si>
  <si>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</si>
  <si>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</si>
  <si>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</si>
  <si>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</si>
  <si>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</si>
  <si>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</si>
  <si>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</si>
  <si>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</si>
  <si>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</si>
  <si>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</si>
  <si>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</si>
  <si>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</si>
  <si>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</si>
  <si>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</si>
  <si>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</si>
  <si>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</si>
  <si>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</si>
  <si>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</si>
  <si>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</si>
  <si>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</si>
  <si>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</si>
  <si>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</si>
  <si>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</si>
  <si>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</si>
  <si>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</si>
  <si>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</si>
  <si>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</si>
  <si>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</si>
  <si>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</si>
  <si>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</si>
  <si>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</si>
  <si>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</si>
  <si>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</si>
  <si>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</si>
  <si>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</si>
  <si>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</si>
  <si>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</si>
  <si>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</si>
  <si>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</si>
  <si>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</si>
  <si>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</si>
  <si>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</si>
  <si>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</si>
  <si>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</si>
  <si>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</si>
  <si>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</si>
  <si>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</si>
  <si>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</si>
  <si>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</si>
  <si>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</si>
  <si>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</si>
  <si>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</si>
  <si>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</si>
  <si>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</si>
  <si>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</si>
  <si>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</si>
  <si>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</si>
  <si>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</si>
  <si>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</si>
  <si>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</si>
  <si>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</si>
  <si>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</si>
  <si>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</si>
  <si>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</si>
  <si>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</si>
  <si>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</si>
  <si>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</si>
  <si>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</si>
  <si>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</si>
  <si>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</si>
  <si>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</si>
  <si>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</si>
  <si>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</si>
  <si>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</si>
  <si>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</si>
  <si>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</si>
  <si>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</si>
  <si>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</si>
  <si>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</si>
  <si>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</si>
  <si>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</si>
  <si>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</si>
  <si>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</si>
  <si>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</si>
  <si>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</si>
  <si>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</si>
  <si>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</si>
  <si>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</si>
  <si>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</si>
  <si>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</si>
  <si>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</si>
  <si>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</si>
  <si>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</si>
  <si>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</si>
  <si>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</si>
  <si>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</si>
  <si>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</si>
  <si>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</si>
  <si>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</si>
  <si>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</si>
  <si>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</si>
  <si>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</si>
  <si>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</si>
  <si>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</si>
  <si>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</si>
  <si>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</si>
  <si>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</si>
  <si>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</si>
  <si>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</si>
  <si>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</si>
  <si>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</si>
  <si>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</si>
  <si>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</si>
  <si>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</si>
  <si>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</si>
  <si>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</si>
  <si>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</si>
  <si>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</si>
  <si>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</si>
  <si>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</si>
  <si>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</si>
  <si>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</si>
  <si>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</si>
  <si>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</si>
  <si>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</si>
  <si>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</si>
  <si>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</si>
  <si>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</si>
  <si>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</si>
  <si>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</si>
  <si>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</si>
  <si>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</si>
  <si>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</si>
  <si>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</si>
  <si>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</si>
  <si>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</si>
  <si>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</si>
  <si>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</si>
  <si>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</si>
  <si>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</si>
  <si>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</si>
  <si>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</si>
  <si>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</si>
  <si>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</si>
  <si>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</si>
  <si>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</si>
  <si>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</si>
  <si>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</si>
  <si>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</si>
  <si>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</si>
  <si>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</si>
  <si>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</si>
  <si>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</si>
  <si>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</si>
  <si>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</si>
  <si>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</si>
  <si>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</si>
  <si>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</si>
  <si>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</si>
  <si>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</si>
  <si>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</si>
  <si>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</si>
  <si>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</si>
  <si>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</si>
  <si>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</si>
  <si>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</si>
  <si>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</si>
  <si>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</si>
  <si>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</si>
  <si>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</si>
  <si>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</si>
  <si>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</si>
  <si>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</si>
  <si>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</si>
  <si>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</si>
  <si>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</si>
  <si>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</si>
  <si>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</si>
  <si>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</si>
  <si>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</si>
  <si>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</si>
  <si>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</si>
  <si>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</si>
  <si>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</si>
  <si>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</si>
  <si>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</si>
  <si>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</si>
  <si>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</si>
  <si>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</si>
  <si>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</si>
  <si>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</si>
  <si>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</si>
  <si>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</si>
  <si>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</si>
  <si>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</si>
  <si>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</si>
  <si>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</si>
  <si>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</si>
  <si>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</si>
  <si>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</si>
  <si>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</si>
  <si>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</si>
  <si>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</si>
  <si>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</si>
  <si>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</si>
  <si>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</si>
  <si>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</si>
  <si>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</si>
  <si>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</si>
  <si>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</si>
  <si>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</si>
  <si>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</si>
  <si>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</si>
  <si>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</si>
  <si>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</si>
  <si>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</si>
  <si>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</si>
  <si>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</si>
  <si>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</si>
  <si>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</si>
  <si>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</si>
  <si>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</si>
  <si>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</si>
  <si>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</si>
  <si>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</si>
  <si>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</si>
  <si>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</si>
  <si>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</si>
  <si>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</si>
  <si>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</si>
  <si>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</si>
  <si>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</si>
  <si>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</si>
  <si>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</si>
  <si>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</si>
  <si>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</si>
  <si>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</si>
  <si>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</si>
  <si>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</si>
  <si>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</si>
  <si>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</si>
  <si>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</si>
  <si>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</si>
  <si>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</si>
  <si>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</si>
  <si>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</si>
  <si>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</si>
  <si>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</si>
  <si>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</si>
  <si>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</si>
  <si>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</si>
  <si>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</si>
  <si>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</si>
  <si>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</si>
  <si>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</si>
  <si>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</si>
  <si>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</si>
  <si>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</si>
  <si>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</si>
  <si>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</si>
  <si>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</si>
  <si>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</si>
  <si>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</si>
  <si>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</si>
  <si>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</si>
  <si>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</si>
  <si>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</si>
  <si>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</si>
  <si>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</si>
  <si>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</si>
  <si>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</si>
  <si>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</si>
  <si>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</si>
  <si>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</si>
  <si>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</si>
  <si>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</si>
  <si>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</si>
  <si>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</si>
  <si>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</si>
  <si>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</si>
  <si>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</si>
  <si>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</si>
  <si>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</si>
  <si>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</si>
  <si>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</si>
  <si>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</si>
  <si>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</si>
  <si>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</si>
  <si>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</si>
  <si>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</si>
  <si>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</si>
  <si>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</si>
  <si>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</si>
  <si>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</si>
  <si>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</si>
  <si>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</si>
  <si>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</si>
  <si>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</si>
  <si>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</si>
  <si>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</si>
  <si>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</si>
  <si>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</si>
  <si>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</si>
  <si>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</si>
  <si>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</si>
  <si>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</si>
  <si>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</si>
  <si>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</si>
  <si>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</si>
  <si>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</si>
  <si>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</si>
  <si>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</si>
  <si>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</si>
  <si>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</si>
  <si>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</si>
  <si>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</si>
  <si>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</si>
  <si>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</si>
  <si>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</si>
  <si>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</si>
  <si>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</si>
  <si>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</si>
  <si>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</si>
  <si>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</si>
  <si>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</si>
  <si>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</si>
  <si>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</si>
  <si>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</si>
  <si>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</si>
  <si>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</si>
  <si>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</si>
  <si>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</si>
  <si>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</si>
  <si>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</si>
  <si>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</si>
  <si>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</si>
  <si>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</si>
  <si>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</si>
  <si>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</si>
  <si>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</si>
  <si>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</si>
  <si>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</si>
  <si>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</si>
  <si>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</si>
  <si>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</si>
  <si>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</si>
  <si>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</si>
  <si>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</si>
  <si>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</si>
  <si>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</si>
  <si>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</si>
  <si>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</si>
  <si>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</si>
  <si>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</si>
  <si>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</si>
  <si>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</si>
  <si>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</si>
  <si>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</si>
  <si>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</si>
  <si>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</si>
  <si>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</si>
  <si>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</si>
  <si>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</si>
  <si>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</si>
  <si>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</si>
  <si>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</si>
  <si>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</si>
  <si>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</si>
  <si>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</si>
  <si>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</si>
  <si>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</si>
  <si>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</si>
  <si>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</si>
  <si>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</si>
  <si>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</si>
  <si>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</si>
  <si>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</si>
  <si>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</si>
  <si>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</si>
  <si>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</si>
  <si>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</si>
  <si>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</si>
  <si>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</si>
  <si>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</si>
  <si>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</si>
  <si>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</si>
  <si>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</si>
  <si>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</si>
  <si>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</si>
  <si>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</si>
  <si>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</si>
  <si>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</si>
  <si>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</si>
  <si>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</si>
  <si>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</si>
  <si>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</si>
  <si>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</si>
  <si>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</si>
  <si>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</si>
  <si>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</si>
  <si>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</si>
  <si>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</si>
  <si>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</si>
  <si>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</si>
  <si>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</si>
  <si>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</si>
  <si>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</si>
  <si>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</si>
  <si>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</si>
  <si>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</si>
  <si>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</si>
  <si>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</si>
  <si>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</si>
  <si>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</si>
  <si>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</si>
  <si>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</si>
  <si>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</si>
  <si>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</si>
  <si>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</si>
  <si>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</si>
  <si>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</si>
  <si>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</si>
  <si>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</si>
  <si>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</si>
  <si>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</si>
  <si>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</si>
  <si>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</si>
  <si>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</si>
  <si>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</si>
  <si>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</si>
  <si>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</si>
  <si>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</si>
  <si>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</si>
  <si>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</si>
  <si>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</si>
  <si>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</si>
  <si>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</si>
  <si>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</si>
  <si>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</si>
  <si>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</si>
  <si>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</si>
  <si>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</si>
  <si>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</si>
  <si>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</si>
  <si>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</si>
  <si>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</si>
  <si>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</si>
  <si>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</si>
  <si>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</si>
  <si>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</si>
  <si>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</si>
  <si>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</si>
  <si>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</si>
  <si>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</si>
  <si>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</si>
  <si>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</si>
  <si>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</si>
  <si>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</si>
  <si>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</si>
  <si>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</si>
  <si>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</si>
  <si>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</si>
  <si>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</si>
  <si>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</si>
  <si>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</si>
  <si>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</si>
  <si>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</si>
  <si>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</si>
  <si>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</si>
  <si>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</si>
  <si>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</si>
  <si>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</si>
  <si>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</si>
  <si>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</si>
  <si>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</si>
  <si>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</si>
  <si>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</si>
  <si>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</si>
  <si>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</si>
  <si>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</si>
  <si>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</si>
  <si>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</si>
  <si>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</si>
  <si>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</si>
  <si>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</si>
  <si>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</si>
  <si>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</si>
  <si>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</si>
  <si>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</si>
  <si>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</si>
  <si>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</si>
  <si>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</si>
  <si>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</si>
  <si>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</si>
  <si>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</si>
  <si>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</si>
  <si>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</si>
  <si>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</si>
  <si>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</si>
  <si>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</si>
  <si>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</si>
  <si>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</si>
  <si>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</si>
  <si>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</si>
  <si>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</si>
  <si>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</si>
  <si>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</si>
  <si>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</si>
  <si>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</si>
  <si>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</si>
  <si>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</si>
  <si>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</si>
  <si>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</si>
  <si>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</si>
  <si>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</si>
  <si>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</si>
  <si>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</si>
  <si>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</si>
  <si>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</si>
  <si>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</si>
  <si>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</si>
  <si>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</si>
  <si>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</si>
  <si>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</si>
  <si>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</si>
  <si>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</si>
  <si>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</si>
  <si>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</si>
  <si>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</si>
  <si>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</si>
  <si>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</si>
  <si>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</si>
  <si>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</si>
  <si>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</si>
  <si>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</si>
  <si>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</si>
  <si>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</si>
  <si>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</si>
  <si>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</si>
  <si>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</si>
  <si>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</si>
  <si>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</si>
  <si>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</si>
  <si>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</si>
  <si>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</si>
  <si>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</si>
  <si>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</si>
  <si>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</si>
  <si>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</si>
  <si>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</si>
  <si>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</si>
  <si>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</si>
  <si>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</si>
  <si>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</si>
  <si>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</si>
  <si>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</si>
  <si>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</si>
  <si>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</si>
  <si>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</si>
  <si>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</si>
  <si>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</si>
  <si>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</si>
  <si>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</si>
  <si>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</si>
  <si>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</si>
  <si>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</si>
  <si>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</si>
  <si>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</si>
  <si>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</si>
  <si>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</si>
  <si>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</si>
  <si>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</si>
  <si>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</si>
  <si>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</si>
  <si>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</si>
  <si>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</si>
  <si>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</si>
  <si>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</si>
  <si>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</si>
  <si>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</si>
  <si>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</si>
  <si>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</si>
  <si>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</si>
  <si>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</si>
  <si>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</si>
  <si>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</si>
  <si>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</si>
  <si>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</si>
  <si>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</si>
  <si>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</si>
  <si>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</si>
  <si>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</si>
  <si>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</si>
  <si>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</si>
  <si>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</si>
  <si>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</si>
  <si>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</si>
  <si>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</si>
  <si>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</si>
  <si>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</si>
  <si>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</si>
  <si>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</si>
  <si>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</si>
  <si>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</si>
  <si>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</si>
  <si>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</si>
  <si>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</si>
  <si>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</si>
  <si>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</si>
  <si>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</si>
  <si>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</si>
  <si>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</si>
  <si>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</si>
  <si>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</si>
  <si>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</si>
  <si>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</si>
  <si>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</si>
  <si>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</si>
  <si>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</si>
  <si>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</si>
  <si>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</si>
  <si>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</si>
  <si>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</si>
  <si>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</si>
  <si>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</si>
  <si>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</si>
  <si>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</si>
  <si>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</si>
  <si>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</si>
  <si>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</si>
  <si>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</si>
  <si>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</si>
  <si>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</si>
  <si>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</si>
  <si>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</si>
  <si>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</si>
  <si>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</si>
  <si>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</si>
  <si>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</si>
  <si>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</si>
  <si>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</si>
  <si>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</si>
  <si>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</si>
  <si>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</si>
  <si>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</si>
  <si>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</si>
  <si>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</si>
  <si>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</si>
  <si>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</si>
  <si>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</si>
  <si>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</si>
  <si>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</si>
  <si>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</si>
  <si>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</si>
  <si>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</si>
  <si>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</si>
  <si>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</si>
  <si>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</si>
  <si>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</si>
  <si>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</si>
  <si>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</si>
  <si>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</si>
  <si>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</si>
  <si>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</si>
  <si>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</si>
  <si>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</si>
  <si>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</si>
  <si>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</si>
  <si>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</si>
  <si>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</si>
  <si>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</si>
  <si>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</si>
  <si>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</si>
  <si>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</si>
  <si>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</si>
  <si>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</si>
  <si>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</si>
  <si>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</si>
  <si>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</si>
  <si>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</si>
  <si>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</si>
  <si>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</si>
  <si>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</si>
  <si>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</si>
  <si>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</si>
  <si>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</si>
  <si>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</si>
  <si>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</si>
  <si>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</si>
  <si>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</si>
  <si>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</si>
  <si>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</si>
  <si>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</si>
  <si>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</si>
  <si>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</si>
  <si>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</si>
  <si>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</si>
  <si>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</si>
  <si>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</si>
  <si>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</si>
  <si>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</si>
  <si>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</si>
  <si>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</si>
  <si>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</si>
  <si>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</si>
  <si>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</si>
  <si>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</si>
  <si>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</si>
  <si>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</si>
  <si>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</si>
  <si>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</si>
  <si>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</si>
  <si>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</si>
  <si>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</si>
  <si>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</si>
  <si>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</si>
  <si>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</si>
  <si>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</si>
  <si>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</si>
  <si>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</si>
  <si>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</si>
  <si>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</si>
  <si>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</si>
  <si>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</si>
  <si>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</si>
  <si>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</si>
  <si>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</si>
  <si>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</si>
  <si>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</si>
  <si>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</si>
  <si>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</si>
  <si>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</si>
  <si>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</si>
  <si>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</si>
  <si>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</si>
  <si>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</si>
  <si>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</si>
  <si>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</si>
  <si>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</si>
  <si>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</si>
  <si>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</si>
  <si>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</si>
  <si>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</si>
  <si>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</si>
  <si>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</si>
  <si>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</si>
  <si>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</si>
  <si>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</si>
  <si>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</si>
  <si>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</si>
  <si>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</si>
  <si>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</si>
  <si>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</si>
  <si>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</si>
  <si>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</si>
  <si>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</si>
  <si>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</si>
  <si>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</si>
  <si>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</si>
  <si>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</si>
  <si>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</si>
  <si>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</si>
  <si>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</si>
  <si>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</si>
  <si>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</si>
  <si>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</si>
  <si>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</si>
  <si>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</si>
  <si>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</si>
  <si>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</si>
  <si>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</si>
  <si>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</si>
  <si>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</si>
  <si>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</si>
  <si>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</si>
  <si>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</si>
  <si>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</si>
  <si>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</si>
  <si>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</si>
  <si>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</si>
  <si>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</si>
  <si>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</si>
  <si>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</si>
  <si>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</si>
  <si>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</si>
  <si>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</si>
  <si>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</si>
  <si>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</si>
  <si>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</si>
  <si>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</si>
  <si>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</si>
  <si>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</si>
  <si>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</si>
  <si>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</si>
  <si>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</si>
  <si>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</si>
  <si>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</si>
  <si>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</si>
  <si>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</si>
  <si>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</si>
  <si>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</si>
  <si>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</si>
  <si>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</si>
  <si>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</si>
  <si>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</si>
  <si>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</si>
  <si>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</si>
  <si>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</si>
  <si>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</si>
  <si>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</si>
  <si>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</si>
  <si>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</si>
  <si>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</si>
  <si>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</si>
  <si>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</si>
  <si>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</si>
  <si>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</si>
  <si>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</si>
  <si>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</si>
  <si>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</si>
  <si>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</si>
  <si>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</si>
  <si>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</si>
  <si>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</si>
  <si>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</si>
  <si>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</si>
  <si>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</si>
  <si>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</si>
  <si>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</si>
  <si>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</si>
  <si>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</si>
  <si>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</si>
  <si>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</si>
  <si>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</si>
  <si>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</si>
  <si>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</si>
  <si>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</si>
  <si>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</si>
  <si>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</si>
  <si>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</si>
  <si>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</si>
  <si>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</si>
  <si>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</si>
  <si>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</si>
  <si>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</si>
  <si>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</si>
  <si>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</si>
  <si>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</si>
  <si>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</si>
  <si>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</si>
  <si>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</si>
  <si>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</si>
  <si>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</si>
  <si>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</si>
  <si>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</si>
  <si>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</si>
  <si>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</si>
  <si>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</si>
  <si>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</si>
  <si>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</si>
  <si>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</si>
  <si>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</si>
  <si>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</si>
  <si>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</si>
  <si>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</si>
  <si>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</si>
  <si>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</si>
  <si>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</si>
  <si>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</si>
  <si>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</si>
  <si>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</si>
  <si>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</si>
  <si>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</si>
  <si>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</si>
  <si>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</si>
  <si>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</si>
  <si>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</si>
  <si>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</si>
  <si>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</si>
  <si>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</si>
  <si>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</si>
  <si>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</si>
  <si>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</si>
  <si>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</si>
  <si>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</si>
  <si>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</si>
  <si>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</si>
  <si>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</si>
  <si>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</si>
  <si>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</si>
  <si>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</si>
  <si>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</si>
  <si>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</si>
  <si>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</si>
  <si>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</si>
  <si>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</si>
  <si>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</si>
  <si>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</si>
  <si>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</si>
  <si>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</si>
  <si>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</si>
  <si>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</si>
  <si>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</si>
  <si>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</si>
  <si>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</si>
  <si>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</si>
  <si>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</si>
  <si>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</si>
  <si>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</si>
  <si>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</si>
  <si>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</si>
  <si>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</si>
  <si>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</si>
  <si>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</si>
  <si>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</si>
  <si>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</si>
  <si>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</si>
  <si>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</si>
  <si>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16:01</t>
  </si>
  <si>
    <t>14:39</t>
  </si>
  <si>
    <t>9:08</t>
  </si>
  <si>
    <t>20:48</t>
  </si>
  <si>
    <t>14:15</t>
  </si>
  <si>
    <t>8:43</t>
  </si>
  <si>
    <t>143:18</t>
  </si>
  <si>
    <t>13:02</t>
  </si>
  <si>
    <t>Nils Hglander</t>
  </si>
  <si>
    <t>16:46</t>
  </si>
  <si>
    <t>18:21</t>
  </si>
  <si>
    <t>13:38</t>
  </si>
  <si>
    <t>15:30</t>
  </si>
  <si>
    <t>20:33</t>
  </si>
  <si>
    <t>15:40</t>
  </si>
  <si>
    <t>15:16</t>
  </si>
  <si>
    <t>15:58</t>
  </si>
  <si>
    <t>379:36</t>
  </si>
  <si>
    <t>21:05</t>
  </si>
  <si>
    <t>15:33</t>
  </si>
  <si>
    <t>21:03</t>
  </si>
  <si>
    <t>16:14</t>
  </si>
  <si>
    <t>17:21</t>
  </si>
  <si>
    <t>10:59</t>
  </si>
  <si>
    <t>12:13</t>
  </si>
  <si>
    <t>Vyacheslav Buteyets</t>
  </si>
  <si>
    <t>Ty Murchison</t>
  </si>
  <si>
    <t>17:26</t>
  </si>
  <si>
    <t>22:43</t>
  </si>
  <si>
    <t>19:07</t>
  </si>
  <si>
    <t>16:47</t>
  </si>
  <si>
    <t>12:09</t>
  </si>
  <si>
    <t>489:40</t>
  </si>
  <si>
    <t>16:19</t>
  </si>
  <si>
    <t>73:16</t>
  </si>
  <si>
    <t>Hunter Brzustewicz</t>
  </si>
  <si>
    <t>8.0</t>
  </si>
  <si>
    <t>17:52</t>
  </si>
  <si>
    <t>18:11</t>
  </si>
  <si>
    <t>18:28</t>
  </si>
  <si>
    <t>713:08</t>
  </si>
  <si>
    <t>27:26</t>
  </si>
  <si>
    <t>15:44</t>
  </si>
  <si>
    <t>18:09</t>
  </si>
  <si>
    <t>14:48</t>
  </si>
  <si>
    <t>572:19</t>
  </si>
  <si>
    <t>12:26</t>
  </si>
  <si>
    <t>445:59</t>
  </si>
  <si>
    <t>21:21</t>
  </si>
  <si>
    <t>179:45</t>
  </si>
  <si>
    <t>237:49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</si>
  <si>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</si>
  <si>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</si>
  <si>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</si>
  <si>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</si>
  <si>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</si>
  <si>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</si>
  <si>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</si>
  <si>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</si>
  <si>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</si>
  <si>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</si>
  <si>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</si>
  <si>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</si>
  <si>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</si>
  <si>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</si>
  <si>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</si>
  <si>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</si>
  <si>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</si>
  <si>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589:43</t>
  </si>
  <si>
    <t>19:17</t>
  </si>
  <si>
    <t>591:05</t>
  </si>
  <si>
    <t>496:54</t>
  </si>
  <si>
    <t>21:59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</si>
  <si>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</si>
  <si>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</si>
  <si>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</si>
  <si>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</si>
  <si>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</si>
  <si>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</si>
  <si>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</si>
  <si>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</si>
  <si>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</si>
  <si>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</si>
  <si>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</si>
  <si>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</si>
  <si>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</si>
  <si>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</si>
  <si>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</si>
  <si>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</si>
  <si>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</si>
  <si>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</si>
  <si>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</si>
  <si>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</si>
  <si>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</si>
  <si>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</si>
  <si>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</si>
  <si>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</si>
  <si>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58:25</t>
  </si>
  <si>
    <t>592:03</t>
  </si>
  <si>
    <t>469:40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</si>
  <si>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</si>
  <si>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</si>
  <si>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</si>
  <si>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</si>
  <si>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</si>
  <si>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</si>
  <si>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</si>
  <si>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</si>
  <si>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</si>
  <si>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</si>
  <si>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</si>
  <si>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</si>
  <si>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</si>
  <si>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</si>
  <si>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</si>
  <si>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</si>
  <si>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</si>
  <si>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</si>
  <si>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</si>
  <si>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</si>
  <si>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179:44</t>
  </si>
  <si>
    <t>7:49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</si>
  <si>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</si>
  <si>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</si>
  <si>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</si>
  <si>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</si>
  <si>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</si>
  <si>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</si>
  <si>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</si>
  <si>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</si>
  <si>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</si>
  <si>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</si>
  <si>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</si>
  <si>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</si>
  <si>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18:15</t>
  </si>
  <si>
    <t>17:28</t>
  </si>
  <si>
    <t>15:53</t>
  </si>
  <si>
    <t>15:29</t>
  </si>
  <si>
    <t>602:14</t>
  </si>
  <si>
    <t>16:04</t>
  </si>
  <si>
    <t>18:42</t>
  </si>
  <si>
    <t>14:12</t>
  </si>
  <si>
    <t>17:32</t>
  </si>
  <si>
    <t>13:03</t>
  </si>
  <si>
    <t>15:41</t>
  </si>
  <si>
    <t>13:29</t>
  </si>
  <si>
    <t>516:56</t>
  </si>
  <si>
    <t>15:12</t>
  </si>
  <si>
    <t>14:20</t>
  </si>
  <si>
    <t>17:34</t>
  </si>
  <si>
    <t>13:33</t>
  </si>
  <si>
    <t>16:23</t>
  </si>
  <si>
    <t>9:57</t>
  </si>
  <si>
    <t>14:32</t>
  </si>
  <si>
    <t>298:42</t>
  </si>
  <si>
    <t>10:18</t>
  </si>
  <si>
    <t>12:14</t>
  </si>
  <si>
    <t>15:04</t>
  </si>
  <si>
    <t>11:34</t>
  </si>
  <si>
    <t>11:47</t>
  </si>
  <si>
    <t>10:43</t>
  </si>
  <si>
    <t>8:57</t>
  </si>
  <si>
    <t>Denver Barkey</t>
  </si>
  <si>
    <t>13:08</t>
  </si>
  <si>
    <t>69:08</t>
  </si>
  <si>
    <t>19:49</t>
  </si>
  <si>
    <t>490:09</t>
  </si>
  <si>
    <t>54:28</t>
  </si>
  <si>
    <t>Ivan Miroshnichenko</t>
  </si>
  <si>
    <t>8:12</t>
  </si>
  <si>
    <t>58:47</t>
  </si>
  <si>
    <t>95:03</t>
  </si>
  <si>
    <t>19:57</t>
  </si>
  <si>
    <t>24:11</t>
  </si>
  <si>
    <t>17:58</t>
  </si>
  <si>
    <t>13:13</t>
  </si>
  <si>
    <t>11:51</t>
  </si>
  <si>
    <t>23:55</t>
  </si>
  <si>
    <t>14:18</t>
  </si>
  <si>
    <t>23:23</t>
  </si>
  <si>
    <t>12:54</t>
  </si>
  <si>
    <t>16:56</t>
  </si>
  <si>
    <t>13:14</t>
  </si>
  <si>
    <t>178:57</t>
  </si>
  <si>
    <t>9:31</t>
  </si>
  <si>
    <t>9:46</t>
  </si>
  <si>
    <t>13:40</t>
  </si>
  <si>
    <t>12:32</t>
  </si>
  <si>
    <t>276:08</t>
  </si>
  <si>
    <t>109:25</t>
  </si>
  <si>
    <t>13:41</t>
  </si>
  <si>
    <t>Connor Ingram</t>
  </si>
  <si>
    <t>218:16</t>
  </si>
  <si>
    <t>9:39</t>
  </si>
  <si>
    <t>16:30</t>
  </si>
  <si>
    <t>20:19</t>
  </si>
  <si>
    <t>360:04</t>
  </si>
  <si>
    <t>20:49</t>
  </si>
  <si>
    <t>256:55</t>
  </si>
  <si>
    <t>432:37</t>
  </si>
  <si>
    <t>13:36</t>
  </si>
  <si>
    <t>114:04</t>
  </si>
  <si>
    <t>19:46</t>
  </si>
  <si>
    <t>15:52</t>
  </si>
  <si>
    <t>16:59</t>
  </si>
  <si>
    <t>14:35</t>
  </si>
  <si>
    <t>18:43</t>
  </si>
  <si>
    <t>15:42</t>
  </si>
  <si>
    <t>12:57</t>
  </si>
  <si>
    <t>21:50</t>
  </si>
  <si>
    <t>11:49</t>
  </si>
  <si>
    <t>308:05</t>
  </si>
  <si>
    <t>9:01</t>
  </si>
  <si>
    <t>55:04</t>
  </si>
  <si>
    <t>94:48</t>
  </si>
  <si>
    <t>7:56</t>
  </si>
  <si>
    <t>83:31</t>
  </si>
  <si>
    <t>11:56</t>
  </si>
  <si>
    <t>Pheonix Copley</t>
  </si>
  <si>
    <t>58:34</t>
  </si>
  <si>
    <t>57:24</t>
  </si>
  <si>
    <t>20:42</t>
  </si>
  <si>
    <t>662:05</t>
  </si>
  <si>
    <t>10:20</t>
  </si>
  <si>
    <t>606:26</t>
  </si>
  <si>
    <t>12:23</t>
  </si>
  <si>
    <t>9:42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</si>
  <si>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</si>
  <si>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</si>
  <si>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</si>
  <si>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</si>
  <si>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</si>
  <si>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</si>
  <si>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</si>
  <si>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</si>
  <si>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55:09</t>
  </si>
  <si>
    <t>Xavier Bourgault</t>
  </si>
  <si>
    <t>59:00</t>
  </si>
  <si>
    <t>1665:51</t>
  </si>
  <si>
    <t>59:30</t>
  </si>
  <si>
    <t>16:54</t>
  </si>
  <si>
    <t>443:33</t>
  </si>
  <si>
    <t>11:03</t>
  </si>
  <si>
    <t>26:04</t>
  </si>
  <si>
    <t>73:49</t>
  </si>
  <si>
    <t>197:42</t>
  </si>
  <si>
    <t>Maxim Groshev</t>
  </si>
  <si>
    <t>57:07</t>
  </si>
  <si>
    <t>56:02</t>
  </si>
  <si>
    <t>20:02</t>
  </si>
  <si>
    <t>19:47</t>
  </si>
  <si>
    <t>22:11</t>
  </si>
  <si>
    <t>20:05</t>
  </si>
  <si>
    <t>973:28</t>
  </si>
  <si>
    <t>19:58</t>
  </si>
  <si>
    <t>20:40</t>
  </si>
  <si>
    <t>20:14</t>
  </si>
  <si>
    <t>18:59</t>
  </si>
  <si>
    <t>738:10</t>
  </si>
  <si>
    <t>20:30</t>
  </si>
  <si>
    <t>19:29</t>
  </si>
  <si>
    <t>19:23</t>
  </si>
  <si>
    <t>17:59</t>
  </si>
  <si>
    <t>17:39</t>
  </si>
  <si>
    <t>16:37</t>
  </si>
  <si>
    <t>23:45</t>
  </si>
  <si>
    <t>22:47</t>
  </si>
  <si>
    <t>16:29</t>
  </si>
  <si>
    <t>17:08</t>
  </si>
  <si>
    <t>21:38</t>
  </si>
  <si>
    <t>15:13</t>
  </si>
  <si>
    <t>15:31</t>
  </si>
  <si>
    <t>13:01</t>
  </si>
  <si>
    <t>16:60</t>
  </si>
  <si>
    <t>18:36</t>
  </si>
  <si>
    <t>15:05</t>
  </si>
  <si>
    <t>14:07</t>
  </si>
  <si>
    <t>24:34</t>
  </si>
  <si>
    <t>16:25</t>
  </si>
  <si>
    <t>15:37</t>
  </si>
  <si>
    <t>11:48</t>
  </si>
  <si>
    <t>13:42</t>
  </si>
  <si>
    <t>457:19</t>
  </si>
  <si>
    <t>149:37</t>
  </si>
  <si>
    <t>21:47</t>
  </si>
  <si>
    <t>23:29</t>
  </si>
  <si>
    <t>12:58</t>
  </si>
  <si>
    <t>584:54</t>
  </si>
  <si>
    <t>15:48</t>
  </si>
  <si>
    <t>21:51</t>
  </si>
  <si>
    <t>12:02</t>
  </si>
  <si>
    <t>423:31</t>
  </si>
  <si>
    <t>20:12</t>
  </si>
  <si>
    <t>17:00</t>
  </si>
  <si>
    <t>11:36</t>
  </si>
  <si>
    <t>12:01</t>
  </si>
  <si>
    <t>14:06</t>
  </si>
  <si>
    <t>12:41</t>
  </si>
  <si>
    <t>18:12</t>
  </si>
  <si>
    <t>14:53</t>
  </si>
  <si>
    <t>539:23</t>
  </si>
  <si>
    <t>12:18</t>
  </si>
  <si>
    <t>17:35</t>
  </si>
  <si>
    <t>522:08</t>
  </si>
  <si>
    <t>21:04</t>
  </si>
  <si>
    <t>14:25</t>
  </si>
  <si>
    <t>14:05</t>
  </si>
  <si>
    <t>8:06</t>
  </si>
  <si>
    <t>14:57</t>
  </si>
  <si>
    <t>14:45</t>
  </si>
  <si>
    <t>11:05</t>
  </si>
  <si>
    <t>13:43</t>
  </si>
  <si>
    <t>8:48</t>
  </si>
  <si>
    <t>21:18</t>
  </si>
  <si>
    <t>199:19</t>
  </si>
  <si>
    <t>10:10</t>
  </si>
  <si>
    <t>13:59</t>
  </si>
  <si>
    <t>7:60</t>
  </si>
  <si>
    <t>790:06</t>
  </si>
  <si>
    <t>91:49</t>
  </si>
  <si>
    <t>60:34</t>
  </si>
  <si>
    <t>12:42</t>
  </si>
  <si>
    <t>166:10</t>
  </si>
  <si>
    <t>14:10</t>
  </si>
  <si>
    <t>58:22</t>
  </si>
  <si>
    <t>1147:26</t>
  </si>
  <si>
    <t>54:38</t>
  </si>
  <si>
    <t>64:17</t>
  </si>
  <si>
    <t>4:01</t>
  </si>
  <si>
    <t>8:42</t>
  </si>
  <si>
    <t>870:09</t>
  </si>
  <si>
    <t>54:23</t>
  </si>
  <si>
    <t>137:56</t>
  </si>
  <si>
    <t>Marcus Hgberg</t>
  </si>
  <si>
    <t>57:17</t>
  </si>
  <si>
    <t>243:47</t>
  </si>
  <si>
    <t>59:40</t>
  </si>
  <si>
    <t>24:19</t>
  </si>
  <si>
    <t>18:46</t>
  </si>
  <si>
    <t>765:25</t>
  </si>
  <si>
    <t>723:20</t>
  </si>
  <si>
    <t>23:34</t>
  </si>
  <si>
    <t>939:36</t>
  </si>
  <si>
    <t>24:59</t>
  </si>
  <si>
    <t>16:03</t>
  </si>
  <si>
    <t>23:15</t>
  </si>
  <si>
    <t>523:03</t>
  </si>
  <si>
    <t>13:19</t>
  </si>
  <si>
    <t>9:33</t>
  </si>
  <si>
    <t>11:45</t>
  </si>
  <si>
    <t>18:34</t>
  </si>
  <si>
    <t>128:18</t>
  </si>
  <si>
    <t>Justin Dowling</t>
  </si>
  <si>
    <t>Jaycob Megna</t>
  </si>
  <si>
    <t>856:52</t>
  </si>
  <si>
    <t>20:41</t>
  </si>
  <si>
    <t>794:30</t>
  </si>
  <si>
    <t>19:25</t>
  </si>
  <si>
    <t>18:03</t>
  </si>
  <si>
    <t>22:38</t>
  </si>
  <si>
    <t>24:24</t>
  </si>
  <si>
    <t>14:23</t>
  </si>
  <si>
    <t>754:08</t>
  </si>
  <si>
    <t>12:55</t>
  </si>
  <si>
    <t>893:15</t>
  </si>
  <si>
    <t>22:20</t>
  </si>
  <si>
    <t>20:59</t>
  </si>
  <si>
    <t>14:22</t>
  </si>
  <si>
    <t>448:26</t>
  </si>
  <si>
    <t>13:15</t>
  </si>
  <si>
    <t>309:29</t>
  </si>
  <si>
    <t>20:20</t>
  </si>
  <si>
    <t>584:32</t>
  </si>
  <si>
    <t>378:05</t>
  </si>
  <si>
    <t>342:07</t>
  </si>
  <si>
    <t>114:27</t>
  </si>
  <si>
    <t>9:38</t>
  </si>
  <si>
    <t>195:33</t>
  </si>
  <si>
    <t>9:03</t>
  </si>
  <si>
    <t>245:29</t>
  </si>
  <si>
    <t>183:03</t>
  </si>
  <si>
    <t>153:16</t>
  </si>
  <si>
    <t>31:59</t>
  </si>
  <si>
    <t>56:21</t>
  </si>
  <si>
    <t>59:05</t>
  </si>
  <si>
    <t>57:32</t>
  </si>
  <si>
    <t>59:45</t>
  </si>
  <si>
    <t>Matt Benning</t>
  </si>
  <si>
    <t>5:29</t>
  </si>
  <si>
    <t>Cole McWard</t>
  </si>
  <si>
    <t>60:25</t>
  </si>
  <si>
    <t>21:12</t>
  </si>
  <si>
    <t>19:21</t>
  </si>
  <si>
    <t>23:46</t>
  </si>
  <si>
    <t>649:39</t>
  </si>
  <si>
    <t>18:26</t>
  </si>
  <si>
    <t>619:43</t>
  </si>
  <si>
    <t>128:09</t>
  </si>
  <si>
    <t>12:03</t>
  </si>
  <si>
    <t>16:31</t>
  </si>
  <si>
    <t>342:29</t>
  </si>
  <si>
    <t>60:05</t>
  </si>
  <si>
    <t>806:54</t>
  </si>
  <si>
    <t>57:38</t>
  </si>
  <si>
    <t>810:36</t>
  </si>
  <si>
    <t>57:54</t>
  </si>
  <si>
    <t>762:54</t>
  </si>
  <si>
    <t>17:57</t>
  </si>
  <si>
    <t>19:28</t>
  </si>
  <si>
    <t>800:34</t>
  </si>
  <si>
    <t>707:10</t>
  </si>
  <si>
    <t>730:44</t>
  </si>
  <si>
    <t>668:08</t>
  </si>
  <si>
    <t>17:31</t>
  </si>
  <si>
    <t>21:19</t>
  </si>
  <si>
    <t>685:33</t>
  </si>
  <si>
    <t>620:02</t>
  </si>
  <si>
    <t>14:13</t>
  </si>
  <si>
    <t>18:19</t>
  </si>
  <si>
    <t>9:25</t>
  </si>
  <si>
    <t>20:16</t>
  </si>
  <si>
    <t>604:57</t>
  </si>
  <si>
    <t>594:49</t>
  </si>
  <si>
    <t>400:12</t>
  </si>
  <si>
    <t>21:20</t>
  </si>
  <si>
    <t>281:53</t>
  </si>
  <si>
    <t>14:49</t>
  </si>
  <si>
    <t>9:28</t>
  </si>
  <si>
    <t>169:02</t>
  </si>
  <si>
    <t>9:13</t>
  </si>
  <si>
    <t>274:10</t>
  </si>
  <si>
    <t>223:34</t>
  </si>
  <si>
    <t>54:48</t>
  </si>
  <si>
    <t>Anton Blidh</t>
  </si>
  <si>
    <t>236:45</t>
  </si>
  <si>
    <t>31:28</t>
  </si>
  <si>
    <t>10:29</t>
  </si>
  <si>
    <t>515:53</t>
  </si>
  <si>
    <t>51:35</t>
  </si>
  <si>
    <t>Hunter Shepard</t>
  </si>
  <si>
    <t>35:47</t>
  </si>
  <si>
    <t>2006:00</t>
  </si>
  <si>
    <t>713:32</t>
  </si>
  <si>
    <t>147:40</t>
  </si>
  <si>
    <t>266:17</t>
  </si>
  <si>
    <t>8:21</t>
  </si>
  <si>
    <t>59:39</t>
  </si>
  <si>
    <t>Brett Leason</t>
  </si>
  <si>
    <t>Andre Lee</t>
  </si>
  <si>
    <t>William Stromgren</t>
  </si>
  <si>
    <t>Taylor Ward</t>
  </si>
  <si>
    <t>738:19</t>
  </si>
  <si>
    <t>880:24</t>
  </si>
  <si>
    <t>782:19</t>
  </si>
  <si>
    <t>748:10</t>
  </si>
  <si>
    <t>480:40</t>
  </si>
  <si>
    <t>465:55</t>
  </si>
  <si>
    <t>12:12</t>
  </si>
  <si>
    <t>515:32</t>
  </si>
  <si>
    <t>7:17</t>
  </si>
  <si>
    <t>12:56</t>
  </si>
  <si>
    <t>11:09</t>
  </si>
  <si>
    <t>446:40</t>
  </si>
  <si>
    <t>541:11</t>
  </si>
  <si>
    <t>16:55</t>
  </si>
  <si>
    <t>234:40</t>
  </si>
  <si>
    <t>108:11</t>
  </si>
  <si>
    <t>441:14</t>
  </si>
  <si>
    <t>193:52</t>
  </si>
  <si>
    <t>8:05</t>
  </si>
  <si>
    <t>319:14</t>
  </si>
  <si>
    <t>164:25</t>
  </si>
  <si>
    <t>1613:44</t>
  </si>
  <si>
    <t>7:46</t>
  </si>
  <si>
    <t>Dylan Coghlan</t>
  </si>
  <si>
    <t>59:56</t>
  </si>
  <si>
    <t>659:18</t>
  </si>
  <si>
    <t>54:57</t>
  </si>
  <si>
    <t>540:27</t>
  </si>
  <si>
    <t>54:03</t>
  </si>
  <si>
    <t>41:12</t>
  </si>
  <si>
    <t>864:08</t>
  </si>
  <si>
    <t>54:01</t>
  </si>
  <si>
    <t>Mikael Pyyhtia</t>
  </si>
  <si>
    <t>1152:35</t>
  </si>
  <si>
    <t>60:40</t>
  </si>
  <si>
    <t>48:08</t>
  </si>
  <si>
    <t>Mads Sgaard</t>
  </si>
  <si>
    <t>Tim Washe</t>
  </si>
  <si>
    <t>Danil Zhilkin</t>
  </si>
  <si>
    <t>1045:54</t>
  </si>
  <si>
    <t>15:35</t>
  </si>
  <si>
    <t>93:03</t>
  </si>
  <si>
    <t>Drew Commesso</t>
  </si>
  <si>
    <t>936:09</t>
  </si>
  <si>
    <t>56:48</t>
  </si>
  <si>
    <t>Kevin Korchinski</t>
  </si>
  <si>
    <t>690:49</t>
  </si>
  <si>
    <t>17:20</t>
  </si>
  <si>
    <t>790:07</t>
  </si>
  <si>
    <t>796:20</t>
  </si>
  <si>
    <t>771:44</t>
  </si>
  <si>
    <t>23:51</t>
  </si>
  <si>
    <t>1049:12</t>
  </si>
  <si>
    <t>22:49</t>
  </si>
  <si>
    <t>580:15</t>
  </si>
  <si>
    <t>11:16</t>
  </si>
  <si>
    <t>436:23</t>
  </si>
  <si>
    <t>19:18</t>
  </si>
  <si>
    <t>397:49</t>
  </si>
  <si>
    <t>519:06</t>
  </si>
  <si>
    <t>368:49</t>
  </si>
  <si>
    <t>180:01</t>
  </si>
  <si>
    <t>1568:18</t>
  </si>
  <si>
    <t>58:05</t>
  </si>
  <si>
    <t>315:08</t>
  </si>
  <si>
    <t>303:59</t>
  </si>
  <si>
    <t>422:13</t>
  </si>
  <si>
    <t>1477:37</t>
  </si>
  <si>
    <t>54:44</t>
  </si>
  <si>
    <t>1115:52</t>
  </si>
  <si>
    <t>55:48</t>
  </si>
  <si>
    <t>27:57</t>
  </si>
  <si>
    <t>862:56</t>
  </si>
  <si>
    <t>1136:06</t>
  </si>
  <si>
    <t>182:37</t>
  </si>
  <si>
    <t>234:28</t>
  </si>
  <si>
    <t>59:09</t>
  </si>
  <si>
    <t>120:00</t>
  </si>
  <si>
    <t>759:25</t>
  </si>
  <si>
    <t>54:15</t>
  </si>
  <si>
    <t>141:13</t>
  </si>
  <si>
    <t>973:51</t>
  </si>
  <si>
    <t>537:03</t>
  </si>
  <si>
    <t>1684:59</t>
  </si>
  <si>
    <t>60:11</t>
  </si>
  <si>
    <t>Spencer Martin</t>
  </si>
  <si>
    <t>T.J. Tynan</t>
  </si>
  <si>
    <t>8:13</t>
  </si>
  <si>
    <t>Sandis Vilmanis</t>
  </si>
  <si>
    <t>10.0</t>
  </si>
  <si>
    <t>948:03</t>
  </si>
  <si>
    <t>1045:23</t>
  </si>
  <si>
    <t>718:42</t>
  </si>
  <si>
    <t>931:02</t>
  </si>
  <si>
    <t>821:02</t>
  </si>
  <si>
    <t>714:34</t>
  </si>
  <si>
    <t>23:56</t>
  </si>
  <si>
    <t>894:51</t>
  </si>
  <si>
    <t>639:07</t>
  </si>
  <si>
    <t>25:55</t>
  </si>
  <si>
    <t>431:14</t>
  </si>
  <si>
    <t>898:31</t>
  </si>
  <si>
    <t>692:04</t>
  </si>
  <si>
    <t>445:44</t>
  </si>
  <si>
    <t>394:57</t>
  </si>
  <si>
    <t>937:04</t>
  </si>
  <si>
    <t>719:22</t>
  </si>
  <si>
    <t>192:53</t>
  </si>
  <si>
    <t>319:56</t>
  </si>
  <si>
    <t>668:52</t>
  </si>
  <si>
    <t>108:24</t>
  </si>
  <si>
    <t>558:02</t>
  </si>
  <si>
    <t>291:56</t>
  </si>
  <si>
    <t>247:58</t>
  </si>
  <si>
    <t>328:28</t>
  </si>
  <si>
    <t>93:53</t>
  </si>
  <si>
    <t>219:40</t>
  </si>
  <si>
    <t>Johnathan Kovacevic</t>
  </si>
  <si>
    <t>881:23</t>
  </si>
  <si>
    <t>58:46</t>
  </si>
  <si>
    <t>206:22</t>
  </si>
  <si>
    <t>759:24</t>
  </si>
  <si>
    <t>1412:32</t>
  </si>
  <si>
    <t>58:51</t>
  </si>
  <si>
    <t>50:56</t>
  </si>
  <si>
    <t>1576:30</t>
  </si>
  <si>
    <t>54:22</t>
  </si>
  <si>
    <t>59:58</t>
  </si>
  <si>
    <t>937:40</t>
  </si>
  <si>
    <t>1727:17</t>
  </si>
  <si>
    <t>57:35</t>
  </si>
  <si>
    <t>410:38</t>
  </si>
  <si>
    <t>58:40</t>
  </si>
  <si>
    <t>983:04</t>
  </si>
  <si>
    <t>930:19</t>
  </si>
  <si>
    <t>1124:03</t>
  </si>
  <si>
    <t>1047:03</t>
  </si>
  <si>
    <t>22:17</t>
  </si>
  <si>
    <t>985:25</t>
  </si>
  <si>
    <t>959:20</t>
  </si>
  <si>
    <t>1129:22</t>
  </si>
  <si>
    <t>27:33</t>
  </si>
  <si>
    <t>416:14</t>
  </si>
  <si>
    <t>27:45</t>
  </si>
  <si>
    <t>855:16</t>
  </si>
  <si>
    <t>1199:17</t>
  </si>
  <si>
    <t>823:27</t>
  </si>
  <si>
    <t>873:26</t>
  </si>
  <si>
    <t>773:18</t>
  </si>
  <si>
    <t>718:02</t>
  </si>
  <si>
    <t>866:45</t>
  </si>
  <si>
    <t>667:20</t>
  </si>
  <si>
    <t>713:05</t>
  </si>
  <si>
    <t>1154:53</t>
  </si>
  <si>
    <t>876:33</t>
  </si>
  <si>
    <t>630:03</t>
  </si>
  <si>
    <t>507:20</t>
  </si>
  <si>
    <t>531:28</t>
  </si>
  <si>
    <t>831:25</t>
  </si>
  <si>
    <t>586:35</t>
  </si>
  <si>
    <t>774:22</t>
  </si>
  <si>
    <t>817:54</t>
  </si>
  <si>
    <t>495:19</t>
  </si>
  <si>
    <t>580:27</t>
  </si>
  <si>
    <t>598:19</t>
  </si>
  <si>
    <t>688:51</t>
  </si>
  <si>
    <t>628:58</t>
  </si>
  <si>
    <t>808:24</t>
  </si>
  <si>
    <t>705:22</t>
  </si>
  <si>
    <t>986:58</t>
  </si>
  <si>
    <t>22:26</t>
  </si>
  <si>
    <t>637:06</t>
  </si>
  <si>
    <t>991:27</t>
  </si>
  <si>
    <t>22:02</t>
  </si>
  <si>
    <t>526:26</t>
  </si>
  <si>
    <t>542:27</t>
  </si>
  <si>
    <t>514:02</t>
  </si>
  <si>
    <t>895:59</t>
  </si>
  <si>
    <t>660:02</t>
  </si>
  <si>
    <t>14:40</t>
  </si>
  <si>
    <t>23:52</t>
  </si>
  <si>
    <t>670:07</t>
  </si>
  <si>
    <t>439:59</t>
  </si>
  <si>
    <t>621:35</t>
  </si>
  <si>
    <t>947:50</t>
  </si>
  <si>
    <t>519:36</t>
  </si>
  <si>
    <t>325:43</t>
  </si>
  <si>
    <t>777:49</t>
  </si>
  <si>
    <t>887:56</t>
  </si>
  <si>
    <t>942:22</t>
  </si>
  <si>
    <t>513:06</t>
  </si>
  <si>
    <t>685:03</t>
  </si>
  <si>
    <t>526:37</t>
  </si>
  <si>
    <t>546:35</t>
  </si>
  <si>
    <t>333:05</t>
  </si>
  <si>
    <t>634:23</t>
  </si>
  <si>
    <t>289:16</t>
  </si>
  <si>
    <t>501:40</t>
  </si>
  <si>
    <t>366:00</t>
  </si>
  <si>
    <t>914:25</t>
  </si>
  <si>
    <t>479:00</t>
  </si>
  <si>
    <t>609:02</t>
  </si>
  <si>
    <t>836:40</t>
  </si>
  <si>
    <t>365:11</t>
  </si>
  <si>
    <t>190:17</t>
  </si>
  <si>
    <t>11:53</t>
  </si>
  <si>
    <t>217:21</t>
  </si>
  <si>
    <t>150:09</t>
  </si>
  <si>
    <t>183:35</t>
  </si>
  <si>
    <t>186:23</t>
  </si>
  <si>
    <t>302:52</t>
  </si>
  <si>
    <t>214:45</t>
  </si>
  <si>
    <t>417:01</t>
  </si>
  <si>
    <t>272:48</t>
  </si>
  <si>
    <t>165:26</t>
  </si>
  <si>
    <t>134:21</t>
  </si>
  <si>
    <t>216:16</t>
  </si>
  <si>
    <t>185:49</t>
  </si>
  <si>
    <t>137:50</t>
  </si>
  <si>
    <t>1881:02</t>
  </si>
  <si>
    <t>560:15</t>
  </si>
  <si>
    <t>1634:03</t>
  </si>
  <si>
    <t>422:55</t>
  </si>
  <si>
    <t>39:39</t>
  </si>
  <si>
    <t>190:30</t>
  </si>
  <si>
    <t>1849:03</t>
  </si>
  <si>
    <t>37:33</t>
  </si>
  <si>
    <t>1713:32</t>
  </si>
  <si>
    <t>128:14</t>
  </si>
  <si>
    <t>1138:36</t>
  </si>
  <si>
    <t>1256:31</t>
  </si>
  <si>
    <t>1033:09</t>
  </si>
  <si>
    <t>236:34</t>
  </si>
  <si>
    <t>127:17</t>
  </si>
  <si>
    <t>7:04</t>
  </si>
  <si>
    <t>256:47</t>
  </si>
  <si>
    <t>51:21</t>
  </si>
  <si>
    <t>1165:29</t>
  </si>
  <si>
    <t>61:20</t>
  </si>
  <si>
    <t>1014:09</t>
  </si>
  <si>
    <t>1075:14</t>
  </si>
  <si>
    <t>22:53</t>
  </si>
  <si>
    <t>1035:32</t>
  </si>
  <si>
    <t>828:25</t>
  </si>
  <si>
    <t>926:11</t>
  </si>
  <si>
    <t>842:27</t>
  </si>
  <si>
    <t>930:18</t>
  </si>
  <si>
    <t>19:48</t>
  </si>
  <si>
    <t>942:08</t>
  </si>
  <si>
    <t>937:29</t>
  </si>
  <si>
    <t>947:34</t>
  </si>
  <si>
    <t>982:02</t>
  </si>
  <si>
    <t>20:54</t>
  </si>
  <si>
    <t>1118:11</t>
  </si>
  <si>
    <t>26:37</t>
  </si>
  <si>
    <t>889:38</t>
  </si>
  <si>
    <t>858:16</t>
  </si>
  <si>
    <t>862:00</t>
  </si>
  <si>
    <t>924:22</t>
  </si>
  <si>
    <t>20:32</t>
  </si>
  <si>
    <t>1160:25</t>
  </si>
  <si>
    <t>24:41</t>
  </si>
  <si>
    <t>684:11</t>
  </si>
  <si>
    <t>20:46</t>
  </si>
  <si>
    <t>1116:07</t>
  </si>
  <si>
    <t>861:11</t>
  </si>
  <si>
    <t>906:30</t>
  </si>
  <si>
    <t>971:53</t>
  </si>
  <si>
    <t>20:15</t>
  </si>
  <si>
    <t>795:58</t>
  </si>
  <si>
    <t>766:06</t>
  </si>
  <si>
    <t>19:09</t>
  </si>
  <si>
    <t>926:59</t>
  </si>
  <si>
    <t>19:43</t>
  </si>
  <si>
    <t>844:31</t>
  </si>
  <si>
    <t>810:08</t>
  </si>
  <si>
    <t>844:16</t>
  </si>
  <si>
    <t>821:40</t>
  </si>
  <si>
    <t>717:54</t>
  </si>
  <si>
    <t>918:21</t>
  </si>
  <si>
    <t>852:49</t>
  </si>
  <si>
    <t>21:52</t>
  </si>
  <si>
    <t>827:04</t>
  </si>
  <si>
    <t>795:31</t>
  </si>
  <si>
    <t>848:09</t>
  </si>
  <si>
    <t>947:52</t>
  </si>
  <si>
    <t>830:25</t>
  </si>
  <si>
    <t>1104:19</t>
  </si>
  <si>
    <t>24:32</t>
  </si>
  <si>
    <t>726:35</t>
  </si>
  <si>
    <t>731:03</t>
  </si>
  <si>
    <t>832:42</t>
  </si>
  <si>
    <t>981:43</t>
  </si>
  <si>
    <t>22:50</t>
  </si>
  <si>
    <t>778:48</t>
  </si>
  <si>
    <t>831:45</t>
  </si>
  <si>
    <t>18:29</t>
  </si>
  <si>
    <t>794:06</t>
  </si>
  <si>
    <t>782:34</t>
  </si>
  <si>
    <t>740:04</t>
  </si>
  <si>
    <t>1214:16</t>
  </si>
  <si>
    <t>25:18</t>
  </si>
  <si>
    <t>860:42</t>
  </si>
  <si>
    <t>704:44</t>
  </si>
  <si>
    <t>906:06</t>
  </si>
  <si>
    <t>530:00</t>
  </si>
  <si>
    <t>17:40</t>
  </si>
  <si>
    <t>787:00</t>
  </si>
  <si>
    <t>16:45</t>
  </si>
  <si>
    <t>1146:43</t>
  </si>
  <si>
    <t>797:13</t>
  </si>
  <si>
    <t>746:46</t>
  </si>
  <si>
    <t>16:36</t>
  </si>
  <si>
    <t>799:54</t>
  </si>
  <si>
    <t>807:48</t>
  </si>
  <si>
    <t>640:46</t>
  </si>
  <si>
    <t>1101:06</t>
  </si>
  <si>
    <t>713:04</t>
  </si>
  <si>
    <t>1110:44</t>
  </si>
  <si>
    <t>24:09</t>
  </si>
  <si>
    <t>798:08</t>
  </si>
  <si>
    <t>806:39</t>
  </si>
  <si>
    <t>1076:16</t>
  </si>
  <si>
    <t>22:54</t>
  </si>
  <si>
    <t>858:46</t>
  </si>
  <si>
    <t>18:40</t>
  </si>
  <si>
    <t>1124:41</t>
  </si>
  <si>
    <t>24:27</t>
  </si>
  <si>
    <t>677:04</t>
  </si>
  <si>
    <t>15:03</t>
  </si>
  <si>
    <t>729:08</t>
  </si>
  <si>
    <t>17:47</t>
  </si>
  <si>
    <t>748:59</t>
  </si>
  <si>
    <t>957:50</t>
  </si>
  <si>
    <t>558:13</t>
  </si>
  <si>
    <t>564:33</t>
  </si>
  <si>
    <t>809:12</t>
  </si>
  <si>
    <t>756:30</t>
  </si>
  <si>
    <t>16:27</t>
  </si>
  <si>
    <t>763:09</t>
  </si>
  <si>
    <t>1128:14</t>
  </si>
  <si>
    <t>561:02</t>
  </si>
  <si>
    <t>707:08</t>
  </si>
  <si>
    <t>789:06</t>
  </si>
  <si>
    <t>685:16</t>
  </si>
  <si>
    <t>717:18</t>
  </si>
  <si>
    <t>836:19</t>
  </si>
  <si>
    <t>23:54</t>
  </si>
  <si>
    <t>978:43</t>
  </si>
  <si>
    <t>21:45</t>
  </si>
  <si>
    <t>747:38</t>
  </si>
  <si>
    <t>719:38</t>
  </si>
  <si>
    <t>850:29</t>
  </si>
  <si>
    <t>765:12</t>
  </si>
  <si>
    <t>674:48</t>
  </si>
  <si>
    <t>14:60</t>
  </si>
  <si>
    <t>502:28</t>
  </si>
  <si>
    <t>14:21</t>
  </si>
  <si>
    <t>666:36</t>
  </si>
  <si>
    <t>14:11</t>
  </si>
  <si>
    <t>726:38</t>
  </si>
  <si>
    <t>16:09</t>
  </si>
  <si>
    <t>537:27</t>
  </si>
  <si>
    <t>16:48</t>
  </si>
  <si>
    <t>789:22</t>
  </si>
  <si>
    <t>23:13</t>
  </si>
  <si>
    <t>985:46</t>
  </si>
  <si>
    <t>21:54</t>
  </si>
  <si>
    <t>755:54</t>
  </si>
  <si>
    <t>16:05</t>
  </si>
  <si>
    <t>790:13</t>
  </si>
  <si>
    <t>1060:06</t>
  </si>
  <si>
    <t>22:33</t>
  </si>
  <si>
    <t>714:25</t>
  </si>
  <si>
    <t>690:10</t>
  </si>
  <si>
    <t>767:01</t>
  </si>
  <si>
    <t>755:13</t>
  </si>
  <si>
    <t>726:06</t>
  </si>
  <si>
    <t>15:27</t>
  </si>
  <si>
    <t>634:34</t>
  </si>
  <si>
    <t>842:13</t>
  </si>
  <si>
    <t>19:08</t>
  </si>
  <si>
    <t>761:08</t>
  </si>
  <si>
    <t>765:50</t>
  </si>
  <si>
    <t>17:01</t>
  </si>
  <si>
    <t>475:29</t>
  </si>
  <si>
    <t>958:59</t>
  </si>
  <si>
    <t>1099:36</t>
  </si>
  <si>
    <t>877:59</t>
  </si>
  <si>
    <t>22:31</t>
  </si>
  <si>
    <t>694:31</t>
  </si>
  <si>
    <t>608:16</t>
  </si>
  <si>
    <t>13:31</t>
  </si>
  <si>
    <t>17:37</t>
  </si>
  <si>
    <t>403:21</t>
  </si>
  <si>
    <t>637:31</t>
  </si>
  <si>
    <t>14:29</t>
  </si>
  <si>
    <t>711:10</t>
  </si>
  <si>
    <t>593:30</t>
  </si>
  <si>
    <t>1120:30</t>
  </si>
  <si>
    <t>23:50</t>
  </si>
  <si>
    <t>555:51</t>
  </si>
  <si>
    <t>15:01</t>
  </si>
  <si>
    <t>728:49</t>
  </si>
  <si>
    <t>975:34</t>
  </si>
  <si>
    <t>558:36</t>
  </si>
  <si>
    <t>696:51</t>
  </si>
  <si>
    <t>669:21</t>
  </si>
  <si>
    <t>564:34</t>
  </si>
  <si>
    <t>984:55</t>
  </si>
  <si>
    <t>20:57</t>
  </si>
  <si>
    <t>783:00</t>
  </si>
  <si>
    <t>790:40</t>
  </si>
  <si>
    <t>508:22</t>
  </si>
  <si>
    <t>653:12</t>
  </si>
  <si>
    <t>593:05</t>
  </si>
  <si>
    <t>700:47</t>
  </si>
  <si>
    <t>548:30</t>
  </si>
  <si>
    <t>776:12</t>
  </si>
  <si>
    <t>692:37</t>
  </si>
  <si>
    <t>766:10</t>
  </si>
  <si>
    <t>16:18</t>
  </si>
  <si>
    <t>998:28</t>
  </si>
  <si>
    <t>12:33</t>
  </si>
  <si>
    <t>648:48</t>
  </si>
  <si>
    <t>13:48</t>
  </si>
  <si>
    <t>450:23</t>
  </si>
  <si>
    <t>12:31</t>
  </si>
  <si>
    <t>586:32</t>
  </si>
  <si>
    <t>865:05</t>
  </si>
  <si>
    <t>18:48</t>
  </si>
  <si>
    <t>1191:58</t>
  </si>
  <si>
    <t>862:50</t>
  </si>
  <si>
    <t>19:10</t>
  </si>
  <si>
    <t>290:31</t>
  </si>
  <si>
    <t>553:55</t>
  </si>
  <si>
    <t>733:51</t>
  </si>
  <si>
    <t>681:18</t>
  </si>
  <si>
    <t>491:43</t>
  </si>
  <si>
    <t>613:34</t>
  </si>
  <si>
    <t>631:09</t>
  </si>
  <si>
    <t>592:33</t>
  </si>
  <si>
    <t>483:48</t>
  </si>
  <si>
    <t>639:36</t>
  </si>
  <si>
    <t>831:48</t>
  </si>
  <si>
    <t>623:27</t>
  </si>
  <si>
    <t>802:34</t>
  </si>
  <si>
    <t>450:52</t>
  </si>
  <si>
    <t>745:28</t>
  </si>
  <si>
    <t>741:18</t>
  </si>
  <si>
    <t>732:45</t>
  </si>
  <si>
    <t>961:49</t>
  </si>
  <si>
    <t>611:40</t>
  </si>
  <si>
    <t>1008:41</t>
  </si>
  <si>
    <t>22:25</t>
  </si>
  <si>
    <t>538:59</t>
  </si>
  <si>
    <t>11:43</t>
  </si>
  <si>
    <t>891:06</t>
  </si>
  <si>
    <t>798:20</t>
  </si>
  <si>
    <t>966:05</t>
  </si>
  <si>
    <t>21:57</t>
  </si>
  <si>
    <t>978:34</t>
  </si>
  <si>
    <t>785:28</t>
  </si>
  <si>
    <t>660:07</t>
  </si>
  <si>
    <t>851:16</t>
  </si>
  <si>
    <t>18:55</t>
  </si>
  <si>
    <t>679:39</t>
  </si>
  <si>
    <t>1076:53</t>
  </si>
  <si>
    <t>23:25</t>
  </si>
  <si>
    <t>668:54</t>
  </si>
  <si>
    <t>14:14</t>
  </si>
  <si>
    <t>866:31</t>
  </si>
  <si>
    <t>1026:12</t>
  </si>
  <si>
    <t>501:10</t>
  </si>
  <si>
    <t>651:48</t>
  </si>
  <si>
    <t>946:13</t>
  </si>
  <si>
    <t>22:00</t>
  </si>
  <si>
    <t>528:15</t>
  </si>
  <si>
    <t>469:22</t>
  </si>
  <si>
    <t>546:43</t>
  </si>
  <si>
    <t>457:20</t>
  </si>
  <si>
    <t>923:16</t>
  </si>
  <si>
    <t>20:31</t>
  </si>
  <si>
    <t>1023:52</t>
  </si>
  <si>
    <t>603:53</t>
  </si>
  <si>
    <t>315:41</t>
  </si>
  <si>
    <t>12:38</t>
  </si>
  <si>
    <t>925:14</t>
  </si>
  <si>
    <t>19:41</t>
  </si>
  <si>
    <t>490:58</t>
  </si>
  <si>
    <t>497:22</t>
  </si>
  <si>
    <t>13:05</t>
  </si>
  <si>
    <t>557:22</t>
  </si>
  <si>
    <t>12:07</t>
  </si>
  <si>
    <t>13:24</t>
  </si>
  <si>
    <t>660:38</t>
  </si>
  <si>
    <t>641:37</t>
  </si>
  <si>
    <t>446:50</t>
  </si>
  <si>
    <t>550:04</t>
  </si>
  <si>
    <t>12:48</t>
  </si>
  <si>
    <t>490:18</t>
  </si>
  <si>
    <t>11:58</t>
  </si>
  <si>
    <t>976:46</t>
  </si>
  <si>
    <t>20:47</t>
  </si>
  <si>
    <t>659:32</t>
  </si>
  <si>
    <t>946:37</t>
  </si>
  <si>
    <t>1007:39</t>
  </si>
  <si>
    <t>713:29</t>
  </si>
  <si>
    <t>16:13</t>
  </si>
  <si>
    <t>376:36</t>
  </si>
  <si>
    <t>19:60</t>
  </si>
  <si>
    <t>518:20</t>
  </si>
  <si>
    <t>534:37</t>
  </si>
  <si>
    <t>639:27</t>
  </si>
  <si>
    <t>714:29</t>
  </si>
  <si>
    <t>492:55</t>
  </si>
  <si>
    <t>613:45</t>
  </si>
  <si>
    <t>418:59</t>
  </si>
  <si>
    <t>458:51</t>
  </si>
  <si>
    <t>11:46</t>
  </si>
  <si>
    <t>1062:23</t>
  </si>
  <si>
    <t>22:36</t>
  </si>
  <si>
    <t>457:52</t>
  </si>
  <si>
    <t>1064:03</t>
  </si>
  <si>
    <t>522:01</t>
  </si>
  <si>
    <t>604:48</t>
  </si>
  <si>
    <t>337:07</t>
  </si>
  <si>
    <t>566:52</t>
  </si>
  <si>
    <t>14:55</t>
  </si>
  <si>
    <t>474:16</t>
  </si>
  <si>
    <t>556:37</t>
  </si>
  <si>
    <t>472:37</t>
  </si>
  <si>
    <t>385:33</t>
  </si>
  <si>
    <t>14:50</t>
  </si>
  <si>
    <t>415:38</t>
  </si>
  <si>
    <t>493:45</t>
  </si>
  <si>
    <t>362:40</t>
  </si>
  <si>
    <t>349:08</t>
  </si>
  <si>
    <t>169:23</t>
  </si>
  <si>
    <t>13:12</t>
  </si>
  <si>
    <t>790:38</t>
  </si>
  <si>
    <t>1010:39</t>
  </si>
  <si>
    <t>420:57</t>
  </si>
  <si>
    <t>524:05</t>
  </si>
  <si>
    <t>502:08</t>
  </si>
  <si>
    <t>621:20</t>
  </si>
  <si>
    <t>672:29</t>
  </si>
  <si>
    <t>14:37</t>
  </si>
  <si>
    <t>359:17</t>
  </si>
  <si>
    <t>554:27</t>
  </si>
  <si>
    <t>717:56</t>
  </si>
  <si>
    <t>528:37</t>
  </si>
  <si>
    <t>468:07</t>
  </si>
  <si>
    <t>308:02</t>
  </si>
  <si>
    <t>355:27</t>
  </si>
  <si>
    <t>425:15</t>
  </si>
  <si>
    <t>10:54</t>
  </si>
  <si>
    <t>943:31</t>
  </si>
  <si>
    <t>682:46</t>
  </si>
  <si>
    <t>969:12</t>
  </si>
  <si>
    <t>719:12</t>
  </si>
  <si>
    <t>273:13</t>
  </si>
  <si>
    <t>17:05</t>
  </si>
  <si>
    <t>632:30</t>
  </si>
  <si>
    <t>550:46</t>
  </si>
  <si>
    <t>539:59</t>
  </si>
  <si>
    <t>588:38</t>
  </si>
  <si>
    <t>Egor Chinakhov</t>
  </si>
  <si>
    <t>384:58</t>
  </si>
  <si>
    <t>86:16</t>
  </si>
  <si>
    <t>672:59</t>
  </si>
  <si>
    <t>183:19</t>
  </si>
  <si>
    <t>963:46</t>
  </si>
  <si>
    <t>21:25</t>
  </si>
  <si>
    <t>666:16</t>
  </si>
  <si>
    <t>358:42</t>
  </si>
  <si>
    <t>657:38</t>
  </si>
  <si>
    <t>646:25</t>
  </si>
  <si>
    <t>931:01</t>
  </si>
  <si>
    <t>911:36</t>
  </si>
  <si>
    <t>619:22</t>
  </si>
  <si>
    <t>169:27</t>
  </si>
  <si>
    <t>8:28</t>
  </si>
  <si>
    <t>103:10</t>
  </si>
  <si>
    <t>459:53</t>
  </si>
  <si>
    <t>476:43</t>
  </si>
  <si>
    <t>11:38</t>
  </si>
  <si>
    <t>748:48</t>
  </si>
  <si>
    <t>16:17</t>
  </si>
  <si>
    <t>390:36</t>
  </si>
  <si>
    <t>11:10</t>
  </si>
  <si>
    <t>382:27</t>
  </si>
  <si>
    <t>12:20</t>
  </si>
  <si>
    <t>753:13</t>
  </si>
  <si>
    <t>412:58</t>
  </si>
  <si>
    <t>11:28</t>
  </si>
  <si>
    <t>152:43</t>
  </si>
  <si>
    <t>383:38</t>
  </si>
  <si>
    <t>560:13</t>
  </si>
  <si>
    <t>786:56</t>
  </si>
  <si>
    <t>245:56</t>
  </si>
  <si>
    <t>9:07</t>
  </si>
  <si>
    <t>455:01</t>
  </si>
  <si>
    <t>14:41</t>
  </si>
  <si>
    <t>958:55</t>
  </si>
  <si>
    <t>20:51</t>
  </si>
  <si>
    <t>384:30</t>
  </si>
  <si>
    <t>176:50</t>
  </si>
  <si>
    <t>611:41</t>
  </si>
  <si>
    <t>297:05</t>
  </si>
  <si>
    <t>253:43</t>
  </si>
  <si>
    <t>531:27</t>
  </si>
  <si>
    <t>11:18</t>
  </si>
  <si>
    <t>632:24</t>
  </si>
  <si>
    <t>14:42</t>
  </si>
  <si>
    <t>325:33</t>
  </si>
  <si>
    <t>621:28</t>
  </si>
  <si>
    <t>303:17</t>
  </si>
  <si>
    <t>11:14</t>
  </si>
  <si>
    <t>387:00</t>
  </si>
  <si>
    <t>370:16</t>
  </si>
  <si>
    <t>8:49</t>
  </si>
  <si>
    <t>443:09</t>
  </si>
  <si>
    <t>240:16</t>
  </si>
  <si>
    <t>10:27</t>
  </si>
  <si>
    <t>304:00</t>
  </si>
  <si>
    <t>516:07</t>
  </si>
  <si>
    <t>381:25</t>
  </si>
  <si>
    <t>543:38</t>
  </si>
  <si>
    <t>280:26</t>
  </si>
  <si>
    <t>497:37</t>
  </si>
  <si>
    <t>267:33</t>
  </si>
  <si>
    <t>313:19</t>
  </si>
  <si>
    <t>351:07</t>
  </si>
  <si>
    <t>179:31</t>
  </si>
  <si>
    <t>421:59</t>
  </si>
  <si>
    <t>322:10</t>
  </si>
  <si>
    <t>314:27</t>
  </si>
  <si>
    <t>10:40</t>
  </si>
  <si>
    <t>514:39</t>
  </si>
  <si>
    <t>828:50</t>
  </si>
  <si>
    <t>18:25</t>
  </si>
  <si>
    <t>279:58</t>
  </si>
  <si>
    <t>443:56</t>
  </si>
  <si>
    <t>718:17</t>
  </si>
  <si>
    <t>455:47</t>
  </si>
  <si>
    <t>338:03</t>
  </si>
  <si>
    <t>455:51</t>
  </si>
  <si>
    <t>123:13</t>
  </si>
  <si>
    <t>487:47</t>
  </si>
  <si>
    <t>10:50</t>
  </si>
  <si>
    <t>203:08</t>
  </si>
  <si>
    <t>9:14</t>
  </si>
  <si>
    <t>214:59</t>
  </si>
  <si>
    <t>381:35</t>
  </si>
  <si>
    <t>255:42</t>
  </si>
  <si>
    <t>217:25</t>
  </si>
  <si>
    <t>9:04</t>
  </si>
  <si>
    <t>318:44</t>
  </si>
  <si>
    <t>13:17</t>
  </si>
  <si>
    <t>299:54</t>
  </si>
  <si>
    <t>194:36</t>
  </si>
  <si>
    <t>206:53</t>
  </si>
  <si>
    <t>55:12</t>
  </si>
  <si>
    <t>275:45</t>
  </si>
  <si>
    <t>10:13</t>
  </si>
  <si>
    <t>195:07</t>
  </si>
  <si>
    <t>204:30</t>
  </si>
  <si>
    <t>12:47</t>
  </si>
  <si>
    <t>437:08</t>
  </si>
  <si>
    <t>1215:10</t>
  </si>
  <si>
    <t>57:52</t>
  </si>
  <si>
    <t>330:25</t>
  </si>
  <si>
    <t>9:43</t>
  </si>
  <si>
    <t>504:22</t>
  </si>
  <si>
    <t>173:16</t>
  </si>
  <si>
    <t>1218:41</t>
  </si>
  <si>
    <t>60:56</t>
  </si>
  <si>
    <t>132:13</t>
  </si>
  <si>
    <t>9:27</t>
  </si>
  <si>
    <t>1330:30</t>
  </si>
  <si>
    <t>57:51</t>
  </si>
  <si>
    <t>25:12</t>
  </si>
  <si>
    <t>8:24</t>
  </si>
  <si>
    <t>40:23</t>
  </si>
  <si>
    <t>10:06</t>
  </si>
  <si>
    <t>1261:35</t>
  </si>
  <si>
    <t>57:21</t>
  </si>
  <si>
    <t>1951:39</t>
  </si>
  <si>
    <t>59:08</t>
  </si>
  <si>
    <t>1661:33</t>
  </si>
  <si>
    <t>59:20</t>
  </si>
  <si>
    <t>2047:16</t>
  </si>
  <si>
    <t>58:30</t>
  </si>
  <si>
    <t>251:42</t>
  </si>
  <si>
    <t>69:19</t>
  </si>
  <si>
    <t>266:56</t>
  </si>
  <si>
    <t>1123:02</t>
  </si>
  <si>
    <t>59:06</t>
  </si>
  <si>
    <t>1686:08</t>
  </si>
  <si>
    <t>56:12</t>
  </si>
  <si>
    <t>1919:06</t>
  </si>
  <si>
    <t>1613:18</t>
  </si>
  <si>
    <t>868:04</t>
  </si>
  <si>
    <t>51:04</t>
  </si>
  <si>
    <t>1347:19</t>
  </si>
  <si>
    <t>53:54</t>
  </si>
  <si>
    <t>153:15</t>
  </si>
  <si>
    <t>1030:31</t>
  </si>
  <si>
    <t>219:46</t>
  </si>
  <si>
    <t>85:37</t>
  </si>
  <si>
    <t>73:52</t>
  </si>
  <si>
    <t>1055:47</t>
  </si>
  <si>
    <t>55:34</t>
  </si>
  <si>
    <t>2106:35</t>
  </si>
  <si>
    <t>58:31</t>
  </si>
  <si>
    <t>1614:00</t>
  </si>
  <si>
    <t>59:47</t>
  </si>
  <si>
    <t>1891:10</t>
  </si>
  <si>
    <t>32:39</t>
  </si>
  <si>
    <t>1996:52</t>
  </si>
  <si>
    <t>55:28</t>
  </si>
  <si>
    <t>32:57</t>
  </si>
  <si>
    <t>8:14</t>
  </si>
  <si>
    <t>805:53</t>
  </si>
  <si>
    <t>977:50</t>
  </si>
  <si>
    <t>902:28</t>
  </si>
  <si>
    <t>952:24</t>
  </si>
  <si>
    <t>853:17</t>
  </si>
  <si>
    <t>560:58</t>
  </si>
  <si>
    <t>975:04</t>
  </si>
  <si>
    <t>780:36</t>
  </si>
  <si>
    <t>849:15</t>
  </si>
  <si>
    <t>18:52</t>
  </si>
  <si>
    <t>780:59</t>
  </si>
  <si>
    <t>832:19</t>
  </si>
  <si>
    <t>819:25</t>
  </si>
  <si>
    <t>979:28</t>
  </si>
  <si>
    <t>891:02</t>
  </si>
  <si>
    <t>18:57</t>
  </si>
  <si>
    <t>883:29</t>
  </si>
  <si>
    <t>1156:02</t>
  </si>
  <si>
    <t>25:08</t>
  </si>
  <si>
    <t>803:30</t>
  </si>
  <si>
    <t>784:34</t>
  </si>
  <si>
    <t>880:13</t>
  </si>
  <si>
    <t>722:10</t>
  </si>
  <si>
    <t>991:01</t>
  </si>
  <si>
    <t>24:10</t>
  </si>
  <si>
    <t>724:36</t>
  </si>
  <si>
    <t>16:06</t>
  </si>
  <si>
    <t>799:16</t>
  </si>
  <si>
    <t>819:12</t>
  </si>
  <si>
    <t>19:03</t>
  </si>
  <si>
    <t>622:59</t>
  </si>
  <si>
    <t>21:29</t>
  </si>
  <si>
    <t>891:55</t>
  </si>
  <si>
    <t>772:36</t>
  </si>
  <si>
    <t>799:19</t>
  </si>
  <si>
    <t>17:46</t>
  </si>
  <si>
    <t>872:59</t>
  </si>
  <si>
    <t>742:38</t>
  </si>
  <si>
    <t>904:03</t>
  </si>
  <si>
    <t>989:33</t>
  </si>
  <si>
    <t>22:29</t>
  </si>
  <si>
    <t>857:47</t>
  </si>
  <si>
    <t>714:09</t>
  </si>
  <si>
    <t>21:00</t>
  </si>
  <si>
    <t>1098:47</t>
  </si>
  <si>
    <t>826:58</t>
  </si>
  <si>
    <t>801:43</t>
  </si>
  <si>
    <t>717:04</t>
  </si>
  <si>
    <t>998:05</t>
  </si>
  <si>
    <t>743:25</t>
  </si>
  <si>
    <t>780:32</t>
  </si>
  <si>
    <t>18:35</t>
  </si>
  <si>
    <t>706:07</t>
  </si>
  <si>
    <t>453:47</t>
  </si>
  <si>
    <t>761:32</t>
  </si>
  <si>
    <t>676:49</t>
  </si>
  <si>
    <t>861:31</t>
  </si>
  <si>
    <t>834:48</t>
  </si>
  <si>
    <t>646:04</t>
  </si>
  <si>
    <t>624:01</t>
  </si>
  <si>
    <t>977:01</t>
  </si>
  <si>
    <t>813:16</t>
  </si>
  <si>
    <t>782:42</t>
  </si>
  <si>
    <t>528:58</t>
  </si>
  <si>
    <t>660:35</t>
  </si>
  <si>
    <t>408:04</t>
  </si>
  <si>
    <t>676:58</t>
  </si>
  <si>
    <t>1090:15</t>
  </si>
  <si>
    <t>24:14</t>
  </si>
  <si>
    <t>894:31</t>
  </si>
  <si>
    <t>648:37</t>
  </si>
  <si>
    <t>828:21</t>
  </si>
  <si>
    <t>23:40</t>
  </si>
  <si>
    <t>616:46</t>
  </si>
  <si>
    <t>349:42</t>
  </si>
  <si>
    <t>678:28</t>
  </si>
  <si>
    <t>869:48</t>
  </si>
  <si>
    <t>712:45</t>
  </si>
  <si>
    <t>659:24</t>
  </si>
  <si>
    <t>303:09</t>
  </si>
  <si>
    <t>685:54</t>
  </si>
  <si>
    <t>843:45</t>
  </si>
  <si>
    <t>629:23</t>
  </si>
  <si>
    <t>13:51</t>
  </si>
  <si>
    <t>417:14</t>
  </si>
  <si>
    <t>1145:41</t>
  </si>
  <si>
    <t>420:18</t>
  </si>
  <si>
    <t>14:30</t>
  </si>
  <si>
    <t>446:11</t>
  </si>
  <si>
    <t>659:00</t>
  </si>
  <si>
    <t>897:00</t>
  </si>
  <si>
    <t>931:25</t>
  </si>
  <si>
    <t>21:10</t>
  </si>
  <si>
    <t>889:44</t>
  </si>
  <si>
    <t>908:21</t>
  </si>
  <si>
    <t>572:45</t>
  </si>
  <si>
    <t>599:15</t>
  </si>
  <si>
    <t>428:10</t>
  </si>
  <si>
    <t>562:02</t>
  </si>
  <si>
    <t>459:46</t>
  </si>
  <si>
    <t>840:48</t>
  </si>
  <si>
    <t>522:32</t>
  </si>
  <si>
    <t>491:16</t>
  </si>
  <si>
    <t>737:18</t>
  </si>
  <si>
    <t>770:31</t>
  </si>
  <si>
    <t>17:07</t>
  </si>
  <si>
    <t>988:59</t>
  </si>
  <si>
    <t>549:48</t>
  </si>
  <si>
    <t>481:37</t>
  </si>
  <si>
    <t>593:17</t>
  </si>
  <si>
    <t>525:45</t>
  </si>
  <si>
    <t>860:55</t>
  </si>
  <si>
    <t>544:22</t>
  </si>
  <si>
    <t>362:17</t>
  </si>
  <si>
    <t>597:33</t>
  </si>
  <si>
    <t>499:00</t>
  </si>
  <si>
    <t>429:06</t>
  </si>
  <si>
    <t>10:44</t>
  </si>
  <si>
    <t>379:44</t>
  </si>
  <si>
    <t>414:15</t>
  </si>
  <si>
    <t>930:58</t>
  </si>
  <si>
    <t>513:21</t>
  </si>
  <si>
    <t>793:06</t>
  </si>
  <si>
    <t>555:13</t>
  </si>
  <si>
    <t>246:08</t>
  </si>
  <si>
    <t>497:52</t>
  </si>
  <si>
    <t>305:21</t>
  </si>
  <si>
    <t>11:19</t>
  </si>
  <si>
    <t>718:47</t>
  </si>
  <si>
    <t>16:43</t>
  </si>
  <si>
    <t>630:30</t>
  </si>
  <si>
    <t>965:14</t>
  </si>
  <si>
    <t>760:59</t>
  </si>
  <si>
    <t>518:00</t>
  </si>
  <si>
    <t>862:02</t>
  </si>
  <si>
    <t>498:31</t>
  </si>
  <si>
    <t>11:20</t>
  </si>
  <si>
    <t>214:16</t>
  </si>
  <si>
    <t>14:17</t>
  </si>
  <si>
    <t>406:21</t>
  </si>
  <si>
    <t>444:24</t>
  </si>
  <si>
    <t>683:05</t>
  </si>
  <si>
    <t>468:17</t>
  </si>
  <si>
    <t>20:22</t>
  </si>
  <si>
    <t>851:27</t>
  </si>
  <si>
    <t>484:04</t>
  </si>
  <si>
    <t>846:12</t>
  </si>
  <si>
    <t>306:59</t>
  </si>
  <si>
    <t>929:37</t>
  </si>
  <si>
    <t>759:36</t>
  </si>
  <si>
    <t>478:20</t>
  </si>
  <si>
    <t>295:49</t>
  </si>
  <si>
    <t>271:39</t>
  </si>
  <si>
    <t>315:06</t>
  </si>
  <si>
    <t>15:45</t>
  </si>
  <si>
    <t>291:03</t>
  </si>
  <si>
    <t>185:52</t>
  </si>
  <si>
    <t>271:02</t>
  </si>
  <si>
    <t>18:04</t>
  </si>
  <si>
    <t>1347:01</t>
  </si>
  <si>
    <t>56:08</t>
  </si>
  <si>
    <t>163:45</t>
  </si>
  <si>
    <t>58:45</t>
  </si>
  <si>
    <t>397:28</t>
  </si>
  <si>
    <t>135:40</t>
  </si>
  <si>
    <t>7:08</t>
  </si>
  <si>
    <t>49:23</t>
  </si>
  <si>
    <t>85:29</t>
  </si>
  <si>
    <t>146:16</t>
  </si>
  <si>
    <t>8:08</t>
  </si>
  <si>
    <t>1029:01</t>
  </si>
  <si>
    <t>60:32</t>
  </si>
  <si>
    <t>944:24</t>
  </si>
  <si>
    <t>55:33</t>
  </si>
  <si>
    <t>1749:26</t>
  </si>
  <si>
    <t>58:19</t>
  </si>
  <si>
    <t>995:08</t>
  </si>
  <si>
    <t>58:32</t>
  </si>
  <si>
    <t>55:26</t>
  </si>
  <si>
    <t>27:43</t>
  </si>
  <si>
    <t>1033:56</t>
  </si>
  <si>
    <t>54:25</t>
  </si>
  <si>
    <t>90:52</t>
  </si>
  <si>
    <t>8:16</t>
  </si>
  <si>
    <t>73:08</t>
  </si>
  <si>
    <t>824:55</t>
  </si>
  <si>
    <t>54:60</t>
  </si>
  <si>
    <t>1385:58</t>
  </si>
  <si>
    <t>57:45</t>
  </si>
  <si>
    <t>1633:19</t>
  </si>
  <si>
    <t>58:20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</si>
</sst>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24" tableType="queryTable" totalsRowShown="0">
  <autoFilter ref="A1:T324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82" tableType="queryTable" totalsRowShown="0">
  <autoFilter ref="A1:AE98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03" zoomScale="90" zoomScaleNormal="120" workbookViewId="0">
      <selection activeCell="H695" sqref="H695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D740" t="s">
        <v>21</v>
      </c>
      <c r="F740" t="s">
        <v>60</v>
      </c>
    </row>
    <row r="741" spans="1:10" x14ac:dyDescent="0.2">
      <c r="A741" t="s">
        <v>93</v>
      </c>
      <c r="B741" t="s">
        <v>18</v>
      </c>
      <c r="D741" t="s">
        <v>23</v>
      </c>
      <c r="F741" t="s">
        <v>60</v>
      </c>
    </row>
    <row r="742" spans="1:10" x14ac:dyDescent="0.2">
      <c r="A742" t="s">
        <v>93</v>
      </c>
      <c r="B742" t="s">
        <v>38</v>
      </c>
      <c r="D742" t="s">
        <v>28</v>
      </c>
      <c r="F742" t="s">
        <v>60</v>
      </c>
    </row>
    <row r="743" spans="1:10" x14ac:dyDescent="0.2">
      <c r="A743" t="s">
        <v>93</v>
      </c>
      <c r="B743" t="s">
        <v>16</v>
      </c>
      <c r="D743" t="s">
        <v>10</v>
      </c>
      <c r="F743" t="s">
        <v>60</v>
      </c>
    </row>
    <row r="744" spans="1:10" x14ac:dyDescent="0.2">
      <c r="A744" t="s">
        <v>93</v>
      </c>
      <c r="B744" t="s">
        <v>30</v>
      </c>
      <c r="D744" t="s">
        <v>17</v>
      </c>
      <c r="F744" t="s">
        <v>60</v>
      </c>
    </row>
    <row r="745" spans="1:10" x14ac:dyDescent="0.2">
      <c r="A745" t="s">
        <v>93</v>
      </c>
      <c r="B745" t="s">
        <v>40</v>
      </c>
      <c r="D745" t="s">
        <v>34</v>
      </c>
      <c r="F745" t="s">
        <v>60</v>
      </c>
    </row>
    <row r="746" spans="1:10" x14ac:dyDescent="0.2">
      <c r="A746" t="s">
        <v>93</v>
      </c>
      <c r="B746" t="s">
        <v>27</v>
      </c>
      <c r="D746" t="s">
        <v>14</v>
      </c>
      <c r="F746" t="s">
        <v>60</v>
      </c>
    </row>
    <row r="747" spans="1:10" x14ac:dyDescent="0.2">
      <c r="A747" t="s">
        <v>93</v>
      </c>
      <c r="B747" t="s">
        <v>39</v>
      </c>
      <c r="D747" t="s">
        <v>55</v>
      </c>
      <c r="F747" t="s">
        <v>60</v>
      </c>
    </row>
    <row r="748" spans="1:10" x14ac:dyDescent="0.2">
      <c r="A748" t="s">
        <v>93</v>
      </c>
      <c r="B748" t="s">
        <v>19</v>
      </c>
      <c r="D748" t="s">
        <v>20</v>
      </c>
      <c r="F748" t="s">
        <v>60</v>
      </c>
    </row>
    <row r="749" spans="1:10" x14ac:dyDescent="0.2">
      <c r="A749" t="s">
        <v>93</v>
      </c>
      <c r="B749" t="s">
        <v>33</v>
      </c>
      <c r="D749" t="s">
        <v>22</v>
      </c>
      <c r="F749" t="s">
        <v>60</v>
      </c>
    </row>
    <row r="750" spans="1:10" x14ac:dyDescent="0.2">
      <c r="A750" t="s">
        <v>94</v>
      </c>
      <c r="B750" t="s">
        <v>11</v>
      </c>
      <c r="D750" t="s">
        <v>25</v>
      </c>
      <c r="F750" t="s">
        <v>60</v>
      </c>
    </row>
    <row r="751" spans="1:10" x14ac:dyDescent="0.2">
      <c r="A751" t="s">
        <v>94</v>
      </c>
      <c r="B751" t="s">
        <v>29</v>
      </c>
      <c r="D751" t="s">
        <v>12</v>
      </c>
      <c r="F751" t="s">
        <v>60</v>
      </c>
    </row>
    <row r="752" spans="1:10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0.13683657776013261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4498.8482701958574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0.49474316521073647</v>
      </c>
      <c r="J6">
        <f>(Table3[[#This Row],[HomeMargin]]-Table3[[#This Row],[HomeForecast]])^2</f>
        <v>0.25528446910126512</v>
      </c>
    </row>
    <row r="7" spans="1:10" x14ac:dyDescent="0.2">
      <c r="A7" s="4" t="s">
        <v>31</v>
      </c>
      <c r="B7">
        <v>-0.30466872127922601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-1.7200262565328068</v>
      </c>
      <c r="J7">
        <f>(Table3[[#This Row],[HomeMargin]]-Table3[[#This Row],[HomeForecast]])^2</f>
        <v>1.63833278396542</v>
      </c>
    </row>
    <row r="8" spans="1:10" x14ac:dyDescent="0.2">
      <c r="A8" s="4" t="s">
        <v>21</v>
      </c>
      <c r="B8">
        <v>0.17390560158361429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-0.23791726889449175</v>
      </c>
      <c r="J8">
        <f>(Table3[[#This Row],[HomeMargin]]-Table3[[#This Row],[HomeForecast]])^2</f>
        <v>7.6291010134712627</v>
      </c>
    </row>
    <row r="9" spans="1:10" x14ac:dyDescent="0.2">
      <c r="A9" s="4" t="s">
        <v>23</v>
      </c>
      <c r="B9">
        <v>0.13483877693289487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0.68720165402524891</v>
      </c>
      <c r="J9">
        <f>(Table3[[#This Row],[HomeMargin]]-Table3[[#This Row],[HomeForecast]])^2</f>
        <v>2.846649421345536</v>
      </c>
    </row>
    <row r="10" spans="1:10" x14ac:dyDescent="0.2">
      <c r="A10" s="4" t="s">
        <v>16</v>
      </c>
      <c r="B10">
        <v>-0.54997285633810766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0.11178489757461384</v>
      </c>
      <c r="J10">
        <f>(Table3[[#This Row],[HomeMargin]]-Table3[[#This Row],[HomeForecast]])^2</f>
        <v>8.3417864778780846</v>
      </c>
    </row>
    <row r="11" spans="1:10" x14ac:dyDescent="0.2">
      <c r="A11" s="4" t="s">
        <v>25</v>
      </c>
      <c r="B11">
        <v>0.33829893848778331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0.42612000135095773</v>
      </c>
      <c r="J11">
        <f>(Table3[[#This Row],[HomeMargin]]-Table3[[#This Row],[HomeForecast]])^2</f>
        <v>2.0338182582532554</v>
      </c>
    </row>
    <row r="12" spans="1:10" x14ac:dyDescent="0.2">
      <c r="A12" s="4" t="s">
        <v>10</v>
      </c>
      <c r="B12">
        <v>-0.43286905189715857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0.30970979074456023</v>
      </c>
      <c r="J12">
        <f>(Table3[[#This Row],[HomeMargin]]-Table3[[#This Row],[HomeForecast]])^2</f>
        <v>5.3347593174612804</v>
      </c>
    </row>
    <row r="13" spans="1:10" x14ac:dyDescent="0.2">
      <c r="A13" s="4" t="s">
        <v>12</v>
      </c>
      <c r="B13">
        <v>1.7070031799067014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0.74361123124090556</v>
      </c>
      <c r="J13">
        <f>(Table3[[#This Row],[HomeMargin]]-Table3[[#This Row],[HomeForecast]])^2</f>
        <v>6.5735200745804398E-2</v>
      </c>
    </row>
    <row r="14" spans="1:10" x14ac:dyDescent="0.2">
      <c r="A14" s="4" t="s">
        <v>28</v>
      </c>
      <c r="B14">
        <v>-0.29093210318822477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0.63508559299688594</v>
      </c>
      <c r="J14">
        <f>(Table3[[#This Row],[HomeMargin]]-Table3[[#This Row],[HomeForecast]])^2</f>
        <v>21.484018454407291</v>
      </c>
    </row>
    <row r="15" spans="1:10" x14ac:dyDescent="0.2">
      <c r="A15" s="4" t="s">
        <v>39</v>
      </c>
      <c r="B15">
        <v>0.5231745585052443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0.74980508760971198</v>
      </c>
      <c r="J15">
        <f>(Table3[[#This Row],[HomeMargin]]-Table3[[#This Row],[HomeForecast]])^2</f>
        <v>5.0633771437471369</v>
      </c>
    </row>
    <row r="16" spans="1:10" x14ac:dyDescent="0.2">
      <c r="A16" s="4" t="s">
        <v>26</v>
      </c>
      <c r="B16">
        <v>-4.6015351177631898E-2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1.5726495694606879</v>
      </c>
      <c r="J16">
        <f>(Table3[[#This Row],[HomeMargin]]-Table3[[#This Row],[HomeForecast]])^2</f>
        <v>0.32792752940351122</v>
      </c>
    </row>
    <row r="17" spans="1:10" x14ac:dyDescent="0.2">
      <c r="A17" s="4" t="s">
        <v>17</v>
      </c>
      <c r="B17">
        <v>3.922199270086173E-4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2.2358934713281861E-2</v>
      </c>
      <c r="J17">
        <f>(Table3[[#This Row],[HomeMargin]]-Table3[[#This Row],[HomeForecast]])^2</f>
        <v>16.179371399667765</v>
      </c>
    </row>
    <row r="18" spans="1:10" x14ac:dyDescent="0.2">
      <c r="A18" s="4" t="s">
        <v>11</v>
      </c>
      <c r="B18">
        <v>-7.4962464446554744E-2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0.13604578015492064</v>
      </c>
      <c r="J18">
        <f>(Table3[[#This Row],[HomeMargin]]-Table3[[#This Row],[HomeForecast]])^2</f>
        <v>0.74641689398811972</v>
      </c>
    </row>
    <row r="19" spans="1:10" x14ac:dyDescent="0.2">
      <c r="A19" s="4" t="s">
        <v>13</v>
      </c>
      <c r="B19">
        <v>-0.14985965438623808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-5.6046119510245573E-2</v>
      </c>
      <c r="J19">
        <f>(Table3[[#This Row],[HomeMargin]]-Table3[[#This Row],[HomeForecast]])^2</f>
        <v>1.1152334065326477</v>
      </c>
    </row>
    <row r="20" spans="1:10" x14ac:dyDescent="0.2">
      <c r="A20" s="4" t="s">
        <v>34</v>
      </c>
      <c r="B20">
        <v>0.32232840463649798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-0.10461274244810911</v>
      </c>
      <c r="J20">
        <f>(Table3[[#This Row],[HomeMargin]]-Table3[[#This Row],[HomeForecast]])^2</f>
        <v>1.2201693107787328</v>
      </c>
    </row>
    <row r="21" spans="1:10" x14ac:dyDescent="0.2">
      <c r="A21" s="4" t="s">
        <v>18</v>
      </c>
      <c r="B21">
        <v>6.8462291869218858E-2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0.22571421110689674</v>
      </c>
      <c r="J21">
        <f>(Table3[[#This Row],[HomeMargin]]-Table3[[#This Row],[HomeForecast]])^2</f>
        <v>3.1480900606680216</v>
      </c>
    </row>
    <row r="22" spans="1:10" x14ac:dyDescent="0.2">
      <c r="A22" s="4" t="s">
        <v>29</v>
      </c>
      <c r="B22">
        <v>-0.48381480045860298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-0.35927189426148676</v>
      </c>
      <c r="J22">
        <f>(Table3[[#This Row],[HomeMargin]]-Table3[[#This Row],[HomeForecast]])^2</f>
        <v>0.41053250548326342</v>
      </c>
    </row>
    <row r="23" spans="1:10" x14ac:dyDescent="0.2">
      <c r="A23" s="4" t="s">
        <v>24</v>
      </c>
      <c r="B23">
        <v>-0.27466957136179609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-1.1658888536536622</v>
      </c>
      <c r="J23">
        <f>(Table3[[#This Row],[HomeMargin]]-Table3[[#This Row],[HomeForecast]])^2</f>
        <v>14.700408282537229</v>
      </c>
    </row>
    <row r="24" spans="1:10" x14ac:dyDescent="0.2">
      <c r="A24" s="4" t="s">
        <v>30</v>
      </c>
      <c r="B24">
        <v>0.25279292855900759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1.195219643226854</v>
      </c>
      <c r="J24">
        <f>(Table3[[#This Row],[HomeMargin]]-Table3[[#This Row],[HomeForecast]])^2</f>
        <v>4.818989282009035</v>
      </c>
    </row>
    <row r="25" spans="1:10" x14ac:dyDescent="0.2">
      <c r="A25" s="4" t="s">
        <v>15</v>
      </c>
      <c r="B25">
        <v>-0.36341023830385849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-0.18573559646782167</v>
      </c>
      <c r="J25">
        <f>(Table3[[#This Row],[HomeMargin]]-Table3[[#This Row],[HomeForecast]])^2</f>
        <v>17.520382483537833</v>
      </c>
    </row>
    <row r="26" spans="1:10" x14ac:dyDescent="0.2">
      <c r="A26" s="4" t="s">
        <v>36</v>
      </c>
      <c r="B26">
        <v>-7.2312572939580336E-2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-0.55449895463799104</v>
      </c>
      <c r="J26">
        <f>(Table3[[#This Row],[HomeMargin]]-Table3[[#This Row],[HomeForecast]])^2</f>
        <v>0.19847118141864276</v>
      </c>
    </row>
    <row r="27" spans="1:10" x14ac:dyDescent="0.2">
      <c r="A27" s="4" t="s">
        <v>27</v>
      </c>
      <c r="B27">
        <v>-7.417166684134277E-2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0.17590340241085206</v>
      </c>
      <c r="J27">
        <f>(Table3[[#This Row],[HomeMargin]]-Table3[[#This Row],[HomeForecast]])^2</f>
        <v>3.3273283973363057</v>
      </c>
    </row>
    <row r="28" spans="1:10" x14ac:dyDescent="0.2">
      <c r="A28" s="4" t="s">
        <v>14</v>
      </c>
      <c r="B28">
        <v>1.1343608350765873E-2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0.54930718308925874</v>
      </c>
      <c r="J28">
        <f>(Table3[[#This Row],[HomeMargin]]-Table3[[#This Row],[HomeForecast]])^2</f>
        <v>0.20312401521493895</v>
      </c>
    </row>
    <row r="29" spans="1:10" x14ac:dyDescent="0.2">
      <c r="A29" s="4" t="s">
        <v>33</v>
      </c>
      <c r="B29">
        <v>-0.3566847028170323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0.56726074819932182</v>
      </c>
      <c r="J29">
        <f>(Table3[[#This Row],[HomeMargin]]-Table3[[#This Row],[HomeForecast]])^2</f>
        <v>6.5908277492449407</v>
      </c>
    </row>
    <row r="30" spans="1:10" x14ac:dyDescent="0.2">
      <c r="A30" s="4" t="s">
        <v>32</v>
      </c>
      <c r="B30">
        <v>-0.21579108793246188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-0.36449476600624481</v>
      </c>
      <c r="J30">
        <f>(Table3[[#This Row],[HomeMargin]]-Table3[[#This Row],[HomeForecast]])^2</f>
        <v>0.40386690243345763</v>
      </c>
    </row>
    <row r="31" spans="1:10" x14ac:dyDescent="0.2">
      <c r="A31" s="4" t="s">
        <v>35</v>
      </c>
      <c r="B31">
        <v>-0.9803970267772969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1.3206651991615896</v>
      </c>
      <c r="J31">
        <f>(Table3[[#This Row],[HomeMargin]]-Table3[[#This Row],[HomeForecast]])^2</f>
        <v>5.3854869665996992</v>
      </c>
    </row>
    <row r="32" spans="1:10" x14ac:dyDescent="0.2">
      <c r="A32" s="4" t="s">
        <v>37</v>
      </c>
      <c r="B32">
        <v>0.98607049252714107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4.7410614898800628E-2</v>
      </c>
      <c r="J32">
        <f>(Table3[[#This Row],[HomeMargin]]-Table3[[#This Row],[HomeForecast]])^2</f>
        <v>8.7177840770122792</v>
      </c>
    </row>
    <row r="33" spans="1:10" x14ac:dyDescent="0.2">
      <c r="A33" s="4" t="s">
        <v>19</v>
      </c>
      <c r="B33">
        <v>4.3410611683700091E-2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1.0097738282532032</v>
      </c>
      <c r="J33">
        <f>(Table3[[#This Row],[HomeMargin]]-Table3[[#This Row],[HomeForecast]])^2</f>
        <v>0.98054787121231679</v>
      </c>
    </row>
    <row r="34" spans="1:10" x14ac:dyDescent="0.2">
      <c r="A34" t="s">
        <v>55</v>
      </c>
      <c r="B34">
        <v>0.27119018820614604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0.13418668625315822</v>
      </c>
      <c r="J34">
        <f>(Table3[[#This Row],[HomeMargin]]-Table3[[#This Row],[HomeForecast]])^2</f>
        <v>14.944512576742339</v>
      </c>
    </row>
    <row r="35" spans="1:10" x14ac:dyDescent="0.2">
      <c r="A35" s="4" t="s">
        <v>38</v>
      </c>
      <c r="B35">
        <v>-0.87254503056606192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0.75009708558485544</v>
      </c>
      <c r="J35">
        <f>(Table3[[#This Row],[HomeMargin]]-Table3[[#This Row],[HomeForecast]])^2</f>
        <v>14.063228151312027</v>
      </c>
    </row>
    <row r="36" spans="1:10" x14ac:dyDescent="0.2">
      <c r="A36" s="4" t="s">
        <v>20</v>
      </c>
      <c r="B36">
        <v>0.1394237692045871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-0.61816841090461638</v>
      </c>
      <c r="J36">
        <f>(Table3[[#This Row],[HomeMargin]]-Table3[[#This Row],[HomeForecast]])^2</f>
        <v>0.14579536243110588</v>
      </c>
    </row>
    <row r="37" spans="1:10" x14ac:dyDescent="0.2">
      <c r="A37" s="4" t="s">
        <v>22</v>
      </c>
      <c r="B37">
        <v>0.34677881456804194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4.2850691751098235E-2</v>
      </c>
      <c r="J37">
        <f>(Table3[[#This Row],[HomeMargin]]-Table3[[#This Row],[HomeForecast]])^2</f>
        <v>4.1732389487879402</v>
      </c>
    </row>
    <row r="38" spans="1:10" x14ac:dyDescent="0.2">
      <c r="A38" s="4" t="s">
        <v>40</v>
      </c>
      <c r="B38">
        <v>-0.16816097389287935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0.51159042441475699</v>
      </c>
      <c r="J38">
        <f>(Table3[[#This Row],[HomeMargin]]-Table3[[#This Row],[HomeForecast]])^2</f>
        <v>30.377629006500438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-0.21837827937691637</v>
      </c>
      <c r="J39">
        <f>(Table3[[#This Row],[HomeMargin]]-Table3[[#This Row],[HomeForecast]])^2</f>
        <v>1.4844456316574555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8.4820596222326322E-2</v>
      </c>
      <c r="J40">
        <f>(Table3[[#This Row],[HomeMargin]]-Table3[[#This Row],[HomeForecast]])^2</f>
        <v>1.1768357259881634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1.3975766416490698</v>
      </c>
      <c r="J41">
        <f>(Table3[[#This Row],[HomeMargin]]-Table3[[#This Row],[HomeForecast]])^2</f>
        <v>11.543527035879372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0.11853525825349134</v>
      </c>
      <c r="J42">
        <f>(Table3[[#This Row],[HomeMargin]]-Table3[[#This Row],[HomeForecast]])^2</f>
        <v>0.7769800909422393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-0.57335247511176779</v>
      </c>
      <c r="J43">
        <f>(Table3[[#This Row],[HomeMargin]]-Table3[[#This Row],[HomeForecast]])^2</f>
        <v>0.18202811049325474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-0.67532831318339415</v>
      </c>
      <c r="J44">
        <f>(Table3[[#This Row],[HomeMargin]]-Table3[[#This Row],[HomeForecast]])^2</f>
        <v>0.1054117042203402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-1.4353278252136739</v>
      </c>
      <c r="J45">
        <f>(Table3[[#This Row],[HomeMargin]]-Table3[[#This Row],[HomeForecast]])^2</f>
        <v>0.31885466497791926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0.12057404593370394</v>
      </c>
      <c r="J46">
        <f>(Table3[[#This Row],[HomeMargin]]-Table3[[#This Row],[HomeForecast]])^2</f>
        <v>1.2556861924202307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-0.56722266234317198</v>
      </c>
      <c r="J47">
        <f>(Table3[[#This Row],[HomeMargin]]-Table3[[#This Row],[HomeForecast]])^2</f>
        <v>6.5906321980483638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0.60902463678286867</v>
      </c>
      <c r="J48">
        <f>(Table3[[#This Row],[HomeMargin]]-Table3[[#This Row],[HomeForecast]])^2</f>
        <v>0.15286173464276778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0.55779048021201949</v>
      </c>
      <c r="J49">
        <f>(Table3[[#This Row],[HomeMargin]]-Table3[[#This Row],[HomeForecast]])^2</f>
        <v>12.65787310108727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0.54833880527915524</v>
      </c>
      <c r="J50">
        <f>(Table3[[#This Row],[HomeMargin]]-Table3[[#This Row],[HomeForecast]])^2</f>
        <v>12.590708277049902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0.13762737536534458</v>
      </c>
      <c r="J51">
        <f>(Table3[[#This Row],[HomeMargin]]-Table3[[#This Row],[HomeForecast]])^2</f>
        <v>8.1931770422578847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0.22626254062146459</v>
      </c>
      <c r="J52">
        <f>(Table3[[#This Row],[HomeMargin]]-Table3[[#This Row],[HomeForecast]])^2</f>
        <v>1.5037198185314093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0.24468857397136756</v>
      </c>
      <c r="J53">
        <f>(Table3[[#This Row],[HomeMargin]]-Table3[[#This Row],[HomeForecast]])^2</f>
        <v>10.528003942060346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-0.17917575186985926</v>
      </c>
      <c r="J54">
        <f>(Table3[[#This Row],[HomeMargin]]-Table3[[#This Row],[HomeForecast]])^2</f>
        <v>1.3904554537978482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-0.55256004778256218</v>
      </c>
      <c r="J55">
        <f>(Table3[[#This Row],[HomeMargin]]-Table3[[#This Row],[HomeForecast]])^2</f>
        <v>2.0950824152752192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0.33768273162887891</v>
      </c>
      <c r="J56">
        <f>(Table3[[#This Row],[HomeMargin]]-Table3[[#This Row],[HomeForecast]])^2</f>
        <v>7.0879332374670687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0.42108995756181333</v>
      </c>
      <c r="J57">
        <f>(Table3[[#This Row],[HomeMargin]]-Table3[[#This Row],[HomeForecast]])^2</f>
        <v>0.33513683723578308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-0.22696588047073449</v>
      </c>
      <c r="J58">
        <f>(Table3[[#This Row],[HomeMargin]]-Table3[[#This Row],[HomeForecast]])^2</f>
        <v>3.1436499890149179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-0.55814706354468302</v>
      </c>
      <c r="J59">
        <f>(Table3[[#This Row],[HomeMargin]]-Table3[[#This Row],[HomeForecast]])^2</f>
        <v>11.846351636186087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0.6640619899024357</v>
      </c>
      <c r="J60">
        <f>(Table3[[#This Row],[HomeMargin]]-Table3[[#This Row],[HomeForecast]])^2</f>
        <v>5.4566063870185681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-0.50245510019896655</v>
      </c>
      <c r="J61">
        <f>(Table3[[#This Row],[HomeMargin]]-Table3[[#This Row],[HomeForecast]])^2</f>
        <v>2.2573713281138867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0.34398792763260783</v>
      </c>
      <c r="J62">
        <f>(Table3[[#This Row],[HomeMargin]]-Table3[[#This Row],[HomeForecast]])^2</f>
        <v>13.366424273296113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0.16578369102905546</v>
      </c>
      <c r="J63">
        <f>(Table3[[#This Row],[HomeMargin]]-Table3[[#This Row],[HomeForecast]])^2</f>
        <v>8.0327820860368835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-0.41069139712000574</v>
      </c>
      <c r="J64">
        <f>(Table3[[#This Row],[HomeMargin]]-Table3[[#This Row],[HomeForecast]])^2</f>
        <v>21.06175345246832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0.95799962230438629</v>
      </c>
      <c r="J65">
        <f>(Table3[[#This Row],[HomeMargin]]-Table3[[#This Row],[HomeForecast]])^2</f>
        <v>1.0857647871178016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-0.50613108200687673</v>
      </c>
      <c r="J66">
        <f>(Table3[[#This Row],[HomeMargin]]-Table3[[#This Row],[HomeForecast]])^2</f>
        <v>6.2193821801321914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-1.8610987053347936</v>
      </c>
      <c r="J67">
        <f>(Table3[[#This Row],[HomeMargin]]-Table3[[#This Row],[HomeForecast]])^2</f>
        <v>1.2970961589900833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1.5325561668314389</v>
      </c>
      <c r="J68">
        <f>(Table3[[#This Row],[HomeMargin]]-Table3[[#This Row],[HomeForecast]])^2</f>
        <v>12.478953071818829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-2.436668497687134E-2</v>
      </c>
      <c r="J69">
        <f>(Table3[[#This Row],[HomeMargin]]-Table3[[#This Row],[HomeForecast]])^2</f>
        <v>3.9031269954292767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0.68911367008795443</v>
      </c>
      <c r="J70">
        <f>(Table3[[#This Row],[HomeMargin]]-Table3[[#This Row],[HomeForecast]])^2</f>
        <v>9.6650310126181235E-2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-6.287052915510874E-2</v>
      </c>
      <c r="J71">
        <f>(Table3[[#This Row],[HomeMargin]]-Table3[[#This Row],[HomeForecast]])^2</f>
        <v>4.2554348200566787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0.38923728639213157</v>
      </c>
      <c r="J72">
        <f>(Table3[[#This Row],[HomeMargin]]-Table3[[#This Row],[HomeForecast]])^2</f>
        <v>2.5945565195493838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0.28031509275301414</v>
      </c>
      <c r="J73">
        <f>(Table3[[#This Row],[HomeMargin]]-Table3[[#This Row],[HomeForecast]])^2</f>
        <v>0.51794636571910269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0.23082588481166919</v>
      </c>
      <c r="J74">
        <f>(Table3[[#This Row],[HomeMargin]]-Table3[[#This Row],[HomeForecast]])^2</f>
        <v>10.438235897969104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0.54365742774769121</v>
      </c>
      <c r="J75">
        <f>(Table3[[#This Row],[HomeMargin]]-Table3[[#This Row],[HomeForecast]])^2</f>
        <v>0.20824854324985367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0.10235474538110539</v>
      </c>
      <c r="J76">
        <f>(Table3[[#This Row],[HomeMargin]]-Table3[[#This Row],[HomeForecast]])^2</f>
        <v>0.80576700313982019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0.57651255642903598</v>
      </c>
      <c r="J77">
        <f>(Table3[[#This Row],[HomeMargin]]-Table3[[#This Row],[HomeForecast]])^2</f>
        <v>2.4853918405784139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-0.89524926594464038</v>
      </c>
      <c r="J78">
        <f>(Table3[[#This Row],[HomeMargin]]-Table3[[#This Row],[HomeForecast]])^2</f>
        <v>3.5919697800636978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0.76471146878331098</v>
      </c>
      <c r="J79">
        <f>(Table3[[#This Row],[HomeMargin]]-Table3[[#This Row],[HomeForecast]])^2</f>
        <v>4.9965148177888628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0.16128698769167654</v>
      </c>
      <c r="J80">
        <f>(Table3[[#This Row],[HomeMargin]]-Table3[[#This Row],[HomeForecast]])^2</f>
        <v>14.735717590865242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0.34663781913958225</v>
      </c>
      <c r="J81">
        <f>(Table3[[#This Row],[HomeMargin]]-Table3[[#This Row],[HomeForecast]])^2</f>
        <v>7.040330862820352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-1.1401660179552333</v>
      </c>
      <c r="J82">
        <f>(Table3[[#This Row],[HomeMargin]]-Table3[[#This Row],[HomeForecast]])^2</f>
        <v>4.5803105844103609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1.6699341560832197</v>
      </c>
      <c r="J83">
        <f>(Table3[[#This Row],[HomeMargin]]-Table3[[#This Row],[HomeForecast]])^2</f>
        <v>1.7690751491540568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-0.35132201511388877</v>
      </c>
      <c r="J84">
        <f>(Table3[[#This Row],[HomeMargin]]-Table3[[#This Row],[HomeForecast]])^2</f>
        <v>0.42078312807590601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0.56870910793320995</v>
      </c>
      <c r="J85">
        <f>(Table3[[#This Row],[HomeMargin]]-Table3[[#This Row],[HomeForecast]])^2</f>
        <v>2.4608482653126078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-0.13822521352867209</v>
      </c>
      <c r="J86">
        <f>(Table3[[#This Row],[HomeMargin]]-Table3[[#This Row],[HomeForecast]])^2</f>
        <v>4.5720070637697345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-0.18826892373845533</v>
      </c>
      <c r="J87">
        <f>(Table3[[#This Row],[HomeMargin]]-Table3[[#This Row],[HomeForecast]])^2</f>
        <v>0.65890734016872554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-0.25966349371770814</v>
      </c>
      <c r="J88">
        <f>(Table3[[#This Row],[HomeMargin]]-Table3[[#This Row],[HomeForecast]])^2</f>
        <v>1.5867521174051029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-0.23119173340766555</v>
      </c>
      <c r="J89">
        <f>(Table3[[#This Row],[HomeMargin]]-Table3[[#This Row],[HomeForecast]])^2</f>
        <v>7.6662992171500477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-1.3667350075224087</v>
      </c>
      <c r="J90">
        <f>(Table3[[#This Row],[HomeMargin]]-Table3[[#This Row],[HomeForecast]])^2</f>
        <v>11.334904610876913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0.3960382773762946</v>
      </c>
      <c r="J91">
        <f>(Table3[[#This Row],[HomeMargin]]-Table3[[#This Row],[HomeForecast]])^2</f>
        <v>1.9489228718997724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0.82623320330282735</v>
      </c>
      <c r="J92">
        <f>(Table3[[#This Row],[HomeMargin]]-Table3[[#This Row],[HomeForecast]])^2</f>
        <v>17.420329273211777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0.45249040432585624</v>
      </c>
      <c r="J93">
        <f>(Table3[[#This Row],[HomeMargin]]-Table3[[#This Row],[HomeForecast]])^2</f>
        <v>6.4898051400518382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8.6362471422000708E-3</v>
      </c>
      <c r="J94">
        <f>(Table3[[#This Row],[HomeMargin]]-Table3[[#This Row],[HomeForecast]])^2</f>
        <v>0.98280209048030087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9.0429006655492097E-2</v>
      </c>
      <c r="J95">
        <f>(Table3[[#This Row],[HomeMargin]]-Table3[[#This Row],[HomeForecast]])^2</f>
        <v>3.6464613786227309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0.23412116438266434</v>
      </c>
      <c r="J96">
        <f>(Table3[[#This Row],[HomeMargin]]-Table3[[#This Row],[HomeForecast]])^2</f>
        <v>0.58657039084656581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1.3561604228942366</v>
      </c>
      <c r="J97">
        <f>(Table3[[#This Row],[HomeMargin]]-Table3[[#This Row],[HomeForecast]])^2</f>
        <v>5.5514919384131476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-0.24497530468509573</v>
      </c>
      <c r="J98">
        <f>(Table3[[#This Row],[HomeMargin]]-Table3[[#This Row],[HomeForecast]])^2</f>
        <v>0.57006229053536395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7.0460092696456589E-2</v>
      </c>
      <c r="J99">
        <f>(Table3[[#This Row],[HomeMargin]]-Table3[[#This Row],[HomeForecast]])^2</f>
        <v>3.7231242538769673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-0.54890206518022389</v>
      </c>
      <c r="J100">
        <f>(Table3[[#This Row],[HomeMargin]]-Table3[[#This Row],[HomeForecast]])^2</f>
        <v>2.1056852164382192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0.27845599885125172</v>
      </c>
      <c r="J101">
        <f>(Table3[[#This Row],[HomeMargin]]-Table3[[#This Row],[HomeForecast]])^2</f>
        <v>7.4068017501887384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-6.2038591523063624E-2</v>
      </c>
      <c r="J102">
        <f>(Table3[[#This Row],[HomeMargin]]-Table3[[#This Row],[HomeForecast]])^2</f>
        <v>9.3760803359765479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0.38570464379030167</v>
      </c>
      <c r="J103">
        <f>(Table3[[#This Row],[HomeMargin]]-Table3[[#This Row],[HomeForecast]])^2</f>
        <v>1.9201773598220064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0.95094323945360171</v>
      </c>
      <c r="J104">
        <f>(Table3[[#This Row],[HomeMargin]]-Table3[[#This Row],[HomeForecast]])^2</f>
        <v>24.511838960291321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-4.2309501419244333E-2</v>
      </c>
      <c r="J105">
        <f>(Table3[[#This Row],[HomeMargin]]-Table3[[#This Row],[HomeForecast]])^2</f>
        <v>8.7479330853948802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0.74631420913617252</v>
      </c>
      <c r="J106">
        <f>(Table3[[#This Row],[HomeMargin]]-Table3[[#This Row],[HomeForecast]])^2</f>
        <v>6.4356480486205611E-2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6.4131784893543653E-2</v>
      </c>
      <c r="J107">
        <f>(Table3[[#This Row],[HomeMargin]]-Table3[[#This Row],[HomeForecast]])^2</f>
        <v>1.132376455620719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1.0207252166769605</v>
      </c>
      <c r="J108">
        <f>(Table3[[#This Row],[HomeMargin]]-Table3[[#This Row],[HomeForecast]])^2</f>
        <v>8.8760782345445435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-0.69370079463092627</v>
      </c>
      <c r="J109">
        <f>(Table3[[#This Row],[HomeMargin]]-Table3[[#This Row],[HomeForecast]])^2</f>
        <v>9.3819203209726004E-2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0.45491676080562882</v>
      </c>
      <c r="J110">
        <f>(Table3[[#This Row],[HomeMargin]]-Table3[[#This Row],[HomeForecast]])^2</f>
        <v>11.936449824095661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-1.2989764139404227</v>
      </c>
      <c r="J111">
        <f>(Table3[[#This Row],[HomeMargin]]-Table3[[#This Row],[HomeForecast]])^2</f>
        <v>5.2852925518543667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0.69940648026063634</v>
      </c>
      <c r="J112">
        <f>(Table3[[#This Row],[HomeMargin]]-Table3[[#This Row],[HomeForecast]])^2</f>
        <v>5.2927305430667539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0.3176907058706594</v>
      </c>
      <c r="J113">
        <f>(Table3[[#This Row],[HomeMargin]]-Table3[[#This Row],[HomeForecast]])^2</f>
        <v>2.8301645611139596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-0.48159857044719395</v>
      </c>
      <c r="J114">
        <f>(Table3[[#This Row],[HomeMargin]]-Table3[[#This Row],[HomeForecast]])^2</f>
        <v>0.268740042162393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-0.46016139823816149</v>
      </c>
      <c r="J115">
        <f>(Table3[[#This Row],[HomeMargin]]-Table3[[#This Row],[HomeForecast]])^2</f>
        <v>11.972716901857469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0.61541090062297288</v>
      </c>
      <c r="J116">
        <f>(Table3[[#This Row],[HomeMargin]]-Table3[[#This Row],[HomeForecast]])^2</f>
        <v>6.8403741790974699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1.5055408191790507</v>
      </c>
      <c r="J117">
        <f>(Table3[[#This Row],[HomeMargin]]-Table3[[#This Row],[HomeForecast]])^2</f>
        <v>6.2777347965724282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0.80987079065161494</v>
      </c>
      <c r="J118">
        <f>(Table3[[#This Row],[HomeMargin]]-Table3[[#This Row],[HomeForecast]])^2</f>
        <v>3.2756322788539016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6.876650581792236E-2</v>
      </c>
      <c r="J119">
        <f>(Table3[[#This Row],[HomeMargin]]-Table3[[#This Row],[HomeForecast]])^2</f>
        <v>0.86719582068656176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5.0530504962811994E-2</v>
      </c>
      <c r="J120">
        <f>(Table3[[#This Row],[HomeMargin]]-Table3[[#This Row],[HomeForecast]])^2</f>
        <v>4.2046753517830453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0.52556680786759158</v>
      </c>
      <c r="J121">
        <f>(Table3[[#This Row],[HomeMargin]]-Table3[[#This Row],[HomeForecast]])^2</f>
        <v>0.22508685379694676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0.43564485749677206</v>
      </c>
      <c r="J122">
        <f>(Table3[[#This Row],[HomeMargin]]-Table3[[#This Row],[HomeForecast]])^2</f>
        <v>20.833337866895661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0.13011104227330642</v>
      </c>
      <c r="J123">
        <f>(Table3[[#This Row],[HomeMargin]]-Table3[[#This Row],[HomeForecast]])^2</f>
        <v>1.277150967868059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0.13869567166189506</v>
      </c>
      <c r="J124">
        <f>(Table3[[#This Row],[HomeMargin]]-Table3[[#This Row],[HomeForecast]])^2</f>
        <v>0.74184514601395413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-1.1147506372233105</v>
      </c>
      <c r="J125">
        <f>(Table3[[#This Row],[HomeMargin]]-Table3[[#This Row],[HomeForecast]])^2</f>
        <v>3.554165159849914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1.5557761221844322</v>
      </c>
      <c r="J126">
        <f>(Table3[[#This Row],[HomeMargin]]-Table3[[#This Row],[HomeForecast]])^2</f>
        <v>6.5319915867280933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0.18446669179971514</v>
      </c>
      <c r="J127">
        <f>(Table3[[#This Row],[HomeMargin]]-Table3[[#This Row],[HomeForecast]])^2</f>
        <v>10.140828111181824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0.22826474300932742</v>
      </c>
      <c r="J128">
        <f>(Table3[[#This Row],[HomeMargin]]-Table3[[#This Row],[HomeForecast]])^2</f>
        <v>3.1390458208638048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-0.50087433999613407</v>
      </c>
      <c r="J129">
        <f>(Table3[[#This Row],[HomeMargin]]-Table3[[#This Row],[HomeForecast]])^2</f>
        <v>12.243880384497491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0.21885170921536881</v>
      </c>
      <c r="J130">
        <f>(Table3[[#This Row],[HomeMargin]]-Table3[[#This Row],[HomeForecast]])^2</f>
        <v>3.1724892337650132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0.51864846020536093</v>
      </c>
      <c r="J131">
        <f>(Table3[[#This Row],[HomeMargin]]-Table3[[#This Row],[HomeForecast]])^2</f>
        <v>2.1944023844519482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-1.3962610005629545</v>
      </c>
      <c r="J132">
        <f>(Table3[[#This Row],[HomeMargin]]-Table3[[#This Row],[HomeForecast]])^2</f>
        <v>5.7420667828189718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0.32171219777759358</v>
      </c>
      <c r="J133">
        <f>(Table3[[#This Row],[HomeMargin]]-Table3[[#This Row],[HomeForecast]])^2</f>
        <v>0.46007434264370223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1.0712182533597976</v>
      </c>
      <c r="J134">
        <f>(Table3[[#This Row],[HomeMargin]]-Table3[[#This Row],[HomeForecast]])^2</f>
        <v>0.8626355328920251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-7.7549655891009234E-2</v>
      </c>
      <c r="J135">
        <f>(Table3[[#This Row],[HomeMargin]]-Table3[[#This Row],[HomeForecast]])^2</f>
        <v>9.4713118844748703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0.18797479419048457</v>
      </c>
      <c r="J136">
        <f>(Table3[[#This Row],[HomeMargin]]-Table3[[#This Row],[HomeForecast]])^2</f>
        <v>17.539132876774833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-0.19711856831223226</v>
      </c>
      <c r="J137">
        <f>(Table3[[#This Row],[HomeMargin]]-Table3[[#This Row],[HomeForecast]])^2</f>
        <v>1.4330928665979288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-0.19012801764021775</v>
      </c>
      <c r="J138">
        <f>(Table3[[#This Row],[HomeMargin]]-Table3[[#This Row],[HomeForecast]])^2</f>
        <v>1.4164046983722345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0.43911228929912327</v>
      </c>
      <c r="J139">
        <f>(Table3[[#This Row],[HomeMargin]]-Table3[[#This Row],[HomeForecast]])^2</f>
        <v>2.0710441812117635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-7.9346730099337889E-2</v>
      </c>
      <c r="J140">
        <f>(Table3[[#This Row],[HomeMargin]]-Table3[[#This Row],[HomeForecast]])^2</f>
        <v>1.1649893637761328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1.4275757915664997</v>
      </c>
      <c r="J141">
        <f>(Table3[[#This Row],[HomeMargin]]-Table3[[#This Row],[HomeForecast]])^2</f>
        <v>0.1828210575337188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4.5408412510937829E-2</v>
      </c>
      <c r="J142">
        <f>(Table3[[#This Row],[HomeMargin]]-Table3[[#This Row],[HomeForecast]])^2</f>
        <v>0.91124509890488781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-0.80417074467514815</v>
      </c>
      <c r="J143">
        <f>(Table3[[#This Row],[HomeMargin]]-Table3[[#This Row],[HomeForecast]])^2</f>
        <v>3.8349097241086018E-2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0.5559279652677549</v>
      </c>
      <c r="J144">
        <f>(Table3[[#This Row],[HomeMargin]]-Table3[[#This Row],[HomeForecast]])^2</f>
        <v>42.980191485779805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-4.972604027411659E-2</v>
      </c>
      <c r="J145">
        <f>(Table3[[#This Row],[HomeMargin]]-Table3[[#This Row],[HomeForecast]])^2</f>
        <v>16.400281001274273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-0.14617281975078786</v>
      </c>
      <c r="J146">
        <f>(Table3[[#This Row],[HomeMargin]]-Table3[[#This Row],[HomeForecast]])^2</f>
        <v>3.4366752142307448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0.81584968521366297</v>
      </c>
      <c r="J147">
        <f>(Table3[[#This Row],[HomeMargin]]-Table3[[#This Row],[HomeForecast]])^2</f>
        <v>3.297310079290559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-1.8448361735083649</v>
      </c>
      <c r="J148">
        <f>(Table3[[#This Row],[HomeMargin]]-Table3[[#This Row],[HomeForecast]])^2</f>
        <v>8.093092854101716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-0.87015278120371464</v>
      </c>
      <c r="J149">
        <f>(Table3[[#This Row],[HomeMargin]]-Table3[[#This Row],[HomeForecast]])^2</f>
        <v>1.68603002291304E-2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0.98348330108268656</v>
      </c>
      <c r="J150">
        <f>(Table3[[#This Row],[HomeMargin]]-Table3[[#This Row],[HomeForecast]])^2</f>
        <v>2.7280134312518308E-4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-0.736100672732938</v>
      </c>
      <c r="J151">
        <f>(Table3[[#This Row],[HomeMargin]]-Table3[[#This Row],[HomeForecast]])^2</f>
        <v>3.0140455458637598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-0.30251458433889278</v>
      </c>
      <c r="J152">
        <f>(Table3[[#This Row],[HomeMargin]]-Table3[[#This Row],[HomeForecast]])^2</f>
        <v>0.48648590505994754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-0.10938159676306201</v>
      </c>
      <c r="J153">
        <f>(Table3[[#This Row],[HomeMargin]]-Table3[[#This Row],[HomeForecast]])^2</f>
        <v>26.105780301341056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1.1285772128881955</v>
      </c>
      <c r="J154">
        <f>(Table3[[#This Row],[HomeMargin]]-Table3[[#This Row],[HomeForecast]])^2</f>
        <v>3.5022232481213145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5.7949250784739337E-2</v>
      </c>
      <c r="J155">
        <f>(Table3[[#This Row],[HomeMargin]]-Table3[[#This Row],[HomeForecast]])^2</f>
        <v>8.6556626109580765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0.56260745788125233</v>
      </c>
      <c r="J156">
        <f>(Table3[[#This Row],[HomeMargin]]-Table3[[#This Row],[HomeForecast]])^2</f>
        <v>2.4417420674261097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0.33571174704332885</v>
      </c>
      <c r="J157">
        <f>(Table3[[#This Row],[HomeMargin]]-Table3[[#This Row],[HomeForecast]])^2</f>
        <v>11.126972859362857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-0.22371990119744561</v>
      </c>
      <c r="J158">
        <f>(Table3[[#This Row],[HomeMargin]]-Table3[[#This Row],[HomeForecast]])^2</f>
        <v>17.839809803771359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2.1185093290286301</v>
      </c>
      <c r="J159">
        <f>(Table3[[#This Row],[HomeMargin]]-Table3[[#This Row],[HomeForecast]])^2</f>
        <v>3.5400071449522956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0.31323232169733495</v>
      </c>
      <c r="J160">
        <f>(Table3[[#This Row],[HomeMargin]]-Table3[[#This Row],[HomeForecast]])^2</f>
        <v>0.47164984396123283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-0.13396139051900482</v>
      </c>
      <c r="J161">
        <f>(Table3[[#This Row],[HomeMargin]]-Table3[[#This Row],[HomeForecast]])^2</f>
        <v>9.8217139972638154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0.3665428345928039</v>
      </c>
      <c r="J162">
        <f>(Table3[[#This Row],[HomeMargin]]-Table3[[#This Row],[HomeForecast]])^2</f>
        <v>1.8674393187769354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0.62732595628950993</v>
      </c>
      <c r="J163">
        <f>(Table3[[#This Row],[HomeMargin]]-Table3[[#This Row],[HomeForecast]])^2</f>
        <v>2.6481897680135682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-1.3330487152256114</v>
      </c>
      <c r="J164">
        <f>(Table3[[#This Row],[HomeMargin]]-Table3[[#This Row],[HomeForecast]])^2</f>
        <v>2.7787265858109849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5.1321302568023967E-2</v>
      </c>
      <c r="J165">
        <f>(Table3[[#This Row],[HomeMargin]]-Table3[[#This Row],[HomeForecast]])^2</f>
        <v>0.89999127096123077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-0.14741680204154811</v>
      </c>
      <c r="J166">
        <f>(Table3[[#This Row],[HomeMargin]]-Table3[[#This Row],[HomeForecast]])^2</f>
        <v>0.72689810944106081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-6.9988470670661607E-2</v>
      </c>
      <c r="J167">
        <f>(Table3[[#This Row],[HomeMargin]]-Table3[[#This Row],[HomeForecast]])^2</f>
        <v>0.86492144468549481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-0.79754509783953242</v>
      </c>
      <c r="J168">
        <f>(Table3[[#This Row],[HomeMargin]]-Table3[[#This Row],[HomeForecast]])^2</f>
        <v>4.8508075960506751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0.73022004578194033</v>
      </c>
      <c r="J169">
        <f>(Table3[[#This Row],[HomeMargin]]-Table3[[#This Row],[HomeForecast]])^2</f>
        <v>7.278122369789837E-2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-0.37229821450207085</v>
      </c>
      <c r="J170">
        <f>(Table3[[#This Row],[HomeMargin]]-Table3[[#This Row],[HomeForecast]])^2</f>
        <v>2.6494131025131469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-0.19750613711179224</v>
      </c>
      <c r="J171">
        <f>(Table3[[#This Row],[HomeMargin]]-Table3[[#This Row],[HomeForecast]])^2</f>
        <v>10.224045496867577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0.17590340241085206</v>
      </c>
      <c r="J172">
        <f>(Table3[[#This Row],[HomeMargin]]-Table3[[#This Row],[HomeForecast]])^2</f>
        <v>0.67913520215800993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0.22234258768890836</v>
      </c>
      <c r="J173">
        <f>(Table3[[#This Row],[HomeMargin]]-Table3[[#This Row],[HomeForecast]])^2</f>
        <v>14.270695524788932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0.50063903599099968</v>
      </c>
      <c r="J174">
        <f>(Table3[[#This Row],[HomeMargin]]-Table3[[#This Row],[HomeForecast]])^2</f>
        <v>2.2519175163399967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3.2992274551526431E-2</v>
      </c>
      <c r="J175">
        <f>(Table3[[#This Row],[HomeMargin]]-Table3[[#This Row],[HomeForecast]])^2</f>
        <v>1.0670730392831365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0.44782137404586475</v>
      </c>
      <c r="J176">
        <f>(Table3[[#This Row],[HomeMargin]]-Table3[[#This Row],[HomeForecast]])^2</f>
        <v>11.887472227327514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0.61449686115865998</v>
      </c>
      <c r="J177">
        <f>(Table3[[#This Row],[HomeMargin]]-Table3[[#This Row],[HomeForecast]])^2</f>
        <v>0.14861267005652548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0.54647971137739282</v>
      </c>
      <c r="J178">
        <f>(Table3[[#This Row],[HomeMargin]]-Table3[[#This Row],[HomeForecast]])^2</f>
        <v>6.0197618066827623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5.482144630489641E-2</v>
      </c>
      <c r="J179">
        <f>(Table3[[#This Row],[HomeMargin]]-Table3[[#This Row],[HomeForecast]])^2</f>
        <v>8.6740767131455812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2.8984581548897603E-2</v>
      </c>
      <c r="J180">
        <f>(Table3[[#This Row],[HomeMargin]]-Table3[[#This Row],[HomeForecast]])^2</f>
        <v>1.0588092690653599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0.59973251178202935</v>
      </c>
      <c r="J181">
        <f>(Table3[[#This Row],[HomeMargin]]-Table3[[#This Row],[HomeForecast]])^2</f>
        <v>0.16021406212432326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0.40154465576441184</v>
      </c>
      <c r="J182">
        <f>(Table3[[#This Row],[HomeMargin]]-Table3[[#This Row],[HomeForecast]])^2</f>
        <v>6.7519701759864885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-0.12181679234146151</v>
      </c>
      <c r="J183">
        <f>(Table3[[#This Row],[HomeMargin]]-Table3[[#This Row],[HomeForecast]])^2</f>
        <v>9.7457400849451332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-1.4307428329419816</v>
      </c>
      <c r="J184">
        <f>(Table3[[#This Row],[HomeMargin]]-Table3[[#This Row],[HomeForecast]])^2</f>
        <v>0.32405372224692069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0.23082246376916693</v>
      </c>
      <c r="J185">
        <f>(Table3[[#This Row],[HomeMargin]]-Table3[[#This Row],[HomeForecast]])^2</f>
        <v>4.9765688648571365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-2.755675914403638E-2</v>
      </c>
      <c r="J186">
        <f>(Table3[[#This Row],[HomeMargin]]-Table3[[#This Row],[HomeForecast]])^2</f>
        <v>1.0558728932625954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-7.5103459875014433E-2</v>
      </c>
      <c r="J187">
        <f>(Table3[[#This Row],[HomeMargin]]-Table3[[#This Row],[HomeForecast]])^2</f>
        <v>1.1558474494352267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0.82630150134920477</v>
      </c>
      <c r="J188">
        <f>(Table3[[#This Row],[HomeMargin]]-Table3[[#This Row],[HomeForecast]])^2</f>
        <v>3.0171168433540313E-2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0.57009784958429977</v>
      </c>
      <c r="J189">
        <f>(Table3[[#This Row],[HomeMargin]]-Table3[[#This Row],[HomeForecast]])^2</f>
        <v>0.18481585893204336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-0.46130044519166646</v>
      </c>
      <c r="J190">
        <f>(Table3[[#This Row],[HomeMargin]]-Table3[[#This Row],[HomeForecast]])^2</f>
        <v>2.1353989911173628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0.26164649473569063</v>
      </c>
      <c r="J191">
        <f>(Table3[[#This Row],[HomeMargin]]-Table3[[#This Row],[HomeForecast]])^2</f>
        <v>10.638337856621616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1.3317100129626924</v>
      </c>
      <c r="J192">
        <f>(Table3[[#This Row],[HomeMargin]]-Table3[[#This Row],[HomeForecast]])^2</f>
        <v>2.7831914808489397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0.27761144256893178</v>
      </c>
      <c r="J193">
        <f>(Table3[[#This Row],[HomeMargin]]-Table3[[#This Row],[HomeForecast]])^2</f>
        <v>0.52184522790733978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0.20299463363963732</v>
      </c>
      <c r="J194">
        <f>(Table3[[#This Row],[HomeMargin]]-Table3[[#This Row],[HomeForecast]])^2</f>
        <v>3.2292282867279414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1.9254299235089749E-2</v>
      </c>
      <c r="J195">
        <f>(Table3[[#This Row],[HomeMargin]]-Table3[[#This Row],[HomeForecast]])^2</f>
        <v>9.1158965234495728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0.2844557281315292</v>
      </c>
      <c r="J196">
        <f>(Table3[[#This Row],[HomeMargin]]-Table3[[#This Row],[HomeForecast]])^2</f>
        <v>1.6498265175298967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-1.9268513049636011</v>
      </c>
      <c r="J197">
        <f>(Table3[[#This Row],[HomeMargin]]-Table3[[#This Row],[HomeForecast]])^2</f>
        <v>8.5664585613671349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-4.2668004483512607E-2</v>
      </c>
      <c r="J198">
        <f>(Table3[[#This Row],[HomeMargin]]-Table3[[#This Row],[HomeForecast]])^2</f>
        <v>9.2578285855076814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0.1068374278427027</v>
      </c>
      <c r="J199">
        <f>(Table3[[#This Row],[HomeMargin]]-Table3[[#This Row],[HomeForecast]])^2</f>
        <v>8.3703896689318285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0.680561609507365</v>
      </c>
      <c r="J200">
        <f>(Table3[[#This Row],[HomeMargin]]-Table3[[#This Row],[HomeForecast]])^2</f>
        <v>0.10204088532052516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0.61263776725689745</v>
      </c>
      <c r="J201">
        <f>(Table3[[#This Row],[HomeMargin]]-Table3[[#This Row],[HomeForecast]])^2</f>
        <v>2.6006005683833116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-0.17383277387926779</v>
      </c>
      <c r="J202">
        <f>(Table3[[#This Row],[HomeMargin]]-Table3[[#This Row],[HomeForecast]])^2</f>
        <v>0.68255228551602509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-0.57804372656086245</v>
      </c>
      <c r="J203">
        <f>(Table3[[#This Row],[HomeMargin]]-Table3[[#This Row],[HomeForecast]])^2</f>
        <v>2.0219596435729192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0.52556680786759158</v>
      </c>
      <c r="J204">
        <f>(Table3[[#This Row],[HomeMargin]]-Table3[[#This Row],[HomeForecast]])^2</f>
        <v>2.3273540852673129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0.35391454172482928</v>
      </c>
      <c r="J205">
        <f>(Table3[[#This Row],[HomeMargin]]-Table3[[#This Row],[HomeForecast]])^2</f>
        <v>2.709597335944979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-0.84395266894417298</v>
      </c>
      <c r="J206">
        <f>(Table3[[#This Row],[HomeMargin]]-Table3[[#This Row],[HomeForecast]])^2</f>
        <v>3.4001614453063387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0.16890358109306683</v>
      </c>
      <c r="J207">
        <f>(Table3[[#This Row],[HomeMargin]]-Table3[[#This Row],[HomeForecast]])^2</f>
        <v>0.69072125751992863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-9.2869679072538652E-2</v>
      </c>
      <c r="J208">
        <f>(Table3[[#This Row],[HomeMargin]]-Table3[[#This Row],[HomeForecast]])^2</f>
        <v>16.751582209871348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4.8516648688146091E-4</v>
      </c>
      <c r="J209">
        <f>(Table3[[#This Row],[HomeMargin]]-Table3[[#This Row],[HomeForecast]])^2</f>
        <v>1.000970568360283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0.85776926513969287</v>
      </c>
      <c r="J210">
        <f>(Table3[[#This Row],[HomeMargin]]-Table3[[#This Row],[HomeForecast]])^2</f>
        <v>2.0229581938902987E-2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0.65961891633836822</v>
      </c>
      <c r="J211">
        <f>(Table3[[#This Row],[HomeMargin]]-Table3[[#This Row],[HomeForecast]])^2</f>
        <v>0.11585928211466677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0.15513789726677388</v>
      </c>
      <c r="J212">
        <f>(Table3[[#This Row],[HomeMargin]]-Table3[[#This Row],[HomeForecast]])^2</f>
        <v>8.0932403835677125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0.94297978285523354</v>
      </c>
      <c r="J213">
        <f>(Table3[[#This Row],[HomeMargin]]-Table3[[#This Row],[HomeForecast]])^2</f>
        <v>3.2513051632363189E-3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0.2794705364706942</v>
      </c>
      <c r="J214">
        <f>(Table3[[#This Row],[HomeMargin]]-Table3[[#This Row],[HomeForecast]])^2</f>
        <v>1.637044853696606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0.21572390473552588</v>
      </c>
      <c r="J215">
        <f>(Table3[[#This Row],[HomeMargin]]-Table3[[#This Row],[HomeForecast]])^2</f>
        <v>1.4779846125453941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-0.56487259903150921</v>
      </c>
      <c r="J216">
        <f>(Table3[[#This Row],[HomeMargin]]-Table3[[#This Row],[HomeForecast]])^2</f>
        <v>5.9298454589475575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0.32227569814235157</v>
      </c>
      <c r="J217">
        <f>(Table3[[#This Row],[HomeMargin]]-Table3[[#This Row],[HomeForecast]])^2</f>
        <v>0.45931022932843696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-0.12220417538975031</v>
      </c>
      <c r="J218">
        <f>(Table3[[#This Row],[HomeMargin]]-Table3[[#This Row],[HomeForecast]])^2</f>
        <v>16.992567263600694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0.277730192644703</v>
      </c>
      <c r="J219">
        <f>(Table3[[#This Row],[HomeMargin]]-Table3[[#This Row],[HomeForecast]])^2</f>
        <v>27.854435986353494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-9.0942998762313348E-2</v>
      </c>
      <c r="J220">
        <f>(Table3[[#This Row],[HomeMargin]]-Table3[[#This Row],[HomeForecast]])^2</f>
        <v>4.3720426240731358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-0.30283940090877076</v>
      </c>
      <c r="J221">
        <f>(Table3[[#This Row],[HomeMargin]]-Table3[[#This Row],[HomeForecast]])^2</f>
        <v>7.2746752972901589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1.4640124191054715</v>
      </c>
      <c r="J222">
        <f>(Table3[[#This Row],[HomeMargin]]-Table3[[#This Row],[HomeForecast]])^2</f>
        <v>12.50320817224034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0.38305475228332725</v>
      </c>
      <c r="J223">
        <f>(Table3[[#This Row],[HomeMargin]]-Table3[[#This Row],[HomeForecast]])^2</f>
        <v>0.38062143868018677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1.2520723814703243</v>
      </c>
      <c r="J224">
        <f>(Table3[[#This Row],[HomeMargin]]-Table3[[#This Row],[HomeForecast]])^2</f>
        <v>18.080119537262711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0.15280711161141797</v>
      </c>
      <c r="J225">
        <f>(Table3[[#This Row],[HomeMargin]]-Table3[[#This Row],[HomeForecast]])^2</f>
        <v>0.71773579013618827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0.96467985754460295</v>
      </c>
      <c r="J226">
        <f>(Table3[[#This Row],[HomeMargin]]-Table3[[#This Row],[HomeForecast]])^2</f>
        <v>8.7893266577306868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6.1939387820449276E-2</v>
      </c>
      <c r="J227">
        <f>(Table3[[#This Row],[HomeMargin]]-Table3[[#This Row],[HomeForecast]])^2</f>
        <v>9.3754728146862671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-0.20629528547088233</v>
      </c>
      <c r="J228">
        <f>(Table3[[#This Row],[HomeMargin]]-Table3[[#This Row],[HomeForecast]])^2</f>
        <v>1.4551483157492777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-0.27280655585712754</v>
      </c>
      <c r="J229">
        <f>(Table3[[#This Row],[HomeMargin]]-Table3[[#This Row],[HomeForecast]])^2</f>
        <v>2.9831971934901178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-0.19859862845714346</v>
      </c>
      <c r="J230">
        <f>(Table3[[#This Row],[HomeMargin]]-Table3[[#This Row],[HomeForecast]])^2</f>
        <v>4.8338359290536319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-0.70981014556242139</v>
      </c>
      <c r="J231">
        <f>(Table3[[#This Row],[HomeMargin]]-Table3[[#This Row],[HomeForecast]])^2</f>
        <v>5.2449695693688181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1.9732773319183494E-2</v>
      </c>
      <c r="J232">
        <f>(Table3[[#This Row],[HomeMargin]]-Table3[[#This Row],[HomeForecast]])^2</f>
        <v>16.158251568896333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0.45423146488635924</v>
      </c>
      <c r="J233">
        <f>(Table3[[#This Row],[HomeMargin]]-Table3[[#This Row],[HomeForecast]])^2</f>
        <v>11.931715013010963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6.7301101682642195E-2</v>
      </c>
      <c r="J234">
        <f>(Table3[[#This Row],[HomeMargin]]-Table3[[#This Row],[HomeForecast]])^2</f>
        <v>9.4083360483835516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-5.168715116402034E-2</v>
      </c>
      <c r="J235">
        <f>(Table3[[#This Row],[HomeMargin]]-Table3[[#This Row],[HomeForecast]])^2</f>
        <v>1.1060458639234927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0.34029673931502108</v>
      </c>
      <c r="J236">
        <f>(Table3[[#This Row],[HomeMargin]]-Table3[[#This Row],[HomeForecast]])^2</f>
        <v>7.0740214348983086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-1.5697743822195602</v>
      </c>
      <c r="J237">
        <f>(Table3[[#This Row],[HomeMargin]]-Table3[[#This Row],[HomeForecast]])^2</f>
        <v>41.347801495559843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-6.5891318576794589E-2</v>
      </c>
      <c r="J238">
        <f>(Table3[[#This Row],[HomeMargin]]-Table3[[#This Row],[HomeForecast]])^2</f>
        <v>16.531472214478146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-0.14917660195242935</v>
      </c>
      <c r="J239">
        <f>(Table3[[#This Row],[HomeMargin]]-Table3[[#This Row],[HomeForecast]])^2</f>
        <v>1.3206068624749325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-0.87015278120371464</v>
      </c>
      <c r="J240">
        <f>(Table3[[#This Row],[HomeMargin]]-Table3[[#This Row],[HomeForecast]])^2</f>
        <v>1.68603002291304E-2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-0.47936658910273344</v>
      </c>
      <c r="J241">
        <f>(Table3[[#This Row],[HomeMargin]]-Table3[[#This Row],[HomeForecast]])^2</f>
        <v>20.436126435720656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0.13497748385837016</v>
      </c>
      <c r="J242">
        <f>(Table3[[#This Row],[HomeMargin]]-Table3[[#This Row],[HomeForecast]])^2</f>
        <v>1.2881738888654768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-0.14488566061034494</v>
      </c>
      <c r="J243">
        <f>(Table3[[#This Row],[HomeMargin]]-Table3[[#This Row],[HomeForecast]])^2</f>
        <v>4.6005344970918758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-0.62776936108470238</v>
      </c>
      <c r="J244">
        <f>(Table3[[#This Row],[HomeMargin]]-Table3[[#This Row],[HomeForecast]])^2</f>
        <v>0.13855564854729069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0.77612825571923172</v>
      </c>
      <c r="J245">
        <f>(Table3[[#This Row],[HomeMargin]]-Table3[[#This Row],[HomeForecast]])^2</f>
        <v>5.0118557887313703E-2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6.3415878602184061E-3</v>
      </c>
      <c r="J246">
        <f>(Table3[[#This Row],[HomeMargin]]-Table3[[#This Row],[HomeForecast]])^2</f>
        <v>4.0254065671774617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-0.44477634961770457</v>
      </c>
      <c r="J247">
        <f>(Table3[[#This Row],[HomeMargin]]-Table3[[#This Row],[HomeForecast]])^2</f>
        <v>2.0873787004146598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0.58092906824394563</v>
      </c>
      <c r="J248">
        <f>(Table3[[#This Row],[HomeMargin]]-Table3[[#This Row],[HomeForecast]])^2</f>
        <v>2.4993367188186699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3.2883037378594882E-4</v>
      </c>
      <c r="J249">
        <f>(Table3[[#This Row],[HomeMargin]]-Table3[[#This Row],[HomeForecast]])^2</f>
        <v>8.9980271258866988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0.87580222419783871</v>
      </c>
      <c r="J250">
        <f>(Table3[[#This Row],[HomeMargin]]-Table3[[#This Row],[HomeForecast]])^2</f>
        <v>1.5425087514203921E-2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0.52369027847965932</v>
      </c>
      <c r="J251">
        <f>(Table3[[#This Row],[HomeMargin]]-Table3[[#This Row],[HomeForecast]])^2</f>
        <v>20.463773735611376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1.0091378387347383</v>
      </c>
      <c r="J252">
        <f>(Table3[[#This Row],[HomeMargin]]-Table3[[#This Row],[HomeForecast]])^2</f>
        <v>0.98180782262726551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-0.20666618338559378</v>
      </c>
      <c r="J253">
        <f>(Table3[[#This Row],[HomeMargin]]-Table3[[#This Row],[HomeForecast]])^2</f>
        <v>4.8693756448975423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0.29803984049713655</v>
      </c>
      <c r="J254">
        <f>(Table3[[#This Row],[HomeMargin]]-Table3[[#This Row],[HomeForecast]])^2</f>
        <v>1.6849074275178315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-0.15805174904395061</v>
      </c>
      <c r="J255">
        <f>(Table3[[#This Row],[HomeMargin]]-Table3[[#This Row],[HomeForecast]])^2</f>
        <v>0.7088768572879508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-2.4427116327126308</v>
      </c>
      <c r="J256">
        <f>(Table3[[#This Row],[HomeMargin]]-Table3[[#This Row],[HomeForecast]])^2</f>
        <v>2.081416855164345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0.42816090087536596</v>
      </c>
      <c r="J257">
        <f>(Table3[[#This Row],[HomeMargin]]-Table3[[#This Row],[HomeForecast]])^2</f>
        <v>0.32699995528767306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-0.39062592216067105</v>
      </c>
      <c r="J258">
        <f>(Table3[[#This Row],[HomeMargin]]-Table3[[#This Row],[HomeForecast]])^2</f>
        <v>0.37133676674253252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0.25724113991487707</v>
      </c>
      <c r="J259">
        <f>(Table3[[#This Row],[HomeMargin]]-Table3[[#This Row],[HomeForecast]])^2</f>
        <v>7.5227261645754426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0.35122281141127443</v>
      </c>
      <c r="J260">
        <f>(Table3[[#This Row],[HomeMargin]]-Table3[[#This Row],[HomeForecast]])^2</f>
        <v>1.8258030860781889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0.26733156766004684</v>
      </c>
      <c r="J261">
        <f>(Table3[[#This Row],[HomeMargin]]-Table3[[#This Row],[HomeForecast]])^2</f>
        <v>3.0021398964273907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0.12835670167987401</v>
      </c>
      <c r="J262">
        <f>(Table3[[#This Row],[HomeMargin]]-Table3[[#This Row],[HomeForecast]])^2</f>
        <v>9.7866156529453789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2.1485084789460598</v>
      </c>
      <c r="J263">
        <f>(Table3[[#This Row],[HomeMargin]]-Table3[[#This Row],[HomeForecast]])^2</f>
        <v>0.72503781042675275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0.81584968521366297</v>
      </c>
      <c r="J264">
        <f>(Table3[[#This Row],[HomeMargin]]-Table3[[#This Row],[HomeForecast]])^2</f>
        <v>3.297310079290559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0.35515852401558956</v>
      </c>
      <c r="J265">
        <f>(Table3[[#This Row],[HomeMargin]]-Table3[[#This Row],[HomeForecast]])^2</f>
        <v>18.967405769305646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-0.45865055368469204</v>
      </c>
      <c r="J266">
        <f>(Table3[[#This Row],[HomeMargin]]-Table3[[#This Row],[HomeForecast]])^2</f>
        <v>0.29305922302589044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0.2119775930158955</v>
      </c>
      <c r="J267">
        <f>(Table3[[#This Row],[HomeMargin]]-Table3[[#This Row],[HomeForecast]])^2</f>
        <v>1.4688896859726037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-0.29358759267905665</v>
      </c>
      <c r="J268">
        <f>(Table3[[#This Row],[HomeMargin]]-Table3[[#This Row],[HomeForecast]])^2</f>
        <v>1.6733688599331966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-0.56754747891305002</v>
      </c>
      <c r="J269">
        <f>(Table3[[#This Row],[HomeMargin]]-Table3[[#This Row],[HomeForecast]])^2</f>
        <v>2.051920225168359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-2.1362902775229842E-2</v>
      </c>
      <c r="J270">
        <f>(Table3[[#This Row],[HomeMargin]]-Table3[[#This Row],[HomeForecast]])^2</f>
        <v>0.95773056806452439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6.2272690991781225E-2</v>
      </c>
      <c r="J271">
        <f>(Table3[[#This Row],[HomeMargin]]-Table3[[#This Row],[HomeForecast]])^2</f>
        <v>1.1284232700269203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1.4863173085911321</v>
      </c>
      <c r="J272">
        <f>(Table3[[#This Row],[HomeMargin]]-Table3[[#This Row],[HomeForecast]])^2</f>
        <v>30.099677610546642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0.27318798903338376</v>
      </c>
      <c r="J273">
        <f>(Table3[[#This Row],[HomeMargin]]-Table3[[#This Row],[HomeForecast]])^2</f>
        <v>7.4355037431518021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-0.15448774535510076</v>
      </c>
      <c r="J274">
        <f>(Table3[[#This Row],[HomeMargin]]-Table3[[#This Row],[HomeForecast]])^2</f>
        <v>1.332841954175104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-5.6451575760942785E-2</v>
      </c>
      <c r="J275">
        <f>(Table3[[#This Row],[HomeMargin]]-Table3[[#This Row],[HomeForecast]])^2</f>
        <v>4.228993083449665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1.709000980733939</v>
      </c>
      <c r="J276">
        <f>(Table3[[#This Row],[HomeMargin]]-Table3[[#This Row],[HomeForecast]])^2</f>
        <v>1.6666784677459312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0.39548994786172675</v>
      </c>
      <c r="J277">
        <f>(Table3[[#This Row],[HomeMargin]]-Table3[[#This Row],[HomeForecast]])^2</f>
        <v>6.7834726116893105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-0.2849047012544641</v>
      </c>
      <c r="J278">
        <f>(Table3[[#This Row],[HomeMargin]]-Table3[[#This Row],[HomeForecast]])^2</f>
        <v>10.790598896323681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-0.31787568887589285</v>
      </c>
      <c r="J279">
        <f>(Table3[[#This Row],[HomeMargin]]-Table3[[#This Row],[HomeForecast]])^2</f>
        <v>44.650785309315822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-0.10938159676306201</v>
      </c>
      <c r="J280">
        <f>(Table3[[#This Row],[HomeMargin]]-Table3[[#This Row],[HomeForecast]])^2</f>
        <v>4.449490720762685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8.9206463720550078E-2</v>
      </c>
      <c r="J281">
        <f>(Table3[[#This Row],[HomeMargin]]-Table3[[#This Row],[HomeForecast]])^2</f>
        <v>3.6511319382873255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0.33010684383007077</v>
      </c>
      <c r="J282">
        <f>(Table3[[#This Row],[HomeMargin]]-Table3[[#This Row],[HomeForecast]])^2</f>
        <v>1.7691842160035922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2.3467418405712093E-2</v>
      </c>
      <c r="J283">
        <f>(Table3[[#This Row],[HomeMargin]]-Table3[[#This Row],[HomeForecast]])^2</f>
        <v>1.0474855565380528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1.3476805468139779</v>
      </c>
      <c r="J284">
        <f>(Table3[[#This Row],[HomeMargin]]-Table3[[#This Row],[HomeForecast]])^2</f>
        <v>0.12088176263286665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-0.35832183104923621</v>
      </c>
      <c r="J285">
        <f>(Table3[[#This Row],[HomeMargin]]-Table3[[#This Row],[HomeForecast]])^2</f>
        <v>1.8450381967049498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-0.76938878217582152</v>
      </c>
      <c r="J286">
        <f>(Table3[[#This Row],[HomeMargin]]-Table3[[#This Row],[HomeForecast]])^2</f>
        <v>5.3181533786350696E-2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0.15523383740727104</v>
      </c>
      <c r="J287">
        <f>(Table3[[#This Row],[HomeMargin]]-Table3[[#This Row],[HomeForecast]])^2</f>
        <v>1.3345652190907291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0.47474329632090734</v>
      </c>
      <c r="J288">
        <f>(Table3[[#This Row],[HomeMargin]]-Table3[[#This Row],[HomeForecast]])^2</f>
        <v>2.1748677900434554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0.20931471287576633</v>
      </c>
      <c r="J289">
        <f>(Table3[[#This Row],[HomeMargin]]-Table3[[#This Row],[HomeForecast]])^2</f>
        <v>1.4624420747777973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-0.24497530468509573</v>
      </c>
      <c r="J290">
        <f>(Table3[[#This Row],[HomeMargin]]-Table3[[#This Row],[HomeForecast]])^2</f>
        <v>0.57006229053536395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-0.33944308582072602</v>
      </c>
      <c r="J291">
        <f>(Table3[[#This Row],[HomeMargin]]-Table3[[#This Row],[HomeForecast]])^2</f>
        <v>1.7941077801529488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0.73418280310671968</v>
      </c>
      <c r="J292">
        <f>(Table3[[#This Row],[HomeMargin]]-Table3[[#This Row],[HomeForecast]])^2</f>
        <v>10.665561963523885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-4.4017550350394147E-2</v>
      </c>
      <c r="J293">
        <f>(Table3[[#This Row],[HomeMargin]]-Table3[[#This Row],[HomeForecast]])^2</f>
        <v>0.9139024440380612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-0.92419637921356323</v>
      </c>
      <c r="J294">
        <f>(Table3[[#This Row],[HomeMargin]]-Table3[[#This Row],[HomeForecast]])^2</f>
        <v>1.1573534304972075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0.76383370367585668</v>
      </c>
      <c r="J295">
        <f>(Table3[[#This Row],[HomeMargin]]-Table3[[#This Row],[HomeForecast]])^2</f>
        <v>1.5281071121677496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3.1393268045737166E-2</v>
      </c>
      <c r="J296">
        <f>(Table3[[#This Row],[HomeMargin]]-Table3[[#This Row],[HomeForecast]])^2</f>
        <v>1.0637720733700657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0.21438365920679037</v>
      </c>
      <c r="J297">
        <f>(Table3[[#This Row],[HomeMargin]]-Table3[[#This Row],[HomeForecast]])^2</f>
        <v>1.4747276717484736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0.277730192644703</v>
      </c>
      <c r="J298">
        <f>(Table3[[#This Row],[HomeMargin]]-Table3[[#This Row],[HomeForecast]])^2</f>
        <v>7.4107529040382465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-0.98298421822175142</v>
      </c>
      <c r="J299">
        <f>(Table3[[#This Row],[HomeMargin]]-Table3[[#This Row],[HomeForecast]])^2</f>
        <v>4.0683526639425196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0.75828496368997067</v>
      </c>
      <c r="J300">
        <f>(Table3[[#This Row],[HomeMargin]]-Table3[[#This Row],[HomeForecast]])^2</f>
        <v>3.0915660135382415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1.5910468291078264</v>
      </c>
      <c r="J301">
        <f>(Table3[[#This Row],[HomeMargin]]-Table3[[#This Row],[HomeForecast]])^2</f>
        <v>1.9851490377671106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0.31974121319204352</v>
      </c>
      <c r="J302">
        <f>(Table3[[#This Row],[HomeMargin]]-Table3[[#This Row],[HomeForecast]])^2</f>
        <v>0.46275201702943281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-0.18055830936609399</v>
      </c>
      <c r="J303">
        <f>(Table3[[#This Row],[HomeMargin]]-Table3[[#This Row],[HomeForecast]])^2</f>
        <v>0.67148468434895414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0.63199498656950148</v>
      </c>
      <c r="J304">
        <f>(Table3[[#This Row],[HomeMargin]]-Table3[[#This Row],[HomeForecast]])^2</f>
        <v>11.343457770492973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1.9954521008533357</v>
      </c>
      <c r="J305">
        <f>(Table3[[#This Row],[HomeMargin]]-Table3[[#This Row],[HomeForecast]])^2</f>
        <v>35.945445893626676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-0.43902233172523941</v>
      </c>
      <c r="J306">
        <f>(Table3[[#This Row],[HomeMargin]]-Table3[[#This Row],[HomeForecast]])^2</f>
        <v>2.0707852712039445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-2.755675914403638E-2</v>
      </c>
      <c r="J307">
        <f>(Table3[[#This Row],[HomeMargin]]-Table3[[#This Row],[HomeForecast]])^2</f>
        <v>3.8905323383983768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0.2712831347660189</v>
      </c>
      <c r="J308">
        <f>(Table3[[#This Row],[HomeMargin]]-Table3[[#This Row],[HomeForecast]])^2</f>
        <v>13.903329461080329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-0.222557817297311</v>
      </c>
      <c r="J309">
        <f>(Table3[[#This Row],[HomeMargin]]-Table3[[#This Row],[HomeForecast]])^2</f>
        <v>1.4946476166347653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0.93441914387963976</v>
      </c>
      <c r="J310">
        <f>(Table3[[#This Row],[HomeMargin]]-Table3[[#This Row],[HomeForecast]])^2</f>
        <v>4.2666242731709199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0.63347504671441257</v>
      </c>
      <c r="J311">
        <f>(Table3[[#This Row],[HomeMargin]]-Table3[[#This Row],[HomeForecast]])^2</f>
        <v>0.13434054138100204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0.25394038220108173</v>
      </c>
      <c r="J312">
        <f>(Table3[[#This Row],[HomeMargin]]-Table3[[#This Row],[HomeForecast]])^2</f>
        <v>7.5408434245059421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0.4072182077063693</v>
      </c>
      <c r="J313">
        <f>(Table3[[#This Row],[HomeMargin]]-Table3[[#This Row],[HomeForecast]])^2</f>
        <v>1.9802630841003264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0.30661231451496263</v>
      </c>
      <c r="J314">
        <f>(Table3[[#This Row],[HomeMargin]]-Table3[[#This Row],[HomeForecast]])^2</f>
        <v>2.8675618533523717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-0.4910383132630457</v>
      </c>
      <c r="J315">
        <f>(Table3[[#This Row],[HomeMargin]]-Table3[[#This Row],[HomeForecast]])^2</f>
        <v>2.2231952516183089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1.3975766416490698</v>
      </c>
      <c r="J316">
        <f>(Table3[[#This Row],[HomeMargin]]-Table3[[#This Row],[HomeForecast]])^2</f>
        <v>6.7726073360905339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1.1606442162211297</v>
      </c>
      <c r="J317">
        <f>(Table3[[#This Row],[HomeMargin]]-Table3[[#This Row],[HomeForecast]])^2</f>
        <v>2.5806564205301061E-2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0.63967058526857823</v>
      </c>
      <c r="J318">
        <f>(Table3[[#This Row],[HomeMargin]]-Table3[[#This Row],[HomeForecast]])^2</f>
        <v>0.12983728712068895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0.25960770705547803</v>
      </c>
      <c r="J319">
        <f>(Table3[[#This Row],[HomeMargin]]-Table3[[#This Row],[HomeForecast]])^2</f>
        <v>7.5097499192297343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-0.34173774510270771</v>
      </c>
      <c r="J320">
        <f>(Table3[[#This Row],[HomeMargin]]-Table3[[#This Row],[HomeForecast]])^2</f>
        <v>1.8002601766332986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0.82164821103113517</v>
      </c>
      <c r="J321">
        <f>(Table3[[#This Row],[HomeMargin]]-Table3[[#This Row],[HomeForecast]])^2</f>
        <v>23.248291470939748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0.12086604390884731</v>
      </c>
      <c r="J322">
        <f>(Table3[[#This Row],[HomeMargin]]-Table3[[#This Row],[HomeForecast]])^2</f>
        <v>0.7728765127524807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0.48322317240116591</v>
      </c>
      <c r="J323">
        <f>(Table3[[#This Row],[HomeMargin]]-Table3[[#This Row],[HomeForecast]])^2</f>
        <v>6.3341655999384514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-9.5519570579513061E-2</v>
      </c>
      <c r="J324">
        <f>(Table3[[#This Row],[HomeMargin]]-Table3[[#This Row],[HomeForecast]])^2</f>
        <v>0.81808484720466834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-8.0241386204564058E-2</v>
      </c>
      <c r="J325">
        <f>(Table3[[#This Row],[HomeMargin]]-Table3[[#This Row],[HomeForecast]])^2</f>
        <v>0.84595590765090178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2.2072499959706926</v>
      </c>
      <c r="J326">
        <f>(Table3[[#This Row],[HomeMargin]]-Table3[[#This Row],[HomeForecast]])^2</f>
        <v>0.6284525688884669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-0.16197170197650687</v>
      </c>
      <c r="J327">
        <f>(Table3[[#This Row],[HomeMargin]]-Table3[[#This Row],[HomeForecast]])^2</f>
        <v>23.4065178124761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0.33654368467537399</v>
      </c>
      <c r="J328">
        <f>(Table3[[#This Row],[HomeMargin]]-Table3[[#This Row],[HomeForecast]])^2</f>
        <v>0.44017428234412959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-0.14147994493869048</v>
      </c>
      <c r="J329">
        <f>(Table3[[#This Row],[HomeMargin]]-Table3[[#This Row],[HomeForecast]])^2</f>
        <v>14.888177015310331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1.0430619376960868</v>
      </c>
      <c r="J330">
        <f>(Table3[[#This Row],[HomeMargin]]-Table3[[#This Row],[HomeForecast]])^2</f>
        <v>1.8543304781416608E-3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-6.9988470670661607E-2</v>
      </c>
      <c r="J331">
        <f>(Table3[[#This Row],[HomeMargin]]-Table3[[#This Row],[HomeForecast]])^2</f>
        <v>1.1448753273681411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1.1225148503602651</v>
      </c>
      <c r="J332">
        <f>(Table3[[#This Row],[HomeMargin]]-Table3[[#This Row],[HomeForecast]])^2</f>
        <v>1.5009888558798151E-2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0.47117929263205749</v>
      </c>
      <c r="J333">
        <f>(Table3[[#This Row],[HomeMargin]]-Table3[[#This Row],[HomeForecast]])^2</f>
        <v>2.1643685110693611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0.26860299676169153</v>
      </c>
      <c r="J334">
        <f>(Table3[[#This Row],[HomeMargin]]-Table3[[#This Row],[HomeForecast]])^2</f>
        <v>10.68376555043951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-1.2588830113111737</v>
      </c>
      <c r="J335">
        <f>(Table3[[#This Row],[HomeMargin]]-Table3[[#This Row],[HomeForecast]])^2</f>
        <v>0.54925439092319384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0.70454440659018602</v>
      </c>
      <c r="J336">
        <f>(Table3[[#This Row],[HomeMargin]]-Table3[[#This Row],[HomeForecast]])^2</f>
        <v>28.041849941775286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-0.18692867820971976</v>
      </c>
      <c r="J337">
        <f>(Table3[[#This Row],[HomeMargin]]-Table3[[#This Row],[HomeForecast]])^2</f>
        <v>0.66108497431779356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-0.1741482185255995</v>
      </c>
      <c r="J338">
        <f>(Table3[[#This Row],[HomeMargin]]-Table3[[#This Row],[HomeForecast]])^2</f>
        <v>23.288845416759649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-0.36962333462053004</v>
      </c>
      <c r="J339">
        <f>(Table3[[#This Row],[HomeMargin]]-Table3[[#This Row],[HomeForecast]])^2</f>
        <v>0.3973747402549403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-0.30725591272368047</v>
      </c>
      <c r="J340">
        <f>(Table3[[#This Row],[HomeMargin]]-Table3[[#This Row],[HomeForecast]])^2</f>
        <v>1.7089180213510229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-0.93631083708321938</v>
      </c>
      <c r="J341">
        <f>(Table3[[#This Row],[HomeMargin]]-Table3[[#This Row],[HomeForecast]])^2</f>
        <v>3.7492996578059179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0.38175332977072551</v>
      </c>
      <c r="J342">
        <f>(Table3[[#This Row],[HomeMargin]]-Table3[[#This Row],[HomeForecast]])^2</f>
        <v>0.38222894524958528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6.1481893386569252E-2</v>
      </c>
      <c r="J343">
        <f>(Table3[[#This Row],[HomeMargin]]-Table3[[#This Row],[HomeForecast]])^2</f>
        <v>9.3726713835338131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0.16188825794565137</v>
      </c>
      <c r="J344">
        <f>(Table3[[#This Row],[HomeMargin]]-Table3[[#This Row],[HomeForecast]])^2</f>
        <v>8.0548782603867704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-2.0539814026051717</v>
      </c>
      <c r="J345">
        <f>(Table3[[#This Row],[HomeMargin]]-Table3[[#This Row],[HomeForecast]])^2</f>
        <v>0.89495118661687822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1.370026533096437</v>
      </c>
      <c r="J346">
        <f>(Table3[[#This Row],[HomeMargin]]-Table3[[#This Row],[HomeForecast]])^2</f>
        <v>5.6170257675811168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0.33733448228058593</v>
      </c>
      <c r="J347">
        <f>(Table3[[#This Row],[HomeMargin]]-Table3[[#This Row],[HomeForecast]])^2</f>
        <v>7.0897876592519955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0.36397127404336038</v>
      </c>
      <c r="J348">
        <f>(Table3[[#This Row],[HomeMargin]]-Table3[[#This Row],[HomeForecast]])^2</f>
        <v>1.8604176364154674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-0.14753555211731934</v>
      </c>
      <c r="J349">
        <f>(Table3[[#This Row],[HomeMargin]]-Table3[[#This Row],[HomeForecast]])^2</f>
        <v>0.72669563490392353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0.77143700427013706</v>
      </c>
      <c r="J350">
        <f>(Table3[[#This Row],[HomeMargin]]-Table3[[#This Row],[HomeForecast]])^2</f>
        <v>5.2241043017009346E-2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-0.50245510019896655</v>
      </c>
      <c r="J351">
        <f>(Table3[[#This Row],[HomeMargin]]-Table3[[#This Row],[HomeForecast]])^2</f>
        <v>2.2426407269200874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-6.6623583794755803E-2</v>
      </c>
      <c r="J352">
        <f>(Table3[[#This Row],[HomeMargin]]-Table3[[#This Row],[HomeForecast]])^2</f>
        <v>9.4041802046861935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-2.0030356540437273</v>
      </c>
      <c r="J353">
        <f>(Table3[[#This Row],[HomeMargin]]-Table3[[#This Row],[HomeForecast]])^2</f>
        <v>1.0060805232829277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0.605420594251602</v>
      </c>
      <c r="J354">
        <f>(Table3[[#This Row],[HomeMargin]]-Table3[[#This Row],[HomeForecast]])^2</f>
        <v>0.15569290744075889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-0.393753726640514</v>
      </c>
      <c r="J355">
        <f>(Table3[[#This Row],[HomeMargin]]-Table3[[#This Row],[HomeForecast]])^2</f>
        <v>5.7300569038053499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-0.18573559646782167</v>
      </c>
      <c r="J356">
        <f>(Table3[[#This Row],[HomeMargin]]-Table3[[#This Row],[HomeForecast]])^2</f>
        <v>7.920084132988328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-0.35365280076924471</v>
      </c>
      <c r="J357">
        <f>(Table3[[#This Row],[HomeMargin]]-Table3[[#This Row],[HomeForecast]])^2</f>
        <v>7.0031534988764639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5.9289496313474868E-2</v>
      </c>
      <c r="J358">
        <f>(Table3[[#This Row],[HomeMargin]]-Table3[[#This Row],[HomeForecast]])^2</f>
        <v>0.88493625174615576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-9.1817642424031592E-2</v>
      </c>
      <c r="J359">
        <f>(Table3[[#This Row],[HomeMargin]]-Table3[[#This Row],[HomeForecast]])^2</f>
        <v>1.1920657643083705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-0.2720157582519156</v>
      </c>
      <c r="J360">
        <f>(Table3[[#This Row],[HomeMargin]]-Table3[[#This Row],[HomeForecast]])^2</f>
        <v>22.353834990218203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0.75382336623357105</v>
      </c>
      <c r="J361">
        <f>(Table3[[#This Row],[HomeMargin]]-Table3[[#This Row],[HomeForecast]])^2</f>
        <v>6.060293501257049E-2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1.1970787371286165</v>
      </c>
      <c r="J362">
        <f>(Table3[[#This Row],[HomeMargin]]-Table3[[#This Row],[HomeForecast]])^2</f>
        <v>3.2505250801137446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0.26860299676169153</v>
      </c>
      <c r="J363">
        <f>(Table3[[#This Row],[HomeMargin]]-Table3[[#This Row],[HomeForecast]])^2</f>
        <v>13.92332359577583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0.77454749551639934</v>
      </c>
      <c r="J364">
        <f>(Table3[[#This Row],[HomeMargin]]-Table3[[#This Row],[HomeForecast]])^2</f>
        <v>10.40354385867953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-0.38594576081810306</v>
      </c>
      <c r="J365">
        <f>(Table3[[#This Row],[HomeMargin]]-Table3[[#This Row],[HomeForecast]])^2</f>
        <v>21.289496522112433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0.70471288704696855</v>
      </c>
      <c r="J366">
        <f>(Table3[[#This Row],[HomeMargin]]-Table3[[#This Row],[HomeForecast]])^2</f>
        <v>2.9060460272640105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0.83854575455177449</v>
      </c>
      <c r="J367">
        <f>(Table3[[#This Row],[HomeMargin]]-Table3[[#This Row],[HomeForecast]])^2</f>
        <v>8.0573420006839047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-0.19750613711179224</v>
      </c>
      <c r="J368">
        <f>(Table3[[#This Row],[HomeMargin]]-Table3[[#This Row],[HomeForecast]])^2</f>
        <v>0.64399639997323765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-0.61836087877352397</v>
      </c>
      <c r="J369">
        <f>(Table3[[#This Row],[HomeMargin]]-Table3[[#This Row],[HomeForecast]])^2</f>
        <v>0.14564841885051688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2.2005244604838663</v>
      </c>
      <c r="J370">
        <f>(Table3[[#This Row],[HomeMargin]]-Table3[[#This Row],[HomeForecast]])^2</f>
        <v>14.436014375381415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0.57463602704110373</v>
      </c>
      <c r="J371">
        <f>(Table3[[#This Row],[HomeMargin]]-Table3[[#This Row],[HomeForecast]])^2</f>
        <v>12.778022725820206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0.13604578015492064</v>
      </c>
      <c r="J372">
        <f>(Table3[[#This Row],[HomeMargin]]-Table3[[#This Row],[HomeForecast]])^2</f>
        <v>4.5626915749176424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0.84256403317563344</v>
      </c>
      <c r="J373">
        <f>(Table3[[#This Row],[HomeMargin]]-Table3[[#This Row],[HomeForecast]])^2</f>
        <v>2.4786083649923046E-2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0.21572390473552588</v>
      </c>
      <c r="J374">
        <f>(Table3[[#This Row],[HomeMargin]]-Table3[[#This Row],[HomeForecast]])^2</f>
        <v>4.9094324220164447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1.334140917800361E-2</v>
      </c>
      <c r="J375">
        <f>(Table3[[#This Row],[HomeMargin]]-Table3[[#This Row],[HomeForecast]])^2</f>
        <v>3.9468123564868409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-0.60212906867757354</v>
      </c>
      <c r="J376">
        <f>(Table3[[#This Row],[HomeMargin]]-Table3[[#This Row],[HomeForecast]])^2</f>
        <v>0.158301277991375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1.6728799266253813</v>
      </c>
      <c r="J377">
        <f>(Table3[[#This Row],[HomeMargin]]-Table3[[#This Row],[HomeForecast]])^2</f>
        <v>5.4154878359030905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0.33956447409705975</v>
      </c>
      <c r="J378">
        <f>(Table3[[#This Row],[HomeMargin]]-Table3[[#This Row],[HomeForecast]])^2</f>
        <v>1.7944329802629324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0.3485729199043</v>
      </c>
      <c r="J379">
        <f>(Table3[[#This Row],[HomeMargin]]-Table3[[#This Row],[HomeForecast]])^2</f>
        <v>1.8186489202992093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0.65177636622105384</v>
      </c>
      <c r="J380">
        <f>(Table3[[#This Row],[HomeMargin]]-Table3[[#This Row],[HomeForecast]])^2</f>
        <v>0.12125969912221361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-1.7972489132855318E-2</v>
      </c>
      <c r="J381">
        <f>(Table3[[#This Row],[HomeMargin]]-Table3[[#This Row],[HomeForecast]])^2</f>
        <v>1.0362679886313415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0.67415241764760547</v>
      </c>
      <c r="J382">
        <f>(Table3[[#This Row],[HomeMargin]]-Table3[[#This Row],[HomeForecast]])^2</f>
        <v>21.847700823400956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0.54634492605482365</v>
      </c>
      <c r="J383">
        <f>(Table3[[#This Row],[HomeMargin]]-Table3[[#This Row],[HomeForecast]])^2</f>
        <v>30.761942038774084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0.64329649014079526</v>
      </c>
      <c r="J384">
        <f>(Table3[[#This Row],[HomeMargin]]-Table3[[#This Row],[HomeForecast]])^2</f>
        <v>11.267458453101103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-0.16543913377885802</v>
      </c>
      <c r="J385">
        <f>(Table3[[#This Row],[HomeMargin]]-Table3[[#This Row],[HomeForecast]])^2</f>
        <v>0.69649183942778292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0.18778232632157704</v>
      </c>
      <c r="J386">
        <f>(Table3[[#This Row],[HomeMargin]]-Table3[[#This Row],[HomeForecast]])^2</f>
        <v>1.4108268547218972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0.38882094805923084</v>
      </c>
      <c r="J387">
        <f>(Table3[[#This Row],[HomeMargin]]-Table3[[#This Row],[HomeForecast]])^2</f>
        <v>0.37353983353121739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-0.89524926594464038</v>
      </c>
      <c r="J388">
        <f>(Table3[[#This Row],[HomeMargin]]-Table3[[#This Row],[HomeForecast]])^2</f>
        <v>4.4299756525065757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0.6118469696516855</v>
      </c>
      <c r="J389">
        <f>(Table3[[#This Row],[HomeMargin]]-Table3[[#This Row],[HomeForecast]])^2</f>
        <v>6.8217445928786926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-1.2478381975100707</v>
      </c>
      <c r="J390">
        <f>(Table3[[#This Row],[HomeMargin]]-Table3[[#This Row],[HomeForecast]])^2</f>
        <v>5.0527765621853238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0.46380117316048297</v>
      </c>
      <c r="J391">
        <f>(Table3[[#This Row],[HomeMargin]]-Table3[[#This Row],[HomeForecast]])^2</f>
        <v>2.1427138745460064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0.65269690550916226</v>
      </c>
      <c r="J392">
        <f>(Table3[[#This Row],[HomeMargin]]-Table3[[#This Row],[HomeForecast]])^2</f>
        <v>0.12061943944291177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-0.77124787607758394</v>
      </c>
      <c r="J393">
        <f>(Table3[[#This Row],[HomeMargin]]-Table3[[#This Row],[HomeForecast]])^2</f>
        <v>3.1373190385093523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0.20779805509550081</v>
      </c>
      <c r="J394">
        <f>(Table3[[#This Row],[HomeMargin]]-Table3[[#This Row],[HomeForecast]])^2</f>
        <v>10.289968362274479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0.44020478064447444</v>
      </c>
      <c r="J395">
        <f>(Table3[[#This Row],[HomeMargin]]-Table3[[#This Row],[HomeForecast]])^2</f>
        <v>2.432961126324352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0.35675753052137882</v>
      </c>
      <c r="J396">
        <f>(Table3[[#This Row],[HomeMargin]]-Table3[[#This Row],[HomeForecast]])^2</f>
        <v>0.41376087454095489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1.7753774657976151</v>
      </c>
      <c r="J397">
        <f>(Table3[[#This Row],[HomeMargin]]-Table3[[#This Row],[HomeForecast]])^2</f>
        <v>10.39819048808581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0.85952195393995645</v>
      </c>
      <c r="J398">
        <f>(Table3[[#This Row],[HomeMargin]]-Table3[[#This Row],[HomeForecast]])^2</f>
        <v>1.9734081424847717E-2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0.32432620546373575</v>
      </c>
      <c r="J399">
        <f>(Table3[[#This Row],[HomeMargin]]-Table3[[#This Row],[HomeForecast]])^2</f>
        <v>1.7538398984779766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-6.3661326760320713E-2</v>
      </c>
      <c r="J400">
        <f>(Table3[[#This Row],[HomeMargin]]-Table3[[#This Row],[HomeForecast]])^2</f>
        <v>3.7494074574836014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-0.17881724880559099</v>
      </c>
      <c r="J401">
        <f>(Table3[[#This Row],[HomeMargin]]-Table3[[#This Row],[HomeForecast]])^2</f>
        <v>7.9590721156368556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-1.2126441530708669</v>
      </c>
      <c r="J402">
        <f>(Table3[[#This Row],[HomeMargin]]-Table3[[#This Row],[HomeForecast]])^2</f>
        <v>3.1946409235517588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0.10476957442719839</v>
      </c>
      <c r="J403">
        <f>(Table3[[#This Row],[HomeMargin]]-Table3[[#This Row],[HomeForecast]])^2</f>
        <v>26.058672407997641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-7.9346730099337889E-2</v>
      </c>
      <c r="J404">
        <f>(Table3[[#This Row],[HomeMargin]]-Table3[[#This Row],[HomeForecast]])^2</f>
        <v>15.371522062782754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-1.1147506372233105</v>
      </c>
      <c r="J405">
        <f>(Table3[[#This Row],[HomeMargin]]-Table3[[#This Row],[HomeForecast]])^2</f>
        <v>4.4721702576363977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0.63294504978175192</v>
      </c>
      <c r="J406">
        <f>(Table3[[#This Row],[HomeMargin]]-Table3[[#This Row],[HomeForecast]])^2</f>
        <v>0.13472933647972057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1.0251083725860237</v>
      </c>
      <c r="J407">
        <f>(Table3[[#This Row],[HomeMargin]]-Table3[[#This Row],[HomeForecast]])^2</f>
        <v>6.3043037391858747E-4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8.6362471422000708E-3</v>
      </c>
      <c r="J408">
        <f>(Table3[[#This Row],[HomeMargin]]-Table3[[#This Row],[HomeForecast]])^2</f>
        <v>3.9655295961959007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0.73232370920495726</v>
      </c>
      <c r="J409">
        <f>(Table3[[#This Row],[HomeMargin]]-Table3[[#This Row],[HomeForecast]])^2</f>
        <v>18.213060923014137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4.2850691751098235E-2</v>
      </c>
      <c r="J410">
        <f>(Table3[[#This Row],[HomeMargin]]-Table3[[#This Row],[HomeForecast]])^2</f>
        <v>9.2589403322901376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0.43983632858590682</v>
      </c>
      <c r="J411">
        <f>(Table3[[#This Row],[HomeMargin]]-Table3[[#This Row],[HomeForecast]])^2</f>
        <v>12.674765367256677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0.15309910958656128</v>
      </c>
      <c r="J412">
        <f>(Table3[[#This Row],[HomeMargin]]-Table3[[#This Row],[HomeForecast]])^2</f>
        <v>4.6358357757024429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5.1321302568023967E-2</v>
      </c>
      <c r="J413">
        <f>(Table3[[#This Row],[HomeMargin]]-Table3[[#This Row],[HomeForecast]])^2</f>
        <v>16.413204296641467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-0.4910383132630457</v>
      </c>
      <c r="J414">
        <f>(Table3[[#This Row],[HomeMargin]]-Table3[[#This Row],[HomeForecast]])^2</f>
        <v>12.187348504670492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-0.53889172773793836</v>
      </c>
      <c r="J415">
        <f>(Table3[[#This Row],[HomeMargin]]-Table3[[#This Row],[HomeForecast]])^2</f>
        <v>6.0570539277967503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2.716384788232896</v>
      </c>
      <c r="J416">
        <f>(Table3[[#This Row],[HomeMargin]]-Table3[[#This Row],[HomeForecast]])^2</f>
        <v>0.5132071648114912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-8.308437500111357E-2</v>
      </c>
      <c r="J417">
        <f>(Table3[[#This Row],[HomeMargin]]-Table3[[#This Row],[HomeForecast]])^2</f>
        <v>1.1730717633715531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-0.18509960694935676</v>
      </c>
      <c r="J418">
        <f>(Table3[[#This Row],[HomeMargin]]-Table3[[#This Row],[HomeForecast]])^2</f>
        <v>0.66406265059409275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1.8463501629877775E-2</v>
      </c>
      <c r="J419">
        <f>(Table3[[#This Row],[HomeMargin]]-Table3[[#This Row],[HomeForecast]])^2</f>
        <v>9.1111219106717023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-0.35980189119414741</v>
      </c>
      <c r="J420">
        <f>(Table3[[#This Row],[HomeMargin]]-Table3[[#This Row],[HomeForecast]])^2</f>
        <v>2.6902498361302953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0.27761144256893178</v>
      </c>
      <c r="J421">
        <f>(Table3[[#This Row],[HomeMargin]]-Table3[[#This Row],[HomeForecast]])^2</f>
        <v>10.742736768458796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0.20299463363963732</v>
      </c>
      <c r="J422">
        <f>(Table3[[#This Row],[HomeMargin]]-Table3[[#This Row],[HomeForecast]])^2</f>
        <v>14.417249752169393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-0.5964409862080009</v>
      </c>
      <c r="J423">
        <f>(Table3[[#This Row],[HomeMargin]]-Table3[[#This Row],[HomeForecast]])^2</f>
        <v>2.5486238224447746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-0.74974821904897015</v>
      </c>
      <c r="J424">
        <f>(Table3[[#This Row],[HomeMargin]]-Table3[[#This Row],[HomeForecast]])^2</f>
        <v>3.0616188300650427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0.70912939886187831</v>
      </c>
      <c r="J425">
        <f>(Table3[[#This Row],[HomeMargin]]-Table3[[#This Row],[HomeForecast]])^2</f>
        <v>8.460570660645228E-2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-0.43902233172523941</v>
      </c>
      <c r="J426">
        <f>(Table3[[#This Row],[HomeMargin]]-Table3[[#This Row],[HomeForecast]])^2</f>
        <v>43.046427963600109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0.37345984352223083</v>
      </c>
      <c r="J427">
        <f>(Table3[[#This Row],[HomeMargin]]-Table3[[#This Row],[HomeForecast]])^2</f>
        <v>0.3925525676791875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-0.66100755210690776</v>
      </c>
      <c r="J428">
        <f>(Table3[[#This Row],[HomeMargin]]-Table3[[#This Row],[HomeForecast]])^2</f>
        <v>5.4708856713009197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-7.2173866014105026E-2</v>
      </c>
      <c r="J429">
        <f>(Table3[[#This Row],[HomeMargin]]-Table3[[#This Row],[HomeForecast]])^2</f>
        <v>9.4382522630200523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-0.56662693962494159</v>
      </c>
      <c r="J430">
        <f>(Table3[[#This Row],[HomeMargin]]-Table3[[#This Row],[HomeForecast]])^2</f>
        <v>29.521542813209425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1.2911392061210438</v>
      </c>
      <c r="J431">
        <f>(Table3[[#This Row],[HomeMargin]]-Table3[[#This Row],[HomeForecast]])^2</f>
        <v>2.9202052128566165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0.43172490456421586</v>
      </c>
      <c r="J432">
        <f>(Table3[[#This Row],[HomeMargin]]-Table3[[#This Row],[HomeForecast]])^2</f>
        <v>19.640185629734706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-0.10808017425046026</v>
      </c>
      <c r="J433">
        <f>(Table3[[#This Row],[HomeMargin]]-Table3[[#This Row],[HomeForecast]])^2</f>
        <v>1.2278416725669303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-0.73546468321447311</v>
      </c>
      <c r="J434">
        <f>(Table3[[#This Row],[HomeMargin]]-Table3[[#This Row],[HomeForecast]])^2</f>
        <v>13.953696399542602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0.35301988561960307</v>
      </c>
      <c r="J435">
        <f>(Table3[[#This Row],[HomeMargin]]-Table3[[#This Row],[HomeForecast]])^2</f>
        <v>21.594424183446847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0.54568891377218087</v>
      </c>
      <c r="J436">
        <f>(Table3[[#This Row],[HomeMargin]]-Table3[[#This Row],[HomeForecast]])^2</f>
        <v>2.3891542181582239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0.41984597527105311</v>
      </c>
      <c r="J437">
        <f>(Table3[[#This Row],[HomeMargin]]-Table3[[#This Row],[HomeForecast]])^2</f>
        <v>2.0159625934934078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-1.3173736735875612</v>
      </c>
      <c r="J438">
        <f>(Table3[[#This Row],[HomeMargin]]-Table3[[#This Row],[HomeForecast]])^2</f>
        <v>18.63971543738695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0.42793424312441075</v>
      </c>
      <c r="J439">
        <f>(Table3[[#This Row],[HomeMargin]]-Table3[[#This Row],[HomeForecast]])^2</f>
        <v>5.8948646889361056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1.1115634619365078</v>
      </c>
      <c r="J440">
        <f>(Table3[[#This Row],[HomeMargin]]-Table3[[#This Row],[HomeForecast]])^2</f>
        <v>4.4587002537852909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-0.51461095808713531</v>
      </c>
      <c r="J441">
        <f>(Table3[[#This Row],[HomeMargin]]-Table3[[#This Row],[HomeForecast]])^2</f>
        <v>2.2940463543576297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1.0166958390824092</v>
      </c>
      <c r="J442">
        <f>(Table3[[#This Row],[HomeMargin]]-Table3[[#This Row],[HomeForecast]])^2</f>
        <v>3.9334953947130287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-0.27725676280625056</v>
      </c>
      <c r="J443">
        <f>(Table3[[#This Row],[HomeMargin]]-Table3[[#This Row],[HomeForecast]])^2</f>
        <v>7.4133307356842986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-1.0068986410120755</v>
      </c>
      <c r="J444">
        <f>(Table3[[#This Row],[HomeMargin]]-Table3[[#This Row],[HomeForecast]])^2</f>
        <v>3.9724530271995113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-0.1661631730656416</v>
      </c>
      <c r="J445">
        <f>(Table3[[#This Row],[HomeMargin]]-Table3[[#This Row],[HomeForecast]])^2</f>
        <v>10.024589238477091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0.58541175070554297</v>
      </c>
      <c r="J446">
        <f>(Table3[[#This Row],[HomeMargin]]-Table3[[#This Row],[HomeForecast]])^2</f>
        <v>5.830236413630872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0.95895031670651898</v>
      </c>
      <c r="J447">
        <f>(Table3[[#This Row],[HomeMargin]]-Table3[[#This Row],[HomeForecast]])^2</f>
        <v>4.1658838096724189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-0.68432646678412112</v>
      </c>
      <c r="J448">
        <f>(Table3[[#This Row],[HomeMargin]]-Table3[[#This Row],[HomeForecast]])^2</f>
        <v>7.2056085802777234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0.30538977158002056</v>
      </c>
      <c r="J449">
        <f>(Table3[[#This Row],[HomeMargin]]-Table3[[#This Row],[HomeForecast]])^2</f>
        <v>13.650144739945532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0.35280621650180266</v>
      </c>
      <c r="J450">
        <f>(Table3[[#This Row],[HomeMargin]]-Table3[[#This Row],[HomeForecast]])^2</f>
        <v>0.41885979339871154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0.41984597527105311</v>
      </c>
      <c r="J451">
        <f>(Table3[[#This Row],[HomeMargin]]-Table3[[#This Row],[HomeForecast]])^2</f>
        <v>31.138118939698668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-1.9335768404504272</v>
      </c>
      <c r="J452">
        <f>(Table3[[#This Row],[HomeMargin]]-Table3[[#This Row],[HomeForecast]])^2</f>
        <v>0.87156571702540242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1.0449210315978492</v>
      </c>
      <c r="J453">
        <f>(Table3[[#This Row],[HomeMargin]]-Table3[[#This Row],[HomeForecast]])^2</f>
        <v>4.1817020254712114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-3.2939158994697369E-2</v>
      </c>
      <c r="J454">
        <f>(Table3[[#This Row],[HomeMargin]]-Table3[[#This Row],[HomeForecast]])^2</f>
        <v>0.93520667020588322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0.87011414172826607</v>
      </c>
      <c r="J455">
        <f>(Table3[[#This Row],[HomeMargin]]-Table3[[#This Row],[HomeForecast]])^2</f>
        <v>8.2375551865485814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0.11178489757461384</v>
      </c>
      <c r="J456">
        <f>(Table3[[#This Row],[HomeMargin]]-Table3[[#This Row],[HomeForecast]])^2</f>
        <v>1.2360656584749947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-1.0580368574424273</v>
      </c>
      <c r="J457">
        <f>(Table3[[#This Row],[HomeMargin]]-Table3[[#This Row],[HomeForecast]])^2</f>
        <v>9.3515894214763566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0.26503690837806515</v>
      </c>
      <c r="J458">
        <f>(Table3[[#This Row],[HomeMargin]]-Table3[[#This Row],[HomeForecast]])^2</f>
        <v>32.889801662265818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0.83182021906494819</v>
      </c>
      <c r="J459">
        <f>(Table3[[#This Row],[HomeMargin]]-Table3[[#This Row],[HomeForecast]])^2</f>
        <v>14.682846191234946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0.64866752791461102</v>
      </c>
      <c r="J460">
        <f>(Table3[[#This Row],[HomeMargin]]-Table3[[#This Row],[HomeForecast]])^2</f>
        <v>0.12343450594163062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-0.19091881524542972</v>
      </c>
      <c r="J461">
        <f>(Table3[[#This Row],[HomeMargin]]-Table3[[#This Row],[HomeForecast]])^2</f>
        <v>10.181962885487296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1.1856958964066484</v>
      </c>
      <c r="J462">
        <f>(Table3[[#This Row],[HomeMargin]]-Table3[[#This Row],[HomeForecast]])^2</f>
        <v>4.7772665515688626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-0.36599742974831295</v>
      </c>
      <c r="J463">
        <f>(Table3[[#This Row],[HomeMargin]]-Table3[[#This Row],[HomeForecast]])^2</f>
        <v>0.40195925908574537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-1.6443382689879116</v>
      </c>
      <c r="J464">
        <f>(Table3[[#This Row],[HomeMargin]]-Table3[[#This Row],[HomeForecast]])^2</f>
        <v>0.41517180488233829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0.77454749551639934</v>
      </c>
      <c r="J465">
        <f>(Table3[[#This Row],[HomeMargin]]-Table3[[#This Row],[HomeForecast]])^2</f>
        <v>1.5017338407451293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-0.54797505551087</v>
      </c>
      <c r="J466">
        <f>(Table3[[#This Row],[HomeMargin]]-Table3[[#This Row],[HomeForecast]])^2</f>
        <v>12.588126994527359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-0.40128291480882727</v>
      </c>
      <c r="J467">
        <f>(Table3[[#This Row],[HomeMargin]]-Table3[[#This Row],[HomeForecast]])^2</f>
        <v>6.7533304888645063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-0.80582330308330841</v>
      </c>
      <c r="J468">
        <f>(Table3[[#This Row],[HomeMargin]]-Table3[[#This Row],[HomeForecast]])^2</f>
        <v>7.8726444081253275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0.55788642035251668</v>
      </c>
      <c r="J469">
        <f>(Table3[[#This Row],[HomeMargin]]-Table3[[#This Row],[HomeForecast]])^2</f>
        <v>6.5427829394238115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-0.68969310162829744</v>
      </c>
      <c r="J470">
        <f>(Table3[[#This Row],[HomeMargin]]-Table3[[#This Row],[HomeForecast]])^2</f>
        <v>10.958131761407282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0.76606761943614066</v>
      </c>
      <c r="J471">
        <f>(Table3[[#This Row],[HomeMargin]]-Table3[[#This Row],[HomeForecast]])^2</f>
        <v>4.990453880931712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2.3900207542463525E-3</v>
      </c>
      <c r="J472">
        <f>(Table3[[#This Row],[HomeMargin]]-Table3[[#This Row],[HomeForecast]])^2</f>
        <v>1.0047857537076985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-0.78077162289778967</v>
      </c>
      <c r="J473">
        <f>(Table3[[#This Row],[HomeMargin]]-Table3[[#This Row],[HomeForecast]])^2</f>
        <v>17.801888098144548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-2.0539814026051717</v>
      </c>
      <c r="J474">
        <f>(Table3[[#This Row],[HomeMargin]]-Table3[[#This Row],[HomeForecast]])^2</f>
        <v>9.3268024074582527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0.25020573711455307</v>
      </c>
      <c r="J475">
        <f>(Table3[[#This Row],[HomeMargin]]-Table3[[#This Row],[HomeForecast]])^2</f>
        <v>0.56219143665593074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0.33919357618234836</v>
      </c>
      <c r="J476">
        <f>(Table3[[#This Row],[HomeMargin]]-Table3[[#This Row],[HomeForecast]])^2</f>
        <v>1.7934394344880673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0.41934961373582214</v>
      </c>
      <c r="J477">
        <f>(Table3[[#This Row],[HomeMargin]]-Table3[[#This Row],[HomeForecast]])^2</f>
        <v>6.6597564161254503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0.45284890739012451</v>
      </c>
      <c r="J478">
        <f>(Table3[[#This Row],[HomeMargin]]-Table3[[#This Row],[HomeForecast]])^2</f>
        <v>2.1107699477046786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-1.0174660506007787</v>
      </c>
      <c r="J479">
        <f>(Table3[[#This Row],[HomeMargin]]-Table3[[#This Row],[HomeForecast]])^2</f>
        <v>3.9304408605204744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-0.55449895463799104</v>
      </c>
      <c r="J480">
        <f>(Table3[[#This Row],[HomeMargin]]-Table3[[#This Row],[HomeForecast]])^2</f>
        <v>0.19847118141864276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-0.36712092740034319</v>
      </c>
      <c r="J481">
        <f>(Table3[[#This Row],[HomeMargin]]-Table3[[#This Row],[HomeForecast]])^2</f>
        <v>0.40053592053460169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6.7377764166832554E-2</v>
      </c>
      <c r="J482">
        <f>(Table3[[#This Row],[HomeMargin]]-Table3[[#This Row],[HomeForecast]])^2</f>
        <v>8.6002731781031265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7.0905144213908811E-2</v>
      </c>
      <c r="J483">
        <f>(Table3[[#This Row],[HomeMargin]]-Table3[[#This Row],[HomeForecast]])^2</f>
        <v>0.86321725104817759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0.48298923041283337</v>
      </c>
      <c r="J484">
        <f>(Table3[[#This Row],[HomeMargin]]-Table3[[#This Row],[HomeForecast]])^2</f>
        <v>2.1992570575204478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-8.178295248851182E-2</v>
      </c>
      <c r="J485">
        <f>(Table3[[#This Row],[HomeMargin]]-Table3[[#This Row],[HomeForecast]])^2</f>
        <v>8.5159907363866676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1.9188022221133887</v>
      </c>
      <c r="J486">
        <f>(Table3[[#This Row],[HomeMargin]]-Table3[[#This Row],[HomeForecast]])^2</f>
        <v>4.3313841906801693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0.18324414886477311</v>
      </c>
      <c r="J487">
        <f>(Table3[[#This Row],[HomeMargin]]-Table3[[#This Row],[HomeForecast]])^2</f>
        <v>7.9341135249045367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-6.4009576108613686E-2</v>
      </c>
      <c r="J488">
        <f>(Table3[[#This Row],[HomeMargin]]-Table3[[#This Row],[HomeForecast]])^2</f>
        <v>9.3881546824852862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-1.1239034861288046</v>
      </c>
      <c r="J489">
        <f>(Table3[[#This Row],[HomeMargin]]-Table3[[#This Row],[HomeForecast]])^2</f>
        <v>8.2719311571020437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0.63341880407882656</v>
      </c>
      <c r="J490">
        <f>(Table3[[#This Row],[HomeMargin]]-Table3[[#This Row],[HomeForecast]])^2</f>
        <v>19.067031340572385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0.69429822759836624</v>
      </c>
      <c r="J491">
        <f>(Table3[[#This Row],[HomeMargin]]-Table3[[#This Row],[HomeForecast]])^2</f>
        <v>5.3162606632560356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-7.675885828579726E-2</v>
      </c>
      <c r="J492">
        <f>(Table3[[#This Row],[HomeMargin]]-Table3[[#This Row],[HomeForecast]])^2</f>
        <v>0.85237420575374467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7.9717894241679618E-2</v>
      </c>
      <c r="J493">
        <f>(Table3[[#This Row],[HomeMargin]]-Table3[[#This Row],[HomeForecast]])^2</f>
        <v>4.3252265196290454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0.53693189226086502</v>
      </c>
      <c r="J494">
        <f>(Table3[[#This Row],[HomeMargin]]-Table3[[#This Row],[HomeForecast]])^2</f>
        <v>2.3621596414485633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-0.87054722973882415</v>
      </c>
      <c r="J495">
        <f>(Table3[[#This Row],[HomeMargin]]-Table3[[#This Row],[HomeForecast]])^2</f>
        <v>1.6758019728292776E-2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-0.20522999771636102</v>
      </c>
      <c r="J496">
        <f>(Table3[[#This Row],[HomeMargin]]-Table3[[#This Row],[HomeForecast]])^2</f>
        <v>7.8107393656644906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0.14531645384039121</v>
      </c>
      <c r="J497">
        <f>(Table3[[#This Row],[HomeMargin]]-Table3[[#This Row],[HomeForecast]])^2</f>
        <v>1.311749779437529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-0.41069139712000574</v>
      </c>
      <c r="J498">
        <f>(Table3[[#This Row],[HomeMargin]]-Table3[[#This Row],[HomeForecast]])^2</f>
        <v>1.9900502179083936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0.62381785389874045</v>
      </c>
      <c r="J499">
        <f>(Table3[[#This Row],[HomeMargin]]-Table3[[#This Row],[HomeForecast]])^2</f>
        <v>1.8938772992478685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-0.29351929463267923</v>
      </c>
      <c r="J500">
        <f>(Table3[[#This Row],[HomeMargin]]-Table3[[#This Row],[HomeForecast]])^2</f>
        <v>0.49911498705630708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-0.25001712295939404</v>
      </c>
      <c r="J501">
        <f>(Table3[[#This Row],[HomeMargin]]-Table3[[#This Row],[HomeForecast]])^2</f>
        <v>14.062371578097741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2.3276545581254369</v>
      </c>
      <c r="J502">
        <f>(Table3[[#This Row],[HomeMargin]]-Table3[[#This Row],[HomeForecast]])^2</f>
        <v>0.10735750946037528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0.73497360071193163</v>
      </c>
      <c r="J503">
        <f>(Table3[[#This Row],[HomeMargin]]-Table3[[#This Row],[HomeForecast]])^2</f>
        <v>22.419974999438917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0.5369497797120022</v>
      </c>
      <c r="J504">
        <f>(Table3[[#This Row],[HomeMargin]]-Table3[[#This Row],[HomeForecast]])^2</f>
        <v>2.362214625356772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0.53147755533621099</v>
      </c>
      <c r="J505">
        <f>(Table3[[#This Row],[HomeMargin]]-Table3[[#This Row],[HomeForecast]])^2</f>
        <v>0.21951328115373323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0.16683572767756252</v>
      </c>
      <c r="J506">
        <f>(Table3[[#This Row],[HomeMargin]]-Table3[[#This Row],[HomeForecast]])^2</f>
        <v>8.0268197939643269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-0.5964409862080009</v>
      </c>
      <c r="J507">
        <f>(Table3[[#This Row],[HomeMargin]]-Table3[[#This Row],[HomeForecast]])^2</f>
        <v>2.5486238224447746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-0.29503595241294472</v>
      </c>
      <c r="J508">
        <f>(Table3[[#This Row],[HomeMargin]]-Table3[[#This Row],[HomeForecast]])^2</f>
        <v>1.6771181180421026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-0.27563402756899347</v>
      </c>
      <c r="J509">
        <f>(Table3[[#This Row],[HomeMargin]]-Table3[[#This Row],[HomeForecast]])^2</f>
        <v>0.52470606201591774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0.5048648889279308</v>
      </c>
      <c r="J510">
        <f>(Table3[[#This Row],[HomeMargin]]-Table3[[#This Row],[HomeForecast]])^2</f>
        <v>2.2646183339280737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0.17985496951682409</v>
      </c>
      <c r="J511">
        <f>(Table3[[#This Row],[HomeMargin]]-Table3[[#This Row],[HomeForecast]])^2</f>
        <v>10.111477627160841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-0.37810321070078867</v>
      </c>
      <c r="J512">
        <f>(Table3[[#This Row],[HomeMargin]]-Table3[[#This Row],[HomeForecast]])^2</f>
        <v>19.167787723548553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0.54930718308925874</v>
      </c>
      <c r="J513">
        <f>(Table3[[#This Row],[HomeMargin]]-Table3[[#This Row],[HomeForecast]])^2</f>
        <v>0.20312401521493895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0.28525938081301633</v>
      </c>
      <c r="J514">
        <f>(Table3[[#This Row],[HomeMargin]]-Table3[[#This Row],[HomeForecast]])^2</f>
        <v>13.799297867837696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0.20490664970234285</v>
      </c>
      <c r="J515">
        <f>(Table3[[#This Row],[HomeMargin]]-Table3[[#This Row],[HomeForecast]])^2</f>
        <v>7.8125468368781812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0.73471203696439846</v>
      </c>
      <c r="J516">
        <f>(Table3[[#This Row],[HomeMargin]]-Table3[[#This Row],[HomeForecast]])^2</f>
        <v>3.0092258511891727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-0.12301000209524757</v>
      </c>
      <c r="J517">
        <f>(Table3[[#This Row],[HomeMargin]]-Table3[[#This Row],[HomeForecast]])^2</f>
        <v>0.76911145642497758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-0.21379328710522413</v>
      </c>
      <c r="J518">
        <f>(Table3[[#This Row],[HomeMargin]]-Table3[[#This Row],[HomeForecast]])^2</f>
        <v>3.1905344211903603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0.80987079065161494</v>
      </c>
      <c r="J519">
        <f>(Table3[[#This Row],[HomeMargin]]-Table3[[#This Row],[HomeForecast]])^2</f>
        <v>4.7966659536409821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7.8095060735500127E-2</v>
      </c>
      <c r="J520">
        <f>(Table3[[#This Row],[HomeMargin]]-Table3[[#This Row],[HomeForecast]])^2</f>
        <v>9.4746692029242805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-0.35974564855856134</v>
      </c>
      <c r="J521">
        <f>(Table3[[#This Row],[HomeMargin]]-Table3[[#This Row],[HomeForecast]])^2</f>
        <v>6.9709430403054524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1.1978695347338284</v>
      </c>
      <c r="J522">
        <f>(Table3[[#This Row],[HomeMargin]]-Table3[[#This Row],[HomeForecast]])^2</f>
        <v>17.622108630646412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4.0988176806833601E-2</v>
      </c>
      <c r="J523">
        <f>(Table3[[#This Row],[HomeMargin]]-Table3[[#This Row],[HomeForecast]])^2</f>
        <v>1.0836563842516156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3.9551991137600884E-2</v>
      </c>
      <c r="J524">
        <f>(Table3[[#This Row],[HomeMargin]]-Table3[[#This Row],[HomeForecast]])^2</f>
        <v>8.7642524131773438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0.15057319585113385</v>
      </c>
      <c r="J525">
        <f>(Table3[[#This Row],[HomeMargin]]-Table3[[#This Row],[HomeForecast]])^2</f>
        <v>0.72152589560655622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-0.16197170197650687</v>
      </c>
      <c r="J526">
        <f>(Table3[[#This Row],[HomeMargin]]-Table3[[#This Row],[HomeForecast]])^2</f>
        <v>1.3501782361941799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0.11238616782858868</v>
      </c>
      <c r="J527">
        <f>(Table3[[#This Row],[HomeMargin]]-Table3[[#This Row],[HomeForecast]])^2</f>
        <v>23.888768972433304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0.2794705364706942</v>
      </c>
      <c r="J528">
        <f>(Table3[[#This Row],[HomeMargin]]-Table3[[#This Row],[HomeForecast]])^2</f>
        <v>10.754926999579384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0.64597137002233607</v>
      </c>
      <c r="J529">
        <f>(Table3[[#This Row],[HomeMargin]]-Table3[[#This Row],[HomeForecast]])^2</f>
        <v>13.293107231022551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0.14778796618388987</v>
      </c>
      <c r="J530">
        <f>(Table3[[#This Row],[HomeMargin]]-Table3[[#This Row],[HomeForecast]])^2</f>
        <v>4.61299314768433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-1.7859576900790306</v>
      </c>
      <c r="J531">
        <f>(Table3[[#This Row],[HomeMargin]]-Table3[[#This Row],[HomeForecast]])^2</f>
        <v>4.5814110436304317E-2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0.33012473128120801</v>
      </c>
      <c r="J532">
        <f>(Table3[[#This Row],[HomeMargin]]-Table3[[#This Row],[HomeForecast]])^2</f>
        <v>7.1282339505162415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0.6131162413409913</v>
      </c>
      <c r="J533">
        <f>(Table3[[#This Row],[HomeMargin]]-Table3[[#This Row],[HomeForecast]])^2</f>
        <v>0.14967904271412208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-0.18036896162364532</v>
      </c>
      <c r="J534">
        <f>(Table3[[#This Row],[HomeMargin]]-Table3[[#This Row],[HomeForecast]])^2</f>
        <v>7.9503191925753205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0.21173376769981594</v>
      </c>
      <c r="J535">
        <f>(Table3[[#This Row],[HomeMargin]]-Table3[[#This Row],[HomeForecast]])^2</f>
        <v>0.62136365298472784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-0.68527716118625359</v>
      </c>
      <c r="J536">
        <f>(Table3[[#This Row],[HomeMargin]]-Table3[[#This Row],[HomeForecast]])^2</f>
        <v>5.3579418205259683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-0.675399475124285</v>
      </c>
      <c r="J537">
        <f>(Table3[[#This Row],[HomeMargin]]-Table3[[#This Row],[HomeForecast]])^2</f>
        <v>2.8069634012467293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0.55092991832651572</v>
      </c>
      <c r="J538">
        <f>(Table3[[#This Row],[HomeMargin]]-Table3[[#This Row],[HomeForecast]])^2</f>
        <v>2.4053836115602927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0.31034995941673832</v>
      </c>
      <c r="J539">
        <f>(Table3[[#This Row],[HomeMargin]]-Table3[[#This Row],[HomeForecast]])^2</f>
        <v>5.3377169349769256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0.3458470215343703</v>
      </c>
      <c r="J540">
        <f>(Table3[[#This Row],[HomeMargin]]-Table3[[#This Row],[HomeForecast]])^2</f>
        <v>2.736222076166714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-0.47642393006459016</v>
      </c>
      <c r="J541">
        <f>(Table3[[#This Row],[HomeMargin]]-Table3[[#This Row],[HomeForecast]])^2</f>
        <v>6.3684361807506482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-0.1973451906455132</v>
      </c>
      <c r="J542">
        <f>(Table3[[#This Row],[HomeMargin]]-Table3[[#This Row],[HomeForecast]])^2</f>
        <v>4.8283258868529657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0.63816792152651003</v>
      </c>
      <c r="J543">
        <f>(Table3[[#This Row],[HomeMargin]]-Table3[[#This Row],[HomeForecast]])^2</f>
        <v>5.5782507669064065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5.3180396469786402E-2</v>
      </c>
      <c r="J544">
        <f>(Table3[[#This Row],[HomeMargin]]-Table3[[#This Row],[HomeForecast]])^2</f>
        <v>15.577384982810392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-0.74302268356214396</v>
      </c>
      <c r="J545">
        <f>(Table3[[#This Row],[HomeMargin]]-Table3[[#This Row],[HomeForecast]])^2</f>
        <v>1.5799919740393138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-0.48015021071330583</v>
      </c>
      <c r="J546">
        <f>(Table3[[#This Row],[HomeMargin]]-Table3[[#This Row],[HomeForecast]])^2</f>
        <v>0.2702438034214204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1.2727667246735117</v>
      </c>
      <c r="J547">
        <f>(Table3[[#This Row],[HomeMargin]]-Table3[[#This Row],[HomeForecast]])^2</f>
        <v>5.1654685847831621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0.44020478064447444</v>
      </c>
      <c r="J548">
        <f>(Table3[[#This Row],[HomeMargin]]-Table3[[#This Row],[HomeForecast]])^2</f>
        <v>12.672142003746455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-0.69100670202433767</v>
      </c>
      <c r="J549">
        <f>(Table3[[#This Row],[HomeMargin]]-Table3[[#This Row],[HomeForecast]])^2</f>
        <v>18.567423241999172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2.0120007315597133</v>
      </c>
      <c r="J550">
        <f>(Table3[[#This Row],[HomeMargin]]-Table3[[#This Row],[HomeForecast]])^2</f>
        <v>1.0241454806773949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-0.27642482517420541</v>
      </c>
      <c r="J551">
        <f>(Table3[[#This Row],[HomeMargin]]-Table3[[#This Row],[HomeForecast]])^2</f>
        <v>1.6292603343210008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1.262174536885202</v>
      </c>
      <c r="J552">
        <f>(Table3[[#This Row],[HomeMargin]]-Table3[[#This Row],[HomeForecast]])^2</f>
        <v>18.166131782872586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0.68269633732807478</v>
      </c>
      <c r="J553">
        <f>(Table3[[#This Row],[HomeMargin]]-Table3[[#This Row],[HomeForecast]])^2</f>
        <v>2.8314669636573182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0.12309995966913137</v>
      </c>
      <c r="J554">
        <f>(Table3[[#This Row],[HomeMargin]]-Table3[[#This Row],[HomeForecast]])^2</f>
        <v>0.7689536807322791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1.1832872099098088</v>
      </c>
      <c r="J555">
        <f>(Table3[[#This Row],[HomeMargin]]-Table3[[#This Row],[HomeForecast]])^2</f>
        <v>4.766743040955757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1.8882426134019914E-2</v>
      </c>
      <c r="J556">
        <f>(Table3[[#This Row],[HomeMargin]]-Table3[[#This Row],[HomeForecast]])^2</f>
        <v>0.96259169374866693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-0.55256004778256218</v>
      </c>
      <c r="J557">
        <f>(Table3[[#This Row],[HomeMargin]]-Table3[[#This Row],[HomeForecast]])^2</f>
        <v>12.62068289310084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1.0422711400908748</v>
      </c>
      <c r="J558">
        <f>(Table3[[#This Row],[HomeMargin]]-Table3[[#This Row],[HomeForecast]])^2</f>
        <v>25.424498250193334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0.45877276246962201</v>
      </c>
      <c r="J559">
        <f>(Table3[[#This Row],[HomeMargin]]-Table3[[#This Row],[HomeForecast]])^2</f>
        <v>6.4578358727662772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0.19395526127858559</v>
      </c>
      <c r="J560">
        <f>(Table3[[#This Row],[HomeMargin]]-Table3[[#This Row],[HomeForecast]])^2</f>
        <v>14.485976553148959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-0.39038883438217042</v>
      </c>
      <c r="J561">
        <f>(Table3[[#This Row],[HomeMargin]]-Table3[[#This Row],[HomeForecast]])^2</f>
        <v>5.7139587795389506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-0.15240199370238311</v>
      </c>
      <c r="J562">
        <f>(Table3[[#This Row],[HomeMargin]]-Table3[[#This Row],[HomeForecast]])^2</f>
        <v>1.3280303550892274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0.49739305671771084</v>
      </c>
      <c r="J563">
        <f>(Table3[[#This Row],[HomeMargin]]-Table3[[#This Row],[HomeForecast]])^2</f>
        <v>2.2578276260001449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-4.0570371244378067E-3</v>
      </c>
      <c r="J564">
        <f>(Table3[[#This Row],[HomeMargin]]-Table3[[#This Row],[HomeForecast]])^2</f>
        <v>3.9837883110524781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0.7846081317994904</v>
      </c>
      <c r="J565">
        <f>(Table3[[#This Row],[HomeMargin]]-Table3[[#This Row],[HomeForecast]])^2</f>
        <v>1.4771773932879249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0.52963074350580641</v>
      </c>
      <c r="J566">
        <f>(Table3[[#This Row],[HomeMargin]]-Table3[[#This Row],[HomeForecast]])^2</f>
        <v>12.458293185501351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0.38305475228332725</v>
      </c>
      <c r="J567">
        <f>(Table3[[#This Row],[HomeMargin]]-Table3[[#This Row],[HomeForecast]])^2</f>
        <v>19.211168961513462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0.6166005245816768</v>
      </c>
      <c r="J568">
        <f>(Table3[[#This Row],[HomeMargin]]-Table3[[#This Row],[HomeForecast]])^2</f>
        <v>11.447392010260984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-0.25595758798554125</v>
      </c>
      <c r="J569">
        <f>(Table3[[#This Row],[HomeMargin]]-Table3[[#This Row],[HomeForecast]])^2</f>
        <v>1.5774294628184582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-2.1949715174458817E-3</v>
      </c>
      <c r="J570">
        <f>(Table3[[#This Row],[HomeMargin]]-Table3[[#This Row],[HomeForecast]])^2</f>
        <v>1.004394760934854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-1.2478381975100707</v>
      </c>
      <c r="J571">
        <f>(Table3[[#This Row],[HomeMargin]]-Table3[[#This Row],[HomeForecast]])^2</f>
        <v>7.5743945870846163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-0.27267177053455838</v>
      </c>
      <c r="J572">
        <f>(Table3[[#This Row],[HomeMargin]]-Table3[[#This Row],[HomeForecast]])^2</f>
        <v>2.9836628123082178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1.6432015605388151E-2</v>
      </c>
      <c r="J573">
        <f>(Table3[[#This Row],[HomeMargin]]-Table3[[#This Row],[HomeForecast]])^2</f>
        <v>0.96740597992607957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7.9717894241679618E-2</v>
      </c>
      <c r="J574">
        <f>(Table3[[#This Row],[HomeMargin]]-Table3[[#This Row],[HomeForecast]])^2</f>
        <v>0.84691915417896835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0.57618773985915794</v>
      </c>
      <c r="J575">
        <f>(Table3[[#This Row],[HomeMargin]]-Table3[[#This Row],[HomeForecast]])^2</f>
        <v>0.17961683184568877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4.7958944413368482E-2</v>
      </c>
      <c r="J576">
        <f>(Table3[[#This Row],[HomeMargin]]-Table3[[#This Row],[HomeForecast]])^2</f>
        <v>4.1941358380027181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0.2779090265621193</v>
      </c>
      <c r="J577">
        <f>(Table3[[#This Row],[HomeMargin]]-Table3[[#This Row],[HomeForecast]])^2</f>
        <v>5.1888695332931825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0.93520994148485181</v>
      </c>
      <c r="J578">
        <f>(Table3[[#This Row],[HomeMargin]]-Table3[[#This Row],[HomeForecast]])^2</f>
        <v>4.2633579857429886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2.1033040970645707</v>
      </c>
      <c r="J579">
        <f>(Table3[[#This Row],[HomeMargin]]-Table3[[#This Row],[HomeForecast]])^2</f>
        <v>0.80406354234118493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0.24227988747452806</v>
      </c>
      <c r="J580">
        <f>(Table3[[#This Row],[HomeMargin]]-Table3[[#This Row],[HomeForecast]])^2</f>
        <v>17.996938643670898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0.55009798069447069</v>
      </c>
      <c r="J581">
        <f>(Table3[[#This Row],[HomeMargin]]-Table3[[#This Row],[HomeForecast]])^2</f>
        <v>12.603195672530958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-0.22186080729568317</v>
      </c>
      <c r="J582">
        <f>(Table3[[#This Row],[HomeMargin]]-Table3[[#This Row],[HomeForecast]])^2</f>
        <v>3.1617789886311596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1.5726495694606879</v>
      </c>
      <c r="J583">
        <f>(Table3[[#This Row],[HomeMargin]]-Table3[[#This Row],[HomeForecast]])^2</f>
        <v>0.32792752940351122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-0.43235333192274361</v>
      </c>
      <c r="J584">
        <f>(Table3[[#This Row],[HomeMargin]]-Table3[[#This Row],[HomeForecast]])^2</f>
        <v>2.0516360674701852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0.68720165402524891</v>
      </c>
      <c r="J585">
        <f>(Table3[[#This Row],[HomeMargin]]-Table3[[#This Row],[HomeForecast]])^2</f>
        <v>10.974632881093045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0.20276801130635641</v>
      </c>
      <c r="J586">
        <f>(Table3[[#This Row],[HomeMargin]]-Table3[[#This Row],[HomeForecast]])^2</f>
        <v>1.4466508890218475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0.94297978285523354</v>
      </c>
      <c r="J587">
        <f>(Table3[[#This Row],[HomeMargin]]-Table3[[#This Row],[HomeForecast]])^2</f>
        <v>3.7751704365841703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0.66429907768093632</v>
      </c>
      <c r="J588">
        <f>(Table3[[#This Row],[HomeMargin]]-Table3[[#This Row],[HomeForecast]])^2</f>
        <v>0.11269510924587002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-7.0314772112342591E-2</v>
      </c>
      <c r="J589">
        <f>(Table3[[#This Row],[HomeMargin]]-Table3[[#This Row],[HomeForecast]])^2</f>
        <v>0.86431462295252548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0.16890358109306683</v>
      </c>
      <c r="J590">
        <f>(Table3[[#This Row],[HomeMargin]]-Table3[[#This Row],[HomeForecast]])^2</f>
        <v>8.0151069331476616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0.63294504978175192</v>
      </c>
      <c r="J591">
        <f>(Table3[[#This Row],[HomeMargin]]-Table3[[#This Row],[HomeForecast]])^2</f>
        <v>19.071168938225711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0.84702563063203296</v>
      </c>
      <c r="J592">
        <f>(Table3[[#This Row],[HomeMargin]]-Table3[[#This Row],[HomeForecast]])^2</f>
        <v>23.49365746400386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9.7769753109413216E-2</v>
      </c>
      <c r="J593">
        <f>(Table3[[#This Row],[HomeMargin]]-Table3[[#This Row],[HomeForecast]])^2</f>
        <v>8.4229404059665978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0.52115086742554784</v>
      </c>
      <c r="J594">
        <f>(Table3[[#This Row],[HomeMargin]]-Table3[[#This Row],[HomeForecast]])^2</f>
        <v>6.1446930220651135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-0.41352849850498369</v>
      </c>
      <c r="J595">
        <f>(Table3[[#This Row],[HomeMargin]]-Table3[[#This Row],[HomeForecast]])^2</f>
        <v>1.9980628160857534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1.0928801881625354</v>
      </c>
      <c r="J596">
        <f>(Table3[[#This Row],[HomeMargin]]-Table3[[#This Row],[HomeForecast]])^2</f>
        <v>4.3801474820032498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-0.92419637921356323</v>
      </c>
      <c r="J597">
        <f>(Table3[[#This Row],[HomeMargin]]-Table3[[#This Row],[HomeForecast]])^2</f>
        <v>1.1573534304972075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0.29164564465312054</v>
      </c>
      <c r="J598">
        <f>(Table3[[#This Row],[HomeMargin]]-Table3[[#This Row],[HomeForecast]])^2</f>
        <v>22.168600735513934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-0.48461180816970539</v>
      </c>
      <c r="J599">
        <f>(Table3[[#This Row],[HomeMargin]]-Table3[[#This Row],[HomeForecast]])^2</f>
        <v>0.26562498827810055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0.75303974462299861</v>
      </c>
      <c r="J600">
        <f>(Table3[[#This Row],[HomeMargin]]-Table3[[#This Row],[HomeForecast]])^2</f>
        <v>1.5549098784898765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-0.35974564855856134</v>
      </c>
      <c r="J601">
        <f>(Table3[[#This Row],[HomeMargin]]-Table3[[#This Row],[HomeForecast]])^2</f>
        <v>1.8489082287739425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0.25255976238341304</v>
      </c>
      <c r="J602">
        <f>(Table3[[#This Row],[HomeMargin]]-Table3[[#This Row],[HomeForecast]])^2</f>
        <v>3.0535473840415137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-0.37902374998889704</v>
      </c>
      <c r="J603">
        <f>(Table3[[#This Row],[HomeMargin]]-Table3[[#This Row],[HomeForecast]])^2</f>
        <v>6.8695165031222647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-1.4307428329419816</v>
      </c>
      <c r="J604">
        <f>(Table3[[#This Row],[HomeMargin]]-Table3[[#This Row],[HomeForecast]])^2</f>
        <v>0.18553938813088383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-0.35365280076924471</v>
      </c>
      <c r="J605">
        <f>(Table3[[#This Row],[HomeMargin]]-Table3[[#This Row],[HomeForecast]])^2</f>
        <v>0.41776470195344162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-0.40688845398709972</v>
      </c>
      <c r="J606">
        <f>(Table3[[#This Row],[HomeMargin]]-Table3[[#This Row],[HomeForecast]])^2</f>
        <v>5.7931120299364114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-0.3073760824877918</v>
      </c>
      <c r="J607">
        <f>(Table3[[#This Row],[HomeMargin]]-Table3[[#This Row],[HomeForecast]])^2</f>
        <v>13.635471396183208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4.7410614898800628E-2</v>
      </c>
      <c r="J608">
        <f>(Table3[[#This Row],[HomeMargin]]-Table3[[#This Row],[HomeForecast]])^2</f>
        <v>0.90742653660748118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-4.7828433309864971E-3</v>
      </c>
      <c r="J609">
        <f>(Table3[[#This Row],[HomeMargin]]-Table3[[#This Row],[HomeForecast]])^2</f>
        <v>9.0287199355762482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1.0544447784180548</v>
      </c>
      <c r="J610">
        <f>(Table3[[#This Row],[HomeMargin]]-Table3[[#This Row],[HomeForecast]])^2</f>
        <v>2.9642338969910901E-3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0.1888525592979389</v>
      </c>
      <c r="J611">
        <f>(Table3[[#This Row],[HomeMargin]]-Table3[[#This Row],[HomeForecast]])^2</f>
        <v>1.4133704077492593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0.83854575455177449</v>
      </c>
      <c r="J612">
        <f>(Table3[[#This Row],[HomeMargin]]-Table3[[#This Row],[HomeForecast]])^2</f>
        <v>2.6067473373255847E-2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-0.58704188016158931</v>
      </c>
      <c r="J613">
        <f>(Table3[[#This Row],[HomeMargin]]-Table3[[#This Row],[HomeForecast]])^2</f>
        <v>2.5187019293868325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1.993699412053072</v>
      </c>
      <c r="J614">
        <f>(Table3[[#This Row],[HomeMargin]]-Table3[[#This Row],[HomeForecast]])^2</f>
        <v>1.0126408733023329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-0.2849047012544641</v>
      </c>
      <c r="J615">
        <f>(Table3[[#This Row],[HomeMargin]]-Table3[[#This Row],[HomeForecast]])^2</f>
        <v>5.2207894938147525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0.35545610800877703</v>
      </c>
      <c r="J616">
        <f>(Table3[[#This Row],[HomeMargin]]-Table3[[#This Row],[HomeForecast]])^2</f>
        <v>11.259085692773411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0.79359052039373268</v>
      </c>
      <c r="J617">
        <f>(Table3[[#This Row],[HomeMargin]]-Table3[[#This Row],[HomeForecast]])^2</f>
        <v>3.2169669548462605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-0.97839922595005913</v>
      </c>
      <c r="J618">
        <f>(Table3[[#This Row],[HomeMargin]]-Table3[[#This Row],[HomeForecast]])^2</f>
        <v>1.0436681415394384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0.89184156642488155</v>
      </c>
      <c r="J619">
        <f>(Table3[[#This Row],[HomeMargin]]-Table3[[#This Row],[HomeForecast]])^2</f>
        <v>3.5790645124529497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-4.6068057671778295E-2</v>
      </c>
      <c r="J620">
        <f>(Table3[[#This Row],[HomeMargin]]-Table3[[#This Row],[HomeForecast]])^2</f>
        <v>8.7257139199069798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-3.171661605975535E-2</v>
      </c>
      <c r="J621">
        <f>(Table3[[#This Row],[HomeMargin]]-Table3[[#This Row],[HomeForecast]])^2</f>
        <v>3.8741394794952608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-0.54882540269603353</v>
      </c>
      <c r="J622">
        <f>(Table3[[#This Row],[HomeMargin]]-Table3[[#This Row],[HomeForecast]])^2</f>
        <v>0.20355851725239632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-6.5881785556409916E-3</v>
      </c>
      <c r="J623">
        <f>(Table3[[#This Row],[HomeMargin]]-Table3[[#This Row],[HomeForecast]])^2</f>
        <v>0.98686704698539907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-0.19011875237688483</v>
      </c>
      <c r="J624">
        <f>(Table3[[#This Row],[HomeMargin]]-Table3[[#This Row],[HomeForecast]])^2</f>
        <v>17.557095159020424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0.45491676080562882</v>
      </c>
      <c r="J625">
        <f>(Table3[[#This Row],[HomeMargin]]-Table3[[#This Row],[HomeForecast]])^2</f>
        <v>12.567615172816854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-0.66153678596458654</v>
      </c>
      <c r="J626">
        <f>(Table3[[#This Row],[HomeMargin]]-Table3[[#This Row],[HomeForecast]])^2</f>
        <v>5.4684102033968358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-1.1539026360462346</v>
      </c>
      <c r="J627">
        <f>(Table3[[#This Row],[HomeMargin]]-Table3[[#This Row],[HomeForecast]])^2</f>
        <v>2.3686021381979734E-2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0.12057404593370394</v>
      </c>
      <c r="J628">
        <f>(Table3[[#This Row],[HomeMargin]]-Table3[[#This Row],[HomeForecast]])^2</f>
        <v>1.2556861924202307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-0.33896461173663228</v>
      </c>
      <c r="J629">
        <f>(Table3[[#This Row],[HomeMargin]]-Table3[[#This Row],[HomeForecast]])^2</f>
        <v>18.826613901902821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2.824236784444131</v>
      </c>
      <c r="J630">
        <f>(Table3[[#This Row],[HomeMargin]]-Table3[[#This Row],[HomeForecast]])^2</f>
        <v>4.7339455701660151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0.52517235933248196</v>
      </c>
      <c r="J631">
        <f>(Table3[[#This Row],[HomeMargin]]-Table3[[#This Row],[HomeForecast]])^2</f>
        <v>12.426840163001737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0.25898220047538006</v>
      </c>
      <c r="J632">
        <f>(Table3[[#This Row],[HomeMargin]]-Table3[[#This Row],[HomeForecast]])^2</f>
        <v>0.54910737921230979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-3.667680389647307E-2</v>
      </c>
      <c r="J633">
        <f>(Table3[[#This Row],[HomeMargin]]-Table3[[#This Row],[HomeForecast]])^2</f>
        <v>15.707930756772278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-0.54217652969339769</v>
      </c>
      <c r="J634">
        <f>(Table3[[#This Row],[HomeMargin]]-Table3[[#This Row],[HomeForecast]])^2</f>
        <v>2.3783084487371706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0.76007514742332272</v>
      </c>
      <c r="J635">
        <f>(Table3[[#This Row],[HomeMargin]]-Table3[[#This Row],[HomeForecast]])^2</f>
        <v>7.6180148194238777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0.84702563063203296</v>
      </c>
      <c r="J636">
        <f>(Table3[[#This Row],[HomeMargin]]-Table3[[#This Row],[HomeForecast]])^2</f>
        <v>4.6352986351553946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0.40667322437869707</v>
      </c>
      <c r="J637">
        <f>(Table3[[#This Row],[HomeMargin]]-Table3[[#This Row],[HomeForecast]])^2</f>
        <v>5.7920760089413541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-0.81920703264227024</v>
      </c>
      <c r="J638">
        <f>(Table3[[#This Row],[HomeMargin]]-Table3[[#This Row],[HomeForecast]])^2</f>
        <v>3.309514227615094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-0.99909356915324654</v>
      </c>
      <c r="J639">
        <f>(Table3[[#This Row],[HomeMargin]]-Table3[[#This Row],[HomeForecast]])^2</f>
        <v>1.0018136833103868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0.11843931811299413</v>
      </c>
      <c r="J640">
        <f>(Table3[[#This Row],[HomeMargin]]-Table3[[#This Row],[HomeForecast]])^2</f>
        <v>26.198421053205013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-0.28225480974748968</v>
      </c>
      <c r="J641">
        <f>(Table3[[#This Row],[HomeMargin]]-Table3[[#This Row],[HomeForecast]])^2</f>
        <v>1.6441773971205711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0.19419553728853037</v>
      </c>
      <c r="J642">
        <f>(Table3[[#This Row],[HomeMargin]]-Table3[[#This Row],[HomeForecast]])^2</f>
        <v>0.64932083212572034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0.40486029028627368</v>
      </c>
      <c r="J643">
        <f>(Table3[[#This Row],[HomeMargin]]-Table3[[#This Row],[HomeForecast]])^2</f>
        <v>6.7347501129330452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0.34840816333671204</v>
      </c>
      <c r="J644">
        <f>(Table3[[#This Row],[HomeMargin]]-Table3[[#This Row],[HomeForecast]])^2</f>
        <v>0.42457192160623702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-0.4901605481555914</v>
      </c>
      <c r="J645">
        <f>(Table3[[#This Row],[HomeMargin]]-Table3[[#This Row],[HomeForecast]])^2</f>
        <v>6.2992940740346413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0.42528435161743638</v>
      </c>
      <c r="J646">
        <f>(Table3[[#This Row],[HomeMargin]]-Table3[[#This Row],[HomeForecast]])^2</f>
        <v>19.583141592670152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-0.98298421822175142</v>
      </c>
      <c r="J647">
        <f>(Table3[[#This Row],[HomeMargin]]-Table3[[#This Row],[HomeForecast]])^2</f>
        <v>3.9322264097165305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-0.5199173648734674</v>
      </c>
      <c r="J648">
        <f>(Table3[[#This Row],[HomeMargin]]-Table3[[#This Row],[HomeForecast]])^2</f>
        <v>0.23047933655003544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-1.2318676636587855</v>
      </c>
      <c r="J649">
        <f>(Table3[[#This Row],[HomeMargin]]-Table3[[#This Row],[HomeForecast]])^2</f>
        <v>0.59002728613301259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-0.28893430236098705</v>
      </c>
      <c r="J650">
        <f>(Table3[[#This Row],[HomeMargin]]-Table3[[#This Row],[HomeForecast]])^2</f>
        <v>18.394957449968729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7.0678521880627898E-2</v>
      </c>
      <c r="J651">
        <f>(Table3[[#This Row],[HomeMargin]]-Table3[[#This Row],[HomeForecast]])^2</f>
        <v>1.146352497216486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7.9477618231734853E-2</v>
      </c>
      <c r="J652">
        <f>(Table3[[#This Row],[HomeMargin]]-Table3[[#This Row],[HomeForecast]])^2</f>
        <v>9.4831824011901986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0.21140046452848399</v>
      </c>
      <c r="J653">
        <f>(Table3[[#This Row],[HomeMargin]]-Table3[[#This Row],[HomeForecast]])^2</f>
        <v>10.313092943573762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-0.33535148126260345</v>
      </c>
      <c r="J654">
        <f>(Table3[[#This Row],[HomeMargin]]-Table3[[#This Row],[HomeForecast]])^2</f>
        <v>1.7831635785102293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-0.4090231818078095</v>
      </c>
      <c r="J655">
        <f>(Table3[[#This Row],[HomeMargin]]-Table3[[#This Row],[HomeForecast]])^2</f>
        <v>11.621439054103043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0.34621889463544009</v>
      </c>
      <c r="J656">
        <f>(Table3[[#This Row],[HomeMargin]]-Table3[[#This Row],[HomeForecast]])^2</f>
        <v>0.42742973373170579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0.23268497871343163</v>
      </c>
      <c r="J657">
        <f>(Table3[[#This Row],[HomeMargin]]-Table3[[#This Row],[HomeForecast]])^2</f>
        <v>3.1234023844651442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-1.2059186175840408</v>
      </c>
      <c r="J658">
        <f>(Table3[[#This Row],[HomeMargin]]-Table3[[#This Row],[HomeForecast]])^2</f>
        <v>7.8068907715634772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-0.91202274088638313</v>
      </c>
      <c r="J659">
        <f>(Table3[[#This Row],[HomeMargin]]-Table3[[#This Row],[HomeForecast]])^2</f>
        <v>8.4798764434394442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-0.90961405438954368</v>
      </c>
      <c r="J660">
        <f>(Table3[[#This Row],[HomeMargin]]-Table3[[#This Row],[HomeForecast]])^2</f>
        <v>8.1696191638963682E-3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0.91648444422533304</v>
      </c>
      <c r="J661">
        <f>(Table3[[#This Row],[HomeMargin]]-Table3[[#This Row],[HomeForecast]])^2</f>
        <v>3.6729126249576836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-0.16543913377885802</v>
      </c>
      <c r="J662">
        <f>(Table3[[#This Row],[HomeMargin]]-Table3[[#This Row],[HomeForecast]])^2</f>
        <v>0.69649183942778292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-0.43545624334161304</v>
      </c>
      <c r="J663">
        <f>(Table3[[#This Row],[HomeMargin]]-Table3[[#This Row],[HomeForecast]])^2</f>
        <v>2.0605346265484159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0.59154884439615807</v>
      </c>
      <c r="J664">
        <f>(Table3[[#This Row],[HomeMargin]]-Table3[[#This Row],[HomeForecast]])^2</f>
        <v>2.533027724098746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-1.6451290665931235</v>
      </c>
      <c r="J665">
        <f>(Table3[[#This Row],[HomeMargin]]-Table3[[#This Row],[HomeForecast]])^2</f>
        <v>6.9967077789358099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-0.47613193208944682</v>
      </c>
      <c r="J666">
        <f>(Table3[[#This Row],[HomeMargin]]-Table3[[#This Row],[HomeForecast]])^2</f>
        <v>2.3221738883974425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-0.1973451906455132</v>
      </c>
      <c r="J667">
        <f>(Table3[[#This Row],[HomeMargin]]-Table3[[#This Row],[HomeForecast]])^2</f>
        <v>14.460183599106809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-0.33535148126260345</v>
      </c>
      <c r="J668">
        <f>(Table3[[#This Row],[HomeMargin]]-Table3[[#This Row],[HomeForecast]])^2</f>
        <v>5.4538665410354357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-0.4977638487498719</v>
      </c>
      <c r="J669">
        <f>(Table3[[#This Row],[HomeMargin]]-Table3[[#This Row],[HomeForecast]])^2</f>
        <v>0.25224115162254157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0.11053935599818418</v>
      </c>
      <c r="J670">
        <f>(Table3[[#This Row],[HomeMargin]]-Table3[[#This Row],[HomeForecast]])^2</f>
        <v>4.4543763732172295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0.78828411360740058</v>
      </c>
      <c r="J671">
        <f>(Table3[[#This Row],[HomeMargin]]-Table3[[#This Row],[HomeForecast]])^2</f>
        <v>4.8916871621214009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1.1442203852590893</v>
      </c>
      <c r="J672">
        <f>(Table3[[#This Row],[HomeMargin]]-Table3[[#This Row],[HomeForecast]])^2</f>
        <v>0.73235874900610154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-4.8039042257328357E-2</v>
      </c>
      <c r="J673">
        <f>(Table3[[#This Row],[HomeMargin]]-Table3[[#This Row],[HomeForecast]])^2</f>
        <v>9.2905420031249726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0.62104359814574417</v>
      </c>
      <c r="J674">
        <f>(Table3[[#This Row],[HomeMargin]]-Table3[[#This Row],[HomeForecast]])^2</f>
        <v>11.417346365631859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0.66429907768093632</v>
      </c>
      <c r="J675">
        <f>(Table3[[#This Row],[HomeMargin]]-Table3[[#This Row],[HomeForecast]])^2</f>
        <v>69.483909866350871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0.36733363219801585</v>
      </c>
      <c r="J676">
        <f>(Table3[[#This Row],[HomeMargin]]-Table3[[#This Row],[HomeForecast]])^2</f>
        <v>6.9309322041556909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-0.25286011175594358</v>
      </c>
      <c r="J677">
        <f>(Table3[[#This Row],[HomeMargin]]-Table3[[#This Row],[HomeForecast]])^2</f>
        <v>10.58109890665289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7.1083978131325082E-2</v>
      </c>
      <c r="J678">
        <f>(Table3[[#This Row],[HomeMargin]]-Table3[[#This Row],[HomeForecast]])^2</f>
        <v>8.5785490631590235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-0.58409610961942771</v>
      </c>
      <c r="J679">
        <f>(Table3[[#This Row],[HomeMargin]]-Table3[[#This Row],[HomeForecast]])^2</f>
        <v>6.6775527037502629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0.25520965389038741</v>
      </c>
      <c r="J680">
        <f>(Table3[[#This Row],[HomeMargin]]-Table3[[#This Row],[HomeForecast]])^2</f>
        <v>7.5338740440965273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-0.17074816533733383</v>
      </c>
      <c r="J681">
        <f>(Table3[[#This Row],[HomeMargin]]-Table3[[#This Row],[HomeForecast]])^2</f>
        <v>0.68765860529139777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0.68436455264027096</v>
      </c>
      <c r="J682">
        <f>(Table3[[#This Row],[HomeMargin]]-Table3[[#This Row],[HomeForecast]])^2</f>
        <v>10.993438419788351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0.34366162619092683</v>
      </c>
      <c r="J683">
        <f>(Table3[[#This Row],[HomeMargin]]-Table3[[#This Row],[HomeForecast]])^2</f>
        <v>1.8054265656980462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0.75527172596745906</v>
      </c>
      <c r="J684">
        <f>(Table3[[#This Row],[HomeMargin]]-Table3[[#This Row],[HomeForecast]])^2</f>
        <v>5.0388050242411104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0.48033933890585895</v>
      </c>
      <c r="J685">
        <f>(Table3[[#This Row],[HomeMargin]]-Table3[[#This Row],[HomeForecast]])^2</f>
        <v>2.3093685248770814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-3.9559166177069782E-2</v>
      </c>
      <c r="J686">
        <f>(Table3[[#This Row],[HomeMargin]]-Table3[[#This Row],[HomeForecast]])^2</f>
        <v>8.7642099305662047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0.86071503568185459</v>
      </c>
      <c r="J687">
        <f>(Table3[[#This Row],[HomeMargin]]-Table3[[#This Row],[HomeForecast]])^2</f>
        <v>4.5765401585576884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0.7798042375271419</v>
      </c>
      <c r="J688">
        <f>(Table3[[#This Row],[HomeMargin]]-Table3[[#This Row],[HomeForecast]])^2</f>
        <v>4.9292692237024358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1.9161523306064143</v>
      </c>
      <c r="J689">
        <f>(Table3[[#This Row],[HomeMargin]]-Table3[[#This Row],[HomeForecast]])^2</f>
        <v>16.677811786811418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0.96336625714856261</v>
      </c>
      <c r="J690">
        <f>(Table3[[#This Row],[HomeMargin]]-Table3[[#This Row],[HomeForecast]])^2</f>
        <v>9.2211444882239295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0.2802613340759062</v>
      </c>
      <c r="J691">
        <f>(Table3[[#This Row],[HomeMargin]]-Table3[[#This Row],[HomeForecast]])^2</f>
        <v>13.836455742770756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-0.59977115125747793</v>
      </c>
      <c r="J692">
        <f>(Table3[[#This Row],[HomeMargin]]-Table3[[#This Row],[HomeForecast]])^2</f>
        <v>2.5592677363956762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-0.36141243747662077</v>
      </c>
      <c r="J693">
        <f>(Table3[[#This Row],[HomeMargin]]-Table3[[#This Row],[HomeForecast]])^2</f>
        <v>6.9621443251030675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1.9254299235089749E-2</v>
      </c>
      <c r="J694">
        <f>(Table3[[#This Row],[HomeMargin]]-Table3[[#This Row],[HomeForecast]])^2</f>
        <v>1.0388793265092138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0.4228497574726946</v>
      </c>
      <c r="J695">
        <f>(Table3[[#This Row],[HomeMargin]]-Table3[[#This Row],[HomeForecast]])^2</f>
        <v>6.641703372558549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-0.40128291480882727</v>
      </c>
      <c r="J696">
        <f>(Table3[[#This Row],[HomeMargin]]-Table3[[#This Row],[HomeForecast]])^2</f>
        <v>0.35846214809981397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0.56719245015294439</v>
      </c>
      <c r="J697">
        <f>(Table3[[#This Row],[HomeMargin]]-Table3[[#This Row],[HomeForecast]])^2</f>
        <v>2.0529374748987226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-3.171661605975535E-2</v>
      </c>
      <c r="J698">
        <f>(Table3[[#This Row],[HomeMargin]]-Table3[[#This Row],[HomeForecast]])^2</f>
        <v>0.93757271161477118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-0.64281128870506787</v>
      </c>
      <c r="J699">
        <f>(Table3[[#This Row],[HomeMargin]]-Table3[[#This Row],[HomeForecast]])^2</f>
        <v>11.270716043246127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1.3884237927435756</v>
      </c>
      <c r="J700">
        <f>(Table3[[#This Row],[HomeMargin]]-Table3[[#This Row],[HomeForecast]])^2</f>
        <v>0.37402545728215292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0.11853525825349134</v>
      </c>
      <c r="J701">
        <f>(Table3[[#This Row],[HomeMargin]]-Table3[[#This Row],[HomeForecast]])^2</f>
        <v>15.06576854142129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0.67415241764760547</v>
      </c>
      <c r="J702">
        <f>(Table3[[#This Row],[HomeMargin]]-Table3[[#This Row],[HomeForecast]])^2</f>
        <v>53.668042799858419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0.57634407597225357</v>
      </c>
      <c r="J703">
        <f>(Table3[[#This Row],[HomeMargin]]-Table3[[#This Row],[HomeForecast]])^2</f>
        <v>2.0267961900192963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0.69092660418037788</v>
      </c>
      <c r="J704">
        <f>(Table3[[#This Row],[HomeMargin]]-Table3[[#This Row],[HomeForecast]])^2</f>
        <v>9.5526364003472808E-2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2.1347718608550585</v>
      </c>
      <c r="J705">
        <f>(Table3[[#This Row],[HomeMargin]]-Table3[[#This Row],[HomeForecast]])^2</f>
        <v>3.4790760110581012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0.2870884520733793</v>
      </c>
      <c r="J706">
        <f>(Table3[[#This Row],[HomeMargin]]-Table3[[#This Row],[HomeForecast]])^2</f>
        <v>1.6565966834606478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0.20637205383762303</v>
      </c>
      <c r="J707">
        <f>(Table3[[#This Row],[HomeMargin]]-Table3[[#This Row],[HomeForecast]])^2</f>
        <v>1.4553335322804049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0.25131422080698335</v>
      </c>
      <c r="J708">
        <f>(Table3[[#This Row],[HomeMargin]]-Table3[[#This Row],[HomeForecast]])^2</f>
        <v>18.073672604035686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8.5890829198688234E-2</v>
      </c>
      <c r="J709">
        <f>(Table3[[#This Row],[HomeMargin]]-Table3[[#This Row],[HomeForecast]])^2</f>
        <v>9.522722209732569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0.139486469267107</v>
      </c>
      <c r="J710">
        <f>(Table3[[#This Row],[HomeMargin]]-Table3[[#This Row],[HomeForecast]])^2</f>
        <v>1.2984294136428174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-0.92340558160835129</v>
      </c>
      <c r="J711">
        <f>(Table3[[#This Row],[HomeMargin]]-Table3[[#This Row],[HomeForecast]])^2</f>
        <v>16.618622052061944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0.69815304244900611</v>
      </c>
      <c r="J712">
        <f>(Table3[[#This Row],[HomeMargin]]-Table3[[#This Row],[HomeForecast]])^2</f>
        <v>2.8837237555788158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-0.74302268356214396</v>
      </c>
      <c r="J713">
        <f>(Table3[[#This Row],[HomeMargin]]-Table3[[#This Row],[HomeForecast]])^2</f>
        <v>3.0381280754121782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1.0527922200098947</v>
      </c>
      <c r="J714">
        <f>(Table3[[#This Row],[HomeMargin]]-Table3[[#This Row],[HomeForecast]])^2</f>
        <v>15.580449258414413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1.2566573737420166</v>
      </c>
      <c r="J715">
        <f>(Table3[[#This Row],[HomeMargin]]-Table3[[#This Row],[HomeForecast]])^2</f>
        <v>0.55255826001211605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0.29939857099298106</v>
      </c>
      <c r="J716">
        <f>(Table3[[#This Row],[HomeMargin]]-Table3[[#This Row],[HomeForecast]])^2</f>
        <v>0.490842362326677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-0.69375703726651228</v>
      </c>
      <c r="J717">
        <f>(Table3[[#This Row],[HomeMargin]]-Table3[[#This Row],[HomeForecast]])^2</f>
        <v>2.8688129012898336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-0.35927189426148676</v>
      </c>
      <c r="J718">
        <f>(Table3[[#This Row],[HomeMargin]]-Table3[[#This Row],[HomeForecast]])^2</f>
        <v>21.53635735139137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0.69895886915450345</v>
      </c>
      <c r="J719">
        <f>(Table3[[#This Row],[HomeMargin]]-Table3[[#This Row],[HomeForecast]])^2</f>
        <v>2.886461239078749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0.24334517522904936</v>
      </c>
      <c r="J720">
        <f>(Table3[[#This Row],[HomeMargin]]-Table3[[#This Row],[HomeForecast]])^2</f>
        <v>0.57252652384915792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0.34663781913958225</v>
      </c>
      <c r="J721">
        <f>(Table3[[#This Row],[HomeMargin]]-Table3[[#This Row],[HomeForecast]])^2</f>
        <v>1.8134334159370102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-0.29642469406403454</v>
      </c>
      <c r="J722">
        <f>(Table3[[#This Row],[HomeMargin]]-Table3[[#This Row],[HomeForecast]])^2</f>
        <v>7.3093194348667483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1.8004291459831339</v>
      </c>
      <c r="J723">
        <f>(Table3[[#This Row],[HomeMargin]]-Table3[[#This Row],[HomeForecast]])^2</f>
        <v>7.8424034016718247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-0.24747771190528259</v>
      </c>
      <c r="J724">
        <f>(Table3[[#This Row],[HomeMargin]]-Table3[[#This Row],[HomeForecast]])^2</f>
        <v>1.5562006417004395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-0.53619763513134977</v>
      </c>
      <c r="J725">
        <f>(Table3[[#This Row],[HomeMargin]]-Table3[[#This Row],[HomeForecast]])^2</f>
        <v>2.1427173633950529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0.73383455375842677</v>
      </c>
      <c r="J726">
        <f>(Table3[[#This Row],[HomeMargin]]-Table3[[#This Row],[HomeForecast]])^2</f>
        <v>13.941520474840388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1.0778439001954134</v>
      </c>
      <c r="J727">
        <f>(Table3[[#This Row],[HomeMargin]]-Table3[[#This Row],[HomeForecast]])^2</f>
        <v>3.6946840720159799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-1.0782572611264002E-2</v>
      </c>
      <c r="J728">
        <f>(Table3[[#This Row],[HomeMargin]]-Table3[[#This Row],[HomeForecast]])^2</f>
        <v>3.9569859734270612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-0.92340558160835129</v>
      </c>
      <c r="J729">
        <f>(Table3[[#This Row],[HomeMargin]]-Table3[[#This Row],[HomeForecast]])^2</f>
        <v>9.4654332152786456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-0.69100670202433767</v>
      </c>
      <c r="J730">
        <f>(Table3[[#This Row],[HomeMargin]]-Table3[[#This Row],[HomeForecast]])^2</f>
        <v>7.2415170703399019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0.35675753052137882</v>
      </c>
      <c r="J731">
        <f>(Table3[[#This Row],[HomeMargin]]-Table3[[#This Row],[HomeForecast]])^2</f>
        <v>6.9867307524554398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0.39587733091001553</v>
      </c>
      <c r="J732">
        <f>(Table3[[#This Row],[HomeMargin]]-Table3[[#This Row],[HomeForecast]])^2</f>
        <v>2.5732095374883763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-0.34737044262547895</v>
      </c>
      <c r="J733">
        <f>(Table3[[#This Row],[HomeMargin]]-Table3[[#This Row],[HomeForecast]])^2</f>
        <v>1.8154071096607789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0.93706903538661424</v>
      </c>
      <c r="J734">
        <f>(Table3[[#This Row],[HomeMargin]]-Table3[[#This Row],[HomeForecast]])^2</f>
        <v>3.9603063071712115E-3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-0.83789030641624263</v>
      </c>
      <c r="J735">
        <f>(Table3[[#This Row],[HomeMargin]]-Table3[[#This Row],[HomeForecast]])^2</f>
        <v>2.6279552753819706E-2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-1.1818593875049477</v>
      </c>
      <c r="J736">
        <f>(Table3[[#This Row],[HomeMargin]]-Table3[[#This Row],[HomeForecast]])^2</f>
        <v>17.487947936863254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0.36461615428257854</v>
      </c>
      <c r="J737">
        <f>(Table3[[#This Row],[HomeMargin]]-Table3[[#This Row],[HomeForecast]])^2</f>
        <v>21.48678339713803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-0.28411732469175432</v>
      </c>
      <c r="J738">
        <f>(Table3[[#This Row],[HomeMargin]]-Table3[[#This Row],[HomeForecast]])^2</f>
        <v>1.6489573035735083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0.41515310045895565</v>
      </c>
      <c r="J739">
        <f>(Table3[[#This Row],[HomeMargin]]-Table3[[#This Row],[HomeForecast]])^2</f>
        <v>0.34204589590277235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0.3458470215343703</v>
      </c>
      <c r="J740">
        <f>(Table3[[#This Row],[HomeMargin]]-Table3[[#This Row],[HomeForecast]])^2</f>
        <v>7.0445280330979738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-0.15244684583069257</v>
      </c>
      <c r="J741">
        <f>(Table3[[#This Row],[HomeMargin]]-Table3[[#This Row],[HomeForecast]])^2</f>
        <v>0.71834634914234186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7.7958094330798394E-2</v>
      </c>
      <c r="J742">
        <f>(Table3[[#This Row],[HomeMargin]]-Table3[[#This Row],[HomeForecast]])^2</f>
        <v>0.85016127581009293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-0.15426108760414553</v>
      </c>
      <c r="J743">
        <f>(Table3[[#This Row],[HomeMargin]]-Table3[[#This Row],[HomeForecast]])^2</f>
        <v>14.789707782315649</v>
      </c>
    </row>
    <row r="744" spans="4:10" x14ac:dyDescent="0.2">
      <c r="D744" t="s">
        <v>32</v>
      </c>
      <c r="F744" t="s">
        <v>21</v>
      </c>
    </row>
    <row r="745" spans="4:10" x14ac:dyDescent="0.2">
      <c r="D745" t="s">
        <v>18</v>
      </c>
      <c r="F745" t="s">
        <v>23</v>
      </c>
    </row>
    <row r="746" spans="4:10" x14ac:dyDescent="0.2">
      <c r="D746" t="s">
        <v>38</v>
      </c>
      <c r="F746" t="s">
        <v>28</v>
      </c>
    </row>
    <row r="747" spans="4:10" x14ac:dyDescent="0.2">
      <c r="D747" t="s">
        <v>16</v>
      </c>
      <c r="F747" t="s">
        <v>10</v>
      </c>
    </row>
    <row r="748" spans="4:10" x14ac:dyDescent="0.2">
      <c r="D748" t="s">
        <v>30</v>
      </c>
      <c r="F748" t="s">
        <v>17</v>
      </c>
    </row>
    <row r="749" spans="4:10" x14ac:dyDescent="0.2">
      <c r="D749" t="s">
        <v>40</v>
      </c>
      <c r="F749" t="s">
        <v>34</v>
      </c>
    </row>
    <row r="750" spans="4:10" x14ac:dyDescent="0.2">
      <c r="D750" t="s">
        <v>27</v>
      </c>
      <c r="F750" t="s">
        <v>14</v>
      </c>
    </row>
    <row r="751" spans="4:10" x14ac:dyDescent="0.2">
      <c r="D751" t="s">
        <v>39</v>
      </c>
      <c r="F751" t="s">
        <v>55</v>
      </c>
    </row>
    <row r="752" spans="4:10" x14ac:dyDescent="0.2">
      <c r="D752" t="s">
        <v>19</v>
      </c>
      <c r="F752" t="s">
        <v>20</v>
      </c>
    </row>
    <row r="753" spans="4:6" x14ac:dyDescent="0.2">
      <c r="D753" t="s">
        <v>33</v>
      </c>
      <c r="F753" t="s">
        <v>22</v>
      </c>
    </row>
    <row r="754" spans="4:6" x14ac:dyDescent="0.2">
      <c r="D754" t="s">
        <v>11</v>
      </c>
      <c r="F754" t="s">
        <v>25</v>
      </c>
    </row>
    <row r="755" spans="4:6" x14ac:dyDescent="0.2">
      <c r="D755" t="s">
        <v>29</v>
      </c>
      <c r="F755" t="s">
        <v>12</v>
      </c>
    </row>
    <row r="756" spans="4:6" x14ac:dyDescent="0.2">
      <c r="D756" t="s">
        <v>33</v>
      </c>
      <c r="F756" t="s">
        <v>26</v>
      </c>
    </row>
    <row r="757" spans="4:6" x14ac:dyDescent="0.2">
      <c r="D757" t="s">
        <v>31</v>
      </c>
      <c r="F757" t="s">
        <v>13</v>
      </c>
    </row>
    <row r="758" spans="4:6" x14ac:dyDescent="0.2">
      <c r="D758" t="s">
        <v>37</v>
      </c>
      <c r="F758" t="s">
        <v>35</v>
      </c>
    </row>
    <row r="759" spans="4:6" x14ac:dyDescent="0.2">
      <c r="D759" t="s">
        <v>13</v>
      </c>
      <c r="F759" t="s">
        <v>31</v>
      </c>
    </row>
    <row r="760" spans="4:6" x14ac:dyDescent="0.2">
      <c r="D760" t="s">
        <v>34</v>
      </c>
      <c r="F760" t="s">
        <v>23</v>
      </c>
    </row>
    <row r="761" spans="4:6" x14ac:dyDescent="0.2">
      <c r="D761" t="s">
        <v>30</v>
      </c>
      <c r="F761" t="s">
        <v>16</v>
      </c>
    </row>
    <row r="762" spans="4:6" x14ac:dyDescent="0.2">
      <c r="D762" t="s">
        <v>21</v>
      </c>
      <c r="F762" t="s">
        <v>10</v>
      </c>
    </row>
    <row r="763" spans="4:6" x14ac:dyDescent="0.2">
      <c r="D763" t="s">
        <v>25</v>
      </c>
      <c r="F763" t="s">
        <v>24</v>
      </c>
    </row>
    <row r="764" spans="4:6" x14ac:dyDescent="0.2">
      <c r="D764" t="s">
        <v>18</v>
      </c>
      <c r="F764" t="s">
        <v>36</v>
      </c>
    </row>
    <row r="765" spans="4:6" x14ac:dyDescent="0.2">
      <c r="D765" t="s">
        <v>15</v>
      </c>
      <c r="F765" t="s">
        <v>27</v>
      </c>
    </row>
    <row r="766" spans="4:6" x14ac:dyDescent="0.2">
      <c r="D766" t="s">
        <v>28</v>
      </c>
      <c r="F766" t="s">
        <v>14</v>
      </c>
    </row>
    <row r="767" spans="4:6" x14ac:dyDescent="0.2">
      <c r="D767" t="s">
        <v>32</v>
      </c>
      <c r="F767" t="s">
        <v>55</v>
      </c>
    </row>
    <row r="768" spans="4:6" x14ac:dyDescent="0.2">
      <c r="D768" t="s">
        <v>17</v>
      </c>
      <c r="F768" t="s">
        <v>38</v>
      </c>
    </row>
    <row r="769" spans="4:6" x14ac:dyDescent="0.2">
      <c r="D769" t="s">
        <v>29</v>
      </c>
      <c r="F769" t="s">
        <v>20</v>
      </c>
    </row>
    <row r="770" spans="4:6" x14ac:dyDescent="0.2">
      <c r="D770" t="s">
        <v>19</v>
      </c>
      <c r="F770" t="s">
        <v>40</v>
      </c>
    </row>
    <row r="771" spans="4:6" x14ac:dyDescent="0.2">
      <c r="D771" t="s">
        <v>11</v>
      </c>
      <c r="F771" t="s">
        <v>22</v>
      </c>
    </row>
    <row r="772" spans="4:6" x14ac:dyDescent="0.2">
      <c r="D772" t="s">
        <v>37</v>
      </c>
      <c r="F772" t="s">
        <v>39</v>
      </c>
    </row>
    <row r="773" spans="4:6" x14ac:dyDescent="0.2">
      <c r="D773" t="s">
        <v>36</v>
      </c>
      <c r="F773" t="s">
        <v>26</v>
      </c>
    </row>
    <row r="774" spans="4:6" x14ac:dyDescent="0.2">
      <c r="D774" t="s">
        <v>35</v>
      </c>
      <c r="F774" t="s">
        <v>17</v>
      </c>
    </row>
    <row r="775" spans="4:6" x14ac:dyDescent="0.2">
      <c r="D775" t="s">
        <v>15</v>
      </c>
      <c r="F775" t="s">
        <v>31</v>
      </c>
    </row>
    <row r="776" spans="4:6" x14ac:dyDescent="0.2">
      <c r="D776" t="s">
        <v>23</v>
      </c>
      <c r="F776" t="s">
        <v>25</v>
      </c>
    </row>
    <row r="777" spans="4:6" x14ac:dyDescent="0.2">
      <c r="D777" t="s">
        <v>24</v>
      </c>
      <c r="F777" t="s">
        <v>16</v>
      </c>
    </row>
    <row r="778" spans="4:6" x14ac:dyDescent="0.2">
      <c r="D778" t="s">
        <v>40</v>
      </c>
      <c r="F778" t="s">
        <v>10</v>
      </c>
    </row>
    <row r="779" spans="4:6" x14ac:dyDescent="0.2">
      <c r="D779" t="s">
        <v>22</v>
      </c>
      <c r="F779" t="s">
        <v>12</v>
      </c>
    </row>
    <row r="780" spans="4:6" x14ac:dyDescent="0.2">
      <c r="D780" t="s">
        <v>33</v>
      </c>
      <c r="F780" t="s">
        <v>11</v>
      </c>
    </row>
    <row r="781" spans="4:6" x14ac:dyDescent="0.2">
      <c r="D781" t="s">
        <v>14</v>
      </c>
      <c r="F781" t="s">
        <v>32</v>
      </c>
    </row>
    <row r="782" spans="4:6" x14ac:dyDescent="0.2">
      <c r="D782" t="s">
        <v>34</v>
      </c>
      <c r="F782" t="s">
        <v>19</v>
      </c>
    </row>
    <row r="783" spans="4:6" x14ac:dyDescent="0.2">
      <c r="D783" t="s">
        <v>30</v>
      </c>
      <c r="F783" t="s">
        <v>38</v>
      </c>
    </row>
    <row r="784" spans="4:6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721" activePane="bottomLeft" state="frozen"/>
      <selection activeCell="I1" sqref="I1"/>
      <selection pane="bottomLeft" activeCell="O740" sqref="O740:O749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0.13683657776013261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-7.4962464446554744E-2</v>
      </c>
      <c r="H2" t="s">
        <v>10</v>
      </c>
      <c r="I2">
        <f>VLOOKUP(Table4[[#This Row],[Visitor]],'NHL Model'!$A$6:$B$38,2,FALSE)</f>
        <v>-0.43286905189715857</v>
      </c>
      <c r="J2">
        <f>($B$1+Table4[[#This Row],[Home Differential]])-Table4[[#This Row],[Away Differential]]</f>
        <v>0.49474316521073647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0.58771895119879536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0.1699756632006213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-0.14985965438623808</v>
      </c>
      <c r="H3" t="s">
        <v>12</v>
      </c>
      <c r="I3">
        <f>VLOOKUP(Table4[[#This Row],[Visitor]],'NHL Model'!$A$6:$B$38,2,FALSE)</f>
        <v>1.7070031799067014</v>
      </c>
      <c r="J3">
        <f>($B$1+Table4[[#This Row],[Home Differential]])-Table4[[#This Row],[Away Differential]]</f>
        <v>-1.7200262565328068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0.69580150458519874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9.2536724612628865E-2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424</v>
      </c>
      <c r="V3">
        <f>COUNTIF(Table4[Locked Correct],"YES")</f>
        <v>405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-0.36341023830385849</v>
      </c>
      <c r="H4" t="s">
        <v>14</v>
      </c>
      <c r="I4">
        <f>VLOOKUP(Table4[[#This Row],[Visitor]],'NHL Model'!$A$6:$B$38,2,FALSE)</f>
        <v>1.1343608350765873E-2</v>
      </c>
      <c r="J4">
        <f>($B$1+Table4[[#This Row],[Home Differential]])-Table4[[#This Row],[Away Differential]]</f>
        <v>-0.23791726889449175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0.50371681921927225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0.2462969955258365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314</v>
      </c>
      <c r="V4">
        <f>COUNTIF(Table4[Locked Correct],"NO")</f>
        <v>333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3.922199270086173E-4</v>
      </c>
      <c r="H5" t="s">
        <v>16</v>
      </c>
      <c r="I5">
        <f>VLOOKUP(Table4[[#This Row],[Visitor]],'NHL Model'!$A$6:$B$38,2,FALSE)</f>
        <v>-0.54997285633810766</v>
      </c>
      <c r="J5">
        <f>($B$1+Table4[[#This Row],[Home Differential]])-Table4[[#This Row],[Away Differential]]</f>
        <v>0.68720165402524891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0.61083640636081238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0.37312111533579151</v>
      </c>
      <c r="O5">
        <v>-4.1674767740132361E-3</v>
      </c>
      <c r="P5" s="11"/>
      <c r="Q5" t="s">
        <v>16</v>
      </c>
      <c r="R5" t="s">
        <v>248</v>
      </c>
      <c r="T5">
        <f>SUM(T3:T4)</f>
        <v>738</v>
      </c>
      <c r="V5">
        <f>SUM(V3:V4)</f>
        <v>738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4.3410611683700091E-2</v>
      </c>
      <c r="H6" t="s">
        <v>18</v>
      </c>
      <c r="I6">
        <f>VLOOKUP(Table4[[#This Row],[Visitor]],'NHL Model'!$A$6:$B$38,2,FALSE)</f>
        <v>6.8462291869218858E-2</v>
      </c>
      <c r="J6">
        <f>($B$1+Table4[[#This Row],[Home Differential]])-Table4[[#This Row],[Away Differential]]</f>
        <v>0.11178489757461384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0.53202833211998879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0.21899748193839952</v>
      </c>
      <c r="O6">
        <v>-4.4363714293103977E-3</v>
      </c>
      <c r="P6" s="11"/>
      <c r="Q6" t="s">
        <v>18</v>
      </c>
      <c r="R6" t="s">
        <v>249</v>
      </c>
      <c r="T6" s="13">
        <f>T3/T5</f>
        <v>0.57452574525745259</v>
      </c>
      <c r="V6" s="13">
        <f>V3/V5</f>
        <v>0.54878048780487809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0.1394237692045871</v>
      </c>
      <c r="H7" t="s">
        <v>13</v>
      </c>
      <c r="I7">
        <f>VLOOKUP(Table4[[#This Row],[Visitor]],'NHL Model'!$A$6:$B$38,2,FALSE)</f>
        <v>-0.14985965438623808</v>
      </c>
      <c r="J7">
        <f>($B$1+Table4[[#This Row],[Home Differential]])-Table4[[#This Row],[Away Differential]]</f>
        <v>0.42612000135095773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0.54969962069632883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0.3021696729936878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0.34677881456804194</v>
      </c>
      <c r="H8" t="s">
        <v>21</v>
      </c>
      <c r="I8">
        <f>VLOOKUP(Table4[[#This Row],[Visitor]],'NHL Model'!$A$6:$B$38,2,FALSE)</f>
        <v>0.17390560158361429</v>
      </c>
      <c r="J8">
        <f>($B$1+Table4[[#This Row],[Home Differential]])-Table4[[#This Row],[Away Differential]]</f>
        <v>0.30970979074456023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0.57889172620587126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0.33511563066961342</v>
      </c>
      <c r="O8">
        <v>-4.9858230986448791E-3</v>
      </c>
      <c r="P8" s="11"/>
      <c r="Q8" t="s">
        <v>21</v>
      </c>
      <c r="R8" t="s">
        <v>248</v>
      </c>
      <c r="T8">
        <f>SUM(Table4[Error])</f>
        <v>175.28684546029874</v>
      </c>
      <c r="V8">
        <f>COUNTIF(Table4[Locked Correct],"")</f>
        <v>574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0.17390560158361429</v>
      </c>
      <c r="H9" t="s">
        <v>10</v>
      </c>
      <c r="I9">
        <f>VLOOKUP(Table4[[#This Row],[Visitor]],'NHL Model'!$A$6:$B$38,2,FALSE)</f>
        <v>-0.43286905189715857</v>
      </c>
      <c r="J9">
        <f>($B$1+Table4[[#This Row],[Home Differential]])-Table4[[#This Row],[Away Differential]]</f>
        <v>0.74361123124090556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0.63776050141641161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0.13121745433408954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0.13483877693289487</v>
      </c>
      <c r="H10" t="s">
        <v>15</v>
      </c>
      <c r="I10">
        <f>VLOOKUP(Table4[[#This Row],[Visitor]],'NHL Model'!$A$6:$B$38,2,FALSE)</f>
        <v>-0.36341023830385849</v>
      </c>
      <c r="J10">
        <f>($B$1+Table4[[#This Row],[Home Differential]])-Table4[[#This Row],[Away Differential]]</f>
        <v>0.63508559299688594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0.57576712769358362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0.33150778533251946</v>
      </c>
      <c r="O10">
        <v>2.893763878885032E-2</v>
      </c>
      <c r="P10" s="11"/>
      <c r="Q10" t="s">
        <v>23</v>
      </c>
      <c r="R10" t="s">
        <v>249</v>
      </c>
      <c r="T10">
        <v>9.6451966503608669E-2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0.33829893848778331</v>
      </c>
      <c r="H11" t="s">
        <v>24</v>
      </c>
      <c r="I11">
        <f>VLOOKUP(Table4[[#This Row],[Visitor]],'NHL Model'!$A$6:$B$38,2,FALSE)</f>
        <v>-0.27466957136179609</v>
      </c>
      <c r="J11">
        <f>($B$1+Table4[[#This Row],[Home Differential]])-Table4[[#This Row],[Away Differential]]</f>
        <v>0.74980508760971198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0.64374874662293868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0.12691495553272714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1.7070031799067014</v>
      </c>
      <c r="H12" t="s">
        <v>55</v>
      </c>
      <c r="I12">
        <f>VLOOKUP(Table4[[#This Row],[Visitor]],'NHL Model'!$A$6:$B$38,2,FALSE)</f>
        <v>0.27119018820614604</v>
      </c>
      <c r="J12">
        <f>($B$1+Table4[[#This Row],[Home Differential]])-Table4[[#This Row],[Away Differential]]</f>
        <v>1.5726495694606879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0.80415767106806435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3.8354217801484479E-2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-4.6015351177631898E-2</v>
      </c>
      <c r="H13" t="s">
        <v>18</v>
      </c>
      <c r="I13">
        <f>VLOOKUP(Table4[[#This Row],[Visitor]],'NHL Model'!$A$6:$B$38,2,FALSE)</f>
        <v>6.8462291869218858E-2</v>
      </c>
      <c r="J13">
        <f>($B$1+Table4[[#This Row],[Home Differential]])-Table4[[#This Row],[Away Differential]]</f>
        <v>2.2358934713281861E-2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0.53318109424655291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0.28428207926195154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-7.4962464446554744E-2</v>
      </c>
      <c r="H14" t="s">
        <v>27</v>
      </c>
      <c r="I14">
        <f>VLOOKUP(Table4[[#This Row],[Visitor]],'NHL Model'!$A$6:$B$38,2,FALSE)</f>
        <v>-7.417166684134277E-2</v>
      </c>
      <c r="J14">
        <f>($B$1+Table4[[#This Row],[Home Differential]])-Table4[[#This Row],[Away Differential]]</f>
        <v>0.13604578015492064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0.54451832164339309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0.20746355931855151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-0.48381480045860298</v>
      </c>
      <c r="H15" t="s">
        <v>28</v>
      </c>
      <c r="I15">
        <f>VLOOKUP(Table4[[#This Row],[Visitor]],'NHL Model'!$A$6:$B$38,2,FALSE)</f>
        <v>-0.29093210318822477</v>
      </c>
      <c r="J15">
        <f>($B$1+Table4[[#This Row],[Home Differential]])-Table4[[#This Row],[Away Differential]]</f>
        <v>-5.6046119510245573E-2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0.46540575844165949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0.2166025199906563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1.1343608350765873E-2</v>
      </c>
      <c r="H16" t="s">
        <v>30</v>
      </c>
      <c r="I16">
        <f>VLOOKUP(Table4[[#This Row],[Visitor]],'NHL Model'!$A$6:$B$38,2,FALSE)</f>
        <v>0.25279292855900759</v>
      </c>
      <c r="J16">
        <f>($B$1+Table4[[#This Row],[Home Differential]])-Table4[[#This Row],[Away Differential]]</f>
        <v>-0.10461274244810911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0.49085933549968641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0.2409428872471937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-0.21579108793246188</v>
      </c>
      <c r="H17" t="s">
        <v>31</v>
      </c>
      <c r="I17">
        <f>VLOOKUP(Table4[[#This Row],[Visitor]],'NHL Model'!$A$6:$B$38,2,FALSE)</f>
        <v>-0.30466872127922601</v>
      </c>
      <c r="J17">
        <f>($B$1+Table4[[#This Row],[Home Differential]])-Table4[[#This Row],[Away Differential]]</f>
        <v>0.22571421110689674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0.56177057952907095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0.19204502496628634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-0.3566847028170323</v>
      </c>
      <c r="H18" t="s">
        <v>20</v>
      </c>
      <c r="I18">
        <f>VLOOKUP(Table4[[#This Row],[Visitor]],'NHL Model'!$A$6:$B$38,2,FALSE)</f>
        <v>0.1394237692045871</v>
      </c>
      <c r="J18">
        <f>($B$1+Table4[[#This Row],[Home Differential]])-Table4[[#This Row],[Away Differential]]</f>
        <v>-0.35927189426148676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0.52605297211148827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0.22462578524435373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-0.9803970267772969</v>
      </c>
      <c r="H19" t="s">
        <v>34</v>
      </c>
      <c r="I19">
        <f>VLOOKUP(Table4[[#This Row],[Visitor]],'NHL Model'!$A$6:$B$38,2,FALSE)</f>
        <v>0.32232840463649798</v>
      </c>
      <c r="J19">
        <f>($B$1+Table4[[#This Row],[Home Differential]])-Table4[[#This Row],[Away Differential]]</f>
        <v>-1.1658888536536622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0.6238606125493843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0.14148083879172441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0.98607049252714107</v>
      </c>
      <c r="H20" t="s">
        <v>36</v>
      </c>
      <c r="I20">
        <f>VLOOKUP(Table4[[#This Row],[Visitor]],'NHL Model'!$A$6:$B$38,2,FALSE)</f>
        <v>-7.2312572939580336E-2</v>
      </c>
      <c r="J20">
        <f>($B$1+Table4[[#This Row],[Home Differential]])-Table4[[#This Row],[Away Differential]]</f>
        <v>1.195219643226854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0.6596599832178236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0.43515129345893933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-0.87254503056606192</v>
      </c>
      <c r="H21" t="s">
        <v>16</v>
      </c>
      <c r="I21">
        <f>VLOOKUP(Table4[[#This Row],[Visitor]],'NHL Model'!$A$6:$B$38,2,FALSE)</f>
        <v>-0.54997285633810766</v>
      </c>
      <c r="J21">
        <f>($B$1+Table4[[#This Row],[Home Differential]])-Table4[[#This Row],[Away Differential]]</f>
        <v>-0.18573559646782167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0.47791456352904216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0.22840233003315488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-0.16816097389287935</v>
      </c>
      <c r="H22" t="s">
        <v>39</v>
      </c>
      <c r="I22">
        <f>VLOOKUP(Table4[[#This Row],[Visitor]],'NHL Model'!$A$6:$B$38,2,FALSE)</f>
        <v>0.5231745585052443</v>
      </c>
      <c r="J22">
        <f>($B$1+Table4[[#This Row],[Home Differential]])-Table4[[#This Row],[Away Differential]]</f>
        <v>-0.55449895463799104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0.57001144021886418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0.18489016154265542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0.17390560158361429</v>
      </c>
      <c r="H23" t="s">
        <v>23</v>
      </c>
      <c r="I23">
        <f>VLOOKUP(Table4[[#This Row],[Visitor]],'NHL Model'!$A$6:$B$38,2,FALSE)</f>
        <v>0.13483877693289487</v>
      </c>
      <c r="J23">
        <f>($B$1+Table4[[#This Row],[Home Differential]])-Table4[[#This Row],[Away Differential]]</f>
        <v>0.17590340241085206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0.58300396492625883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0.17388569326722078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0.33829893848778331</v>
      </c>
      <c r="H24" t="s">
        <v>27</v>
      </c>
      <c r="I24">
        <f>VLOOKUP(Table4[[#This Row],[Visitor]],'NHL Model'!$A$6:$B$38,2,FALSE)</f>
        <v>-7.417166684134277E-2</v>
      </c>
      <c r="J24">
        <f>($B$1+Table4[[#This Row],[Home Differential]])-Table4[[#This Row],[Away Differential]]</f>
        <v>0.54930718308925874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0.62636059761396046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0.13960640301539678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-0.54997285633810766</v>
      </c>
      <c r="H25" t="s">
        <v>35</v>
      </c>
      <c r="I25">
        <f>VLOOKUP(Table4[[#This Row],[Visitor]],'NHL Model'!$A$6:$B$38,2,FALSE)</f>
        <v>-0.9803970267772969</v>
      </c>
      <c r="J25">
        <f>($B$1+Table4[[#This Row],[Home Differential]])-Table4[[#This Row],[Away Differential]]</f>
        <v>0.56726074819932182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0.60873003518274793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0.37055225573358952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-0.43286905189715857</v>
      </c>
      <c r="H26" t="s">
        <v>18</v>
      </c>
      <c r="I26">
        <f>VLOOKUP(Table4[[#This Row],[Visitor]],'NHL Model'!$A$6:$B$38,2,FALSE)</f>
        <v>6.8462291869218858E-2</v>
      </c>
      <c r="J26">
        <f>($B$1+Table4[[#This Row],[Home Differential]])-Table4[[#This Row],[Away Differential]]</f>
        <v>-0.36449476600624481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0.54656457685142557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0.20560368296592677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1.7070031799067014</v>
      </c>
      <c r="H27" t="s">
        <v>39</v>
      </c>
      <c r="I27">
        <f>VLOOKUP(Table4[[#This Row],[Visitor]],'NHL Model'!$A$6:$B$38,2,FALSE)</f>
        <v>0.5231745585052443</v>
      </c>
      <c r="J27">
        <f>($B$1+Table4[[#This Row],[Home Differential]])-Table4[[#This Row],[Away Differential]]</f>
        <v>1.3206651991615896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0.72689531865881152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0.52837680428809519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-4.6015351177631898E-2</v>
      </c>
      <c r="H28" t="s">
        <v>19</v>
      </c>
      <c r="I28">
        <f>VLOOKUP(Table4[[#This Row],[Visitor]],'NHL Model'!$A$6:$B$38,2,FALSE)</f>
        <v>4.3410611683700091E-2</v>
      </c>
      <c r="J28">
        <f>($B$1+Table4[[#This Row],[Home Differential]])-Table4[[#This Row],[Away Differential]]</f>
        <v>4.7410614898800628E-2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0.5863910288583164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0.17107238100888206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3.922199270086173E-4</v>
      </c>
      <c r="H29" t="s">
        <v>38</v>
      </c>
      <c r="I29">
        <f>VLOOKUP(Table4[[#This Row],[Visitor]],'NHL Model'!$A$6:$B$38,2,FALSE)</f>
        <v>-0.87254503056606192</v>
      </c>
      <c r="J29">
        <f>($B$1+Table4[[#This Row],[Home Differential]])-Table4[[#This Row],[Away Differential]]</f>
        <v>1.0097738282532032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0.64194912690444328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0.12820042772449047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-7.4962464446554744E-2</v>
      </c>
      <c r="H30" t="s">
        <v>36</v>
      </c>
      <c r="I30">
        <f>VLOOKUP(Table4[[#This Row],[Visitor]],'NHL Model'!$A$6:$B$38,2,FALSE)</f>
        <v>-7.2312572939580336E-2</v>
      </c>
      <c r="J30">
        <f>($B$1+Table4[[#This Row],[Home Differential]])-Table4[[#This Row],[Away Differential]]</f>
        <v>0.13418668625315822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0.54325853902476517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0.20861276217379196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0.32232840463649798</v>
      </c>
      <c r="H31" t="s">
        <v>28</v>
      </c>
      <c r="I31">
        <f>VLOOKUP(Table4[[#This Row],[Visitor]],'NHL Model'!$A$6:$B$38,2,FALSE)</f>
        <v>-0.29093210318822477</v>
      </c>
      <c r="J31">
        <f>($B$1+Table4[[#This Row],[Home Differential]])-Table4[[#This Row],[Away Differential]]</f>
        <v>0.75009708558485544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0.61311372998825997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0.37590844590011696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-0.48381480045860298</v>
      </c>
      <c r="H32" t="s">
        <v>55</v>
      </c>
      <c r="I32">
        <f>VLOOKUP(Table4[[#This Row],[Visitor]],'NHL Model'!$A$6:$B$38,2,FALSE)</f>
        <v>0.27119018820614604</v>
      </c>
      <c r="J32">
        <f>($B$1+Table4[[#This Row],[Home Differential]])-Table4[[#This Row],[Away Differential]]</f>
        <v>-0.61816841090461638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0.51962355886216105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0.23076152520025564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0.25279292855900759</v>
      </c>
      <c r="H33" t="s">
        <v>22</v>
      </c>
      <c r="I33">
        <f>VLOOKUP(Table4[[#This Row],[Visitor]],'NHL Model'!$A$6:$B$38,2,FALSE)</f>
        <v>0.34677881456804194</v>
      </c>
      <c r="J33">
        <f>($B$1+Table4[[#This Row],[Home Differential]])-Table4[[#This Row],[Away Differential]]</f>
        <v>4.2850691751098235E-2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0.56323846479533746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0.31723756822500859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1.1343608350765873E-2</v>
      </c>
      <c r="H34" t="s">
        <v>15</v>
      </c>
      <c r="I34">
        <f>VLOOKUP(Table4[[#This Row],[Visitor]],'NHL Model'!$A$6:$B$38,2,FALSE)</f>
        <v>-0.36341023830385849</v>
      </c>
      <c r="J34">
        <f>($B$1+Table4[[#This Row],[Home Differential]])-Table4[[#This Row],[Away Differential]]</f>
        <v>0.51159042441475699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0.51672073337136293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0.26700031629583915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-0.21579108793246188</v>
      </c>
      <c r="H35" t="s">
        <v>20</v>
      </c>
      <c r="I35">
        <f>VLOOKUP(Table4[[#This Row],[Visitor]],'NHL Model'!$A$6:$B$38,2,FALSE)</f>
        <v>0.1394237692045871</v>
      </c>
      <c r="J35">
        <f>($B$1+Table4[[#This Row],[Home Differential]])-Table4[[#This Row],[Away Differential]]</f>
        <v>-0.21837827937691637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0.51246350588806933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0.26261884486709125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-0.3566847028170323</v>
      </c>
      <c r="H36" t="s">
        <v>31</v>
      </c>
      <c r="I36">
        <f>VLOOKUP(Table4[[#This Row],[Visitor]],'NHL Model'!$A$6:$B$38,2,FALSE)</f>
        <v>-0.30466872127922601</v>
      </c>
      <c r="J36">
        <f>($B$1+Table4[[#This Row],[Home Differential]])-Table4[[#This Row],[Away Differential]]</f>
        <v>8.4820596222326322E-2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0.548181113305652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0.30050253298502405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0.98607049252714107</v>
      </c>
      <c r="H37" t="s">
        <v>24</v>
      </c>
      <c r="I37">
        <f>VLOOKUP(Table4[[#This Row],[Visitor]],'NHL Model'!$A$6:$B$38,2,FALSE)</f>
        <v>-0.27466957136179609</v>
      </c>
      <c r="J37">
        <f>($B$1+Table4[[#This Row],[Home Differential]])-Table4[[#This Row],[Away Differential]]</f>
        <v>1.3975766416490698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0.67827727629612711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0.46006006353969275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-0.16816097389287935</v>
      </c>
      <c r="H38" t="s">
        <v>13</v>
      </c>
      <c r="I38">
        <f>VLOOKUP(Table4[[#This Row],[Visitor]],'NHL Model'!$A$6:$B$38,2,FALSE)</f>
        <v>-0.14985965438623808</v>
      </c>
      <c r="J38">
        <f>($B$1+Table4[[#This Row],[Home Differential]])-Table4[[#This Row],[Away Differential]]</f>
        <v>0.11853525825349134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0.52003246735807085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0.23036883239038133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-0.36341023830385849</v>
      </c>
      <c r="H39" t="s">
        <v>22</v>
      </c>
      <c r="I39">
        <f>VLOOKUP(Table4[[#This Row],[Visitor]],'NHL Model'!$A$6:$B$38,2,FALSE)</f>
        <v>0.34677881456804194</v>
      </c>
      <c r="J39">
        <f>($B$1+Table4[[#This Row],[Home Differential]])-Table4[[#This Row],[Away Differential]]</f>
        <v>-0.57335247511176779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0.51530097372424133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0.2349331460726686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0.17390560158361429</v>
      </c>
      <c r="H40" t="s">
        <v>37</v>
      </c>
      <c r="I40">
        <f>VLOOKUP(Table4[[#This Row],[Visitor]],'NHL Model'!$A$6:$B$38,2,FALSE)</f>
        <v>0.98607049252714107</v>
      </c>
      <c r="J40">
        <f>($B$1+Table4[[#This Row],[Home Differential]])-Table4[[#This Row],[Away Differential]]</f>
        <v>-0.67532831318339415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0.60653801772745353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0.15481233149384169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0.13483877693289487</v>
      </c>
      <c r="H41" t="s">
        <v>12</v>
      </c>
      <c r="I41">
        <f>VLOOKUP(Table4[[#This Row],[Visitor]],'NHL Model'!$A$6:$B$38,2,FALSE)</f>
        <v>1.7070031799067014</v>
      </c>
      <c r="J41">
        <f>($B$1+Table4[[#This Row],[Home Differential]])-Table4[[#This Row],[Away Differential]]</f>
        <v>-1.4353278252136739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0.62119881200886196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0.1434903400234975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-0.29093210318822477</v>
      </c>
      <c r="H42" t="s">
        <v>24</v>
      </c>
      <c r="I42">
        <f>VLOOKUP(Table4[[#This Row],[Visitor]],'NHL Model'!$A$6:$B$38,2,FALSE)</f>
        <v>-0.27466957136179609</v>
      </c>
      <c r="J42">
        <f>($B$1+Table4[[#This Row],[Home Differential]])-Table4[[#This Row],[Away Differential]]</f>
        <v>0.12057404593370394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0.54104136854548457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0.29272576247757087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-0.43286905189715857</v>
      </c>
      <c r="H43" t="s">
        <v>55</v>
      </c>
      <c r="I43">
        <f>VLOOKUP(Table4[[#This Row],[Visitor]],'NHL Model'!$A$6:$B$38,2,FALSE)</f>
        <v>0.27119018820614604</v>
      </c>
      <c r="J43">
        <f>($B$1+Table4[[#This Row],[Home Differential]])-Table4[[#This Row],[Away Differential]]</f>
        <v>-0.56722266234317198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0.5147097412284114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0.26492611771541824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0.32232840463649798</v>
      </c>
      <c r="H44" t="s">
        <v>13</v>
      </c>
      <c r="I44">
        <f>VLOOKUP(Table4[[#This Row],[Visitor]],'NHL Model'!$A$6:$B$38,2,FALSE)</f>
        <v>-0.14985965438623808</v>
      </c>
      <c r="J44">
        <f>($B$1+Table4[[#This Row],[Home Differential]])-Table4[[#This Row],[Away Differential]]</f>
        <v>0.60902463678286867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0.56811130018712619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0.18652784902605463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0.25279292855900759</v>
      </c>
      <c r="H45" t="s">
        <v>40</v>
      </c>
      <c r="I45">
        <f>VLOOKUP(Table4[[#This Row],[Visitor]],'NHL Model'!$A$6:$B$38,2,FALSE)</f>
        <v>-0.16816097389287935</v>
      </c>
      <c r="J45">
        <f>($B$1+Table4[[#This Row],[Home Differential]])-Table4[[#This Row],[Away Differential]]</f>
        <v>0.55779048021201949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0.61290542002334558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0.37565305389399367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-7.2312572939580336E-2</v>
      </c>
      <c r="H46" t="s">
        <v>29</v>
      </c>
      <c r="I46">
        <f>VLOOKUP(Table4[[#This Row],[Visitor]],'NHL Model'!$A$6:$B$38,2,FALSE)</f>
        <v>-0.48381480045860298</v>
      </c>
      <c r="J46">
        <f>($B$1+Table4[[#This Row],[Home Differential]])-Table4[[#This Row],[Away Differential]]</f>
        <v>0.54833880527915524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0.59288835607941393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0.35151660277454994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-7.417166684134277E-2</v>
      </c>
      <c r="H47" t="s">
        <v>11</v>
      </c>
      <c r="I47">
        <f>VLOOKUP(Table4[[#This Row],[Visitor]],'NHL Model'!$A$6:$B$38,2,FALSE)</f>
        <v>-7.4962464446554744E-2</v>
      </c>
      <c r="J47">
        <f>($B$1+Table4[[#This Row],[Home Differential]])-Table4[[#This Row],[Away Differential]]</f>
        <v>0.13762737536534458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0.51969101540148199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0.2306967206860594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4.3410611683700091E-2</v>
      </c>
      <c r="H48" t="s">
        <v>26</v>
      </c>
      <c r="I48">
        <f>VLOOKUP(Table4[[#This Row],[Visitor]],'NHL Model'!$A$6:$B$38,2,FALSE)</f>
        <v>-4.6015351177631898E-2</v>
      </c>
      <c r="J48">
        <f>($B$1+Table4[[#This Row],[Home Differential]])-Table4[[#This Row],[Away Differential]]</f>
        <v>0.22626254062146459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0.56299993757727818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0.31696892971201912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-0.87254503056606192</v>
      </c>
      <c r="H49" t="s">
        <v>35</v>
      </c>
      <c r="I49">
        <f>VLOOKUP(Table4[[#This Row],[Visitor]],'NHL Model'!$A$6:$B$38,2,FALSE)</f>
        <v>-0.9803970267772969</v>
      </c>
      <c r="J49">
        <f>($B$1+Table4[[#This Row],[Home Differential]])-Table4[[#This Row],[Away Differential]]</f>
        <v>0.24468857397136756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0.56360069414050218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0.31764574243565591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-0.30466872127922601</v>
      </c>
      <c r="H50" t="s">
        <v>14</v>
      </c>
      <c r="I50">
        <f>VLOOKUP(Table4[[#This Row],[Visitor]],'NHL Model'!$A$6:$B$38,2,FALSE)</f>
        <v>1.1343608350765873E-2</v>
      </c>
      <c r="J50">
        <f>($B$1+Table4[[#This Row],[Home Differential]])-Table4[[#This Row],[Away Differential]]</f>
        <v>-0.17917575186985926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0.47561518695094396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0.22620980605838137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-0.54997285633810766</v>
      </c>
      <c r="H51" t="s">
        <v>20</v>
      </c>
      <c r="I51">
        <f>VLOOKUP(Table4[[#This Row],[Visitor]],'NHL Model'!$A$6:$B$38,2,FALSE)</f>
        <v>0.1394237692045871</v>
      </c>
      <c r="J51">
        <f>($B$1+Table4[[#This Row],[Home Differential]])-Table4[[#This Row],[Away Differential]]</f>
        <v>-0.55256004778256218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0.53056823049268342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0.2203661862227704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0.5231745585052443</v>
      </c>
      <c r="H52" t="s">
        <v>34</v>
      </c>
      <c r="I52">
        <f>VLOOKUP(Table4[[#This Row],[Visitor]],'NHL Model'!$A$6:$B$38,2,FALSE)</f>
        <v>0.32232840463649798</v>
      </c>
      <c r="J52">
        <f>($B$1+Table4[[#This Row],[Home Differential]])-Table4[[#This Row],[Away Differential]]</f>
        <v>0.33768273162887891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0.53530240395707418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0.21594385576807426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6.8462291869218858E-2</v>
      </c>
      <c r="H53" t="s">
        <v>32</v>
      </c>
      <c r="I53">
        <f>VLOOKUP(Table4[[#This Row],[Visitor]],'NHL Model'!$A$6:$B$38,2,FALSE)</f>
        <v>-0.21579108793246188</v>
      </c>
      <c r="J53">
        <f>($B$1+Table4[[#This Row],[Home Differential]])-Table4[[#This Row],[Away Differential]]</f>
        <v>0.42108995756181333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0.57169843583166913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0.18344222986903885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-0.36341023830385849</v>
      </c>
      <c r="H54" t="s">
        <v>17</v>
      </c>
      <c r="I54">
        <f>VLOOKUP(Table4[[#This Row],[Visitor]],'NHL Model'!$A$6:$B$38,2,FALSE)</f>
        <v>3.922199270086173E-4</v>
      </c>
      <c r="J54">
        <f>($B$1+Table4[[#This Row],[Home Differential]])-Table4[[#This Row],[Away Differential]]</f>
        <v>-0.22696588047073449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0.48189130550062537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0.26843661931584639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-0.3566847028170323</v>
      </c>
      <c r="H55" t="s">
        <v>25</v>
      </c>
      <c r="I55">
        <f>VLOOKUP(Table4[[#This Row],[Visitor]],'NHL Model'!$A$6:$B$38,2,FALSE)</f>
        <v>0.33829893848778331</v>
      </c>
      <c r="J55">
        <f>($B$1+Table4[[#This Row],[Home Differential]])-Table4[[#This Row],[Away Differential]]</f>
        <v>-0.55814706354468302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0.55634694469116963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0.19682803348486011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4.3410611683700091E-2</v>
      </c>
      <c r="H56" t="s">
        <v>29</v>
      </c>
      <c r="I56">
        <f>VLOOKUP(Table4[[#This Row],[Visitor]],'NHL Model'!$A$6:$B$38,2,FALSE)</f>
        <v>-0.48381480045860298</v>
      </c>
      <c r="J56">
        <f>($B$1+Table4[[#This Row],[Home Differential]])-Table4[[#This Row],[Away Differential]]</f>
        <v>0.6640619899024357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0.63629615061468703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0.13228049005769443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0.34677881456804194</v>
      </c>
      <c r="H57" t="s">
        <v>37</v>
      </c>
      <c r="I57">
        <f>VLOOKUP(Table4[[#This Row],[Visitor]],'NHL Model'!$A$6:$B$38,2,FALSE)</f>
        <v>0.98607049252714107</v>
      </c>
      <c r="J57">
        <f>($B$1+Table4[[#This Row],[Home Differential]])-Table4[[#This Row],[Away Differential]]</f>
        <v>-0.50245510019896655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0.60693847237569254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0.3683743092497393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0.13483877693289487</v>
      </c>
      <c r="H58" t="s">
        <v>36</v>
      </c>
      <c r="I58">
        <f>VLOOKUP(Table4[[#This Row],[Visitor]],'NHL Model'!$A$6:$B$38,2,FALSE)</f>
        <v>-7.2312572939580336E-2</v>
      </c>
      <c r="J58">
        <f>($B$1+Table4[[#This Row],[Home Differential]])-Table4[[#This Row],[Away Differential]]</f>
        <v>0.34398792763260783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0.61010138899674293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0.15202092686226917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-4.6015351177631898E-2</v>
      </c>
      <c r="H59" t="s">
        <v>11</v>
      </c>
      <c r="I59">
        <f>VLOOKUP(Table4[[#This Row],[Visitor]],'NHL Model'!$A$6:$B$38,2,FALSE)</f>
        <v>-7.4962464446554744E-2</v>
      </c>
      <c r="J59">
        <f>($B$1+Table4[[#This Row],[Home Differential]])-Table4[[#This Row],[Away Differential]]</f>
        <v>0.16578369102905546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0.56472662510784188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0.18946291089000922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-0.9803970267772969</v>
      </c>
      <c r="H60" t="s">
        <v>10</v>
      </c>
      <c r="I60">
        <f>VLOOKUP(Table4[[#This Row],[Visitor]],'NHL Model'!$A$6:$B$38,2,FALSE)</f>
        <v>-0.43286905189715857</v>
      </c>
      <c r="J60">
        <f>($B$1+Table4[[#This Row],[Home Differential]])-Table4[[#This Row],[Away Differential]]</f>
        <v>-0.41069139712000574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0.49961199287833907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0.25038815767118733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0.27119018820614604</v>
      </c>
      <c r="H61" t="s">
        <v>16</v>
      </c>
      <c r="I61">
        <f>VLOOKUP(Table4[[#This Row],[Visitor]],'NHL Model'!$A$6:$B$38,2,FALSE)</f>
        <v>-0.54997285633810766</v>
      </c>
      <c r="J61">
        <f>($B$1+Table4[[#This Row],[Home Differential]])-Table4[[#This Row],[Away Differential]]</f>
        <v>0.95799962230438629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0.64641756797958738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0.1250205362334697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-0.30466872127922601</v>
      </c>
      <c r="H62" t="s">
        <v>25</v>
      </c>
      <c r="I62">
        <f>VLOOKUP(Table4[[#This Row],[Visitor]],'NHL Model'!$A$6:$B$38,2,FALSE)</f>
        <v>0.33829893848778331</v>
      </c>
      <c r="J62">
        <f>($B$1+Table4[[#This Row],[Home Differential]])-Table4[[#This Row],[Away Differential]]</f>
        <v>-0.50613108200687673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0.52881733816816257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0.22201310081093567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-0.29093210318822477</v>
      </c>
      <c r="H63" t="s">
        <v>12</v>
      </c>
      <c r="I63">
        <f>VLOOKUP(Table4[[#This Row],[Visitor]],'NHL Model'!$A$6:$B$38,2,FALSE)</f>
        <v>1.7070031799067014</v>
      </c>
      <c r="J63">
        <f>($B$1+Table4[[#This Row],[Home Differential]])-Table4[[#This Row],[Away Differential]]</f>
        <v>-1.8610987053347936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0.70940821969163004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8.4443582782787949E-2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0.5231745585052443</v>
      </c>
      <c r="H64" t="s">
        <v>38</v>
      </c>
      <c r="I64">
        <f>VLOOKUP(Table4[[#This Row],[Visitor]],'NHL Model'!$A$6:$B$38,2,FALSE)</f>
        <v>-0.87254503056606192</v>
      </c>
      <c r="J64">
        <f>($B$1+Table4[[#This Row],[Home Differential]])-Table4[[#This Row],[Away Differential]]</f>
        <v>1.5325561668314389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0.70183467656673981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0.49257191323154026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-0.14985965438623808</v>
      </c>
      <c r="H65" t="s">
        <v>14</v>
      </c>
      <c r="I65">
        <f>VLOOKUP(Table4[[#This Row],[Visitor]],'NHL Model'!$A$6:$B$38,2,FALSE)</f>
        <v>1.1343608350765873E-2</v>
      </c>
      <c r="J65">
        <f>($B$1+Table4[[#This Row],[Home Differential]])-Table4[[#This Row],[Away Differential]]</f>
        <v>-2.436668497687134E-2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0.48311944545242391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0.26716550766940977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6.8462291869218858E-2</v>
      </c>
      <c r="H66" t="s">
        <v>29</v>
      </c>
      <c r="I66">
        <f>VLOOKUP(Table4[[#This Row],[Visitor]],'NHL Model'!$A$6:$B$38,2,FALSE)</f>
        <v>-0.48381480045860298</v>
      </c>
      <c r="J66">
        <f>($B$1+Table4[[#This Row],[Home Differential]])-Table4[[#This Row],[Away Differential]]</f>
        <v>0.68911367008795443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0.60723175963947718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0.15426689063590143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-0.27466957136179609</v>
      </c>
      <c r="H67" t="s">
        <v>11</v>
      </c>
      <c r="I67">
        <f>VLOOKUP(Table4[[#This Row],[Visitor]],'NHL Model'!$A$6:$B$38,2,FALSE)</f>
        <v>-7.4962464446554744E-2</v>
      </c>
      <c r="J67">
        <f>($B$1+Table4[[#This Row],[Home Differential]])-Table4[[#This Row],[Away Differential]]</f>
        <v>-6.287052915510874E-2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0.49713541474356132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0.24714362059225273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0.25279292855900759</v>
      </c>
      <c r="H68" t="s">
        <v>17</v>
      </c>
      <c r="I68">
        <f>VLOOKUP(Table4[[#This Row],[Visitor]],'NHL Model'!$A$6:$B$38,2,FALSE)</f>
        <v>3.922199270086173E-4</v>
      </c>
      <c r="J68">
        <f>($B$1+Table4[[#This Row],[Home Differential]])-Table4[[#This Row],[Away Differential]]</f>
        <v>0.38923728639213157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0.59664813301895347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0.16269272859709585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-7.2312572939580336E-2</v>
      </c>
      <c r="H69" t="s">
        <v>32</v>
      </c>
      <c r="I69">
        <f>VLOOKUP(Table4[[#This Row],[Visitor]],'NHL Model'!$A$6:$B$38,2,FALSE)</f>
        <v>-0.21579108793246188</v>
      </c>
      <c r="J69">
        <f>($B$1+Table4[[#This Row],[Home Differential]])-Table4[[#This Row],[Away Differential]]</f>
        <v>0.28031509275301414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0.55735291119371499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0.19593644522867917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-7.417166684134277E-2</v>
      </c>
      <c r="H70" t="s">
        <v>40</v>
      </c>
      <c r="I70">
        <f>VLOOKUP(Table4[[#This Row],[Visitor]],'NHL Model'!$A$6:$B$38,2,FALSE)</f>
        <v>-0.16816097389287935</v>
      </c>
      <c r="J70">
        <f>($B$1+Table4[[#This Row],[Home Differential]])-Table4[[#This Row],[Away Differential]]</f>
        <v>0.23082588481166919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0.56226361051002094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0.31614036770376452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4.3410611683700091E-2</v>
      </c>
      <c r="H71" t="s">
        <v>15</v>
      </c>
      <c r="I71">
        <f>VLOOKUP(Table4[[#This Row],[Visitor]],'NHL Model'!$A$6:$B$38,2,FALSE)</f>
        <v>-0.36341023830385849</v>
      </c>
      <c r="J71">
        <f>($B$1+Table4[[#This Row],[Home Differential]])-Table4[[#This Row],[Away Differential]]</f>
        <v>0.54365742774769121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0.55243682801055838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0.20031279292125051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0.1394237692045871</v>
      </c>
      <c r="H72" t="s">
        <v>21</v>
      </c>
      <c r="I72">
        <f>VLOOKUP(Table4[[#This Row],[Visitor]],'NHL Model'!$A$6:$B$38,2,FALSE)</f>
        <v>0.17390560158361429</v>
      </c>
      <c r="J72">
        <f>($B$1+Table4[[#This Row],[Home Differential]])-Table4[[#This Row],[Away Differential]]</f>
        <v>0.10235474538110539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0.54987231647298385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0.20261493147739762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-0.43286905189715857</v>
      </c>
      <c r="H73" t="s">
        <v>38</v>
      </c>
      <c r="I73">
        <f>VLOOKUP(Table4[[#This Row],[Visitor]],'NHL Model'!$A$6:$B$38,2,FALSE)</f>
        <v>-0.87254503056606192</v>
      </c>
      <c r="J73">
        <f>($B$1+Table4[[#This Row],[Home Differential]])-Table4[[#This Row],[Away Differential]]</f>
        <v>0.57651255642903598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0.59560576978160318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0.35474623299713609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-4.6015351177631898E-2</v>
      </c>
      <c r="H74" t="s">
        <v>37</v>
      </c>
      <c r="I74">
        <f>VLOOKUP(Table4[[#This Row],[Visitor]],'NHL Model'!$A$6:$B$38,2,FALSE)</f>
        <v>0.98607049252714107</v>
      </c>
      <c r="J74">
        <f>($B$1+Table4[[#This Row],[Home Differential]])-Table4[[#This Row],[Away Differential]]</f>
        <v>-0.89524926594464038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0.61168847804563609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0.37416279417378662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0.27119018820614604</v>
      </c>
      <c r="H75" t="s">
        <v>33</v>
      </c>
      <c r="I75">
        <f>VLOOKUP(Table4[[#This Row],[Visitor]],'NHL Model'!$A$6:$B$38,2,FALSE)</f>
        <v>-0.3566847028170323</v>
      </c>
      <c r="J75">
        <f>($B$1+Table4[[#This Row],[Home Differential]])-Table4[[#This Row],[Away Differential]]</f>
        <v>0.76471146878331098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0.6070912583053466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0.15437727930007586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0.34677881456804194</v>
      </c>
      <c r="H76" t="s">
        <v>34</v>
      </c>
      <c r="I76">
        <f>VLOOKUP(Table4[[#This Row],[Visitor]],'NHL Model'!$A$6:$B$38,2,FALSE)</f>
        <v>0.32232840463649798</v>
      </c>
      <c r="J76">
        <f>($B$1+Table4[[#This Row],[Home Differential]])-Table4[[#This Row],[Away Differential]]</f>
        <v>0.16128698769167654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0.51323805455316185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0.23693719153519063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0.13483877693289487</v>
      </c>
      <c r="H77" t="s">
        <v>11</v>
      </c>
      <c r="I77">
        <f>VLOOKUP(Table4[[#This Row],[Visitor]],'NHL Model'!$A$6:$B$38,2,FALSE)</f>
        <v>-7.4962464446554744E-2</v>
      </c>
      <c r="J77">
        <f>($B$1+Table4[[#This Row],[Home Differential]])-Table4[[#This Row],[Away Differential]]</f>
        <v>0.34663781913958225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0.58683195757296214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0.17070783128299055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-0.29093210318822477</v>
      </c>
      <c r="H78" t="s">
        <v>37</v>
      </c>
      <c r="I78">
        <f>VLOOKUP(Table4[[#This Row],[Visitor]],'NHL Model'!$A$6:$B$38,2,FALSE)</f>
        <v>0.98607049252714107</v>
      </c>
      <c r="J78">
        <f>($B$1+Table4[[#This Row],[Home Differential]])-Table4[[#This Row],[Away Differential]]</f>
        <v>-1.1401660179552333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0.67739448554700377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0.45886328904948992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1.7070031799067014</v>
      </c>
      <c r="H79" t="s">
        <v>21</v>
      </c>
      <c r="I79">
        <f>VLOOKUP(Table4[[#This Row],[Visitor]],'NHL Model'!$A$6:$B$38,2,FALSE)</f>
        <v>0.17390560158361429</v>
      </c>
      <c r="J79">
        <f>($B$1+Table4[[#This Row],[Home Differential]])-Table4[[#This Row],[Away Differential]]</f>
        <v>1.6699341560832197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0.81354096075829818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3.4766973314938499E-2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-0.14985965438623808</v>
      </c>
      <c r="H80" t="s">
        <v>25</v>
      </c>
      <c r="I80">
        <f>VLOOKUP(Table4[[#This Row],[Visitor]],'NHL Model'!$A$6:$B$38,2,FALSE)</f>
        <v>0.33829893848778331</v>
      </c>
      <c r="J80">
        <f>($B$1+Table4[[#This Row],[Home Differential]])-Table4[[#This Row],[Away Differential]]</f>
        <v>-0.35132201511388877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0.53639826204781538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0.21492657143228605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6.8462291869218858E-2</v>
      </c>
      <c r="H81" t="s">
        <v>15</v>
      </c>
      <c r="I81">
        <f>VLOOKUP(Table4[[#This Row],[Visitor]],'NHL Model'!$A$6:$B$38,2,FALSE)</f>
        <v>-0.36341023830385849</v>
      </c>
      <c r="J81">
        <f>($B$1+Table4[[#This Row],[Home Differential]])-Table4[[#This Row],[Away Differential]]</f>
        <v>0.56870910793320995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0.52299715615000075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0.27352602534098824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-0.27466957136179609</v>
      </c>
      <c r="H82" t="s">
        <v>17</v>
      </c>
      <c r="I82">
        <f>VLOOKUP(Table4[[#This Row],[Visitor]],'NHL Model'!$A$6:$B$38,2,FALSE)</f>
        <v>3.922199270086173E-4</v>
      </c>
      <c r="J82">
        <f>($B$1+Table4[[#This Row],[Home Differential]])-Table4[[#This Row],[Away Differential]]</f>
        <v>-0.13822521352867209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0.47083661446088171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0.22168711751698497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-7.2312572939580336E-2</v>
      </c>
      <c r="H83" t="s">
        <v>30</v>
      </c>
      <c r="I83">
        <f>VLOOKUP(Table4[[#This Row],[Visitor]],'NHL Model'!$A$6:$B$38,2,FALSE)</f>
        <v>0.25279292855900759</v>
      </c>
      <c r="J83">
        <f>($B$1+Table4[[#This Row],[Home Differential]])-Table4[[#This Row],[Away Differential]]</f>
        <v>-0.18826892373845533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0.49892813869532265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0.25107301019133388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-7.417166684134277E-2</v>
      </c>
      <c r="H84" t="s">
        <v>34</v>
      </c>
      <c r="I84">
        <f>VLOOKUP(Table4[[#This Row],[Visitor]],'NHL Model'!$A$6:$B$38,2,FALSE)</f>
        <v>0.32232840463649798</v>
      </c>
      <c r="J84">
        <f>($B$1+Table4[[#This Row],[Home Differential]])-Table4[[#This Row],[Away Differential]]</f>
        <v>-0.25966349371770814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0.5364533944881209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0.28778224445782746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-0.3566847028170323</v>
      </c>
      <c r="H85" t="s">
        <v>14</v>
      </c>
      <c r="I85">
        <f>VLOOKUP(Table4[[#This Row],[Visitor]],'NHL Model'!$A$6:$B$38,2,FALSE)</f>
        <v>1.1343608350765873E-2</v>
      </c>
      <c r="J85">
        <f>($B$1+Table4[[#This Row],[Home Differential]])-Table4[[#This Row],[Away Differential]]</f>
        <v>-0.23119173340766555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0.50306812809577806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0.24694128531423404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-0.9803970267772969</v>
      </c>
      <c r="H86" t="s">
        <v>39</v>
      </c>
      <c r="I86">
        <f>VLOOKUP(Table4[[#This Row],[Visitor]],'NHL Model'!$A$6:$B$38,2,FALSE)</f>
        <v>0.5231745585052443</v>
      </c>
      <c r="J86">
        <f>($B$1+Table4[[#This Row],[Home Differential]])-Table4[[#This Row],[Away Differential]]</f>
        <v>-1.3667350075224087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0.64835320478469538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0.42036187815458514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4.3410611683700091E-2</v>
      </c>
      <c r="H87" t="s">
        <v>32</v>
      </c>
      <c r="I87">
        <f>VLOOKUP(Table4[[#This Row],[Visitor]],'NHL Model'!$A$6:$B$38,2,FALSE)</f>
        <v>-0.21579108793246188</v>
      </c>
      <c r="J87">
        <f>($B$1+Table4[[#This Row],[Home Differential]])-Table4[[#This Row],[Away Differential]]</f>
        <v>0.3960382773762946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0.60088980216211629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0.36106855434242724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0.1394237692045871</v>
      </c>
      <c r="H88" t="s">
        <v>16</v>
      </c>
      <c r="I88">
        <f>VLOOKUP(Table4[[#This Row],[Visitor]],'NHL Model'!$A$6:$B$38,2,FALSE)</f>
        <v>-0.54997285633810766</v>
      </c>
      <c r="J88">
        <f>($B$1+Table4[[#This Row],[Home Differential]])-Table4[[#This Row],[Away Differential]]</f>
        <v>0.82623320330282735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0.61969181724913369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0.14463431386726633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-0.16816097389287935</v>
      </c>
      <c r="H89" t="s">
        <v>29</v>
      </c>
      <c r="I89">
        <f>VLOOKUP(Table4[[#This Row],[Visitor]],'NHL Model'!$A$6:$B$38,2,FALSE)</f>
        <v>-0.48381480045860298</v>
      </c>
      <c r="J89">
        <f>($B$1+Table4[[#This Row],[Home Differential]])-Table4[[#This Row],[Away Differential]]</f>
        <v>0.45249040432585624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0.58364358932124183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0.17335266071329872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-0.43286905189715857</v>
      </c>
      <c r="H90" t="s">
        <v>31</v>
      </c>
      <c r="I90">
        <f>VLOOKUP(Table4[[#This Row],[Visitor]],'NHL Model'!$A$6:$B$38,2,FALSE)</f>
        <v>-0.30466872127922601</v>
      </c>
      <c r="J90">
        <f>($B$1+Table4[[#This Row],[Home Differential]])-Table4[[#This Row],[Away Differential]]</f>
        <v>8.6362471422000708E-3</v>
      </c>
      <c r="K90" t="str">
        <f>IF(Table4[[#This Row],[HomeIce Differential]]&gt;0,Table4[[#This Row],[Home]],Table4[[#This Row],[Visitor]])</f>
        <v>Chicago Blackhawks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0.54083298302007643</v>
      </c>
      <c r="M90" t="str">
        <f>IF(OR((NHL2025_26Results[[#This Row],[Winning Team]]="")),"-",IF(Table4[[#This Row],[Predicted Winner]]=NHL2025_26Results[[#This Row],[Winning Team]],"YES","NO"))</f>
        <v>YES</v>
      </c>
      <c r="N90">
        <f>IF(Table4[[#This Row],[Adjusted Correct]]="-", "",IF(Table4[[#This Row],[Adjusted Correct]]="YES",(Table4[[#This Row],[Strength of Win]]-1)^2,(Table4[[#This Row],[Strength of Win]]-0)^2))</f>
        <v>0.21083434948224142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-4.6015351177631898E-2</v>
      </c>
      <c r="H91" t="s">
        <v>17</v>
      </c>
      <c r="I91">
        <f>VLOOKUP(Table4[[#This Row],[Visitor]],'NHL Model'!$A$6:$B$38,2,FALSE)</f>
        <v>3.922199270086173E-4</v>
      </c>
      <c r="J91">
        <f>($B$1+Table4[[#This Row],[Home Differential]])-Table4[[#This Row],[Away Differential]]</f>
        <v>9.0429006655492097E-2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0.59054023733907191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0.16765729723834358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0.27119018820614604</v>
      </c>
      <c r="H92" t="s">
        <v>21</v>
      </c>
      <c r="I92">
        <f>VLOOKUP(Table4[[#This Row],[Visitor]],'NHL Model'!$A$6:$B$38,2,FALSE)</f>
        <v>0.17390560158361429</v>
      </c>
      <c r="J92">
        <f>($B$1+Table4[[#This Row],[Home Differential]])-Table4[[#This Row],[Away Differential]]</f>
        <v>0.23412116438266434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0.57659806720343765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0.17926919669586469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0.34677881456804194</v>
      </c>
      <c r="H93" t="s">
        <v>38</v>
      </c>
      <c r="I93">
        <f>VLOOKUP(Table4[[#This Row],[Visitor]],'NHL Model'!$A$6:$B$38,2,FALSE)</f>
        <v>-0.87254503056606192</v>
      </c>
      <c r="J93">
        <f>($B$1+Table4[[#This Row],[Home Differential]])-Table4[[#This Row],[Away Differential]]</f>
        <v>1.3561604228942366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0.67982394752565201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0.46216059962936046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-0.54997285633810766</v>
      </c>
      <c r="H94" t="s">
        <v>40</v>
      </c>
      <c r="I94">
        <f>VLOOKUP(Table4[[#This Row],[Visitor]],'NHL Model'!$A$6:$B$38,2,FALSE)</f>
        <v>-0.16816097389287935</v>
      </c>
      <c r="J94">
        <f>($B$1+Table4[[#This Row],[Home Differential]])-Table4[[#This Row],[Away Differential]]</f>
        <v>-0.24497530468509573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0.46961172938308332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0.28131171760800372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6.8462291869218858E-2</v>
      </c>
      <c r="H95" t="s">
        <v>23</v>
      </c>
      <c r="I95">
        <f>VLOOKUP(Table4[[#This Row],[Visitor]],'NHL Model'!$A$6:$B$38,2,FALSE)</f>
        <v>0.13483877693289487</v>
      </c>
      <c r="J95">
        <f>($B$1+Table4[[#This Row],[Home Differential]])-Table4[[#This Row],[Away Differential]]</f>
        <v>7.0460092696456589E-2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0.54756140551557475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0.20470068177904219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-0.36341023830385849</v>
      </c>
      <c r="H96" t="s">
        <v>34</v>
      </c>
      <c r="I96">
        <f>VLOOKUP(Table4[[#This Row],[Visitor]],'NHL Model'!$A$6:$B$38,2,FALSE)</f>
        <v>0.32232840463649798</v>
      </c>
      <c r="J96">
        <f>($B$1+Table4[[#This Row],[Home Differential]])-Table4[[#This Row],[Away Differential]]</f>
        <v>-0.54890206518022389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0.56435102349437516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0.18979003073039846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-7.417166684134277E-2</v>
      </c>
      <c r="H97" t="s">
        <v>32</v>
      </c>
      <c r="I97">
        <f>VLOOKUP(Table4[[#This Row],[Visitor]],'NHL Model'!$A$6:$B$38,2,FALSE)</f>
        <v>-0.21579108793246188</v>
      </c>
      <c r="J97">
        <f>($B$1+Table4[[#This Row],[Home Differential]])-Table4[[#This Row],[Away Differential]]</f>
        <v>0.27845599885125172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0.5571735979309751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0.19609522236939769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0.1394237692045871</v>
      </c>
      <c r="H98" t="s">
        <v>25</v>
      </c>
      <c r="I98">
        <f>VLOOKUP(Table4[[#This Row],[Visitor]],'NHL Model'!$A$6:$B$38,2,FALSE)</f>
        <v>0.33829893848778331</v>
      </c>
      <c r="J98">
        <f>($B$1+Table4[[#This Row],[Home Differential]])-Table4[[#This Row],[Away Differential]]</f>
        <v>-6.2038591523063624E-2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0.5084963069655839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0.25856849419763733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0.17390560158361429</v>
      </c>
      <c r="H99" t="s">
        <v>11</v>
      </c>
      <c r="I99">
        <f>VLOOKUP(Table4[[#This Row],[Visitor]],'NHL Model'!$A$6:$B$38,2,FALSE)</f>
        <v>-7.4962464446554744E-2</v>
      </c>
      <c r="J99">
        <f>($B$1+Table4[[#This Row],[Home Differential]])-Table4[[#This Row],[Away Differential]]</f>
        <v>0.38570464379030167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0.56991225175698035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0.32479997470271177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0.5231745585052443</v>
      </c>
      <c r="H100" t="s">
        <v>28</v>
      </c>
      <c r="I100">
        <f>VLOOKUP(Table4[[#This Row],[Visitor]],'NHL Model'!$A$6:$B$38,2,FALSE)</f>
        <v>-0.29093210318822477</v>
      </c>
      <c r="J100">
        <f>($B$1+Table4[[#This Row],[Home Differential]])-Table4[[#This Row],[Away Differential]]</f>
        <v>0.95094323945360171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0.64573696597722696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0.41697622922947436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-0.48381480045860298</v>
      </c>
      <c r="H101" t="s">
        <v>31</v>
      </c>
      <c r="I101">
        <f>VLOOKUP(Table4[[#This Row],[Visitor]],'NHL Model'!$A$6:$B$38,2,FALSE)</f>
        <v>-0.30466872127922601</v>
      </c>
      <c r="J101">
        <f>($B$1+Table4[[#This Row],[Home Differential]])-Table4[[#This Row],[Away Differential]]</f>
        <v>-4.2309501419244333E-2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0.46408083461367333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0.28720935182837698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0.25279292855900759</v>
      </c>
      <c r="H102" t="s">
        <v>33</v>
      </c>
      <c r="I102">
        <f>VLOOKUP(Table4[[#This Row],[Visitor]],'NHL Model'!$A$6:$B$38,2,FALSE)</f>
        <v>-0.3566847028170323</v>
      </c>
      <c r="J102">
        <f>($B$1+Table4[[#This Row],[Home Differential]])-Table4[[#This Row],[Away Differential]]</f>
        <v>0.74631420913617252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0.61044501156230768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0.1517530890166906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-7.2312572939580336E-2</v>
      </c>
      <c r="H103" t="s">
        <v>17</v>
      </c>
      <c r="I103">
        <f>VLOOKUP(Table4[[#This Row],[Visitor]],'NHL Model'!$A$6:$B$38,2,FALSE)</f>
        <v>3.922199270086173E-4</v>
      </c>
      <c r="J103">
        <f>($B$1+Table4[[#This Row],[Home Differential]])-Table4[[#This Row],[Away Differential]]</f>
        <v>6.4131784893543653E-2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0.54618563676836873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0.29831874981206841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1.1343608350765873E-2</v>
      </c>
      <c r="H104" t="s">
        <v>38</v>
      </c>
      <c r="I104">
        <f>VLOOKUP(Table4[[#This Row],[Visitor]],'NHL Model'!$A$6:$B$38,2,FALSE)</f>
        <v>-0.87254503056606192</v>
      </c>
      <c r="J104">
        <f>($B$1+Table4[[#This Row],[Home Differential]])-Table4[[#This Row],[Away Differential]]</f>
        <v>1.0207252166769605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0.6384509544083149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0.13071771236825838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-0.9803970267772969</v>
      </c>
      <c r="H105" t="s">
        <v>13</v>
      </c>
      <c r="I105">
        <f>VLOOKUP(Table4[[#This Row],[Visitor]],'NHL Model'!$A$6:$B$38,2,FALSE)</f>
        <v>-0.14985965438623808</v>
      </c>
      <c r="J105">
        <f>($B$1+Table4[[#This Row],[Home Differential]])-Table4[[#This Row],[Away Differential]]</f>
        <v>-0.69370079463092627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0.55830929720776012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0.19509067693310278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4.3410611683700091E-2</v>
      </c>
      <c r="H106" t="s">
        <v>24</v>
      </c>
      <c r="I106">
        <f>VLOOKUP(Table4[[#This Row],[Visitor]],'NHL Model'!$A$6:$B$38,2,FALSE)</f>
        <v>-0.27466957136179609</v>
      </c>
      <c r="J106">
        <f>($B$1+Table4[[#This Row],[Home Differential]])-Table4[[#This Row],[Away Differential]]</f>
        <v>0.45491676080562882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0.60567536898414343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0.36684265259407828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0.27119018820614604</v>
      </c>
      <c r="H107" t="s">
        <v>12</v>
      </c>
      <c r="I107">
        <f>VLOOKUP(Table4[[#This Row],[Visitor]],'NHL Model'!$A$6:$B$38,2,FALSE)</f>
        <v>1.7070031799067014</v>
      </c>
      <c r="J107">
        <f>($B$1+Table4[[#This Row],[Home Differential]])-Table4[[#This Row],[Away Differential]]</f>
        <v>-1.2989764139404227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0.64107830325056991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0.41098139089862967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0.34677881456804194</v>
      </c>
      <c r="H108" t="s">
        <v>32</v>
      </c>
      <c r="I108">
        <f>VLOOKUP(Table4[[#This Row],[Visitor]],'NHL Model'!$A$6:$B$38,2,FALSE)</f>
        <v>-0.21579108793246188</v>
      </c>
      <c r="J108">
        <f>($B$1+Table4[[#This Row],[Home Differential]])-Table4[[#This Row],[Away Differential]]</f>
        <v>0.69940648026063634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0.60682261449360797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0.154588456473642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0.13483877693289487</v>
      </c>
      <c r="H109" t="s">
        <v>26</v>
      </c>
      <c r="I109">
        <f>VLOOKUP(Table4[[#This Row],[Visitor]],'NHL Model'!$A$6:$B$38,2,FALSE)</f>
        <v>-4.6015351177631898E-2</v>
      </c>
      <c r="J109">
        <f>($B$1+Table4[[#This Row],[Home Differential]])-Table4[[#This Row],[Away Differential]]</f>
        <v>0.3176907058706594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0.58619744887670022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0.17123255131615112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-0.54997285633810766</v>
      </c>
      <c r="H110" t="s">
        <v>18</v>
      </c>
      <c r="I110">
        <f>VLOOKUP(Table4[[#This Row],[Visitor]],'NHL Model'!$A$6:$B$38,2,FALSE)</f>
        <v>6.8462291869218858E-2</v>
      </c>
      <c r="J110">
        <f>($B$1+Table4[[#This Row],[Home Differential]])-Table4[[#This Row],[Away Differential]]</f>
        <v>-0.48159857044719395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0.54371888874780006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0.20819245248554247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-0.27466957136179609</v>
      </c>
      <c r="H111" t="s">
        <v>34</v>
      </c>
      <c r="I111">
        <f>VLOOKUP(Table4[[#This Row],[Visitor]],'NHL Model'!$A$6:$B$38,2,FALSE)</f>
        <v>0.32232840463649798</v>
      </c>
      <c r="J111">
        <f>($B$1+Table4[[#This Row],[Home Differential]])-Table4[[#This Row],[Away Differential]]</f>
        <v>-0.46016139823816149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0.55328026892214577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0.30611905597856193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0.17390560158361429</v>
      </c>
      <c r="H112" t="s">
        <v>31</v>
      </c>
      <c r="I112">
        <f>VLOOKUP(Table4[[#This Row],[Visitor]],'NHL Model'!$A$6:$B$38,2,FALSE)</f>
        <v>-0.30466872127922601</v>
      </c>
      <c r="J112">
        <f>($B$1+Table4[[#This Row],[Home Differential]])-Table4[[#This Row],[Away Differential]]</f>
        <v>0.61541090062297288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0.62539532742189918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0.39111931556114449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1.7070031799067014</v>
      </c>
      <c r="H113" t="s">
        <v>25</v>
      </c>
      <c r="I113">
        <f>VLOOKUP(Table4[[#This Row],[Visitor]],'NHL Model'!$A$6:$B$38,2,FALSE)</f>
        <v>0.33829893848778331</v>
      </c>
      <c r="J113">
        <f>($B$1+Table4[[#This Row],[Home Differential]])-Table4[[#This Row],[Away Differential]]</f>
        <v>1.5055408191790507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0.75811559846772503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0.57473926064007685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0.5231745585052443</v>
      </c>
      <c r="H114" t="s">
        <v>13</v>
      </c>
      <c r="I114">
        <f>VLOOKUP(Table4[[#This Row],[Visitor]],'NHL Model'!$A$6:$B$38,2,FALSE)</f>
        <v>-0.14985965438623808</v>
      </c>
      <c r="J114">
        <f>($B$1+Table4[[#This Row],[Home Differential]])-Table4[[#This Row],[Away Differential]]</f>
        <v>0.80987079065161494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0.60084090309945348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0.36100979083736684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3.922199270086173E-4</v>
      </c>
      <c r="H115" t="s">
        <v>18</v>
      </c>
      <c r="I115">
        <f>VLOOKUP(Table4[[#This Row],[Visitor]],'NHL Model'!$A$6:$B$38,2,FALSE)</f>
        <v>6.8462291869218858E-2</v>
      </c>
      <c r="J115">
        <f>($B$1+Table4[[#This Row],[Home Differential]])-Table4[[#This Row],[Away Differential]]</f>
        <v>6.876650581792236E-2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0.49981005262995043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0.25018998345005289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-7.4962464446554744E-2</v>
      </c>
      <c r="H116" t="s">
        <v>14</v>
      </c>
      <c r="I116">
        <f>VLOOKUP(Table4[[#This Row],[Visitor]],'NHL Model'!$A$6:$B$38,2,FALSE)</f>
        <v>1.1343608350765873E-2</v>
      </c>
      <c r="J116">
        <f>($B$1+Table4[[#This Row],[Home Differential]])-Table4[[#This Row],[Away Differential]]</f>
        <v>5.0530504962811994E-2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0.52410453580285288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0.2746855644491239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-0.48381480045860298</v>
      </c>
      <c r="H117" t="s">
        <v>38</v>
      </c>
      <c r="I117">
        <f>VLOOKUP(Table4[[#This Row],[Visitor]],'NHL Model'!$A$6:$B$38,2,FALSE)</f>
        <v>-0.87254503056606192</v>
      </c>
      <c r="J117">
        <f>($B$1+Table4[[#This Row],[Home Differential]])-Table4[[#This Row],[Away Differential]]</f>
        <v>0.52556680786759158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0.59069195214785353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0.16753307803653503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0.25279292855900759</v>
      </c>
      <c r="H118" t="s">
        <v>26</v>
      </c>
      <c r="I118">
        <f>VLOOKUP(Table4[[#This Row],[Visitor]],'NHL Model'!$A$6:$B$38,2,FALSE)</f>
        <v>-4.6015351177631898E-2</v>
      </c>
      <c r="J118">
        <f>($B$1+Table4[[#This Row],[Home Differential]])-Table4[[#This Row],[Away Differential]]</f>
        <v>0.43564485749677206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0.56988765566176447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0.18499662875213288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-0.36341023830385849</v>
      </c>
      <c r="H119" t="s">
        <v>33</v>
      </c>
      <c r="I119">
        <f>VLOOKUP(Table4[[#This Row],[Visitor]],'NHL Model'!$A$6:$B$38,2,FALSE)</f>
        <v>-0.3566847028170323</v>
      </c>
      <c r="J119">
        <f>($B$1+Table4[[#This Row],[Home Differential]])-Table4[[#This Row],[Away Differential]]</f>
        <v>0.13011104227330642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0.53178023512186379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0.28279021846626473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-7.2312572939580336E-2</v>
      </c>
      <c r="H120" t="s">
        <v>27</v>
      </c>
      <c r="I120">
        <f>VLOOKUP(Table4[[#This Row],[Visitor]],'NHL Model'!$A$6:$B$38,2,FALSE)</f>
        <v>-7.417166684134277E-2</v>
      </c>
      <c r="J120">
        <f>($B$1+Table4[[#This Row],[Home Differential]])-Table4[[#This Row],[Away Differential]]</f>
        <v>0.13869567166189506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0.544773908890262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0.20723079402705147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-0.9803970267772969</v>
      </c>
      <c r="H121" t="s">
        <v>55</v>
      </c>
      <c r="I121">
        <f>VLOOKUP(Table4[[#This Row],[Visitor]],'NHL Model'!$A$6:$B$38,2,FALSE)</f>
        <v>0.27119018820614604</v>
      </c>
      <c r="J121">
        <f>($B$1+Table4[[#This Row],[Home Differential]])-Table4[[#This Row],[Away Differential]]</f>
        <v>-1.1147506372233105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0.56751989112133916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0.18703904457569834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0.98607049252714107</v>
      </c>
      <c r="H122" t="s">
        <v>10</v>
      </c>
      <c r="I122">
        <f>VLOOKUP(Table4[[#This Row],[Visitor]],'NHL Model'!$A$6:$B$38,2,FALSE)</f>
        <v>-0.43286905189715857</v>
      </c>
      <c r="J122">
        <f>($B$1+Table4[[#This Row],[Home Differential]])-Table4[[#This Row],[Away Differential]]</f>
        <v>1.5557761221844322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0.70407428692266205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0.49572060150565506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-0.16816097389287935</v>
      </c>
      <c r="H123" t="s">
        <v>32</v>
      </c>
      <c r="I123">
        <f>VLOOKUP(Table4[[#This Row],[Visitor]],'NHL Model'!$A$6:$B$38,2,FALSE)</f>
        <v>-0.21579108793246188</v>
      </c>
      <c r="J123">
        <f>($B$1+Table4[[#This Row],[Home Differential]])-Table4[[#This Row],[Away Differential]]</f>
        <v>0.18446669179971514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0.5481081444355429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0.30042253799657398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0.13483877693289487</v>
      </c>
      <c r="H124" t="s">
        <v>19</v>
      </c>
      <c r="I124">
        <f>VLOOKUP(Table4[[#This Row],[Visitor]],'NHL Model'!$A$6:$B$38,2,FALSE)</f>
        <v>4.3410611683700091E-2</v>
      </c>
      <c r="J124">
        <f>($B$1+Table4[[#This Row],[Home Differential]])-Table4[[#This Row],[Away Differential]]</f>
        <v>0.22826474300932742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0.60841220492604942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0.15334100125087832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-0.29093210318822477</v>
      </c>
      <c r="H125" t="s">
        <v>22</v>
      </c>
      <c r="I125">
        <f>VLOOKUP(Table4[[#This Row],[Visitor]],'NHL Model'!$A$6:$B$38,2,FALSE)</f>
        <v>0.34677881456804194</v>
      </c>
      <c r="J125">
        <f>($B$1+Table4[[#This Row],[Home Differential]])-Table4[[#This Row],[Away Differential]]</f>
        <v>-0.50087433999613407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0.50831031506382429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0.24175874627263574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-0.27466957136179609</v>
      </c>
      <c r="H126" t="s">
        <v>33</v>
      </c>
      <c r="I126">
        <f>VLOOKUP(Table4[[#This Row],[Visitor]],'NHL Model'!$A$6:$B$38,2,FALSE)</f>
        <v>-0.3566847028170323</v>
      </c>
      <c r="J126">
        <f>($B$1+Table4[[#This Row],[Home Differential]])-Table4[[#This Row],[Away Differential]]</f>
        <v>0.21885170921536881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0.54284780816128086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0.20898812650294507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-0.16816097389287935</v>
      </c>
      <c r="H127" t="s">
        <v>16</v>
      </c>
      <c r="I127">
        <f>VLOOKUP(Table4[[#This Row],[Visitor]],'NHL Model'!$A$6:$B$38,2,FALSE)</f>
        <v>-0.54997285633810766</v>
      </c>
      <c r="J127">
        <f>($B$1+Table4[[#This Row],[Home Differential]])-Table4[[#This Row],[Away Differential]]</f>
        <v>0.51864846020536093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0.59002466391087571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0.16807977620139042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0.17390560158361429</v>
      </c>
      <c r="H128" t="s">
        <v>12</v>
      </c>
      <c r="I128">
        <f>VLOOKUP(Table4[[#This Row],[Visitor]],'NHL Model'!$A$6:$B$38,2,FALSE)</f>
        <v>1.7070031799067014</v>
      </c>
      <c r="J128">
        <f>($B$1+Table4[[#This Row],[Home Differential]])-Table4[[#This Row],[Away Differential]]</f>
        <v>-1.3962610005629545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0.63826924155875142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0.4073876247199838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0.5231745585052443</v>
      </c>
      <c r="H129" t="s">
        <v>25</v>
      </c>
      <c r="I129">
        <f>VLOOKUP(Table4[[#This Row],[Visitor]],'NHL Model'!$A$6:$B$38,2,FALSE)</f>
        <v>0.33829893848778331</v>
      </c>
      <c r="J129">
        <f>($B$1+Table4[[#This Row],[Home Differential]])-Table4[[#This Row],[Away Differential]]</f>
        <v>0.32171219777759358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0.54265768110059098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0.20916199665628873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-4.6015351177631898E-2</v>
      </c>
      <c r="H130" t="s">
        <v>35</v>
      </c>
      <c r="I130">
        <f>VLOOKUP(Table4[[#This Row],[Visitor]],'NHL Model'!$A$6:$B$38,2,FALSE)</f>
        <v>-0.9803970267772969</v>
      </c>
      <c r="J130">
        <f>($B$1+Table4[[#This Row],[Home Differential]])-Table4[[#This Row],[Away Differential]]</f>
        <v>1.0712182533597976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0.68513928890929521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9.9137267388544267E-2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-7.4962464446554744E-2</v>
      </c>
      <c r="H131" t="s">
        <v>20</v>
      </c>
      <c r="I131">
        <f>VLOOKUP(Table4[[#This Row],[Visitor]],'NHL Model'!$A$6:$B$38,2,FALSE)</f>
        <v>0.1394237692045871</v>
      </c>
      <c r="J131">
        <f>($B$1+Table4[[#This Row],[Home Differential]])-Table4[[#This Row],[Away Differential]]</f>
        <v>-7.7549655891009234E-2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0.49888030821285728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0.24888156192255548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0.32232840463649798</v>
      </c>
      <c r="H132" t="s">
        <v>55</v>
      </c>
      <c r="I132">
        <f>VLOOKUP(Table4[[#This Row],[Visitor]],'NHL Model'!$A$6:$B$38,2,FALSE)</f>
        <v>0.27119018820614604</v>
      </c>
      <c r="J132">
        <f>($B$1+Table4[[#This Row],[Home Differential]])-Table4[[#This Row],[Away Differential]]</f>
        <v>0.18797479419048457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0.55889592956775835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0.31236466008740871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-0.48381480045860298</v>
      </c>
      <c r="H133" t="s">
        <v>13</v>
      </c>
      <c r="I133">
        <f>VLOOKUP(Table4[[#This Row],[Visitor]],'NHL Model'!$A$6:$B$38,2,FALSE)</f>
        <v>-0.14985965438623808</v>
      </c>
      <c r="J133">
        <f>($B$1+Table4[[#This Row],[Home Differential]])-Table4[[#This Row],[Away Differential]]</f>
        <v>-0.19711856831223226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0.51041296494858202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0.26052139478760239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-7.417166684134277E-2</v>
      </c>
      <c r="H134" t="s">
        <v>30</v>
      </c>
      <c r="I134">
        <f>VLOOKUP(Table4[[#This Row],[Visitor]],'NHL Model'!$A$6:$B$38,2,FALSE)</f>
        <v>0.25279292855900759</v>
      </c>
      <c r="J134">
        <f>($B$1+Table4[[#This Row],[Home Differential]])-Table4[[#This Row],[Away Differential]]</f>
        <v>-0.19012801764021775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0.4991074519580625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0.24910824860006966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1.1343608350765873E-2</v>
      </c>
      <c r="H135" t="s">
        <v>28</v>
      </c>
      <c r="I135">
        <f>VLOOKUP(Table4[[#This Row],[Visitor]],'NHL Model'!$A$6:$B$38,2,FALSE)</f>
        <v>-0.29093210318822477</v>
      </c>
      <c r="J135">
        <f>($B$1+Table4[[#This Row],[Home Differential]])-Table4[[#This Row],[Away Differential]]</f>
        <v>0.43911228929912327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0.58235324381880194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0.339135300586281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-0.21579108793246188</v>
      </c>
      <c r="H136" t="s">
        <v>17</v>
      </c>
      <c r="I136">
        <f>VLOOKUP(Table4[[#This Row],[Visitor]],'NHL Model'!$A$6:$B$38,2,FALSE)</f>
        <v>3.922199270086173E-4</v>
      </c>
      <c r="J136">
        <f>($B$1+Table4[[#This Row],[Home Differential]])-Table4[[#This Row],[Away Differential]]</f>
        <v>-7.9346730099337889E-2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0.46765314815371223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0.21869946697807791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0.98607049252714107</v>
      </c>
      <c r="H137" t="s">
        <v>31</v>
      </c>
      <c r="I137">
        <f>VLOOKUP(Table4[[#This Row],[Visitor]],'NHL Model'!$A$6:$B$38,2,FALSE)</f>
        <v>-0.30466872127922601</v>
      </c>
      <c r="J137">
        <f>($B$1+Table4[[#This Row],[Home Differential]])-Table4[[#This Row],[Away Differential]]</f>
        <v>1.4275757915664997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0.69170911292814963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9.5043271051548403E-2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4.3410611683700091E-2</v>
      </c>
      <c r="H138" t="s">
        <v>23</v>
      </c>
      <c r="I138">
        <f>VLOOKUP(Table4[[#This Row],[Visitor]],'NHL Model'!$A$6:$B$38,2,FALSE)</f>
        <v>0.13483877693289487</v>
      </c>
      <c r="J138">
        <f>($B$1+Table4[[#This Row],[Home Differential]])-Table4[[#This Row],[Away Differential]]</f>
        <v>4.5408412510937829E-2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0.5766257964907846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0.17924571619706253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-0.87254503056606192</v>
      </c>
      <c r="H139" t="s">
        <v>18</v>
      </c>
      <c r="I139">
        <f>VLOOKUP(Table4[[#This Row],[Visitor]],'NHL Model'!$A$6:$B$38,2,FALSE)</f>
        <v>6.8462291869218858E-2</v>
      </c>
      <c r="J139">
        <f>($B$1+Table4[[#This Row],[Home Differential]])-Table4[[#This Row],[Away Differential]]</f>
        <v>-0.80417074467514815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0.58897218961844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0.16894386090705965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0.34677881456804194</v>
      </c>
      <c r="H140" t="s">
        <v>36</v>
      </c>
      <c r="I140">
        <f>VLOOKUP(Table4[[#This Row],[Visitor]],'NHL Model'!$A$6:$B$38,2,FALSE)</f>
        <v>-7.2312572939580336E-2</v>
      </c>
      <c r="J140">
        <f>($B$1+Table4[[#This Row],[Home Differential]])-Table4[[#This Row],[Away Differential]]</f>
        <v>0.5559279652677549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0.59298382957152707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0.35162982213331384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-0.54997285633810766</v>
      </c>
      <c r="H141" t="s">
        <v>15</v>
      </c>
      <c r="I141">
        <f>VLOOKUP(Table4[[#This Row],[Visitor]],'NHL Model'!$A$6:$B$38,2,FALSE)</f>
        <v>-0.36341023830385849</v>
      </c>
      <c r="J141">
        <f>($B$1+Table4[[#This Row],[Home Differential]])-Table4[[#This Row],[Away Differential]]</f>
        <v>-4.972604027411659E-2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0.52331469288939481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0.27385826779392158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-0.43286905189715857</v>
      </c>
      <c r="H142" t="s">
        <v>13</v>
      </c>
      <c r="I142">
        <f>VLOOKUP(Table4[[#This Row],[Visitor]],'NHL Model'!$A$6:$B$38,2,FALSE)</f>
        <v>-0.14985965438623808</v>
      </c>
      <c r="J142">
        <f>($B$1+Table4[[#This Row],[Home Differential]])-Table4[[#This Row],[Away Differential]]</f>
        <v>-0.14617281975078786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0.50549914731483236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0.24453109330635786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0.32232840463649798</v>
      </c>
      <c r="H143" t="s">
        <v>33</v>
      </c>
      <c r="I143">
        <f>VLOOKUP(Table4[[#This Row],[Visitor]],'NHL Model'!$A$6:$B$38,2,FALSE)</f>
        <v>-0.3566847028170323</v>
      </c>
      <c r="J143">
        <f>($B$1+Table4[[#This Row],[Home Differential]])-Table4[[#This Row],[Away Differential]]</f>
        <v>0.81584968521366297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0.59869030651020794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0.3584300831092867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-0.27466957136179609</v>
      </c>
      <c r="H144" t="s">
        <v>12</v>
      </c>
      <c r="I144">
        <f>VLOOKUP(Table4[[#This Row],[Visitor]],'NHL Model'!$A$6:$B$38,2,FALSE)</f>
        <v>1.7070031799067014</v>
      </c>
      <c r="J144">
        <f>($B$1+Table4[[#This Row],[Home Differential]])-Table4[[#This Row],[Away Differential]]</f>
        <v>-1.8448361735083649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0.70533533708584706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0.49749793774200551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-0.48381480045860298</v>
      </c>
      <c r="H145" t="s">
        <v>39</v>
      </c>
      <c r="I145">
        <f>VLOOKUP(Table4[[#This Row],[Visitor]],'NHL Model'!$A$6:$B$38,2,FALSE)</f>
        <v>0.5231745585052443</v>
      </c>
      <c r="J145">
        <f>($B$1+Table4[[#This Row],[Home Differential]])-Table4[[#This Row],[Away Differential]]</f>
        <v>-0.87015278120371464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0.60045687252551727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0.15963471071209076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0.98607049252714107</v>
      </c>
      <c r="H146" t="s">
        <v>20</v>
      </c>
      <c r="I146">
        <f>VLOOKUP(Table4[[#This Row],[Visitor]],'NHL Model'!$A$6:$B$38,2,FALSE)</f>
        <v>0.1394237692045871</v>
      </c>
      <c r="J146">
        <f>($B$1+Table4[[#This Row],[Home Differential]])-Table4[[#This Row],[Away Differential]]</f>
        <v>0.98348330108268656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0.61758617114015857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0.14624033650324408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-0.87254503056606192</v>
      </c>
      <c r="H147" t="s">
        <v>17</v>
      </c>
      <c r="I147">
        <f>VLOOKUP(Table4[[#This Row],[Visitor]],'NHL Model'!$A$6:$B$38,2,FALSE)</f>
        <v>3.922199270086173E-4</v>
      </c>
      <c r="J147">
        <f>($B$1+Table4[[#This Row],[Home Differential]])-Table4[[#This Row],[Away Differential]]</f>
        <v>-0.736100672732938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0.53099835742972112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0.2819592555930619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-0.16816097389287935</v>
      </c>
      <c r="H148" t="s">
        <v>55</v>
      </c>
      <c r="I148">
        <f>VLOOKUP(Table4[[#This Row],[Visitor]],'NHL Model'!$A$6:$B$38,2,FALSE)</f>
        <v>0.27119018820614604</v>
      </c>
      <c r="J148">
        <f>($B$1+Table4[[#This Row],[Home Differential]])-Table4[[#This Row],[Away Differential]]</f>
        <v>-0.30251458433889278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0.48917812655550802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0.26093898638934065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-7.2312572939580336E-2</v>
      </c>
      <c r="H149" t="s">
        <v>21</v>
      </c>
      <c r="I149">
        <f>VLOOKUP(Table4[[#This Row],[Visitor]],'NHL Model'!$A$6:$B$38,2,FALSE)</f>
        <v>0.17390560158361429</v>
      </c>
      <c r="J149">
        <f>($B$1+Table4[[#This Row],[Home Differential]])-Table4[[#This Row],[Away Differential]]</f>
        <v>-0.10938159676306201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0.47055007010710209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0.22141736847779869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1.1343608350765873E-2</v>
      </c>
      <c r="H150" t="s">
        <v>35</v>
      </c>
      <c r="I150">
        <f>VLOOKUP(Table4[[#This Row],[Visitor]],'NHL Model'!$A$6:$B$38,2,FALSE)</f>
        <v>-0.9803970267772969</v>
      </c>
      <c r="J150">
        <f>($B$1+Table4[[#This Row],[Home Differential]])-Table4[[#This Row],[Away Differential]]</f>
        <v>1.1285772128881955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0.64885349153422833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0.12330387040770226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0.17390560158361429</v>
      </c>
      <c r="H151" t="s">
        <v>30</v>
      </c>
      <c r="I151">
        <f>VLOOKUP(Table4[[#This Row],[Visitor]],'NHL Model'!$A$6:$B$38,2,FALSE)</f>
        <v>0.25279292855900759</v>
      </c>
      <c r="J151">
        <f>($B$1+Table4[[#This Row],[Home Differential]])-Table4[[#This Row],[Away Differential]]</f>
        <v>5.7949250784739337E-2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0.55104386465014432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0.20156161146827792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0.13483877693289487</v>
      </c>
      <c r="H152" t="s">
        <v>28</v>
      </c>
      <c r="I152">
        <f>VLOOKUP(Table4[[#This Row],[Visitor]],'NHL Model'!$A$6:$B$38,2,FALSE)</f>
        <v>-0.29093210318822477</v>
      </c>
      <c r="J152">
        <f>($B$1+Table4[[#This Row],[Home Differential]])-Table4[[#This Row],[Away Differential]]</f>
        <v>0.56260745788125233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0.64066021726160183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0.41044551398168283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0.33829893848778331</v>
      </c>
      <c r="H153" t="s">
        <v>20</v>
      </c>
      <c r="I153">
        <f>VLOOKUP(Table4[[#This Row],[Visitor]],'NHL Model'!$A$6:$B$38,2,FALSE)</f>
        <v>0.1394237692045871</v>
      </c>
      <c r="J153">
        <f>($B$1+Table4[[#This Row],[Home Differential]])-Table4[[#This Row],[Away Differential]]</f>
        <v>0.33571174704332885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0.5832782617735055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0.34021353065752202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-0.43286905189715857</v>
      </c>
      <c r="H154" t="s">
        <v>36</v>
      </c>
      <c r="I154">
        <f>VLOOKUP(Table4[[#This Row],[Visitor]],'NHL Model'!$A$6:$B$38,2,FALSE)</f>
        <v>-7.2312572939580336E-2</v>
      </c>
      <c r="J154">
        <f>($B$1+Table4[[#This Row],[Home Differential]])-Table4[[#This Row],[Away Differential]]</f>
        <v>-0.22371990119744561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0.49126225515944144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0.24133860334434015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1.7070031799067014</v>
      </c>
      <c r="H155" t="s">
        <v>24</v>
      </c>
      <c r="I155">
        <f>VLOOKUP(Table4[[#This Row],[Visitor]],'NHL Model'!$A$6:$B$38,2,FALSE)</f>
        <v>-0.27466957136179609</v>
      </c>
      <c r="J155">
        <f>($B$1+Table4[[#This Row],[Home Differential]])-Table4[[#This Row],[Away Differential]]</f>
        <v>2.1185093290286301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0.84709487798584204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2.3379976338164531E-2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0.5231745585052443</v>
      </c>
      <c r="H156" t="s">
        <v>22</v>
      </c>
      <c r="I156">
        <f>VLOOKUP(Table4[[#This Row],[Visitor]],'NHL Model'!$A$6:$B$38,2,FALSE)</f>
        <v>0.34677881456804194</v>
      </c>
      <c r="J156">
        <f>($B$1+Table4[[#This Row],[Home Differential]])-Table4[[#This Row],[Away Differential]]</f>
        <v>0.31323232169733495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0.58422849389881393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0.17286594528564861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3.922199270086173E-4</v>
      </c>
      <c r="H157" t="s">
        <v>55</v>
      </c>
      <c r="I157">
        <f>VLOOKUP(Table4[[#This Row],[Visitor]],'NHL Model'!$A$6:$B$38,2,FALSE)</f>
        <v>0.27119018820614604</v>
      </c>
      <c r="J157">
        <f>($B$1+Table4[[#This Row],[Home Differential]])-Table4[[#This Row],[Away Differential]]</f>
        <v>-0.13396139051900482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0.46836638410557135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0.2193670697601276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-7.4962464446554744E-2</v>
      </c>
      <c r="H158" t="s">
        <v>31</v>
      </c>
      <c r="I158">
        <f>VLOOKUP(Table4[[#This Row],[Visitor]],'NHL Model'!$A$6:$B$38,2,FALSE)</f>
        <v>-0.30466872127922601</v>
      </c>
      <c r="J158">
        <f>($B$1+Table4[[#This Row],[Home Differential]])-Table4[[#This Row],[Away Differential]]</f>
        <v>0.3665428345928039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0.57535377720428293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0.33103196894323567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0.32232840463649798</v>
      </c>
      <c r="H159" t="s">
        <v>40</v>
      </c>
      <c r="I159">
        <f>VLOOKUP(Table4[[#This Row],[Visitor]],'NHL Model'!$A$6:$B$38,2,FALSE)</f>
        <v>-0.16816097389287935</v>
      </c>
      <c r="J159">
        <f>($B$1+Table4[[#This Row],[Home Differential]])-Table4[[#This Row],[Away Differential]]</f>
        <v>0.62732595628950993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0.60127221313785506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0.36152827429169421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-0.48381480045860298</v>
      </c>
      <c r="H160" t="s">
        <v>37</v>
      </c>
      <c r="I160">
        <f>VLOOKUP(Table4[[#This Row],[Visitor]],'NHL Model'!$A$6:$B$38,2,FALSE)</f>
        <v>0.98607049252714107</v>
      </c>
      <c r="J160">
        <f>($B$1+Table4[[#This Row],[Home Differential]])-Table4[[#This Row],[Away Differential]]</f>
        <v>-1.3330487152256114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0.69599840100325205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9.2416972192579536E-2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-7.417166684134277E-2</v>
      </c>
      <c r="H161" t="s">
        <v>14</v>
      </c>
      <c r="I161">
        <f>VLOOKUP(Table4[[#This Row],[Visitor]],'NHL Model'!$A$6:$B$38,2,FALSE)</f>
        <v>1.1343608350765873E-2</v>
      </c>
      <c r="J161">
        <f>($B$1+Table4[[#This Row],[Home Differential]])-Table4[[#This Row],[Away Differential]]</f>
        <v>5.1321302568023967E-2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0.52418080978698189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0.2264039017749723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-0.21579108793246188</v>
      </c>
      <c r="H162" t="s">
        <v>18</v>
      </c>
      <c r="I162">
        <f>VLOOKUP(Table4[[#This Row],[Visitor]],'NHL Model'!$A$6:$B$38,2,FALSE)</f>
        <v>6.8462291869218858E-2</v>
      </c>
      <c r="J162">
        <f>($B$1+Table4[[#This Row],[Home Differential]])-Table4[[#This Row],[Away Differential]]</f>
        <v>-0.14741680204154811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0.52562698034243105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0.2250297617790403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-0.3566847028170323</v>
      </c>
      <c r="H163" t="s">
        <v>13</v>
      </c>
      <c r="I163">
        <f>VLOOKUP(Table4[[#This Row],[Visitor]],'NHL Model'!$A$6:$B$38,2,FALSE)</f>
        <v>-0.14985965438623808</v>
      </c>
      <c r="J163">
        <f>($B$1+Table4[[#This Row],[Home Differential]])-Table4[[#This Row],[Away Differential]]</f>
        <v>-6.9988470670661607E-2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0.49815101702925674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0.25185240170876944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-0.9803970267772969</v>
      </c>
      <c r="H164" t="s">
        <v>26</v>
      </c>
      <c r="I164">
        <f>VLOOKUP(Table4[[#This Row],[Visitor]],'NHL Model'!$A$6:$B$38,2,FALSE)</f>
        <v>-4.6015351177631898E-2</v>
      </c>
      <c r="J164">
        <f>($B$1+Table4[[#This Row],[Home Differential]])-Table4[[#This Row],[Away Differential]]</f>
        <v>-0.79754509783953242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0.56832528446242714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0.18634306003444445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4.3410611683700091E-2</v>
      </c>
      <c r="H165" t="s">
        <v>16</v>
      </c>
      <c r="I165">
        <f>VLOOKUP(Table4[[#This Row],[Visitor]],'NHL Model'!$A$6:$B$38,2,FALSE)</f>
        <v>-0.54997285633810766</v>
      </c>
      <c r="J165">
        <f>($B$1+Table4[[#This Row],[Home Differential]])-Table4[[#This Row],[Away Differential]]</f>
        <v>0.73022004578194033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0.64267722520432091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0.1276795653876836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-0.87254503056606192</v>
      </c>
      <c r="H166" t="s">
        <v>15</v>
      </c>
      <c r="I166">
        <f>VLOOKUP(Table4[[#This Row],[Visitor]],'NHL Model'!$A$6:$B$38,2,FALSE)</f>
        <v>-0.36341023830385849</v>
      </c>
      <c r="J166">
        <f>($B$1+Table4[[#This Row],[Home Differential]])-Table4[[#This Row],[Away Differential]]</f>
        <v>-0.37229821450207085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0.56853206402236323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0.18616457977680206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-0.29093210318822477</v>
      </c>
      <c r="H167" t="s">
        <v>19</v>
      </c>
      <c r="I167">
        <f>VLOOKUP(Table4[[#This Row],[Visitor]],'NHL Model'!$A$6:$B$38,2,FALSE)</f>
        <v>4.3410611683700091E-2</v>
      </c>
      <c r="J167">
        <f>($B$1+Table4[[#This Row],[Home Differential]])-Table4[[#This Row],[Away Differential]]</f>
        <v>-0.19750613711179224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0.47904985532096372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0.22948876388303627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0.17390560158361429</v>
      </c>
      <c r="H168" t="s">
        <v>23</v>
      </c>
      <c r="I168">
        <f>VLOOKUP(Table4[[#This Row],[Visitor]],'NHL Model'!$A$6:$B$38,2,FALSE)</f>
        <v>0.13483877693289487</v>
      </c>
      <c r="J168">
        <f>($B$1+Table4[[#This Row],[Home Differential]])-Table4[[#This Row],[Away Differential]]</f>
        <v>0.17590340241085206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0.58300396492625883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0.17388569326722078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0.33829893848778331</v>
      </c>
      <c r="H169" t="s">
        <v>30</v>
      </c>
      <c r="I169">
        <f>VLOOKUP(Table4[[#This Row],[Visitor]],'NHL Model'!$A$6:$B$38,2,FALSE)</f>
        <v>0.25279292855900759</v>
      </c>
      <c r="J169">
        <f>($B$1+Table4[[#This Row],[Home Differential]])-Table4[[#This Row],[Away Differential]]</f>
        <v>0.22234258768890836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0.5828488885920261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0.17401504974890786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3.922199270086173E-4</v>
      </c>
      <c r="H170" t="s">
        <v>15</v>
      </c>
      <c r="I170">
        <f>VLOOKUP(Table4[[#This Row],[Visitor]],'NHL Model'!$A$6:$B$38,2,FALSE)</f>
        <v>-0.36341023830385849</v>
      </c>
      <c r="J170">
        <f>($B$1+Table4[[#This Row],[Home Differential]])-Table4[[#This Row],[Away Differential]]</f>
        <v>0.50063903599099968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0.52023481424927476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0.27064426195697738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-0.14985965438623808</v>
      </c>
      <c r="H171" t="s">
        <v>26</v>
      </c>
      <c r="I171">
        <f>VLOOKUP(Table4[[#This Row],[Visitor]],'NHL Model'!$A$6:$B$38,2,FALSE)</f>
        <v>-4.6015351177631898E-2</v>
      </c>
      <c r="J171">
        <f>($B$1+Table4[[#This Row],[Home Differential]])-Table4[[#This Row],[Away Differential]]</f>
        <v>3.2992274551526431E-2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0.51178167835943023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0.26192048630439529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0.32232840463649798</v>
      </c>
      <c r="H172" t="s">
        <v>14</v>
      </c>
      <c r="I172">
        <f>VLOOKUP(Table4[[#This Row],[Visitor]],'NHL Model'!$A$6:$B$38,2,FALSE)</f>
        <v>1.1343608350765873E-2</v>
      </c>
      <c r="J172">
        <f>($B$1+Table4[[#This Row],[Home Differential]])-Table4[[#This Row],[Away Differential]]</f>
        <v>0.44782137404586475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0.56319325216907179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0.31718663928877566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-7.2312572939580336E-2</v>
      </c>
      <c r="H173" t="s">
        <v>16</v>
      </c>
      <c r="I173">
        <f>VLOOKUP(Table4[[#This Row],[Visitor]],'NHL Model'!$A$6:$B$38,2,FALSE)</f>
        <v>-0.54997285633810766</v>
      </c>
      <c r="J173">
        <f>($B$1+Table4[[#This Row],[Home Differential]])-Table4[[#This Row],[Away Differential]]</f>
        <v>0.61449686115865998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0.59926943066904781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0.16058498919630909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-7.417166684134277E-2</v>
      </c>
      <c r="H174" t="s">
        <v>29</v>
      </c>
      <c r="I174">
        <f>VLOOKUP(Table4[[#This Row],[Visitor]],'NHL Model'!$A$6:$B$38,2,FALSE)</f>
        <v>-0.48381480045860298</v>
      </c>
      <c r="J174">
        <f>($B$1+Table4[[#This Row],[Home Differential]])-Table4[[#This Row],[Away Differential]]</f>
        <v>0.54647971137739282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0.59270904281667403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0.16588592380330988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-0.3566847028170323</v>
      </c>
      <c r="H175" t="s">
        <v>24</v>
      </c>
      <c r="I175">
        <f>VLOOKUP(Table4[[#This Row],[Visitor]],'NHL Model'!$A$6:$B$38,2,FALSE)</f>
        <v>-0.27466957136179609</v>
      </c>
      <c r="J175">
        <f>($B$1+Table4[[#This Row],[Home Differential]])-Table4[[#This Row],[Away Differential]]</f>
        <v>5.482144630489641E-2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0.53469940100856161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0.21650464742179135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-0.9803970267772969</v>
      </c>
      <c r="H176" t="s">
        <v>38</v>
      </c>
      <c r="I176">
        <f>VLOOKUP(Table4[[#This Row],[Visitor]],'NHL Model'!$A$6:$B$38,2,FALSE)</f>
        <v>-0.87254503056606192</v>
      </c>
      <c r="J176">
        <f>($B$1+Table4[[#This Row],[Home Differential]])-Table4[[#This Row],[Away Differential]]</f>
        <v>2.8984581548897603E-2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0.54279561988867542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0.29462708497033141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0.98607049252714107</v>
      </c>
      <c r="H177" t="s">
        <v>39</v>
      </c>
      <c r="I177">
        <f>VLOOKUP(Table4[[#This Row],[Visitor]],'NHL Model'!$A$6:$B$38,2,FALSE)</f>
        <v>0.5231745585052443</v>
      </c>
      <c r="J177">
        <f>($B$1+Table4[[#This Row],[Home Differential]])-Table4[[#This Row],[Away Differential]]</f>
        <v>0.59973251178202935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0.55545303563991777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0.19762200352176423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-0.16816097389287935</v>
      </c>
      <c r="H178" t="s">
        <v>10</v>
      </c>
      <c r="I178">
        <f>VLOOKUP(Table4[[#This Row],[Visitor]],'NHL Model'!$A$6:$B$38,2,FALSE)</f>
        <v>-0.43286905189715857</v>
      </c>
      <c r="J178">
        <f>($B$1+Table4[[#This Row],[Home Differential]])-Table4[[#This Row],[Away Differential]]</f>
        <v>0.40154465576441184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0.57872977168749218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0.17746860526247246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-0.30466872127922601</v>
      </c>
      <c r="H179" t="s">
        <v>26</v>
      </c>
      <c r="I179">
        <f>VLOOKUP(Table4[[#This Row],[Visitor]],'NHL Model'!$A$6:$B$38,2,FALSE)</f>
        <v>-4.6015351177631898E-2</v>
      </c>
      <c r="J179">
        <f>($B$1+Table4[[#This Row],[Home Differential]])-Table4[[#This Row],[Away Differential]]</f>
        <v>-0.12181679234146151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0.48066598782458447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0.2310397918513836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0.1394237692045871</v>
      </c>
      <c r="H180" t="s">
        <v>12</v>
      </c>
      <c r="I180">
        <f>VLOOKUP(Table4[[#This Row],[Visitor]],'NHL Model'!$A$6:$B$38,2,FALSE)</f>
        <v>1.7070031799067014</v>
      </c>
      <c r="J180">
        <f>($B$1+Table4[[#This Row],[Home Differential]])-Table4[[#This Row],[Away Differential]]</f>
        <v>-1.4307428329419816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0.66789954950296726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0.11029070922033209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0.34677881456804194</v>
      </c>
      <c r="H181" t="s">
        <v>30</v>
      </c>
      <c r="I181">
        <f>VLOOKUP(Table4[[#This Row],[Visitor]],'NHL Model'!$A$6:$B$38,2,FALSE)</f>
        <v>0.25279292855900759</v>
      </c>
      <c r="J181">
        <f>($B$1+Table4[[#This Row],[Home Differential]])-Table4[[#This Row],[Away Differential]]</f>
        <v>0.23082246376916693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0.55056516733619698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0.30312200348393459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0.17390560158361429</v>
      </c>
      <c r="H182" t="s">
        <v>25</v>
      </c>
      <c r="I182">
        <f>VLOOKUP(Table4[[#This Row],[Visitor]],'NHL Model'!$A$6:$B$38,2,FALSE)</f>
        <v>0.33829893848778331</v>
      </c>
      <c r="J182">
        <f>($B$1+Table4[[#This Row],[Home Differential]])-Table4[[#This Row],[Away Differential]]</f>
        <v>-2.755675914403638E-2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0.47884837980038469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0.22929577083745348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0.13483877693289487</v>
      </c>
      <c r="H183" t="s">
        <v>22</v>
      </c>
      <c r="I183">
        <f>VLOOKUP(Table4[[#This Row],[Visitor]],'NHL Model'!$A$6:$B$38,2,FALSE)</f>
        <v>0.34677881456804194</v>
      </c>
      <c r="J183">
        <f>($B$1+Table4[[#This Row],[Home Differential]])-Table4[[#This Row],[Away Differential]]</f>
        <v>-7.5103459875014433E-2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0.42084825481681115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0.17711325358235561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-0.29093210318822477</v>
      </c>
      <c r="H184" t="s">
        <v>35</v>
      </c>
      <c r="I184">
        <f>VLOOKUP(Table4[[#This Row],[Visitor]],'NHL Model'!$A$6:$B$38,2,FALSE)</f>
        <v>-0.9803970267772969</v>
      </c>
      <c r="J184">
        <f>($B$1+Table4[[#This Row],[Home Differential]])-Table4[[#This Row],[Away Differential]]</f>
        <v>0.82630150134920477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0.61969840473001514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0.14462930336489538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3.922199270086173E-4</v>
      </c>
      <c r="H185" t="s">
        <v>10</v>
      </c>
      <c r="I185">
        <f>VLOOKUP(Table4[[#This Row],[Visitor]],'NHL Model'!$A$6:$B$38,2,FALSE)</f>
        <v>-0.43286905189715857</v>
      </c>
      <c r="J185">
        <f>($B$1+Table4[[#This Row],[Home Differential]])-Table4[[#This Row],[Away Differential]]</f>
        <v>0.57009784958429977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0.59954151413742884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0.16036699889934311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-7.4962464446554744E-2</v>
      </c>
      <c r="H186" t="s">
        <v>39</v>
      </c>
      <c r="I186">
        <f>VLOOKUP(Table4[[#This Row],[Visitor]],'NHL Model'!$A$6:$B$38,2,FALSE)</f>
        <v>0.5231745585052443</v>
      </c>
      <c r="J186">
        <f>($B$1+Table4[[#This Row],[Home Differential]])-Table4[[#This Row],[Away Differential]]</f>
        <v>-0.46130044519166646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0.561022260707561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0.31474597700942253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-0.14985965438623808</v>
      </c>
      <c r="H187" t="s">
        <v>24</v>
      </c>
      <c r="I187">
        <f>VLOOKUP(Table4[[#This Row],[Visitor]],'NHL Model'!$A$6:$B$38,2,FALSE)</f>
        <v>-0.27466957136179609</v>
      </c>
      <c r="J187">
        <f>($B$1+Table4[[#This Row],[Home Differential]])-Table4[[#This Row],[Away Differential]]</f>
        <v>0.26164649473569063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0.55464808365191587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0.30763449669874265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0.32232840463649798</v>
      </c>
      <c r="H188" t="s">
        <v>38</v>
      </c>
      <c r="I188">
        <f>VLOOKUP(Table4[[#This Row],[Visitor]],'NHL Model'!$A$6:$B$38,2,FALSE)</f>
        <v>-0.87254503056606192</v>
      </c>
      <c r="J188">
        <f>($B$1+Table4[[#This Row],[Home Differential]])-Table4[[#This Row],[Away Differential]]</f>
        <v>1.3317100129626924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0.66921144057777293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0.10942107104463225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6.8462291869218858E-2</v>
      </c>
      <c r="H189" t="s">
        <v>36</v>
      </c>
      <c r="I189">
        <f>VLOOKUP(Table4[[#This Row],[Visitor]],'NHL Model'!$A$6:$B$38,2,FALSE)</f>
        <v>-7.2312572939580336E-2</v>
      </c>
      <c r="J189">
        <f>($B$1+Table4[[#This Row],[Home Differential]])-Table4[[#This Row],[Away Differential]]</f>
        <v>0.27761144256893178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0.55785965090958822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0.19548808829379119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-0.48381480045860298</v>
      </c>
      <c r="H190" t="s">
        <v>16</v>
      </c>
      <c r="I190">
        <f>VLOOKUP(Table4[[#This Row],[Visitor]],'NHL Model'!$A$6:$B$38,2,FALSE)</f>
        <v>-0.54997285633810766</v>
      </c>
      <c r="J190">
        <f>($B$1+Table4[[#This Row],[Home Differential]])-Table4[[#This Row],[Away Differential]]</f>
        <v>0.20299463363963732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0.55957923160422263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0.19397045323432696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-7.417166684134277E-2</v>
      </c>
      <c r="H191" t="s">
        <v>19</v>
      </c>
      <c r="I191">
        <f>VLOOKUP(Table4[[#This Row],[Visitor]],'NHL Model'!$A$6:$B$38,2,FALSE)</f>
        <v>4.3410611683700091E-2</v>
      </c>
      <c r="J191">
        <f>($B$1+Table4[[#This Row],[Home Differential]])-Table4[[#This Row],[Away Differential]]</f>
        <v>1.9254299235089749E-2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0.54185711502487333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0.29360913310307879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-0.21579108793246188</v>
      </c>
      <c r="H192" t="s">
        <v>15</v>
      </c>
      <c r="I192">
        <f>VLOOKUP(Table4[[#This Row],[Visitor]],'NHL Model'!$A$6:$B$38,2,FALSE)</f>
        <v>-0.36341023830385849</v>
      </c>
      <c r="J192">
        <f>($B$1+Table4[[#This Row],[Home Differential]])-Table4[[#This Row],[Away Differential]]</f>
        <v>0.2844557281315292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0.49481314525364567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0.24484004871580545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-0.3566847028170323</v>
      </c>
      <c r="H193" t="s">
        <v>12</v>
      </c>
      <c r="I193">
        <f>VLOOKUP(Table4[[#This Row],[Visitor]],'NHL Model'!$A$6:$B$38,2,FALSE)</f>
        <v>1.7070031799067014</v>
      </c>
      <c r="J193">
        <f>($B$1+Table4[[#This Row],[Home Differential]])-Table4[[#This Row],[Away Differential]]</f>
        <v>-1.9268513049636011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0.71575018722855299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0.51229833051770868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-0.16816097389287935</v>
      </c>
      <c r="H194" t="s">
        <v>14</v>
      </c>
      <c r="I194">
        <f>VLOOKUP(Table4[[#This Row],[Visitor]],'NHL Model'!$A$6:$B$38,2,FALSE)</f>
        <v>1.1343608350765873E-2</v>
      </c>
      <c r="J194">
        <f>($B$1+Table4[[#This Row],[Home Differential]])-Table4[[#This Row],[Away Differential]]</f>
        <v>-4.2668004483512607E-2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0.4848846437084503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0.23511311770427079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-0.30466872127922601</v>
      </c>
      <c r="H195" t="s">
        <v>24</v>
      </c>
      <c r="I195">
        <f>VLOOKUP(Table4[[#This Row],[Visitor]],'NHL Model'!$A$6:$B$38,2,FALSE)</f>
        <v>-0.27466957136179609</v>
      </c>
      <c r="J195">
        <f>($B$1+Table4[[#This Row],[Home Differential]])-Table4[[#This Row],[Away Differential]]</f>
        <v>0.1068374278427027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0.56208736252434965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0.19176747806088038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0.25279292855900759</v>
      </c>
      <c r="H196" t="s">
        <v>28</v>
      </c>
      <c r="I196">
        <f>VLOOKUP(Table4[[#This Row],[Visitor]],'NHL Model'!$A$6:$B$38,2,FALSE)</f>
        <v>-0.29093210318822477</v>
      </c>
      <c r="J196">
        <f>($B$1+Table4[[#This Row],[Home Differential]])-Table4[[#This Row],[Away Differential]]</f>
        <v>0.680561609507365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0.62474693687375049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0.14081486138563301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-7.417166684134277E-2</v>
      </c>
      <c r="H197" t="s">
        <v>16</v>
      </c>
      <c r="I197">
        <f>VLOOKUP(Table4[[#This Row],[Visitor]],'NHL Model'!$A$6:$B$38,2,FALSE)</f>
        <v>-0.54997285633810766</v>
      </c>
      <c r="J197">
        <f>($B$1+Table4[[#This Row],[Home Differential]])-Table4[[#This Row],[Away Differential]]</f>
        <v>0.61263776725689745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0.59909011740630791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0.35890896877390377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-0.3566847028170323</v>
      </c>
      <c r="H198" t="s">
        <v>26</v>
      </c>
      <c r="I198">
        <f>VLOOKUP(Table4[[#This Row],[Visitor]],'NHL Model'!$A$6:$B$38,2,FALSE)</f>
        <v>-4.6015351177631898E-2</v>
      </c>
      <c r="J198">
        <f>($B$1+Table4[[#This Row],[Home Differential]])-Table4[[#This Row],[Away Differential]]</f>
        <v>-0.17383277387926779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0.50816700428392381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0.24189969567504982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0.27119018820614604</v>
      </c>
      <c r="H199" t="s">
        <v>37</v>
      </c>
      <c r="I199">
        <f>VLOOKUP(Table4[[#This Row],[Visitor]],'NHL Model'!$A$6:$B$38,2,FALSE)</f>
        <v>0.98607049252714107</v>
      </c>
      <c r="J199">
        <f>($B$1+Table4[[#This Row],[Home Differential]])-Table4[[#This Row],[Away Differential]]</f>
        <v>-0.57804372656086245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0.60924182624489276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0.15269195035642658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-0.48381480045860298</v>
      </c>
      <c r="H200" t="s">
        <v>38</v>
      </c>
      <c r="I200">
        <f>VLOOKUP(Table4[[#This Row],[Visitor]],'NHL Model'!$A$6:$B$38,2,FALSE)</f>
        <v>-0.87254503056606192</v>
      </c>
      <c r="J200">
        <f>($B$1+Table4[[#This Row],[Home Differential]])-Table4[[#This Row],[Away Differential]]</f>
        <v>0.52556680786759158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0.59069195214785353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0.34891698233224205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-0.21579108793246188</v>
      </c>
      <c r="H201" t="s">
        <v>10</v>
      </c>
      <c r="I201">
        <f>VLOOKUP(Table4[[#This Row],[Visitor]],'NHL Model'!$A$6:$B$38,2,FALSE)</f>
        <v>-0.43286905189715857</v>
      </c>
      <c r="J201">
        <f>($B$1+Table4[[#This Row],[Home Differential]])-Table4[[#This Row],[Away Differential]]</f>
        <v>0.35391454172482928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0.57413575352358326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0.18136035642692622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-0.9803970267772969</v>
      </c>
      <c r="H202" t="s">
        <v>17</v>
      </c>
      <c r="I202">
        <f>VLOOKUP(Table4[[#This Row],[Visitor]],'NHL Model'!$A$6:$B$38,2,FALSE)</f>
        <v>3.922199270086173E-4</v>
      </c>
      <c r="J202">
        <f>($B$1+Table4[[#This Row],[Home Differential]])-Table4[[#This Row],[Away Differential]]</f>
        <v>-0.84395266894417298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0.54140089455563456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0.29311492862564131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4.3410611683700091E-2</v>
      </c>
      <c r="H203" t="s">
        <v>14</v>
      </c>
      <c r="I203">
        <f>VLOOKUP(Table4[[#This Row],[Visitor]],'NHL Model'!$A$6:$B$38,2,FALSE)</f>
        <v>1.1343608350765873E-2</v>
      </c>
      <c r="J203">
        <f>($B$1+Table4[[#This Row],[Home Differential]])-Table4[[#This Row],[Away Differential]]</f>
        <v>0.16890358109306683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0.56801522047696251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0.18661084973956732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-0.30466872127922601</v>
      </c>
      <c r="H204" t="s">
        <v>11</v>
      </c>
      <c r="I204">
        <f>VLOOKUP(Table4[[#This Row],[Visitor]],'NHL Model'!$A$6:$B$38,2,FALSE)</f>
        <v>-7.4962464446554744E-2</v>
      </c>
      <c r="J204">
        <f>($B$1+Table4[[#This Row],[Home Differential]])-Table4[[#This Row],[Away Differential]]</f>
        <v>-9.2869679072538652E-2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0.48004954026289975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0.2304475611066214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0.13483877693289487</v>
      </c>
      <c r="H205" t="s">
        <v>55</v>
      </c>
      <c r="I205">
        <f>VLOOKUP(Table4[[#This Row],[Visitor]],'NHL Model'!$A$6:$B$38,2,FALSE)</f>
        <v>0.27119018820614604</v>
      </c>
      <c r="J205">
        <f>($B$1+Table4[[#This Row],[Home Differential]])-Table4[[#This Row],[Away Differential]]</f>
        <v>4.8516648688146091E-4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0.58644241684110021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0.34391470827043075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1.7070031799067014</v>
      </c>
      <c r="H206" t="s">
        <v>37</v>
      </c>
      <c r="I206">
        <f>VLOOKUP(Table4[[#This Row],[Visitor]],'NHL Model'!$A$6:$B$38,2,FALSE)</f>
        <v>0.98607049252714107</v>
      </c>
      <c r="J206">
        <f>($B$1+Table4[[#This Row],[Home Differential]])-Table4[[#This Row],[Away Differential]]</f>
        <v>0.85776926513969287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0.63213112279052441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0.13532751081936023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0.5231745585052443</v>
      </c>
      <c r="H207" t="s">
        <v>17</v>
      </c>
      <c r="I207">
        <f>VLOOKUP(Table4[[#This Row],[Visitor]],'NHL Model'!$A$6:$B$38,2,FALSE)</f>
        <v>3.922199270086173E-4</v>
      </c>
      <c r="J207">
        <f>($B$1+Table4[[#This Row],[Home Differential]])-Table4[[#This Row],[Away Differential]]</f>
        <v>0.65961891633836822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0.61763816212242995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0.14620057506511316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-0.14985965438623808</v>
      </c>
      <c r="H208" t="s">
        <v>40</v>
      </c>
      <c r="I208">
        <f>VLOOKUP(Table4[[#This Row],[Visitor]],'NHL Model'!$A$6:$B$38,2,FALSE)</f>
        <v>-0.16816097389287935</v>
      </c>
      <c r="J208">
        <f>($B$1+Table4[[#This Row],[Home Differential]])-Table4[[#This Row],[Away Differential]]</f>
        <v>0.15513789726677388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0.55496335527061524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0.19805761515198864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0.32232840463649798</v>
      </c>
      <c r="H209" t="s">
        <v>29</v>
      </c>
      <c r="I209">
        <f>VLOOKUP(Table4[[#This Row],[Visitor]],'NHL Model'!$A$6:$B$38,2,FALSE)</f>
        <v>-0.48381480045860298</v>
      </c>
      <c r="J209">
        <f>($B$1+Table4[[#This Row],[Home Differential]])-Table4[[#This Row],[Away Differential]]</f>
        <v>0.94297978285523354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0.63171764544450815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0.13563189267693701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6.8462291869218858E-2</v>
      </c>
      <c r="H210" t="s">
        <v>27</v>
      </c>
      <c r="I210">
        <f>VLOOKUP(Table4[[#This Row],[Visitor]],'NHL Model'!$A$6:$B$38,2,FALSE)</f>
        <v>-7.417166684134277E-2</v>
      </c>
      <c r="J210">
        <f>($B$1+Table4[[#This Row],[Home Differential]])-Table4[[#This Row],[Away Differential]]</f>
        <v>0.2794705364706942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0.5591192255124755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0.31261430833767045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0.25279292855900759</v>
      </c>
      <c r="H211" t="s">
        <v>21</v>
      </c>
      <c r="I211">
        <f>VLOOKUP(Table4[[#This Row],[Visitor]],'NHL Model'!$A$6:$B$38,2,FALSE)</f>
        <v>0.17390560158361429</v>
      </c>
      <c r="J211">
        <f>($B$1+Table4[[#This Row],[Home Differential]])-Table4[[#This Row],[Away Differential]]</f>
        <v>0.21572390473552588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0.57991242614348271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0.33629842199562027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-0.36341023830385849</v>
      </c>
      <c r="H212" t="s">
        <v>25</v>
      </c>
      <c r="I212">
        <f>VLOOKUP(Table4[[#This Row],[Visitor]],'NHL Model'!$A$6:$B$38,2,FALSE)</f>
        <v>0.33829893848778331</v>
      </c>
      <c r="J212">
        <f>($B$1+Table4[[#This Row],[Home Differential]])-Table4[[#This Row],[Away Differential]]</f>
        <v>-0.56487259903150921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0.55699563581466383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0.19625286668725397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0.1394237692045871</v>
      </c>
      <c r="H213" t="s">
        <v>26</v>
      </c>
      <c r="I213">
        <f>VLOOKUP(Table4[[#This Row],[Visitor]],'NHL Model'!$A$6:$B$38,2,FALSE)</f>
        <v>-4.6015351177631898E-2</v>
      </c>
      <c r="J213">
        <f>($B$1+Table4[[#This Row],[Home Differential]])-Table4[[#This Row],[Away Differential]]</f>
        <v>0.32227569814235157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0.5396836334416617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0.21189115732147046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-0.54997285633810766</v>
      </c>
      <c r="H214" t="s">
        <v>28</v>
      </c>
      <c r="I214">
        <f>VLOOKUP(Table4[[#This Row],[Visitor]],'NHL Model'!$A$6:$B$38,2,FALSE)</f>
        <v>-0.29093210318822477</v>
      </c>
      <c r="J214">
        <f>($B$1+Table4[[#This Row],[Home Differential]])-Table4[[#This Row],[Away Differential]]</f>
        <v>-0.12220417538975031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0.45777021253267841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0.20955356748221357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-0.21579108793246188</v>
      </c>
      <c r="H215" t="s">
        <v>33</v>
      </c>
      <c r="I215">
        <f>VLOOKUP(Table4[[#This Row],[Visitor]],'NHL Model'!$A$6:$B$38,2,FALSE)</f>
        <v>-0.3566847028170323</v>
      </c>
      <c r="J215">
        <f>($B$1+Table4[[#This Row],[Home Differential]])-Table4[[#This Row],[Away Differential]]</f>
        <v>0.277730192644703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0.54601839246877693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0.2981360849141873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4.3410611683700091E-2</v>
      </c>
      <c r="H216" t="s">
        <v>55</v>
      </c>
      <c r="I216">
        <f>VLOOKUP(Table4[[#This Row],[Visitor]],'NHL Model'!$A$6:$B$38,2,FALSE)</f>
        <v>0.27119018820614604</v>
      </c>
      <c r="J216">
        <f>($B$1+Table4[[#This Row],[Home Differential]])-Table4[[#This Row],[Away Differential]]</f>
        <v>-9.0942998762313348E-2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0.43652556526206282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0.19055456912736346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-0.87254503056606192</v>
      </c>
      <c r="H217" t="s">
        <v>10</v>
      </c>
      <c r="I217">
        <f>VLOOKUP(Table4[[#This Row],[Visitor]],'NHL Model'!$A$6:$B$38,2,FALSE)</f>
        <v>-0.43286905189715857</v>
      </c>
      <c r="J217">
        <f>($B$1+Table4[[#This Row],[Home Differential]])-Table4[[#This Row],[Away Differential]]</f>
        <v>-0.30283940090877076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0.48920945575242569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0.26090698009273317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0.34677881456804194</v>
      </c>
      <c r="H218" t="s">
        <v>35</v>
      </c>
      <c r="I218">
        <f>VLOOKUP(Table4[[#This Row],[Visitor]],'NHL Model'!$A$6:$B$38,2,FALSE)</f>
        <v>-0.9803970267772969</v>
      </c>
      <c r="J218">
        <f>($B$1+Table4[[#This Row],[Home Differential]])-Table4[[#This Row],[Away Differential]]</f>
        <v>1.4640124191054715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0.69022648465156533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9.5959630811326885E-2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0.17390560158361429</v>
      </c>
      <c r="H219" t="s">
        <v>36</v>
      </c>
      <c r="I219">
        <f>VLOOKUP(Table4[[#This Row],[Visitor]],'NHL Model'!$A$6:$B$38,2,FALSE)</f>
        <v>-7.2312572939580336E-2</v>
      </c>
      <c r="J219">
        <f>($B$1+Table4[[#This Row],[Home Differential]])-Table4[[#This Row],[Away Differential]]</f>
        <v>0.38305475228332725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0.59339799703950535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0.16532518881148608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0.13483877693289487</v>
      </c>
      <c r="H220" t="s">
        <v>35</v>
      </c>
      <c r="I220">
        <f>VLOOKUP(Table4[[#This Row],[Visitor]],'NHL Model'!$A$6:$B$38,2,FALSE)</f>
        <v>-0.9803970267772969</v>
      </c>
      <c r="J220">
        <f>($B$1+Table4[[#This Row],[Home Differential]])-Table4[[#This Row],[Away Differential]]</f>
        <v>1.2520723814703243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0.70716046497702811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0.50007592322652661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0.33829893848778331</v>
      </c>
      <c r="H221" t="s">
        <v>34</v>
      </c>
      <c r="I221">
        <f>VLOOKUP(Table4[[#This Row],[Visitor]],'NHL Model'!$A$6:$B$38,2,FALSE)</f>
        <v>0.32232840463649798</v>
      </c>
      <c r="J221">
        <f>($B$1+Table4[[#This Row],[Home Differential]])-Table4[[#This Row],[Away Differential]]</f>
        <v>0.15280711161141797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0.5457630774351887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0.20633118182115037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0.5231745585052443</v>
      </c>
      <c r="H222" t="s">
        <v>31</v>
      </c>
      <c r="I222">
        <f>VLOOKUP(Table4[[#This Row],[Visitor]],'NHL Model'!$A$6:$B$38,2,FALSE)</f>
        <v>-0.30466872127922601</v>
      </c>
      <c r="J222">
        <f>($B$1+Table4[[#This Row],[Home Differential]])-Table4[[#This Row],[Away Differential]]</f>
        <v>0.96467985754460295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0.64706188980521306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0.41868908923829368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-0.14985965438623808</v>
      </c>
      <c r="H223" t="s">
        <v>11</v>
      </c>
      <c r="I223">
        <f>VLOOKUP(Table4[[#This Row],[Visitor]],'NHL Model'!$A$6:$B$38,2,FALSE)</f>
        <v>-7.4962464446554744E-2</v>
      </c>
      <c r="J223">
        <f>($B$1+Table4[[#This Row],[Home Differential]])-Table4[[#This Row],[Away Differential]]</f>
        <v>6.1939387820449276E-2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0.51239076016207619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0.26254429109947031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-0.27466957136179609</v>
      </c>
      <c r="H224" t="s">
        <v>18</v>
      </c>
      <c r="I224">
        <f>VLOOKUP(Table4[[#This Row],[Visitor]],'NHL Model'!$A$6:$B$38,2,FALSE)</f>
        <v>6.8462291869218858E-2</v>
      </c>
      <c r="J224">
        <f>($B$1+Table4[[#This Row],[Home Differential]])-Table4[[#This Row],[Away Differential]]</f>
        <v>-0.20629528547088233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0.52879438311711491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0.27962349961621008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-0.48381480045860298</v>
      </c>
      <c r="H225" t="s">
        <v>27</v>
      </c>
      <c r="I225">
        <f>VLOOKUP(Table4[[#This Row],[Visitor]],'NHL Model'!$A$6:$B$38,2,FALSE)</f>
        <v>-7.417166684134277E-2</v>
      </c>
      <c r="J225">
        <f>($B$1+Table4[[#This Row],[Home Differential]])-Table4[[#This Row],[Away Differential]]</f>
        <v>-0.27280655585712754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0.49491629017456296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0.2551095539310263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1.1343608350765873E-2</v>
      </c>
      <c r="H226" t="s">
        <v>22</v>
      </c>
      <c r="I226">
        <f>VLOOKUP(Table4[[#This Row],[Visitor]],'NHL Model'!$A$6:$B$38,2,FALSE)</f>
        <v>0.34677881456804194</v>
      </c>
      <c r="J226">
        <f>($B$1+Table4[[#This Row],[Home Differential]])-Table4[[#This Row],[Away Differential]]</f>
        <v>-0.19859862845714346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0.47915522825961104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0.22958973276851996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0.1394237692045871</v>
      </c>
      <c r="H227" t="s">
        <v>37</v>
      </c>
      <c r="I227">
        <f>VLOOKUP(Table4[[#This Row],[Visitor]],'NHL Model'!$A$6:$B$38,2,FALSE)</f>
        <v>0.98607049252714107</v>
      </c>
      <c r="J227">
        <f>($B$1+Table4[[#This Row],[Home Differential]])-Table4[[#This Row],[Away Differential]]</f>
        <v>-0.70981014556242139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0.63588581535834099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0.13257913945726016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-0.54997285633810766</v>
      </c>
      <c r="H228" t="s">
        <v>10</v>
      </c>
      <c r="I228">
        <f>VLOOKUP(Table4[[#This Row],[Visitor]],'NHL Model'!$A$6:$B$38,2,FALSE)</f>
        <v>-0.43286905189715857</v>
      </c>
      <c r="J228">
        <f>($B$1+Table4[[#This Row],[Home Differential]])-Table4[[#This Row],[Away Differential]]</f>
        <v>1.9732773319183494E-2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0.55591988528982017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0.30904691886064684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-4.6015351177631898E-2</v>
      </c>
      <c r="H229" t="s">
        <v>15</v>
      </c>
      <c r="I229">
        <f>VLOOKUP(Table4[[#This Row],[Visitor]],'NHL Model'!$A$6:$B$38,2,FALSE)</f>
        <v>-0.36341023830385849</v>
      </c>
      <c r="J229">
        <f>($B$1+Table4[[#This Row],[Home Differential]])-Table4[[#This Row],[Away Differential]]</f>
        <v>0.45423146488635924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0.55361543960473159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0.30649005496874021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0.25279292855900759</v>
      </c>
      <c r="H230" t="s">
        <v>34</v>
      </c>
      <c r="I230">
        <f>VLOOKUP(Table4[[#This Row],[Visitor]],'NHL Model'!$A$6:$B$38,2,FALSE)</f>
        <v>0.32232840463649798</v>
      </c>
      <c r="J230">
        <f>($B$1+Table4[[#This Row],[Home Differential]])-Table4[[#This Row],[Away Differential]]</f>
        <v>6.7301101682642195E-2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0.51437775893638049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0.26458447888841319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-0.3566847028170323</v>
      </c>
      <c r="H231" t="s">
        <v>40</v>
      </c>
      <c r="I231">
        <f>VLOOKUP(Table4[[#This Row],[Visitor]],'NHL Model'!$A$6:$B$38,2,FALSE)</f>
        <v>-0.16816097389287935</v>
      </c>
      <c r="J231">
        <f>($B$1+Table4[[#This Row],[Home Differential]])-Table4[[#This Row],[Away Differential]]</f>
        <v>-5.168715116402034E-2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0.46498532737273907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0.21621135467193331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0.33829893848778331</v>
      </c>
      <c r="H232" t="s">
        <v>23</v>
      </c>
      <c r="I232">
        <f>VLOOKUP(Table4[[#This Row],[Visitor]],'NHL Model'!$A$6:$B$38,2,FALSE)</f>
        <v>0.13483877693289487</v>
      </c>
      <c r="J232">
        <f>($B$1+Table4[[#This Row],[Home Differential]])-Table4[[#This Row],[Away Differential]]</f>
        <v>0.34029673931502108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0.61464047151988144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0.1485019661904193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3.922199270086173E-4</v>
      </c>
      <c r="H233" t="s">
        <v>12</v>
      </c>
      <c r="I233">
        <f>VLOOKUP(Table4[[#This Row],[Visitor]],'NHL Model'!$A$6:$B$38,2,FALSE)</f>
        <v>1.7070031799067014</v>
      </c>
      <c r="J233">
        <f>($B$1+Table4[[#This Row],[Home Differential]])-Table4[[#This Row],[Away Differential]]</f>
        <v>-1.5697743822195602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0.67673615633844308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0.10449951261884351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6.8462291869218858E-2</v>
      </c>
      <c r="H234" t="s">
        <v>55</v>
      </c>
      <c r="I234">
        <f>VLOOKUP(Table4[[#This Row],[Visitor]],'NHL Model'!$A$6:$B$38,2,FALSE)</f>
        <v>0.27119018820614604</v>
      </c>
      <c r="J234">
        <f>($B$1+Table4[[#This Row],[Home Differential]])-Table4[[#This Row],[Away Differential]]</f>
        <v>-6.5891318576794589E-2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0.46558995623727256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0.21677400734902538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-0.27466957136179609</v>
      </c>
      <c r="H235" t="s">
        <v>14</v>
      </c>
      <c r="I235">
        <f>VLOOKUP(Table4[[#This Row],[Visitor]],'NHL Model'!$A$6:$B$38,2,FALSE)</f>
        <v>1.1343608350765873E-2</v>
      </c>
      <c r="J235">
        <f>($B$1+Table4[[#This Row],[Home Differential]])-Table4[[#This Row],[Away Differential]]</f>
        <v>-0.14917660195242935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0.49264924617985528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0.24270327976157965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-0.48381480045860298</v>
      </c>
      <c r="H236" t="s">
        <v>39</v>
      </c>
      <c r="I236">
        <f>VLOOKUP(Table4[[#This Row],[Visitor]],'NHL Model'!$A$6:$B$38,2,FALSE)</f>
        <v>0.5231745585052443</v>
      </c>
      <c r="J236">
        <f>($B$1+Table4[[#This Row],[Home Differential]])-Table4[[#This Row],[Away Differential]]</f>
        <v>-0.87015278120371464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0.60045687252551727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0.15963471071209076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-0.36341023830385849</v>
      </c>
      <c r="H237" t="s">
        <v>30</v>
      </c>
      <c r="I237">
        <f>VLOOKUP(Table4[[#This Row],[Visitor]],'NHL Model'!$A$6:$B$38,2,FALSE)</f>
        <v>0.25279292855900759</v>
      </c>
      <c r="J237">
        <f>($B$1+Table4[[#This Row],[Home Differential]])-Table4[[#This Row],[Away Differential]]</f>
        <v>-0.47936658910273344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0.52700508096431675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0.22372419343357255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-7.417166684134277E-2</v>
      </c>
      <c r="H238" t="s">
        <v>36</v>
      </c>
      <c r="I238">
        <f>VLOOKUP(Table4[[#This Row],[Visitor]],'NHL Model'!$A$6:$B$38,2,FALSE)</f>
        <v>-7.2312572939580336E-2</v>
      </c>
      <c r="J238">
        <f>($B$1+Table4[[#This Row],[Home Differential]])-Table4[[#This Row],[Away Differential]]</f>
        <v>0.13497748385837016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0.54333481300889419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0.29521271902741003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-0.3566847028170323</v>
      </c>
      <c r="H239" t="s">
        <v>11</v>
      </c>
      <c r="I239">
        <f>VLOOKUP(Table4[[#This Row],[Visitor]],'NHL Model'!$A$6:$B$38,2,FALSE)</f>
        <v>-7.4962464446554744E-2</v>
      </c>
      <c r="J239">
        <f>($B$1+Table4[[#This Row],[Home Differential]])-Table4[[#This Row],[Away Differential]]</f>
        <v>-0.14488566061034494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0.50755792248127818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0.25761504467351121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-0.9803970267772969</v>
      </c>
      <c r="H240" t="s">
        <v>32</v>
      </c>
      <c r="I240">
        <f>VLOOKUP(Table4[[#This Row],[Visitor]],'NHL Model'!$A$6:$B$38,2,FALSE)</f>
        <v>-0.21579108793246188</v>
      </c>
      <c r="J240">
        <f>($B$1+Table4[[#This Row],[Home Differential]])-Table4[[#This Row],[Away Differential]]</f>
        <v>-0.62776936108470238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0.5302336201302883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0.22068045165589428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0.98607049252714107</v>
      </c>
      <c r="H241" t="s">
        <v>22</v>
      </c>
      <c r="I241">
        <f>VLOOKUP(Table4[[#This Row],[Visitor]],'NHL Model'!$A$6:$B$38,2,FALSE)</f>
        <v>0.34677881456804194</v>
      </c>
      <c r="J241">
        <f>($B$1+Table4[[#This Row],[Home Differential]])-Table4[[#This Row],[Away Differential]]</f>
        <v>0.77612825571923172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0.6288757170217506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0.13773323341611973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4.3410611683700091E-2</v>
      </c>
      <c r="H242" t="s">
        <v>21</v>
      </c>
      <c r="I242">
        <f>VLOOKUP(Table4[[#This Row],[Visitor]],'NHL Model'!$A$6:$B$38,2,FALSE)</f>
        <v>0.17390560158361429</v>
      </c>
      <c r="J242">
        <f>($B$1+Table4[[#This Row],[Home Differential]])-Table4[[#This Row],[Away Differential]]</f>
        <v>6.3415878602184061E-3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0.57285772442817107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0.32816597243702239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-0.87254503056606192</v>
      </c>
      <c r="H243" t="s">
        <v>28</v>
      </c>
      <c r="I243">
        <f>VLOOKUP(Table4[[#This Row],[Visitor]],'NHL Model'!$A$6:$B$38,2,FALSE)</f>
        <v>-0.29093210318822477</v>
      </c>
      <c r="J243">
        <f>($B$1+Table4[[#This Row],[Home Differential]])-Table4[[#This Row],[Away Differential]]</f>
        <v>-0.44477634961770457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0.50289955357492422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0.25290796098585805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0.1394237692045871</v>
      </c>
      <c r="H244" t="s">
        <v>31</v>
      </c>
      <c r="I244">
        <f>VLOOKUP(Table4[[#This Row],[Visitor]],'NHL Model'!$A$6:$B$38,2,FALSE)</f>
        <v>-0.30466872127922601</v>
      </c>
      <c r="J244">
        <f>($B$1+Table4[[#This Row],[Home Differential]])-Table4[[#This Row],[Away Differential]]</f>
        <v>0.58092906824394563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0.59603175103123762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0.35525384823736322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-0.30466872127922601</v>
      </c>
      <c r="H245" t="s">
        <v>40</v>
      </c>
      <c r="I245">
        <f>VLOOKUP(Table4[[#This Row],[Visitor]],'NHL Model'!$A$6:$B$38,2,FALSE)</f>
        <v>-0.16816097389287935</v>
      </c>
      <c r="J245">
        <f>($B$1+Table4[[#This Row],[Home Differential]])-Table4[[#This Row],[Away Differential]]</f>
        <v>3.2883037378594882E-4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0.56231545336041922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0.19156776236709536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0.5231745585052443</v>
      </c>
      <c r="H246" t="s">
        <v>32</v>
      </c>
      <c r="I246">
        <f>VLOOKUP(Table4[[#This Row],[Visitor]],'NHL Model'!$A$6:$B$38,2,FALSE)</f>
        <v>-0.21579108793246188</v>
      </c>
      <c r="J246">
        <f>($B$1+Table4[[#This Row],[Home Differential]])-Table4[[#This Row],[Away Differential]]</f>
        <v>0.87580222419783871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0.62885154501696783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0.13775117563629186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-4.6015351177631898E-2</v>
      </c>
      <c r="H247" t="s">
        <v>10</v>
      </c>
      <c r="I247">
        <f>VLOOKUP(Table4[[#This Row],[Visitor]],'NHL Model'!$A$6:$B$38,2,FALSE)</f>
        <v>-0.43286905189715857</v>
      </c>
      <c r="J247">
        <f>($B$1+Table4[[#This Row],[Home Differential]])-Table4[[#This Row],[Away Differential]]</f>
        <v>0.52369027847965932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0.63232913901636734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0.39984014004918039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0.32232840463649798</v>
      </c>
      <c r="H248" t="s">
        <v>16</v>
      </c>
      <c r="I248">
        <f>VLOOKUP(Table4[[#This Row],[Visitor]],'NHL Model'!$A$6:$B$38,2,FALSE)</f>
        <v>-0.54997285633810766</v>
      </c>
      <c r="J248">
        <f>($B$1+Table4[[#This Row],[Home Differential]])-Table4[[#This Row],[Away Differential]]</f>
        <v>1.0091378387347383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0.63809872003414203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0.13097253644092632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-7.2312572939580336E-2</v>
      </c>
      <c r="H249" t="s">
        <v>55</v>
      </c>
      <c r="I249">
        <f>VLOOKUP(Table4[[#This Row],[Visitor]],'NHL Model'!$A$6:$B$38,2,FALSE)</f>
        <v>0.27119018820614604</v>
      </c>
      <c r="J249">
        <f>($B$1+Table4[[#This Row],[Home Differential]])-Table4[[#This Row],[Away Differential]]</f>
        <v>-0.20666618338559378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0.47993335979733598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0.23033602984635915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1.1343608350765873E-2</v>
      </c>
      <c r="H250" t="s">
        <v>13</v>
      </c>
      <c r="I250">
        <f>VLOOKUP(Table4[[#This Row],[Visitor]],'NHL Model'!$A$6:$B$38,2,FALSE)</f>
        <v>-0.14985965438623808</v>
      </c>
      <c r="J250">
        <f>($B$1+Table4[[#This Row],[Home Differential]])-Table4[[#This Row],[Away Differential]]</f>
        <v>0.29803984049713655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0.53734603731187924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0.28874076381477953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4.3410611683700091E-2</v>
      </c>
      <c r="H251" t="s">
        <v>25</v>
      </c>
      <c r="I251">
        <f>VLOOKUP(Table4[[#This Row],[Visitor]],'NHL Model'!$A$6:$B$38,2,FALSE)</f>
        <v>0.33829893848778331</v>
      </c>
      <c r="J251">
        <f>($B$1+Table4[[#This Row],[Home Differential]])-Table4[[#This Row],[Away Differential]]</f>
        <v>-0.15805174904395061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0.48512392007691302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0.26509737767696501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-0.87254503056606192</v>
      </c>
      <c r="H252" t="s">
        <v>12</v>
      </c>
      <c r="I252">
        <f>VLOOKUP(Table4[[#This Row],[Visitor]],'NHL Model'!$A$6:$B$38,2,FALSE)</f>
        <v>1.7070031799067014</v>
      </c>
      <c r="J252">
        <f>($B$1+Table4[[#This Row],[Home Differential]])-Table4[[#This Row],[Away Differential]]</f>
        <v>-2.4427116327126308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0.765505930281143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5.4987468733312166E-2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3.922199270086173E-4</v>
      </c>
      <c r="H253" t="s">
        <v>28</v>
      </c>
      <c r="I253">
        <f>VLOOKUP(Table4[[#This Row],[Visitor]],'NHL Model'!$A$6:$B$38,2,FALSE)</f>
        <v>-0.29093210318822477</v>
      </c>
      <c r="J253">
        <f>($B$1+Table4[[#This Row],[Home Differential]])-Table4[[#This Row],[Away Differential]]</f>
        <v>0.42816090087536596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0.58585141631493032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0.17151904936834916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-0.27466957136179609</v>
      </c>
      <c r="H254" t="s">
        <v>30</v>
      </c>
      <c r="I254">
        <f>VLOOKUP(Table4[[#This Row],[Visitor]],'NHL Model'!$A$6:$B$38,2,FALSE)</f>
        <v>0.25279292855900759</v>
      </c>
      <c r="J254">
        <f>($B$1+Table4[[#This Row],[Home Differential]])-Table4[[#This Row],[Away Differential]]</f>
        <v>-0.39062592216067105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0.51593750792489967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0.23431649623395656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-0.36341023830385849</v>
      </c>
      <c r="H255" t="s">
        <v>29</v>
      </c>
      <c r="I255">
        <f>VLOOKUP(Table4[[#This Row],[Visitor]],'NHL Model'!$A$6:$B$38,2,FALSE)</f>
        <v>-0.48381480045860298</v>
      </c>
      <c r="J255">
        <f>($B$1+Table4[[#This Row],[Home Differential]])-Table4[[#This Row],[Away Differential]]</f>
        <v>0.25724113991487707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0.56481141381041988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0.1893891055496856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0.1394237692045871</v>
      </c>
      <c r="H256" t="s">
        <v>11</v>
      </c>
      <c r="I256">
        <f>VLOOKUP(Table4[[#This Row],[Visitor]],'NHL Model'!$A$6:$B$38,2,FALSE)</f>
        <v>-7.4962464446554744E-2</v>
      </c>
      <c r="J256">
        <f>($B$1+Table4[[#This Row],[Home Differential]])-Table4[[#This Row],[Away Differential]]</f>
        <v>0.35122281141127443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0.54029271524430766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0.29191621814606655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0.17390560158361429</v>
      </c>
      <c r="H257" t="s">
        <v>19</v>
      </c>
      <c r="I257">
        <f>VLOOKUP(Table4[[#This Row],[Visitor]],'NHL Model'!$A$6:$B$38,2,FALSE)</f>
        <v>4.3410611683700091E-2</v>
      </c>
      <c r="J257">
        <f>($B$1+Table4[[#This Row],[Home Differential]])-Table4[[#This Row],[Away Differential]]</f>
        <v>0.26733156766004684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0.59182239125836067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0.16660896027804281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0.33829893848778331</v>
      </c>
      <c r="H258" t="s">
        <v>22</v>
      </c>
      <c r="I258">
        <f>VLOOKUP(Table4[[#This Row],[Visitor]],'NHL Model'!$A$6:$B$38,2,FALSE)</f>
        <v>0.34677881456804194</v>
      </c>
      <c r="J258">
        <f>($B$1+Table4[[#This Row],[Home Differential]])-Table4[[#This Row],[Away Differential]]</f>
        <v>0.12835670167987401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0.59419843810912265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0.35307178385132088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1.7070031799067014</v>
      </c>
      <c r="H259" t="s">
        <v>31</v>
      </c>
      <c r="I259">
        <f>VLOOKUP(Table4[[#This Row],[Visitor]],'NHL Model'!$A$6:$B$38,2,FALSE)</f>
        <v>-0.30466872127922601</v>
      </c>
      <c r="J259">
        <f>($B$1+Table4[[#This Row],[Home Differential]])-Table4[[#This Row],[Away Differential]]</f>
        <v>2.1485084789460598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0.85970039531655207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1.9683979074331764E-2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0.32232840463649798</v>
      </c>
      <c r="H260" t="s">
        <v>33</v>
      </c>
      <c r="I260">
        <f>VLOOKUP(Table4[[#This Row],[Visitor]],'NHL Model'!$A$6:$B$38,2,FALSE)</f>
        <v>-0.3566847028170323</v>
      </c>
      <c r="J260">
        <f>($B$1+Table4[[#This Row],[Home Differential]])-Table4[[#This Row],[Away Differential]]</f>
        <v>0.81584968521366297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0.59869030651020794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0.3584300831092867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6.8462291869218858E-2</v>
      </c>
      <c r="H261" t="s">
        <v>13</v>
      </c>
      <c r="I261">
        <f>VLOOKUP(Table4[[#This Row],[Visitor]],'NHL Model'!$A$6:$B$38,2,FALSE)</f>
        <v>-0.14985965438623808</v>
      </c>
      <c r="J261">
        <f>($B$1+Table4[[#This Row],[Home Differential]])-Table4[[#This Row],[Away Differential]]</f>
        <v>0.35515852401558956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0.54362541438209522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0.29552859116210473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-7.2312572939580336E-2</v>
      </c>
      <c r="H262" t="s">
        <v>39</v>
      </c>
      <c r="I262">
        <f>VLOOKUP(Table4[[#This Row],[Visitor]],'NHL Model'!$A$6:$B$38,2,FALSE)</f>
        <v>0.5231745585052443</v>
      </c>
      <c r="J262">
        <f>($B$1+Table4[[#This Row],[Home Differential]])-Table4[[#This Row],[Away Differential]]</f>
        <v>-0.45865055368469204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0.5607666734606922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0.1929259151427862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-0.21579108793246188</v>
      </c>
      <c r="H263" t="s">
        <v>28</v>
      </c>
      <c r="I263">
        <f>VLOOKUP(Table4[[#This Row],[Visitor]],'NHL Model'!$A$6:$B$38,2,FALSE)</f>
        <v>-0.29093210318822477</v>
      </c>
      <c r="J263">
        <f>($B$1+Table4[[#This Row],[Home Differential]])-Table4[[#This Row],[Away Differential]]</f>
        <v>0.2119775930158955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0.56044565570108473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0.31409933299421883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-0.9803970267772969</v>
      </c>
      <c r="H264" t="s">
        <v>16</v>
      </c>
      <c r="I264">
        <f>VLOOKUP(Table4[[#This Row],[Visitor]],'NHL Model'!$A$6:$B$38,2,FALSE)</f>
        <v>-0.54997285633810766</v>
      </c>
      <c r="J264">
        <f>($B$1+Table4[[#This Row],[Home Differential]])-Table4[[#This Row],[Away Differential]]</f>
        <v>-0.29358759267905665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0.48831710065495548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0.23845359079206194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-0.87254503056606192</v>
      </c>
      <c r="H265" t="s">
        <v>40</v>
      </c>
      <c r="I265">
        <f>VLOOKUP(Table4[[#This Row],[Visitor]],'NHL Model'!$A$6:$B$38,2,FALSE)</f>
        <v>-0.16816097389287935</v>
      </c>
      <c r="J265">
        <f>($B$1+Table4[[#This Row],[Home Differential]])-Table4[[#This Row],[Away Differential]]</f>
        <v>-0.56754747891305002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0.51474107042532902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0.23547622873195551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-0.43286905189715857</v>
      </c>
      <c r="H266" t="s">
        <v>24</v>
      </c>
      <c r="I266">
        <f>VLOOKUP(Table4[[#This Row],[Visitor]],'NHL Model'!$A$6:$B$38,2,FALSE)</f>
        <v>-0.27466957136179609</v>
      </c>
      <c r="J266">
        <f>($B$1+Table4[[#This Row],[Home Differential]])-Table4[[#This Row],[Away Differential]]</f>
        <v>-2.1362902775229842E-2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0.47264872927701396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0.27809936273314811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-7.417166684134277E-2</v>
      </c>
      <c r="H267" t="s">
        <v>17</v>
      </c>
      <c r="I267">
        <f>VLOOKUP(Table4[[#This Row],[Visitor]],'NHL Model'!$A$6:$B$38,2,FALSE)</f>
        <v>3.922199270086173E-4</v>
      </c>
      <c r="J267">
        <f>($B$1+Table4[[#This Row],[Home Differential]])-Table4[[#This Row],[Away Differential]]</f>
        <v>6.2272690991781225E-2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0.54600632350562894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0.29812290530813351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0.98607049252714107</v>
      </c>
      <c r="H268" t="s">
        <v>15</v>
      </c>
      <c r="I268">
        <f>VLOOKUP(Table4[[#This Row],[Visitor]],'NHL Model'!$A$6:$B$38,2,FALSE)</f>
        <v>-0.36341023830385849</v>
      </c>
      <c r="J268">
        <f>($B$1+Table4[[#This Row],[Home Differential]])-Table4[[#This Row],[Away Differential]]</f>
        <v>1.4863173085911321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0.62483970874344708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0.39042466162259576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0.27119018820614604</v>
      </c>
      <c r="H269" t="s">
        <v>23</v>
      </c>
      <c r="I269">
        <f>VLOOKUP(Table4[[#This Row],[Visitor]],'NHL Model'!$A$6:$B$38,2,FALSE)</f>
        <v>0.13483877693289487</v>
      </c>
      <c r="J269">
        <f>($B$1+Table4[[#This Row],[Home Differential]])-Table4[[#This Row],[Away Differential]]</f>
        <v>0.27318798903338376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0.58036613926605118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0.17609257707447915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-0.29093210318822477</v>
      </c>
      <c r="H270" t="s">
        <v>17</v>
      </c>
      <c r="I270">
        <f>VLOOKUP(Table4[[#This Row],[Visitor]],'NHL Model'!$A$6:$B$38,2,FALSE)</f>
        <v>3.922199270086173E-4</v>
      </c>
      <c r="J270">
        <f>($B$1+Table4[[#This Row],[Home Differential]])-Table4[[#This Row],[Away Differential]]</f>
        <v>-0.15448774535510076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0.47490064684020822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0.22553062436924817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-0.54997285633810766</v>
      </c>
      <c r="H271" t="s">
        <v>33</v>
      </c>
      <c r="I271">
        <f>VLOOKUP(Table4[[#This Row],[Visitor]],'NHL Model'!$A$6:$B$38,2,FALSE)</f>
        <v>-0.3566847028170323</v>
      </c>
      <c r="J271">
        <f>($B$1+Table4[[#This Row],[Home Differential]])-Table4[[#This Row],[Away Differential]]</f>
        <v>-5.6451575760942785E-2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0.47211153216103707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0.22288929879944194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1.7070031799067014</v>
      </c>
      <c r="H272" t="s">
        <v>23</v>
      </c>
      <c r="I272">
        <f>VLOOKUP(Table4[[#This Row],[Visitor]],'NHL Model'!$A$6:$B$38,2,FALSE)</f>
        <v>0.13483877693289487</v>
      </c>
      <c r="J272">
        <f>($B$1+Table4[[#This Row],[Home Differential]])-Table4[[#This Row],[Away Differential]]</f>
        <v>1.709000980733939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0.81730903282091172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3.3375989488830714E-2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-4.6015351177631898E-2</v>
      </c>
      <c r="H273" t="s">
        <v>31</v>
      </c>
      <c r="I273">
        <f>VLOOKUP(Table4[[#This Row],[Visitor]],'NHL Model'!$A$6:$B$38,2,FALSE)</f>
        <v>-0.30466872127922601</v>
      </c>
      <c r="J273">
        <f>($B$1+Table4[[#This Row],[Home Differential]])-Table4[[#This Row],[Away Differential]]</f>
        <v>0.39548994786172675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0.61996396502185502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0.14442738788190984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-7.4962464446554744E-2</v>
      </c>
      <c r="H274" t="s">
        <v>22</v>
      </c>
      <c r="I274">
        <f>VLOOKUP(Table4[[#This Row],[Visitor]],'NHL Model'!$A$6:$B$38,2,FALSE)</f>
        <v>0.34677881456804194</v>
      </c>
      <c r="J274">
        <f>($B$1+Table4[[#This Row],[Home Differential]])-Table4[[#This Row],[Away Differential]]</f>
        <v>-0.2849047012544641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0.4874796187021162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0.23763637864996059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6.8462291869218858E-2</v>
      </c>
      <c r="H275" t="s">
        <v>39</v>
      </c>
      <c r="I275">
        <f>VLOOKUP(Table4[[#This Row],[Visitor]],'NHL Model'!$A$6:$B$38,2,FALSE)</f>
        <v>0.5231745585052443</v>
      </c>
      <c r="J275">
        <f>($B$1+Table4[[#This Row],[Home Differential]])-Table4[[#This Row],[Away Differential]]</f>
        <v>-0.31787568887589285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0.54641904761668603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0.20573568036495413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-7.2312572939580336E-2</v>
      </c>
      <c r="H276" t="s">
        <v>21</v>
      </c>
      <c r="I276">
        <f>VLOOKUP(Table4[[#This Row],[Visitor]],'NHL Model'!$A$6:$B$38,2,FALSE)</f>
        <v>0.17390560158361429</v>
      </c>
      <c r="J276">
        <f>($B$1+Table4[[#This Row],[Home Differential]])-Table4[[#This Row],[Away Differential]]</f>
        <v>-0.10938159676306201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0.47055007010710209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0.22141736847779869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-0.21579108793246188</v>
      </c>
      <c r="H277" t="s">
        <v>40</v>
      </c>
      <c r="I277">
        <f>VLOOKUP(Table4[[#This Row],[Visitor]],'NHL Model'!$A$6:$B$38,2,FALSE)</f>
        <v>-0.16816097389287935</v>
      </c>
      <c r="J277">
        <f>($B$1+Table4[[#This Row],[Home Differential]])-Table4[[#This Row],[Away Differential]]</f>
        <v>8.9206463720550078E-2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0.54860413885067993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0.20375822346273623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4.3410611683700091E-2</v>
      </c>
      <c r="H278" t="s">
        <v>13</v>
      </c>
      <c r="I278">
        <f>VLOOKUP(Table4[[#This Row],[Visitor]],'NHL Model'!$A$6:$B$38,2,FALSE)</f>
        <v>-0.14985965438623808</v>
      </c>
      <c r="J278">
        <f>($B$1+Table4[[#This Row],[Home Differential]])-Table4[[#This Row],[Away Differential]]</f>
        <v>0.33010684383007077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0.57301592483194519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0.32834725011100946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0.1394237692045871</v>
      </c>
      <c r="H279" t="s">
        <v>30</v>
      </c>
      <c r="I279">
        <f>VLOOKUP(Table4[[#This Row],[Visitor]],'NHL Model'!$A$6:$B$38,2,FALSE)</f>
        <v>0.25279292855900759</v>
      </c>
      <c r="J279">
        <f>($B$1+Table4[[#This Row],[Home Differential]])-Table4[[#This Row],[Away Differential]]</f>
        <v>2.3467418405712093E-2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0.52149424788476317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0.27195625057689482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0.33829893848778331</v>
      </c>
      <c r="H280" t="s">
        <v>38</v>
      </c>
      <c r="I280">
        <f>VLOOKUP(Table4[[#This Row],[Visitor]],'NHL Model'!$A$6:$B$38,2,FALSE)</f>
        <v>-0.87254503056606192</v>
      </c>
      <c r="J280">
        <f>($B$1+Table4[[#This Row],[Home Differential]])-Table4[[#This Row],[Away Differential]]</f>
        <v>1.3476805468139779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0.71180462077704854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8.30565766054608E-2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-0.48381480045860298</v>
      </c>
      <c r="H281" t="s">
        <v>14</v>
      </c>
      <c r="I281">
        <f>VLOOKUP(Table4[[#This Row],[Visitor]],'NHL Model'!$A$6:$B$38,2,FALSE)</f>
        <v>1.1343608350765873E-2</v>
      </c>
      <c r="J281">
        <f>($B$1+Table4[[#This Row],[Home Differential]])-Table4[[#This Row],[Away Differential]]</f>
        <v>-0.35832183104923621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0.51533007601510339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0.26556508724573225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-0.9803970267772969</v>
      </c>
      <c r="H282" t="s">
        <v>27</v>
      </c>
      <c r="I282">
        <f>VLOOKUP(Table4[[#This Row],[Visitor]],'NHL Model'!$A$6:$B$38,2,FALSE)</f>
        <v>-7.417166684134277E-2</v>
      </c>
      <c r="J282">
        <f>($B$1+Table4[[#This Row],[Home Differential]])-Table4[[#This Row],[Away Differential]]</f>
        <v>-0.76938878217582152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0.54281262243374107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0.209020298205913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0.27119018820614604</v>
      </c>
      <c r="H283" t="s">
        <v>30</v>
      </c>
      <c r="I283">
        <f>VLOOKUP(Table4[[#This Row],[Visitor]],'NHL Model'!$A$6:$B$38,2,FALSE)</f>
        <v>0.25279292855900759</v>
      </c>
      <c r="J283">
        <f>($B$1+Table4[[#This Row],[Home Differential]])-Table4[[#This Row],[Away Differential]]</f>
        <v>0.15523383740727104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0.54830594221916606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0.30063940627284746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0.33829893848778331</v>
      </c>
      <c r="H284" t="s">
        <v>17</v>
      </c>
      <c r="I284">
        <f>VLOOKUP(Table4[[#This Row],[Visitor]],'NHL Model'!$A$6:$B$38,2,FALSE)</f>
        <v>3.922199270086173E-4</v>
      </c>
      <c r="J284">
        <f>($B$1+Table4[[#This Row],[Home Differential]])-Table4[[#This Row],[Away Differential]]</f>
        <v>0.47474329632090734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0.62760810633273867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0.39389193513456622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-0.29093210318822477</v>
      </c>
      <c r="H285" t="s">
        <v>15</v>
      </c>
      <c r="I285">
        <f>VLOOKUP(Table4[[#This Row],[Visitor]],'NHL Model'!$A$6:$B$38,2,FALSE)</f>
        <v>-0.36341023830385849</v>
      </c>
      <c r="J285">
        <f>($B$1+Table4[[#This Row],[Home Differential]])-Table4[[#This Row],[Away Differential]]</f>
        <v>0.20931471287576633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0.48756564656714968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0.23772025971244271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-0.54997285633810766</v>
      </c>
      <c r="H286" t="s">
        <v>40</v>
      </c>
      <c r="I286">
        <f>VLOOKUP(Table4[[#This Row],[Visitor]],'NHL Model'!$A$6:$B$38,2,FALSE)</f>
        <v>-0.16816097389287935</v>
      </c>
      <c r="J286">
        <f>($B$1+Table4[[#This Row],[Home Differential]])-Table4[[#This Row],[Away Differential]]</f>
        <v>-0.24497530468509573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0.46961172938308332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0.28131171760800372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-0.43286905189715857</v>
      </c>
      <c r="H287" t="s">
        <v>19</v>
      </c>
      <c r="I287">
        <f>VLOOKUP(Table4[[#This Row],[Visitor]],'NHL Model'!$A$6:$B$38,2,FALSE)</f>
        <v>4.3410611683700091E-2</v>
      </c>
      <c r="J287">
        <f>($B$1+Table4[[#This Row],[Home Differential]])-Table4[[#This Row],[Away Differential]]</f>
        <v>-0.33944308582072602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0.49273995314346225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0.24279266142382139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0.5231745585052443</v>
      </c>
      <c r="H288" t="s">
        <v>27</v>
      </c>
      <c r="I288">
        <f>VLOOKUP(Table4[[#This Row],[Visitor]],'NHL Model'!$A$6:$B$38,2,FALSE)</f>
        <v>-7.417166684134277E-2</v>
      </c>
      <c r="J288">
        <f>($B$1+Table4[[#This Row],[Home Differential]])-Table4[[#This Row],[Away Differential]]</f>
        <v>0.73418280310671968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0.61626792058732038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0.14725030877037906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-4.6015351177631898E-2</v>
      </c>
      <c r="H289" t="s">
        <v>23</v>
      </c>
      <c r="I289">
        <f>VLOOKUP(Table4[[#This Row],[Visitor]],'NHL Model'!$A$6:$B$38,2,FALSE)</f>
        <v>0.13483877693289487</v>
      </c>
      <c r="J289">
        <f>($B$1+Table4[[#This Row],[Home Differential]])-Table4[[#This Row],[Away Differential]]</f>
        <v>-4.4017550350394147E-2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0.42242739747378527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0.33359011118890475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-7.4962464446554744E-2</v>
      </c>
      <c r="H290" t="s">
        <v>37</v>
      </c>
      <c r="I290">
        <f>VLOOKUP(Table4[[#This Row],[Visitor]],'NHL Model'!$A$6:$B$38,2,FALSE)</f>
        <v>0.98607049252714107</v>
      </c>
      <c r="J290">
        <f>($B$1+Table4[[#This Row],[Home Differential]])-Table4[[#This Row],[Away Differential]]</f>
        <v>-0.92419637921356323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0.65656378918529579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0.11794843089876196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0.32232840463649798</v>
      </c>
      <c r="H291" t="s">
        <v>31</v>
      </c>
      <c r="I291">
        <f>VLOOKUP(Table4[[#This Row],[Visitor]],'NHL Model'!$A$6:$B$38,2,FALSE)</f>
        <v>-0.30466872127922601</v>
      </c>
      <c r="J291">
        <f>($B$1+Table4[[#This Row],[Home Differential]])-Table4[[#This Row],[Away Differential]]</f>
        <v>0.76383370367585668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0.61443865381624607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0.14865755167102854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6.8462291869218858E-2</v>
      </c>
      <c r="H292" t="s">
        <v>21</v>
      </c>
      <c r="I292">
        <f>VLOOKUP(Table4[[#This Row],[Visitor]],'NHL Model'!$A$6:$B$38,2,FALSE)</f>
        <v>0.17390560158361429</v>
      </c>
      <c r="J292">
        <f>($B$1+Table4[[#This Row],[Home Differential]])-Table4[[#This Row],[Away Differential]]</f>
        <v>3.1393268045737166E-2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0.54379333345296121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0.29571118950788344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-7.2312572939580336E-2</v>
      </c>
      <c r="H293" t="s">
        <v>13</v>
      </c>
      <c r="I293">
        <f>VLOOKUP(Table4[[#This Row],[Visitor]],'NHL Model'!$A$6:$B$38,2,FALSE)</f>
        <v>-0.14985965438623808</v>
      </c>
      <c r="J293">
        <f>($B$1+Table4[[#This Row],[Home Differential]])-Table4[[#This Row],[Away Differential]]</f>
        <v>0.21438365920679037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0.52927723411624295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0.28013439055374023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-0.21579108793246188</v>
      </c>
      <c r="H294" t="s">
        <v>33</v>
      </c>
      <c r="I294">
        <f>VLOOKUP(Table4[[#This Row],[Visitor]],'NHL Model'!$A$6:$B$38,2,FALSE)</f>
        <v>-0.3566847028170323</v>
      </c>
      <c r="J294">
        <f>($B$1+Table4[[#This Row],[Home Differential]])-Table4[[#This Row],[Away Differential]]</f>
        <v>0.277730192644703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0.54601839246877693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0.20609929997663345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-0.9803970267772969</v>
      </c>
      <c r="H295" t="s">
        <v>20</v>
      </c>
      <c r="I295">
        <f>VLOOKUP(Table4[[#This Row],[Visitor]],'NHL Model'!$A$6:$B$38,2,FALSE)</f>
        <v>0.1394237692045871</v>
      </c>
      <c r="J295">
        <f>($B$1+Table4[[#This Row],[Home Differential]])-Table4[[#This Row],[Away Differential]]</f>
        <v>-0.98298421822175142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0.5862112522899916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0.17122112773141698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0.34677881456804194</v>
      </c>
      <c r="H296" t="s">
        <v>24</v>
      </c>
      <c r="I296">
        <f>VLOOKUP(Table4[[#This Row],[Visitor]],'NHL Model'!$A$6:$B$38,2,FALSE)</f>
        <v>-0.27466957136179609</v>
      </c>
      <c r="J296">
        <f>($B$1+Table4[[#This Row],[Home Differential]])-Table4[[#This Row],[Away Differential]]</f>
        <v>0.75828496368997067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0.61159961437955368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0.37405408830921877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1.7070031799067014</v>
      </c>
      <c r="H297" t="s">
        <v>30</v>
      </c>
      <c r="I297">
        <f>VLOOKUP(Table4[[#This Row],[Visitor]],'NHL Model'!$A$6:$B$38,2,FALSE)</f>
        <v>0.25279292855900759</v>
      </c>
      <c r="J297">
        <f>($B$1+Table4[[#This Row],[Home Differential]])-Table4[[#This Row],[Away Differential]]</f>
        <v>1.5910468291078264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0.78679292880011409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4.5457255209633222E-2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0.32232840463649798</v>
      </c>
      <c r="H298" t="s">
        <v>20</v>
      </c>
      <c r="I298">
        <f>VLOOKUP(Table4[[#This Row],[Visitor]],'NHL Model'!$A$6:$B$38,2,FALSE)</f>
        <v>0.1394237692045871</v>
      </c>
      <c r="J298">
        <f>($B$1+Table4[[#This Row],[Home Differential]])-Table4[[#This Row],[Away Differential]]</f>
        <v>0.31974121319204352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0.54020934510489471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0.21140744632886982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-0.36341023830385849</v>
      </c>
      <c r="H299" t="s">
        <v>26</v>
      </c>
      <c r="I299">
        <f>VLOOKUP(Table4[[#This Row],[Visitor]],'NHL Model'!$A$6:$B$38,2,FALSE)</f>
        <v>-4.6015351177631898E-2</v>
      </c>
      <c r="J299">
        <f>($B$1+Table4[[#This Row],[Home Differential]])-Table4[[#This Row],[Away Differential]]</f>
        <v>-0.18055830936609399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0.508815695407418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0.24126202107809838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1.1343608350765873E-2</v>
      </c>
      <c r="H300" t="s">
        <v>29</v>
      </c>
      <c r="I300">
        <f>VLOOKUP(Table4[[#This Row],[Visitor]],'NHL Model'!$A$6:$B$38,2,FALSE)</f>
        <v>-0.48381480045860298</v>
      </c>
      <c r="J300">
        <f>($B$1+Table4[[#This Row],[Home Differential]])-Table4[[#This Row],[Away Differential]]</f>
        <v>0.63199498656950148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0.60095715927505022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0.15923518873383763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0.98607049252714107</v>
      </c>
      <c r="H301" t="s">
        <v>38</v>
      </c>
      <c r="I301">
        <f>VLOOKUP(Table4[[#This Row],[Visitor]],'NHL Model'!$A$6:$B$38,2,FALSE)</f>
        <v>-0.87254503056606192</v>
      </c>
      <c r="J301">
        <f>($B$1+Table4[[#This Row],[Home Differential]])-Table4[[#This Row],[Away Differential]]</f>
        <v>1.9954521008533357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0.74648189968967649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0.55723522656430824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-0.30466872127922601</v>
      </c>
      <c r="H302" t="s">
        <v>55</v>
      </c>
      <c r="I302">
        <f>VLOOKUP(Table4[[#This Row],[Visitor]],'NHL Model'!$A$6:$B$38,2,FALSE)</f>
        <v>0.27119018820614604</v>
      </c>
      <c r="J302">
        <f>($B$1+Table4[[#This Row],[Home Differential]])-Table4[[#This Row],[Away Differential]]</f>
        <v>-0.43902233172523941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0.48006083020967749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0.23045840070160481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0.17390560158361429</v>
      </c>
      <c r="H303" t="s">
        <v>25</v>
      </c>
      <c r="I303">
        <f>VLOOKUP(Table4[[#This Row],[Visitor]],'NHL Model'!$A$6:$B$38,2,FALSE)</f>
        <v>0.33829893848778331</v>
      </c>
      <c r="J303">
        <f>($B$1+Table4[[#This Row],[Home Differential]])-Table4[[#This Row],[Away Differential]]</f>
        <v>-2.755675914403638E-2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0.47884837980038469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0.27159901123668412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0.13483877693289487</v>
      </c>
      <c r="H304" t="s">
        <v>17</v>
      </c>
      <c r="I304">
        <f>VLOOKUP(Table4[[#This Row],[Visitor]],'NHL Model'!$A$6:$B$38,2,FALSE)</f>
        <v>3.922199270086173E-4</v>
      </c>
      <c r="J304">
        <f>($B$1+Table4[[#This Row],[Home Differential]])-Table4[[#This Row],[Away Differential]]</f>
        <v>0.2712831347660189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0.61256141340680492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0.15010865838133272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-0.29093210318822477</v>
      </c>
      <c r="H305" t="s">
        <v>18</v>
      </c>
      <c r="I305">
        <f>VLOOKUP(Table4[[#This Row],[Visitor]],'NHL Model'!$A$6:$B$38,2,FALSE)</f>
        <v>6.8462291869218858E-2</v>
      </c>
      <c r="J305">
        <f>($B$1+Table4[[#This Row],[Home Differential]])-Table4[[#This Row],[Away Differential]]</f>
        <v>-0.222557817297311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0.53287447902892704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0.28395521040035038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-7.4962464446554744E-2</v>
      </c>
      <c r="H306" t="s">
        <v>38</v>
      </c>
      <c r="I306">
        <f>VLOOKUP(Table4[[#This Row],[Visitor]],'NHL Model'!$A$6:$B$38,2,FALSE)</f>
        <v>-0.87254503056606192</v>
      </c>
      <c r="J306">
        <f>($B$1+Table4[[#This Row],[Home Differential]])-Table4[[#This Row],[Away Differential]]</f>
        <v>0.93441914387963976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0.63012656396580979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0.13680635868373819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0.34677881456804194</v>
      </c>
      <c r="H307" t="s">
        <v>13</v>
      </c>
      <c r="I307">
        <f>VLOOKUP(Table4[[#This Row],[Visitor]],'NHL Model'!$A$6:$B$38,2,FALSE)</f>
        <v>-0.14985965438623808</v>
      </c>
      <c r="J307">
        <f>($B$1+Table4[[#This Row],[Home Differential]])-Table4[[#This Row],[Away Differential]]</f>
        <v>0.63347504671441257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0.57878480144637745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0.17742224349256766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-0.43286905189715857</v>
      </c>
      <c r="H308" t="s">
        <v>16</v>
      </c>
      <c r="I308">
        <f>VLOOKUP(Table4[[#This Row],[Visitor]],'NHL Model'!$A$6:$B$38,2,FALSE)</f>
        <v>-0.54997285633810766</v>
      </c>
      <c r="J308">
        <f>($B$1+Table4[[#This Row],[Home Differential]])-Table4[[#This Row],[Away Differential]]</f>
        <v>0.25394038220108173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0.56449304923797239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0.18966630416203914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0.5231745585052443</v>
      </c>
      <c r="H309" t="s">
        <v>30</v>
      </c>
      <c r="I309">
        <f>VLOOKUP(Table4[[#This Row],[Visitor]],'NHL Model'!$A$6:$B$38,2,FALSE)</f>
        <v>0.25279292855900759</v>
      </c>
      <c r="J309">
        <f>($B$1+Table4[[#This Row],[Home Differential]])-Table4[[#This Row],[Away Differential]]</f>
        <v>0.4072182077063693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0.57261033026268759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0.32788259032354417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-4.6015351177631898E-2</v>
      </c>
      <c r="H310" t="s">
        <v>32</v>
      </c>
      <c r="I310">
        <f>VLOOKUP(Table4[[#This Row],[Visitor]],'NHL Model'!$A$6:$B$38,2,FALSE)</f>
        <v>-0.21579108793246188</v>
      </c>
      <c r="J310">
        <f>($B$1+Table4[[#This Row],[Home Differential]])-Table4[[#This Row],[Away Differential]]</f>
        <v>0.30661231451496263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0.60189062351967326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0.15849107564155454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-0.3566847028170323</v>
      </c>
      <c r="H311" t="s">
        <v>55</v>
      </c>
      <c r="I311">
        <f>VLOOKUP(Table4[[#This Row],[Visitor]],'NHL Model'!$A$6:$B$38,2,FALSE)</f>
        <v>0.27119018820614604</v>
      </c>
      <c r="J311">
        <f>($B$1+Table4[[#This Row],[Home Differential]])-Table4[[#This Row],[Away Differential]]</f>
        <v>-0.4910383132630457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0.50736161094283583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0.25741580425850952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0.98607049252714107</v>
      </c>
      <c r="H312" t="s">
        <v>24</v>
      </c>
      <c r="I312">
        <f>VLOOKUP(Table4[[#This Row],[Visitor]],'NHL Model'!$A$6:$B$38,2,FALSE)</f>
        <v>-0.27466957136179609</v>
      </c>
      <c r="J312">
        <f>($B$1+Table4[[#This Row],[Home Differential]])-Table4[[#This Row],[Away Differential]]</f>
        <v>1.3975766416490698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0.67827727629612711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0.10350551094743854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4.3410611683700091E-2</v>
      </c>
      <c r="H313" t="s">
        <v>35</v>
      </c>
      <c r="I313">
        <f>VLOOKUP(Table4[[#This Row],[Visitor]],'NHL Model'!$A$6:$B$38,2,FALSE)</f>
        <v>-0.9803970267772969</v>
      </c>
      <c r="J313">
        <f>($B$1+Table4[[#This Row],[Home Differential]])-Table4[[#This Row],[Away Differential]]</f>
        <v>1.1606442162211297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0.68419248287386514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9.9734387873373964E-2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0.1394237692045871</v>
      </c>
      <c r="H314" t="s">
        <v>15</v>
      </c>
      <c r="I314">
        <f>VLOOKUP(Table4[[#This Row],[Visitor]],'NHL Model'!$A$6:$B$38,2,FALSE)</f>
        <v>-0.36341023830385849</v>
      </c>
      <c r="J314">
        <f>($B$1+Table4[[#This Row],[Home Differential]])-Table4[[#This Row],[Away Differential]]</f>
        <v>0.63967058526857823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0.52907431675581251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0.2217709991390048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-0.16816097389287935</v>
      </c>
      <c r="H315" t="s">
        <v>28</v>
      </c>
      <c r="I315">
        <f>VLOOKUP(Table4[[#This Row],[Visitor]],'NHL Model'!$A$6:$B$38,2,FALSE)</f>
        <v>-0.29093210318822477</v>
      </c>
      <c r="J315">
        <f>($B$1+Table4[[#This Row],[Home Differential]])-Table4[[#This Row],[Away Differential]]</f>
        <v>0.25960770705547803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0.56503967386499365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0.18919048531147109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-0.30466872127922601</v>
      </c>
      <c r="H316" t="s">
        <v>21</v>
      </c>
      <c r="I316">
        <f>VLOOKUP(Table4[[#This Row],[Visitor]],'NHL Model'!$A$6:$B$38,2,FALSE)</f>
        <v>0.17390560158361429</v>
      </c>
      <c r="J316">
        <f>($B$1+Table4[[#This Row],[Home Differential]])-Table4[[#This Row],[Away Differential]]</f>
        <v>-0.34173774510270771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0.47067754051944366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0.22153734714943252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0.13483877693289487</v>
      </c>
      <c r="H317" t="s">
        <v>16</v>
      </c>
      <c r="I317">
        <f>VLOOKUP(Table4[[#This Row],[Visitor]],'NHL Model'!$A$6:$B$38,2,FALSE)</f>
        <v>-0.54997285633810766</v>
      </c>
      <c r="J317">
        <f>($B$1+Table4[[#This Row],[Home Differential]])-Table4[[#This Row],[Away Differential]]</f>
        <v>0.82164821103113517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0.66564520730748389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0.44308354201142319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0.32232840463649798</v>
      </c>
      <c r="H318" t="s">
        <v>25</v>
      </c>
      <c r="I318">
        <f>VLOOKUP(Table4[[#This Row],[Visitor]],'NHL Model'!$A$6:$B$38,2,FALSE)</f>
        <v>0.33829893848778331</v>
      </c>
      <c r="J318">
        <f>($B$1+Table4[[#This Row],[Home Differential]])-Table4[[#This Row],[Away Differential]]</f>
        <v>0.12086604390884731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0.50991560733977426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0.24018271192914234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0.34677881456804194</v>
      </c>
      <c r="H319" t="s">
        <v>17</v>
      </c>
      <c r="I319">
        <f>VLOOKUP(Table4[[#This Row],[Visitor]],'NHL Model'!$A$6:$B$38,2,FALSE)</f>
        <v>3.922199270086173E-4</v>
      </c>
      <c r="J319">
        <f>($B$1+Table4[[#This Row],[Home Differential]])-Table4[[#This Row],[Away Differential]]</f>
        <v>0.48322317240116591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0.59562743308134203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0.16351717287638451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-0.30466872127922601</v>
      </c>
      <c r="H320" t="s">
        <v>36</v>
      </c>
      <c r="I320">
        <f>VLOOKUP(Table4[[#This Row],[Visitor]],'NHL Model'!$A$6:$B$38,2,FALSE)</f>
        <v>-7.2312572939580336E-2</v>
      </c>
      <c r="J320">
        <f>($B$1+Table4[[#This Row],[Home Differential]])-Table4[[#This Row],[Away Differential]]</f>
        <v>-9.5519570579513061E-2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0.45653282861051403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0.29535656637808894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-0.43286905189715857</v>
      </c>
      <c r="H321" t="s">
        <v>32</v>
      </c>
      <c r="I321">
        <f>VLOOKUP(Table4[[#This Row],[Visitor]],'NHL Model'!$A$6:$B$38,2,FALSE)</f>
        <v>-0.21579108793246188</v>
      </c>
      <c r="J321">
        <f>($B$1+Table4[[#This Row],[Home Differential]])-Table4[[#This Row],[Away Differential]]</f>
        <v>-8.0241386204564058E-2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0.47742347023736054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0.27308622945876282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1.7070031799067014</v>
      </c>
      <c r="H322" t="s">
        <v>15</v>
      </c>
      <c r="I322">
        <f>VLOOKUP(Table4[[#This Row],[Visitor]],'NHL Model'!$A$6:$B$38,2,FALSE)</f>
        <v>-0.36341023830385849</v>
      </c>
      <c r="J322">
        <f>($B$1+Table4[[#This Row],[Home Differential]])-Table4[[#This Row],[Away Differential]]</f>
        <v>2.2072499959706926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0.79681795255825227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4.1282944402620626E-2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-4.6015351177631898E-2</v>
      </c>
      <c r="H323" t="s">
        <v>30</v>
      </c>
      <c r="I323">
        <f>VLOOKUP(Table4[[#This Row],[Visitor]],'NHL Model'!$A$6:$B$38,2,FALSE)</f>
        <v>0.25279292855900759</v>
      </c>
      <c r="J323">
        <f>($B$1+Table4[[#This Row],[Home Differential]])-Table4[[#This Row],[Away Differential]]</f>
        <v>-0.16197170197650687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0.45421898040164066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0.29787692135382471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-7.4962464446554744E-2</v>
      </c>
      <c r="H324" t="s">
        <v>24</v>
      </c>
      <c r="I324">
        <f>VLOOKUP(Table4[[#This Row],[Visitor]],'NHL Model'!$A$6:$B$38,2,FALSE)</f>
        <v>-0.27466957136179609</v>
      </c>
      <c r="J324">
        <f>($B$1+Table4[[#This Row],[Home Differential]])-Table4[[#This Row],[Away Differential]]</f>
        <v>0.33654368467537399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0.56187206490719255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0.19195608750868731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6.8462291869218858E-2</v>
      </c>
      <c r="H325" t="s">
        <v>22</v>
      </c>
      <c r="I325">
        <f>VLOOKUP(Table4[[#This Row],[Visitor]],'NHL Model'!$A$6:$B$38,2,FALSE)</f>
        <v>0.34677881456804194</v>
      </c>
      <c r="J325">
        <f>($B$1+Table4[[#This Row],[Home Differential]])-Table4[[#This Row],[Away Differential]]</f>
        <v>-0.14147994493869048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0.47288062789518392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0.27785483244817555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-7.417166684134277E-2</v>
      </c>
      <c r="H326" t="s">
        <v>35</v>
      </c>
      <c r="I326">
        <f>VLOOKUP(Table4[[#This Row],[Visitor]],'NHL Model'!$A$6:$B$38,2,FALSE)</f>
        <v>-0.9803970267772969</v>
      </c>
      <c r="J326">
        <f>($B$1+Table4[[#This Row],[Home Differential]])-Table4[[#This Row],[Away Differential]]</f>
        <v>1.0430619376960868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0.64060537507585213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0.12916449642436892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-0.3566847028170323</v>
      </c>
      <c r="H327" t="s">
        <v>13</v>
      </c>
      <c r="I327">
        <f>VLOOKUP(Table4[[#This Row],[Visitor]],'NHL Model'!$A$6:$B$38,2,FALSE)</f>
        <v>-0.14985965438623808</v>
      </c>
      <c r="J327">
        <f>($B$1+Table4[[#This Row],[Home Differential]])-Table4[[#This Row],[Away Differential]]</f>
        <v>-6.9988470670661607E-2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0.49815101702925674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0.24815443576728283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0.98607049252714107</v>
      </c>
      <c r="H328" t="s">
        <v>17</v>
      </c>
      <c r="I328">
        <f>VLOOKUP(Table4[[#This Row],[Visitor]],'NHL Model'!$A$6:$B$38,2,FALSE)</f>
        <v>3.922199270086173E-4</v>
      </c>
      <c r="J328">
        <f>($B$1+Table4[[#This Row],[Home Differential]])-Table4[[#This Row],[Away Differential]]</f>
        <v>1.1225148503602651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0.66228538524536662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0.11405116101887043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4.3410611683700091E-2</v>
      </c>
      <c r="H329" t="s">
        <v>28</v>
      </c>
      <c r="I329">
        <f>VLOOKUP(Table4[[#This Row],[Visitor]],'NHL Model'!$A$6:$B$38,2,FALSE)</f>
        <v>-0.29093210318822477</v>
      </c>
      <c r="J329">
        <f>($B$1+Table4[[#This Row],[Home Differential]])-Table4[[#This Row],[Away Differential]]</f>
        <v>0.47117929263205749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0.61769223515843885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0.38154369737502813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0.27119018820614604</v>
      </c>
      <c r="H330" t="s">
        <v>20</v>
      </c>
      <c r="I330">
        <f>VLOOKUP(Table4[[#This Row],[Visitor]],'NHL Model'!$A$6:$B$38,2,FALSE)</f>
        <v>0.1394237692045871</v>
      </c>
      <c r="J330">
        <f>($B$1+Table4[[#This Row],[Home Differential]])-Table4[[#This Row],[Away Differential]]</f>
        <v>0.26860299676169153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0.54863455997370036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0.30099988039753584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-0.87254503056606192</v>
      </c>
      <c r="H331" t="s">
        <v>39</v>
      </c>
      <c r="I331">
        <f>VLOOKUP(Table4[[#This Row],[Visitor]],'NHL Model'!$A$6:$B$38,2,FALSE)</f>
        <v>0.5231745585052443</v>
      </c>
      <c r="J331">
        <f>($B$1+Table4[[#This Row],[Home Differential]])-Table4[[#This Row],[Away Differential]]</f>
        <v>-1.2588830113111737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0.63795066765878206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0.13107971904872168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0.13483877693289487</v>
      </c>
      <c r="H332" t="s">
        <v>10</v>
      </c>
      <c r="I332">
        <f>VLOOKUP(Table4[[#This Row],[Visitor]],'NHL Model'!$A$6:$B$38,2,FALSE)</f>
        <v>-0.43286905189715857</v>
      </c>
      <c r="J332">
        <f>($B$1+Table4[[#This Row],[Home Differential]])-Table4[[#This Row],[Away Differential]]</f>
        <v>0.70454440659018602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0.65435031508410035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0.1194737046824607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-0.14985965438623808</v>
      </c>
      <c r="H333" t="s">
        <v>21</v>
      </c>
      <c r="I333">
        <f>VLOOKUP(Table4[[#This Row],[Visitor]],'NHL Model'!$A$6:$B$38,2,FALSE)</f>
        <v>0.17390560158361429</v>
      </c>
      <c r="J333">
        <f>($B$1+Table4[[#This Row],[Home Differential]])-Table4[[#This Row],[Away Differential]]</f>
        <v>-0.18692867820971976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0.47802963860924774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0.2724530581703925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1.1343608350765873E-2</v>
      </c>
      <c r="H334" t="s">
        <v>34</v>
      </c>
      <c r="I334">
        <f>VLOOKUP(Table4[[#This Row],[Visitor]],'NHL Model'!$A$6:$B$38,2,FALSE)</f>
        <v>0.32232840463649798</v>
      </c>
      <c r="J334">
        <f>($B$1+Table4[[#This Row],[Home Differential]])-Table4[[#This Row],[Away Differential]]</f>
        <v>-0.1741482185255995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0.52820527802974482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0.22259025967899038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-0.16816097389287935</v>
      </c>
      <c r="H335" t="s">
        <v>25</v>
      </c>
      <c r="I335">
        <f>VLOOKUP(Table4[[#This Row],[Visitor]],'NHL Model'!$A$6:$B$38,2,FALSE)</f>
        <v>0.33829893848778331</v>
      </c>
      <c r="J335">
        <f>($B$1+Table4[[#This Row],[Home Differential]])-Table4[[#This Row],[Away Differential]]</f>
        <v>-0.36962333462053004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0.53816346030384177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0.21329298939852115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-0.30466872127922601</v>
      </c>
      <c r="H336" t="s">
        <v>20</v>
      </c>
      <c r="I336">
        <f>VLOOKUP(Table4[[#This Row],[Visitor]],'NHL Model'!$A$6:$B$38,2,FALSE)</f>
        <v>0.1394237692045871</v>
      </c>
      <c r="J336">
        <f>($B$1+Table4[[#This Row],[Home Differential]])-Table4[[#This Row],[Away Differential]]</f>
        <v>-0.30725591272368047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0.49855195565214888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0.24855405248458223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-0.54997285633810766</v>
      </c>
      <c r="H337" t="s">
        <v>39</v>
      </c>
      <c r="I337">
        <f>VLOOKUP(Table4[[#This Row],[Visitor]],'NHL Model'!$A$6:$B$38,2,FALSE)</f>
        <v>0.5231745585052443</v>
      </c>
      <c r="J337">
        <f>($B$1+Table4[[#This Row],[Home Differential]])-Table4[[#This Row],[Away Differential]]</f>
        <v>-0.93631083708321938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0.59270136599292411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0.35129490924987816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-4.6015351177631898E-2</v>
      </c>
      <c r="H338" t="s">
        <v>28</v>
      </c>
      <c r="I338">
        <f>VLOOKUP(Table4[[#This Row],[Visitor]],'NHL Model'!$A$6:$B$38,2,FALSE)</f>
        <v>-0.29093210318822477</v>
      </c>
      <c r="J338">
        <f>($B$1+Table4[[#This Row],[Home Differential]])-Table4[[#This Row],[Away Differential]]</f>
        <v>0.38175332977072551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0.61863904119386892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0.1454361809015316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-7.4962464446554744E-2</v>
      </c>
      <c r="H339" t="s">
        <v>17</v>
      </c>
      <c r="I339">
        <f>VLOOKUP(Table4[[#This Row],[Visitor]],'NHL Model'!$A$6:$B$38,2,FALSE)</f>
        <v>3.922199270086173E-4</v>
      </c>
      <c r="J339">
        <f>($B$1+Table4[[#This Row],[Home Differential]])-Table4[[#This Row],[Away Differential]]</f>
        <v>6.1481893386569252E-2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0.54593004952149982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0.29803961897054726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6.8462291869218858E-2</v>
      </c>
      <c r="H340" t="s">
        <v>19</v>
      </c>
      <c r="I340">
        <f>VLOOKUP(Table4[[#This Row],[Visitor]],'NHL Model'!$A$6:$B$38,2,FALSE)</f>
        <v>4.3410611683700091E-2</v>
      </c>
      <c r="J340">
        <f>($B$1+Table4[[#This Row],[Home Differential]])-Table4[[#This Row],[Away Differential]]</f>
        <v>0.16188825794565137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0.55637983184767648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0.19679885359149579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-0.48381480045860298</v>
      </c>
      <c r="H341" t="s">
        <v>12</v>
      </c>
      <c r="I341">
        <f>VLOOKUP(Table4[[#This Row],[Visitor]],'NHL Model'!$A$6:$B$38,2,FALSE)</f>
        <v>1.7070031799067014</v>
      </c>
      <c r="J341">
        <f>($B$1+Table4[[#This Row],[Home Differential]])-Table4[[#This Row],[Away Differential]]</f>
        <v>-2.0539814026051717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0.72801213514787821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7.3977398626816071E-2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0.25279292855900759</v>
      </c>
      <c r="H342" t="s">
        <v>35</v>
      </c>
      <c r="I342">
        <f>VLOOKUP(Table4[[#This Row],[Visitor]],'NHL Model'!$A$6:$B$38,2,FALSE)</f>
        <v>-0.9803970267772969</v>
      </c>
      <c r="J342">
        <f>($B$1+Table4[[#This Row],[Home Differential]])-Table4[[#This Row],[Away Differential]]</f>
        <v>1.370026533096437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0.69124718458917678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0.47782267020246344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-7.417166684134277E-2</v>
      </c>
      <c r="H343" t="s">
        <v>24</v>
      </c>
      <c r="I343">
        <f>VLOOKUP(Table4[[#This Row],[Visitor]],'NHL Model'!$A$6:$B$38,2,FALSE)</f>
        <v>-0.27466957136179609</v>
      </c>
      <c r="J343">
        <f>($B$1+Table4[[#This Row],[Home Differential]])-Table4[[#This Row],[Away Differential]]</f>
        <v>0.33733448228058593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0.56194833889132156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0.19188925780007246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1.1343608350765873E-2</v>
      </c>
      <c r="H344" t="s">
        <v>32</v>
      </c>
      <c r="I344">
        <f>VLOOKUP(Table4[[#This Row],[Visitor]],'NHL Model'!$A$6:$B$38,2,FALSE)</f>
        <v>-0.21579108793246188</v>
      </c>
      <c r="J344">
        <f>($B$1+Table4[[#This Row],[Home Differential]])-Table4[[#This Row],[Away Differential]]</f>
        <v>0.36397127404336038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0.56542171438935118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0.319701715102993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-0.3566847028170323</v>
      </c>
      <c r="H345" t="s">
        <v>36</v>
      </c>
      <c r="I345">
        <f>VLOOKUP(Table4[[#This Row],[Visitor]],'NHL Model'!$A$6:$B$38,2,FALSE)</f>
        <v>-7.2312572939580336E-2</v>
      </c>
      <c r="J345">
        <f>($B$1+Table4[[#This Row],[Home Differential]])-Table4[[#This Row],[Away Differential]]</f>
        <v>-0.14753555211731934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0.48391412487386587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0.26634463050470769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0.27119018820614604</v>
      </c>
      <c r="H346" t="s">
        <v>15</v>
      </c>
      <c r="I346">
        <f>VLOOKUP(Table4[[#This Row],[Visitor]],'NHL Model'!$A$6:$B$38,2,FALSE)</f>
        <v>-0.36341023830385849</v>
      </c>
      <c r="J346">
        <f>($B$1+Table4[[#This Row],[Home Differential]])-Table4[[#This Row],[Away Differential]]</f>
        <v>0.77143700427013706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0.55588809757698887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0.19723538187378617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0.34677881456804194</v>
      </c>
      <c r="H347" t="s">
        <v>37</v>
      </c>
      <c r="I347">
        <f>VLOOKUP(Table4[[#This Row],[Visitor]],'NHL Model'!$A$6:$B$38,2,FALSE)</f>
        <v>0.98607049252714107</v>
      </c>
      <c r="J347">
        <f>($B$1+Table4[[#This Row],[Home Differential]])-Table4[[#This Row],[Away Differential]]</f>
        <v>-0.50245510019896655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0.60693847237569254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0.15449736449835422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0.13483877693289487</v>
      </c>
      <c r="H348" t="s">
        <v>25</v>
      </c>
      <c r="I348">
        <f>VLOOKUP(Table4[[#This Row],[Visitor]],'NHL Model'!$A$6:$B$38,2,FALSE)</f>
        <v>0.33829893848778331</v>
      </c>
      <c r="J348">
        <f>($B$1+Table4[[#This Row],[Home Differential]])-Table4[[#This Row],[Away Differential]]</f>
        <v>-6.6623583794755803E-2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0.46187152022697758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0.21332530119677937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-0.43286905189715857</v>
      </c>
      <c r="H349" t="s">
        <v>12</v>
      </c>
      <c r="I349">
        <f>VLOOKUP(Table4[[#This Row],[Visitor]],'NHL Model'!$A$6:$B$38,2,FALSE)</f>
        <v>1.7070031799067014</v>
      </c>
      <c r="J349">
        <f>($B$1+Table4[[#This Row],[Home Differential]])-Table4[[#This Row],[Away Differential]]</f>
        <v>-2.0030356540437273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0.72309831751412856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7.6674541763506354E-2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0.25279292855900759</v>
      </c>
      <c r="H350" t="s">
        <v>32</v>
      </c>
      <c r="I350">
        <f>VLOOKUP(Table4[[#This Row],[Visitor]],'NHL Model'!$A$6:$B$38,2,FALSE)</f>
        <v>-0.21579108793246188</v>
      </c>
      <c r="J350">
        <f>($B$1+Table4[[#This Row],[Home Differential]])-Table4[[#This Row],[Away Differential]]</f>
        <v>0.605420594251602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0.6078820614848589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0.15375647770536396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-0.3566847028170323</v>
      </c>
      <c r="H351" t="s">
        <v>21</v>
      </c>
      <c r="I351">
        <f>VLOOKUP(Table4[[#This Row],[Visitor]],'NHL Model'!$A$6:$B$38,2,FALSE)</f>
        <v>0.17390560158361429</v>
      </c>
      <c r="J351">
        <f>($B$1+Table4[[#This Row],[Home Differential]])-Table4[[#This Row],[Away Differential]]</f>
        <v>-0.393753726640514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0.49797832125260194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0.24798240843755961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-0.87254503056606192</v>
      </c>
      <c r="H352" t="s">
        <v>16</v>
      </c>
      <c r="I352">
        <f>VLOOKUP(Table4[[#This Row],[Visitor]],'NHL Model'!$A$6:$B$38,2,FALSE)</f>
        <v>-0.54997285633810766</v>
      </c>
      <c r="J352">
        <f>($B$1+Table4[[#This Row],[Home Differential]])-Table4[[#This Row],[Away Differential]]</f>
        <v>-0.18573559646782167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0.47791456352904216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0.27257320297507054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-0.16816097389287935</v>
      </c>
      <c r="H353" t="s">
        <v>34</v>
      </c>
      <c r="I353">
        <f>VLOOKUP(Table4[[#This Row],[Visitor]],'NHL Model'!$A$6:$B$38,2,FALSE)</f>
        <v>0.32232840463649798</v>
      </c>
      <c r="J353">
        <f>($B$1+Table4[[#This Row],[Home Differential]])-Table4[[#This Row],[Away Differential]]</f>
        <v>-0.35365280076924471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0.5455188479835531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0.20655311753819672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-0.14985965438623808</v>
      </c>
      <c r="H354" t="s">
        <v>36</v>
      </c>
      <c r="I354">
        <f>VLOOKUP(Table4[[#This Row],[Visitor]],'NHL Model'!$A$6:$B$38,2,FALSE)</f>
        <v>-7.2312572939580336E-2</v>
      </c>
      <c r="J354">
        <f>($B$1+Table4[[#This Row],[Home Differential]])-Table4[[#This Row],[Away Differential]]</f>
        <v>5.9289496313474868E-2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0.53603455776948838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0.21526393158415422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-0.27466957136179609</v>
      </c>
      <c r="H355" t="s">
        <v>26</v>
      </c>
      <c r="I355">
        <f>VLOOKUP(Table4[[#This Row],[Visitor]],'NHL Model'!$A$6:$B$38,2,FALSE)</f>
        <v>-4.6015351177631898E-2</v>
      </c>
      <c r="J355">
        <f>($B$1+Table4[[#This Row],[Home Differential]])-Table4[[#This Row],[Away Differential]]</f>
        <v>-9.1817642424031592E-2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0.49774488106041187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0.24774996662184356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-0.48381480045860298</v>
      </c>
      <c r="H356" t="s">
        <v>11</v>
      </c>
      <c r="I356">
        <f>VLOOKUP(Table4[[#This Row],[Visitor]],'NHL Model'!$A$6:$B$38,2,FALSE)</f>
        <v>-7.4962464446554744E-2</v>
      </c>
      <c r="J356">
        <f>($B$1+Table4[[#This Row],[Home Differential]])-Table4[[#This Row],[Away Differential]]</f>
        <v>-0.2720157582519156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0.5198198704006034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0.23057295686209331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-0.36341023830385849</v>
      </c>
      <c r="H357" t="s">
        <v>35</v>
      </c>
      <c r="I357">
        <f>VLOOKUP(Table4[[#This Row],[Visitor]],'NHL Model'!$A$6:$B$38,2,FALSE)</f>
        <v>-0.9803970267772969</v>
      </c>
      <c r="J357">
        <f>($B$1+Table4[[#This Row],[Home Differential]])-Table4[[#This Row],[Away Differential]]</f>
        <v>0.75382336623357105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0.61270774606959799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0.14999528995449099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0.98607049252714107</v>
      </c>
      <c r="H358" t="s">
        <v>27</v>
      </c>
      <c r="I358">
        <f>VLOOKUP(Table4[[#This Row],[Visitor]],'NHL Model'!$A$6:$B$38,2,FALSE)</f>
        <v>-7.417166684134277E-2</v>
      </c>
      <c r="J358">
        <f>($B$1+Table4[[#This Row],[Home Differential]])-Table4[[#This Row],[Away Differential]]</f>
        <v>1.1970787371286165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0.66091514371025695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0.11497853976503569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0.27119018820614604</v>
      </c>
      <c r="H359" t="s">
        <v>20</v>
      </c>
      <c r="I359">
        <f>VLOOKUP(Table4[[#This Row],[Visitor]],'NHL Model'!$A$6:$B$38,2,FALSE)</f>
        <v>0.1394237692045871</v>
      </c>
      <c r="J359">
        <f>($B$1+Table4[[#This Row],[Home Differential]])-Table4[[#This Row],[Away Differential]]</f>
        <v>0.26860299676169153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0.54863455997370036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0.20373076045013511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0.34677881456804194</v>
      </c>
      <c r="H360" t="s">
        <v>28</v>
      </c>
      <c r="I360">
        <f>VLOOKUP(Table4[[#This Row],[Visitor]],'NHL Model'!$A$6:$B$38,2,FALSE)</f>
        <v>-0.29093210318822477</v>
      </c>
      <c r="J360">
        <f>($B$1+Table4[[#This Row],[Home Differential]])-Table4[[#This Row],[Away Differential]]</f>
        <v>0.77454749551639934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0.62372623693613904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0.14158194477023858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3.922199270086173E-4</v>
      </c>
      <c r="H361" t="s">
        <v>39</v>
      </c>
      <c r="I361">
        <f>VLOOKUP(Table4[[#This Row],[Visitor]],'NHL Model'!$A$6:$B$38,2,FALSE)</f>
        <v>0.5231745585052443</v>
      </c>
      <c r="J361">
        <f>($B$1+Table4[[#This Row],[Home Differential]])-Table4[[#This Row],[Away Differential]]</f>
        <v>-0.38594576081810306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0.54917062008610495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0.20324712979354712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-0.30466872127922601</v>
      </c>
      <c r="H362" t="s">
        <v>38</v>
      </c>
      <c r="I362">
        <f>VLOOKUP(Table4[[#This Row],[Visitor]],'NHL Model'!$A$6:$B$38,2,FALSE)</f>
        <v>-0.87254503056606192</v>
      </c>
      <c r="J362">
        <f>($B$1+Table4[[#This Row],[Home Differential]])-Table4[[#This Row],[Away Differential]]</f>
        <v>0.70471288704696855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0.63025468080033697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0.39722096267073465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0.33829893848778331</v>
      </c>
      <c r="H363" t="s">
        <v>15</v>
      </c>
      <c r="I363">
        <f>VLOOKUP(Table4[[#This Row],[Visitor]],'NHL Model'!$A$6:$B$38,2,FALSE)</f>
        <v>-0.36341023830385849</v>
      </c>
      <c r="J363">
        <f>($B$1+Table4[[#This Row],[Home Differential]])-Table4[[#This Row],[Away Differential]]</f>
        <v>0.83854575455177449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0.59068330859839846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0.34890677105675083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-0.29093210318822477</v>
      </c>
      <c r="H364" t="s">
        <v>19</v>
      </c>
      <c r="I364">
        <f>VLOOKUP(Table4[[#This Row],[Visitor]],'NHL Model'!$A$6:$B$38,2,FALSE)</f>
        <v>4.3410611683700091E-2</v>
      </c>
      <c r="J364">
        <f>($B$1+Table4[[#This Row],[Home Differential]])-Table4[[#This Row],[Away Differential]]</f>
        <v>-0.19750613711179224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0.47904985532096372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0.2713890532411089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-0.43286905189715857</v>
      </c>
      <c r="H365" t="s">
        <v>34</v>
      </c>
      <c r="I365">
        <f>VLOOKUP(Table4[[#This Row],[Visitor]],'NHL Model'!$A$6:$B$38,2,FALSE)</f>
        <v>0.32232840463649798</v>
      </c>
      <c r="J365">
        <f>($B$1+Table4[[#This Row],[Home Differential]])-Table4[[#This Row],[Away Differential]]</f>
        <v>-0.61836087877352397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0.57105046265645654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0.18399770558723999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1.7070031799067014</v>
      </c>
      <c r="H366" t="s">
        <v>33</v>
      </c>
      <c r="I366">
        <f>VLOOKUP(Table4[[#This Row],[Visitor]],'NHL Model'!$A$6:$B$38,2,FALSE)</f>
        <v>-0.3566847028170323</v>
      </c>
      <c r="J366">
        <f>($B$1+Table4[[#This Row],[Home Differential]])-Table4[[#This Row],[Away Differential]]</f>
        <v>2.2005244604838663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0.84557824488629474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2.3846078452397158E-2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-4.6015351177631898E-2</v>
      </c>
      <c r="H367" t="s">
        <v>29</v>
      </c>
      <c r="I367">
        <f>VLOOKUP(Table4[[#This Row],[Visitor]],'NHL Model'!$A$6:$B$38,2,FALSE)</f>
        <v>-0.48381480045860298</v>
      </c>
      <c r="J367">
        <f>($B$1+Table4[[#This Row],[Home Differential]])-Table4[[#This Row],[Away Differential]]</f>
        <v>0.57463602704110373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0.6372429566501171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0.40607858580018302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-7.4962464446554744E-2</v>
      </c>
      <c r="H368" t="s">
        <v>27</v>
      </c>
      <c r="I368">
        <f>VLOOKUP(Table4[[#This Row],[Visitor]],'NHL Model'!$A$6:$B$38,2,FALSE)</f>
        <v>-7.417166684134277E-2</v>
      </c>
      <c r="J368">
        <f>($B$1+Table4[[#This Row],[Home Differential]])-Table4[[#This Row],[Away Differential]]</f>
        <v>0.13604578015492064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0.54451832164339309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0.29650020260533771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-0.27466957136179609</v>
      </c>
      <c r="H369" t="s">
        <v>35</v>
      </c>
      <c r="I369">
        <f>VLOOKUP(Table4[[#This Row],[Visitor]],'NHL Model'!$A$6:$B$38,2,FALSE)</f>
        <v>-0.9803970267772969</v>
      </c>
      <c r="J369">
        <f>($B$1+Table4[[#This Row],[Home Differential]])-Table4[[#This Row],[Away Differential]]</f>
        <v>0.84256403317563344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0.62376243710934154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0.14155470372990217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0.25279292855900759</v>
      </c>
      <c r="H370" t="s">
        <v>21</v>
      </c>
      <c r="I370">
        <f>VLOOKUP(Table4[[#This Row],[Visitor]],'NHL Model'!$A$6:$B$38,2,FALSE)</f>
        <v>0.17390560158361429</v>
      </c>
      <c r="J370">
        <f>($B$1+Table4[[#This Row],[Home Differential]])-Table4[[#This Row],[Away Differential]]</f>
        <v>0.21572390473552588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0.57991242614348271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0.33629842199562027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1.1343608350765873E-2</v>
      </c>
      <c r="H371" t="s">
        <v>23</v>
      </c>
      <c r="I371">
        <f>VLOOKUP(Table4[[#This Row],[Visitor]],'NHL Model'!$A$6:$B$38,2,FALSE)</f>
        <v>0.13483877693289487</v>
      </c>
      <c r="J371">
        <f>($B$1+Table4[[#This Row],[Home Differential]])-Table4[[#This Row],[Away Differential]]</f>
        <v>1.334140917800361E-2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0.5412868051511478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0.21041779512844105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-0.21579108793246188</v>
      </c>
      <c r="H372" t="s">
        <v>39</v>
      </c>
      <c r="I372">
        <f>VLOOKUP(Table4[[#This Row],[Visitor]],'NHL Model'!$A$6:$B$38,2,FALSE)</f>
        <v>0.5231745585052443</v>
      </c>
      <c r="J372">
        <f>($B$1+Table4[[#This Row],[Home Differential]])-Table4[[#This Row],[Away Differential]]</f>
        <v>-0.60212906867757354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0.5746054583827731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0.18096051603773058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0.98607049252714107</v>
      </c>
      <c r="H373" t="s">
        <v>16</v>
      </c>
      <c r="I373">
        <f>VLOOKUP(Table4[[#This Row],[Visitor]],'NHL Model'!$A$6:$B$38,2,FALSE)</f>
        <v>-0.54997285633810766</v>
      </c>
      <c r="J373">
        <f>($B$1+Table4[[#This Row],[Home Differential]])-Table4[[#This Row],[Away Differential]]</f>
        <v>1.6728799266253813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0.71536917914604559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8.1014704179995886E-2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0.27119018820614604</v>
      </c>
      <c r="H374" t="s">
        <v>18</v>
      </c>
      <c r="I374">
        <f>VLOOKUP(Table4[[#This Row],[Visitor]],'NHL Model'!$A$6:$B$38,2,FALSE)</f>
        <v>6.8462291869218858E-2</v>
      </c>
      <c r="J374">
        <f>($B$1+Table4[[#This Row],[Home Differential]])-Table4[[#This Row],[Away Differential]]</f>
        <v>0.33956447409705975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0.53548390171858362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0.28674300899975774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0.1394237692045871</v>
      </c>
      <c r="H375" t="s">
        <v>36</v>
      </c>
      <c r="I375">
        <f>VLOOKUP(Table4[[#This Row],[Visitor]],'NHL Model'!$A$6:$B$38,2,FALSE)</f>
        <v>-7.2312572939580336E-2</v>
      </c>
      <c r="J375">
        <f>($B$1+Table4[[#This Row],[Home Differential]])-Table4[[#This Row],[Away Differential]]</f>
        <v>0.3485729199043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0.56393651285171986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0.31802439052735798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0.34677881456804194</v>
      </c>
      <c r="H376" t="s">
        <v>40</v>
      </c>
      <c r="I376">
        <f>VLOOKUP(Table4[[#This Row],[Visitor]],'NHL Model'!$A$6:$B$38,2,FALSE)</f>
        <v>-0.16816097389287935</v>
      </c>
      <c r="J376">
        <f>($B$1+Table4[[#This Row],[Home Differential]])-Table4[[#This Row],[Away Differential]]</f>
        <v>0.65177636622105384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0.61188472008573414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0.15063347050292894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-0.30466872127922601</v>
      </c>
      <c r="H377" t="s">
        <v>13</v>
      </c>
      <c r="I377">
        <f>VLOOKUP(Table4[[#This Row],[Visitor]],'NHL Model'!$A$6:$B$38,2,FALSE)</f>
        <v>-0.14985965438623808</v>
      </c>
      <c r="J377">
        <f>($B$1+Table4[[#This Row],[Home Differential]])-Table4[[#This Row],[Away Differential]]</f>
        <v>-1.7972489132855318E-2</v>
      </c>
      <c r="K377" t="str">
        <f>IF(Table4[[#This Row],[HomeIce Differential]]&gt;0,Table4[[#This Row],[Home]],Table4[[#This Row],[Visitor]])</f>
        <v>Los Angeles Kings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0.4706500005699174</v>
      </c>
      <c r="M377" t="str">
        <f>IF(OR((NHL2025_26Results[[#This Row],[Winning Team]]="")),"-",IF(Table4[[#This Row],[Predicted Winner]]=NHL2025_26Results[[#This Row],[Winning Team]],"YES","NO"))</f>
        <v>NO</v>
      </c>
      <c r="N377">
        <f>IF(Table4[[#This Row],[Adjusted Correct]]="-", "",IF(Table4[[#This Row],[Adjusted Correct]]="YES",(Table4[[#This Row],[Strength of Win]]-1)^2,(Table4[[#This Row],[Strength of Win]]-0)^2))</f>
        <v>0.22151142303646326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0.17390560158361429</v>
      </c>
      <c r="H378" t="s">
        <v>15</v>
      </c>
      <c r="I378">
        <f>VLOOKUP(Table4[[#This Row],[Visitor]],'NHL Model'!$A$6:$B$38,2,FALSE)</f>
        <v>-0.36341023830385849</v>
      </c>
      <c r="J378">
        <f>($B$1+Table4[[#This Row],[Home Differential]])-Table4[[#This Row],[Away Differential]]</f>
        <v>0.67415241764760547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0.55869421248122286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0.31213922306001379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0.13483877693289487</v>
      </c>
      <c r="H379" t="s">
        <v>24</v>
      </c>
      <c r="I379">
        <f>VLOOKUP(Table4[[#This Row],[Visitor]],'NHL Model'!$A$6:$B$38,2,FALSE)</f>
        <v>-0.27466957136179609</v>
      </c>
      <c r="J379">
        <f>($B$1+Table4[[#This Row],[Home Differential]])-Table4[[#This Row],[Away Differential]]</f>
        <v>0.54634492605482365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0.62873290886670352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0.3953050706919865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0.33829893848778331</v>
      </c>
      <c r="H380" t="s">
        <v>40</v>
      </c>
      <c r="I380">
        <f>VLOOKUP(Table4[[#This Row],[Visitor]],'NHL Model'!$A$6:$B$38,2,FALSE)</f>
        <v>-0.16816097389287935</v>
      </c>
      <c r="J380">
        <f>($B$1+Table4[[#This Row],[Home Differential]])-Table4[[#This Row],[Away Differential]]</f>
        <v>0.64329649014079526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0.64386539333713078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0.12683185806291658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-0.29093210318822477</v>
      </c>
      <c r="H381" t="s">
        <v>14</v>
      </c>
      <c r="I381">
        <f>VLOOKUP(Table4[[#This Row],[Visitor]],'NHL Model'!$A$6:$B$38,2,FALSE)</f>
        <v>1.1343608350765873E-2</v>
      </c>
      <c r="J381">
        <f>($B$1+Table4[[#This Row],[Home Differential]])-Table4[[#This Row],[Away Differential]]</f>
        <v>-0.16543913377885802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0.49672616055885516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0.25328455746583128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-0.43286905189715857</v>
      </c>
      <c r="H382" t="s">
        <v>29</v>
      </c>
      <c r="I382">
        <f>VLOOKUP(Table4[[#This Row],[Visitor]],'NHL Model'!$A$6:$B$38,2,FALSE)</f>
        <v>-0.48381480045860298</v>
      </c>
      <c r="J382">
        <f>($B$1+Table4[[#This Row],[Home Differential]])-Table4[[#This Row],[Away Differential]]</f>
        <v>0.18778232632157704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0.5581119746483385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0.31148897624586763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0.5231745585052443</v>
      </c>
      <c r="H383" t="s">
        <v>55</v>
      </c>
      <c r="I383">
        <f>VLOOKUP(Table4[[#This Row],[Visitor]],'NHL Model'!$A$6:$B$38,2,FALSE)</f>
        <v>0.27119018820614604</v>
      </c>
      <c r="J383">
        <f>($B$1+Table4[[#This Row],[Home Differential]])-Table4[[#This Row],[Away Differential]]</f>
        <v>0.38882094805923084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0.59151916555672535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0.16685659210747394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-4.6015351177631898E-2</v>
      </c>
      <c r="H384" t="s">
        <v>37</v>
      </c>
      <c r="I384">
        <f>VLOOKUP(Table4[[#This Row],[Visitor]],'NHL Model'!$A$6:$B$38,2,FALSE)</f>
        <v>0.98607049252714107</v>
      </c>
      <c r="J384">
        <f>($B$1+Table4[[#This Row],[Home Differential]])-Table4[[#This Row],[Away Differential]]</f>
        <v>-0.89524926594464038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0.61168847804563609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0.15078583808251445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-7.4962464446554744E-2</v>
      </c>
      <c r="H385" t="s">
        <v>16</v>
      </c>
      <c r="I385">
        <f>VLOOKUP(Table4[[#This Row],[Visitor]],'NHL Model'!$A$6:$B$38,2,FALSE)</f>
        <v>-0.54997285633810766</v>
      </c>
      <c r="J385">
        <f>($B$1+Table4[[#This Row],[Home Differential]])-Table4[[#This Row],[Away Differential]]</f>
        <v>0.6118469696516855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0.59901384342217889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0.35881758461141067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0.32232840463649798</v>
      </c>
      <c r="H386" t="s">
        <v>12</v>
      </c>
      <c r="I386">
        <f>VLOOKUP(Table4[[#This Row],[Visitor]],'NHL Model'!$A$6:$B$38,2,FALSE)</f>
        <v>1.7070031799067014</v>
      </c>
      <c r="J386">
        <f>($B$1+Table4[[#This Row],[Home Differential]])-Table4[[#This Row],[Away Differential]]</f>
        <v>-1.2478381975100707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0.64949030629588145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0.42183765797231793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0.25279292855900759</v>
      </c>
      <c r="H387" t="s">
        <v>27</v>
      </c>
      <c r="I387">
        <f>VLOOKUP(Table4[[#This Row],[Visitor]],'NHL Model'!$A$6:$B$38,2,FALSE)</f>
        <v>-7.417166684134277E-2</v>
      </c>
      <c r="J387">
        <f>($B$1+Table4[[#This Row],[Home Differential]])-Table4[[#This Row],[Away Differential]]</f>
        <v>0.46380117316048297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0.5952963329708183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0.35437772404850337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-0.3566847028170323</v>
      </c>
      <c r="H388" t="s">
        <v>38</v>
      </c>
      <c r="I388">
        <f>VLOOKUP(Table4[[#This Row],[Visitor]],'NHL Model'!$A$6:$B$38,2,FALSE)</f>
        <v>-0.87254503056606192</v>
      </c>
      <c r="J388">
        <f>($B$1+Table4[[#This Row],[Home Differential]])-Table4[[#This Row],[Away Differential]]</f>
        <v>0.65269690550916226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0.60295390006717875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0.15764560547186388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-0.9803970267772969</v>
      </c>
      <c r="H389" t="s">
        <v>36</v>
      </c>
      <c r="I389">
        <f>VLOOKUP(Table4[[#This Row],[Visitor]],'NHL Model'!$A$6:$B$38,2,FALSE)</f>
        <v>-7.2312572939580336E-2</v>
      </c>
      <c r="J389">
        <f>($B$1+Table4[[#This Row],[Home Differential]])-Table4[[#This Row],[Away Differential]]</f>
        <v>-0.77124787607758394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0.5440724050523692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0.29601478193946928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0.1394237692045871</v>
      </c>
      <c r="H390" t="s">
        <v>18</v>
      </c>
      <c r="I390">
        <f>VLOOKUP(Table4[[#This Row],[Visitor]],'NHL Model'!$A$6:$B$38,2,FALSE)</f>
        <v>6.8462291869218858E-2</v>
      </c>
      <c r="J390">
        <f>($B$1+Table4[[#This Row],[Home Differential]])-Table4[[#This Row],[Away Differential]]</f>
        <v>0.20779805509550081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0.50863419115973585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0.25870874041671871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0.34677881456804194</v>
      </c>
      <c r="H391" t="s">
        <v>19</v>
      </c>
      <c r="I391">
        <f>VLOOKUP(Table4[[#This Row],[Visitor]],'NHL Model'!$A$6:$B$38,2,FALSE)</f>
        <v>4.3410611683700091E-2</v>
      </c>
      <c r="J391">
        <f>($B$1+Table4[[#This Row],[Home Differential]])-Table4[[#This Row],[Away Differential]]</f>
        <v>0.44020478064447444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0.59147822460058652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0.16689004097548882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0.17390560158361429</v>
      </c>
      <c r="H392" t="s">
        <v>26</v>
      </c>
      <c r="I392">
        <f>VLOOKUP(Table4[[#This Row],[Visitor]],'NHL Model'!$A$6:$B$38,2,FALSE)</f>
        <v>-4.6015351177631898E-2</v>
      </c>
      <c r="J392">
        <f>($B$1+Table4[[#This Row],[Home Differential]])-Table4[[#This Row],[Away Differential]]</f>
        <v>0.35675753052137882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0.56929368631399069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0.18550792864899104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1.7070031799067014</v>
      </c>
      <c r="H393" t="s">
        <v>18</v>
      </c>
      <c r="I393">
        <f>VLOOKUP(Table4[[#This Row],[Visitor]],'NHL Model'!$A$6:$B$38,2,FALSE)</f>
        <v>6.8462291869218858E-2</v>
      </c>
      <c r="J393">
        <f>($B$1+Table4[[#This Row],[Home Differential]])-Table4[[#This Row],[Away Differential]]</f>
        <v>1.7753774657976151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0.775664650628625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5.032634897757688E-2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-0.14985965438623808</v>
      </c>
      <c r="H394" t="s">
        <v>38</v>
      </c>
      <c r="I394">
        <f>VLOOKUP(Table4[[#This Row],[Visitor]],'NHL Model'!$A$6:$B$38,2,FALSE)</f>
        <v>-0.87254503056606192</v>
      </c>
      <c r="J394">
        <f>($B$1+Table4[[#This Row],[Home Differential]])-Table4[[#This Row],[Away Differential]]</f>
        <v>0.85952195393995645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0.622902582710533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0.1422024621263864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0.32232840463649798</v>
      </c>
      <c r="H395" t="s">
        <v>23</v>
      </c>
      <c r="I395">
        <f>VLOOKUP(Table4[[#This Row],[Visitor]],'NHL Model'!$A$6:$B$38,2,FALSE)</f>
        <v>0.13483877693289487</v>
      </c>
      <c r="J395">
        <f>($B$1+Table4[[#This Row],[Home Differential]])-Table4[[#This Row],[Away Differential]]</f>
        <v>0.32432620546373575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0.57204729132060572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0.32723810350724197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-0.27466957136179609</v>
      </c>
      <c r="H396" t="s">
        <v>27</v>
      </c>
      <c r="I396">
        <f>VLOOKUP(Table4[[#This Row],[Visitor]],'NHL Model'!$A$6:$B$38,2,FALSE)</f>
        <v>-7.417166684134277E-2</v>
      </c>
      <c r="J396">
        <f>($B$1+Table4[[#This Row],[Home Differential]])-Table4[[#This Row],[Away Differential]]</f>
        <v>-6.3661326760320713E-2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0.47224195507151595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0.27852855398673571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-0.48381480045860298</v>
      </c>
      <c r="H397" t="s">
        <v>40</v>
      </c>
      <c r="I397">
        <f>VLOOKUP(Table4[[#This Row],[Visitor]],'NHL Model'!$A$6:$B$38,2,FALSE)</f>
        <v>-0.16816097389287935</v>
      </c>
      <c r="J397">
        <f>($B$1+Table4[[#This Row],[Home Differential]])-Table4[[#This Row],[Away Differential]]</f>
        <v>-0.17881724880559099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0.47724727529206434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0.27327041118957074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-0.36341023830385849</v>
      </c>
      <c r="H398" t="s">
        <v>37</v>
      </c>
      <c r="I398">
        <f>VLOOKUP(Table4[[#This Row],[Visitor]],'NHL Model'!$A$6:$B$38,2,FALSE)</f>
        <v>0.98607049252714107</v>
      </c>
      <c r="J398">
        <f>($B$1+Table4[[#This Row],[Home Differential]])-Table4[[#This Row],[Away Differential]]</f>
        <v>-1.2126441530708669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0.68438514420742091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9.9612737196970488E-2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1.1343608350765873E-2</v>
      </c>
      <c r="H399" t="s">
        <v>19</v>
      </c>
      <c r="I399">
        <f>VLOOKUP(Table4[[#This Row],[Visitor]],'NHL Model'!$A$6:$B$38,2,FALSE)</f>
        <v>4.3410611683700091E-2</v>
      </c>
      <c r="J399">
        <f>($B$1+Table4[[#This Row],[Home Differential]])-Table4[[#This Row],[Away Differential]]</f>
        <v>0.10476957442719839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0.55010523148324952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0.30261576570523957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-0.21579108793246188</v>
      </c>
      <c r="H400" t="s">
        <v>17</v>
      </c>
      <c r="I400">
        <f>VLOOKUP(Table4[[#This Row],[Visitor]],'NHL Model'!$A$6:$B$38,2,FALSE)</f>
        <v>3.922199270086173E-4</v>
      </c>
      <c r="J400">
        <f>($B$1+Table4[[#This Row],[Home Differential]])-Table4[[#This Row],[Away Differential]]</f>
        <v>-7.9346730099337889E-2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0.46765314815371223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0.28339317067065339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-0.9803970267772969</v>
      </c>
      <c r="H401" t="s">
        <v>55</v>
      </c>
      <c r="I401">
        <f>VLOOKUP(Table4[[#This Row],[Visitor]],'NHL Model'!$A$6:$B$38,2,FALSE)</f>
        <v>0.27119018820614604</v>
      </c>
      <c r="J401">
        <f>($B$1+Table4[[#This Row],[Home Differential]])-Table4[[#This Row],[Away Differential]]</f>
        <v>-1.1147506372233105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0.56751989112133916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0.32207882681837663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0.1394237692045871</v>
      </c>
      <c r="H402" t="s">
        <v>33</v>
      </c>
      <c r="I402">
        <f>VLOOKUP(Table4[[#This Row],[Visitor]],'NHL Model'!$A$6:$B$38,2,FALSE)</f>
        <v>-0.3566847028170323</v>
      </c>
      <c r="J402">
        <f>($B$1+Table4[[#This Row],[Home Differential]])-Table4[[#This Row],[Away Differential]]</f>
        <v>0.63294504978175192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0.58027956397094371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0.17616524442042114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0.33829893848778331</v>
      </c>
      <c r="H403" t="s">
        <v>16</v>
      </c>
      <c r="I403">
        <f>VLOOKUP(Table4[[#This Row],[Visitor]],'NHL Model'!$A$6:$B$38,2,FALSE)</f>
        <v>-0.54997285633810766</v>
      </c>
      <c r="J403">
        <f>($B$1+Table4[[#This Row],[Home Differential]])-Table4[[#This Row],[Away Differential]]</f>
        <v>1.0251083725860237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0.68069190023341775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0.10195766257654565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-0.43286905189715857</v>
      </c>
      <c r="H404" t="s">
        <v>31</v>
      </c>
      <c r="I404">
        <f>VLOOKUP(Table4[[#This Row],[Visitor]],'NHL Model'!$A$6:$B$38,2,FALSE)</f>
        <v>-0.30466872127922601</v>
      </c>
      <c r="J404">
        <f>($B$1+Table4[[#This Row],[Home Differential]])-Table4[[#This Row],[Away Differential]]</f>
        <v>8.6362471422000708E-3</v>
      </c>
      <c r="K404" t="str">
        <f>IF(Table4[[#This Row],[HomeIce Differential]]&gt;0,Table4[[#This Row],[Home]],Table4[[#This Row],[Visitor]])</f>
        <v>Chicago Blackhawks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0.54083298302007643</v>
      </c>
      <c r="M404" t="str">
        <f>IF(OR((NHL2025_26Results[[#This Row],[Winning Team]]="")),"-",IF(Table4[[#This Row],[Predicted Winner]]=NHL2025_26Results[[#This Row],[Winning Team]],"YES","NO"))</f>
        <v>YES</v>
      </c>
      <c r="N404">
        <f>IF(Table4[[#This Row],[Adjusted Correct]]="-", "",IF(Table4[[#This Row],[Adjusted Correct]]="YES",(Table4[[#This Row],[Strength of Win]]-1)^2,(Table4[[#This Row],[Strength of Win]]-0)^2))</f>
        <v>0.21083434948224142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0.5231745585052443</v>
      </c>
      <c r="H405" t="s">
        <v>36</v>
      </c>
      <c r="I405">
        <f>VLOOKUP(Table4[[#This Row],[Visitor]],'NHL Model'!$A$6:$B$38,2,FALSE)</f>
        <v>-7.2312572939580336E-2</v>
      </c>
      <c r="J405">
        <f>($B$1+Table4[[#This Row],[Home Differential]])-Table4[[#This Row],[Away Differential]]</f>
        <v>0.73232370920495726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0.61501276009488692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0.14821517488975708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0.25279292855900759</v>
      </c>
      <c r="H406" t="s">
        <v>22</v>
      </c>
      <c r="I406">
        <f>VLOOKUP(Table4[[#This Row],[Visitor]],'NHL Model'!$A$6:$B$38,2,FALSE)</f>
        <v>0.34677881456804194</v>
      </c>
      <c r="J406">
        <f>($B$1+Table4[[#This Row],[Home Differential]])-Table4[[#This Row],[Away Differential]]</f>
        <v>4.2850691751098235E-2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0.56323846479533746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0.31723756822500859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0.13483877693289487</v>
      </c>
      <c r="H407" t="s">
        <v>40</v>
      </c>
      <c r="I407">
        <f>VLOOKUP(Table4[[#This Row],[Visitor]],'NHL Model'!$A$6:$B$38,2,FALSE)</f>
        <v>-0.16816097389287935</v>
      </c>
      <c r="J407">
        <f>($B$1+Table4[[#This Row],[Home Differential]])-Table4[[#This Row],[Away Differential]]</f>
        <v>0.43983632858590682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0.62881870041119692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0.13777555716443279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-0.27466957136179609</v>
      </c>
      <c r="H408" t="s">
        <v>28</v>
      </c>
      <c r="I408">
        <f>VLOOKUP(Table4[[#This Row],[Visitor]],'NHL Model'!$A$6:$B$38,2,FALSE)</f>
        <v>-0.29093210318822477</v>
      </c>
      <c r="J408">
        <f>($B$1+Table4[[#This Row],[Home Differential]])-Table4[[#This Row],[Away Differential]]</f>
        <v>0.15309910958656128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0.55726218939391525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0.31054114772809988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-7.417166684134277E-2</v>
      </c>
      <c r="H409" t="s">
        <v>14</v>
      </c>
      <c r="I409">
        <f>VLOOKUP(Table4[[#This Row],[Visitor]],'NHL Model'!$A$6:$B$38,2,FALSE)</f>
        <v>1.1343608350765873E-2</v>
      </c>
      <c r="J409">
        <f>($B$1+Table4[[#This Row],[Home Differential]])-Table4[[#This Row],[Away Differential]]</f>
        <v>5.1321302568023967E-2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0.52418080978698189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0.27476552134893611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-0.3566847028170323</v>
      </c>
      <c r="H410" t="s">
        <v>55</v>
      </c>
      <c r="I410">
        <f>VLOOKUP(Table4[[#This Row],[Visitor]],'NHL Model'!$A$6:$B$38,2,FALSE)</f>
        <v>0.27119018820614604</v>
      </c>
      <c r="J410">
        <f>($B$1+Table4[[#This Row],[Home Differential]])-Table4[[#This Row],[Away Differential]]</f>
        <v>-0.4910383132630457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0.50736161094283583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0.25741580425850952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-0.9803970267772969</v>
      </c>
      <c r="H411" t="s">
        <v>31</v>
      </c>
      <c r="I411">
        <f>VLOOKUP(Table4[[#This Row],[Visitor]],'NHL Model'!$A$6:$B$38,2,FALSE)</f>
        <v>-0.30466872127922601</v>
      </c>
      <c r="J411">
        <f>($B$1+Table4[[#This Row],[Home Differential]])-Table4[[#This Row],[Away Differential]]</f>
        <v>-0.53889172773793836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0.51197716687285144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0.23816628565344869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1.7070031799067014</v>
      </c>
      <c r="H412" t="s">
        <v>38</v>
      </c>
      <c r="I412">
        <f>VLOOKUP(Table4[[#This Row],[Visitor]],'NHL Model'!$A$6:$B$38,2,FALSE)</f>
        <v>-0.87254503056606192</v>
      </c>
      <c r="J412">
        <f>($B$1+Table4[[#This Row],[Home Differential]])-Table4[[#This Row],[Away Differential]]</f>
        <v>2.716384788232896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0.91447318207807893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7.3148365838494392E-3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-4.6015351177631898E-2</v>
      </c>
      <c r="H413" t="s">
        <v>21</v>
      </c>
      <c r="I413">
        <f>VLOOKUP(Table4[[#This Row],[Visitor]],'NHL Model'!$A$6:$B$38,2,FALSE)</f>
        <v>0.17390560158361429</v>
      </c>
      <c r="J413">
        <f>($B$1+Table4[[#This Row],[Home Differential]])-Table4[[#This Row],[Away Differential]]</f>
        <v>-8.308437500111357E-2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0.42619546953639881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0.18164257825335145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3.922199270086173E-4</v>
      </c>
      <c r="H414" t="s">
        <v>34</v>
      </c>
      <c r="I414">
        <f>VLOOKUP(Table4[[#This Row],[Visitor]],'NHL Model'!$A$6:$B$38,2,FALSE)</f>
        <v>0.32232840463649798</v>
      </c>
      <c r="J414">
        <f>($B$1+Table4[[#This Row],[Home Differential]])-Table4[[#This Row],[Away Differential]]</f>
        <v>-0.18509960694935676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0.52467583317508037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0.22593306356780402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-7.4962464446554744E-2</v>
      </c>
      <c r="H415" t="s">
        <v>19</v>
      </c>
      <c r="I415">
        <f>VLOOKUP(Table4[[#This Row],[Visitor]],'NHL Model'!$A$6:$B$38,2,FALSE)</f>
        <v>4.3410611683700091E-2</v>
      </c>
      <c r="J415">
        <f>($B$1+Table4[[#This Row],[Home Differential]])-Table4[[#This Row],[Away Differential]]</f>
        <v>1.8463501629877775E-2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0.54178084104074431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0.29352647971881624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-0.14985965438623808</v>
      </c>
      <c r="H416" t="s">
        <v>22</v>
      </c>
      <c r="I416">
        <f>VLOOKUP(Table4[[#This Row],[Visitor]],'NHL Model'!$A$6:$B$38,2,FALSE)</f>
        <v>0.34677881456804194</v>
      </c>
      <c r="J416">
        <f>($B$1+Table4[[#This Row],[Home Differential]])-Table4[[#This Row],[Away Differential]]</f>
        <v>-0.35980189119414741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0.49470359995739299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0.25532445189601832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6.8462291869218858E-2</v>
      </c>
      <c r="H417" t="s">
        <v>36</v>
      </c>
      <c r="I417">
        <f>VLOOKUP(Table4[[#This Row],[Visitor]],'NHL Model'!$A$6:$B$38,2,FALSE)</f>
        <v>-7.2312572939580336E-2</v>
      </c>
      <c r="J417">
        <f>($B$1+Table4[[#This Row],[Home Differential]])-Table4[[#This Row],[Away Differential]]</f>
        <v>0.27761144256893178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0.55785965090958822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0.31120739011296766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-0.48381480045860298</v>
      </c>
      <c r="H418" t="s">
        <v>16</v>
      </c>
      <c r="I418">
        <f>VLOOKUP(Table4[[#This Row],[Visitor]],'NHL Model'!$A$6:$B$38,2,FALSE)</f>
        <v>-0.54997285633810766</v>
      </c>
      <c r="J418">
        <f>($B$1+Table4[[#This Row],[Home Differential]])-Table4[[#This Row],[Away Differential]]</f>
        <v>0.20299463363963732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0.55957923160422263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0.19397045323432696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0.25279292855900759</v>
      </c>
      <c r="H419" t="s">
        <v>37</v>
      </c>
      <c r="I419">
        <f>VLOOKUP(Table4[[#This Row],[Visitor]],'NHL Model'!$A$6:$B$38,2,FALSE)</f>
        <v>0.98607049252714107</v>
      </c>
      <c r="J419">
        <f>($B$1+Table4[[#This Row],[Home Differential]])-Table4[[#This Row],[Away Differential]]</f>
        <v>-0.5964409862080009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0.60591500279730692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0.36713299061486043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-0.36341023830385849</v>
      </c>
      <c r="H420" t="s">
        <v>39</v>
      </c>
      <c r="I420">
        <f>VLOOKUP(Table4[[#This Row],[Visitor]],'NHL Model'!$A$6:$B$38,2,FALSE)</f>
        <v>0.5231745585052443</v>
      </c>
      <c r="J420">
        <f>($B$1+Table4[[#This Row],[Home Differential]])-Table4[[#This Row],[Away Differential]]</f>
        <v>-0.74974821904897015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0.58884361572968613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0.34673680378561028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0.1394237692045871</v>
      </c>
      <c r="H421" t="s">
        <v>10</v>
      </c>
      <c r="I421">
        <f>VLOOKUP(Table4[[#This Row],[Visitor]],'NHL Model'!$A$6:$B$38,2,FALSE)</f>
        <v>-0.43286905189715857</v>
      </c>
      <c r="J421">
        <f>($B$1+Table4[[#This Row],[Home Differential]])-Table4[[#This Row],[Away Differential]]</f>
        <v>0.70912939886187831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0.60839692502575005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0.15335296832928802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-0.30466872127922601</v>
      </c>
      <c r="H422" t="s">
        <v>55</v>
      </c>
      <c r="I422">
        <f>VLOOKUP(Table4[[#This Row],[Visitor]],'NHL Model'!$A$6:$B$38,2,FALSE)</f>
        <v>0.27119018820614604</v>
      </c>
      <c r="J422">
        <f>($B$1+Table4[[#This Row],[Home Differential]])-Table4[[#This Row],[Away Differential]]</f>
        <v>-0.43902233172523941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0.48006083020967749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0.2703367402822498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6.8462291869218858E-2</v>
      </c>
      <c r="H423" t="s">
        <v>40</v>
      </c>
      <c r="I423">
        <f>VLOOKUP(Table4[[#This Row],[Visitor]],'NHL Model'!$A$6:$B$38,2,FALSE)</f>
        <v>-0.16816097389287935</v>
      </c>
      <c r="J423">
        <f>($B$1+Table4[[#This Row],[Home Differential]])-Table4[[#This Row],[Away Differential]]</f>
        <v>0.37345984352223083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0.5767863273328242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0.17910981273243942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-0.27466957136179609</v>
      </c>
      <c r="H424" t="s">
        <v>39</v>
      </c>
      <c r="I424">
        <f>VLOOKUP(Table4[[#This Row],[Visitor]],'NHL Model'!$A$6:$B$38,2,FALSE)</f>
        <v>0.5231745585052443</v>
      </c>
      <c r="J424">
        <f>($B$1+Table4[[#This Row],[Home Differential]])-Table4[[#This Row],[Away Differential]]</f>
        <v>-0.66100755210690776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0.57777416986323282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0.17827465163468217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-7.417166684134277E-2</v>
      </c>
      <c r="H425" t="s">
        <v>23</v>
      </c>
      <c r="I425">
        <f>VLOOKUP(Table4[[#This Row],[Visitor]],'NHL Model'!$A$6:$B$38,2,FALSE)</f>
        <v>0.13483877693289487</v>
      </c>
      <c r="J425">
        <f>($B$1+Table4[[#This Row],[Home Differential]])-Table4[[#This Row],[Away Differential]]</f>
        <v>-7.2173866014105026E-2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0.4669613113072284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0.21805286625776626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-0.3566847028170323</v>
      </c>
      <c r="H426" t="s">
        <v>22</v>
      </c>
      <c r="I426">
        <f>VLOOKUP(Table4[[#This Row],[Visitor]],'NHL Model'!$A$6:$B$38,2,FALSE)</f>
        <v>0.34677881456804194</v>
      </c>
      <c r="J426">
        <f>($B$1+Table4[[#This Row],[Home Differential]])-Table4[[#This Row],[Away Differential]]</f>
        <v>-0.56662693962494159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0.51465228260074714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0.23556240678466503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0.17390560158361429</v>
      </c>
      <c r="H427" t="s">
        <v>35</v>
      </c>
      <c r="I427">
        <f>VLOOKUP(Table4[[#This Row],[Visitor]],'NHL Model'!$A$6:$B$38,2,FALSE)</f>
        <v>-0.9803970267772969</v>
      </c>
      <c r="J427">
        <f>($B$1+Table4[[#This Row],[Home Differential]])-Table4[[#This Row],[Away Differential]]</f>
        <v>1.2911392061210438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0.69057065130933937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9.5746521831126447E-2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0.33829893848778331</v>
      </c>
      <c r="H428" t="s">
        <v>19</v>
      </c>
      <c r="I428">
        <f>VLOOKUP(Table4[[#This Row],[Visitor]],'NHL Model'!$A$6:$B$38,2,FALSE)</f>
        <v>4.3410611683700091E-2</v>
      </c>
      <c r="J428">
        <f>($B$1+Table4[[#This Row],[Home Differential]])-Table4[[#This Row],[Away Differential]]</f>
        <v>0.43172490456421586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0.62345889785198316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0.38870099731080959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-0.29093210318822477</v>
      </c>
      <c r="H429" t="s">
        <v>26</v>
      </c>
      <c r="I429">
        <f>VLOOKUP(Table4[[#This Row],[Visitor]],'NHL Model'!$A$6:$B$38,2,FALSE)</f>
        <v>-4.6015351177631898E-2</v>
      </c>
      <c r="J429">
        <f>($B$1+Table4[[#This Row],[Home Differential]])-Table4[[#This Row],[Away Differential]]</f>
        <v>-0.10808017425046026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0.50182503674700085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0.25182836750612875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-0.54997285633810766</v>
      </c>
      <c r="H430" t="s">
        <v>34</v>
      </c>
      <c r="I430">
        <f>VLOOKUP(Table4[[#This Row],[Visitor]],'NHL Model'!$A$6:$B$38,2,FALSE)</f>
        <v>0.32232840463649798</v>
      </c>
      <c r="J430">
        <f>($B$1+Table4[[#This Row],[Home Differential]])-Table4[[#This Row],[Away Differential]]</f>
        <v>-0.73546468321447311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0.56820477455283103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0.32285666582463352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3.922199270086173E-4</v>
      </c>
      <c r="H431" t="s">
        <v>32</v>
      </c>
      <c r="I431">
        <f>VLOOKUP(Table4[[#This Row],[Visitor]],'NHL Model'!$A$6:$B$38,2,FALSE)</f>
        <v>-0.21579108793246188</v>
      </c>
      <c r="J431">
        <f>($B$1+Table4[[#This Row],[Home Differential]])-Table4[[#This Row],[Away Differential]]</f>
        <v>0.35301988561960307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0.56893318311312224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0.18581860062098499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-7.4962464446554744E-2</v>
      </c>
      <c r="H432" t="s">
        <v>29</v>
      </c>
      <c r="I432">
        <f>VLOOKUP(Table4[[#This Row],[Visitor]],'NHL Model'!$A$6:$B$38,2,FALSE)</f>
        <v>-0.48381480045860298</v>
      </c>
      <c r="J432">
        <f>($B$1+Table4[[#This Row],[Home Differential]])-Table4[[#This Row],[Away Differential]]</f>
        <v>0.54568891377218087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0.59263276883254501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0.35121359869412871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-0.14985965438623808</v>
      </c>
      <c r="H433" t="s">
        <v>10</v>
      </c>
      <c r="I433">
        <f>VLOOKUP(Table4[[#This Row],[Visitor]],'NHL Model'!$A$6:$B$38,2,FALSE)</f>
        <v>-0.43286905189715857</v>
      </c>
      <c r="J433">
        <f>($B$1+Table4[[#This Row],[Home Differential]])-Table4[[#This Row],[Away Differential]]</f>
        <v>0.41984597527105311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0.58049496994351857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0.33697441012972651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0.25279292855900759</v>
      </c>
      <c r="H434" t="s">
        <v>12</v>
      </c>
      <c r="I434">
        <f>VLOOKUP(Table4[[#This Row],[Visitor]],'NHL Model'!$A$6:$B$38,2,FALSE)</f>
        <v>1.7070031799067014</v>
      </c>
      <c r="J434">
        <f>($B$1+Table4[[#This Row],[Home Differential]])-Table4[[#This Row],[Away Differential]]</f>
        <v>-1.3173736735875612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0.63770157930994376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0.40666330425439651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-7.2312572939580336E-2</v>
      </c>
      <c r="H435" t="s">
        <v>15</v>
      </c>
      <c r="I435">
        <f>VLOOKUP(Table4[[#This Row],[Visitor]],'NHL Model'!$A$6:$B$38,2,FALSE)</f>
        <v>-0.36341023830385849</v>
      </c>
      <c r="J435">
        <f>($B$1+Table4[[#This Row],[Home Differential]])-Table4[[#This Row],[Away Differential]]</f>
        <v>0.42793424312441075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0.50865193017572663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0.2587267860714923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0.98607049252714107</v>
      </c>
      <c r="H436" t="s">
        <v>14</v>
      </c>
      <c r="I436">
        <f>VLOOKUP(Table4[[#This Row],[Visitor]],'NHL Model'!$A$6:$B$38,2,FALSE)</f>
        <v>1.1343608350765873E-2</v>
      </c>
      <c r="J436">
        <f>($B$1+Table4[[#This Row],[Home Differential]])-Table4[[#This Row],[Away Differential]]</f>
        <v>1.1115634619365078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0.64054581513066866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0.41029894128141275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-0.30466872127922601</v>
      </c>
      <c r="H437" t="s">
        <v>22</v>
      </c>
      <c r="I437">
        <f>VLOOKUP(Table4[[#This Row],[Visitor]],'NHL Model'!$A$6:$B$38,2,FALSE)</f>
        <v>0.34677881456804194</v>
      </c>
      <c r="J437">
        <f>($B$1+Table4[[#This Row],[Home Differential]])-Table4[[#This Row],[Away Differential]]</f>
        <v>-0.51461095808713531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0.48735150186758885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0.23751148637259445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0.5231745585052443</v>
      </c>
      <c r="H438" t="s">
        <v>33</v>
      </c>
      <c r="I438">
        <f>VLOOKUP(Table4[[#This Row],[Visitor]],'NHL Model'!$A$6:$B$38,2,FALSE)</f>
        <v>-0.3566847028170323</v>
      </c>
      <c r="J438">
        <f>($B$1+Table4[[#This Row],[Home Differential]])-Table4[[#This Row],[Away Differential]]</f>
        <v>1.0166958390824092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0.63139564634886813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0.13586916953056868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-0.27466957136179609</v>
      </c>
      <c r="H439" t="s">
        <v>20</v>
      </c>
      <c r="I439">
        <f>VLOOKUP(Table4[[#This Row],[Visitor]],'NHL Model'!$A$6:$B$38,2,FALSE)</f>
        <v>0.1394237692045871</v>
      </c>
      <c r="J439">
        <f>($B$1+Table4[[#This Row],[Home Differential]])-Table4[[#This Row],[Away Differential]]</f>
        <v>-0.27725676280625056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0.51563084888797628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0.23461347454898246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-0.87254503056606192</v>
      </c>
      <c r="H440" t="s">
        <v>55</v>
      </c>
      <c r="I440">
        <f>VLOOKUP(Table4[[#This Row],[Visitor]],'NHL Model'!$A$6:$B$38,2,FALSE)</f>
        <v>0.27119018820614604</v>
      </c>
      <c r="J440">
        <f>($B$1+Table4[[#This Row],[Home Differential]])-Table4[[#This Row],[Away Differential]]</f>
        <v>-1.0068986410120755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0.55711735399542583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0.19614503813201295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-0.16816097389287935</v>
      </c>
      <c r="H441" t="s">
        <v>23</v>
      </c>
      <c r="I441">
        <f>VLOOKUP(Table4[[#This Row],[Visitor]],'NHL Model'!$A$6:$B$38,2,FALSE)</f>
        <v>0.13483877693289487</v>
      </c>
      <c r="J441">
        <f>($B$1+Table4[[#This Row],[Home Differential]])-Table4[[#This Row],[Away Differential]]</f>
        <v>-0.1661631730656416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0.4760267648026606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0.22660148080848755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0.17390560158361429</v>
      </c>
      <c r="H442" t="s">
        <v>24</v>
      </c>
      <c r="I442">
        <f>VLOOKUP(Table4[[#This Row],[Visitor]],'NHL Model'!$A$6:$B$38,2,FALSE)</f>
        <v>-0.27466957136179609</v>
      </c>
      <c r="J442">
        <f>($B$1+Table4[[#This Row],[Home Differential]])-Table4[[#This Row],[Away Differential]]</f>
        <v>0.58541175070554297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0.61201967012542546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0.15052873636958367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0.33829893848778331</v>
      </c>
      <c r="H443" t="s">
        <v>29</v>
      </c>
      <c r="I443">
        <f>VLOOKUP(Table4[[#This Row],[Visitor]],'NHL Model'!$A$6:$B$38,2,FALSE)</f>
        <v>-0.48381480045860298</v>
      </c>
      <c r="J443">
        <f>($B$1+Table4[[#This Row],[Home Differential]])-Table4[[#This Row],[Away Differential]]</f>
        <v>0.95895031670651898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0.67431082564378386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0.10607343829283375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-0.54997285633810766</v>
      </c>
      <c r="H444" t="s">
        <v>55</v>
      </c>
      <c r="I444">
        <f>VLOOKUP(Table4[[#This Row],[Visitor]],'NHL Model'!$A$6:$B$38,2,FALSE)</f>
        <v>0.27119018820614604</v>
      </c>
      <c r="J444">
        <f>($B$1+Table4[[#This Row],[Home Differential]])-Table4[[#This Row],[Away Differential]]</f>
        <v>-0.68432646678412112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0.51198801295317997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0.2621317254077456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3.922199270086173E-4</v>
      </c>
      <c r="H445" t="s">
        <v>40</v>
      </c>
      <c r="I445">
        <f>VLOOKUP(Table4[[#This Row],[Visitor]],'NHL Model'!$A$6:$B$38,2,FALSE)</f>
        <v>-0.16816097389287935</v>
      </c>
      <c r="J445">
        <f>($B$1+Table4[[#This Row],[Home Differential]])-Table4[[#This Row],[Away Differential]]</f>
        <v>0.30538977158002056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0.57400989946452541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0.18146756575422374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-7.4962464446554744E-2</v>
      </c>
      <c r="H446" t="s">
        <v>28</v>
      </c>
      <c r="I446">
        <f>VLOOKUP(Table4[[#This Row],[Visitor]],'NHL Model'!$A$6:$B$38,2,FALSE)</f>
        <v>-0.29093210318822477</v>
      </c>
      <c r="J446">
        <f>($B$1+Table4[[#This Row],[Home Differential]])-Table4[[#This Row],[Away Differential]]</f>
        <v>0.35280621650180266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0.57402885337629683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0.18145141775591242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-0.14985965438623808</v>
      </c>
      <c r="H447" t="s">
        <v>10</v>
      </c>
      <c r="I447">
        <f>VLOOKUP(Table4[[#This Row],[Visitor]],'NHL Model'!$A$6:$B$38,2,FALSE)</f>
        <v>-0.43286905189715857</v>
      </c>
      <c r="J447">
        <f>($B$1+Table4[[#This Row],[Home Differential]])-Table4[[#This Row],[Away Differential]]</f>
        <v>0.41984597527105311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0.58049496994351857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0.1759844702426894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-0.36341023830385849</v>
      </c>
      <c r="H448" t="s">
        <v>12</v>
      </c>
      <c r="I448">
        <f>VLOOKUP(Table4[[#This Row],[Visitor]],'NHL Model'!$A$6:$B$38,2,FALSE)</f>
        <v>1.7070031799067014</v>
      </c>
      <c r="J448">
        <f>($B$1+Table4[[#This Row],[Home Differential]])-Table4[[#This Row],[Away Differential]]</f>
        <v>-1.9335768404504272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0.71639887835204719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8.042959619997693E-2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-7.2312572939580336E-2</v>
      </c>
      <c r="H449" t="s">
        <v>35</v>
      </c>
      <c r="I449">
        <f>VLOOKUP(Table4[[#This Row],[Visitor]],'NHL Model'!$A$6:$B$38,2,FALSE)</f>
        <v>-0.9803970267772969</v>
      </c>
      <c r="J449">
        <f>($B$1+Table4[[#This Row],[Home Differential]])-Table4[[#This Row],[Away Differential]]</f>
        <v>1.0449210315978492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0.64078468833859203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0.41060501680918654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-0.21579108793246188</v>
      </c>
      <c r="H450" t="s">
        <v>26</v>
      </c>
      <c r="I450">
        <f>VLOOKUP(Table4[[#This Row],[Visitor]],'NHL Model'!$A$6:$B$38,2,FALSE)</f>
        <v>-4.6015351177631898E-2</v>
      </c>
      <c r="J450">
        <f>($B$1+Table4[[#This Row],[Home Differential]])-Table4[[#This Row],[Away Differential]]</f>
        <v>-3.2939158994697369E-2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0.49457753806050492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0.2554518650329804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0.98607049252714107</v>
      </c>
      <c r="H451" t="s">
        <v>30</v>
      </c>
      <c r="I451">
        <f>VLOOKUP(Table4[[#This Row],[Visitor]],'NHL Model'!$A$6:$B$38,2,FALSE)</f>
        <v>0.25279292855900759</v>
      </c>
      <c r="J451">
        <f>($B$1+Table4[[#This Row],[Home Differential]])-Table4[[#This Row],[Away Differential]]</f>
        <v>0.87011414172826607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0.61725755338562427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0.3810068872116068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4.3410611683700091E-2</v>
      </c>
      <c r="H452" t="s">
        <v>18</v>
      </c>
      <c r="I452">
        <f>VLOOKUP(Table4[[#This Row],[Visitor]],'NHL Model'!$A$6:$B$38,2,FALSE)</f>
        <v>6.8462291869218858E-2</v>
      </c>
      <c r="J452">
        <f>($B$1+Table4[[#This Row],[Home Differential]])-Table4[[#This Row],[Away Differential]]</f>
        <v>0.11178489757461384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0.53202833211998879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0.2830541461783771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-0.87254503056606192</v>
      </c>
      <c r="H453" t="s">
        <v>34</v>
      </c>
      <c r="I453">
        <f>VLOOKUP(Table4[[#This Row],[Visitor]],'NHL Model'!$A$6:$B$38,2,FALSE)</f>
        <v>0.32232840463649798</v>
      </c>
      <c r="J453">
        <f>($B$1+Table4[[#This Row],[Home Differential]])-Table4[[#This Row],[Away Differential]]</f>
        <v>-1.0580368574424273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0.61345807542347097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0.376330810302269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-0.30466872127922601</v>
      </c>
      <c r="H454" t="s">
        <v>10</v>
      </c>
      <c r="I454">
        <f>VLOOKUP(Table4[[#This Row],[Visitor]],'NHL Model'!$A$6:$B$38,2,FALSE)</f>
        <v>-0.43286905189715857</v>
      </c>
      <c r="J454">
        <f>($B$1+Table4[[#This Row],[Home Differential]])-Table4[[#This Row],[Away Differential]]</f>
        <v>0.26503690837806515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0.58784706803332254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0.16987003932872866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0.33829893848778331</v>
      </c>
      <c r="H455" t="s">
        <v>33</v>
      </c>
      <c r="I455">
        <f>VLOOKUP(Table4[[#This Row],[Visitor]],'NHL Model'!$A$6:$B$38,2,FALSE)</f>
        <v>-0.3566847028170323</v>
      </c>
      <c r="J455">
        <f>($B$1+Table4[[#This Row],[Home Differential]])-Table4[[#This Row],[Away Differential]]</f>
        <v>0.83182021906494819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0.64163420467820664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0.41169445261303478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0.5231745585052443</v>
      </c>
      <c r="H456" t="s">
        <v>14</v>
      </c>
      <c r="I456">
        <f>VLOOKUP(Table4[[#This Row],[Visitor]],'NHL Model'!$A$6:$B$38,2,FALSE)</f>
        <v>1.1343608350765873E-2</v>
      </c>
      <c r="J456">
        <f>($B$1+Table4[[#This Row],[Home Differential]])-Table4[[#This Row],[Away Differential]]</f>
        <v>0.64866752791461102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0.59589859200773199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0.16329794794133345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-7.4962464446554744E-2</v>
      </c>
      <c r="H457" t="s">
        <v>30</v>
      </c>
      <c r="I457">
        <f>VLOOKUP(Table4[[#This Row],[Visitor]],'NHL Model'!$A$6:$B$38,2,FALSE)</f>
        <v>0.25279292855900759</v>
      </c>
      <c r="J457">
        <f>($B$1+Table4[[#This Row],[Home Differential]])-Table4[[#This Row],[Away Differential]]</f>
        <v>-0.19091881524542972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0.49918372594219157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0.24918439224552902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6.8462291869218858E-2</v>
      </c>
      <c r="H458" t="s">
        <v>35</v>
      </c>
      <c r="I458">
        <f>VLOOKUP(Table4[[#This Row],[Visitor]],'NHL Model'!$A$6:$B$38,2,FALSE)</f>
        <v>-0.9803970267772969</v>
      </c>
      <c r="J458">
        <f>($B$1+Table4[[#This Row],[Home Differential]])-Table4[[#This Row],[Away Differential]]</f>
        <v>1.1856958964066484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0.65512809189865528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0.42919281679477295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-0.36341023830385849</v>
      </c>
      <c r="H459" t="s">
        <v>20</v>
      </c>
      <c r="I459">
        <f>VLOOKUP(Table4[[#This Row],[Visitor]],'NHL Model'!$A$6:$B$38,2,FALSE)</f>
        <v>0.1394237692045871</v>
      </c>
      <c r="J459">
        <f>($B$1+Table4[[#This Row],[Home Differential]])-Table4[[#This Row],[Away Differential]]</f>
        <v>-0.36599742974831295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0.52670166323498246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0.22401131558453194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-7.417166684134277E-2</v>
      </c>
      <c r="H460" t="s">
        <v>12</v>
      </c>
      <c r="I460">
        <f>VLOOKUP(Table4[[#This Row],[Visitor]],'NHL Model'!$A$6:$B$38,2,FALSE)</f>
        <v>1.7070031799067014</v>
      </c>
      <c r="J460">
        <f>($B$1+Table4[[#This Row],[Home Differential]])-Table4[[#This Row],[Away Differential]]</f>
        <v>-1.6443382689879116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0.68850124934579293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9.7031471659131868E-2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0.34677881456804194</v>
      </c>
      <c r="H461" t="s">
        <v>28</v>
      </c>
      <c r="I461">
        <f>VLOOKUP(Table4[[#This Row],[Visitor]],'NHL Model'!$A$6:$B$38,2,FALSE)</f>
        <v>-0.29093210318822477</v>
      </c>
      <c r="J461">
        <f>($B$1+Table4[[#This Row],[Home Differential]])-Table4[[#This Row],[Away Differential]]</f>
        <v>0.77454749551639934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0.62372623693613904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0.14158194477023858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-0.54997285633810766</v>
      </c>
      <c r="H462" t="s">
        <v>23</v>
      </c>
      <c r="I462">
        <f>VLOOKUP(Table4[[#This Row],[Visitor]],'NHL Model'!$A$6:$B$38,2,FALSE)</f>
        <v>0.13483877693289487</v>
      </c>
      <c r="J462">
        <f>($B$1+Table4[[#This Row],[Home Differential]])-Table4[[#This Row],[Away Differential]]</f>
        <v>-0.54797505551087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0.49883665120033266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0.24883800458076236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-0.21579108793246188</v>
      </c>
      <c r="H463" t="s">
        <v>34</v>
      </c>
      <c r="I463">
        <f>VLOOKUP(Table4[[#This Row],[Visitor]],'NHL Model'!$A$6:$B$38,2,FALSE)</f>
        <v>0.32232840463649798</v>
      </c>
      <c r="J463">
        <f>($B$1+Table4[[#This Row],[Home Differential]])-Table4[[#This Row],[Away Differential]]</f>
        <v>-0.40128291480882727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0.55011286614746202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0.20239843320605141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4.3410611683700091E-2</v>
      </c>
      <c r="H464" t="s">
        <v>37</v>
      </c>
      <c r="I464">
        <f>VLOOKUP(Table4[[#This Row],[Visitor]],'NHL Model'!$A$6:$B$38,2,FALSE)</f>
        <v>0.98607049252714107</v>
      </c>
      <c r="J464">
        <f>($B$1+Table4[[#This Row],[Home Differential]])-Table4[[#This Row],[Away Differential]]</f>
        <v>-0.80582330308330841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0.61283220107459091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0.37556330667392784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0.27119018820614604</v>
      </c>
      <c r="H465" t="s">
        <v>13</v>
      </c>
      <c r="I465">
        <f>VLOOKUP(Table4[[#This Row],[Visitor]],'NHL Model'!$A$6:$B$38,2,FALSE)</f>
        <v>-0.14985965438623808</v>
      </c>
      <c r="J465">
        <f>($B$1+Table4[[#This Row],[Home Differential]])-Table4[[#This Row],[Away Differential]]</f>
        <v>0.55788642035251668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0.57653651505593195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0.33239435319283883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-0.87254503056606192</v>
      </c>
      <c r="H466" t="s">
        <v>26</v>
      </c>
      <c r="I466">
        <f>VLOOKUP(Table4[[#This Row],[Visitor]],'NHL Model'!$A$6:$B$38,2,FALSE)</f>
        <v>-4.6015351177631898E-2</v>
      </c>
      <c r="J466">
        <f>($B$1+Table4[[#This Row],[Home Differential]])-Table4[[#This Row],[Away Differential]]</f>
        <v>-0.68969310162829744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0.55792274733651381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0.19543229732249581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0.33829893848778331</v>
      </c>
      <c r="H467" t="s">
        <v>28</v>
      </c>
      <c r="I467">
        <f>VLOOKUP(Table4[[#This Row],[Visitor]],'NHL Model'!$A$6:$B$38,2,FALSE)</f>
        <v>-0.29093210318822477</v>
      </c>
      <c r="J467">
        <f>($B$1+Table4[[#This Row],[Home Differential]])-Table4[[#This Row],[Away Differential]]</f>
        <v>0.76606761943614066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0.65570691018753569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0.11853773169261361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3.922199270086173E-4</v>
      </c>
      <c r="H468" t="s">
        <v>23</v>
      </c>
      <c r="I468">
        <f>VLOOKUP(Table4[[#This Row],[Visitor]],'NHL Model'!$A$6:$B$38,2,FALSE)</f>
        <v>0.13483877693289487</v>
      </c>
      <c r="J468">
        <f>($B$1+Table4[[#This Row],[Home Differential]])-Table4[[#This Row],[Away Differential]]</f>
        <v>2.3900207542463525E-3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0.54478497764727607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0.29679067187014307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6.8462291869218858E-2</v>
      </c>
      <c r="H469" t="s">
        <v>37</v>
      </c>
      <c r="I469">
        <f>VLOOKUP(Table4[[#This Row],[Visitor]],'NHL Model'!$A$6:$B$38,2,FALSE)</f>
        <v>0.98607049252714107</v>
      </c>
      <c r="J469">
        <f>($B$1+Table4[[#This Row],[Home Differential]])-Table4[[#This Row],[Away Differential]]</f>
        <v>-0.78077162289778967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0.64197362508537248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0.12818288513450943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-0.48381480045860298</v>
      </c>
      <c r="H470" t="s">
        <v>12</v>
      </c>
      <c r="I470">
        <f>VLOOKUP(Table4[[#This Row],[Visitor]],'NHL Model'!$A$6:$B$38,2,FALSE)</f>
        <v>1.7070031799067014</v>
      </c>
      <c r="J470">
        <f>($B$1+Table4[[#This Row],[Home Differential]])-Table4[[#This Row],[Away Differential]]</f>
        <v>-2.0539814026051717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0.72801213514787821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0.5300016689225725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0.25279292855900759</v>
      </c>
      <c r="H471" t="s">
        <v>20</v>
      </c>
      <c r="I471">
        <f>VLOOKUP(Table4[[#This Row],[Visitor]],'NHL Model'!$A$6:$B$38,2,FALSE)</f>
        <v>0.1394237692045871</v>
      </c>
      <c r="J471">
        <f>($B$1+Table4[[#This Row],[Home Differential]])-Table4[[#This Row],[Away Differential]]</f>
        <v>0.25020573711455307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0.55200168783420001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0.20070248770340557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-7.2312572939580336E-2</v>
      </c>
      <c r="H472" t="s">
        <v>24</v>
      </c>
      <c r="I472">
        <f>VLOOKUP(Table4[[#This Row],[Visitor]],'NHL Model'!$A$6:$B$38,2,FALSE)</f>
        <v>-0.27466957136179609</v>
      </c>
      <c r="J472">
        <f>($B$1+Table4[[#This Row],[Home Differential]])-Table4[[#This Row],[Away Differential]]</f>
        <v>0.33919357618234836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0.56212765215406146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0.31598749731623754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-7.417166684134277E-2</v>
      </c>
      <c r="H473" t="s">
        <v>33</v>
      </c>
      <c r="I473">
        <f>VLOOKUP(Table4[[#This Row],[Visitor]],'NHL Model'!$A$6:$B$38,2,FALSE)</f>
        <v>-0.3566847028170323</v>
      </c>
      <c r="J473">
        <f>($B$1+Table4[[#This Row],[Home Differential]])-Table4[[#This Row],[Away Differential]]</f>
        <v>0.41934961373582214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0.55967786412811804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0.19388358333877609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1.1343608350765873E-2</v>
      </c>
      <c r="H474" t="s">
        <v>31</v>
      </c>
      <c r="I474">
        <f>VLOOKUP(Table4[[#This Row],[Visitor]],'NHL Model'!$A$6:$B$38,2,FALSE)</f>
        <v>-0.30466872127922601</v>
      </c>
      <c r="J474">
        <f>($B$1+Table4[[#This Row],[Home Differential]])-Table4[[#This Row],[Away Differential]]</f>
        <v>0.45284890739012451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0.58367816764678815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0.34068020338751215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-0.9803970267772969</v>
      </c>
      <c r="H475" t="s">
        <v>21</v>
      </c>
      <c r="I475">
        <f>VLOOKUP(Table4[[#This Row],[Visitor]],'NHL Model'!$A$6:$B$38,2,FALSE)</f>
        <v>0.17390560158361429</v>
      </c>
      <c r="J475">
        <f>($B$1+Table4[[#This Row],[Home Differential]])-Table4[[#This Row],[Away Differential]]</f>
        <v>-1.0174660506007787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0.55813660143110533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0.19524326299485387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-0.16816097389287935</v>
      </c>
      <c r="H476" t="s">
        <v>39</v>
      </c>
      <c r="I476">
        <f>VLOOKUP(Table4[[#This Row],[Visitor]],'NHL Model'!$A$6:$B$38,2,FALSE)</f>
        <v>0.5231745585052443</v>
      </c>
      <c r="J476">
        <f>($B$1+Table4[[#This Row],[Home Differential]])-Table4[[#This Row],[Away Differential]]</f>
        <v>-0.55449895463799104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0.57001144021886418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0.18489016154265542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-0.54997285633810766</v>
      </c>
      <c r="H477" t="s">
        <v>26</v>
      </c>
      <c r="I477">
        <f>VLOOKUP(Table4[[#This Row],[Visitor]],'NHL Model'!$A$6:$B$38,2,FALSE)</f>
        <v>-4.6015351177631898E-2</v>
      </c>
      <c r="J477">
        <f>($B$1+Table4[[#This Row],[Home Differential]])-Table4[[#This Row],[Away Differential]]</f>
        <v>-0.36712092740034319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0.51268226266511896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0.23747857712118811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-0.43286905189715857</v>
      </c>
      <c r="H478" t="s">
        <v>15</v>
      </c>
      <c r="I478">
        <f>VLOOKUP(Table4[[#This Row],[Visitor]],'NHL Model'!$A$6:$B$38,2,FALSE)</f>
        <v>-0.36341023830385849</v>
      </c>
      <c r="J478">
        <f>($B$1+Table4[[#This Row],[Home Differential]])-Table4[[#This Row],[Away Differential]]</f>
        <v>6.7377764166832554E-2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0.47387554874465121</v>
      </c>
      <c r="M478" t="str">
        <f>IF(OR((NHL2025_26Results[[#This Row],[Winning Team]]="")),"-",IF(Table4[[#This Row],[Predicted Winner]]=NHL2025_26Results[[#This Row],[Winning Team]],"YES","NO"))</f>
        <v>YES</v>
      </c>
      <c r="N478">
        <f>IF(Table4[[#This Row],[Adjusted Correct]]="-", "",IF(Table4[[#This Row],[Adjusted Correct]]="YES",(Table4[[#This Row],[Strength of Win]]-1)^2,(Table4[[#This Row],[Strength of Win]]-0)^2))</f>
        <v>0.27680693820874186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-0.21579108793246188</v>
      </c>
      <c r="H479" t="s">
        <v>13</v>
      </c>
      <c r="I479">
        <f>VLOOKUP(Table4[[#This Row],[Visitor]],'NHL Model'!$A$6:$B$38,2,FALSE)</f>
        <v>-0.14985965438623808</v>
      </c>
      <c r="J479">
        <f>($B$1+Table4[[#This Row],[Home Differential]])-Table4[[#This Row],[Away Differential]]</f>
        <v>7.0905144213908811E-2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0.51543844919416204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0.23479989651935868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0.27119018820614604</v>
      </c>
      <c r="H480" t="s">
        <v>11</v>
      </c>
      <c r="I480">
        <f>VLOOKUP(Table4[[#This Row],[Visitor]],'NHL Model'!$A$6:$B$38,2,FALSE)</f>
        <v>-7.4962464446554744E-2</v>
      </c>
      <c r="J480">
        <f>($B$1+Table4[[#This Row],[Home Differential]])-Table4[[#This Row],[Away Differential]]</f>
        <v>0.48298923041283337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0.56713320627886177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0.32164007366414199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-0.29093210318822477</v>
      </c>
      <c r="H481" t="s">
        <v>36</v>
      </c>
      <c r="I481">
        <f>VLOOKUP(Table4[[#This Row],[Visitor]],'NHL Model'!$A$6:$B$38,2,FALSE)</f>
        <v>-7.2312572939580336E-2</v>
      </c>
      <c r="J481">
        <f>($B$1+Table4[[#This Row],[Home Differential]])-Table4[[#This Row],[Away Differential]]</f>
        <v>-8.178295248851182E-2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0.47757215733694297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0.27293085078957591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1.7070031799067014</v>
      </c>
      <c r="H482" t="s">
        <v>11</v>
      </c>
      <c r="I482">
        <f>VLOOKUP(Table4[[#This Row],[Visitor]],'NHL Model'!$A$6:$B$38,2,FALSE)</f>
        <v>-7.4962464446554744E-2</v>
      </c>
      <c r="J482">
        <f>($B$1+Table4[[#This Row],[Home Differential]])-Table4[[#This Row],[Away Differential]]</f>
        <v>1.9188022221133887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0.80641476056310846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3.747524492783863E-2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3.922199270086173E-4</v>
      </c>
      <c r="H483" t="s">
        <v>26</v>
      </c>
      <c r="I483">
        <f>VLOOKUP(Table4[[#This Row],[Visitor]],'NHL Model'!$A$6:$B$38,2,FALSE)</f>
        <v>-4.6015351177631898E-2</v>
      </c>
      <c r="J483">
        <f>($B$1+Table4[[#This Row],[Home Differential]])-Table4[[#This Row],[Away Differential]]</f>
        <v>0.18324414886477311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0.53085884268678651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0.22009342548518132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0.32232840463649798</v>
      </c>
      <c r="H484" t="s">
        <v>39</v>
      </c>
      <c r="I484">
        <f>VLOOKUP(Table4[[#This Row],[Visitor]],'NHL Model'!$A$6:$B$38,2,FALSE)</f>
        <v>0.5231745585052443</v>
      </c>
      <c r="J484">
        <f>($B$1+Table4[[#This Row],[Home Differential]])-Table4[[#This Row],[Away Differential]]</f>
        <v>-6.4009576108613686E-2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0.52193316181165506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0.2724142253987113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-0.27466957136179609</v>
      </c>
      <c r="H485" t="s">
        <v>37</v>
      </c>
      <c r="I485">
        <f>VLOOKUP(Table4[[#This Row],[Visitor]],'NHL Model'!$A$6:$B$38,2,FALSE)</f>
        <v>0.98607049252714107</v>
      </c>
      <c r="J485">
        <f>($B$1+Table4[[#This Row],[Home Differential]])-Table4[[#This Row],[Away Differential]]</f>
        <v>-1.1239034861288046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0.67335738417684066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0.10669539847179607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-0.48381480045860298</v>
      </c>
      <c r="H486" t="s">
        <v>35</v>
      </c>
      <c r="I486">
        <f>VLOOKUP(Table4[[#This Row],[Visitor]],'NHL Model'!$A$6:$B$38,2,FALSE)</f>
        <v>-0.9803970267772969</v>
      </c>
      <c r="J486">
        <f>($B$1+Table4[[#This Row],[Home Differential]])-Table4[[#This Row],[Away Differential]]</f>
        <v>0.63341880407882656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0.60109448927376685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0.15912560648775692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0.25279292855900759</v>
      </c>
      <c r="H487" t="s">
        <v>31</v>
      </c>
      <c r="I487">
        <f>VLOOKUP(Table4[[#This Row],[Visitor]],'NHL Model'!$A$6:$B$38,2,FALSE)</f>
        <v>-0.30466872127922601</v>
      </c>
      <c r="J487">
        <f>($B$1+Table4[[#This Row],[Home Differential]])-Table4[[#This Row],[Away Differential]]</f>
        <v>0.69429822759836624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0.62607186070173659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0.13982225335906148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-7.417166684134277E-2</v>
      </c>
      <c r="H488" t="s">
        <v>20</v>
      </c>
      <c r="I488">
        <f>VLOOKUP(Table4[[#This Row],[Visitor]],'NHL Model'!$A$6:$B$38,2,FALSE)</f>
        <v>0.1394237692045871</v>
      </c>
      <c r="J488">
        <f>($B$1+Table4[[#This Row],[Home Differential]])-Table4[[#This Row],[Away Differential]]</f>
        <v>-7.675885828579726E-2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0.49880403422872827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0.25119739610539771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1.1343608350765873E-2</v>
      </c>
      <c r="H489" t="s">
        <v>18</v>
      </c>
      <c r="I489">
        <f>VLOOKUP(Table4[[#This Row],[Visitor]],'NHL Model'!$A$6:$B$38,2,FALSE)</f>
        <v>6.8462291869218858E-2</v>
      </c>
      <c r="J489">
        <f>($B$1+Table4[[#This Row],[Home Differential]])-Table4[[#This Row],[Away Differential]]</f>
        <v>7.9717894241679618E-2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0.49628060777528632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0.24629444165380759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4.3410611683700091E-2</v>
      </c>
      <c r="H490" t="s">
        <v>33</v>
      </c>
      <c r="I490">
        <f>VLOOKUP(Table4[[#This Row],[Visitor]],'NHL Model'!$A$6:$B$38,2,FALSE)</f>
        <v>-0.3566847028170323</v>
      </c>
      <c r="J490">
        <f>($B$1+Table4[[#This Row],[Home Differential]])-Table4[[#This Row],[Away Differential]]</f>
        <v>0.53693189226086502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0.60351227481809866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0.36422706585611625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-0.87254503056606192</v>
      </c>
      <c r="H491" t="s">
        <v>23</v>
      </c>
      <c r="I491">
        <f>VLOOKUP(Table4[[#This Row],[Visitor]],'NHL Model'!$A$6:$B$38,2,FALSE)</f>
        <v>0.13483877693289487</v>
      </c>
      <c r="J491">
        <f>($B$1+Table4[[#This Row],[Home Differential]])-Table4[[#This Row],[Away Differential]]</f>
        <v>-0.87054722973882415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0.54396599224257836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0.2079670162312961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-0.16816097389287935</v>
      </c>
      <c r="H492" t="s">
        <v>21</v>
      </c>
      <c r="I492">
        <f>VLOOKUP(Table4[[#This Row],[Visitor]],'NHL Model'!$A$6:$B$38,2,FALSE)</f>
        <v>0.17390560158361429</v>
      </c>
      <c r="J492">
        <f>($B$1+Table4[[#This Row],[Home Differential]])-Table4[[#This Row],[Away Differential]]</f>
        <v>-0.20522999771636102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0.47979483686527413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0.27061341175202674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0.34677881456804194</v>
      </c>
      <c r="H493" t="s">
        <v>25</v>
      </c>
      <c r="I493">
        <f>VLOOKUP(Table4[[#This Row],[Visitor]],'NHL Model'!$A$6:$B$38,2,FALSE)</f>
        <v>0.33829893848778331</v>
      </c>
      <c r="J493">
        <f>($B$1+Table4[[#This Row],[Home Differential]])-Table4[[#This Row],[Away Differential]]</f>
        <v>0.14531645384039121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0.52059500510665768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0.27101915934200094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-0.9803970267772969</v>
      </c>
      <c r="H494" t="s">
        <v>10</v>
      </c>
      <c r="I494">
        <f>VLOOKUP(Table4[[#This Row],[Visitor]],'NHL Model'!$A$6:$B$38,2,FALSE)</f>
        <v>-0.43286905189715857</v>
      </c>
      <c r="J494">
        <f>($B$1+Table4[[#This Row],[Home Differential]])-Table4[[#This Row],[Away Differential]]</f>
        <v>-0.41069139712000574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0.49961199287833907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0.24961214342786553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0.27119018820614604</v>
      </c>
      <c r="H495" t="s">
        <v>32</v>
      </c>
      <c r="I495">
        <f>VLOOKUP(Table4[[#This Row],[Visitor]],'NHL Model'!$A$6:$B$38,2,FALSE)</f>
        <v>-0.21579108793246188</v>
      </c>
      <c r="J495">
        <f>($B$1+Table4[[#This Row],[Home Differential]])-Table4[[#This Row],[Away Differential]]</f>
        <v>0.62381785389874045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0.6045471569734463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0.15638295105778413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-0.29093210318822477</v>
      </c>
      <c r="H496" t="s">
        <v>20</v>
      </c>
      <c r="I496">
        <f>VLOOKUP(Table4[[#This Row],[Visitor]],'NHL Model'!$A$6:$B$38,2,FALSE)</f>
        <v>0.1394237692045871</v>
      </c>
      <c r="J496">
        <f>($B$1+Table4[[#This Row],[Home Differential]])-Table4[[#This Row],[Away Differential]]</f>
        <v>-0.29351929463267923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0.51971100457456532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0.23067751912677323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-0.43286905189715857</v>
      </c>
      <c r="H497" t="s">
        <v>26</v>
      </c>
      <c r="I497">
        <f>VLOOKUP(Table4[[#This Row],[Visitor]],'NHL Model'!$A$6:$B$38,2,FALSE)</f>
        <v>-4.6015351177631898E-2</v>
      </c>
      <c r="J497">
        <f>($B$1+Table4[[#This Row],[Home Differential]])-Table4[[#This Row],[Away Differential]]</f>
        <v>-0.25001712295939404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0.51551513456949938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0.23472558483121031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1.7070031799067014</v>
      </c>
      <c r="H498" t="s">
        <v>29</v>
      </c>
      <c r="I498">
        <f>VLOOKUP(Table4[[#This Row],[Visitor]],'NHL Model'!$A$6:$B$38,2,FALSE)</f>
        <v>-0.48381480045860298</v>
      </c>
      <c r="J498">
        <f>($B$1+Table4[[#This Row],[Home Differential]])-Table4[[#This Row],[Away Differential]]</f>
        <v>2.3276545581254369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0.87697938694481414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1.5134071236473765E-2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0.5231745585052443</v>
      </c>
      <c r="H499" t="s">
        <v>11</v>
      </c>
      <c r="I499">
        <f>VLOOKUP(Table4[[#This Row],[Visitor]],'NHL Model'!$A$6:$B$38,2,FALSE)</f>
        <v>-7.4962464446554744E-2</v>
      </c>
      <c r="J499">
        <f>($B$1+Table4[[#This Row],[Home Differential]])-Table4[[#This Row],[Away Differential]]</f>
        <v>0.73497360071193163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0.5914375943223833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0.34979842797784805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-0.14985965438623808</v>
      </c>
      <c r="H500" t="s">
        <v>16</v>
      </c>
      <c r="I500">
        <f>VLOOKUP(Table4[[#This Row],[Visitor]],'NHL Model'!$A$6:$B$38,2,FALSE)</f>
        <v>-0.54997285633810766</v>
      </c>
      <c r="J500">
        <f>($B$1+Table4[[#This Row],[Home Differential]])-Table4[[#This Row],[Away Differential]]</f>
        <v>0.5369497797120022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0.5917898621669021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0.35021524096352097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0.32232840463649798</v>
      </c>
      <c r="H501" t="s">
        <v>36</v>
      </c>
      <c r="I501">
        <f>VLOOKUP(Table4[[#This Row],[Visitor]],'NHL Model'!$A$6:$B$38,2,FALSE)</f>
        <v>-7.2312572939580336E-2</v>
      </c>
      <c r="J501">
        <f>($B$1+Table4[[#This Row],[Home Differential]])-Table4[[#This Row],[Away Differential]]</f>
        <v>0.53147755533621099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0.58234553671461919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0.17443525070219951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-0.27466957136179609</v>
      </c>
      <c r="H502" t="s">
        <v>31</v>
      </c>
      <c r="I502">
        <f>VLOOKUP(Table4[[#This Row],[Visitor]],'NHL Model'!$A$6:$B$38,2,FALSE)</f>
        <v>-0.30466872127922601</v>
      </c>
      <c r="J502">
        <f>($B$1+Table4[[#This Row],[Home Differential]])-Table4[[#This Row],[Away Differential]]</f>
        <v>0.16683572767756252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0.55858711322190135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0.19484533661377454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0.25279292855900759</v>
      </c>
      <c r="H503" t="s">
        <v>37</v>
      </c>
      <c r="I503">
        <f>VLOOKUP(Table4[[#This Row],[Visitor]],'NHL Model'!$A$6:$B$38,2,FALSE)</f>
        <v>0.98607049252714107</v>
      </c>
      <c r="J503">
        <f>($B$1+Table4[[#This Row],[Home Differential]])-Table4[[#This Row],[Away Differential]]</f>
        <v>-0.5964409862080009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0.60591500279730692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0.36713299061486043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-0.36341023830385849</v>
      </c>
      <c r="H504" t="s">
        <v>18</v>
      </c>
      <c r="I504">
        <f>VLOOKUP(Table4[[#This Row],[Visitor]],'NHL Model'!$A$6:$B$38,2,FALSE)</f>
        <v>6.8462291869218858E-2</v>
      </c>
      <c r="J504">
        <f>($B$1+Table4[[#This Row],[Home Differential]])-Table4[[#This Row],[Away Differential]]</f>
        <v>-0.29503595241294472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0.53986513768934419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0.29145436689233456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-7.417166684134277E-2</v>
      </c>
      <c r="H505" t="s">
        <v>25</v>
      </c>
      <c r="I505">
        <f>VLOOKUP(Table4[[#This Row],[Visitor]],'NHL Model'!$A$6:$B$38,2,FALSE)</f>
        <v>0.33829893848778331</v>
      </c>
      <c r="J505">
        <f>($B$1+Table4[[#This Row],[Home Differential]])-Table4[[#This Row],[Away Differential]]</f>
        <v>-0.27563402756899347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0.52909800680840957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0.22174868719181268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1.1343608350765873E-2</v>
      </c>
      <c r="H506" t="s">
        <v>33</v>
      </c>
      <c r="I506">
        <f>VLOOKUP(Table4[[#This Row],[Visitor]],'NHL Model'!$A$6:$B$38,2,FALSE)</f>
        <v>-0.3566847028170323</v>
      </c>
      <c r="J506">
        <f>($B$1+Table4[[#This Row],[Home Differential]])-Table4[[#This Row],[Away Differential]]</f>
        <v>0.5048648889279308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0.56792598058649413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0.32253991942513088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4.3410611683700091E-2</v>
      </c>
      <c r="H507" t="s">
        <v>17</v>
      </c>
      <c r="I507">
        <f>VLOOKUP(Table4[[#This Row],[Visitor]],'NHL Model'!$A$6:$B$38,2,FALSE)</f>
        <v>3.922199270086173E-4</v>
      </c>
      <c r="J507">
        <f>($B$1+Table4[[#This Row],[Home Differential]])-Table4[[#This Row],[Away Differential]]</f>
        <v>0.17985496951682409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0.58959343130364195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0.34762041423640233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-0.16816097389287935</v>
      </c>
      <c r="H508" t="s">
        <v>22</v>
      </c>
      <c r="I508">
        <f>VLOOKUP(Table4[[#This Row],[Visitor]],'NHL Model'!$A$6:$B$38,2,FALSE)</f>
        <v>0.34677881456804194</v>
      </c>
      <c r="J508">
        <f>($B$1+Table4[[#This Row],[Home Differential]])-Table4[[#This Row],[Away Differential]]</f>
        <v>-0.37810321070078867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0.49646879821341938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0.24648126759947694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0.33829893848778331</v>
      </c>
      <c r="H509" t="s">
        <v>27</v>
      </c>
      <c r="I509">
        <f>VLOOKUP(Table4[[#This Row],[Visitor]],'NHL Model'!$A$6:$B$38,2,FALSE)</f>
        <v>-7.417166684134277E-2</v>
      </c>
      <c r="J509">
        <f>($B$1+Table4[[#This Row],[Home Differential]])-Table4[[#This Row],[Away Differential]]</f>
        <v>0.54930718308925874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0.62636059761396046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0.13960640301539678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0.32232840463649798</v>
      </c>
      <c r="H510" t="s">
        <v>21</v>
      </c>
      <c r="I510">
        <f>VLOOKUP(Table4[[#This Row],[Visitor]],'NHL Model'!$A$6:$B$38,2,FALSE)</f>
        <v>0.17390560158361429</v>
      </c>
      <c r="J510">
        <f>($B$1+Table4[[#This Row],[Home Differential]])-Table4[[#This Row],[Away Differential]]</f>
        <v>0.28525938081301633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0.56827921925799219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0.18638283252448878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6.8462291869218858E-2</v>
      </c>
      <c r="H511" t="s">
        <v>17</v>
      </c>
      <c r="I511">
        <f>VLOOKUP(Table4[[#This Row],[Visitor]],'NHL Model'!$A$6:$B$38,2,FALSE)</f>
        <v>3.922199270086173E-4</v>
      </c>
      <c r="J511">
        <f>($B$1+Table4[[#This Row],[Home Differential]])-Table4[[#This Row],[Away Differential]]</f>
        <v>0.20490664970234285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0.56052904032843209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0.19313472439464888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-0.27466957136179609</v>
      </c>
      <c r="H512" t="s">
        <v>38</v>
      </c>
      <c r="I512">
        <f>VLOOKUP(Table4[[#This Row],[Visitor]],'NHL Model'!$A$6:$B$38,2,FALSE)</f>
        <v>-0.87254503056606192</v>
      </c>
      <c r="J512">
        <f>($B$1+Table4[[#This Row],[Home Differential]])-Table4[[#This Row],[Away Differential]]</f>
        <v>0.73471203696439846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0.61335989998342821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0.37621036690768106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1.1343608350765873E-2</v>
      </c>
      <c r="H513" t="s">
        <v>55</v>
      </c>
      <c r="I513">
        <f>VLOOKUP(Table4[[#This Row],[Visitor]],'NHL Model'!$A$6:$B$38,2,FALSE)</f>
        <v>0.27119018820614604</v>
      </c>
      <c r="J513">
        <f>($B$1+Table4[[#This Row],[Home Differential]])-Table4[[#This Row],[Away Differential]]</f>
        <v>-0.12301000209524757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0.47186455660169968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0.2789270465735193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-0.21579108793246188</v>
      </c>
      <c r="H514" t="s">
        <v>23</v>
      </c>
      <c r="I514">
        <f>VLOOKUP(Table4[[#This Row],[Visitor]],'NHL Model'!$A$6:$B$38,2,FALSE)</f>
        <v>0.13483877693289487</v>
      </c>
      <c r="J514">
        <f>($B$1+Table4[[#This Row],[Home Differential]])-Table4[[#This Row],[Away Differential]]</f>
        <v>-0.21379328710522413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0.48062078296656952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0.26975477108625928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0.5231745585052443</v>
      </c>
      <c r="H515" t="s">
        <v>13</v>
      </c>
      <c r="I515">
        <f>VLOOKUP(Table4[[#This Row],[Visitor]],'NHL Model'!$A$6:$B$38,2,FALSE)</f>
        <v>-0.14985965438623808</v>
      </c>
      <c r="J515">
        <f>($B$1+Table4[[#This Row],[Home Differential]])-Table4[[#This Row],[Away Differential]]</f>
        <v>0.80987079065161494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0.60084090309945348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0.15932798463845987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-0.36341023830385849</v>
      </c>
      <c r="H516" t="s">
        <v>31</v>
      </c>
      <c r="I516">
        <f>VLOOKUP(Table4[[#This Row],[Visitor]],'NHL Model'!$A$6:$B$38,2,FALSE)</f>
        <v>-0.30466872127922601</v>
      </c>
      <c r="J516">
        <f>($B$1+Table4[[#This Row],[Home Differential]])-Table4[[#This Row],[Away Differential]]</f>
        <v>7.8095060735500127E-2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0.54753242218215781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0.29979175334066072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-0.9803970267772969</v>
      </c>
      <c r="H517" t="s">
        <v>29</v>
      </c>
      <c r="I517">
        <f>VLOOKUP(Table4[[#This Row],[Visitor]],'NHL Model'!$A$6:$B$38,2,FALSE)</f>
        <v>-0.48381480045860298</v>
      </c>
      <c r="J517">
        <f>($B$1+Table4[[#This Row],[Home Differential]])-Table4[[#This Row],[Away Differential]]</f>
        <v>-0.35974564855856134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0.49469817524458937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0.25532993410114774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0.98607049252714107</v>
      </c>
      <c r="H518" t="s">
        <v>11</v>
      </c>
      <c r="I518">
        <f>VLOOKUP(Table4[[#This Row],[Visitor]],'NHL Model'!$A$6:$B$38,2,FALSE)</f>
        <v>-7.4962464446554744E-2</v>
      </c>
      <c r="J518">
        <f>($B$1+Table4[[#This Row],[Home Differential]])-Table4[[#This Row],[Away Differential]]</f>
        <v>1.1978695347338284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0.63608481744531997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0.40460389498444604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-0.16816097389287935</v>
      </c>
      <c r="H519" t="s">
        <v>36</v>
      </c>
      <c r="I519">
        <f>VLOOKUP(Table4[[#This Row],[Visitor]],'NHL Model'!$A$6:$B$38,2,FALSE)</f>
        <v>-7.2312572939580336E-2</v>
      </c>
      <c r="J519">
        <f>($B$1+Table4[[#This Row],[Home Differential]])-Table4[[#This Row],[Away Differential]]</f>
        <v>4.0988176806833601E-2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0.53426935951346199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0.28544374851492488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0.17390560158361429</v>
      </c>
      <c r="H520" t="s">
        <v>55</v>
      </c>
      <c r="I520">
        <f>VLOOKUP(Table4[[#This Row],[Visitor]],'NHL Model'!$A$6:$B$38,2,FALSE)</f>
        <v>0.27119018820614604</v>
      </c>
      <c r="J520">
        <f>($B$1+Table4[[#This Row],[Home Differential]])-Table4[[#This Row],[Away Differential]]</f>
        <v>3.9551991137600884E-2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0.56985260317341146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0.18502678299669062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-0.29093210318822477</v>
      </c>
      <c r="H521" t="s">
        <v>31</v>
      </c>
      <c r="I521">
        <f>VLOOKUP(Table4[[#This Row],[Visitor]],'NHL Model'!$A$6:$B$38,2,FALSE)</f>
        <v>-0.30466872127922601</v>
      </c>
      <c r="J521">
        <f>($B$1+Table4[[#This Row],[Home Differential]])-Table4[[#This Row],[Away Differential]]</f>
        <v>0.15057319585113385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0.55452308084257496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0.19844968550199102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-4.6015351177631898E-2</v>
      </c>
      <c r="H522" t="s">
        <v>30</v>
      </c>
      <c r="I522">
        <f>VLOOKUP(Table4[[#This Row],[Visitor]],'NHL Model'!$A$6:$B$38,2,FALSE)</f>
        <v>0.25279292855900759</v>
      </c>
      <c r="J522">
        <f>($B$1+Table4[[#This Row],[Home Differential]])-Table4[[#This Row],[Away Differential]]</f>
        <v>-0.16197170197650687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0.45421898040164066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0.20631488215710603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0.32232840463649798</v>
      </c>
      <c r="H523" t="s">
        <v>22</v>
      </c>
      <c r="I523">
        <f>VLOOKUP(Table4[[#This Row],[Visitor]],'NHL Model'!$A$6:$B$38,2,FALSE)</f>
        <v>0.34677881456804194</v>
      </c>
      <c r="J523">
        <f>($B$1+Table4[[#This Row],[Home Differential]])-Table4[[#This Row],[Away Differential]]</f>
        <v>0.11238616782858868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0.55160525790984694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0.20105784473409488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6.8462291869218858E-2</v>
      </c>
      <c r="H524" t="s">
        <v>27</v>
      </c>
      <c r="I524">
        <f>VLOOKUP(Table4[[#This Row],[Visitor]],'NHL Model'!$A$6:$B$38,2,FALSE)</f>
        <v>-7.417166684134277E-2</v>
      </c>
      <c r="J524">
        <f>($B$1+Table4[[#This Row],[Home Differential]])-Table4[[#This Row],[Away Differential]]</f>
        <v>0.2794705364706942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0.5591192255124755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0.31261430833767045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-0.36341023830385849</v>
      </c>
      <c r="H525" t="s">
        <v>38</v>
      </c>
      <c r="I525">
        <f>VLOOKUP(Table4[[#This Row],[Visitor]],'NHL Model'!$A$6:$B$38,2,FALSE)</f>
        <v>-0.87254503056606192</v>
      </c>
      <c r="J525">
        <f>($B$1+Table4[[#This Row],[Home Differential]])-Table4[[#This Row],[Away Differential]]</f>
        <v>0.64597137002233607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0.60230520894368456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0.36277156472069549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1.1343608350765873E-2</v>
      </c>
      <c r="H526" t="s">
        <v>17</v>
      </c>
      <c r="I526">
        <f>VLOOKUP(Table4[[#This Row],[Visitor]],'NHL Model'!$A$6:$B$38,2,FALSE)</f>
        <v>3.922199270086173E-4</v>
      </c>
      <c r="J526">
        <f>($B$1+Table4[[#This Row],[Home Differential]])-Table4[[#This Row],[Away Differential]]</f>
        <v>0.14778796618388987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0.55425443996400503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0.30719798421981287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-0.21579108793246188</v>
      </c>
      <c r="H527" t="s">
        <v>12</v>
      </c>
      <c r="I527">
        <f>VLOOKUP(Table4[[#This Row],[Visitor]],'NHL Model'!$A$6:$B$38,2,FALSE)</f>
        <v>1.7070031799067014</v>
      </c>
      <c r="J527">
        <f>($B$1+Table4[[#This Row],[Home Differential]])-Table4[[#This Row],[Away Differential]]</f>
        <v>-1.7859576900790306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0.70216072100513405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8.8708236112181593E-2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-0.3566847028170323</v>
      </c>
      <c r="H528" t="s">
        <v>16</v>
      </c>
      <c r="I528">
        <f>VLOOKUP(Table4[[#This Row],[Visitor]],'NHL Model'!$A$6:$B$38,2,FALSE)</f>
        <v>-0.54997285633810766</v>
      </c>
      <c r="J528">
        <f>($B$1+Table4[[#This Row],[Home Differential]])-Table4[[#This Row],[Away Differential]]</f>
        <v>0.33012473128120801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0.57184117952354796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0.1833199755517867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4.3410611683700091E-2</v>
      </c>
      <c r="H529" t="s">
        <v>10</v>
      </c>
      <c r="I529">
        <f>VLOOKUP(Table4[[#This Row],[Visitor]],'NHL Model'!$A$6:$B$38,2,FALSE)</f>
        <v>-0.43286905189715857</v>
      </c>
      <c r="J529">
        <f>($B$1+Table4[[#This Row],[Home Differential]])-Table4[[#This Row],[Away Differential]]</f>
        <v>0.6131162413409913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0.63138233298093738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0.13587898443857652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-4.6015351177631898E-2</v>
      </c>
      <c r="H530" t="s">
        <v>55</v>
      </c>
      <c r="I530">
        <f>VLOOKUP(Table4[[#This Row],[Visitor]],'NHL Model'!$A$6:$B$38,2,FALSE)</f>
        <v>0.27119018820614604</v>
      </c>
      <c r="J530">
        <f>($B$1+Table4[[#This Row],[Home Differential]])-Table4[[#This Row],[Away Differential]]</f>
        <v>-0.18036896162364532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0.43557875922663269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0.31857133703614748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-7.4962464446554744E-2</v>
      </c>
      <c r="H531" t="s">
        <v>13</v>
      </c>
      <c r="I531">
        <f>VLOOKUP(Table4[[#This Row],[Visitor]],'NHL Model'!$A$6:$B$38,2,FALSE)</f>
        <v>-0.14985965438623808</v>
      </c>
      <c r="J531">
        <f>($B$1+Table4[[#This Row],[Home Differential]])-Table4[[#This Row],[Away Differential]]</f>
        <v>0.21173376769981594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0.52902164686937403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0.22182060911763662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-0.48381480045860298</v>
      </c>
      <c r="H532" t="s">
        <v>25</v>
      </c>
      <c r="I532">
        <f>VLOOKUP(Table4[[#This Row],[Visitor]],'NHL Model'!$A$6:$B$38,2,FALSE)</f>
        <v>0.33829893848778331</v>
      </c>
      <c r="J532">
        <f>($B$1+Table4[[#This Row],[Home Differential]])-Table4[[#This Row],[Away Differential]]</f>
        <v>-0.68527716118625359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0.56860889261049485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0.18609828753474356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-0.9803970267772969</v>
      </c>
      <c r="H533" t="s">
        <v>40</v>
      </c>
      <c r="I533">
        <f>VLOOKUP(Table4[[#This Row],[Visitor]],'NHL Model'!$A$6:$B$38,2,FALSE)</f>
        <v>-0.16816097389287935</v>
      </c>
      <c r="J533">
        <f>($B$1+Table4[[#This Row],[Home Differential]])-Table4[[#This Row],[Away Differential]]</f>
        <v>-0.675399475124285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0.52514360755124245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0.27577580855193334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0.1394237692045871</v>
      </c>
      <c r="H534" t="s">
        <v>24</v>
      </c>
      <c r="I534">
        <f>VLOOKUP(Table4[[#This Row],[Visitor]],'NHL Model'!$A$6:$B$38,2,FALSE)</f>
        <v>-0.27466957136179609</v>
      </c>
      <c r="J534">
        <f>($B$1+Table4[[#This Row],[Home Differential]])-Table4[[#This Row],[Away Differential]]</f>
        <v>0.55092991832651572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0.58255003873414735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0.33936454762915658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0.17390560158361429</v>
      </c>
      <c r="H535" t="s">
        <v>17</v>
      </c>
      <c r="I535">
        <f>VLOOKUP(Table4[[#This Row],[Visitor]],'NHL Model'!$A$6:$B$38,2,FALSE)</f>
        <v>3.922199270086173E-4</v>
      </c>
      <c r="J535">
        <f>($B$1+Table4[[#This Row],[Home Differential]])-Table4[[#This Row],[Away Differential]]</f>
        <v>0.31034995941673832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0.59597159973911618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0.3551821476956013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0.13483877693289487</v>
      </c>
      <c r="H536" t="s">
        <v>27</v>
      </c>
      <c r="I536">
        <f>VLOOKUP(Table4[[#This Row],[Visitor]],'NHL Model'!$A$6:$B$38,2,FALSE)</f>
        <v>-7.417166684134277E-2</v>
      </c>
      <c r="J536">
        <f>($B$1+Table4[[#This Row],[Home Differential]])-Table4[[#This Row],[Away Differential]]</f>
        <v>0.3458470215343703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0.61133927671255284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0.15105715782632156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-0.29093210318822477</v>
      </c>
      <c r="H537" t="s">
        <v>34</v>
      </c>
      <c r="I537">
        <f>VLOOKUP(Table4[[#This Row],[Visitor]],'NHL Model'!$A$6:$B$38,2,FALSE)</f>
        <v>0.32232840463649798</v>
      </c>
      <c r="J537">
        <f>($B$1+Table4[[#This Row],[Home Differential]])-Table4[[#This Row],[Away Differential]]</f>
        <v>-0.47642393006459016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0.55736036483395801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0.19592984661992677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-0.54997285633810766</v>
      </c>
      <c r="H538" t="s">
        <v>32</v>
      </c>
      <c r="I538">
        <f>VLOOKUP(Table4[[#This Row],[Visitor]],'NHL Model'!$A$6:$B$38,2,FALSE)</f>
        <v>-0.21579108793246188</v>
      </c>
      <c r="J538">
        <f>($B$1+Table4[[#This Row],[Home Differential]])-Table4[[#This Row],[Away Differential]]</f>
        <v>-0.1973451906455132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0.47465563349293721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0.22529797040658153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6.8462291869218858E-2</v>
      </c>
      <c r="H539" t="s">
        <v>10</v>
      </c>
      <c r="I539">
        <f>VLOOKUP(Table4[[#This Row],[Visitor]],'NHL Model'!$A$6:$B$38,2,FALSE)</f>
        <v>-0.43286905189715857</v>
      </c>
      <c r="J539">
        <f>($B$1+Table4[[#This Row],[Home Differential]])-Table4[[#This Row],[Away Differential]]</f>
        <v>0.63816792152651003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0.60231794200572752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0.15815101925055991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-7.2312572939580336E-2</v>
      </c>
      <c r="H540" t="s">
        <v>14</v>
      </c>
      <c r="I540">
        <f>VLOOKUP(Table4[[#This Row],[Visitor]],'NHL Model'!$A$6:$B$38,2,FALSE)</f>
        <v>1.1343608350765873E-2</v>
      </c>
      <c r="J540">
        <f>($B$1+Table4[[#This Row],[Home Differential]])-Table4[[#This Row],[Away Differential]]</f>
        <v>5.3180396469786402E-2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0.52436012304972179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0.2262332925452758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-0.3566847028170323</v>
      </c>
      <c r="H541" t="s">
        <v>39</v>
      </c>
      <c r="I541">
        <f>VLOOKUP(Table4[[#This Row],[Visitor]],'NHL Model'!$A$6:$B$38,2,FALSE)</f>
        <v>0.5231745585052443</v>
      </c>
      <c r="J541">
        <f>($B$1+Table4[[#This Row],[Home Differential]])-Table4[[#This Row],[Away Differential]]</f>
        <v>-0.74302268356214396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0.58819492460619194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0.16958342012009994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-0.9803970267772969</v>
      </c>
      <c r="H542" t="s">
        <v>15</v>
      </c>
      <c r="I542">
        <f>VLOOKUP(Table4[[#This Row],[Visitor]],'NHL Model'!$A$6:$B$38,2,FALSE)</f>
        <v>-0.36341023830385849</v>
      </c>
      <c r="J542">
        <f>($B$1+Table4[[#This Row],[Home Differential]])-Table4[[#This Row],[Away Differential]]</f>
        <v>-0.48015021071330583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0.57893460114827666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0.17729607011016085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0.98607049252714107</v>
      </c>
      <c r="H543" t="s">
        <v>13</v>
      </c>
      <c r="I543">
        <f>VLOOKUP(Table4[[#This Row],[Visitor]],'NHL Model'!$A$6:$B$38,2,FALSE)</f>
        <v>-0.14985965438623808</v>
      </c>
      <c r="J543">
        <f>($B$1+Table4[[#This Row],[Home Differential]])-Table4[[#This Row],[Away Differential]]</f>
        <v>1.2727667246735117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0.64548812622239005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0.41665492109409213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0.34677881456804194</v>
      </c>
      <c r="H544" t="s">
        <v>19</v>
      </c>
      <c r="I544">
        <f>VLOOKUP(Table4[[#This Row],[Visitor]],'NHL Model'!$A$6:$B$38,2,FALSE)</f>
        <v>4.3410611683700091E-2</v>
      </c>
      <c r="J544">
        <f>($B$1+Table4[[#This Row],[Home Differential]])-Table4[[#This Row],[Away Differential]]</f>
        <v>0.44020478064447444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0.59147822460058652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0.16689004097548882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-0.30466872127922601</v>
      </c>
      <c r="H545" t="s">
        <v>39</v>
      </c>
      <c r="I545">
        <f>VLOOKUP(Table4[[#This Row],[Visitor]],'NHL Model'!$A$6:$B$38,2,FALSE)</f>
        <v>0.5231745585052443</v>
      </c>
      <c r="J545">
        <f>($B$1+Table4[[#This Row],[Home Differential]])-Table4[[#This Row],[Away Differential]]</f>
        <v>-0.69100670202433767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0.56066093132532457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0.19301881726393116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1.7070031799067014</v>
      </c>
      <c r="H546" t="s">
        <v>40</v>
      </c>
      <c r="I546">
        <f>VLOOKUP(Table4[[#This Row],[Visitor]],'NHL Model'!$A$6:$B$38,2,FALSE)</f>
        <v>-0.16816097389287935</v>
      </c>
      <c r="J546">
        <f>($B$1+Table4[[#This Row],[Home Differential]])-Table4[[#This Row],[Away Differential]]</f>
        <v>2.0120007315597133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0.84653395463816106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2.3551827079002007E-2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-7.4962464446554744E-2</v>
      </c>
      <c r="H547" t="s">
        <v>25</v>
      </c>
      <c r="I547">
        <f>VLOOKUP(Table4[[#This Row],[Visitor]],'NHL Model'!$A$6:$B$38,2,FALSE)</f>
        <v>0.33829893848778331</v>
      </c>
      <c r="J547">
        <f>($B$1+Table4[[#This Row],[Home Differential]])-Table4[[#This Row],[Away Differential]]</f>
        <v>-0.27642482517420541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0.5291742807925387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0.28002541945230058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0.25279292855900759</v>
      </c>
      <c r="H548" t="s">
        <v>38</v>
      </c>
      <c r="I548">
        <f>VLOOKUP(Table4[[#This Row],[Visitor]],'NHL Model'!$A$6:$B$38,2,FALSE)</f>
        <v>-0.87254503056606192</v>
      </c>
      <c r="J548">
        <f>($B$1+Table4[[#This Row],[Home Differential]])-Table4[[#This Row],[Away Differential]]</f>
        <v>1.262174536885202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0.68084464746326334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0.46354943397937537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0.27119018820614604</v>
      </c>
      <c r="H549" t="s">
        <v>24</v>
      </c>
      <c r="I549">
        <f>VLOOKUP(Table4[[#This Row],[Visitor]],'NHL Model'!$A$6:$B$38,2,FALSE)</f>
        <v>-0.27466957136179609</v>
      </c>
      <c r="J549">
        <f>($B$1+Table4[[#This Row],[Home Differential]])-Table4[[#This Row],[Away Differential]]</f>
        <v>0.68269633732807478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0.60932566512966901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0.37127776618571356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-0.30466872127922601</v>
      </c>
      <c r="H550" t="s">
        <v>28</v>
      </c>
      <c r="I550">
        <f>VLOOKUP(Table4[[#This Row],[Visitor]],'NHL Model'!$A$6:$B$38,2,FALSE)</f>
        <v>-0.29093210318822477</v>
      </c>
      <c r="J550">
        <f>($B$1+Table4[[#This Row],[Home Differential]])-Table4[[#This Row],[Away Differential]]</f>
        <v>0.12309995966913137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0.57415697021082401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0.18134228602002503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0.17390560158361429</v>
      </c>
      <c r="H551" t="s">
        <v>38</v>
      </c>
      <c r="I551">
        <f>VLOOKUP(Table4[[#This Row],[Visitor]],'NHL Model'!$A$6:$B$38,2,FALSE)</f>
        <v>-0.87254503056606192</v>
      </c>
      <c r="J551">
        <f>($B$1+Table4[[#This Row],[Home Differential]])-Table4[[#This Row],[Away Differential]]</f>
        <v>1.1832872099098088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0.68016811418342604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0.46262866355183807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0.13483877693289487</v>
      </c>
      <c r="H552" t="s">
        <v>30</v>
      </c>
      <c r="I552">
        <f>VLOOKUP(Table4[[#This Row],[Visitor]],'NHL Model'!$A$6:$B$38,2,FALSE)</f>
        <v>0.25279292855900759</v>
      </c>
      <c r="J552">
        <f>($B$1+Table4[[#This Row],[Home Differential]])-Table4[[#This Row],[Away Differential]]</f>
        <v>1.8882426134019914E-2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0.56785898298204196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0.18674585858931511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-0.54997285633810766</v>
      </c>
      <c r="H553" t="s">
        <v>20</v>
      </c>
      <c r="I553">
        <f>VLOOKUP(Table4[[#This Row],[Visitor]],'NHL Model'!$A$6:$B$38,2,FALSE)</f>
        <v>0.1394237692045871</v>
      </c>
      <c r="J553">
        <f>($B$1+Table4[[#This Row],[Home Differential]])-Table4[[#This Row],[Away Differential]]</f>
        <v>-0.55256004778256218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0.53056823049268342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0.28150264720813722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-7.4962464446554744E-2</v>
      </c>
      <c r="H554" t="s">
        <v>35</v>
      </c>
      <c r="I554">
        <f>VLOOKUP(Table4[[#This Row],[Visitor]],'NHL Model'!$A$6:$B$38,2,FALSE)</f>
        <v>-0.9803970267772969</v>
      </c>
      <c r="J554">
        <f>($B$1+Table4[[#This Row],[Home Differential]])-Table4[[#This Row],[Away Differential]]</f>
        <v>1.0422711400908748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0.64052910109172312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0.41027752934537087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0.32232840463649798</v>
      </c>
      <c r="H555" t="s">
        <v>17</v>
      </c>
      <c r="I555">
        <f>VLOOKUP(Table4[[#This Row],[Visitor]],'NHL Model'!$A$6:$B$38,2,FALSE)</f>
        <v>3.922199270086173E-4</v>
      </c>
      <c r="J555">
        <f>($B$1+Table4[[#This Row],[Home Differential]])-Table4[[#This Row],[Away Differential]]</f>
        <v>0.45877276246962201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0.58501492613346295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0.1722126115320152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6.8462291869218858E-2</v>
      </c>
      <c r="H556" t="s">
        <v>14</v>
      </c>
      <c r="I556">
        <f>VLOOKUP(Table4[[#This Row],[Visitor]],'NHL Model'!$A$6:$B$38,2,FALSE)</f>
        <v>1.1343608350765873E-2</v>
      </c>
      <c r="J556">
        <f>($B$1+Table4[[#This Row],[Home Differential]])-Table4[[#This Row],[Away Differential]]</f>
        <v>0.19395526127858559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0.53870736636404082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0.21279089384679925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-0.48381480045860298</v>
      </c>
      <c r="H557" t="s">
        <v>19</v>
      </c>
      <c r="I557">
        <f>VLOOKUP(Table4[[#This Row],[Visitor]],'NHL Model'!$A$6:$B$38,2,FALSE)</f>
        <v>4.3410611683700091E-2</v>
      </c>
      <c r="J557">
        <f>($B$1+Table4[[#This Row],[Home Differential]])-Table4[[#This Row],[Away Differential]]</f>
        <v>-0.39038883438217042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0.49765377077721196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0.24765927556877781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-0.36341023830385849</v>
      </c>
      <c r="H558" t="s">
        <v>27</v>
      </c>
      <c r="I558">
        <f>VLOOKUP(Table4[[#This Row],[Visitor]],'NHL Model'!$A$6:$B$38,2,FALSE)</f>
        <v>-7.417166684134277E-2</v>
      </c>
      <c r="J558">
        <f>($B$1+Table4[[#This Row],[Home Differential]])-Table4[[#This Row],[Away Differential]]</f>
        <v>-0.15240199370238311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0.48330303337873187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0.23358182207308362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-7.2312572939580336E-2</v>
      </c>
      <c r="H559" t="s">
        <v>10</v>
      </c>
      <c r="I559">
        <f>VLOOKUP(Table4[[#This Row],[Visitor]],'NHL Model'!$A$6:$B$38,2,FALSE)</f>
        <v>-0.43286905189715857</v>
      </c>
      <c r="J559">
        <f>($B$1+Table4[[#This Row],[Home Differential]])-Table4[[#This Row],[Away Differential]]</f>
        <v>0.49739305671771084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0.58797453844566416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0.16976498096906348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-0.3566847028170323</v>
      </c>
      <c r="H560" t="s">
        <v>32</v>
      </c>
      <c r="I560">
        <f>VLOOKUP(Table4[[#This Row],[Visitor]],'NHL Model'!$A$6:$B$38,2,FALSE)</f>
        <v>-0.21579108793246188</v>
      </c>
      <c r="J560">
        <f>($B$1+Table4[[#This Row],[Home Differential]])-Table4[[#This Row],[Away Differential]]</f>
        <v>-4.0570371244378067E-3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0.47007533995178497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0.28082014532721628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0.98607049252714107</v>
      </c>
      <c r="H561" t="s">
        <v>25</v>
      </c>
      <c r="I561">
        <f>VLOOKUP(Table4[[#This Row],[Visitor]],'NHL Model'!$A$6:$B$38,2,FALSE)</f>
        <v>0.33829893848778331</v>
      </c>
      <c r="J561">
        <f>($B$1+Table4[[#This Row],[Home Differential]])-Table4[[#This Row],[Away Differential]]</f>
        <v>0.7846081317994904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0.58730490422352766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0.17031724207795168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0.34677881456804194</v>
      </c>
      <c r="H562" t="s">
        <v>26</v>
      </c>
      <c r="I562">
        <f>VLOOKUP(Table4[[#This Row],[Visitor]],'NHL Model'!$A$6:$B$38,2,FALSE)</f>
        <v>-4.6015351177631898E-2</v>
      </c>
      <c r="J562">
        <f>($B$1+Table4[[#This Row],[Home Differential]])-Table4[[#This Row],[Away Differential]]</f>
        <v>0.52963074350580641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0.56876881419171044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0.32349796399704445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0.17390560158361429</v>
      </c>
      <c r="H563" t="s">
        <v>36</v>
      </c>
      <c r="I563">
        <f>VLOOKUP(Table4[[#This Row],[Visitor]],'NHL Model'!$A$6:$B$38,2,FALSE)</f>
        <v>-7.2312572939580336E-2</v>
      </c>
      <c r="J563">
        <f>($B$1+Table4[[#This Row],[Home Differential]])-Table4[[#This Row],[Away Differential]]</f>
        <v>0.38305475228332725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0.59339799703950535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0.35212118289049682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0.5231745585052443</v>
      </c>
      <c r="H564" t="s">
        <v>19</v>
      </c>
      <c r="I564">
        <f>VLOOKUP(Table4[[#This Row],[Visitor]],'NHL Model'!$A$6:$B$38,2,FALSE)</f>
        <v>4.3410611683700091E-2</v>
      </c>
      <c r="J564">
        <f>($B$1+Table4[[#This Row],[Home Differential]])-Table4[[#This Row],[Away Differential]]</f>
        <v>0.6166005245816768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0.61348895364167444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0.14939078895700769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-4.6015351177631898E-2</v>
      </c>
      <c r="H565" t="s">
        <v>22</v>
      </c>
      <c r="I565">
        <f>VLOOKUP(Table4[[#This Row],[Visitor]],'NHL Model'!$A$6:$B$38,2,FALSE)</f>
        <v>0.34677881456804194</v>
      </c>
      <c r="J565">
        <f>($B$1+Table4[[#This Row],[Home Differential]])-Table4[[#This Row],[Away Differential]]</f>
        <v>-0.25595758798554125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0.44286943088454406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0.19613333281199993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3.922199270086173E-4</v>
      </c>
      <c r="H566" t="s">
        <v>20</v>
      </c>
      <c r="I566">
        <f>VLOOKUP(Table4[[#This Row],[Visitor]],'NHL Model'!$A$6:$B$38,2,FALSE)</f>
        <v>0.1394237692045871</v>
      </c>
      <c r="J566">
        <f>($B$1+Table4[[#This Row],[Home Differential]])-Table4[[#This Row],[Away Differential]]</f>
        <v>-2.1949715174458817E-3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0.48702712514077812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0.23719542062289115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0.32232840463649798</v>
      </c>
      <c r="H567" t="s">
        <v>12</v>
      </c>
      <c r="I567">
        <f>VLOOKUP(Table4[[#This Row],[Visitor]],'NHL Model'!$A$6:$B$38,2,FALSE)</f>
        <v>1.7070031799067014</v>
      </c>
      <c r="J567">
        <f>($B$1+Table4[[#This Row],[Home Differential]])-Table4[[#This Row],[Away Differential]]</f>
        <v>-1.2478381975100707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0.64949030629588145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0.122857045380555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-0.27466957136179609</v>
      </c>
      <c r="H568" t="s">
        <v>23</v>
      </c>
      <c r="I568">
        <f>VLOOKUP(Table4[[#This Row],[Visitor]],'NHL Model'!$A$6:$B$38,2,FALSE)</f>
        <v>0.13483877693289487</v>
      </c>
      <c r="J568">
        <f>($B$1+Table4[[#This Row],[Home Differential]])-Table4[[#This Row],[Away Differential]]</f>
        <v>-0.27267177053455838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0.48380424927373894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0.26645805306784831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-0.48381480045860298</v>
      </c>
      <c r="H569" t="s">
        <v>15</v>
      </c>
      <c r="I569">
        <f>VLOOKUP(Table4[[#This Row],[Visitor]],'NHL Model'!$A$6:$B$38,2,FALSE)</f>
        <v>-0.36341023830385849</v>
      </c>
      <c r="J569">
        <f>($B$1+Table4[[#This Row],[Home Differential]])-Table4[[#This Row],[Away Differential]]</f>
        <v>1.6432015605388151E-2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0.4689617311109015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0.28200164302473041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1.1343608350765873E-2</v>
      </c>
      <c r="H570" t="s">
        <v>18</v>
      </c>
      <c r="I570">
        <f>VLOOKUP(Table4[[#This Row],[Visitor]],'NHL Model'!$A$6:$B$38,2,FALSE)</f>
        <v>6.8462291869218858E-2</v>
      </c>
      <c r="J570">
        <f>($B$1+Table4[[#This Row],[Home Differential]])-Table4[[#This Row],[Away Differential]]</f>
        <v>7.9717894241679618E-2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0.49628060777528632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0.2537332261032349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0.27119018820614604</v>
      </c>
      <c r="H571" t="s">
        <v>40</v>
      </c>
      <c r="I571">
        <f>VLOOKUP(Table4[[#This Row],[Visitor]],'NHL Model'!$A$6:$B$38,2,FALSE)</f>
        <v>-0.16816097389287935</v>
      </c>
      <c r="J571">
        <f>($B$1+Table4[[#This Row],[Home Differential]])-Table4[[#This Row],[Away Differential]]</f>
        <v>0.57618773985915794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0.60959106108330052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0.15241913958606318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-0.30466872127922601</v>
      </c>
      <c r="H572" t="s">
        <v>32</v>
      </c>
      <c r="I572">
        <f>VLOOKUP(Table4[[#This Row],[Visitor]],'NHL Model'!$A$6:$B$38,2,FALSE)</f>
        <v>-0.21579108793246188</v>
      </c>
      <c r="J572">
        <f>($B$1+Table4[[#This Row],[Home Differential]])-Table4[[#This Row],[Away Differential]]</f>
        <v>4.7958944413368482E-2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0.55730595631156687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0.31058992894035009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-0.14985965438623808</v>
      </c>
      <c r="H573" t="s">
        <v>28</v>
      </c>
      <c r="I573">
        <f>VLOOKUP(Table4[[#This Row],[Visitor]],'NHL Model'!$A$6:$B$38,2,FALSE)</f>
        <v>-0.29093210318822477</v>
      </c>
      <c r="J573">
        <f>($B$1+Table4[[#This Row],[Home Differential]])-Table4[[#This Row],[Away Differential]]</f>
        <v>0.2779090265621193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0.56680487212102004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0.32126776306012589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-7.417166684134277E-2</v>
      </c>
      <c r="H574" t="s">
        <v>38</v>
      </c>
      <c r="I574">
        <f>VLOOKUP(Table4[[#This Row],[Visitor]],'NHL Model'!$A$6:$B$38,2,FALSE)</f>
        <v>-0.87254503056606192</v>
      </c>
      <c r="J574">
        <f>($B$1+Table4[[#This Row],[Home Differential]])-Table4[[#This Row],[Away Differential]]</f>
        <v>0.93520994148485181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0.63020283794993881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0.13674994106027921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0.98607049252714107</v>
      </c>
      <c r="H575" t="s">
        <v>35</v>
      </c>
      <c r="I575">
        <f>VLOOKUP(Table4[[#This Row],[Visitor]],'NHL Model'!$A$6:$B$38,2,FALSE)</f>
        <v>-0.9803970267772969</v>
      </c>
      <c r="J575">
        <f>($B$1+Table4[[#This Row],[Home Differential]])-Table4[[#This Row],[Away Differential]]</f>
        <v>2.1033040970645707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0.75688443681558981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5.9105177062472945E-2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0.17390560158361429</v>
      </c>
      <c r="H576" t="s">
        <v>18</v>
      </c>
      <c r="I576">
        <f>VLOOKUP(Table4[[#This Row],[Visitor]],'NHL Model'!$A$6:$B$38,2,FALSE)</f>
        <v>6.8462291869218858E-2</v>
      </c>
      <c r="J576">
        <f>($B$1+Table4[[#This Row],[Home Differential]])-Table4[[#This Row],[Away Differential]]</f>
        <v>0.24227988747452806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0.53829374472551961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0.28976015561062285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0.33829893848778331</v>
      </c>
      <c r="H577" t="s">
        <v>11</v>
      </c>
      <c r="I577">
        <f>VLOOKUP(Table4[[#This Row],[Visitor]],'NHL Model'!$A$6:$B$38,2,FALSE)</f>
        <v>-7.4962464446554744E-2</v>
      </c>
      <c r="J577">
        <f>($B$1+Table4[[#This Row],[Home Differential]])-Table4[[#This Row],[Away Differential]]</f>
        <v>0.55009798069447069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0.60179449410150865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0.3621566131308907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-0.43286905189715857</v>
      </c>
      <c r="H578" t="s">
        <v>27</v>
      </c>
      <c r="I578">
        <f>VLOOKUP(Table4[[#This Row],[Visitor]],'NHL Model'!$A$6:$B$38,2,FALSE)</f>
        <v>-7.417166684134277E-2</v>
      </c>
      <c r="J578">
        <f>($B$1+Table4[[#This Row],[Home Differential]])-Table4[[#This Row],[Away Differential]]</f>
        <v>-0.22186080729568317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0.49000247254081325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0.26009747801448402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1.7070031799067014</v>
      </c>
      <c r="H579" t="s">
        <v>55</v>
      </c>
      <c r="I579">
        <f>VLOOKUP(Table4[[#This Row],[Visitor]],'NHL Model'!$A$6:$B$38,2,FALSE)</f>
        <v>0.27119018820614604</v>
      </c>
      <c r="J579">
        <f>($B$1+Table4[[#This Row],[Home Differential]])-Table4[[#This Row],[Away Differential]]</f>
        <v>1.5726495694606879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0.80415767106806435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3.8354217801484479E-2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-4.6015351177631898E-2</v>
      </c>
      <c r="H580" t="s">
        <v>39</v>
      </c>
      <c r="I580">
        <f>VLOOKUP(Table4[[#This Row],[Visitor]],'NHL Model'!$A$6:$B$38,2,FALSE)</f>
        <v>0.5231745585052443</v>
      </c>
      <c r="J580">
        <f>($B$1+Table4[[#This Row],[Home Differential]])-Table4[[#This Row],[Away Differential]]</f>
        <v>-0.43235333192274361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0.51578476777354476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0.26603392666720949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3.922199270086173E-4</v>
      </c>
      <c r="H581" t="s">
        <v>16</v>
      </c>
      <c r="I581">
        <f>VLOOKUP(Table4[[#This Row],[Visitor]],'NHL Model'!$A$6:$B$38,2,FALSE)</f>
        <v>-0.54997285633810766</v>
      </c>
      <c r="J581">
        <f>($B$1+Table4[[#This Row],[Home Differential]])-Table4[[#This Row],[Away Differential]]</f>
        <v>0.68720165402524891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0.61083640636081238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0.15144830261416675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-0.14985965438623808</v>
      </c>
      <c r="H582" t="s">
        <v>32</v>
      </c>
      <c r="I582">
        <f>VLOOKUP(Table4[[#This Row],[Visitor]],'NHL Model'!$A$6:$B$38,2,FALSE)</f>
        <v>-0.21579108793246188</v>
      </c>
      <c r="J582">
        <f>($B$1+Table4[[#This Row],[Home Differential]])-Table4[[#This Row],[Away Differential]]</f>
        <v>0.20276801130635641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0.54987334269156929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0.3023606930028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0.32232840463649798</v>
      </c>
      <c r="H583" t="s">
        <v>29</v>
      </c>
      <c r="I583">
        <f>VLOOKUP(Table4[[#This Row],[Visitor]],'NHL Model'!$A$6:$B$38,2,FALSE)</f>
        <v>-0.48381480045860298</v>
      </c>
      <c r="J583">
        <f>($B$1+Table4[[#This Row],[Home Differential]])-Table4[[#This Row],[Away Differential]]</f>
        <v>0.94297978285523354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0.63171764544450815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0.39906718356595333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0.25279292855900759</v>
      </c>
      <c r="H584" t="s">
        <v>24</v>
      </c>
      <c r="I584">
        <f>VLOOKUP(Table4[[#This Row],[Visitor]],'NHL Model'!$A$6:$B$38,2,FALSE)</f>
        <v>-0.27466957136179609</v>
      </c>
      <c r="J584">
        <f>($B$1+Table4[[#This Row],[Home Differential]])-Table4[[#This Row],[Away Differential]]</f>
        <v>0.66429907768093632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0.61266229408164974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0.1500304984260904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-7.2312572939580336E-2</v>
      </c>
      <c r="H585" t="s">
        <v>23</v>
      </c>
      <c r="I585">
        <f>VLOOKUP(Table4[[#This Row],[Visitor]],'NHL Model'!$A$6:$B$38,2,FALSE)</f>
        <v>0.13483877693289487</v>
      </c>
      <c r="J585">
        <f>($B$1+Table4[[#This Row],[Home Differential]])-Table4[[#This Row],[Away Differential]]</f>
        <v>-7.0314772112342591E-2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0.46678199804448856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0.28432143760942785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4.3410611683700091E-2</v>
      </c>
      <c r="H586" t="s">
        <v>14</v>
      </c>
      <c r="I586">
        <f>VLOOKUP(Table4[[#This Row],[Visitor]],'NHL Model'!$A$6:$B$38,2,FALSE)</f>
        <v>1.1343608350765873E-2</v>
      </c>
      <c r="J586">
        <f>($B$1+Table4[[#This Row],[Home Differential]])-Table4[[#This Row],[Away Differential]]</f>
        <v>0.16890358109306683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0.56801522047696251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0.18661084973956732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0.1394237692045871</v>
      </c>
      <c r="H587" t="s">
        <v>33</v>
      </c>
      <c r="I587">
        <f>VLOOKUP(Table4[[#This Row],[Visitor]],'NHL Model'!$A$6:$B$38,2,FALSE)</f>
        <v>-0.3566847028170323</v>
      </c>
      <c r="J587">
        <f>($B$1+Table4[[#This Row],[Home Differential]])-Table4[[#This Row],[Away Differential]]</f>
        <v>0.63294504978175192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0.58027956397094371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0.17616524442042114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0.34677881456804194</v>
      </c>
      <c r="H588" t="s">
        <v>15</v>
      </c>
      <c r="I588">
        <f>VLOOKUP(Table4[[#This Row],[Visitor]],'NHL Model'!$A$6:$B$38,2,FALSE)</f>
        <v>-0.36341023830385849</v>
      </c>
      <c r="J588">
        <f>($B$1+Table4[[#This Row],[Home Differential]])-Table4[[#This Row],[Away Differential]]</f>
        <v>0.84702563063203296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0.55813707832933512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0.31151699820600637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0.13483877693289487</v>
      </c>
      <c r="H589" t="s">
        <v>21</v>
      </c>
      <c r="I589">
        <f>VLOOKUP(Table4[[#This Row],[Visitor]],'NHL Model'!$A$6:$B$38,2,FALSE)</f>
        <v>0.17390560158361429</v>
      </c>
      <c r="J589">
        <f>($B$1+Table4[[#This Row],[Home Differential]])-Table4[[#This Row],[Away Differential]]</f>
        <v>9.7769753109413216E-2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0.59582570653133404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0.16335685950089532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0.33829893848778331</v>
      </c>
      <c r="H590" t="s">
        <v>26</v>
      </c>
      <c r="I590">
        <f>VLOOKUP(Table4[[#This Row],[Visitor]],'NHL Model'!$A$6:$B$38,2,FALSE)</f>
        <v>-4.6015351177631898E-2</v>
      </c>
      <c r="J590">
        <f>($B$1+Table4[[#This Row],[Home Differential]])-Table4[[#This Row],[Away Differential]]</f>
        <v>0.52115086742554784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0.60116422960106997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0.15906997174970802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-0.54997285633810766</v>
      </c>
      <c r="H591" t="s">
        <v>17</v>
      </c>
      <c r="I591">
        <f>VLOOKUP(Table4[[#This Row],[Visitor]],'NHL Model'!$A$6:$B$38,2,FALSE)</f>
        <v>3.922199270086173E-4</v>
      </c>
      <c r="J591">
        <f>($B$1+Table4[[#This Row],[Home Differential]])-Table4[[#This Row],[Away Differential]]</f>
        <v>-0.41352849850498369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0.48586901638747537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0.23606870108533282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0.5231745585052443</v>
      </c>
      <c r="H592" t="s">
        <v>10</v>
      </c>
      <c r="I592">
        <f>VLOOKUP(Table4[[#This Row],[Visitor]],'NHL Model'!$A$6:$B$38,2,FALSE)</f>
        <v>-0.43286905189715857</v>
      </c>
      <c r="J592">
        <f>($B$1+Table4[[#This Row],[Home Differential]])-Table4[[#This Row],[Away Differential]]</f>
        <v>1.0928801881625354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0.65942706379972538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0.43484405247152708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-7.4962464446554744E-2</v>
      </c>
      <c r="H593" t="s">
        <v>37</v>
      </c>
      <c r="I593">
        <f>VLOOKUP(Table4[[#This Row],[Visitor]],'NHL Model'!$A$6:$B$38,2,FALSE)</f>
        <v>0.98607049252714107</v>
      </c>
      <c r="J593">
        <f>($B$1+Table4[[#This Row],[Home Differential]])-Table4[[#This Row],[Away Differential]]</f>
        <v>-0.92419637921356323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0.65656378918529579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0.11794843089876196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-0.14985965438623808</v>
      </c>
      <c r="H594" t="s">
        <v>31</v>
      </c>
      <c r="I594">
        <f>VLOOKUP(Table4[[#This Row],[Visitor]],'NHL Model'!$A$6:$B$38,2,FALSE)</f>
        <v>-0.30466872127922601</v>
      </c>
      <c r="J594">
        <f>($B$1+Table4[[#This Row],[Home Differential]])-Table4[[#This Row],[Away Differential]]</f>
        <v>0.29164564465312054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0.56812979594900614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0.18651187314704706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-0.27466957136179609</v>
      </c>
      <c r="H595" t="s">
        <v>22</v>
      </c>
      <c r="I595">
        <f>VLOOKUP(Table4[[#This Row],[Visitor]],'NHL Model'!$A$6:$B$38,2,FALSE)</f>
        <v>0.34677881456804194</v>
      </c>
      <c r="J595">
        <f>($B$1+Table4[[#This Row],[Home Differential]])-Table4[[#This Row],[Away Differential]]</f>
        <v>-0.48461180816970539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0.50424628268449767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0.24577174823213899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0.25279292855900759</v>
      </c>
      <c r="H596" t="s">
        <v>15</v>
      </c>
      <c r="I596">
        <f>VLOOKUP(Table4[[#This Row],[Visitor]],'NHL Model'!$A$6:$B$38,2,FALSE)</f>
        <v>-0.36341023830385849</v>
      </c>
      <c r="J596">
        <f>($B$1+Table4[[#This Row],[Home Differential]])-Table4[[#This Row],[Away Differential]]</f>
        <v>0.75303974462299861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0.55926318026704414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0.19424894426832004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-0.9803970267772969</v>
      </c>
      <c r="H597" t="s">
        <v>29</v>
      </c>
      <c r="I597">
        <f>VLOOKUP(Table4[[#This Row],[Visitor]],'NHL Model'!$A$6:$B$38,2,FALSE)</f>
        <v>-0.48381480045860298</v>
      </c>
      <c r="J597">
        <f>($B$1+Table4[[#This Row],[Home Differential]])-Table4[[#This Row],[Away Differential]]</f>
        <v>-0.35974564855856134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0.49469817524458937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0.24472628459032644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4.3410611683700091E-2</v>
      </c>
      <c r="H598" t="s">
        <v>36</v>
      </c>
      <c r="I598">
        <f>VLOOKUP(Table4[[#This Row],[Visitor]],'NHL Model'!$A$6:$B$38,2,FALSE)</f>
        <v>-7.2312572939580336E-2</v>
      </c>
      <c r="J598">
        <f>($B$1+Table4[[#This Row],[Home Differential]])-Table4[[#This Row],[Away Differential]]</f>
        <v>0.25255976238341304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0.58705101724003539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0.17052686236248954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-0.87254503056606192</v>
      </c>
      <c r="H599" t="s">
        <v>33</v>
      </c>
      <c r="I599">
        <f>VLOOKUP(Table4[[#This Row],[Visitor]],'NHL Model'!$A$6:$B$38,2,FALSE)</f>
        <v>-0.3566847028170323</v>
      </c>
      <c r="J599">
        <f>($B$1+Table4[[#This Row],[Home Differential]])-Table4[[#This Row],[Away Differential]]</f>
        <v>-0.37902374998889704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0.51732681680723203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0.23297340177343936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0.1394237692045871</v>
      </c>
      <c r="H600" t="s">
        <v>12</v>
      </c>
      <c r="I600">
        <f>VLOOKUP(Table4[[#This Row],[Visitor]],'NHL Model'!$A$6:$B$38,2,FALSE)</f>
        <v>1.7070031799067014</v>
      </c>
      <c r="J600">
        <f>($B$1+Table4[[#This Row],[Home Differential]])-Table4[[#This Row],[Away Differential]]</f>
        <v>-1.4307428329419816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0.66789954950296726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0.11029070922033209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-0.16816097389287935</v>
      </c>
      <c r="H601" t="s">
        <v>34</v>
      </c>
      <c r="I601">
        <f>VLOOKUP(Table4[[#This Row],[Visitor]],'NHL Model'!$A$6:$B$38,2,FALSE)</f>
        <v>0.32232840463649798</v>
      </c>
      <c r="J601">
        <f>($B$1+Table4[[#This Row],[Home Differential]])-Table4[[#This Row],[Away Differential]]</f>
        <v>-0.35365280076924471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0.5455188479835531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0.20655311753819672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-0.29093210318822477</v>
      </c>
      <c r="H602" t="s">
        <v>30</v>
      </c>
      <c r="I602">
        <f>VLOOKUP(Table4[[#This Row],[Visitor]],'NHL Model'!$A$6:$B$38,2,FALSE)</f>
        <v>0.25279292855900759</v>
      </c>
      <c r="J602">
        <f>($B$1+Table4[[#This Row],[Home Differential]])-Table4[[#This Row],[Away Differential]]</f>
        <v>-0.40688845398709972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0.5200144223038996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0.27041499940405844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-0.43286905189715857</v>
      </c>
      <c r="H603" t="s">
        <v>14</v>
      </c>
      <c r="I603">
        <f>VLOOKUP(Table4[[#This Row],[Visitor]],'NHL Model'!$A$6:$B$38,2,FALSE)</f>
        <v>1.1343608350765873E-2</v>
      </c>
      <c r="J603">
        <f>($B$1+Table4[[#This Row],[Home Differential]])-Table4[[#This Row],[Away Differential]]</f>
        <v>-0.3073760824877918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0.51041625838135363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0.23969224005731349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-4.6015351177631898E-2</v>
      </c>
      <c r="H604" t="s">
        <v>19</v>
      </c>
      <c r="I604">
        <f>VLOOKUP(Table4[[#This Row],[Visitor]],'NHL Model'!$A$6:$B$38,2,FALSE)</f>
        <v>4.3410611683700091E-2</v>
      </c>
      <c r="J604">
        <f>($B$1+Table4[[#This Row],[Home Differential]])-Table4[[#This Row],[Away Differential]]</f>
        <v>4.7410614898800628E-2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0.5863910288583164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0.17107238100888206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-0.21579108793246188</v>
      </c>
      <c r="H605" t="s">
        <v>27</v>
      </c>
      <c r="I605">
        <f>VLOOKUP(Table4[[#This Row],[Visitor]],'NHL Model'!$A$6:$B$38,2,FALSE)</f>
        <v>-7.417166684134277E-2</v>
      </c>
      <c r="J605">
        <f>($B$1+Table4[[#This Row],[Home Differential]])-Table4[[#This Row],[Away Differential]]</f>
        <v>-4.7828433309864971E-3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0.46906487603181873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0.22002185792674547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0.98607049252714107</v>
      </c>
      <c r="H606" t="s">
        <v>18</v>
      </c>
      <c r="I606">
        <f>VLOOKUP(Table4[[#This Row],[Visitor]],'NHL Model'!$A$6:$B$38,2,FALSE)</f>
        <v>6.8462291869218858E-2</v>
      </c>
      <c r="J606">
        <f>($B$1+Table4[[#This Row],[Home Differential]])-Table4[[#This Row],[Away Differential]]</f>
        <v>1.0544447784180548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0.60443551288504183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0.15647126346651991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-0.30466872127922601</v>
      </c>
      <c r="H607" t="s">
        <v>33</v>
      </c>
      <c r="I607">
        <f>VLOOKUP(Table4[[#This Row],[Visitor]],'NHL Model'!$A$6:$B$38,2,FALSE)</f>
        <v>-0.3566847028170323</v>
      </c>
      <c r="J607">
        <f>($B$1+Table4[[#This Row],[Home Differential]])-Table4[[#This Row],[Away Differential]]</f>
        <v>0.1888525592979389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0.5598818673901923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0.31346770543232888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0.33829893848778331</v>
      </c>
      <c r="H608" t="s">
        <v>15</v>
      </c>
      <c r="I608">
        <f>VLOOKUP(Table4[[#This Row],[Visitor]],'NHL Model'!$A$6:$B$38,2,FALSE)</f>
        <v>-0.36341023830385849</v>
      </c>
      <c r="J608">
        <f>($B$1+Table4[[#This Row],[Home Differential]])-Table4[[#This Row],[Away Differential]]</f>
        <v>0.83854575455177449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0.59068330859839846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0.16754015385995391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-0.54997285633810766</v>
      </c>
      <c r="H609" t="s">
        <v>21</v>
      </c>
      <c r="I609">
        <f>VLOOKUP(Table4[[#This Row],[Visitor]],'NHL Model'!$A$6:$B$38,2,FALSE)</f>
        <v>0.17390560158361429</v>
      </c>
      <c r="J609">
        <f>($B$1+Table4[[#This Row],[Home Differential]])-Table4[[#This Row],[Away Differential]]</f>
        <v>-0.58704188016158931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0.50260472326294614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0.25261150784622266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1.7070031799067014</v>
      </c>
      <c r="H610" t="s">
        <v>13</v>
      </c>
      <c r="I610">
        <f>VLOOKUP(Table4[[#This Row],[Visitor]],'NHL Model'!$A$6:$B$38,2,FALSE)</f>
        <v>-0.14985965438623808</v>
      </c>
      <c r="J610">
        <f>($B$1+Table4[[#This Row],[Home Differential]])-Table4[[#This Row],[Away Differential]]</f>
        <v>1.993699412053072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0.81569137869562713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3.3969667887118728E-2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-7.4962464446554744E-2</v>
      </c>
      <c r="H611" t="s">
        <v>22</v>
      </c>
      <c r="I611">
        <f>VLOOKUP(Table4[[#This Row],[Visitor]],'NHL Model'!$A$6:$B$38,2,FALSE)</f>
        <v>0.34677881456804194</v>
      </c>
      <c r="J611">
        <f>($B$1+Table4[[#This Row],[Home Differential]])-Table4[[#This Row],[Away Differential]]</f>
        <v>-0.2849047012544641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0.4874796187021162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0.23763637864996059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-7.2312572939580336E-2</v>
      </c>
      <c r="H612" t="s">
        <v>28</v>
      </c>
      <c r="I612">
        <f>VLOOKUP(Table4[[#This Row],[Visitor]],'NHL Model'!$A$6:$B$38,2,FALSE)</f>
        <v>-0.29093210318822477</v>
      </c>
      <c r="J612">
        <f>($B$1+Table4[[#This Row],[Home Differential]])-Table4[[#This Row],[Away Differential]]</f>
        <v>0.35545610800877703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0.57428444062316575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0.3298026187418624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-0.21579108793246188</v>
      </c>
      <c r="H613" t="s">
        <v>38</v>
      </c>
      <c r="I613">
        <f>VLOOKUP(Table4[[#This Row],[Visitor]],'NHL Model'!$A$6:$B$38,2,FALSE)</f>
        <v>-0.87254503056606192</v>
      </c>
      <c r="J613">
        <f>($B$1+Table4[[#This Row],[Home Differential]])-Table4[[#This Row],[Away Differential]]</f>
        <v>0.79359052039373268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0.61654336629059769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0.3801257225169421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-0.9803970267772969</v>
      </c>
      <c r="H614" t="s">
        <v>23</v>
      </c>
      <c r="I614">
        <f>VLOOKUP(Table4[[#This Row],[Visitor]],'NHL Model'!$A$6:$B$38,2,FALSE)</f>
        <v>0.13483877693289487</v>
      </c>
      <c r="J614">
        <f>($B$1+Table4[[#This Row],[Home Differential]])-Table4[[#This Row],[Away Differential]]</f>
        <v>-0.97839922595005913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0.55436852936849179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0.19858740761720076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0.27119018820614604</v>
      </c>
      <c r="H615" t="s">
        <v>29</v>
      </c>
      <c r="I615">
        <f>VLOOKUP(Table4[[#This Row],[Visitor]],'NHL Model'!$A$6:$B$38,2,FALSE)</f>
        <v>-0.48381480045860298</v>
      </c>
      <c r="J615">
        <f>($B$1+Table4[[#This Row],[Home Differential]])-Table4[[#This Row],[Away Differential]]</f>
        <v>0.89184156642488155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0.64003649338995361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0.40964671287090815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0.1394237692045871</v>
      </c>
      <c r="H616" t="s">
        <v>34</v>
      </c>
      <c r="I616">
        <f>VLOOKUP(Table4[[#This Row],[Visitor]],'NHL Model'!$A$6:$B$38,2,FALSE)</f>
        <v>0.32232840463649798</v>
      </c>
      <c r="J616">
        <f>($B$1+Table4[[#This Row],[Home Differential]])-Table4[[#This Row],[Away Differential]]</f>
        <v>-4.6068057671778295E-2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0.51585169464529523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0.23439958157783244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-0.16816097389287935</v>
      </c>
      <c r="H617" t="s">
        <v>17</v>
      </c>
      <c r="I617">
        <f>VLOOKUP(Table4[[#This Row],[Visitor]],'NHL Model'!$A$6:$B$38,2,FALSE)</f>
        <v>3.922199270086173E-4</v>
      </c>
      <c r="J617">
        <f>($B$1+Table4[[#This Row],[Home Differential]])-Table4[[#This Row],[Away Differential]]</f>
        <v>-3.171661605975535E-2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0.46305912998980336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0.28830549788730686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-0.43286905189715857</v>
      </c>
      <c r="H618" t="s">
        <v>30</v>
      </c>
      <c r="I618">
        <f>VLOOKUP(Table4[[#This Row],[Visitor]],'NHL Model'!$A$6:$B$38,2,FALSE)</f>
        <v>0.25279292855900759</v>
      </c>
      <c r="J618">
        <f>($B$1+Table4[[#This Row],[Home Differential]])-Table4[[#This Row],[Away Differential]]</f>
        <v>-0.54882540269603353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0.53370452012639813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0.21743147455055264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-7.4962464446554744E-2</v>
      </c>
      <c r="H619" t="s">
        <v>18</v>
      </c>
      <c r="I619">
        <f>VLOOKUP(Table4[[#This Row],[Visitor]],'NHL Model'!$A$6:$B$38,2,FALSE)</f>
        <v>6.8462291869218858E-2</v>
      </c>
      <c r="J619">
        <f>($B$1+Table4[[#This Row],[Home Differential]])-Table4[[#This Row],[Away Differential]]</f>
        <v>-6.5881785556409916E-3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0.51204378266721906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0.23810127003371614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1.1343608350765873E-2</v>
      </c>
      <c r="H620" t="s">
        <v>25</v>
      </c>
      <c r="I620">
        <f>VLOOKUP(Table4[[#This Row],[Visitor]],'NHL Model'!$A$6:$B$38,2,FALSE)</f>
        <v>0.33829893848778331</v>
      </c>
      <c r="J620">
        <f>($B$1+Table4[[#This Row],[Home Differential]])-Table4[[#This Row],[Away Differential]]</f>
        <v>-0.19011875237688483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0.52084989035003348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0.27128460827764189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4.3410611683700091E-2</v>
      </c>
      <c r="H621" t="s">
        <v>24</v>
      </c>
      <c r="I621">
        <f>VLOOKUP(Table4[[#This Row],[Visitor]],'NHL Model'!$A$6:$B$38,2,FALSE)</f>
        <v>-0.27466957136179609</v>
      </c>
      <c r="J621">
        <f>($B$1+Table4[[#This Row],[Home Differential]])-Table4[[#This Row],[Away Differential]]</f>
        <v>0.45491676080562882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0.60567536898414343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0.15549191462579143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-0.87254503056606192</v>
      </c>
      <c r="H622" t="s">
        <v>27</v>
      </c>
      <c r="I622">
        <f>VLOOKUP(Table4[[#This Row],[Visitor]],'NHL Model'!$A$6:$B$38,2,FALSE)</f>
        <v>-7.417166684134277E-2</v>
      </c>
      <c r="J622">
        <f>($B$1+Table4[[#This Row],[Home Differential]])-Table4[[#This Row],[Away Differential]]</f>
        <v>-0.66153678596458654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0.53241008530782763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0.21864032832183303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-0.30466872127922601</v>
      </c>
      <c r="H623" t="s">
        <v>37</v>
      </c>
      <c r="I623">
        <f>VLOOKUP(Table4[[#This Row],[Visitor]],'NHL Model'!$A$6:$B$38,2,FALSE)</f>
        <v>0.98607049252714107</v>
      </c>
      <c r="J623">
        <f>($B$1+Table4[[#This Row],[Home Differential]])-Table4[[#This Row],[Away Differential]]</f>
        <v>-1.1539026360462346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0.65648568277353503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0.11800208613956441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-0.29093210318822477</v>
      </c>
      <c r="H624" t="s">
        <v>24</v>
      </c>
      <c r="I624">
        <f>VLOOKUP(Table4[[#This Row],[Visitor]],'NHL Model'!$A$6:$B$38,2,FALSE)</f>
        <v>-0.27466957136179609</v>
      </c>
      <c r="J624">
        <f>($B$1+Table4[[#This Row],[Home Differential]])-Table4[[#This Row],[Away Differential]]</f>
        <v>0.12057404593370394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0.54104136854548457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0.29272576247757087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-0.54997285633810766</v>
      </c>
      <c r="H625" t="s">
        <v>27</v>
      </c>
      <c r="I625">
        <f>VLOOKUP(Table4[[#This Row],[Visitor]],'NHL Model'!$A$6:$B$38,2,FALSE)</f>
        <v>-7.417166684134277E-2</v>
      </c>
      <c r="J625">
        <f>($B$1+Table4[[#This Row],[Home Differential]])-Table4[[#This Row],[Away Differential]]</f>
        <v>-0.33896461173663228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0.48723925792258493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0.23740209446095126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1.7070031799067014</v>
      </c>
      <c r="H626" t="s">
        <v>35</v>
      </c>
      <c r="I626">
        <f>VLOOKUP(Table4[[#This Row],[Visitor]],'NHL Model'!$A$6:$B$38,2,FALSE)</f>
        <v>-0.9803970267772969</v>
      </c>
      <c r="J626">
        <f>($B$1+Table4[[#This Row],[Home Differential]])-Table4[[#This Row],[Away Differential]]</f>
        <v>2.824236784444131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0.92487571920399225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5.6436575651174188E-3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0.5231745585052443</v>
      </c>
      <c r="H627" t="s">
        <v>23</v>
      </c>
      <c r="I627">
        <f>VLOOKUP(Table4[[#This Row],[Visitor]],'NHL Model'!$A$6:$B$38,2,FALSE)</f>
        <v>0.13483877693289487</v>
      </c>
      <c r="J627">
        <f>($B$1+Table4[[#This Row],[Home Differential]])-Table4[[#This Row],[Away Differential]]</f>
        <v>0.52517235933248196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0.60467052730957271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0.36562644659683674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-4.6015351177631898E-2</v>
      </c>
      <c r="H628" t="s">
        <v>40</v>
      </c>
      <c r="I628">
        <f>VLOOKUP(Table4[[#This Row],[Visitor]],'NHL Model'!$A$6:$B$38,2,FALSE)</f>
        <v>-0.16816097389287935</v>
      </c>
      <c r="J628">
        <f>($B$1+Table4[[#This Row],[Home Differential]])-Table4[[#This Row],[Away Differential]]</f>
        <v>0.25898220047538006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0.60679752434346401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0.15460818686242878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3.922199270086173E-4</v>
      </c>
      <c r="H629" t="s">
        <v>21</v>
      </c>
      <c r="I629">
        <f>VLOOKUP(Table4[[#This Row],[Visitor]],'NHL Model'!$A$6:$B$38,2,FALSE)</f>
        <v>0.17390560158361429</v>
      </c>
      <c r="J629">
        <f>($B$1+Table4[[#This Row],[Home Differential]])-Table4[[#This Row],[Away Differential]]</f>
        <v>-3.667680389647307E-2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0.45898309441533752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0.29269929212840368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-0.3566847028170323</v>
      </c>
      <c r="H630" t="s">
        <v>34</v>
      </c>
      <c r="I630">
        <f>VLOOKUP(Table4[[#This Row],[Visitor]],'NHL Model'!$A$6:$B$38,2,FALSE)</f>
        <v>0.32232840463649798</v>
      </c>
      <c r="J630">
        <f>($B$1+Table4[[#This Row],[Home Differential]])-Table4[[#This Row],[Away Differential]]</f>
        <v>-0.54217652969339769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0.56370233237088097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0.31776031952037115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0.1394237692045871</v>
      </c>
      <c r="H631" t="s">
        <v>29</v>
      </c>
      <c r="I631">
        <f>VLOOKUP(Table4[[#This Row],[Visitor]],'NHL Model'!$A$6:$B$38,2,FALSE)</f>
        <v>-0.48381480045860298</v>
      </c>
      <c r="J631">
        <f>($B$1+Table4[[#This Row],[Home Differential]])-Table4[[#This Row],[Away Differential]]</f>
        <v>0.76007514742332272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0.61331074265949981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0.37615006706154719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0.34677881456804194</v>
      </c>
      <c r="H632" t="s">
        <v>15</v>
      </c>
      <c r="I632">
        <f>VLOOKUP(Table4[[#This Row],[Visitor]],'NHL Model'!$A$6:$B$38,2,FALSE)</f>
        <v>-0.36341023830385849</v>
      </c>
      <c r="J632">
        <f>($B$1+Table4[[#This Row],[Home Differential]])-Table4[[#This Row],[Away Differential]]</f>
        <v>0.84702563063203296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0.55813707832933512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0.19524284154733612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0.33829893848778331</v>
      </c>
      <c r="H633" t="s">
        <v>18</v>
      </c>
      <c r="I633">
        <f>VLOOKUP(Table4[[#This Row],[Visitor]],'NHL Model'!$A$6:$B$38,2,FALSE)</f>
        <v>6.8462291869218858E-2</v>
      </c>
      <c r="J633">
        <f>($B$1+Table4[[#This Row],[Home Differential]])-Table4[[#This Row],[Away Differential]]</f>
        <v>0.40667322437869707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0.57024896324021968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0.32518388007654542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-0.43286905189715857</v>
      </c>
      <c r="H634" t="s">
        <v>39</v>
      </c>
      <c r="I634">
        <f>VLOOKUP(Table4[[#This Row],[Visitor]],'NHL Model'!$A$6:$B$38,2,FALSE)</f>
        <v>0.5231745585052443</v>
      </c>
      <c r="J634">
        <f>($B$1+Table4[[#This Row],[Home Differential]])-Table4[[#This Row],[Away Differential]]</f>
        <v>-0.81920703264227024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0.59554305489176751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0.35467153022981879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-0.14985965438623808</v>
      </c>
      <c r="H635" t="s">
        <v>37</v>
      </c>
      <c r="I635">
        <f>VLOOKUP(Table4[[#This Row],[Visitor]],'NHL Model'!$A$6:$B$38,2,FALSE)</f>
        <v>0.98607049252714107</v>
      </c>
      <c r="J635">
        <f>($B$1+Table4[[#This Row],[Home Differential]])-Table4[[#This Row],[Away Differential]]</f>
        <v>-0.99909356915324654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0.66378777044057258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0.11303866330532113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0.25279292855900759</v>
      </c>
      <c r="H636" t="s">
        <v>55</v>
      </c>
      <c r="I636">
        <f>VLOOKUP(Table4[[#This Row],[Visitor]],'NHL Model'!$A$6:$B$38,2,FALSE)</f>
        <v>0.27119018820614604</v>
      </c>
      <c r="J636">
        <f>($B$1+Table4[[#This Row],[Home Differential]])-Table4[[#This Row],[Away Differential]]</f>
        <v>0.11843931811299413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0.57052913645324888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0.32550349554208985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-7.2312572939580336E-2</v>
      </c>
      <c r="H637" t="s">
        <v>22</v>
      </c>
      <c r="I637">
        <f>VLOOKUP(Table4[[#This Row],[Visitor]],'NHL Model'!$A$6:$B$38,2,FALSE)</f>
        <v>0.34677881456804194</v>
      </c>
      <c r="J637">
        <f>($B$1+Table4[[#This Row],[Home Differential]])-Table4[[#This Row],[Away Differential]]</f>
        <v>-0.28225480974748968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0.48722403145524734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0.23738725682750386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1.1343608350765873E-2</v>
      </c>
      <c r="H638" t="s">
        <v>26</v>
      </c>
      <c r="I638">
        <f>VLOOKUP(Table4[[#This Row],[Visitor]],'NHL Model'!$A$6:$B$38,2,FALSE)</f>
        <v>-4.6015351177631898E-2</v>
      </c>
      <c r="J638">
        <f>($B$1+Table4[[#This Row],[Home Differential]])-Table4[[#This Row],[Away Differential]]</f>
        <v>0.19419553728853037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0.52733005005721212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0.22341688157891759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-0.21579108793246188</v>
      </c>
      <c r="H639" t="s">
        <v>29</v>
      </c>
      <c r="I639">
        <f>VLOOKUP(Table4[[#This Row],[Visitor]],'NHL Model'!$A$6:$B$38,2,FALSE)</f>
        <v>-0.48381480045860298</v>
      </c>
      <c r="J639">
        <f>($B$1+Table4[[#This Row],[Home Differential]])-Table4[[#This Row],[Away Differential]]</f>
        <v>0.40486029028627368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0.57904957115733302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0.17719926354282522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4.3410611683700091E-2</v>
      </c>
      <c r="H640" t="s">
        <v>40</v>
      </c>
      <c r="I640">
        <f>VLOOKUP(Table4[[#This Row],[Visitor]],'NHL Model'!$A$6:$B$38,2,FALSE)</f>
        <v>-0.16816097389287935</v>
      </c>
      <c r="J640">
        <f>($B$1+Table4[[#This Row],[Home Differential]])-Table4[[#This Row],[Away Differential]]</f>
        <v>0.34840816333671204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0.60585071830803394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0.15535365625829281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-0.30466872127922601</v>
      </c>
      <c r="H641" t="s">
        <v>34</v>
      </c>
      <c r="I641">
        <f>VLOOKUP(Table4[[#This Row],[Visitor]],'NHL Model'!$A$6:$B$38,2,FALSE)</f>
        <v>0.32232840463649798</v>
      </c>
      <c r="J641">
        <f>($B$1+Table4[[#This Row],[Home Differential]])-Table4[[#This Row],[Away Differential]]</f>
        <v>-0.4901605481555914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0.53616583766098247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0.21514213015273806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-7.4962464446554744E-2</v>
      </c>
      <c r="H642" t="s">
        <v>15</v>
      </c>
      <c r="I642">
        <f>VLOOKUP(Table4[[#This Row],[Visitor]],'NHL Model'!$A$6:$B$38,2,FALSE)</f>
        <v>-0.36341023830385849</v>
      </c>
      <c r="J642">
        <f>($B$1+Table4[[#This Row],[Home Differential]])-Table4[[#This Row],[Away Differential]]</f>
        <v>0.42528435161743638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0.50839634292885771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0.25846684150343668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-0.9803970267772969</v>
      </c>
      <c r="H643" t="s">
        <v>20</v>
      </c>
      <c r="I643">
        <f>VLOOKUP(Table4[[#This Row],[Visitor]],'NHL Model'!$A$6:$B$38,2,FALSE)</f>
        <v>0.1394237692045871</v>
      </c>
      <c r="J643">
        <f>($B$1+Table4[[#This Row],[Home Differential]])-Table4[[#This Row],[Away Differential]]</f>
        <v>-0.98298421822175142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0.5862112522899916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0.34364363231140016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-0.87254503056606192</v>
      </c>
      <c r="H644" t="s">
        <v>32</v>
      </c>
      <c r="I644">
        <f>VLOOKUP(Table4[[#This Row],[Visitor]],'NHL Model'!$A$6:$B$38,2,FALSE)</f>
        <v>-0.21579108793246188</v>
      </c>
      <c r="J644">
        <f>($B$1+Table4[[#This Row],[Home Differential]])-Table4[[#This Row],[Away Differential]]</f>
        <v>-0.5199173648734674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0.51983108300437497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0.23056218884875143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0.33829893848778331</v>
      </c>
      <c r="H645" t="s">
        <v>12</v>
      </c>
      <c r="I645">
        <f>VLOOKUP(Table4[[#This Row],[Visitor]],'NHL Model'!$A$6:$B$38,2,FALSE)</f>
        <v>1.7070031799067014</v>
      </c>
      <c r="J645">
        <f>($B$1+Table4[[#This Row],[Home Differential]])-Table4[[#This Row],[Away Differential]]</f>
        <v>-1.2318676636587855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0.60628123969059167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0.15501446221957732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-0.29093210318822477</v>
      </c>
      <c r="H646" t="s">
        <v>23</v>
      </c>
      <c r="I646">
        <f>VLOOKUP(Table4[[#This Row],[Visitor]],'NHL Model'!$A$6:$B$38,2,FALSE)</f>
        <v>0.13483877693289487</v>
      </c>
      <c r="J646">
        <f>($B$1+Table4[[#This Row],[Home Differential]])-Table4[[#This Row],[Away Differential]]</f>
        <v>-0.28893430236098705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0.48786828165306551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0.23801546024311485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-0.54997285633810766</v>
      </c>
      <c r="H647" t="s">
        <v>29</v>
      </c>
      <c r="I647">
        <f>VLOOKUP(Table4[[#This Row],[Visitor]],'NHL Model'!$A$6:$B$38,2,FALSE)</f>
        <v>-0.48381480045860298</v>
      </c>
      <c r="J647">
        <f>($B$1+Table4[[#This Row],[Home Differential]])-Table4[[#This Row],[Away Differential]]</f>
        <v>7.0678521880627898E-2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0.56083370292356993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0.31453444233496308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-4.6015351177631898E-2</v>
      </c>
      <c r="H648" t="s">
        <v>14</v>
      </c>
      <c r="I648">
        <f>VLOOKUP(Table4[[#This Row],[Visitor]],'NHL Model'!$A$6:$B$38,2,FALSE)</f>
        <v>1.1343608350765873E-2</v>
      </c>
      <c r="J648">
        <f>($B$1+Table4[[#This Row],[Home Differential]])-Table4[[#This Row],[Away Differential]]</f>
        <v>7.9477618231734853E-2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0.56906928134340373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0.323839846968698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3.922199270086173E-4</v>
      </c>
      <c r="H649" t="s">
        <v>27</v>
      </c>
      <c r="I649">
        <f>VLOOKUP(Table4[[#This Row],[Visitor]],'NHL Model'!$A$6:$B$38,2,FALSE)</f>
        <v>-7.417166684134277E-2</v>
      </c>
      <c r="J649">
        <f>($B$1+Table4[[#This Row],[Home Differential]])-Table4[[#This Row],[Away Differential]]</f>
        <v>0.21140046452848399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0.55635286755371116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0.30952851323523728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-0.14985965438623808</v>
      </c>
      <c r="H650" t="s">
        <v>34</v>
      </c>
      <c r="I650">
        <f>VLOOKUP(Table4[[#This Row],[Visitor]],'NHL Model'!$A$6:$B$38,2,FALSE)</f>
        <v>0.32232840463649798</v>
      </c>
      <c r="J650">
        <f>($B$1+Table4[[#This Row],[Home Differential]])-Table4[[#This Row],[Away Differential]]</f>
        <v>-0.33535148126260345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0.54375364972752671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0.29566803159200583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-0.27466957136179609</v>
      </c>
      <c r="H651" t="s">
        <v>55</v>
      </c>
      <c r="I651">
        <f>VLOOKUP(Table4[[#This Row],[Visitor]],'NHL Model'!$A$6:$B$38,2,FALSE)</f>
        <v>0.27119018820614604</v>
      </c>
      <c r="J651">
        <f>($B$1+Table4[[#This Row],[Home Differential]])-Table4[[#This Row],[Away Differential]]</f>
        <v>-0.4090231818078095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0.49695561102658636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0.2469648793308078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0.25279292855900759</v>
      </c>
      <c r="H652" t="s">
        <v>19</v>
      </c>
      <c r="I652">
        <f>VLOOKUP(Table4[[#This Row],[Visitor]],'NHL Model'!$A$6:$B$38,2,FALSE)</f>
        <v>4.3410611683700091E-2</v>
      </c>
      <c r="J652">
        <f>($B$1+Table4[[#This Row],[Home Differential]])-Table4[[#This Row],[Away Differential]]</f>
        <v>0.34621889463544009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0.59249892453819797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0.16605712650252527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-7.2312572939580336E-2</v>
      </c>
      <c r="H653" t="s">
        <v>40</v>
      </c>
      <c r="I653">
        <f>VLOOKUP(Table4[[#This Row],[Visitor]],'NHL Model'!$A$6:$B$38,2,FALSE)</f>
        <v>-0.16816097389287935</v>
      </c>
      <c r="J653">
        <f>($B$1+Table4[[#This Row],[Home Differential]])-Table4[[#This Row],[Away Differential]]</f>
        <v>0.23268497871343163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0.56244292377276084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0.19145619495652999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-0.3566847028170323</v>
      </c>
      <c r="H654" t="s">
        <v>37</v>
      </c>
      <c r="I654">
        <f>VLOOKUP(Table4[[#This Row],[Visitor]],'NHL Model'!$A$6:$B$38,2,FALSE)</f>
        <v>0.98607049252714107</v>
      </c>
      <c r="J654">
        <f>($B$1+Table4[[#This Row],[Home Differential]])-Table4[[#This Row],[Away Differential]]</f>
        <v>-1.2059186175840408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0.68373645308392672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0.10002263110793529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-0.9803970267772969</v>
      </c>
      <c r="H655" t="s">
        <v>18</v>
      </c>
      <c r="I655">
        <f>VLOOKUP(Table4[[#This Row],[Visitor]],'NHL Model'!$A$6:$B$38,2,FALSE)</f>
        <v>6.8462291869218858E-2</v>
      </c>
      <c r="J655">
        <f>($B$1+Table4[[#This Row],[Home Differential]])-Table4[[#This Row],[Away Differential]]</f>
        <v>-0.91202274088638313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0.59937472674435333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0.35925006305986823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-0.87254503056606192</v>
      </c>
      <c r="H656" t="s">
        <v>21</v>
      </c>
      <c r="I656">
        <f>VLOOKUP(Table4[[#This Row],[Visitor]],'NHL Model'!$A$6:$B$38,2,FALSE)</f>
        <v>0.17390560158361429</v>
      </c>
      <c r="J656">
        <f>($B$1+Table4[[#This Row],[Home Differential]])-Table4[[#This Row],[Away Differential]]</f>
        <v>-0.90961405438954368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0.547734064305192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0.20454447658990021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0.34677881456804194</v>
      </c>
      <c r="H657" t="s">
        <v>10</v>
      </c>
      <c r="I657">
        <f>VLOOKUP(Table4[[#This Row],[Visitor]],'NHL Model'!$A$6:$B$38,2,FALSE)</f>
        <v>-0.43286905189715857</v>
      </c>
      <c r="J657">
        <f>($B$1+Table4[[#This Row],[Home Differential]])-Table4[[#This Row],[Away Differential]]</f>
        <v>0.91648444422533304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0.63741633475863757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0.40629958381713549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-0.29093210318822477</v>
      </c>
      <c r="H658" t="s">
        <v>14</v>
      </c>
      <c r="I658">
        <f>VLOOKUP(Table4[[#This Row],[Visitor]],'NHL Model'!$A$6:$B$38,2,FALSE)</f>
        <v>1.1343608350765873E-2</v>
      </c>
      <c r="J658">
        <f>($B$1+Table4[[#This Row],[Home Differential]])-Table4[[#This Row],[Away Differential]]</f>
        <v>-0.16543913377885802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0.49672616055885516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0.25328455746583128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-0.43286905189715857</v>
      </c>
      <c r="H659" t="s">
        <v>20</v>
      </c>
      <c r="I659">
        <f>VLOOKUP(Table4[[#This Row],[Visitor]],'NHL Model'!$A$6:$B$38,2,FALSE)</f>
        <v>0.1394237692045871</v>
      </c>
      <c r="J659">
        <f>($B$1+Table4[[#This Row],[Home Differential]])-Table4[[#This Row],[Away Differential]]</f>
        <v>-0.43545624334161304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0.53340110239706384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0.284516736038403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0.5231745585052443</v>
      </c>
      <c r="H660" t="s">
        <v>18</v>
      </c>
      <c r="I660">
        <f>VLOOKUP(Table4[[#This Row],[Visitor]],'NHL Model'!$A$6:$B$38,2,FALSE)</f>
        <v>6.8462291869218858E-2</v>
      </c>
      <c r="J660">
        <f>($B$1+Table4[[#This Row],[Home Differential]])-Table4[[#This Row],[Away Differential]]</f>
        <v>0.59154884439615807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0.55978828976210515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0.3133629293547826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-7.4962464446554744E-2</v>
      </c>
      <c r="H661" t="s">
        <v>12</v>
      </c>
      <c r="I661">
        <f>VLOOKUP(Table4[[#This Row],[Visitor]],'NHL Model'!$A$6:$B$38,2,FALSE)</f>
        <v>1.7070031799067014</v>
      </c>
      <c r="J661">
        <f>($B$1+Table4[[#This Row],[Home Differential]])-Table4[[#This Row],[Away Differential]]</f>
        <v>-1.6451290665931235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0.68857752332992206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0.47413900563516936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-0.27466957136179609</v>
      </c>
      <c r="H662" t="s">
        <v>25</v>
      </c>
      <c r="I662">
        <f>VLOOKUP(Table4[[#This Row],[Visitor]],'NHL Model'!$A$6:$B$38,2,FALSE)</f>
        <v>0.33829893848778331</v>
      </c>
      <c r="J662">
        <f>($B$1+Table4[[#This Row],[Home Differential]])-Table4[[#This Row],[Away Differential]]</f>
        <v>-0.47613193208944682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0.54592386116518976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0.20618513985912987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-0.54997285633810766</v>
      </c>
      <c r="H663" t="s">
        <v>32</v>
      </c>
      <c r="I663">
        <f>VLOOKUP(Table4[[#This Row],[Visitor]],'NHL Model'!$A$6:$B$38,2,FALSE)</f>
        <v>-0.21579108793246188</v>
      </c>
      <c r="J663">
        <f>($B$1+Table4[[#This Row],[Home Differential]])-Table4[[#This Row],[Away Differential]]</f>
        <v>-0.1973451906455132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0.47465563349293721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0.27598670342070708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-0.14985965438623808</v>
      </c>
      <c r="H664" t="s">
        <v>34</v>
      </c>
      <c r="I664">
        <f>VLOOKUP(Table4[[#This Row],[Visitor]],'NHL Model'!$A$6:$B$38,2,FALSE)</f>
        <v>0.32232840463649798</v>
      </c>
      <c r="J664">
        <f>($B$1+Table4[[#This Row],[Home Differential]])-Table4[[#This Row],[Away Differential]]</f>
        <v>-0.33535148126260345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0.54375364972752671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0.29566803159200583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-0.36341023830385849</v>
      </c>
      <c r="H665" t="s">
        <v>55</v>
      </c>
      <c r="I665">
        <f>VLOOKUP(Table4[[#This Row],[Visitor]],'NHL Model'!$A$6:$B$38,2,FALSE)</f>
        <v>0.27119018820614604</v>
      </c>
      <c r="J665">
        <f>($B$1+Table4[[#This Row],[Home Differential]])-Table4[[#This Row],[Away Differential]]</f>
        <v>-0.4977638487498719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0.50801030206633002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0.24205386287286382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-7.2312572939580336E-2</v>
      </c>
      <c r="H666" t="s">
        <v>26</v>
      </c>
      <c r="I666">
        <f>VLOOKUP(Table4[[#This Row],[Visitor]],'NHL Model'!$A$6:$B$38,2,FALSE)</f>
        <v>-4.6015351177631898E-2</v>
      </c>
      <c r="J666">
        <f>($B$1+Table4[[#This Row],[Home Differential]])-Table4[[#This Row],[Away Differential]]</f>
        <v>0.11053935599818418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0.51926124686157582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0.26963224249223838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0.34677881456804194</v>
      </c>
      <c r="H667" t="s">
        <v>31</v>
      </c>
      <c r="I667">
        <f>VLOOKUP(Table4[[#This Row],[Visitor]],'NHL Model'!$A$6:$B$38,2,FALSE)</f>
        <v>-0.30466872127922601</v>
      </c>
      <c r="J667">
        <f>($B$1+Table4[[#This Row],[Home Differential]])-Table4[[#This Row],[Away Differential]]</f>
        <v>0.78828411360740058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0.62505116076412515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0.14058663204432992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0.13483877693289487</v>
      </c>
      <c r="H668" t="s">
        <v>38</v>
      </c>
      <c r="I668">
        <f>VLOOKUP(Table4[[#This Row],[Visitor]],'NHL Model'!$A$6:$B$38,2,FALSE)</f>
        <v>-0.87254503056606192</v>
      </c>
      <c r="J668">
        <f>($B$1+Table4[[#This Row],[Home Differential]])-Table4[[#This Row],[Away Differential]]</f>
        <v>1.1442203852590893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0.69675792785111479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9.1955754321149705E-2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0.33829893848778331</v>
      </c>
      <c r="H669" t="s">
        <v>39</v>
      </c>
      <c r="I669">
        <f>VLOOKUP(Table4[[#This Row],[Visitor]],'NHL Model'!$A$6:$B$38,2,FALSE)</f>
        <v>0.5231745585052443</v>
      </c>
      <c r="J669">
        <f>($B$1+Table4[[#This Row],[Home Differential]])-Table4[[#This Row],[Away Differential]]</f>
        <v>-4.8039042257328357E-2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0.47871689877987789</v>
      </c>
      <c r="M669" t="str">
        <f>IF(OR((NHL2025_26Results[[#This Row],[Winning Team]]="")),"-",IF(Table4[[#This Row],[Predicted Winner]]=NHL2025_26Results[[#This Row],[Winning Team]],"YES","NO"))</f>
        <v>NO</v>
      </c>
      <c r="N669">
        <f>IF(Table4[[#This Row],[Adjusted Correct]]="-", "",IF(Table4[[#This Row],[Adjusted Correct]]="YES",(Table4[[#This Row],[Strength of Win]]-1)^2,(Table4[[#This Row],[Strength of Win]]-0)^2))</f>
        <v>0.22916986917742385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3.922199270086173E-4</v>
      </c>
      <c r="H670" t="s">
        <v>29</v>
      </c>
      <c r="I670">
        <f>VLOOKUP(Table4[[#This Row],[Visitor]],'NHL Model'!$A$6:$B$38,2,FALSE)</f>
        <v>-0.48381480045860298</v>
      </c>
      <c r="J670">
        <f>($B$1+Table4[[#This Row],[Home Differential]])-Table4[[#This Row],[Away Differential]]</f>
        <v>0.62104359814574417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0.60445533177117849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0.15645558456424849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0.25279292855900759</v>
      </c>
      <c r="H671" t="s">
        <v>24</v>
      </c>
      <c r="I671">
        <f>VLOOKUP(Table4[[#This Row],[Visitor]],'NHL Model'!$A$6:$B$38,2,FALSE)</f>
        <v>-0.27466957136179609</v>
      </c>
      <c r="J671">
        <f>($B$1+Table4[[#This Row],[Home Differential]])-Table4[[#This Row],[Away Differential]]</f>
        <v>0.66429907768093632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0.61266229408164974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0.1500304984260904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-7.417166684134277E-2</v>
      </c>
      <c r="H672" t="s">
        <v>31</v>
      </c>
      <c r="I672">
        <f>VLOOKUP(Table4[[#This Row],[Visitor]],'NHL Model'!$A$6:$B$38,2,FALSE)</f>
        <v>-0.30466872127922601</v>
      </c>
      <c r="J672">
        <f>($B$1+Table4[[#This Row],[Home Differential]])-Table4[[#This Row],[Away Differential]]</f>
        <v>0.36733363219801585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0.57543005118841195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0.18025964143387449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-0.21579108793246188</v>
      </c>
      <c r="H673" t="s">
        <v>21</v>
      </c>
      <c r="I673">
        <f>VLOOKUP(Table4[[#This Row],[Visitor]],'NHL Model'!$A$6:$B$38,2,FALSE)</f>
        <v>0.17390560158361429</v>
      </c>
      <c r="J673">
        <f>($B$1+Table4[[#This Row],[Home Differential]])-Table4[[#This Row],[Away Differential]]</f>
        <v>-0.25286011175594358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0.48438885502918305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0.2346325628764829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-0.3566847028170323</v>
      </c>
      <c r="H674" t="s">
        <v>28</v>
      </c>
      <c r="I674">
        <f>VLOOKUP(Table4[[#This Row],[Visitor]],'NHL Model'!$A$6:$B$38,2,FALSE)</f>
        <v>-0.29093210318822477</v>
      </c>
      <c r="J674">
        <f>($B$1+Table4[[#This Row],[Home Differential]])-Table4[[#This Row],[Away Differential]]</f>
        <v>7.1083978131325082E-2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0.5468561894776659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0.20533931301470104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0.98607049252714107</v>
      </c>
      <c r="H675" t="s">
        <v>12</v>
      </c>
      <c r="I675">
        <f>VLOOKUP(Table4[[#This Row],[Visitor]],'NHL Model'!$A$6:$B$38,2,FALSE)</f>
        <v>1.7070031799067014</v>
      </c>
      <c r="J675">
        <f>($B$1+Table4[[#This Row],[Home Differential]])-Table4[[#This Row],[Away Differential]]</f>
        <v>-0.58409610961942771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0.57212669208411171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0.32732895179510796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4.3410611683700091E-2</v>
      </c>
      <c r="H676" t="s">
        <v>11</v>
      </c>
      <c r="I676">
        <f>VLOOKUP(Table4[[#This Row],[Visitor]],'NHL Model'!$A$6:$B$38,2,FALSE)</f>
        <v>-7.4962464446554744E-2</v>
      </c>
      <c r="J676">
        <f>($B$1+Table4[[#This Row],[Home Differential]])-Table4[[#This Row],[Away Differential]]</f>
        <v>0.25520965389038741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0.56362256518701492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0.19042526561396103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-0.16816097389287935</v>
      </c>
      <c r="H677" t="s">
        <v>20</v>
      </c>
      <c r="I677">
        <f>VLOOKUP(Table4[[#This Row],[Visitor]],'NHL Model'!$A$6:$B$38,2,FALSE)</f>
        <v>0.1394237692045871</v>
      </c>
      <c r="J677">
        <f>($B$1+Table4[[#This Row],[Home Differential]])-Table4[[#This Row],[Away Differential]]</f>
        <v>-0.17074816533733383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0.50786948772416041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0.2421924411128803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-0.43286905189715857</v>
      </c>
      <c r="H678" t="s">
        <v>35</v>
      </c>
      <c r="I678">
        <f>VLOOKUP(Table4[[#This Row],[Visitor]],'NHL Model'!$A$6:$B$38,2,FALSE)</f>
        <v>-0.9803970267772969</v>
      </c>
      <c r="J678">
        <f>($B$1+Table4[[#This Row],[Home Differential]])-Table4[[#This Row],[Away Differential]]</f>
        <v>0.68436455264027096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0.60600830690751661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0.15522945422588161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-0.14985965438623808</v>
      </c>
      <c r="H679" t="s">
        <v>33</v>
      </c>
      <c r="I679">
        <f>VLOOKUP(Table4[[#This Row],[Visitor]],'NHL Model'!$A$6:$B$38,2,FALSE)</f>
        <v>-0.3566847028170323</v>
      </c>
      <c r="J679">
        <f>($B$1+Table4[[#This Row],[Home Differential]])-Table4[[#This Row],[Away Differential]]</f>
        <v>0.34366162619092683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0.55237760888871223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0.30512102280161113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6.8462291869218858E-2</v>
      </c>
      <c r="H680" t="s">
        <v>16</v>
      </c>
      <c r="I680">
        <f>VLOOKUP(Table4[[#This Row],[Visitor]],'NHL Model'!$A$6:$B$38,2,FALSE)</f>
        <v>-0.54997285633810766</v>
      </c>
      <c r="J680">
        <f>($B$1+Table4[[#This Row],[Home Differential]])-Table4[[#This Row],[Away Differential]]</f>
        <v>0.75527172596745906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0.61361283422911106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0.1492950418724604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0.27119018820614604</v>
      </c>
      <c r="H681" t="s">
        <v>36</v>
      </c>
      <c r="I681">
        <f>VLOOKUP(Table4[[#This Row],[Visitor]],'NHL Model'!$A$6:$B$38,2,FALSE)</f>
        <v>-7.2312572939580336E-2</v>
      </c>
      <c r="J681">
        <f>($B$1+Table4[[#This Row],[Home Differential]])-Table4[[#This Row],[Away Differential]]</f>
        <v>0.48033933890585895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0.59070837205136539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0.16751963670884354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0.34677881456804194</v>
      </c>
      <c r="H682" t="s">
        <v>39</v>
      </c>
      <c r="I682">
        <f>VLOOKUP(Table4[[#This Row],[Visitor]],'NHL Model'!$A$6:$B$38,2,FALSE)</f>
        <v>0.5231745585052443</v>
      </c>
      <c r="J682">
        <f>($B$1+Table4[[#This Row],[Home Differential]])-Table4[[#This Row],[Away Differential]]</f>
        <v>-3.9559166177069782E-2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0.51125804922217155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0.2388686944501173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0.17390560158361429</v>
      </c>
      <c r="H683" t="s">
        <v>16</v>
      </c>
      <c r="I683">
        <f>VLOOKUP(Table4[[#This Row],[Visitor]],'NHL Model'!$A$6:$B$38,2,FALSE)</f>
        <v>-0.54997285633810766</v>
      </c>
      <c r="J683">
        <f>($B$1+Table4[[#This Row],[Home Differential]])-Table4[[#This Row],[Away Differential]]</f>
        <v>0.86071503568185459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0.64905539363979514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0.12316211673331914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0.33829893848778331</v>
      </c>
      <c r="H684" t="s">
        <v>31</v>
      </c>
      <c r="I684">
        <f>VLOOKUP(Table4[[#This Row],[Visitor]],'NHL Model'!$A$6:$B$38,2,FALSE)</f>
        <v>-0.30466872127922601</v>
      </c>
      <c r="J684">
        <f>($B$1+Table4[[#This Row],[Home Differential]])-Table4[[#This Row],[Away Differential]]</f>
        <v>0.7798042375271419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0.65703183401552179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0.1176271628787566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1.7070031799067014</v>
      </c>
      <c r="H685" t="s">
        <v>36</v>
      </c>
      <c r="I685">
        <f>VLOOKUP(Table4[[#This Row],[Visitor]],'NHL Model'!$A$6:$B$38,2,FALSE)</f>
        <v>-7.2312572939580336E-2</v>
      </c>
      <c r="J685">
        <f>($B$1+Table4[[#This Row],[Home Differential]])-Table4[[#This Row],[Away Differential]]</f>
        <v>1.9161523306064143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0.82841018028964131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2.9443066228233401E-2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-4.6015351177631898E-2</v>
      </c>
      <c r="H686" t="s">
        <v>38</v>
      </c>
      <c r="I686">
        <f>VLOOKUP(Table4[[#This Row],[Visitor]],'NHL Model'!$A$6:$B$38,2,FALSE)</f>
        <v>-0.87254503056606192</v>
      </c>
      <c r="J686">
        <f>($B$1+Table4[[#This Row],[Home Differential]])-Table4[[#This Row],[Away Differential]]</f>
        <v>0.96336625714856261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0.67473675178338177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0.1057961806404254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6.8462291869218858E-2</v>
      </c>
      <c r="H687" t="s">
        <v>11</v>
      </c>
      <c r="I687">
        <f>VLOOKUP(Table4[[#This Row],[Visitor]],'NHL Model'!$A$6:$B$38,2,FALSE)</f>
        <v>-7.4962464446554744E-2</v>
      </c>
      <c r="J687">
        <f>($B$1+Table4[[#This Row],[Home Differential]])-Table4[[#This Row],[Away Differential]]</f>
        <v>0.2802613340759062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0.5342186151227678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0.21695229849815231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-0.48381480045860298</v>
      </c>
      <c r="H688" t="s">
        <v>30</v>
      </c>
      <c r="I688">
        <f>VLOOKUP(Table4[[#This Row],[Visitor]],'NHL Model'!$A$6:$B$38,2,FALSE)</f>
        <v>0.25279292855900759</v>
      </c>
      <c r="J688">
        <f>($B$1+Table4[[#This Row],[Home Differential]])-Table4[[#This Row],[Away Differential]]</f>
        <v>-0.59977115125747793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0.53861833776014778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0.29010971377150463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-0.36341023830385849</v>
      </c>
      <c r="H689" t="s">
        <v>23</v>
      </c>
      <c r="I689">
        <f>VLOOKUP(Table4[[#This Row],[Visitor]],'NHL Model'!$A$6:$B$38,2,FALSE)</f>
        <v>0.13483877693289487</v>
      </c>
      <c r="J689">
        <f>($B$1+Table4[[#This Row],[Home Differential]])-Table4[[#This Row],[Away Differential]]</f>
        <v>-0.36141243747662077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0.4948589403134826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0.2551674901812177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-7.417166684134277E-2</v>
      </c>
      <c r="H690" t="s">
        <v>19</v>
      </c>
      <c r="I690">
        <f>VLOOKUP(Table4[[#This Row],[Visitor]],'NHL Model'!$A$6:$B$38,2,FALSE)</f>
        <v>4.3410611683700091E-2</v>
      </c>
      <c r="J690">
        <f>($B$1+Table4[[#This Row],[Home Differential]])-Table4[[#This Row],[Away Differential]]</f>
        <v>1.9254299235089749E-2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0.54185711502487333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0.29360913310307879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1.1343608350765873E-2</v>
      </c>
      <c r="H691" t="s">
        <v>24</v>
      </c>
      <c r="I691">
        <f>VLOOKUP(Table4[[#This Row],[Visitor]],'NHL Model'!$A$6:$B$38,2,FALSE)</f>
        <v>-0.27466957136179609</v>
      </c>
      <c r="J691">
        <f>($B$1+Table4[[#This Row],[Home Differential]])-Table4[[#This Row],[Away Differential]]</f>
        <v>0.4228497574726946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0.57019645534969776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0.18473108699396434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-0.21579108793246188</v>
      </c>
      <c r="H692" t="s">
        <v>34</v>
      </c>
      <c r="I692">
        <f>VLOOKUP(Table4[[#This Row],[Visitor]],'NHL Model'!$A$6:$B$38,2,FALSE)</f>
        <v>0.32232840463649798</v>
      </c>
      <c r="J692">
        <f>($B$1+Table4[[#This Row],[Home Differential]])-Table4[[#This Row],[Away Differential]]</f>
        <v>-0.40128291480882727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0.55011286614746202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0.20239843320605141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0.1394237692045871</v>
      </c>
      <c r="H693" t="s">
        <v>28</v>
      </c>
      <c r="I693">
        <f>VLOOKUP(Table4[[#This Row],[Visitor]],'NHL Model'!$A$6:$B$38,2,FALSE)</f>
        <v>-0.29093210318822477</v>
      </c>
      <c r="J693">
        <f>($B$1+Table4[[#This Row],[Home Differential]])-Table4[[#This Row],[Away Differential]]</f>
        <v>0.56719245015294439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0.59470682720325152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0.16426255591565503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-0.16816097389287935</v>
      </c>
      <c r="H694" t="s">
        <v>17</v>
      </c>
      <c r="I694">
        <f>VLOOKUP(Table4[[#This Row],[Visitor]],'NHL Model'!$A$6:$B$38,2,FALSE)</f>
        <v>3.922199270086173E-4</v>
      </c>
      <c r="J694">
        <f>($B$1+Table4[[#This Row],[Home Differential]])-Table4[[#This Row],[Away Differential]]</f>
        <v>-3.171661605975535E-2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0.46305912998980336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0.28830549788730686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-0.43286905189715857</v>
      </c>
      <c r="H695" t="s">
        <v>22</v>
      </c>
      <c r="I695">
        <f>VLOOKUP(Table4[[#This Row],[Visitor]],'NHL Model'!$A$6:$B$38,2,FALSE)</f>
        <v>0.34677881456804194</v>
      </c>
      <c r="J695">
        <f>($B$1+Table4[[#This Row],[Home Differential]])-Table4[[#This Row],[Away Differential]]</f>
        <v>-0.64281128870506787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0.52200041288632271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0.22848360528084596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0.27119018820614604</v>
      </c>
      <c r="H696" t="s">
        <v>35</v>
      </c>
      <c r="I696">
        <f>VLOOKUP(Table4[[#This Row],[Visitor]],'NHL Model'!$A$6:$B$38,2,FALSE)</f>
        <v>-0.9803970267772969</v>
      </c>
      <c r="J696">
        <f>($B$1+Table4[[#This Row],[Home Differential]])-Table4[[#This Row],[Away Differential]]</f>
        <v>1.3884237927435756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0.68793282564913172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9.7385921307335227E-2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-0.16816097389287935</v>
      </c>
      <c r="H697" t="s">
        <v>13</v>
      </c>
      <c r="I697">
        <f>VLOOKUP(Table4[[#This Row],[Visitor]],'NHL Model'!$A$6:$B$38,2,FALSE)</f>
        <v>-0.14985965438623808</v>
      </c>
      <c r="J697">
        <f>($B$1+Table4[[#This Row],[Home Differential]])-Table4[[#This Row],[Away Differential]]</f>
        <v>0.11853525825349134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0.52003246735807085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0.23036883239038133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0.17390560158361429</v>
      </c>
      <c r="H698" t="s">
        <v>15</v>
      </c>
      <c r="I698">
        <f>VLOOKUP(Table4[[#This Row],[Visitor]],'NHL Model'!$A$6:$B$38,2,FALSE)</f>
        <v>-0.36341023830385849</v>
      </c>
      <c r="J698">
        <f>($B$1+Table4[[#This Row],[Home Differential]])-Table4[[#This Row],[Away Differential]]</f>
        <v>0.67415241764760547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0.55869421248122286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0.31213922306001379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0.13483877693289487</v>
      </c>
      <c r="H699" t="s">
        <v>31</v>
      </c>
      <c r="I699">
        <f>VLOOKUP(Table4[[#This Row],[Visitor]],'NHL Model'!$A$6:$B$38,2,FALSE)</f>
        <v>-0.30466872127922601</v>
      </c>
      <c r="J699">
        <f>($B$1+Table4[[#This Row],[Home Differential]])-Table4[[#This Row],[Away Differential]]</f>
        <v>0.57634407597225357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0.64198514108958793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0.12817463920064226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0.33829893848778331</v>
      </c>
      <c r="H700" t="s">
        <v>32</v>
      </c>
      <c r="I700">
        <f>VLOOKUP(Table4[[#This Row],[Visitor]],'NHL Model'!$A$6:$B$38,2,FALSE)</f>
        <v>-0.21579108793246188</v>
      </c>
      <c r="J700">
        <f>($B$1+Table4[[#This Row],[Home Differential]])-Table4[[#This Row],[Away Differential]]</f>
        <v>0.69092660418037788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0.63895849251334003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0.13035097012823996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1.7070031799067014</v>
      </c>
      <c r="H701" t="s">
        <v>28</v>
      </c>
      <c r="I701">
        <f>VLOOKUP(Table4[[#This Row],[Visitor]],'NHL Model'!$A$6:$B$38,2,FALSE)</f>
        <v>-0.29093210318822477</v>
      </c>
      <c r="J701">
        <f>($B$1+Table4[[#This Row],[Home Differential]])-Table4[[#This Row],[Away Differential]]</f>
        <v>2.1347718608550585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0.85837547148856597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2.005750707608599E-2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3.922199270086173E-4</v>
      </c>
      <c r="H702" t="s">
        <v>13</v>
      </c>
      <c r="I702">
        <f>VLOOKUP(Table4[[#This Row],[Visitor]],'NHL Model'!$A$6:$B$38,2,FALSE)</f>
        <v>-0.14985965438623808</v>
      </c>
      <c r="J702">
        <f>($B$1+Table4[[#This Row],[Home Differential]])-Table4[[#This Row],[Away Differential]]</f>
        <v>0.2870884520733793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0.54087482994145353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0.29254558166419625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0.32232840463649798</v>
      </c>
      <c r="H703" t="s">
        <v>30</v>
      </c>
      <c r="I703">
        <f>VLOOKUP(Table4[[#This Row],[Visitor]],'NHL Model'!$A$6:$B$38,2,FALSE)</f>
        <v>0.25279292855900759</v>
      </c>
      <c r="J703">
        <f>($B$1+Table4[[#This Row],[Home Differential]])-Table4[[#This Row],[Away Differential]]</f>
        <v>0.20637205383762303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0.5399049904240274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0.29149739868476909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6.8462291869218858E-2</v>
      </c>
      <c r="H704" t="s">
        <v>26</v>
      </c>
      <c r="I704">
        <f>VLOOKUP(Table4[[#This Row],[Visitor]],'NHL Model'!$A$6:$B$38,2,FALSE)</f>
        <v>-4.6015351177631898E-2</v>
      </c>
      <c r="J704">
        <f>($B$1+Table4[[#This Row],[Home Differential]])-Table4[[#This Row],[Away Differential]]</f>
        <v>0.25131422080698335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0.5336094271274282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0.2847390207192621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-0.48381480045860298</v>
      </c>
      <c r="H705" t="s">
        <v>10</v>
      </c>
      <c r="I705">
        <f>VLOOKUP(Table4[[#This Row],[Visitor]],'NHL Model'!$A$6:$B$38,2,FALSE)</f>
        <v>-0.43286905189715857</v>
      </c>
      <c r="J705">
        <f>($B$1+Table4[[#This Row],[Home Differential]])-Table4[[#This Row],[Away Differential]]</f>
        <v>8.5890829198688234E-2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0.54828433938083909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0.30061571681028315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-7.2312572939580336E-2</v>
      </c>
      <c r="H706" t="s">
        <v>11</v>
      </c>
      <c r="I706">
        <f>VLOOKUP(Table4[[#This Row],[Visitor]],'NHL Model'!$A$6:$B$38,2,FALSE)</f>
        <v>-7.4962464446554744E-2</v>
      </c>
      <c r="J706">
        <f>($B$1+Table4[[#This Row],[Home Differential]])-Table4[[#This Row],[Away Differential]]</f>
        <v>0.139486469267107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0.51987032866422178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0.27026515862544598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-7.417166684134277E-2</v>
      </c>
      <c r="H707" t="s">
        <v>37</v>
      </c>
      <c r="I707">
        <f>VLOOKUP(Table4[[#This Row],[Visitor]],'NHL Model'!$A$6:$B$38,2,FALSE)</f>
        <v>0.98607049252714107</v>
      </c>
      <c r="J707">
        <f>($B$1+Table4[[#This Row],[Home Differential]])-Table4[[#This Row],[Away Differential]]</f>
        <v>-0.92340558160835129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0.65648751520116677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0.11800082721266864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1.1343608350765873E-2</v>
      </c>
      <c r="H708" t="s">
        <v>16</v>
      </c>
      <c r="I708">
        <f>VLOOKUP(Table4[[#This Row],[Visitor]],'NHL Model'!$A$6:$B$38,2,FALSE)</f>
        <v>-0.54997285633810766</v>
      </c>
      <c r="J708">
        <f>($B$1+Table4[[#This Row],[Home Differential]])-Table4[[#This Row],[Away Differential]]</f>
        <v>0.69815304244900611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0.607338233864684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0.36885973031387359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-0.3566847028170323</v>
      </c>
      <c r="H709" t="s">
        <v>39</v>
      </c>
      <c r="I709">
        <f>VLOOKUP(Table4[[#This Row],[Visitor]],'NHL Model'!$A$6:$B$38,2,FALSE)</f>
        <v>0.5231745585052443</v>
      </c>
      <c r="J709">
        <f>($B$1+Table4[[#This Row],[Home Differential]])-Table4[[#This Row],[Away Differential]]</f>
        <v>-0.74302268356214396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0.58819492460619194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0.34597326933248379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4.3410611683700091E-2</v>
      </c>
      <c r="H710" t="s">
        <v>38</v>
      </c>
      <c r="I710">
        <f>VLOOKUP(Table4[[#This Row],[Visitor]],'NHL Model'!$A$6:$B$38,2,FALSE)</f>
        <v>-0.87254503056606192</v>
      </c>
      <c r="J710">
        <f>($B$1+Table4[[#This Row],[Home Differential]])-Table4[[#This Row],[Away Differential]]</f>
        <v>1.0527922200098947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0.67378994574795181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0.10641299949512423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0.1394237692045871</v>
      </c>
      <c r="H711" t="s">
        <v>35</v>
      </c>
      <c r="I711">
        <f>VLOOKUP(Table4[[#This Row],[Visitor]],'NHL Model'!$A$6:$B$38,2,FALSE)</f>
        <v>-0.9803970267772969</v>
      </c>
      <c r="J711">
        <f>($B$1+Table4[[#This Row],[Home Differential]])-Table4[[#This Row],[Away Differential]]</f>
        <v>1.2566573737420166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0.66120707491867781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0.11478064608515839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0.17390560158361429</v>
      </c>
      <c r="H712" t="s">
        <v>14</v>
      </c>
      <c r="I712">
        <f>VLOOKUP(Table4[[#This Row],[Visitor]],'NHL Model'!$A$6:$B$38,2,FALSE)</f>
        <v>1.1343608350765873E-2</v>
      </c>
      <c r="J712">
        <f>($B$1+Table4[[#This Row],[Home Differential]])-Table4[[#This Row],[Away Differential]]</f>
        <v>0.29939857099298106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0.57433212639518871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0.18119313861924161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-0.48381480045860298</v>
      </c>
      <c r="H713" t="s">
        <v>22</v>
      </c>
      <c r="I713">
        <f>VLOOKUP(Table4[[#This Row],[Visitor]],'NHL Model'!$A$6:$B$38,2,FALSE)</f>
        <v>0.34677881456804194</v>
      </c>
      <c r="J713">
        <f>($B$1+Table4[[#This Row],[Home Differential]])-Table4[[#This Row],[Away Differential]]</f>
        <v>-0.69375703726651228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0.52691423052007247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0.27763860632456006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-0.3566847028170323</v>
      </c>
      <c r="H714" t="s">
        <v>20</v>
      </c>
      <c r="I714">
        <f>VLOOKUP(Table4[[#This Row],[Visitor]],'NHL Model'!$A$6:$B$38,2,FALSE)</f>
        <v>0.1394237692045871</v>
      </c>
      <c r="J714">
        <f>($B$1+Table4[[#This Row],[Home Differential]])-Table4[[#This Row],[Away Differential]]</f>
        <v>-0.35927189426148676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0.52605297211148827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0.22462578524435373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0.27119018820614604</v>
      </c>
      <c r="H715" t="s">
        <v>28</v>
      </c>
      <c r="I715">
        <f>VLOOKUP(Table4[[#This Row],[Visitor]],'NHL Model'!$A$6:$B$38,2,FALSE)</f>
        <v>-0.29093210318822477</v>
      </c>
      <c r="J715">
        <f>($B$1+Table4[[#This Row],[Home Differential]])-Table4[[#This Row],[Away Differential]]</f>
        <v>0.69895886915450345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0.62143257793370532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0.38617844891733072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-0.16816097389287935</v>
      </c>
      <c r="H716" t="s">
        <v>24</v>
      </c>
      <c r="I716">
        <f>VLOOKUP(Table4[[#This Row],[Visitor]],'NHL Model'!$A$6:$B$38,2,FALSE)</f>
        <v>-0.27466957136179609</v>
      </c>
      <c r="J716">
        <f>($B$1+Table4[[#This Row],[Home Differential]])-Table4[[#This Row],[Away Differential]]</f>
        <v>0.24334517522904936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0.55288288539588937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0.1999137141719054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0.13483877693289487</v>
      </c>
      <c r="H717" t="s">
        <v>11</v>
      </c>
      <c r="I717">
        <f>VLOOKUP(Table4[[#This Row],[Visitor]],'NHL Model'!$A$6:$B$38,2,FALSE)</f>
        <v>-7.4962464446554744E-2</v>
      </c>
      <c r="J717">
        <f>($B$1+Table4[[#This Row],[Home Differential]])-Table4[[#This Row],[Away Differential]]</f>
        <v>0.34663781913958225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0.58683195757296214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0.34437174642891483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-0.43286905189715857</v>
      </c>
      <c r="H718" t="s">
        <v>17</v>
      </c>
      <c r="I718">
        <f>VLOOKUP(Table4[[#This Row],[Visitor]],'NHL Model'!$A$6:$B$38,2,FALSE)</f>
        <v>3.922199270086173E-4</v>
      </c>
      <c r="J718">
        <f>($B$1+Table4[[#This Row],[Home Differential]])-Table4[[#This Row],[Away Differential]]</f>
        <v>-0.29642469406403454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0.48859074466270674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0.26153942644464484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1.7070031799067014</v>
      </c>
      <c r="H719" t="s">
        <v>19</v>
      </c>
      <c r="I719">
        <f>VLOOKUP(Table4[[#This Row],[Visitor]],'NHL Model'!$A$6:$B$38,2,FALSE)</f>
        <v>4.3410611683700091E-2</v>
      </c>
      <c r="J719">
        <f>($B$1+Table4[[#This Row],[Home Differential]])-Table4[[#This Row],[Away Differential]]</f>
        <v>1.8004291459831339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0.82612745915301344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0.68248657876661389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-4.6015351177631898E-2</v>
      </c>
      <c r="H720" t="s">
        <v>25</v>
      </c>
      <c r="I720">
        <f>VLOOKUP(Table4[[#This Row],[Visitor]],'NHL Model'!$A$6:$B$38,2,FALSE)</f>
        <v>0.33829893848778331</v>
      </c>
      <c r="J720">
        <f>($B$1+Table4[[#This Row],[Home Differential]])-Table4[[#This Row],[Away Differential]]</f>
        <v>-0.24747771190528259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0.48399241136558108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0.23424865425946986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-0.14985965438623808</v>
      </c>
      <c r="H721" t="s">
        <v>39</v>
      </c>
      <c r="I721">
        <f>VLOOKUP(Table4[[#This Row],[Visitor]],'NHL Model'!$A$6:$B$38,2,FALSE)</f>
        <v>0.5231745585052443</v>
      </c>
      <c r="J721">
        <f>($B$1+Table4[[#This Row],[Home Differential]])-Table4[[#This Row],[Away Differential]]</f>
        <v>-0.53619763513134977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0.56824624196283779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0.1864113075792124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0.32232840463649798</v>
      </c>
      <c r="H722" t="s">
        <v>24</v>
      </c>
      <c r="I722">
        <f>VLOOKUP(Table4[[#This Row],[Visitor]],'NHL Model'!$A$6:$B$38,2,FALSE)</f>
        <v>-0.27466957136179609</v>
      </c>
      <c r="J722">
        <f>($B$1+Table4[[#This Row],[Home Differential]])-Table4[[#This Row],[Away Differential]]</f>
        <v>0.73383455375842677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0.60095923114903249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0.36115199750323629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6.8462291869218858E-2</v>
      </c>
      <c r="H723" t="s">
        <v>38</v>
      </c>
      <c r="I723">
        <f>VLOOKUP(Table4[[#This Row],[Visitor]],'NHL Model'!$A$6:$B$38,2,FALSE)</f>
        <v>-0.87254503056606192</v>
      </c>
      <c r="J723">
        <f>($B$1+Table4[[#This Row],[Home Differential]])-Table4[[#This Row],[Away Differential]]</f>
        <v>1.0778439001954134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0.64472555477274196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0.12621993143153598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-0.36341023830385849</v>
      </c>
      <c r="H724" t="s">
        <v>32</v>
      </c>
      <c r="I724">
        <f>VLOOKUP(Table4[[#This Row],[Visitor]],'NHL Model'!$A$6:$B$38,2,FALSE)</f>
        <v>-0.21579108793246188</v>
      </c>
      <c r="J724">
        <f>($B$1+Table4[[#This Row],[Home Differential]])-Table4[[#This Row],[Away Differential]]</f>
        <v>-1.0782572611264002E-2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0.47072403107527916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0.28013305128120208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-7.417166684134277E-2</v>
      </c>
      <c r="H725" t="s">
        <v>37</v>
      </c>
      <c r="I725">
        <f>VLOOKUP(Table4[[#This Row],[Visitor]],'NHL Model'!$A$6:$B$38,2,FALSE)</f>
        <v>0.98607049252714107</v>
      </c>
      <c r="J725">
        <f>($B$1+Table4[[#This Row],[Home Differential]])-Table4[[#This Row],[Away Differential]]</f>
        <v>-0.92340558160835129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0.65648751520116677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0.11800082721266864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-0.30466872127922601</v>
      </c>
      <c r="H726" t="s">
        <v>39</v>
      </c>
      <c r="I726">
        <f>VLOOKUP(Table4[[#This Row],[Visitor]],'NHL Model'!$A$6:$B$38,2,FALSE)</f>
        <v>0.5231745585052443</v>
      </c>
      <c r="J726">
        <f>($B$1+Table4[[#This Row],[Home Differential]])-Table4[[#This Row],[Away Differential]]</f>
        <v>-0.69100670202433767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0.56066093132532457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0.31434067991458031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0.17390560158361429</v>
      </c>
      <c r="H727" t="s">
        <v>26</v>
      </c>
      <c r="I727">
        <f>VLOOKUP(Table4[[#This Row],[Visitor]],'NHL Model'!$A$6:$B$38,2,FALSE)</f>
        <v>-4.6015351177631898E-2</v>
      </c>
      <c r="J727">
        <f>($B$1+Table4[[#This Row],[Home Differential]])-Table4[[#This Row],[Away Differential]]</f>
        <v>0.35675753052137882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0.56929368631399069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0.18550792864899104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-0.29093210318822477</v>
      </c>
      <c r="H728" t="s">
        <v>16</v>
      </c>
      <c r="I728">
        <f>VLOOKUP(Table4[[#This Row],[Visitor]],'NHL Model'!$A$6:$B$38,2,FALSE)</f>
        <v>-0.54997285633810766</v>
      </c>
      <c r="J728">
        <f>($B$1+Table4[[#This Row],[Home Differential]])-Table4[[#This Row],[Away Differential]]</f>
        <v>0.39587733091001553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0.5781831470604708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0.17792945742380839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-0.48381480045860298</v>
      </c>
      <c r="H729" t="s">
        <v>17</v>
      </c>
      <c r="I729">
        <f>VLOOKUP(Table4[[#This Row],[Visitor]],'NHL Model'!$A$6:$B$38,2,FALSE)</f>
        <v>3.922199270086173E-4</v>
      </c>
      <c r="J729">
        <f>($B$1+Table4[[#This Row],[Home Differential]])-Table4[[#This Row],[Away Differential]]</f>
        <v>-0.34737044262547895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0.49350456229645645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0.24354675300741707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-7.2312572939580336E-2</v>
      </c>
      <c r="H730" t="s">
        <v>38</v>
      </c>
      <c r="I730">
        <f>VLOOKUP(Table4[[#This Row],[Visitor]],'NHL Model'!$A$6:$B$38,2,FALSE)</f>
        <v>-0.87254503056606192</v>
      </c>
      <c r="J730">
        <f>($B$1+Table4[[#This Row],[Home Differential]])-Table4[[#This Row],[Away Differential]]</f>
        <v>0.93706903538661424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0.6303821512126786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0.13661735414216719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1.1343608350765873E-2</v>
      </c>
      <c r="H731" t="s">
        <v>37</v>
      </c>
      <c r="I731">
        <f>VLOOKUP(Table4[[#This Row],[Visitor]],'NHL Model'!$A$6:$B$38,2,FALSE)</f>
        <v>0.98607049252714107</v>
      </c>
      <c r="J731">
        <f>($B$1+Table4[[#This Row],[Home Differential]])-Table4[[#This Row],[Away Differential]]</f>
        <v>-0.83789030641624263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0.64823939874279057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0.12373552059683349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-0.9803970267772969</v>
      </c>
      <c r="H732" t="s">
        <v>25</v>
      </c>
      <c r="I732">
        <f>VLOOKUP(Table4[[#This Row],[Visitor]],'NHL Model'!$A$6:$B$38,2,FALSE)</f>
        <v>0.33829893848778331</v>
      </c>
      <c r="J732">
        <f>($B$1+Table4[[#This Row],[Home Differential]])-Table4[[#This Row],[Away Differential]]</f>
        <v>-1.1818593875049477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0.61650522486967296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0.38007869229160601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0.27119018820614604</v>
      </c>
      <c r="H733" t="s">
        <v>19</v>
      </c>
      <c r="I733">
        <f>VLOOKUP(Table4[[#This Row],[Visitor]],'NHL Model'!$A$6:$B$38,2,FALSE)</f>
        <v>4.3410611683700091E-2</v>
      </c>
      <c r="J733">
        <f>($B$1+Table4[[#This Row],[Home Differential]])-Table4[[#This Row],[Away Differential]]</f>
        <v>0.36461615428257854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0.58918456559815291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0.16876932114277832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-0.16816097389287935</v>
      </c>
      <c r="H734" t="s">
        <v>30</v>
      </c>
      <c r="I734">
        <f>VLOOKUP(Table4[[#This Row],[Visitor]],'NHL Model'!$A$6:$B$38,2,FALSE)</f>
        <v>0.25279292855900759</v>
      </c>
      <c r="J734">
        <f>($B$1+Table4[[#This Row],[Home Differential]])-Table4[[#This Row],[Away Differential]]</f>
        <v>-0.28411732469175432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0.50817290545349469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0.25823970183704648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0.34677881456804194</v>
      </c>
      <c r="H735" t="s">
        <v>18</v>
      </c>
      <c r="I735">
        <f>VLOOKUP(Table4[[#This Row],[Visitor]],'NHL Model'!$A$6:$B$38,2,FALSE)</f>
        <v>6.8462291869218858E-2</v>
      </c>
      <c r="J735">
        <f>($B$1+Table4[[#This Row],[Home Differential]])-Table4[[#This Row],[Away Differential]]</f>
        <v>0.41515310045895565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0.53772394035819282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0.21369915531795566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0.13483877693289487</v>
      </c>
      <c r="H736" t="s">
        <v>27</v>
      </c>
      <c r="I736">
        <f>VLOOKUP(Table4[[#This Row],[Visitor]],'NHL Model'!$A$6:$B$38,2,FALSE)</f>
        <v>-7.417166684134277E-2</v>
      </c>
      <c r="J736">
        <f>($B$1+Table4[[#This Row],[Home Differential]])-Table4[[#This Row],[Away Differential]]</f>
        <v>0.3458470215343703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0.61133927671255284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0.15105715782632156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-0.14985965438623808</v>
      </c>
      <c r="H737" t="s">
        <v>20</v>
      </c>
      <c r="I737">
        <f>VLOOKUP(Table4[[#This Row],[Visitor]],'NHL Model'!$A$6:$B$38,2,FALSE)</f>
        <v>0.1394237692045871</v>
      </c>
      <c r="J737">
        <f>($B$1+Table4[[#This Row],[Home Differential]])-Table4[[#This Row],[Away Differential]]</f>
        <v>-0.15244684583069257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0.50610428946813402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0.24393297288177676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-0.27466957136179609</v>
      </c>
      <c r="H738" t="s">
        <v>32</v>
      </c>
      <c r="I738">
        <f>VLOOKUP(Table4[[#This Row],[Visitor]],'NHL Model'!$A$6:$B$38,2,FALSE)</f>
        <v>-0.21579108793246188</v>
      </c>
      <c r="J738">
        <f>($B$1+Table4[[#This Row],[Home Differential]])-Table4[[#This Row],[Away Differential]]</f>
        <v>7.7958094330798394E-2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0.54033774432161219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0.21128938929534358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-0.36341023830385849</v>
      </c>
      <c r="H739" t="s">
        <v>36</v>
      </c>
      <c r="I739">
        <f>VLOOKUP(Table4[[#This Row],[Visitor]],'NHL Model'!$A$6:$B$38,2,FALSE)</f>
        <v>-7.2312572939580336E-2</v>
      </c>
      <c r="J739">
        <f>($B$1+Table4[[#This Row],[Home Differential]])-Table4[[#This Row],[Away Differential]]</f>
        <v>-0.15426108760414553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0.48456281599736006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0.26567549065257129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0.17390560158361429</v>
      </c>
      <c r="H740" t="s">
        <v>32</v>
      </c>
      <c r="I740">
        <f>VLOOKUP(Table4[[#This Row],[Visitor]],'NHL Model'!$A$6:$B$38,2,FALSE)</f>
        <v>-0.21579108793246188</v>
      </c>
      <c r="J740">
        <f>($B$1+Table4[[#This Row],[Home Differential]])-Table4[[#This Row],[Away Differential]]</f>
        <v>0.52653326727620886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0.60723678196158626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O740">
        <v>0.52653326727620886</v>
      </c>
      <c r="P740" s="11">
        <v>0.60723678196158626</v>
      </c>
      <c r="Q740" t="s">
        <v>21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0.13483877693289487</v>
      </c>
      <c r="H741" t="s">
        <v>18</v>
      </c>
      <c r="I741">
        <f>VLOOKUP(Table4[[#This Row],[Visitor]],'NHL Model'!$A$6:$B$38,2,FALSE)</f>
        <v>6.8462291869218858E-2</v>
      </c>
      <c r="J741">
        <f>($B$1+Table4[[#This Row],[Home Differential]])-Table4[[#This Row],[Away Differential]]</f>
        <v>0.20321306282380863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0.55531458524286337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O741">
        <v>0.20321306282380863</v>
      </c>
      <c r="P741" s="11">
        <v>0.55531458524286337</v>
      </c>
      <c r="Q741" t="s">
        <v>23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-0.29093210318822477</v>
      </c>
      <c r="H742" t="s">
        <v>38</v>
      </c>
      <c r="I742">
        <f>VLOOKUP(Table4[[#This Row],[Visitor]],'NHL Model'!$A$6:$B$38,2,FALSE)</f>
        <v>-0.87254503056606192</v>
      </c>
      <c r="J742">
        <f>($B$1+Table4[[#This Row],[Home Differential]])-Table4[[#This Row],[Away Differential]]</f>
        <v>0.71844950513796979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0.6092958676041017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O742">
        <v>0.71844950513796979</v>
      </c>
      <c r="P742" s="11">
        <v>0.6092958676041017</v>
      </c>
      <c r="Q742" t="s">
        <v>28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-0.43286905189715857</v>
      </c>
      <c r="H743" t="s">
        <v>16</v>
      </c>
      <c r="I743">
        <f>VLOOKUP(Table4[[#This Row],[Visitor]],'NHL Model'!$A$6:$B$38,2,FALSE)</f>
        <v>-0.54997285633810766</v>
      </c>
      <c r="J743">
        <f>($B$1+Table4[[#This Row],[Home Differential]])-Table4[[#This Row],[Away Differential]]</f>
        <v>0.25394038220108173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0.56449304923797239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O743">
        <v>0.25394038220108173</v>
      </c>
      <c r="P743" s="11">
        <v>0.56449304923797239</v>
      </c>
      <c r="Q743" t="s">
        <v>10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3.922199270086173E-4</v>
      </c>
      <c r="H744" t="s">
        <v>30</v>
      </c>
      <c r="I744">
        <f>VLOOKUP(Table4[[#This Row],[Visitor]],'NHL Model'!$A$6:$B$38,2,FALSE)</f>
        <v>0.25279292855900759</v>
      </c>
      <c r="J744">
        <f>($B$1+Table4[[#This Row],[Home Differential]])-Table4[[#This Row],[Away Differential]]</f>
        <v>-0.11556413087186637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0.48733686387034808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O744">
        <v>-0.11556413087186637</v>
      </c>
      <c r="P744" s="11">
        <v>0.48733686387034808</v>
      </c>
      <c r="Q744" t="s">
        <v>30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0.32232840463649798</v>
      </c>
      <c r="H745" t="s">
        <v>40</v>
      </c>
      <c r="I745">
        <f>VLOOKUP(Table4[[#This Row],[Visitor]],'NHL Model'!$A$6:$B$38,2,FALSE)</f>
        <v>-0.16816097389287935</v>
      </c>
      <c r="J745">
        <f>($B$1+Table4[[#This Row],[Home Differential]])-Table4[[#This Row],[Away Differential]]</f>
        <v>0.62732595628950993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0.60127221313785506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O745">
        <v>0.62732595628950993</v>
      </c>
      <c r="P745" s="11">
        <v>0.60127221313785506</v>
      </c>
      <c r="Q745" t="s">
        <v>34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1.1343608350765873E-2</v>
      </c>
      <c r="H746" t="s">
        <v>27</v>
      </c>
      <c r="I746">
        <f>VLOOKUP(Table4[[#This Row],[Visitor]],'NHL Model'!$A$6:$B$38,2,FALSE)</f>
        <v>-7.417166684134277E-2</v>
      </c>
      <c r="J746">
        <f>($B$1+Table4[[#This Row],[Home Differential]])-Table4[[#This Row],[Away Differential]]</f>
        <v>0.22235185295224125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0.5528427120858983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O746">
        <v>0.22235185295224125</v>
      </c>
      <c r="P746" s="11">
        <v>0.5528427120858983</v>
      </c>
      <c r="Q746" t="s">
        <v>14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0.27119018820614604</v>
      </c>
      <c r="H747" t="s">
        <v>39</v>
      </c>
      <c r="I747">
        <f>VLOOKUP(Table4[[#This Row],[Visitor]],'NHL Model'!$A$6:$B$38,2,FALSE)</f>
        <v>0.5231745585052443</v>
      </c>
      <c r="J747">
        <f>($B$1+Table4[[#This Row],[Home Differential]])-Table4[[#This Row],[Away Differential]]</f>
        <v>-0.11514779253896568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0.51349857552654044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O747">
        <v>-0.11514779253896568</v>
      </c>
      <c r="P747" s="11">
        <v>0.51349857552654044</v>
      </c>
      <c r="Q747" t="s">
        <v>39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0.1394237692045871</v>
      </c>
      <c r="H748" t="s">
        <v>19</v>
      </c>
      <c r="I748">
        <f>VLOOKUP(Table4[[#This Row],[Visitor]],'NHL Model'!$A$6:$B$38,2,FALSE)</f>
        <v>4.3410611683700091E-2</v>
      </c>
      <c r="J748">
        <f>($B$1+Table4[[#This Row],[Home Differential]])-Table4[[#This Row],[Away Differential]]</f>
        <v>0.2328497352810196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0.56245881486769911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O748">
        <v>0.2328497352810196</v>
      </c>
      <c r="P748" s="11">
        <v>0.56245881486769911</v>
      </c>
      <c r="Q748" t="s">
        <v>20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0.34677881456804194</v>
      </c>
      <c r="H749" t="s">
        <v>33</v>
      </c>
      <c r="I749">
        <f>VLOOKUP(Table4[[#This Row],[Visitor]],'NHL Model'!$A$6:$B$38,2,FALSE)</f>
        <v>-0.3566847028170323</v>
      </c>
      <c r="J749">
        <f>($B$1+Table4[[#This Row],[Home Differential]])-Table4[[#This Row],[Away Differential]]</f>
        <v>0.84030009514520687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0.60935048342237752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O749">
        <v>0.84030009514520687</v>
      </c>
      <c r="P749" s="11">
        <v>0.60935048342237752</v>
      </c>
      <c r="Q749" t="s">
        <v>22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0.33829893848778331</v>
      </c>
      <c r="H750" t="s">
        <v>11</v>
      </c>
      <c r="I750">
        <f>VLOOKUP(Table4[[#This Row],[Visitor]],'NHL Model'!$A$6:$B$38,2,FALSE)</f>
        <v>-7.4962464446554744E-2</v>
      </c>
      <c r="J750">
        <f>($B$1+Table4[[#This Row],[Home Differential]])-Table4[[#This Row],[Away Differential]]</f>
        <v>0.55009798069447069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0.60179449410150865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1.7070031799067014</v>
      </c>
      <c r="H751" t="s">
        <v>29</v>
      </c>
      <c r="I751">
        <f>VLOOKUP(Table4[[#This Row],[Visitor]],'NHL Model'!$A$6:$B$38,2,FALSE)</f>
        <v>-0.48381480045860298</v>
      </c>
      <c r="J751">
        <f>($B$1+Table4[[#This Row],[Home Differential]])-Table4[[#This Row],[Away Differential]]</f>
        <v>2.3276545581254369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0.87697938694481414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-4.6015351177631898E-2</v>
      </c>
      <c r="H752" t="s">
        <v>33</v>
      </c>
      <c r="I752">
        <f>VLOOKUP(Table4[[#This Row],[Visitor]],'NHL Model'!$A$6:$B$38,2,FALSE)</f>
        <v>-0.3566847028170323</v>
      </c>
      <c r="J752">
        <f>($B$1+Table4[[#This Row],[Home Differential]])-Table4[[#This Row],[Away Differential]]</f>
        <v>0.44750592939953304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0.60456633568453977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-0.14985965438623808</v>
      </c>
      <c r="H753" t="s">
        <v>31</v>
      </c>
      <c r="I753">
        <f>VLOOKUP(Table4[[#This Row],[Visitor]],'NHL Model'!$A$6:$B$38,2,FALSE)</f>
        <v>-0.30466872127922601</v>
      </c>
      <c r="J753">
        <f>($B$1+Table4[[#This Row],[Home Differential]])-Table4[[#This Row],[Away Differential]]</f>
        <v>0.29164564465312054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0.56812979594900614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-0.9803970267772969</v>
      </c>
      <c r="H754" t="s">
        <v>37</v>
      </c>
      <c r="I754">
        <f>VLOOKUP(Table4[[#This Row],[Visitor]],'NHL Model'!$A$6:$B$38,2,FALSE)</f>
        <v>0.98607049252714107</v>
      </c>
      <c r="J754">
        <f>($B$1+Table4[[#This Row],[Home Differential]])-Table4[[#This Row],[Away Differential]]</f>
        <v>-1.8296309415443055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0.74389473326243016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-0.30466872127922601</v>
      </c>
      <c r="H755" t="s">
        <v>13</v>
      </c>
      <c r="I755">
        <f>VLOOKUP(Table4[[#This Row],[Visitor]],'NHL Model'!$A$6:$B$38,2,FALSE)</f>
        <v>-0.14985965438623808</v>
      </c>
      <c r="J755">
        <f>($B$1+Table4[[#This Row],[Home Differential]])-Table4[[#This Row],[Away Differential]]</f>
        <v>-1.7972489132855318E-2</v>
      </c>
      <c r="K755" t="str">
        <f>IF(Table4[[#This Row],[HomeIce Differential]]&gt;0,Table4[[#This Row],[Home]],Table4[[#This Row],[Visitor]])</f>
        <v>Los Angeles Kings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0.4706500005699174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0.13483877693289487</v>
      </c>
      <c r="H756" t="s">
        <v>34</v>
      </c>
      <c r="I756">
        <f>VLOOKUP(Table4[[#This Row],[Visitor]],'NHL Model'!$A$6:$B$38,2,FALSE)</f>
        <v>0.32232840463649798</v>
      </c>
      <c r="J756">
        <f>($B$1+Table4[[#This Row],[Home Differential]])-Table4[[#This Row],[Away Differential]]</f>
        <v>-5.0653049943470474E-2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0.46917130056216749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-0.54997285633810766</v>
      </c>
      <c r="H757" t="s">
        <v>30</v>
      </c>
      <c r="I757">
        <f>VLOOKUP(Table4[[#This Row],[Visitor]],'NHL Model'!$A$6:$B$38,2,FALSE)</f>
        <v>0.25279292855900759</v>
      </c>
      <c r="J757">
        <f>($B$1+Table4[[#This Row],[Home Differential]])-Table4[[#This Row],[Away Differential]]</f>
        <v>-0.66592920713698267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0.53089684824721761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-0.43286905189715857</v>
      </c>
      <c r="H758" t="s">
        <v>21</v>
      </c>
      <c r="I758">
        <f>VLOOKUP(Table4[[#This Row],[Visitor]],'NHL Model'!$A$6:$B$38,2,FALSE)</f>
        <v>0.17390560158361429</v>
      </c>
      <c r="J758">
        <f>($B$1+Table4[[#This Row],[Home Differential]])-Table4[[#This Row],[Away Differential]]</f>
        <v>-0.46993807572064022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0.50532645153817757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-0.27466957136179609</v>
      </c>
      <c r="H759" t="s">
        <v>25</v>
      </c>
      <c r="I759">
        <f>VLOOKUP(Table4[[#This Row],[Visitor]],'NHL Model'!$A$6:$B$38,2,FALSE)</f>
        <v>0.33829893848778331</v>
      </c>
      <c r="J759">
        <f>($B$1+Table4[[#This Row],[Home Differential]])-Table4[[#This Row],[Away Differential]]</f>
        <v>-0.47613193208944682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0.54592386116518976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-7.2312572939580336E-2</v>
      </c>
      <c r="H760" t="s">
        <v>18</v>
      </c>
      <c r="I760">
        <f>VLOOKUP(Table4[[#This Row],[Visitor]],'NHL Model'!$A$6:$B$38,2,FALSE)</f>
        <v>6.8462291869218858E-2</v>
      </c>
      <c r="J760">
        <f>($B$1+Table4[[#This Row],[Home Differential]])-Table4[[#This Row],[Away Differential]]</f>
        <v>-3.9382870486665833E-3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0.51178819542035014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-7.417166684134277E-2</v>
      </c>
      <c r="H761" t="s">
        <v>15</v>
      </c>
      <c r="I761">
        <f>VLOOKUP(Table4[[#This Row],[Visitor]],'NHL Model'!$A$6:$B$38,2,FALSE)</f>
        <v>-0.36341023830385849</v>
      </c>
      <c r="J761">
        <f>($B$1+Table4[[#This Row],[Home Differential]])-Table4[[#This Row],[Away Differential]]</f>
        <v>0.42607514922264833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0.50847261691298673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1.1343608350765873E-2</v>
      </c>
      <c r="H762" t="s">
        <v>28</v>
      </c>
      <c r="I762">
        <f>VLOOKUP(Table4[[#This Row],[Visitor]],'NHL Model'!$A$6:$B$38,2,FALSE)</f>
        <v>-0.29093210318822477</v>
      </c>
      <c r="J762">
        <f>($B$1+Table4[[#This Row],[Home Differential]])-Table4[[#This Row],[Away Differential]]</f>
        <v>0.43911228929912327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0.58235324381880194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0.27119018820614604</v>
      </c>
      <c r="H763" t="s">
        <v>32</v>
      </c>
      <c r="I763">
        <f>VLOOKUP(Table4[[#This Row],[Visitor]],'NHL Model'!$A$6:$B$38,2,FALSE)</f>
        <v>-0.21579108793246188</v>
      </c>
      <c r="J763">
        <f>($B$1+Table4[[#This Row],[Home Differential]])-Table4[[#This Row],[Away Differential]]</f>
        <v>0.62381785389874045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0.6045471569734463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-0.87254503056606192</v>
      </c>
      <c r="H764" t="s">
        <v>17</v>
      </c>
      <c r="I764">
        <f>VLOOKUP(Table4[[#This Row],[Visitor]],'NHL Model'!$A$6:$B$38,2,FALSE)</f>
        <v>3.922199270086173E-4</v>
      </c>
      <c r="J764">
        <f>($B$1+Table4[[#This Row],[Home Differential]])-Table4[[#This Row],[Away Differential]]</f>
        <v>-0.736100672732938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0.53099835742972112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0.1394237692045871</v>
      </c>
      <c r="H765" t="s">
        <v>29</v>
      </c>
      <c r="I765">
        <f>VLOOKUP(Table4[[#This Row],[Visitor]],'NHL Model'!$A$6:$B$38,2,FALSE)</f>
        <v>-0.48381480045860298</v>
      </c>
      <c r="J765">
        <f>($B$1+Table4[[#This Row],[Home Differential]])-Table4[[#This Row],[Away Differential]]</f>
        <v>0.76007514742332272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0.61331074265949981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-0.16816097389287935</v>
      </c>
      <c r="H766" t="s">
        <v>19</v>
      </c>
      <c r="I766">
        <f>VLOOKUP(Table4[[#This Row],[Visitor]],'NHL Model'!$A$6:$B$38,2,FALSE)</f>
        <v>4.3410611683700091E-2</v>
      </c>
      <c r="J766">
        <f>($B$1+Table4[[#This Row],[Home Differential]])-Table4[[#This Row],[Away Differential]]</f>
        <v>-7.4735007816446819E-2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0.46720833847055887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0.34677881456804194</v>
      </c>
      <c r="H767" t="s">
        <v>11</v>
      </c>
      <c r="I767">
        <f>VLOOKUP(Table4[[#This Row],[Visitor]],'NHL Model'!$A$6:$B$38,2,FALSE)</f>
        <v>-7.4962464446554744E-2</v>
      </c>
      <c r="J767">
        <f>($B$1+Table4[[#This Row],[Home Differential]])-Table4[[#This Row],[Away Differential]]</f>
        <v>0.55857785677472926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0.56937980870028615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0.5231745585052443</v>
      </c>
      <c r="H768" t="s">
        <v>37</v>
      </c>
      <c r="I768">
        <f>VLOOKUP(Table4[[#This Row],[Visitor]],'NHL Model'!$A$6:$B$38,2,FALSE)</f>
        <v>0.98607049252714107</v>
      </c>
      <c r="J768">
        <f>($B$1+Table4[[#This Row],[Home Differential]])-Table4[[#This Row],[Away Differential]]</f>
        <v>-0.32605935626176419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0.58493743820137123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-4.6015351177631898E-2</v>
      </c>
      <c r="H769" t="s">
        <v>36</v>
      </c>
      <c r="I769">
        <f>VLOOKUP(Table4[[#This Row],[Visitor]],'NHL Model'!$A$6:$B$38,2,FALSE)</f>
        <v>-7.2312572939580336E-2</v>
      </c>
      <c r="J769">
        <f>($B$1+Table4[[#This Row],[Home Differential]])-Table4[[#This Row],[Away Differential]]</f>
        <v>0.16313379952208107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0.58805183859759225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3.922199270086173E-4</v>
      </c>
      <c r="H770" t="s">
        <v>35</v>
      </c>
      <c r="I770">
        <f>VLOOKUP(Table4[[#This Row],[Visitor]],'NHL Model'!$A$6:$B$38,2,FALSE)</f>
        <v>-0.9803970267772969</v>
      </c>
      <c r="J770">
        <f>($B$1+Table4[[#This Row],[Home Differential]])-Table4[[#This Row],[Away Differential]]</f>
        <v>1.1176258244644381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0.6523516640303566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-0.30466872127922601</v>
      </c>
      <c r="H771" t="s">
        <v>15</v>
      </c>
      <c r="I771">
        <f>VLOOKUP(Table4[[#This Row],[Visitor]],'NHL Model'!$A$6:$B$38,2,FALSE)</f>
        <v>-0.36341023830385849</v>
      </c>
      <c r="J771">
        <f>($B$1+Table4[[#This Row],[Home Differential]])-Table4[[#This Row],[Away Differential]]</f>
        <v>0.19557809478476509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0.50871896431078789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0.33829893848778331</v>
      </c>
      <c r="H772" t="s">
        <v>23</v>
      </c>
      <c r="I772">
        <f>VLOOKUP(Table4[[#This Row],[Visitor]],'NHL Model'!$A$6:$B$38,2,FALSE)</f>
        <v>0.13483877693289487</v>
      </c>
      <c r="J772">
        <f>($B$1+Table4[[#This Row],[Home Differential]])-Table4[[#This Row],[Away Differential]]</f>
        <v>0.34029673931502108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0.61464047151988144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-0.54997285633810766</v>
      </c>
      <c r="H773" t="s">
        <v>24</v>
      </c>
      <c r="I773">
        <f>VLOOKUP(Table4[[#This Row],[Visitor]],'NHL Model'!$A$6:$B$38,2,FALSE)</f>
        <v>-0.27466957136179609</v>
      </c>
      <c r="J773">
        <f>($B$1+Table4[[#This Row],[Home Differential]])-Table4[[#This Row],[Away Differential]]</f>
        <v>-0.13846670721617899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0.46987712533671472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-0.43286905189715857</v>
      </c>
      <c r="H774" t="s">
        <v>40</v>
      </c>
      <c r="I774">
        <f>VLOOKUP(Table4[[#This Row],[Visitor]],'NHL Model'!$A$6:$B$38,2,FALSE)</f>
        <v>-0.16816097389287935</v>
      </c>
      <c r="J774">
        <f>($B$1+Table4[[#This Row],[Home Differential]])-Table4[[#This Row],[Away Differential]]</f>
        <v>-0.12787150024414659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0.47233345765831464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1.7070031799067014</v>
      </c>
      <c r="H775" t="s">
        <v>22</v>
      </c>
      <c r="I775">
        <f>VLOOKUP(Table4[[#This Row],[Visitor]],'NHL Model'!$A$6:$B$38,2,FALSE)</f>
        <v>0.34677881456804194</v>
      </c>
      <c r="J775">
        <f>($B$1+Table4[[#This Row],[Home Differential]])-Table4[[#This Row],[Away Differential]]</f>
        <v>1.497060943098792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0.79686699941015293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-7.4962464446554744E-2</v>
      </c>
      <c r="H776" t="s">
        <v>33</v>
      </c>
      <c r="I776">
        <f>VLOOKUP(Table4[[#This Row],[Visitor]],'NHL Model'!$A$6:$B$38,2,FALSE)</f>
        <v>-0.3566847028170323</v>
      </c>
      <c r="J776">
        <f>($B$1+Table4[[#This Row],[Home Differential]])-Table4[[#This Row],[Away Differential]]</f>
        <v>0.41855881613061019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0.55960159014398902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-0.21579108793246188</v>
      </c>
      <c r="H777" t="s">
        <v>14</v>
      </c>
      <c r="I777">
        <f>VLOOKUP(Table4[[#This Row],[Visitor]],'NHL Model'!$A$6:$B$38,2,FALSE)</f>
        <v>1.1343608350765873E-2</v>
      </c>
      <c r="J777">
        <f>($B$1+Table4[[#This Row],[Home Differential]])-Table4[[#This Row],[Away Differential]]</f>
        <v>-9.0298118523095133E-2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0.48947866187235917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4.3410611683700091E-2</v>
      </c>
      <c r="H778" t="s">
        <v>34</v>
      </c>
      <c r="I778">
        <f>VLOOKUP(Table4[[#This Row],[Visitor]],'NHL Model'!$A$6:$B$38,2,FALSE)</f>
        <v>0.32232840463649798</v>
      </c>
      <c r="J778">
        <f>($B$1+Table4[[#This Row],[Home Differential]])-Table4[[#This Row],[Away Differential]]</f>
        <v>-0.14208121519266528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0.49245755368504224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-0.87254503056606192</v>
      </c>
      <c r="H779" t="s">
        <v>30</v>
      </c>
      <c r="I779">
        <f>VLOOKUP(Table4[[#This Row],[Visitor]],'NHL Model'!$A$6:$B$38,2,FALSE)</f>
        <v>0.25279292855900759</v>
      </c>
      <c r="J779">
        <f>($B$1+Table4[[#This Row],[Home Differential]])-Table4[[#This Row],[Away Differential]]</f>
        <v>-0.98850138136493693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0.57611213289341257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0.1394237692045871</v>
      </c>
      <c r="H780" t="s">
        <v>27</v>
      </c>
      <c r="I780">
        <f>VLOOKUP(Table4[[#This Row],[Visitor]],'NHL Model'!$A$6:$B$38,2,FALSE)</f>
        <v>-7.417166684134277E-2</v>
      </c>
      <c r="J780">
        <f>($B$1+Table4[[#This Row],[Home Differential]])-Table4[[#This Row],[Away Differential]]</f>
        <v>0.35043201380606248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0.56519629547034789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-0.29093210318822477</v>
      </c>
      <c r="H781" t="s">
        <v>36</v>
      </c>
      <c r="I781">
        <f>VLOOKUP(Table4[[#This Row],[Visitor]],'NHL Model'!$A$6:$B$38,2,FALSE)</f>
        <v>-7.2312572939580336E-2</v>
      </c>
      <c r="J781">
        <f>($B$1+Table4[[#This Row],[Home Differential]])-Table4[[#This Row],[Away Differential]]</f>
        <v>-8.178295248851182E-2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0.47757215733694297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0.5231745585052443</v>
      </c>
      <c r="H782" t="s">
        <v>21</v>
      </c>
      <c r="I782">
        <f>VLOOKUP(Table4[[#This Row],[Visitor]],'NHL Model'!$A$6:$B$38,2,FALSE)</f>
        <v>0.17390560158361429</v>
      </c>
      <c r="J782">
        <f>($B$1+Table4[[#This Row],[Home Differential]])-Table4[[#This Row],[Away Differential]]</f>
        <v>0.4861055346817626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0.60090245524695918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3.922199270086173E-4</v>
      </c>
      <c r="H783" t="s">
        <v>24</v>
      </c>
      <c r="I783">
        <f>VLOOKUP(Table4[[#This Row],[Visitor]],'NHL Model'!$A$6:$B$38,2,FALSE)</f>
        <v>-0.27466957136179609</v>
      </c>
      <c r="J783">
        <f>($B$1+Table4[[#This Row],[Home Differential]])-Table4[[#This Row],[Away Differential]]</f>
        <v>0.41189836904893729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0.57370899021867094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-0.14985965438623808</v>
      </c>
      <c r="H784" t="s">
        <v>15</v>
      </c>
      <c r="I784">
        <f>VLOOKUP(Table4[[#This Row],[Visitor]],'NHL Model'!$A$6:$B$38,2,FALSE)</f>
        <v>-0.36341023830385849</v>
      </c>
      <c r="J784">
        <f>($B$1+Table4[[#This Row],[Home Differential]])-Table4[[#This Row],[Away Differential]]</f>
        <v>0.35038716167775302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0.50117236167358092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6.8462291869218858E-2</v>
      </c>
      <c r="H785" t="s">
        <v>34</v>
      </c>
      <c r="I785">
        <f>VLOOKUP(Table4[[#This Row],[Visitor]],'NHL Model'!$A$6:$B$38,2,FALSE)</f>
        <v>0.32232840463649798</v>
      </c>
      <c r="J785">
        <f>($B$1+Table4[[#This Row],[Home Differential]])-Table4[[#This Row],[Away Differential]]</f>
        <v>-0.11702953500714652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0.52192602666278254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-0.48381480045860298</v>
      </c>
      <c r="H786" t="s">
        <v>23</v>
      </c>
      <c r="I786">
        <f>VLOOKUP(Table4[[#This Row],[Visitor]],'NHL Model'!$A$6:$B$38,2,FALSE)</f>
        <v>0.13483877693289487</v>
      </c>
      <c r="J786">
        <f>($B$1+Table4[[#This Row],[Home Differential]])-Table4[[#This Row],[Away Differential]]</f>
        <v>-0.48181699963136521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0.50647219710931368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0.98607049252714107</v>
      </c>
      <c r="H787" t="s">
        <v>33</v>
      </c>
      <c r="I787">
        <f>VLOOKUP(Table4[[#This Row],[Visitor]],'NHL Model'!$A$6:$B$38,2,FALSE)</f>
        <v>-0.3566847028170323</v>
      </c>
      <c r="J787">
        <f>($B$1+Table4[[#This Row],[Home Differential]])-Table4[[#This Row],[Away Differential]]</f>
        <v>1.479591773104306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0.67604286947180481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-0.16816097389287935</v>
      </c>
      <c r="H788" t="s">
        <v>35</v>
      </c>
      <c r="I788">
        <f>VLOOKUP(Table4[[#This Row],[Visitor]],'NHL Model'!$A$6:$B$38,2,FALSE)</f>
        <v>-0.9803970267772969</v>
      </c>
      <c r="J788">
        <f>($B$1+Table4[[#This Row],[Home Differential]])-Table4[[#This Row],[Away Differential]]</f>
        <v>0.94907263064455016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0.63153992158041994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-0.54997285633810766</v>
      </c>
      <c r="H789" t="s">
        <v>14</v>
      </c>
      <c r="I789">
        <f>VLOOKUP(Table4[[#This Row],[Visitor]],'NHL Model'!$A$6:$B$38,2,FALSE)</f>
        <v>1.1343608350765873E-2</v>
      </c>
      <c r="J789">
        <f>($B$1+Table4[[#This Row],[Home Differential]])-Table4[[#This Row],[Away Differential]]</f>
        <v>-0.42447988692874095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0.50760858650217322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1.7070031799067014</v>
      </c>
      <c r="H790" t="s">
        <v>31</v>
      </c>
      <c r="I790">
        <f>VLOOKUP(Table4[[#This Row],[Visitor]],'NHL Model'!$A$6:$B$38,2,FALSE)</f>
        <v>-0.30466872127922601</v>
      </c>
      <c r="J790">
        <f>($B$1+Table4[[#This Row],[Home Differential]])-Table4[[#This Row],[Away Differential]]</f>
        <v>2.1485084789460598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0.85970039531655207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-0.21579108793246188</v>
      </c>
      <c r="H791" t="s">
        <v>30</v>
      </c>
      <c r="I791">
        <f>VLOOKUP(Table4[[#This Row],[Visitor]],'NHL Model'!$A$6:$B$38,2,FALSE)</f>
        <v>0.25279292855900759</v>
      </c>
      <c r="J791">
        <f>($B$1+Table4[[#This Row],[Home Differential]])-Table4[[#This Row],[Away Differential]]</f>
        <v>-0.33174743873133683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0.51276692361740361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4.3410611683700091E-2</v>
      </c>
      <c r="H792" t="s">
        <v>26</v>
      </c>
      <c r="I792">
        <f>VLOOKUP(Table4[[#This Row],[Visitor]],'NHL Model'!$A$6:$B$38,2,FALSE)</f>
        <v>-4.6015351177631898E-2</v>
      </c>
      <c r="J792">
        <f>($B$1+Table4[[#This Row],[Home Differential]])-Table4[[#This Row],[Away Differential]]</f>
        <v>0.22626254062146459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0.56299993757727818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0.27119018820614604</v>
      </c>
      <c r="H793" t="s">
        <v>27</v>
      </c>
      <c r="I793">
        <f>VLOOKUP(Table4[[#This Row],[Visitor]],'NHL Model'!$A$6:$B$38,2,FALSE)</f>
        <v>-7.417166684134277E-2</v>
      </c>
      <c r="J793">
        <f>($B$1+Table4[[#This Row],[Home Differential]])-Table4[[#This Row],[Away Differential]]</f>
        <v>0.48219843280762142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0.59196353254379885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-0.87254503056606192</v>
      </c>
      <c r="H794" t="s">
        <v>22</v>
      </c>
      <c r="I794">
        <f>VLOOKUP(Table4[[#This Row],[Visitor]],'NHL Model'!$A$6:$B$38,2,FALSE)</f>
        <v>0.34677881456804194</v>
      </c>
      <c r="J794">
        <f>($B$1+Table4[[#This Row],[Home Differential]])-Table4[[#This Row],[Away Differential]]</f>
        <v>-1.0824872673739714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0.56440802565333714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0.17390560158361429</v>
      </c>
      <c r="H795" t="s">
        <v>20</v>
      </c>
      <c r="I795">
        <f>VLOOKUP(Table4[[#This Row],[Visitor]],'NHL Model'!$A$6:$B$38,2,FALSE)</f>
        <v>0.1394237692045871</v>
      </c>
      <c r="J795">
        <f>($B$1+Table4[[#This Row],[Home Differential]])-Table4[[#This Row],[Away Differential]]</f>
        <v>0.17131841013915983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0.55140771848642622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0.33829893848778331</v>
      </c>
      <c r="H796" t="s">
        <v>10</v>
      </c>
      <c r="I796">
        <f>VLOOKUP(Table4[[#This Row],[Visitor]],'NHL Model'!$A$6:$B$38,2,FALSE)</f>
        <v>-0.43286905189715857</v>
      </c>
      <c r="J796">
        <f>($B$1+Table4[[#This Row],[Home Differential]])-Table4[[#This Row],[Away Differential]]</f>
        <v>0.90800456814507458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0.66939700801003421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-0.29093210318822477</v>
      </c>
      <c r="H797" t="s">
        <v>39</v>
      </c>
      <c r="I797">
        <f>VLOOKUP(Table4[[#This Row],[Visitor]],'NHL Model'!$A$6:$B$38,2,FALSE)</f>
        <v>0.5231745585052443</v>
      </c>
      <c r="J797">
        <f>($B$1+Table4[[#This Row],[Home Differential]])-Table4[[#This Row],[Away Differential]]</f>
        <v>-0.67727008393333643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0.58185295706926909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3.922199270086173E-4</v>
      </c>
      <c r="H798" t="s">
        <v>14</v>
      </c>
      <c r="I798">
        <f>VLOOKUP(Table4[[#This Row],[Visitor]],'NHL Model'!$A$6:$B$38,2,FALSE)</f>
        <v>1.1343608350765873E-2</v>
      </c>
      <c r="J798">
        <f>($B$1+Table4[[#This Row],[Home Differential]])-Table4[[#This Row],[Away Differential]]</f>
        <v>0.12588518933637535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0.53595139787469637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0.32232840463649798</v>
      </c>
      <c r="H799" t="s">
        <v>26</v>
      </c>
      <c r="I799">
        <f>VLOOKUP(Table4[[#This Row],[Visitor]],'NHL Model'!$A$6:$B$38,2,FALSE)</f>
        <v>-4.6015351177631898E-2</v>
      </c>
      <c r="J799">
        <f>($B$1+Table4[[#This Row],[Home Differential]])-Table4[[#This Row],[Away Differential]]</f>
        <v>0.50518033357426251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0.55809531293245918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6.8462291869218858E-2</v>
      </c>
      <c r="H800" t="s">
        <v>23</v>
      </c>
      <c r="I800">
        <f>VLOOKUP(Table4[[#This Row],[Visitor]],'NHL Model'!$A$6:$B$38,2,FALSE)</f>
        <v>0.13483877693289487</v>
      </c>
      <c r="J800">
        <f>($B$1+Table4[[#This Row],[Home Differential]])-Table4[[#This Row],[Away Differential]]</f>
        <v>7.0460092696456589E-2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0.54756140551557475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-0.48381480045860298</v>
      </c>
      <c r="H801" t="s">
        <v>36</v>
      </c>
      <c r="I801">
        <f>VLOOKUP(Table4[[#This Row],[Visitor]],'NHL Model'!$A$6:$B$38,2,FALSE)</f>
        <v>-7.2312572939580336E-2</v>
      </c>
      <c r="J801">
        <f>($B$1+Table4[[#This Row],[Home Differential]])-Table4[[#This Row],[Away Differential]]</f>
        <v>-0.27466564975889002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0.49617607279319115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-0.16816097389287935</v>
      </c>
      <c r="H802" t="s">
        <v>11</v>
      </c>
      <c r="I802">
        <f>VLOOKUP(Table4[[#This Row],[Visitor]],'NHL Model'!$A$6:$B$38,2,FALSE)</f>
        <v>-7.4962464446554744E-2</v>
      </c>
      <c r="J802">
        <f>($B$1+Table4[[#This Row],[Home Differential]])-Table4[[#This Row],[Away Differential]]</f>
        <v>4.3638068313808009E-2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0.5106255619060498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-0.54997285633810766</v>
      </c>
      <c r="H803" t="s">
        <v>22</v>
      </c>
      <c r="I803">
        <f>VLOOKUP(Table4[[#This Row],[Visitor]],'NHL Model'!$A$6:$B$38,2,FALSE)</f>
        <v>0.34677881456804194</v>
      </c>
      <c r="J803">
        <f>($B$1+Table4[[#This Row],[Home Differential]])-Table4[[#This Row],[Away Differential]]</f>
        <v>-0.75991509314601702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0.51927868461109139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-0.43286905189715857</v>
      </c>
      <c r="H804" t="s">
        <v>37</v>
      </c>
      <c r="I804">
        <f>VLOOKUP(Table4[[#This Row],[Visitor]],'NHL Model'!$A$6:$B$38,2,FALSE)</f>
        <v>0.98607049252714107</v>
      </c>
      <c r="J804">
        <f>($B$1+Table4[[#This Row],[Home Differential]])-Table4[[#This Row],[Away Differential]]</f>
        <v>-1.282102966664167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0.69108458336950229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1.7070031799067014</v>
      </c>
      <c r="H805" t="s">
        <v>27</v>
      </c>
      <c r="I805">
        <f>VLOOKUP(Table4[[#This Row],[Visitor]],'NHL Model'!$A$6:$B$38,2,FALSE)</f>
        <v>-7.417166684134277E-2</v>
      </c>
      <c r="J805">
        <f>($B$1+Table4[[#This Row],[Home Differential]])-Table4[[#This Row],[Away Differential]]</f>
        <v>1.9180114245081767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0.82958401890445022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0.5231745585052443</v>
      </c>
      <c r="H806" t="s">
        <v>35</v>
      </c>
      <c r="I806">
        <f>VLOOKUP(Table4[[#This Row],[Visitor]],'NHL Model'!$A$6:$B$38,2,FALSE)</f>
        <v>-0.9803970267772969</v>
      </c>
      <c r="J806">
        <f>($B$1+Table4[[#This Row],[Home Differential]])-Table4[[#This Row],[Away Differential]]</f>
        <v>1.6404081630426739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0.71223721369265325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-0.21579108793246188</v>
      </c>
      <c r="H807" t="s">
        <v>31</v>
      </c>
      <c r="I807">
        <f>VLOOKUP(Table4[[#This Row],[Visitor]],'NHL Model'!$A$6:$B$38,2,FALSE)</f>
        <v>-0.30466872127922601</v>
      </c>
      <c r="J807">
        <f>($B$1+Table4[[#This Row],[Home Differential]])-Table4[[#This Row],[Away Differential]]</f>
        <v>0.22571421110689674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0.56177057952907095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-0.3566847028170323</v>
      </c>
      <c r="H808" t="s">
        <v>15</v>
      </c>
      <c r="I808">
        <f>VLOOKUP(Table4[[#This Row],[Visitor]],'NHL Model'!$A$6:$B$38,2,FALSE)</f>
        <v>-0.36341023830385849</v>
      </c>
      <c r="J808">
        <f>($B$1+Table4[[#This Row],[Home Differential]])-Table4[[#This Row],[Away Differential]]</f>
        <v>0.14356211324695881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0.48122367903022678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4.3410611683700091E-2</v>
      </c>
      <c r="H809" t="s">
        <v>20</v>
      </c>
      <c r="I809">
        <f>VLOOKUP(Table4[[#This Row],[Visitor]],'NHL Model'!$A$6:$B$38,2,FALSE)</f>
        <v>0.1394237692045871</v>
      </c>
      <c r="J809">
        <f>($B$1+Table4[[#This Row],[Home Differential]])-Table4[[#This Row],[Away Differential]]</f>
        <v>4.0823420239245595E-2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0.54511396974971371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-0.87254503056606192</v>
      </c>
      <c r="H810" t="s">
        <v>24</v>
      </c>
      <c r="I810">
        <f>VLOOKUP(Table4[[#This Row],[Visitor]],'NHL Model'!$A$6:$B$38,2,FALSE)</f>
        <v>-0.27466957136179609</v>
      </c>
      <c r="J810">
        <f>($B$1+Table4[[#This Row],[Home Differential]])-Table4[[#This Row],[Away Differential]]</f>
        <v>-0.46103888144413324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0.51505634204402839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0.17390560158361429</v>
      </c>
      <c r="H811" t="s">
        <v>18</v>
      </c>
      <c r="I811">
        <f>VLOOKUP(Table4[[#This Row],[Visitor]],'NHL Model'!$A$6:$B$38,2,FALSE)</f>
        <v>6.8462291869218858E-2</v>
      </c>
      <c r="J811">
        <f>($B$1+Table4[[#This Row],[Home Differential]])-Table4[[#This Row],[Away Differential]]</f>
        <v>0.24227988747452806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0.53829374472551961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-0.29093210318822477</v>
      </c>
      <c r="H812" t="s">
        <v>37</v>
      </c>
      <c r="I812">
        <f>VLOOKUP(Table4[[#This Row],[Visitor]],'NHL Model'!$A$6:$B$38,2,FALSE)</f>
        <v>0.98607049252714107</v>
      </c>
      <c r="J812">
        <f>($B$1+Table4[[#This Row],[Home Differential]])-Table4[[#This Row],[Away Differential]]</f>
        <v>-1.1401660179552333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0.67739448554700377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3.922199270086173E-4</v>
      </c>
      <c r="H813" t="s">
        <v>22</v>
      </c>
      <c r="I813">
        <f>VLOOKUP(Table4[[#This Row],[Visitor]],'NHL Model'!$A$6:$B$38,2,FALSE)</f>
        <v>0.34677881456804194</v>
      </c>
      <c r="J813">
        <f>($B$1+Table4[[#This Row],[Home Differential]])-Table4[[#This Row],[Away Differential]]</f>
        <v>-0.20955001688090072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0.47565705576348272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0.32232840463649798</v>
      </c>
      <c r="H814" t="s">
        <v>11</v>
      </c>
      <c r="I814">
        <f>VLOOKUP(Table4[[#This Row],[Visitor]],'NHL Model'!$A$6:$B$38,2,FALSE)</f>
        <v>-7.4962464446554744E-2</v>
      </c>
      <c r="J814">
        <f>($B$1+Table4[[#This Row],[Home Differential]])-Table4[[#This Row],[Away Differential]]</f>
        <v>0.53412744684318536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0.55870450092779878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-0.48381480045860298</v>
      </c>
      <c r="H815" t="s">
        <v>55</v>
      </c>
      <c r="I815">
        <f>VLOOKUP(Table4[[#This Row],[Visitor]],'NHL Model'!$A$6:$B$38,2,FALSE)</f>
        <v>0.27119018820614604</v>
      </c>
      <c r="J815">
        <f>($B$1+Table4[[#This Row],[Home Differential]])-Table4[[#This Row],[Away Differential]]</f>
        <v>-0.61816841090461638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0.51962355886216105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0.25279292855900759</v>
      </c>
      <c r="H816" t="s">
        <v>23</v>
      </c>
      <c r="I816">
        <f>VLOOKUP(Table4[[#This Row],[Visitor]],'NHL Model'!$A$6:$B$38,2,FALSE)</f>
        <v>0.13483877693289487</v>
      </c>
      <c r="J816">
        <f>($B$1+Table4[[#This Row],[Home Differential]])-Table4[[#This Row],[Away Differential]]</f>
        <v>0.25479072938624531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0.58368049820609624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-7.2312572939580336E-2</v>
      </c>
      <c r="H817" t="s">
        <v>25</v>
      </c>
      <c r="I817">
        <f>VLOOKUP(Table4[[#This Row],[Visitor]],'NHL Model'!$A$6:$B$38,2,FALSE)</f>
        <v>0.33829893848778331</v>
      </c>
      <c r="J817">
        <f>($B$1+Table4[[#This Row],[Home Differential]])-Table4[[#This Row],[Away Differential]]</f>
        <v>-0.27377493366723105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0.52891869354566978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-0.9803970267772969</v>
      </c>
      <c r="H818" t="s">
        <v>13</v>
      </c>
      <c r="I818">
        <f>VLOOKUP(Table4[[#This Row],[Visitor]],'NHL Model'!$A$6:$B$38,2,FALSE)</f>
        <v>-0.14985965438623808</v>
      </c>
      <c r="J818">
        <f>($B$1+Table4[[#This Row],[Home Differential]])-Table4[[#This Row],[Away Differential]]</f>
        <v>-0.69370079463092627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0.55830929720776012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-0.16816097389287935</v>
      </c>
      <c r="H819" t="s">
        <v>26</v>
      </c>
      <c r="I819">
        <f>VLOOKUP(Table4[[#This Row],[Visitor]],'NHL Model'!$A$6:$B$38,2,FALSE)</f>
        <v>-4.6015351177631898E-2</v>
      </c>
      <c r="J819">
        <f>($B$1+Table4[[#This Row],[Home Differential]])-Table4[[#This Row],[Away Differential]]</f>
        <v>1.4690955044885164E-2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0.51001648010340384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-0.54997285633810766</v>
      </c>
      <c r="H820" t="s">
        <v>31</v>
      </c>
      <c r="I820">
        <f>VLOOKUP(Table4[[#This Row],[Visitor]],'NHL Model'!$A$6:$B$38,2,FALSE)</f>
        <v>-0.30466872127922601</v>
      </c>
      <c r="J820">
        <f>($B$1+Table4[[#This Row],[Home Differential]])-Table4[[#This Row],[Away Differential]]</f>
        <v>-0.10846755729874907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0.45644528870469231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-0.43286905189715857</v>
      </c>
      <c r="H821" t="s">
        <v>11</v>
      </c>
      <c r="I821">
        <f>VLOOKUP(Table4[[#This Row],[Visitor]],'NHL Model'!$A$6:$B$38,2,FALSE)</f>
        <v>-7.4962464446554744E-2</v>
      </c>
      <c r="J821">
        <f>($B$1+Table4[[#This Row],[Home Differential]])-Table4[[#This Row],[Away Differential]]</f>
        <v>-0.22107000969047119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0.51490605276685375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-7.2312572939580336E-2</v>
      </c>
      <c r="H822" t="s">
        <v>20</v>
      </c>
      <c r="I822">
        <f>VLOOKUP(Table4[[#This Row],[Visitor]],'NHL Model'!$A$6:$B$38,2,FALSE)</f>
        <v>0.1394237692045871</v>
      </c>
      <c r="J822">
        <f>($B$1+Table4[[#This Row],[Home Differential]])-Table4[[#This Row],[Away Differential]]</f>
        <v>-7.4899764384034825E-2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0.49862472096598842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-0.21579108793246188</v>
      </c>
      <c r="H823" t="s">
        <v>24</v>
      </c>
      <c r="I823">
        <f>VLOOKUP(Table4[[#This Row],[Visitor]],'NHL Model'!$A$6:$B$38,2,FALSE)</f>
        <v>-0.27466957136179609</v>
      </c>
      <c r="J823">
        <f>($B$1+Table4[[#This Row],[Home Differential]])-Table4[[#This Row],[Away Differential]]</f>
        <v>0.19571506118946683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0.54828886723198056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4.3410611683700091E-2</v>
      </c>
      <c r="H824" t="s">
        <v>12</v>
      </c>
      <c r="I824">
        <f>VLOOKUP(Table4[[#This Row],[Visitor]],'NHL Model'!$A$6:$B$38,2,FALSE)</f>
        <v>1.7070031799067014</v>
      </c>
      <c r="J824">
        <f>($B$1+Table4[[#This Row],[Home Differential]])-Table4[[#This Row],[Away Differential]]</f>
        <v>-1.5267559904628687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0.64452637721415007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-0.87254503056606192</v>
      </c>
      <c r="H825" t="s">
        <v>14</v>
      </c>
      <c r="I825">
        <f>VLOOKUP(Table4[[#This Row],[Visitor]],'NHL Model'!$A$6:$B$38,2,FALSE)</f>
        <v>1.1343608350765873E-2</v>
      </c>
      <c r="J825">
        <f>($B$1+Table4[[#This Row],[Home Differential]])-Table4[[#This Row],[Away Differential]]</f>
        <v>-0.7470520611566952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0.55282387114836806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-0.29093210318822477</v>
      </c>
      <c r="H826" t="s">
        <v>13</v>
      </c>
      <c r="I826">
        <f>VLOOKUP(Table4[[#This Row],[Visitor]],'NHL Model'!$A$6:$B$38,2,FALSE)</f>
        <v>-0.14985965438623808</v>
      </c>
      <c r="J826">
        <f>($B$1+Table4[[#This Row],[Home Differential]])-Table4[[#This Row],[Away Differential]]</f>
        <v>-4.2358710418540779E-3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0.49180904949233384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3.922199270086173E-4</v>
      </c>
      <c r="H827" t="s">
        <v>31</v>
      </c>
      <c r="I827">
        <f>VLOOKUP(Table4[[#This Row],[Visitor]],'NHL Model'!$A$6:$B$38,2,FALSE)</f>
        <v>-0.30466872127922601</v>
      </c>
      <c r="J827">
        <f>($B$1+Table4[[#This Row],[Home Differential]])-Table4[[#This Row],[Away Differential]]</f>
        <v>0.4418975189663672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0.58717634014291642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-0.36341023830385849</v>
      </c>
      <c r="H828" t="s">
        <v>21</v>
      </c>
      <c r="I828">
        <f>VLOOKUP(Table4[[#This Row],[Visitor]],'NHL Model'!$A$6:$B$38,2,FALSE)</f>
        <v>0.17390560158361429</v>
      </c>
      <c r="J828">
        <f>($B$1+Table4[[#This Row],[Home Differential]])-Table4[[#This Row],[Away Differential]]</f>
        <v>-0.4004792621273402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0.49862701237609613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-7.417166684134277E-2</v>
      </c>
      <c r="H829" t="s">
        <v>30</v>
      </c>
      <c r="I829">
        <f>VLOOKUP(Table4[[#This Row],[Visitor]],'NHL Model'!$A$6:$B$38,2,FALSE)</f>
        <v>0.25279292855900759</v>
      </c>
      <c r="J829">
        <f>($B$1+Table4[[#This Row],[Home Differential]])-Table4[[#This Row],[Away Differential]]</f>
        <v>-0.19012801764021775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0.4991074519580625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0.98607049252714107</v>
      </c>
      <c r="H830" t="s">
        <v>55</v>
      </c>
      <c r="I830">
        <f>VLOOKUP(Table4[[#This Row],[Visitor]],'NHL Model'!$A$6:$B$38,2,FALSE)</f>
        <v>0.27119018820614604</v>
      </c>
      <c r="J830">
        <f>($B$1+Table4[[#This Row],[Home Differential]])-Table4[[#This Row],[Away Differential]]</f>
        <v>0.85171688208112761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0.63616638867966191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0.17390560158361429</v>
      </c>
      <c r="H831" t="s">
        <v>29</v>
      </c>
      <c r="I831">
        <f>VLOOKUP(Table4[[#This Row],[Visitor]],'NHL Model'!$A$6:$B$38,2,FALSE)</f>
        <v>-0.48381480045860298</v>
      </c>
      <c r="J831">
        <f>($B$1+Table4[[#This Row],[Home Differential]])-Table4[[#This Row],[Away Differential]]</f>
        <v>0.79455697980234996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0.64267431905016137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-4.6015351177631898E-2</v>
      </c>
      <c r="H832" t="s">
        <v>13</v>
      </c>
      <c r="I832">
        <f>VLOOKUP(Table4[[#This Row],[Visitor]],'NHL Model'!$A$6:$B$38,2,FALSE)</f>
        <v>-0.14985965438623808</v>
      </c>
      <c r="J832">
        <f>($B$1+Table4[[#This Row],[Home Differential]])-Table4[[#This Row],[Away Differential]]</f>
        <v>0.2406808809687388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0.57411234786207022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-7.4962464446554744E-2</v>
      </c>
      <c r="H833" t="s">
        <v>55</v>
      </c>
      <c r="I833">
        <f>VLOOKUP(Table4[[#This Row],[Visitor]],'NHL Model'!$A$6:$B$38,2,FALSE)</f>
        <v>0.27119018820614604</v>
      </c>
      <c r="J833">
        <f>($B$1+Table4[[#This Row],[Home Differential]])-Table4[[#This Row],[Away Differential]]</f>
        <v>-0.20931607489256818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0.48018894704420484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0.32232840463649798</v>
      </c>
      <c r="H834" t="s">
        <v>10</v>
      </c>
      <c r="I834">
        <f>VLOOKUP(Table4[[#This Row],[Visitor]],'NHL Model'!$A$6:$B$38,2,FALSE)</f>
        <v>-0.43286905189715857</v>
      </c>
      <c r="J834">
        <f>($B$1+Table4[[#This Row],[Home Differential]])-Table4[[#This Row],[Away Differential]]</f>
        <v>0.89203403429378914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0.6268038278107585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6.8462291869218858E-2</v>
      </c>
      <c r="H835" t="s">
        <v>20</v>
      </c>
      <c r="I835">
        <f>VLOOKUP(Table4[[#This Row],[Visitor]],'NHL Model'!$A$6:$B$38,2,FALSE)</f>
        <v>0.1394237692045871</v>
      </c>
      <c r="J835">
        <f>($B$1+Table4[[#This Row],[Home Differential]])-Table4[[#This Row],[Away Differential]]</f>
        <v>6.5875100424764355E-2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0.51572345929986374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-0.27466957136179609</v>
      </c>
      <c r="H836" t="s">
        <v>40</v>
      </c>
      <c r="I836">
        <f>VLOOKUP(Table4[[#This Row],[Visitor]],'NHL Model'!$A$6:$B$38,2,FALSE)</f>
        <v>-0.16816097389287935</v>
      </c>
      <c r="J836">
        <f>($B$1+Table4[[#This Row],[Home Differential]])-Table4[[#This Row],[Away Differential]]</f>
        <v>3.0327980291215861E-2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0.54542067254351034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-0.21579108793246188</v>
      </c>
      <c r="H837" t="s">
        <v>22</v>
      </c>
      <c r="I837">
        <f>VLOOKUP(Table4[[#This Row],[Visitor]],'NHL Model'!$A$6:$B$38,2,FALSE)</f>
        <v>0.34677881456804194</v>
      </c>
      <c r="J837">
        <f>($B$1+Table4[[#This Row],[Home Differential]])-Table4[[#This Row],[Away Differential]]</f>
        <v>-0.42573332474037118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0.5010628163773283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-0.9803970267772969</v>
      </c>
      <c r="H838" t="s">
        <v>39</v>
      </c>
      <c r="I838">
        <f>VLOOKUP(Table4[[#This Row],[Visitor]],'NHL Model'!$A$6:$B$38,2,FALSE)</f>
        <v>0.5231745585052443</v>
      </c>
      <c r="J838">
        <f>($B$1+Table4[[#This Row],[Home Differential]])-Table4[[#This Row],[Away Differential]]</f>
        <v>-1.3667350075224087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0.64835320478469538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4.3410611683700091E-2</v>
      </c>
      <c r="H839" t="s">
        <v>23</v>
      </c>
      <c r="I839">
        <f>VLOOKUP(Table4[[#This Row],[Visitor]],'NHL Model'!$A$6:$B$38,2,FALSE)</f>
        <v>0.13483877693289487</v>
      </c>
      <c r="J839">
        <f>($B$1+Table4[[#This Row],[Home Differential]])-Table4[[#This Row],[Away Differential]]</f>
        <v>4.5408412510937829E-2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0.5766257964907846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-0.87254503056606192</v>
      </c>
      <c r="H840" t="s">
        <v>33</v>
      </c>
      <c r="I840">
        <f>VLOOKUP(Table4[[#This Row],[Visitor]],'NHL Model'!$A$6:$B$38,2,FALSE)</f>
        <v>-0.3566847028170323</v>
      </c>
      <c r="J840">
        <f>($B$1+Table4[[#This Row],[Home Differential]])-Table4[[#This Row],[Away Differential]]</f>
        <v>-0.37902374998889704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0.51732681680723203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-0.29093210318822477</v>
      </c>
      <c r="H841" t="s">
        <v>27</v>
      </c>
      <c r="I841">
        <f>VLOOKUP(Table4[[#This Row],[Visitor]],'NHL Model'!$A$6:$B$38,2,FALSE)</f>
        <v>-7.417166684134277E-2</v>
      </c>
      <c r="J841">
        <f>($B$1+Table4[[#This Row],[Home Differential]])-Table4[[#This Row],[Away Differential]]</f>
        <v>-7.9923858586749386E-2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0.47631237471831472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0.25279292855900759</v>
      </c>
      <c r="H842" t="s">
        <v>15</v>
      </c>
      <c r="I842">
        <f>VLOOKUP(Table4[[#This Row],[Visitor]],'NHL Model'!$A$6:$B$38,2,FALSE)</f>
        <v>-0.36341023830385849</v>
      </c>
      <c r="J842">
        <f>($B$1+Table4[[#This Row],[Home Differential]])-Table4[[#This Row],[Away Differential]]</f>
        <v>0.75303974462299861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0.55926318026704414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-7.2312572939580336E-2</v>
      </c>
      <c r="H843" t="s">
        <v>12</v>
      </c>
      <c r="I843">
        <f>VLOOKUP(Table4[[#This Row],[Visitor]],'NHL Model'!$A$6:$B$38,2,FALSE)</f>
        <v>1.7070031799067014</v>
      </c>
      <c r="J843">
        <f>($B$1+Table4[[#This Row],[Home Differential]])-Table4[[#This Row],[Away Differential]]</f>
        <v>-1.6424791750861492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0.68832193608305314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0.17390560158361429</v>
      </c>
      <c r="H844" t="s">
        <v>27</v>
      </c>
      <c r="I844">
        <f>VLOOKUP(Table4[[#This Row],[Visitor]],'NHL Model'!$A$6:$B$38,2,FALSE)</f>
        <v>-7.417166684134277E-2</v>
      </c>
      <c r="J844">
        <f>($B$1+Table4[[#This Row],[Home Differential]])-Table4[[#This Row],[Away Differential]]</f>
        <v>0.38491384618508973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0.59464782129282479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0.13483877693289487</v>
      </c>
      <c r="H845" t="s">
        <v>13</v>
      </c>
      <c r="I845">
        <f>VLOOKUP(Table4[[#This Row],[Visitor]],'NHL Model'!$A$6:$B$38,2,FALSE)</f>
        <v>-0.14985965438623808</v>
      </c>
      <c r="J845">
        <f>($B$1+Table4[[#This Row],[Home Differential]])-Table4[[#This Row],[Away Differential]]</f>
        <v>0.42153500907926555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0.59621343613136724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0.33829893848778331</v>
      </c>
      <c r="H846" t="s">
        <v>55</v>
      </c>
      <c r="I846">
        <f>VLOOKUP(Table4[[#This Row],[Visitor]],'NHL Model'!$A$6:$B$38,2,FALSE)</f>
        <v>0.27119018820614604</v>
      </c>
      <c r="J846">
        <f>($B$1+Table4[[#This Row],[Home Differential]])-Table4[[#This Row],[Away Differential]]</f>
        <v>0.2039453280417699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0.60148910976703407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-4.6015351177631898E-2</v>
      </c>
      <c r="H847" t="s">
        <v>22</v>
      </c>
      <c r="I847">
        <f>VLOOKUP(Table4[[#This Row],[Visitor]],'NHL Model'!$A$6:$B$38,2,FALSE)</f>
        <v>0.34677881456804194</v>
      </c>
      <c r="J847">
        <f>($B$1+Table4[[#This Row],[Home Differential]])-Table4[[#This Row],[Away Differential]]</f>
        <v>-0.25595758798554125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0.44286943088454406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3.922199270086173E-4</v>
      </c>
      <c r="H848" t="s">
        <v>33</v>
      </c>
      <c r="I848">
        <f>VLOOKUP(Table4[[#This Row],[Visitor]],'NHL Model'!$A$6:$B$38,2,FALSE)</f>
        <v>-0.3566847028170323</v>
      </c>
      <c r="J848">
        <f>($B$1+Table4[[#This Row],[Home Differential]])-Table4[[#This Row],[Away Differential]]</f>
        <v>0.49391350050417349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0.57144845221583251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0.32232840463649798</v>
      </c>
      <c r="H849" t="s">
        <v>16</v>
      </c>
      <c r="I849">
        <f>VLOOKUP(Table4[[#This Row],[Visitor]],'NHL Model'!$A$6:$B$38,2,FALSE)</f>
        <v>-0.54997285633810766</v>
      </c>
      <c r="J849">
        <f>($B$1+Table4[[#This Row],[Home Differential]])-Table4[[#This Row],[Away Differential]]</f>
        <v>1.0091378387347383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0.63809872003414203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6.8462291869218858E-2</v>
      </c>
      <c r="H850" t="s">
        <v>12</v>
      </c>
      <c r="I850">
        <f>VLOOKUP(Table4[[#This Row],[Visitor]],'NHL Model'!$A$6:$B$38,2,FALSE)</f>
        <v>1.7070031799067014</v>
      </c>
      <c r="J850">
        <f>($B$1+Table4[[#This Row],[Home Differential]])-Table4[[#This Row],[Away Differential]]</f>
        <v>-1.50170431027735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0.67397619210091242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-0.27466957136179609</v>
      </c>
      <c r="H851" t="s">
        <v>29</v>
      </c>
      <c r="I851">
        <f>VLOOKUP(Table4[[#This Row],[Visitor]],'NHL Model'!$A$6:$B$38,2,FALSE)</f>
        <v>-0.48381480045860298</v>
      </c>
      <c r="J851">
        <f>($B$1+Table4[[#This Row],[Home Differential]])-Table4[[#This Row],[Away Differential]]</f>
        <v>0.34598180685693947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0.57586610485016343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-0.36341023830385849</v>
      </c>
      <c r="H852" t="s">
        <v>30</v>
      </c>
      <c r="I852">
        <f>VLOOKUP(Table4[[#This Row],[Visitor]],'NHL Model'!$A$6:$B$38,2,FALSE)</f>
        <v>0.25279292855900759</v>
      </c>
      <c r="J852">
        <f>($B$1+Table4[[#This Row],[Home Differential]])-Table4[[#This Row],[Away Differential]]</f>
        <v>-0.47936658910273344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0.52700508096431675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1.1343608350765873E-2</v>
      </c>
      <c r="H853" t="s">
        <v>10</v>
      </c>
      <c r="I853">
        <f>VLOOKUP(Table4[[#This Row],[Visitor]],'NHL Model'!$A$6:$B$38,2,FALSE)</f>
        <v>-0.43286905189715857</v>
      </c>
      <c r="J853">
        <f>($B$1+Table4[[#This Row],[Home Differential]])-Table4[[#This Row],[Away Differential]]</f>
        <v>0.58104923800805708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0.59604334164130046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-0.21579108793246188</v>
      </c>
      <c r="H854" t="s">
        <v>19</v>
      </c>
      <c r="I854">
        <f>VLOOKUP(Table4[[#This Row],[Visitor]],'NHL Model'!$A$6:$B$38,2,FALSE)</f>
        <v>4.3410611683700091E-2</v>
      </c>
      <c r="J854">
        <f>($B$1+Table4[[#This Row],[Home Differential]])-Table4[[#This Row],[Away Differential]]</f>
        <v>-0.12236512185602935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0.47180235663446773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-0.9803970267772969</v>
      </c>
      <c r="H855" t="s">
        <v>11</v>
      </c>
      <c r="I855">
        <f>VLOOKUP(Table4[[#This Row],[Visitor]],'NHL Model'!$A$6:$B$38,2,FALSE)</f>
        <v>-7.4962464446554744E-2</v>
      </c>
      <c r="J855">
        <f>($B$1+Table4[[#This Row],[Home Differential]])-Table4[[#This Row],[Away Differential]]</f>
        <v>-0.76859798457060957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0.56771620265978151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0.98607049252714107</v>
      </c>
      <c r="H856" t="s">
        <v>40</v>
      </c>
      <c r="I856">
        <f>VLOOKUP(Table4[[#This Row],[Visitor]],'NHL Model'!$A$6:$B$38,2,FALSE)</f>
        <v>-0.16816097389287935</v>
      </c>
      <c r="J856">
        <f>($B$1+Table4[[#This Row],[Home Differential]])-Table4[[#This Row],[Away Differential]]</f>
        <v>1.291068044180153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0.67854267224975873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-0.87254503056606192</v>
      </c>
      <c r="H857" t="s">
        <v>31</v>
      </c>
      <c r="I857">
        <f>VLOOKUP(Table4[[#This Row],[Visitor]],'NHL Model'!$A$6:$B$38,2,FALSE)</f>
        <v>-0.30466872127922601</v>
      </c>
      <c r="J857">
        <f>($B$1+Table4[[#This Row],[Home Differential]])-Table4[[#This Row],[Away Differential]]</f>
        <v>-0.43103973152670333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0.50157462974693812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0.1394237692045871</v>
      </c>
      <c r="H858" t="s">
        <v>39</v>
      </c>
      <c r="I858">
        <f>VLOOKUP(Table4[[#This Row],[Visitor]],'NHL Model'!$A$6:$B$38,2,FALSE)</f>
        <v>0.5231745585052443</v>
      </c>
      <c r="J858">
        <f>($B$1+Table4[[#This Row],[Home Differential]])-Table4[[#This Row],[Away Differential]]</f>
        <v>-0.24691421154052462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0.54034428688060632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-0.43286905189715857</v>
      </c>
      <c r="H859" t="s">
        <v>28</v>
      </c>
      <c r="I859">
        <f>VLOOKUP(Table4[[#This Row],[Visitor]],'NHL Model'!$A$6:$B$38,2,FALSE)</f>
        <v>-0.29093210318822477</v>
      </c>
      <c r="J859">
        <f>($B$1+Table4[[#This Row],[Home Differential]])-Table4[[#This Row],[Away Differential]]</f>
        <v>-5.1003709488011695E-3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0.46049194080790978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0.13483877693289487</v>
      </c>
      <c r="H860" t="s">
        <v>18</v>
      </c>
      <c r="I860">
        <f>VLOOKUP(Table4[[#This Row],[Visitor]],'NHL Model'!$A$6:$B$38,2,FALSE)</f>
        <v>6.8462291869218858E-2</v>
      </c>
      <c r="J860">
        <f>($B$1+Table4[[#This Row],[Home Differential]])-Table4[[#This Row],[Away Differential]]</f>
        <v>0.20321306282380863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0.55531458524286337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-0.54997285633810766</v>
      </c>
      <c r="H861" t="s">
        <v>33</v>
      </c>
      <c r="I861">
        <f>VLOOKUP(Table4[[#This Row],[Visitor]],'NHL Model'!$A$6:$B$38,2,FALSE)</f>
        <v>-0.3566847028170323</v>
      </c>
      <c r="J861">
        <f>($B$1+Table4[[#This Row],[Home Differential]])-Table4[[#This Row],[Away Differential]]</f>
        <v>-5.6451575760942785E-2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0.47211153216103707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-4.6015351177631898E-2</v>
      </c>
      <c r="H862" t="s">
        <v>12</v>
      </c>
      <c r="I862">
        <f>VLOOKUP(Table4[[#This Row],[Visitor]],'NHL Model'!$A$6:$B$38,2,FALSE)</f>
        <v>1.7070031799067014</v>
      </c>
      <c r="J862">
        <f>($B$1+Table4[[#This Row],[Home Differential]])-Table4[[#This Row],[Away Differential]]</f>
        <v>-1.6161819533242006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0.64334910868425843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3.922199270086173E-4</v>
      </c>
      <c r="H863" t="s">
        <v>34</v>
      </c>
      <c r="I863">
        <f>VLOOKUP(Table4[[#This Row],[Visitor]],'NHL Model'!$A$6:$B$38,2,FALSE)</f>
        <v>0.32232840463649798</v>
      </c>
      <c r="J863">
        <f>($B$1+Table4[[#This Row],[Home Differential]])-Table4[[#This Row],[Away Differential]]</f>
        <v>-0.18509960694935676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0.52467583317508037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-7.4962464446554744E-2</v>
      </c>
      <c r="H864" t="s">
        <v>40</v>
      </c>
      <c r="I864">
        <f>VLOOKUP(Table4[[#This Row],[Visitor]],'NHL Model'!$A$6:$B$38,2,FALSE)</f>
        <v>-0.16816097389287935</v>
      </c>
      <c r="J864">
        <f>($B$1+Table4[[#This Row],[Home Differential]])-Table4[[#This Row],[Away Differential]]</f>
        <v>0.23003508720645721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0.56218733652589192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0.25279292855900759</v>
      </c>
      <c r="H865" t="s">
        <v>29</v>
      </c>
      <c r="I865">
        <f>VLOOKUP(Table4[[#This Row],[Visitor]],'NHL Model'!$A$6:$B$38,2,FALSE)</f>
        <v>-0.48381480045860298</v>
      </c>
      <c r="J865">
        <f>($B$1+Table4[[#This Row],[Home Differential]])-Table4[[#This Row],[Away Differential]]</f>
        <v>0.8734443067777431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0.64335085232999867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-7.2312572939580336E-2</v>
      </c>
      <c r="H866" t="s">
        <v>24</v>
      </c>
      <c r="I866">
        <f>VLOOKUP(Table4[[#This Row],[Visitor]],'NHL Model'!$A$6:$B$38,2,FALSE)</f>
        <v>-0.27466957136179609</v>
      </c>
      <c r="J866">
        <f>($B$1+Table4[[#This Row],[Home Differential]])-Table4[[#This Row],[Away Differential]]</f>
        <v>0.33919357618234836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0.56212765215406146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-7.417166684134277E-2</v>
      </c>
      <c r="H867" t="s">
        <v>13</v>
      </c>
      <c r="I867">
        <f>VLOOKUP(Table4[[#This Row],[Visitor]],'NHL Model'!$A$6:$B$38,2,FALSE)</f>
        <v>-0.14985965438623808</v>
      </c>
      <c r="J867">
        <f>($B$1+Table4[[#This Row],[Home Differential]])-Table4[[#This Row],[Away Differential]]</f>
        <v>0.21252456530502792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0.52909792085350305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1.1343608350765873E-2</v>
      </c>
      <c r="H868" t="s">
        <v>15</v>
      </c>
      <c r="I868">
        <f>VLOOKUP(Table4[[#This Row],[Visitor]],'NHL Model'!$A$6:$B$38,2,FALSE)</f>
        <v>-0.36341023830385849</v>
      </c>
      <c r="J868">
        <f>($B$1+Table4[[#This Row],[Home Differential]])-Table4[[#This Row],[Away Differential]]</f>
        <v>0.51159042441475699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0.51672073337136293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-0.9803970267772969</v>
      </c>
      <c r="H869" t="s">
        <v>28</v>
      </c>
      <c r="I869">
        <f>VLOOKUP(Table4[[#This Row],[Visitor]],'NHL Model'!$A$6:$B$38,2,FALSE)</f>
        <v>-0.29093210318822477</v>
      </c>
      <c r="J869">
        <f>($B$1+Table4[[#This Row],[Home Differential]])-Table4[[#This Row],[Away Differential]]</f>
        <v>-0.5526283458289396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0.51330209070083754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0.27119018820614604</v>
      </c>
      <c r="H870" t="s">
        <v>39</v>
      </c>
      <c r="I870">
        <f>VLOOKUP(Table4[[#This Row],[Visitor]],'NHL Model'!$A$6:$B$38,2,FALSE)</f>
        <v>0.5231745585052443</v>
      </c>
      <c r="J870">
        <f>($B$1+Table4[[#This Row],[Home Differential]])-Table4[[#This Row],[Away Differential]]</f>
        <v>-0.11514779253896568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0.51349857552654044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-0.87254503056606192</v>
      </c>
      <c r="H871" t="s">
        <v>19</v>
      </c>
      <c r="I871">
        <f>VLOOKUP(Table4[[#This Row],[Visitor]],'NHL Model'!$A$6:$B$38,2,FALSE)</f>
        <v>4.3410611683700091E-2</v>
      </c>
      <c r="J871">
        <f>($B$1+Table4[[#This Row],[Home Differential]])-Table4[[#This Row],[Away Differential]]</f>
        <v>-0.77911906448962942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0.53514756591047674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0.1394237692045871</v>
      </c>
      <c r="H872" t="s">
        <v>32</v>
      </c>
      <c r="I872">
        <f>VLOOKUP(Table4[[#This Row],[Visitor]],'NHL Model'!$A$6:$B$38,2,FALSE)</f>
        <v>-0.21579108793246188</v>
      </c>
      <c r="J872">
        <f>($B$1+Table4[[#This Row],[Home Differential]])-Table4[[#This Row],[Away Differential]]</f>
        <v>0.49205143489718156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0.57777529777380077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0.34677881456804194</v>
      </c>
      <c r="H873" t="s">
        <v>25</v>
      </c>
      <c r="I873">
        <f>VLOOKUP(Table4[[#This Row],[Visitor]],'NHL Model'!$A$6:$B$38,2,FALSE)</f>
        <v>0.33829893848778331</v>
      </c>
      <c r="J873">
        <f>($B$1+Table4[[#This Row],[Home Differential]])-Table4[[#This Row],[Away Differential]]</f>
        <v>0.14531645384039121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0.52059500510665768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-0.30466872127922601</v>
      </c>
      <c r="H874" t="s">
        <v>20</v>
      </c>
      <c r="I874">
        <f>VLOOKUP(Table4[[#This Row],[Visitor]],'NHL Model'!$A$6:$B$38,2,FALSE)</f>
        <v>0.1394237692045871</v>
      </c>
      <c r="J874">
        <f>($B$1+Table4[[#This Row],[Home Differential]])-Table4[[#This Row],[Away Differential]]</f>
        <v>-0.30725591272368047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0.49855195565214888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0.33829893848778331</v>
      </c>
      <c r="H875" t="s">
        <v>13</v>
      </c>
      <c r="I875">
        <f>VLOOKUP(Table4[[#This Row],[Visitor]],'NHL Model'!$A$6:$B$38,2,FALSE)</f>
        <v>-0.14985965438623808</v>
      </c>
      <c r="J875">
        <f>($B$1+Table4[[#This Row],[Home Differential]])-Table4[[#This Row],[Away Differential]]</f>
        <v>0.624995170634154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0.61118021685573698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0.98607049252714107</v>
      </c>
      <c r="H876" t="s">
        <v>21</v>
      </c>
      <c r="I876">
        <f>VLOOKUP(Table4[[#This Row],[Visitor]],'NHL Model'!$A$6:$B$38,2,FALSE)</f>
        <v>0.17390560158361429</v>
      </c>
      <c r="J876">
        <f>($B$1+Table4[[#This Row],[Home Differential]])-Table4[[#This Row],[Away Differential]]</f>
        <v>0.94900146870365942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0.64554967836989574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-0.54997285633810766</v>
      </c>
      <c r="H877" t="s">
        <v>19</v>
      </c>
      <c r="I877">
        <f>VLOOKUP(Table4[[#This Row],[Visitor]],'NHL Model'!$A$6:$B$38,2,FALSE)</f>
        <v>4.3410611683700091E-2</v>
      </c>
      <c r="J877">
        <f>($B$1+Table4[[#This Row],[Home Differential]])-Table4[[#This Row],[Away Differential]]</f>
        <v>-0.45654689026167516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0.49001822486823088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-0.43286905189715857</v>
      </c>
      <c r="H878" t="s">
        <v>33</v>
      </c>
      <c r="I878">
        <f>VLOOKUP(Table4[[#This Row],[Visitor]],'NHL Model'!$A$6:$B$38,2,FALSE)</f>
        <v>-0.3566847028170323</v>
      </c>
      <c r="J878">
        <f>($B$1+Table4[[#This Row],[Home Differential]])-Table4[[#This Row],[Away Differential]]</f>
        <v>6.0652228680006359E-2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0.52508079595978241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1.7070031799067014</v>
      </c>
      <c r="H879" t="s">
        <v>26</v>
      </c>
      <c r="I879">
        <f>VLOOKUP(Table4[[#This Row],[Visitor]],'NHL Model'!$A$6:$B$38,2,FALSE)</f>
        <v>-4.6015351177631898E-2</v>
      </c>
      <c r="J879">
        <f>($B$1+Table4[[#This Row],[Home Differential]])-Table4[[#This Row],[Away Differential]]</f>
        <v>1.8898551088444659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0.80567539144096012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0.5231745585052443</v>
      </c>
      <c r="H880" t="s">
        <v>40</v>
      </c>
      <c r="I880">
        <f>VLOOKUP(Table4[[#This Row],[Visitor]],'NHL Model'!$A$6:$B$38,2,FALSE)</f>
        <v>-0.16816097389287935</v>
      </c>
      <c r="J880">
        <f>($B$1+Table4[[#This Row],[Home Differential]])-Table4[[#This Row],[Away Differential]]</f>
        <v>0.8281721101582562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0.63389544912682205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-7.4962464446554744E-2</v>
      </c>
      <c r="H881" t="s">
        <v>23</v>
      </c>
      <c r="I881">
        <f>VLOOKUP(Table4[[#This Row],[Visitor]],'NHL Model'!$A$6:$B$38,2,FALSE)</f>
        <v>0.13483877693289487</v>
      </c>
      <c r="J881">
        <f>($B$1+Table4[[#This Row],[Home Differential]])-Table4[[#This Row],[Away Differential]]</f>
        <v>-7.2964663619317E-2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0.46703758529135747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0.32232840463649798</v>
      </c>
      <c r="H882" t="s">
        <v>18</v>
      </c>
      <c r="I882">
        <f>VLOOKUP(Table4[[#This Row],[Visitor]],'NHL Model'!$A$6:$B$38,2,FALSE)</f>
        <v>6.8462291869218858E-2</v>
      </c>
      <c r="J882">
        <f>($B$1+Table4[[#This Row],[Home Differential]])-Table4[[#This Row],[Away Differential]]</f>
        <v>0.39070269052741174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0.52704574494727929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-0.48381480045860298</v>
      </c>
      <c r="H883" t="s">
        <v>35</v>
      </c>
      <c r="I883">
        <f>VLOOKUP(Table4[[#This Row],[Visitor]],'NHL Model'!$A$6:$B$38,2,FALSE)</f>
        <v>-0.9803970267772969</v>
      </c>
      <c r="J883">
        <f>($B$1+Table4[[#This Row],[Home Differential]])-Table4[[#This Row],[Away Differential]]</f>
        <v>0.63341880407882656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0.60109448927376685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1.1343608350765873E-2</v>
      </c>
      <c r="H884" t="s">
        <v>36</v>
      </c>
      <c r="I884">
        <f>VLOOKUP(Table4[[#This Row],[Visitor]],'NHL Model'!$A$6:$B$38,2,FALSE)</f>
        <v>-7.2312572939580336E-2</v>
      </c>
      <c r="J884">
        <f>($B$1+Table4[[#This Row],[Home Differential]])-Table4[[#This Row],[Away Differential]]</f>
        <v>0.22049275905047883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0.55158292946727028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0.27119018820614604</v>
      </c>
      <c r="H885" t="s">
        <v>38</v>
      </c>
      <c r="I885">
        <f>VLOOKUP(Table4[[#This Row],[Visitor]],'NHL Model'!$A$6:$B$38,2,FALSE)</f>
        <v>-0.87254503056606192</v>
      </c>
      <c r="J885">
        <f>($B$1+Table4[[#This Row],[Home Differential]])-Table4[[#This Row],[Away Differential]]</f>
        <v>1.2805717965323407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0.67753028852321828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0.34677881456804194</v>
      </c>
      <c r="H886" t="s">
        <v>30</v>
      </c>
      <c r="I886">
        <f>VLOOKUP(Table4[[#This Row],[Visitor]],'NHL Model'!$A$6:$B$38,2,FALSE)</f>
        <v>0.25279292855900759</v>
      </c>
      <c r="J886">
        <f>($B$1+Table4[[#This Row],[Home Differential]])-Table4[[#This Row],[Away Differential]]</f>
        <v>0.23082246376916693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0.55056516733619698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-0.30466872127922601</v>
      </c>
      <c r="H887" t="s">
        <v>32</v>
      </c>
      <c r="I887">
        <f>VLOOKUP(Table4[[#This Row],[Visitor]],'NHL Model'!$A$6:$B$38,2,FALSE)</f>
        <v>-0.21579108793246188</v>
      </c>
      <c r="J887">
        <f>($B$1+Table4[[#This Row],[Home Differential]])-Table4[[#This Row],[Away Differential]]</f>
        <v>4.7958944413368482E-2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0.55730595631156687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0.33829893848778331</v>
      </c>
      <c r="H888" t="s">
        <v>36</v>
      </c>
      <c r="I888">
        <f>VLOOKUP(Table4[[#This Row],[Visitor]],'NHL Model'!$A$6:$B$38,2,FALSE)</f>
        <v>-7.2312572939580336E-2</v>
      </c>
      <c r="J888">
        <f>($B$1+Table4[[#This Row],[Home Differential]])-Table4[[#This Row],[Away Differential]]</f>
        <v>0.54744808918749632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0.62511970759125912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3.922199270086173E-4</v>
      </c>
      <c r="H889" t="s">
        <v>19</v>
      </c>
      <c r="I889">
        <f>VLOOKUP(Table4[[#This Row],[Visitor]],'NHL Model'!$A$6:$B$38,2,FALSE)</f>
        <v>4.3410611683700091E-2</v>
      </c>
      <c r="J889">
        <f>($B$1+Table4[[#This Row],[Home Differential]])-Table4[[#This Row],[Away Differential]]</f>
        <v>9.3818186003441134E-2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0.55360340397937779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-0.27466957136179609</v>
      </c>
      <c r="H890" t="s">
        <v>28</v>
      </c>
      <c r="I890">
        <f>VLOOKUP(Table4[[#This Row],[Visitor]],'NHL Model'!$A$6:$B$38,2,FALSE)</f>
        <v>-0.29093210318822477</v>
      </c>
      <c r="J890">
        <f>($B$1+Table4[[#This Row],[Home Differential]])-Table4[[#This Row],[Away Differential]]</f>
        <v>0.15309910958656128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0.55726218939391525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0.25279292855900759</v>
      </c>
      <c r="H891" t="s">
        <v>14</v>
      </c>
      <c r="I891">
        <f>VLOOKUP(Table4[[#This Row],[Visitor]],'NHL Model'!$A$6:$B$38,2,FALSE)</f>
        <v>1.1343608350765873E-2</v>
      </c>
      <c r="J891">
        <f>($B$1+Table4[[#This Row],[Home Differential]])-Table4[[#This Row],[Away Differential]]</f>
        <v>0.37828589796837431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0.57494795722117165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-7.417166684134277E-2</v>
      </c>
      <c r="H892" t="s">
        <v>22</v>
      </c>
      <c r="I892">
        <f>VLOOKUP(Table4[[#This Row],[Visitor]],'NHL Model'!$A$6:$B$38,2,FALSE)</f>
        <v>0.34677881456804194</v>
      </c>
      <c r="J892">
        <f>($B$1+Table4[[#This Row],[Home Differential]])-Table4[[#This Row],[Away Differential]]</f>
        <v>-0.2841139036492521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0.48740334471798719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0.98607049252714107</v>
      </c>
      <c r="H893" t="s">
        <v>23</v>
      </c>
      <c r="I893">
        <f>VLOOKUP(Table4[[#This Row],[Visitor]],'NHL Model'!$A$6:$B$38,2,FALSE)</f>
        <v>0.13483877693289487</v>
      </c>
      <c r="J893">
        <f>($B$1+Table4[[#This Row],[Home Differential]])-Table4[[#This Row],[Away Differential]]</f>
        <v>0.98806829335437873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0.64931775043250928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-0.29093210318822477</v>
      </c>
      <c r="H894" t="s">
        <v>10</v>
      </c>
      <c r="I894">
        <f>VLOOKUP(Table4[[#This Row],[Visitor]],'NHL Model'!$A$6:$B$38,2,FALSE)</f>
        <v>-0.43286905189715857</v>
      </c>
      <c r="J894">
        <f>($B$1+Table4[[#This Row],[Home Differential]])-Table4[[#This Row],[Away Differential]]</f>
        <v>0.27877352646906639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0.56688825483708727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-0.54997285633810766</v>
      </c>
      <c r="H895" t="s">
        <v>17</v>
      </c>
      <c r="I895">
        <f>VLOOKUP(Table4[[#This Row],[Visitor]],'NHL Model'!$A$6:$B$38,2,FALSE)</f>
        <v>3.922199270086173E-4</v>
      </c>
      <c r="J895">
        <f>($B$1+Table4[[#This Row],[Home Differential]])-Table4[[#This Row],[Away Differential]]</f>
        <v>-0.41352849850498369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0.48586901638747537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1.7070031799067014</v>
      </c>
      <c r="H896" t="s">
        <v>33</v>
      </c>
      <c r="I896">
        <f>VLOOKUP(Table4[[#This Row],[Visitor]],'NHL Model'!$A$6:$B$38,2,FALSE)</f>
        <v>-0.3566847028170323</v>
      </c>
      <c r="J896">
        <f>($B$1+Table4[[#This Row],[Home Differential]])-Table4[[#This Row],[Away Differential]]</f>
        <v>2.2005244604838663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0.84557824488629474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0.5231745585052443</v>
      </c>
      <c r="H897" t="s">
        <v>35</v>
      </c>
      <c r="I897">
        <f>VLOOKUP(Table4[[#This Row],[Visitor]],'NHL Model'!$A$6:$B$38,2,FALSE)</f>
        <v>-0.9803970267772969</v>
      </c>
      <c r="J897">
        <f>($B$1+Table4[[#This Row],[Home Differential]])-Table4[[#This Row],[Away Differential]]</f>
        <v>1.6404081630426739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0.71223721369265325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-7.4962464446554744E-2</v>
      </c>
      <c r="H898" t="s">
        <v>21</v>
      </c>
      <c r="I898">
        <f>VLOOKUP(Table4[[#This Row],[Visitor]],'NHL Model'!$A$6:$B$38,2,FALSE)</f>
        <v>0.17390560158361429</v>
      </c>
      <c r="J898">
        <f>($B$1+Table4[[#This Row],[Home Differential]])-Table4[[#This Row],[Away Differential]]</f>
        <v>-0.11203148827003642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0.47080565735397101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-0.14985965438623808</v>
      </c>
      <c r="H899" t="s">
        <v>32</v>
      </c>
      <c r="I899">
        <f>VLOOKUP(Table4[[#This Row],[Visitor]],'NHL Model'!$A$6:$B$38,2,FALSE)</f>
        <v>-0.21579108793246188</v>
      </c>
      <c r="J899">
        <f>($B$1+Table4[[#This Row],[Home Differential]])-Table4[[#This Row],[Away Differential]]</f>
        <v>0.20276801130635641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0.54987334269156929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-0.48381480045860298</v>
      </c>
      <c r="H900" t="s">
        <v>34</v>
      </c>
      <c r="I900">
        <f>VLOOKUP(Table4[[#This Row],[Visitor]],'NHL Model'!$A$6:$B$38,2,FALSE)</f>
        <v>0.32232840463649798</v>
      </c>
      <c r="J900">
        <f>($B$1+Table4[[#This Row],[Home Differential]])-Table4[[#This Row],[Away Differential]]</f>
        <v>-0.66930662733496837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0.57596428029020619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0.27119018820614604</v>
      </c>
      <c r="H901" t="s">
        <v>26</v>
      </c>
      <c r="I901">
        <f>VLOOKUP(Table4[[#This Row],[Visitor]],'NHL Model'!$A$6:$B$38,2,FALSE)</f>
        <v>-4.6015351177631898E-2</v>
      </c>
      <c r="J901">
        <f>($B$1+Table4[[#This Row],[Home Differential]])-Table4[[#This Row],[Away Differential]]</f>
        <v>0.45404211714391052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0.56652052780126483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0.1394237692045871</v>
      </c>
      <c r="H902" t="s">
        <v>38</v>
      </c>
      <c r="I902">
        <f>VLOOKUP(Table4[[#This Row],[Visitor]],'NHL Model'!$A$6:$B$38,2,FALSE)</f>
        <v>-0.87254503056606192</v>
      </c>
      <c r="J902">
        <f>($B$1+Table4[[#This Row],[Home Differential]])-Table4[[#This Row],[Away Differential]]</f>
        <v>1.1488053775307816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0.65080453779276448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-0.16816097389287935</v>
      </c>
      <c r="H903" t="s">
        <v>18</v>
      </c>
      <c r="I903">
        <f>VLOOKUP(Table4[[#This Row],[Visitor]],'NHL Model'!$A$6:$B$38,2,FALSE)</f>
        <v>6.8462291869218858E-2</v>
      </c>
      <c r="J903">
        <f>($B$1+Table4[[#This Row],[Home Differential]])-Table4[[#This Row],[Away Differential]]</f>
        <v>-9.9786688001965593E-2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0.52103296217852224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0.13483877693289487</v>
      </c>
      <c r="H904" t="s">
        <v>14</v>
      </c>
      <c r="I904">
        <f>VLOOKUP(Table4[[#This Row],[Visitor]],'NHL Model'!$A$6:$B$38,2,FALSE)</f>
        <v>1.1343608350765873E-2</v>
      </c>
      <c r="J904">
        <f>($B$1+Table4[[#This Row],[Home Differential]])-Table4[[#This Row],[Away Differential]]</f>
        <v>0.26033174634226164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0.59114724472708635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-0.27466957136179609</v>
      </c>
      <c r="H905" t="s">
        <v>30</v>
      </c>
      <c r="I905">
        <f>VLOOKUP(Table4[[#This Row],[Visitor]],'NHL Model'!$A$6:$B$38,2,FALSE)</f>
        <v>0.25279292855900759</v>
      </c>
      <c r="J905">
        <f>($B$1+Table4[[#This Row],[Home Differential]])-Table4[[#This Row],[Away Differential]]</f>
        <v>-0.39062592216067105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0.51593750792489967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-0.36341023830385849</v>
      </c>
      <c r="H906" t="s">
        <v>25</v>
      </c>
      <c r="I906">
        <f>VLOOKUP(Table4[[#This Row],[Visitor]],'NHL Model'!$A$6:$B$38,2,FALSE)</f>
        <v>0.33829893848778331</v>
      </c>
      <c r="J906">
        <f>($B$1+Table4[[#This Row],[Home Differential]])-Table4[[#This Row],[Away Differential]]</f>
        <v>-0.56487259903150921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0.55699563581466383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-7.417166684134277E-2</v>
      </c>
      <c r="H907" t="s">
        <v>36</v>
      </c>
      <c r="I907">
        <f>VLOOKUP(Table4[[#This Row],[Visitor]],'NHL Model'!$A$6:$B$38,2,FALSE)</f>
        <v>-7.2312572939580336E-2</v>
      </c>
      <c r="J907">
        <f>($B$1+Table4[[#This Row],[Home Differential]])-Table4[[#This Row],[Away Differential]]</f>
        <v>0.13497748385837016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0.54333481300889419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0.98607049252714107</v>
      </c>
      <c r="H908" t="s">
        <v>11</v>
      </c>
      <c r="I908">
        <f>VLOOKUP(Table4[[#This Row],[Visitor]],'NHL Model'!$A$6:$B$38,2,FALSE)</f>
        <v>-7.4962464446554744E-2</v>
      </c>
      <c r="J908">
        <f>($B$1+Table4[[#This Row],[Home Differential]])-Table4[[#This Row],[Away Differential]]</f>
        <v>1.1978695347338284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0.63608481744531997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0.1394237692045871</v>
      </c>
      <c r="H909" t="s">
        <v>13</v>
      </c>
      <c r="I909">
        <f>VLOOKUP(Table4[[#This Row],[Visitor]],'NHL Model'!$A$6:$B$38,2,FALSE)</f>
        <v>-0.14985965438623808</v>
      </c>
      <c r="J909">
        <f>($B$1+Table4[[#This Row],[Home Differential]])-Table4[[#This Row],[Away Differential]]</f>
        <v>0.42612000135095773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0.54969962069632883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0.34677881456804194</v>
      </c>
      <c r="H910" t="s">
        <v>29</v>
      </c>
      <c r="I910">
        <f>VLOOKUP(Table4[[#This Row],[Visitor]],'NHL Model'!$A$6:$B$38,2,FALSE)</f>
        <v>-0.48381480045860298</v>
      </c>
      <c r="J910">
        <f>($B$1+Table4[[#This Row],[Home Differential]])-Table4[[#This Row],[Away Differential]]</f>
        <v>0.96743019278677744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0.64233015239238722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-0.30466872127922601</v>
      </c>
      <c r="H911" t="s">
        <v>17</v>
      </c>
      <c r="I911">
        <f>VLOOKUP(Table4[[#This Row],[Visitor]],'NHL Model'!$A$6:$B$38,2,FALSE)</f>
        <v>3.922199270086173E-4</v>
      </c>
      <c r="J911">
        <f>($B$1+Table4[[#This Row],[Home Differential]])-Table4[[#This Row],[Away Differential]]</f>
        <v>-0.168224363446102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0.45394183364397284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0.5231745585052443</v>
      </c>
      <c r="H912" t="s">
        <v>32</v>
      </c>
      <c r="I912">
        <f>VLOOKUP(Table4[[#This Row],[Visitor]],'NHL Model'!$A$6:$B$38,2,FALSE)</f>
        <v>-0.21579108793246188</v>
      </c>
      <c r="J912">
        <f>($B$1+Table4[[#This Row],[Home Differential]])-Table4[[#This Row],[Away Differential]]</f>
        <v>0.87580222419783871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0.62885154501696783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-0.14985965438623808</v>
      </c>
      <c r="H913" t="s">
        <v>20</v>
      </c>
      <c r="I913">
        <f>VLOOKUP(Table4[[#This Row],[Visitor]],'NHL Model'!$A$6:$B$38,2,FALSE)</f>
        <v>0.1394237692045871</v>
      </c>
      <c r="J913">
        <f>($B$1+Table4[[#This Row],[Home Differential]])-Table4[[#This Row],[Away Differential]]</f>
        <v>-0.15244684583069257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0.50610428946813402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-0.27466957136179609</v>
      </c>
      <c r="H914" t="s">
        <v>23</v>
      </c>
      <c r="I914">
        <f>VLOOKUP(Table4[[#This Row],[Visitor]],'NHL Model'!$A$6:$B$38,2,FALSE)</f>
        <v>0.13483877693289487</v>
      </c>
      <c r="J914">
        <f>($B$1+Table4[[#This Row],[Home Differential]])-Table4[[#This Row],[Away Differential]]</f>
        <v>-0.27267177053455838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0.48380424927373894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0.98607049252714107</v>
      </c>
      <c r="H915" t="s">
        <v>19</v>
      </c>
      <c r="I915">
        <f>VLOOKUP(Table4[[#This Row],[Visitor]],'NHL Model'!$A$6:$B$38,2,FALSE)</f>
        <v>4.3410611683700091E-2</v>
      </c>
      <c r="J915">
        <f>($B$1+Table4[[#This Row],[Home Differential]])-Table4[[#This Row],[Away Differential]]</f>
        <v>1.0794964586035736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0.658136176764611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0.27119018820614604</v>
      </c>
      <c r="H916" t="s">
        <v>12</v>
      </c>
      <c r="I916">
        <f>VLOOKUP(Table4[[#This Row],[Visitor]],'NHL Model'!$A$6:$B$38,2,FALSE)</f>
        <v>1.7070031799067014</v>
      </c>
      <c r="J916">
        <f>($B$1+Table4[[#This Row],[Home Differential]])-Table4[[#This Row],[Away Differential]]</f>
        <v>-1.2989764139404227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0.64107830325056991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-0.87254503056606192</v>
      </c>
      <c r="H917" t="s">
        <v>40</v>
      </c>
      <c r="I917">
        <f>VLOOKUP(Table4[[#This Row],[Visitor]],'NHL Model'!$A$6:$B$38,2,FALSE)</f>
        <v>-0.16816097389287935</v>
      </c>
      <c r="J917">
        <f>($B$1+Table4[[#This Row],[Home Differential]])-Table4[[#This Row],[Away Differential]]</f>
        <v>-0.56754747891305002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0.51474107042532902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0.34677881456804194</v>
      </c>
      <c r="H918" t="s">
        <v>27</v>
      </c>
      <c r="I918">
        <f>VLOOKUP(Table4[[#This Row],[Visitor]],'NHL Model'!$A$6:$B$38,2,FALSE)</f>
        <v>-7.417166684134277E-2</v>
      </c>
      <c r="J918">
        <f>($B$1+Table4[[#This Row],[Home Differential]])-Table4[[#This Row],[Away Differential]]</f>
        <v>0.55778705916951732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0.59424083521775284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0.17390560158361429</v>
      </c>
      <c r="H919" t="s">
        <v>28</v>
      </c>
      <c r="I919">
        <f>VLOOKUP(Table4[[#This Row],[Visitor]],'NHL Model'!$A$6:$B$38,2,FALSE)</f>
        <v>-0.29093210318822477</v>
      </c>
      <c r="J919">
        <f>($B$1+Table4[[#This Row],[Home Differential]])-Table4[[#This Row],[Away Differential]]</f>
        <v>0.60167428253197164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0.62407040359391308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0.33829893848778331</v>
      </c>
      <c r="H920" t="s">
        <v>37</v>
      </c>
      <c r="I920">
        <f>VLOOKUP(Table4[[#This Row],[Visitor]],'NHL Model'!$A$6:$B$38,2,FALSE)</f>
        <v>0.98607049252714107</v>
      </c>
      <c r="J920">
        <f>($B$1+Table4[[#This Row],[Home Differential]])-Table4[[#This Row],[Away Differential]]</f>
        <v>-0.51093497627922513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0.57462060905196932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1.7070031799067014</v>
      </c>
      <c r="H921" t="s">
        <v>34</v>
      </c>
      <c r="I921">
        <f>VLOOKUP(Table4[[#This Row],[Visitor]],'NHL Model'!$A$6:$B$38,2,FALSE)</f>
        <v>0.32232840463649798</v>
      </c>
      <c r="J921">
        <f>($B$1+Table4[[#This Row],[Home Differential]])-Table4[[#This Row],[Away Differential]]</f>
        <v>1.5215113530303359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0.75117876482359403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-7.4962464446554744E-2</v>
      </c>
      <c r="H922" t="s">
        <v>19</v>
      </c>
      <c r="I922">
        <f>VLOOKUP(Table4[[#This Row],[Visitor]],'NHL Model'!$A$6:$B$38,2,FALSE)</f>
        <v>4.3410611683700091E-2</v>
      </c>
      <c r="J922">
        <f>($B$1+Table4[[#This Row],[Home Differential]])-Table4[[#This Row],[Away Differential]]</f>
        <v>1.8463501629877775E-2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0.54178084104074431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-0.14985965438623808</v>
      </c>
      <c r="H923" t="s">
        <v>17</v>
      </c>
      <c r="I923">
        <f>VLOOKUP(Table4[[#This Row],[Visitor]],'NHL Model'!$A$6:$B$38,2,FALSE)</f>
        <v>3.922199270086173E-4</v>
      </c>
      <c r="J923">
        <f>($B$1+Table4[[#This Row],[Home Differential]])-Table4[[#This Row],[Away Differential]]</f>
        <v>-1.3415296553114084E-2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0.46129393173377697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6.8462291869218858E-2</v>
      </c>
      <c r="H924" t="s">
        <v>30</v>
      </c>
      <c r="I924">
        <f>VLOOKUP(Table4[[#This Row],[Visitor]],'NHL Model'!$A$6:$B$38,2,FALSE)</f>
        <v>0.25279292855900759</v>
      </c>
      <c r="J924">
        <f>($B$1+Table4[[#This Row],[Home Differential]])-Table4[[#This Row],[Away Differential]]</f>
        <v>-4.7494058929656136E-2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0.48458089538100368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-0.48381480045860298</v>
      </c>
      <c r="H925" t="s">
        <v>10</v>
      </c>
      <c r="I925">
        <f>VLOOKUP(Table4[[#This Row],[Visitor]],'NHL Model'!$A$6:$B$38,2,FALSE)</f>
        <v>-0.43286905189715857</v>
      </c>
      <c r="J925">
        <f>($B$1+Table4[[#This Row],[Home Differential]])-Table4[[#This Row],[Away Differential]]</f>
        <v>8.5890829198688234E-2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0.54828433938083909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-0.36341023830385849</v>
      </c>
      <c r="H926" t="s">
        <v>27</v>
      </c>
      <c r="I926">
        <f>VLOOKUP(Table4[[#This Row],[Visitor]],'NHL Model'!$A$6:$B$38,2,FALSE)</f>
        <v>-7.417166684134277E-2</v>
      </c>
      <c r="J926">
        <f>($B$1+Table4[[#This Row],[Home Differential]])-Table4[[#This Row],[Away Differential]]</f>
        <v>-0.15240199370238311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0.48330303337873187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-7.2312572939580336E-2</v>
      </c>
      <c r="H927" t="s">
        <v>26</v>
      </c>
      <c r="I927">
        <f>VLOOKUP(Table4[[#This Row],[Visitor]],'NHL Model'!$A$6:$B$38,2,FALSE)</f>
        <v>-4.6015351177631898E-2</v>
      </c>
      <c r="J927">
        <f>($B$1+Table4[[#This Row],[Home Differential]])-Table4[[#This Row],[Away Differential]]</f>
        <v>0.11053935599818418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0.51926124686157582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1.1343608350765873E-2</v>
      </c>
      <c r="H928" t="s">
        <v>24</v>
      </c>
      <c r="I928">
        <f>VLOOKUP(Table4[[#This Row],[Visitor]],'NHL Model'!$A$6:$B$38,2,FALSE)</f>
        <v>-0.27466957136179609</v>
      </c>
      <c r="J928">
        <f>($B$1+Table4[[#This Row],[Home Differential]])-Table4[[#This Row],[Away Differential]]</f>
        <v>0.4228497574726946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0.57019645534969776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-0.3566847028170323</v>
      </c>
      <c r="H929" t="s">
        <v>16</v>
      </c>
      <c r="I929">
        <f>VLOOKUP(Table4[[#This Row],[Visitor]],'NHL Model'!$A$6:$B$38,2,FALSE)</f>
        <v>-0.54997285633810766</v>
      </c>
      <c r="J929">
        <f>($B$1+Table4[[#This Row],[Home Differential]])-Table4[[#This Row],[Away Differential]]</f>
        <v>0.33012473128120801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0.57184117952354796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-0.9803970267772969</v>
      </c>
      <c r="H930" t="s">
        <v>32</v>
      </c>
      <c r="I930">
        <f>VLOOKUP(Table4[[#This Row],[Visitor]],'NHL Model'!$A$6:$B$38,2,FALSE)</f>
        <v>-0.21579108793246188</v>
      </c>
      <c r="J930">
        <f>($B$1+Table4[[#This Row],[Home Differential]])-Table4[[#This Row],[Away Differential]]</f>
        <v>-0.62776936108470238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0.5302336201302883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-0.30466872127922601</v>
      </c>
      <c r="H931" t="s">
        <v>40</v>
      </c>
      <c r="I931">
        <f>VLOOKUP(Table4[[#This Row],[Visitor]],'NHL Model'!$A$6:$B$38,2,FALSE)</f>
        <v>-0.16816097389287935</v>
      </c>
      <c r="J931">
        <f>($B$1+Table4[[#This Row],[Home Differential]])-Table4[[#This Row],[Away Differential]]</f>
        <v>3.2883037378594882E-4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0.56231545336041922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-7.4962464446554744E-2</v>
      </c>
      <c r="H932" t="s">
        <v>23</v>
      </c>
      <c r="I932">
        <f>VLOOKUP(Table4[[#This Row],[Visitor]],'NHL Model'!$A$6:$B$38,2,FALSE)</f>
        <v>0.13483877693289487</v>
      </c>
      <c r="J932">
        <f>($B$1+Table4[[#This Row],[Home Differential]])-Table4[[#This Row],[Away Differential]]</f>
        <v>-7.2964663619317E-2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0.46703758529135747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0.27119018820614604</v>
      </c>
      <c r="H933" t="s">
        <v>34</v>
      </c>
      <c r="I933">
        <f>VLOOKUP(Table4[[#This Row],[Visitor]],'NHL Model'!$A$6:$B$38,2,FALSE)</f>
        <v>0.32232840463649798</v>
      </c>
      <c r="J933">
        <f>($B$1+Table4[[#This Row],[Home Differential]])-Table4[[#This Row],[Away Differential]]</f>
        <v>8.5698361329780648E-2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0.51099801591355265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0.34677881456804194</v>
      </c>
      <c r="H934" t="s">
        <v>20</v>
      </c>
      <c r="I934">
        <f>VLOOKUP(Table4[[#This Row],[Visitor]],'NHL Model'!$A$6:$B$38,2,FALSE)</f>
        <v>0.1394237692045871</v>
      </c>
      <c r="J934">
        <f>($B$1+Table4[[#This Row],[Home Differential]])-Table4[[#This Row],[Away Differential]]</f>
        <v>0.34419162312358742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0.55088284636414597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0.33829893848778331</v>
      </c>
      <c r="H935" t="s">
        <v>26</v>
      </c>
      <c r="I935">
        <f>VLOOKUP(Table4[[#This Row],[Visitor]],'NHL Model'!$A$6:$B$38,2,FALSE)</f>
        <v>-4.6015351177631898E-2</v>
      </c>
      <c r="J935">
        <f>($B$1+Table4[[#This Row],[Home Differential]])-Table4[[#This Row],[Away Differential]]</f>
        <v>0.52115086742554784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0.60116422960106997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-0.29093210318822477</v>
      </c>
      <c r="H936" t="s">
        <v>30</v>
      </c>
      <c r="I936">
        <f>VLOOKUP(Table4[[#This Row],[Visitor]],'NHL Model'!$A$6:$B$38,2,FALSE)</f>
        <v>0.25279292855900759</v>
      </c>
      <c r="J936">
        <f>($B$1+Table4[[#This Row],[Home Differential]])-Table4[[#This Row],[Away Differential]]</f>
        <v>-0.40688845398709972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0.5200144223038996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1.7070031799067014</v>
      </c>
      <c r="H937" t="s">
        <v>10</v>
      </c>
      <c r="I937">
        <f>VLOOKUP(Table4[[#This Row],[Visitor]],'NHL Model'!$A$6:$B$38,2,FALSE)</f>
        <v>-0.43286905189715857</v>
      </c>
      <c r="J937">
        <f>($B$1+Table4[[#This Row],[Home Differential]])-Table4[[#This Row],[Away Differential]]</f>
        <v>2.2767088095639925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0.87206556931106449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0.5231745585052443</v>
      </c>
      <c r="H938" t="s">
        <v>29</v>
      </c>
      <c r="I938">
        <f>VLOOKUP(Table4[[#This Row],[Visitor]],'NHL Model'!$A$6:$B$38,2,FALSE)</f>
        <v>-0.48381480045860298</v>
      </c>
      <c r="J938">
        <f>($B$1+Table4[[#This Row],[Home Differential]])-Table4[[#This Row],[Away Differential]]</f>
        <v>1.1438259367239798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0.66434088143347514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-0.14985965438623808</v>
      </c>
      <c r="H939" t="s">
        <v>16</v>
      </c>
      <c r="I939">
        <f>VLOOKUP(Table4[[#This Row],[Visitor]],'NHL Model'!$A$6:$B$38,2,FALSE)</f>
        <v>-0.54997285633810766</v>
      </c>
      <c r="J939">
        <f>($B$1+Table4[[#This Row],[Home Differential]])-Table4[[#This Row],[Away Differential]]</f>
        <v>0.5369497797120022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0.5917898621669021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6.8462291869218858E-2</v>
      </c>
      <c r="H940" t="s">
        <v>22</v>
      </c>
      <c r="I940">
        <f>VLOOKUP(Table4[[#This Row],[Visitor]],'NHL Model'!$A$6:$B$38,2,FALSE)</f>
        <v>0.34677881456804194</v>
      </c>
      <c r="J940">
        <f>($B$1+Table4[[#This Row],[Home Differential]])-Table4[[#This Row],[Away Differential]]</f>
        <v>-0.14147994493869048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0.47288062789518392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-0.36341023830385849</v>
      </c>
      <c r="H941" t="s">
        <v>14</v>
      </c>
      <c r="I941">
        <f>VLOOKUP(Table4[[#This Row],[Visitor]],'NHL Model'!$A$6:$B$38,2,FALSE)</f>
        <v>1.1343608350765873E-2</v>
      </c>
      <c r="J941">
        <f>($B$1+Table4[[#This Row],[Home Differential]])-Table4[[#This Row],[Away Differential]]</f>
        <v>-0.23791726889449175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0.50371681921927225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-7.417166684134277E-2</v>
      </c>
      <c r="H942" t="s">
        <v>21</v>
      </c>
      <c r="I942">
        <f>VLOOKUP(Table4[[#This Row],[Visitor]],'NHL Model'!$A$6:$B$38,2,FALSE)</f>
        <v>0.17390560158361429</v>
      </c>
      <c r="J942">
        <f>($B$1+Table4[[#This Row],[Home Differential]])-Table4[[#This Row],[Away Differential]]</f>
        <v>-0.11124069066482445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0.47072938336984194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-0.21579108793246188</v>
      </c>
      <c r="H943" t="s">
        <v>38</v>
      </c>
      <c r="I943">
        <f>VLOOKUP(Table4[[#This Row],[Visitor]],'NHL Model'!$A$6:$B$38,2,FALSE)</f>
        <v>-0.87254503056606192</v>
      </c>
      <c r="J943">
        <f>($B$1+Table4[[#This Row],[Home Differential]])-Table4[[#This Row],[Away Differential]]</f>
        <v>0.79359052039373268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0.61654336629059769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-0.3566847028170323</v>
      </c>
      <c r="H944" t="s">
        <v>17</v>
      </c>
      <c r="I944">
        <f>VLOOKUP(Table4[[#This Row],[Visitor]],'NHL Model'!$A$6:$B$38,2,FALSE)</f>
        <v>3.922199270086173E-4</v>
      </c>
      <c r="J944">
        <f>($B$1+Table4[[#This Row],[Home Differential]])-Table4[[#This Row],[Away Differential]]</f>
        <v>-0.22024034498390829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0.48124261437713117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-0.9803970267772969</v>
      </c>
      <c r="H945" t="s">
        <v>24</v>
      </c>
      <c r="I945">
        <f>VLOOKUP(Table4[[#This Row],[Visitor]],'NHL Model'!$A$6:$B$38,2,FALSE)</f>
        <v>-0.27466957136179609</v>
      </c>
      <c r="J945">
        <f>($B$1+Table4[[#This Row],[Home Differential]])-Table4[[#This Row],[Away Differential]]</f>
        <v>-0.56889087765536828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0.52545887916994172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0.98607049252714107</v>
      </c>
      <c r="H946" t="s">
        <v>23</v>
      </c>
      <c r="I946">
        <f>VLOOKUP(Table4[[#This Row],[Visitor]],'NHL Model'!$A$6:$B$38,2,FALSE)</f>
        <v>0.13483877693289487</v>
      </c>
      <c r="J946">
        <f>($B$1+Table4[[#This Row],[Home Differential]])-Table4[[#This Row],[Away Differential]]</f>
        <v>0.98806829335437873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0.64931775043250928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4.3410611683700091E-2</v>
      </c>
      <c r="H947" t="s">
        <v>36</v>
      </c>
      <c r="I947">
        <f>VLOOKUP(Table4[[#This Row],[Visitor]],'NHL Model'!$A$6:$B$38,2,FALSE)</f>
        <v>-7.2312572939580336E-2</v>
      </c>
      <c r="J947">
        <f>($B$1+Table4[[#This Row],[Home Differential]])-Table4[[#This Row],[Away Differential]]</f>
        <v>0.25255976238341304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0.58705101724003539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-0.30466872127922601</v>
      </c>
      <c r="H948" t="s">
        <v>16</v>
      </c>
      <c r="I948">
        <f>VLOOKUP(Table4[[#This Row],[Visitor]],'NHL Model'!$A$6:$B$38,2,FALSE)</f>
        <v>-0.54997285633810766</v>
      </c>
      <c r="J948">
        <f>($B$1+Table4[[#This Row],[Home Differential]])-Table4[[#This Row],[Away Differential]]</f>
        <v>0.38214071281901429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0.59914196025670607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0.32232840463649798</v>
      </c>
      <c r="H949" t="s">
        <v>35</v>
      </c>
      <c r="I949">
        <f>VLOOKUP(Table4[[#This Row],[Visitor]],'NHL Model'!$A$6:$B$38,2,FALSE)</f>
        <v>-0.9803970267772969</v>
      </c>
      <c r="J949">
        <f>($B$1+Table4[[#This Row],[Home Differential]])-Table4[[#This Row],[Away Differential]]</f>
        <v>1.4395620091739274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0.67961397770368626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0.25279292855900759</v>
      </c>
      <c r="H950" t="s">
        <v>11</v>
      </c>
      <c r="I950">
        <f>VLOOKUP(Table4[[#This Row],[Visitor]],'NHL Model'!$A$6:$B$38,2,FALSE)</f>
        <v>-7.4962464446554744E-2</v>
      </c>
      <c r="J950">
        <f>($B$1+Table4[[#This Row],[Home Differential]])-Table4[[#This Row],[Away Differential]]</f>
        <v>0.46459197076569492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0.57050250880688147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1.1343608350765873E-2</v>
      </c>
      <c r="H951" t="s">
        <v>20</v>
      </c>
      <c r="I951">
        <f>VLOOKUP(Table4[[#This Row],[Visitor]],'NHL Model'!$A$6:$B$38,2,FALSE)</f>
        <v>0.1394237692045871</v>
      </c>
      <c r="J951">
        <f>($B$1+Table4[[#This Row],[Home Differential]])-Table4[[#This Row],[Away Differential]]</f>
        <v>8.7564169063113761E-3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0.50944408222964765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-0.3566847028170323</v>
      </c>
      <c r="H952" t="s">
        <v>40</v>
      </c>
      <c r="I952">
        <f>VLOOKUP(Table4[[#This Row],[Visitor]],'NHL Model'!$A$6:$B$38,2,FALSE)</f>
        <v>-0.16816097389287935</v>
      </c>
      <c r="J952">
        <f>($B$1+Table4[[#This Row],[Home Differential]])-Table4[[#This Row],[Away Differential]]</f>
        <v>-5.168715116402034E-2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0.46498532737273907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0.27119018820614604</v>
      </c>
      <c r="H953" t="s">
        <v>10</v>
      </c>
      <c r="I953">
        <f>VLOOKUP(Table4[[#This Row],[Visitor]],'NHL Model'!$A$6:$B$38,2,FALSE)</f>
        <v>-0.43286905189715857</v>
      </c>
      <c r="J953">
        <f>($B$1+Table4[[#This Row],[Home Differential]])-Table4[[#This Row],[Away Differential]]</f>
        <v>0.84089581786343714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0.63512267575620385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-0.14985965438623808</v>
      </c>
      <c r="H954" t="s">
        <v>12</v>
      </c>
      <c r="I954">
        <f>VLOOKUP(Table4[[#This Row],[Visitor]],'NHL Model'!$A$6:$B$38,2,FALSE)</f>
        <v>1.7070031799067014</v>
      </c>
      <c r="J954">
        <f>($B$1+Table4[[#This Row],[Home Differential]])-Table4[[#This Row],[Away Differential]]</f>
        <v>-1.7200262565328068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0.69580150458519874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-0.48381480045860298</v>
      </c>
      <c r="H955" t="s">
        <v>26</v>
      </c>
      <c r="I955">
        <f>VLOOKUP(Table4[[#This Row],[Visitor]],'NHL Model'!$A$6:$B$38,2,FALSE)</f>
        <v>-4.6015351177631898E-2</v>
      </c>
      <c r="J955">
        <f>($B$1+Table4[[#This Row],[Home Differential]])-Table4[[#This Row],[Away Differential]]</f>
        <v>-0.30096287152083845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0.52042895220324914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-0.36341023830385849</v>
      </c>
      <c r="H956" t="s">
        <v>28</v>
      </c>
      <c r="I956">
        <f>VLOOKUP(Table4[[#This Row],[Visitor]],'NHL Model'!$A$6:$B$38,2,FALSE)</f>
        <v>-0.29093210318822477</v>
      </c>
      <c r="J956">
        <f>($B$1+Table4[[#This Row],[Home Differential]])-Table4[[#This Row],[Away Differential]]</f>
        <v>6.4358442644498887E-2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0.54620749835417171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-0.21579108793246188</v>
      </c>
      <c r="H957" t="s">
        <v>25</v>
      </c>
      <c r="I957">
        <f>VLOOKUP(Table4[[#This Row],[Visitor]],'NHL Model'!$A$6:$B$38,2,FALSE)</f>
        <v>0.33829893848778331</v>
      </c>
      <c r="J957">
        <f>($B$1+Table4[[#This Row],[Home Differential]])-Table4[[#This Row],[Away Differential]]</f>
        <v>-0.4172534486601126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0.54275747846775069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4.3410611683700091E-2</v>
      </c>
      <c r="H958" t="s">
        <v>27</v>
      </c>
      <c r="I958">
        <f>VLOOKUP(Table4[[#This Row],[Visitor]],'NHL Model'!$A$6:$B$38,2,FALSE)</f>
        <v>-7.417166684134277E-2</v>
      </c>
      <c r="J958">
        <f>($B$1+Table4[[#This Row],[Home Differential]])-Table4[[#This Row],[Away Differential]]</f>
        <v>0.25441885628517547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0.58829758826604905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-0.87254503056606192</v>
      </c>
      <c r="H959" t="s">
        <v>39</v>
      </c>
      <c r="I959">
        <f>VLOOKUP(Table4[[#This Row],[Visitor]],'NHL Model'!$A$6:$B$38,2,FALSE)</f>
        <v>0.5231745585052443</v>
      </c>
      <c r="J959">
        <f>($B$1+Table4[[#This Row],[Home Differential]])-Table4[[#This Row],[Away Differential]]</f>
        <v>-1.2588830113111737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0.63795066765878206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-0.30466872127922601</v>
      </c>
      <c r="H960" t="s">
        <v>12</v>
      </c>
      <c r="I960">
        <f>VLOOKUP(Table4[[#This Row],[Visitor]],'NHL Model'!$A$6:$B$38,2,FALSE)</f>
        <v>1.7070031799067014</v>
      </c>
      <c r="J960">
        <f>($B$1+Table4[[#This Row],[Home Differential]])-Table4[[#This Row],[Away Differential]]</f>
        <v>-1.8748353234257948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0.68824506287580267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0.17390560158361429</v>
      </c>
      <c r="H961" t="s">
        <v>14</v>
      </c>
      <c r="I961">
        <f>VLOOKUP(Table4[[#This Row],[Visitor]],'NHL Model'!$A$6:$B$38,2,FALSE)</f>
        <v>1.1343608350765873E-2</v>
      </c>
      <c r="J961">
        <f>($B$1+Table4[[#This Row],[Home Differential]])-Table4[[#This Row],[Away Differential]]</f>
        <v>0.29939857099298106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0.57433212639518871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0.13483877693289487</v>
      </c>
      <c r="H962" t="s">
        <v>20</v>
      </c>
      <c r="I962">
        <f>VLOOKUP(Table4[[#This Row],[Visitor]],'NHL Model'!$A$6:$B$38,2,FALSE)</f>
        <v>0.1394237692045871</v>
      </c>
      <c r="J962">
        <f>($B$1+Table4[[#This Row],[Home Differential]])-Table4[[#This Row],[Away Differential]]</f>
        <v>0.1322515854884404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0.56831148104913576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-0.29093210318822477</v>
      </c>
      <c r="H963" t="s">
        <v>29</v>
      </c>
      <c r="I963">
        <f>VLOOKUP(Table4[[#This Row],[Visitor]],'NHL Model'!$A$6:$B$38,2,FALSE)</f>
        <v>-0.48381480045860298</v>
      </c>
      <c r="J963">
        <f>($B$1+Table4[[#This Row],[Home Differential]])-Table4[[#This Row],[Away Differential]]</f>
        <v>0.32971927503051079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0.57180207247083703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-0.54997285633810766</v>
      </c>
      <c r="H964" t="s">
        <v>39</v>
      </c>
      <c r="I964">
        <f>VLOOKUP(Table4[[#This Row],[Visitor]],'NHL Model'!$A$6:$B$38,2,FALSE)</f>
        <v>0.5231745585052443</v>
      </c>
      <c r="J964">
        <f>($B$1+Table4[[#This Row],[Home Differential]])-Table4[[#This Row],[Away Differential]]</f>
        <v>-0.93631083708321938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0.59270136599292411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3.922199270086173E-4</v>
      </c>
      <c r="H965" t="s">
        <v>36</v>
      </c>
      <c r="I965">
        <f>VLOOKUP(Table4[[#This Row],[Visitor]],'NHL Model'!$A$6:$B$38,2,FALSE)</f>
        <v>-7.2312572939580336E-2</v>
      </c>
      <c r="J965">
        <f>($B$1+Table4[[#This Row],[Home Differential]])-Table4[[#This Row],[Away Differential]]</f>
        <v>0.20954137062672157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0.55509439819104134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0.32232840463649798</v>
      </c>
      <c r="H966" t="s">
        <v>37</v>
      </c>
      <c r="I966">
        <f>VLOOKUP(Table4[[#This Row],[Visitor]],'NHL Model'!$A$6:$B$38,2,FALSE)</f>
        <v>0.98607049252714107</v>
      </c>
      <c r="J966">
        <f>($B$1+Table4[[#This Row],[Home Differential]])-Table4[[#This Row],[Away Differential]]</f>
        <v>-0.52690551013051046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0.61748773928034151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-0.27466957136179609</v>
      </c>
      <c r="H967" t="s">
        <v>11</v>
      </c>
      <c r="I967">
        <f>VLOOKUP(Table4[[#This Row],[Visitor]],'NHL Model'!$A$6:$B$38,2,FALSE)</f>
        <v>-7.4962464446554744E-2</v>
      </c>
      <c r="J967">
        <f>($B$1+Table4[[#This Row],[Home Differential]])-Table4[[#This Row],[Away Differential]]</f>
        <v>-6.287052915510874E-2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0.49713541474356132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-0.3566847028170323</v>
      </c>
      <c r="H968" t="s">
        <v>18</v>
      </c>
      <c r="I968">
        <f>VLOOKUP(Table4[[#This Row],[Visitor]],'NHL Model'!$A$6:$B$38,2,FALSE)</f>
        <v>6.8462291869218858E-2</v>
      </c>
      <c r="J968">
        <f>($B$1+Table4[[#This Row],[Home Differential]])-Table4[[#This Row],[Away Differential]]</f>
        <v>-0.28831041692611853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0.53921644656584999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-0.16816097389287935</v>
      </c>
      <c r="H969" t="s">
        <v>10</v>
      </c>
      <c r="I969">
        <f>VLOOKUP(Table4[[#This Row],[Visitor]],'NHL Model'!$A$6:$B$38,2,FALSE)</f>
        <v>-0.43286905189715857</v>
      </c>
      <c r="J969">
        <f>($B$1+Table4[[#This Row],[Home Differential]])-Table4[[#This Row],[Away Differential]]</f>
        <v>0.40154465576441184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0.57872977168749218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0.34677881456804194</v>
      </c>
      <c r="H970" t="s">
        <v>55</v>
      </c>
      <c r="I970">
        <f>VLOOKUP(Table4[[#This Row],[Visitor]],'NHL Model'!$A$6:$B$38,2,FALSE)</f>
        <v>0.27119018820614604</v>
      </c>
      <c r="J970">
        <f>($B$1+Table4[[#This Row],[Home Differential]])-Table4[[#This Row],[Away Differential]]</f>
        <v>0.21242520412202848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0.56950843651563743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-0.30466872127922601</v>
      </c>
      <c r="H971" t="s">
        <v>30</v>
      </c>
      <c r="I971">
        <f>VLOOKUP(Table4[[#This Row],[Visitor]],'NHL Model'!$A$6:$B$38,2,FALSE)</f>
        <v>0.25279292855900759</v>
      </c>
      <c r="J971">
        <f>($B$1+Table4[[#This Row],[Home Differential]])-Table4[[#This Row],[Away Differential]]</f>
        <v>-0.42062507207810096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0.49890344869598835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-4.6015351177631898E-2</v>
      </c>
      <c r="H972" t="s">
        <v>20</v>
      </c>
      <c r="I972">
        <f>VLOOKUP(Table4[[#This Row],[Visitor]],'NHL Model'!$A$6:$B$38,2,FALSE)</f>
        <v>0.1394237692045871</v>
      </c>
      <c r="J972">
        <f>($B$1+Table4[[#This Row],[Home Differential]])-Table4[[#This Row],[Away Differential]]</f>
        <v>-4.8602542622086381E-2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0.45378960722016132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-0.27466957136179609</v>
      </c>
      <c r="H973" t="s">
        <v>19</v>
      </c>
      <c r="I973">
        <f>VLOOKUP(Table4[[#This Row],[Visitor]],'NHL Model'!$A$6:$B$38,2,FALSE)</f>
        <v>4.3410611683700091E-2</v>
      </c>
      <c r="J973">
        <f>($B$1+Table4[[#This Row],[Home Differential]])-Table4[[#This Row],[Away Differential]]</f>
        <v>-0.18124360528536357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0.47498582294163721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-0.21579108793246188</v>
      </c>
      <c r="H974" t="s">
        <v>35</v>
      </c>
      <c r="I974">
        <f>VLOOKUP(Table4[[#This Row],[Visitor]],'NHL Model'!$A$6:$B$38,2,FALSE)</f>
        <v>-0.9803970267772969</v>
      </c>
      <c r="J974">
        <f>($B$1+Table4[[#This Row],[Home Differential]])-Table4[[#This Row],[Away Differential]]</f>
        <v>0.90144251660496766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0.62694590341651102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-0.87254503056606192</v>
      </c>
      <c r="H975" t="s">
        <v>25</v>
      </c>
      <c r="I975">
        <f>VLOOKUP(Table4[[#This Row],[Visitor]],'NHL Model'!$A$6:$B$38,2,FALSE)</f>
        <v>0.33829893848778331</v>
      </c>
      <c r="J975">
        <f>($B$1+Table4[[#This Row],[Home Differential]])-Table4[[#This Row],[Away Differential]]</f>
        <v>-1.0740073912937127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0.60610268774375964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-0.29093210318822477</v>
      </c>
      <c r="H976" t="s">
        <v>11</v>
      </c>
      <c r="I976">
        <f>VLOOKUP(Table4[[#This Row],[Visitor]],'NHL Model'!$A$6:$B$38,2,FALSE)</f>
        <v>-7.4962464446554744E-2</v>
      </c>
      <c r="J976">
        <f>($B$1+Table4[[#This Row],[Home Differential]])-Table4[[#This Row],[Away Differential]]</f>
        <v>-7.9133060981537412E-2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0.50121595494435522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-0.54997285633810766</v>
      </c>
      <c r="H977" t="s">
        <v>36</v>
      </c>
      <c r="I977">
        <f>VLOOKUP(Table4[[#This Row],[Visitor]],'NHL Model'!$A$6:$B$38,2,FALSE)</f>
        <v>-7.2312572939580336E-2</v>
      </c>
      <c r="J977">
        <f>($B$1+Table4[[#This Row],[Home Differential]])-Table4[[#This Row],[Away Differential]]</f>
        <v>-0.34082370563839476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0.48849441841501817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-0.14985965438623808</v>
      </c>
      <c r="H978" t="s">
        <v>30</v>
      </c>
      <c r="I978">
        <f>VLOOKUP(Table4[[#This Row],[Visitor]],'NHL Model'!$A$6:$B$38,2,FALSE)</f>
        <v>0.25279292855900759</v>
      </c>
      <c r="J978">
        <f>($B$1+Table4[[#This Row],[Home Differential]])-Table4[[#This Row],[Away Differential]]</f>
        <v>-0.26581600518511306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0.5064077071974683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-0.48381480045860298</v>
      </c>
      <c r="H979" t="s">
        <v>21</v>
      </c>
      <c r="I979">
        <f>VLOOKUP(Table4[[#This Row],[Visitor]],'NHL Model'!$A$6:$B$38,2,FALSE)</f>
        <v>0.17390560158361429</v>
      </c>
      <c r="J979">
        <f>($B$1+Table4[[#This Row],[Home Differential]])-Table4[[#This Row],[Away Differential]]</f>
        <v>-0.52088382428208457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0.51024026917192722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-0.36341023830385849</v>
      </c>
      <c r="H980" t="s">
        <v>19</v>
      </c>
      <c r="I980">
        <f>VLOOKUP(Table4[[#This Row],[Visitor]],'NHL Model'!$A$6:$B$38,2,FALSE)</f>
        <v>4.3410611683700091E-2</v>
      </c>
      <c r="J980">
        <f>($B$1+Table4[[#This Row],[Home Differential]])-Table4[[#This Row],[Away Differential]]</f>
        <v>-0.26998427222742599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0.48604051398138087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-7.417166684134277E-2</v>
      </c>
      <c r="H981" t="s">
        <v>55</v>
      </c>
      <c r="I981">
        <f>VLOOKUP(Table4[[#This Row],[Visitor]],'NHL Model'!$A$6:$B$38,2,FALSE)</f>
        <v>0.27119018820614604</v>
      </c>
      <c r="J981">
        <f>($B$1+Table4[[#This Row],[Home Differential]])-Table4[[#This Row],[Away Differential]]</f>
        <v>-0.2085252772873562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0.48011267306007582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1.1343608350765873E-2</v>
      </c>
      <c r="H982" t="s">
        <v>23</v>
      </c>
      <c r="I982">
        <f>VLOOKUP(Table4[[#This Row],[Visitor]],'NHL Model'!$A$6:$B$38,2,FALSE)</f>
        <v>0.13483877693289487</v>
      </c>
      <c r="J982">
        <f>($B$1+Table4[[#This Row],[Home Differential]])-Table4[[#This Row],[Away Differential]]</f>
        <v>1.334140917800361E-2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0.5412868051511478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-0.16816097389287935</v>
      </c>
      <c r="H983" t="s">
        <v>37</v>
      </c>
      <c r="I983">
        <f>VLOOKUP(Table4[[#This Row],[Visitor]],'NHL Model'!$A$6:$B$38,2,FALSE)</f>
        <v>0.98607049252714107</v>
      </c>
      <c r="J983">
        <f>($B$1+Table4[[#This Row],[Home Differential]])-Table4[[#This Row],[Away Differential]]</f>
        <v>-1.0173948886598878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0.66555296869659897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-0.30466872127922601</v>
      </c>
      <c r="H984" t="s">
        <v>18</v>
      </c>
      <c r="I984">
        <f>VLOOKUP(Table4[[#This Row],[Visitor]],'NHL Model'!$A$6:$B$38,2,FALSE)</f>
        <v>6.8462291869218858E-2</v>
      </c>
      <c r="J984">
        <f>($B$1+Table4[[#This Row],[Home Differential]])-Table4[[#This Row],[Away Differential]]</f>
        <v>-0.23629443538831224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0.5116799518559515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-0.43286905189715857</v>
      </c>
      <c r="H985" t="s">
        <v>38</v>
      </c>
      <c r="I985">
        <f>VLOOKUP(Table4[[#This Row],[Visitor]],'NHL Model'!$A$6:$B$38,2,FALSE)</f>
        <v>-0.87254503056606192</v>
      </c>
      <c r="J985">
        <f>($B$1+Table4[[#This Row],[Home Differential]])-Table4[[#This Row],[Away Differential]]</f>
        <v>0.57651255642903598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0.59560576978160318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0.5231745585052443</v>
      </c>
      <c r="H986" t="s">
        <v>12</v>
      </c>
      <c r="I986">
        <f>VLOOKUP(Table4[[#This Row],[Visitor]],'NHL Model'!$A$6:$B$38,2,FALSE)</f>
        <v>1.7070031799067014</v>
      </c>
      <c r="J986">
        <f>($B$1+Table4[[#This Row],[Home Differential]])-Table4[[#This Row],[Away Differential]]</f>
        <v>-1.0469920436413245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0.61677391520704838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-4.6015351177631898E-2</v>
      </c>
      <c r="H987" t="s">
        <v>11</v>
      </c>
      <c r="I987">
        <f>VLOOKUP(Table4[[#This Row],[Visitor]],'NHL Model'!$A$6:$B$38,2,FALSE)</f>
        <v>-7.4962464446554744E-2</v>
      </c>
      <c r="J987">
        <f>($B$1+Table4[[#This Row],[Home Differential]])-Table4[[#This Row],[Away Differential]]</f>
        <v>0.16578369102905546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0.56472662510784188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3.922199270086173E-4</v>
      </c>
      <c r="H988" t="s">
        <v>25</v>
      </c>
      <c r="I988">
        <f>VLOOKUP(Table4[[#This Row],[Visitor]],'NHL Model'!$A$6:$B$38,2,FALSE)</f>
        <v>0.33829893848778331</v>
      </c>
      <c r="J988">
        <f>($B$1+Table4[[#This Row],[Home Differential]])-Table4[[#This Row],[Away Differential]]</f>
        <v>-0.20107014080064209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0.51731892168869886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-0.3566847028170323</v>
      </c>
      <c r="H989" t="s">
        <v>35</v>
      </c>
      <c r="I989">
        <f>VLOOKUP(Table4[[#This Row],[Visitor]],'NHL Model'!$A$6:$B$38,2,FALSE)</f>
        <v>-0.9803970267772969</v>
      </c>
      <c r="J989">
        <f>($B$1+Table4[[#This Row],[Home Differential]])-Table4[[#This Row],[Away Differential]]</f>
        <v>0.76054890172039724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0.61335643719309219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0.1394237692045871</v>
      </c>
      <c r="H990" t="s">
        <v>34</v>
      </c>
      <c r="I990">
        <f>VLOOKUP(Table4[[#This Row],[Visitor]],'NHL Model'!$A$6:$B$38,2,FALSE)</f>
        <v>0.32232840463649798</v>
      </c>
      <c r="J990">
        <f>($B$1+Table4[[#This Row],[Home Differential]])-Table4[[#This Row],[Away Differential]]</f>
        <v>-4.6068057671778295E-2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0.51585169464529523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0.17390560158361429</v>
      </c>
      <c r="H991" t="s">
        <v>22</v>
      </c>
      <c r="I991">
        <f>VLOOKUP(Table4[[#This Row],[Visitor]],'NHL Model'!$A$6:$B$38,2,FALSE)</f>
        <v>0.34677881456804194</v>
      </c>
      <c r="J991">
        <f>($B$1+Table4[[#This Row],[Home Differential]])-Table4[[#This Row],[Away Differential]]</f>
        <v>-3.6036635224295011E-2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0.4374380684844999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0.13483877693289487</v>
      </c>
      <c r="H992" t="s">
        <v>29</v>
      </c>
      <c r="I992">
        <f>VLOOKUP(Table4[[#This Row],[Visitor]],'NHL Model'!$A$6:$B$38,2,FALSE)</f>
        <v>-0.48381480045860298</v>
      </c>
      <c r="J992">
        <f>($B$1+Table4[[#This Row],[Home Differential]])-Table4[[#This Row],[Away Differential]]</f>
        <v>0.75549015515163043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0.65926413271785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-0.29093210318822477</v>
      </c>
      <c r="H993" t="s">
        <v>55</v>
      </c>
      <c r="I993">
        <f>VLOOKUP(Table4[[#This Row],[Visitor]],'NHL Model'!$A$6:$B$38,2,FALSE)</f>
        <v>0.27119018820614604</v>
      </c>
      <c r="J993">
        <f>($B$1+Table4[[#This Row],[Home Differential]])-Table4[[#This Row],[Away Differential]]</f>
        <v>-0.42528571363423817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0.50101964340591287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-0.54997285633810766</v>
      </c>
      <c r="H994" t="s">
        <v>25</v>
      </c>
      <c r="I994">
        <f>VLOOKUP(Table4[[#This Row],[Visitor]],'NHL Model'!$A$6:$B$38,2,FALSE)</f>
        <v>0.33829893848778331</v>
      </c>
      <c r="J994">
        <f>($B$1+Table4[[#This Row],[Home Differential]])-Table4[[#This Row],[Away Differential]]</f>
        <v>-0.75143521706575833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0.56084949740931422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-0.14985965438623808</v>
      </c>
      <c r="H995" t="s">
        <v>18</v>
      </c>
      <c r="I995">
        <f>VLOOKUP(Table4[[#This Row],[Visitor]],'NHL Model'!$A$6:$B$38,2,FALSE)</f>
        <v>6.8462291869218858E-2</v>
      </c>
      <c r="J995">
        <f>($B$1+Table4[[#This Row],[Home Differential]])-Table4[[#This Row],[Away Differential]]</f>
        <v>-8.1485368495324326E-2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0.51926776392249585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-0.27466957136179609</v>
      </c>
      <c r="H996" t="s">
        <v>15</v>
      </c>
      <c r="I996">
        <f>VLOOKUP(Table4[[#This Row],[Visitor]],'NHL Model'!$A$6:$B$38,2,FALSE)</f>
        <v>-0.36341023830385849</v>
      </c>
      <c r="J996">
        <f>($B$1+Table4[[#This Row],[Home Differential]])-Table4[[#This Row],[Away Differential]]</f>
        <v>0.22557724470219501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0.49163688692228158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1.1343608350765873E-2</v>
      </c>
      <c r="H997" t="s">
        <v>27</v>
      </c>
      <c r="I997">
        <f>VLOOKUP(Table4[[#This Row],[Visitor]],'NHL Model'!$A$6:$B$38,2,FALSE)</f>
        <v>-7.417166684134277E-2</v>
      </c>
      <c r="J997">
        <f>($B$1+Table4[[#This Row],[Home Differential]])-Table4[[#This Row],[Away Differential]]</f>
        <v>0.22235185295224125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0.5528427120858983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-0.21579108793246188</v>
      </c>
      <c r="H998" t="s">
        <v>36</v>
      </c>
      <c r="I998">
        <f>VLOOKUP(Table4[[#This Row],[Visitor]],'NHL Model'!$A$6:$B$38,2,FALSE)</f>
        <v>-7.2312572939580336E-2</v>
      </c>
      <c r="J998">
        <f>($B$1+Table4[[#This Row],[Home Differential]])-Table4[[#This Row],[Away Differential]]</f>
        <v>-6.6419372327489318E-3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0.47032465865044698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-0.3566847028170323</v>
      </c>
      <c r="H999" t="s">
        <v>30</v>
      </c>
      <c r="I999">
        <f>VLOOKUP(Table4[[#This Row],[Visitor]],'NHL Model'!$A$6:$B$38,2,FALSE)</f>
        <v>0.25279292855900759</v>
      </c>
      <c r="J999">
        <f>($B$1+Table4[[#This Row],[Home Differential]])-Table4[[#This Row],[Away Differential]]</f>
        <v>-0.47264105361590725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0.52635638984082256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4.3410611683700091E-2</v>
      </c>
      <c r="H1000" t="s">
        <v>37</v>
      </c>
      <c r="I1000">
        <f>VLOOKUP(Table4[[#This Row],[Visitor]],'NHL Model'!$A$6:$B$38,2,FALSE)</f>
        <v>0.98607049252714107</v>
      </c>
      <c r="J1000">
        <f>($B$1+Table4[[#This Row],[Home Differential]])-Table4[[#This Row],[Away Differential]]</f>
        <v>-0.80582330308330841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0.61283220107459091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-0.16816097389287935</v>
      </c>
      <c r="H1001" t="s">
        <v>38</v>
      </c>
      <c r="I1001">
        <f>VLOOKUP(Table4[[#This Row],[Visitor]],'NHL Model'!$A$6:$B$38,2,FALSE)</f>
        <v>-0.87254503056606192</v>
      </c>
      <c r="J1001">
        <f>($B$1+Table4[[#This Row],[Home Differential]])-Table4[[#This Row],[Away Differential]]</f>
        <v>0.84122063443331518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0.62113738445450661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-0.30466872127922601</v>
      </c>
      <c r="H1002" t="s">
        <v>35</v>
      </c>
      <c r="I1002">
        <f>VLOOKUP(Table4[[#This Row],[Visitor]],'NHL Model'!$A$6:$B$38,2,FALSE)</f>
        <v>-0.9803970267772969</v>
      </c>
      <c r="J1002">
        <f>($B$1+Table4[[#This Row],[Home Differential]])-Table4[[#This Row],[Away Differential]]</f>
        <v>0.81256488325820353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0.6406572179262503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0.13483877693289487</v>
      </c>
      <c r="H1003" t="s">
        <v>37</v>
      </c>
      <c r="I1003">
        <f>VLOOKUP(Table4[[#This Row],[Visitor]],'NHL Model'!$A$6:$B$38,2,FALSE)</f>
        <v>0.98607049252714107</v>
      </c>
      <c r="J1003">
        <f>($B$1+Table4[[#This Row],[Home Differential]])-Table4[[#This Row],[Away Differential]]</f>
        <v>-0.71439513783411357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0.58954396370764639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1.7070031799067014</v>
      </c>
      <c r="H1004" t="s">
        <v>34</v>
      </c>
      <c r="I1004">
        <f>VLOOKUP(Table4[[#This Row],[Visitor]],'NHL Model'!$A$6:$B$38,2,FALSE)</f>
        <v>0.32232840463649798</v>
      </c>
      <c r="J1004">
        <f>($B$1+Table4[[#This Row],[Home Differential]])-Table4[[#This Row],[Away Differential]]</f>
        <v>1.5215113530303359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0.75117876482359403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0.5231745585052443</v>
      </c>
      <c r="H1005" t="s">
        <v>10</v>
      </c>
      <c r="I1005">
        <f>VLOOKUP(Table4[[#This Row],[Visitor]],'NHL Model'!$A$6:$B$38,2,FALSE)</f>
        <v>-0.43286905189715857</v>
      </c>
      <c r="J1005">
        <f>($B$1+Table4[[#This Row],[Home Differential]])-Table4[[#This Row],[Away Differential]]</f>
        <v>1.0928801881625354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0.65942706379972538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-0.27466957136179609</v>
      </c>
      <c r="H1006" t="s">
        <v>26</v>
      </c>
      <c r="I1006">
        <f>VLOOKUP(Table4[[#This Row],[Visitor]],'NHL Model'!$A$6:$B$38,2,FALSE)</f>
        <v>-4.6015351177631898E-2</v>
      </c>
      <c r="J1006">
        <f>($B$1+Table4[[#This Row],[Home Differential]])-Table4[[#This Row],[Away Differential]]</f>
        <v>-9.1817642424031592E-2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0.49774488106041187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1.1343608350765873E-2</v>
      </c>
      <c r="H1007" t="s">
        <v>21</v>
      </c>
      <c r="I1007">
        <f>VLOOKUP(Table4[[#This Row],[Visitor]],'NHL Model'!$A$6:$B$38,2,FALSE)</f>
        <v>0.17390560158361429</v>
      </c>
      <c r="J1007">
        <f>($B$1+Table4[[#This Row],[Home Differential]])-Table4[[#This Row],[Away Differential]]</f>
        <v>-2.5725415472715812E-2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0.46248126691146585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0.1394237692045871</v>
      </c>
      <c r="H1008" t="s">
        <v>17</v>
      </c>
      <c r="I1008">
        <f>VLOOKUP(Table4[[#This Row],[Visitor]],'NHL Model'!$A$6:$B$38,2,FALSE)</f>
        <v>3.922199270086173E-4</v>
      </c>
      <c r="J1008">
        <f>($B$1+Table4[[#This Row],[Home Differential]])-Table4[[#This Row],[Away Differential]]</f>
        <v>0.27586812703771108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0.56660802334845461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-0.43286905189715857</v>
      </c>
      <c r="H1009" t="s">
        <v>55</v>
      </c>
      <c r="I1009">
        <f>VLOOKUP(Table4[[#This Row],[Visitor]],'NHL Model'!$A$6:$B$38,2,FALSE)</f>
        <v>0.27119018820614604</v>
      </c>
      <c r="J1009">
        <f>($B$1+Table4[[#This Row],[Home Differential]])-Table4[[#This Row],[Away Differential]]</f>
        <v>-0.56722266234317198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0.5147097412284114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-7.417166684134277E-2</v>
      </c>
      <c r="H1010" t="s">
        <v>15</v>
      </c>
      <c r="I1010">
        <f>VLOOKUP(Table4[[#This Row],[Visitor]],'NHL Model'!$A$6:$B$38,2,FALSE)</f>
        <v>-0.36341023830385849</v>
      </c>
      <c r="J1010">
        <f>($B$1+Table4[[#This Row],[Home Differential]])-Table4[[#This Row],[Away Differential]]</f>
        <v>0.42607514922264833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0.50847261691298673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-0.87254503056606192</v>
      </c>
      <c r="H1011" t="s">
        <v>36</v>
      </c>
      <c r="I1011">
        <f>VLOOKUP(Table4[[#This Row],[Visitor]],'NHL Model'!$A$6:$B$38,2,FALSE)</f>
        <v>-7.2312572939580336E-2</v>
      </c>
      <c r="J1011">
        <f>($B$1+Table4[[#This Row],[Home Differential]])-Table4[[#This Row],[Away Differential]]</f>
        <v>-0.66339587986634896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0.53366986792645588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0.34677881456804194</v>
      </c>
      <c r="H1012" t="s">
        <v>16</v>
      </c>
      <c r="I1012">
        <f>VLOOKUP(Table4[[#This Row],[Visitor]],'NHL Model'!$A$6:$B$38,2,FALSE)</f>
        <v>-0.54997285633810766</v>
      </c>
      <c r="J1012">
        <f>($B$1+Table4[[#This Row],[Home Differential]])-Table4[[#This Row],[Away Differential]]</f>
        <v>1.0335882486662822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0.64871122698202111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0.17390560158361429</v>
      </c>
      <c r="H1013" t="s">
        <v>13</v>
      </c>
      <c r="I1013">
        <f>VLOOKUP(Table4[[#This Row],[Visitor]],'NHL Model'!$A$6:$B$38,2,FALSE)</f>
        <v>-0.14985965438623808</v>
      </c>
      <c r="J1013">
        <f>($B$1+Table4[[#This Row],[Home Differential]])-Table4[[#This Row],[Away Differential]]</f>
        <v>0.46060183372998498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0.5793096735686577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0.13483877693289487</v>
      </c>
      <c r="H1014" t="s">
        <v>33</v>
      </c>
      <c r="I1014">
        <f>VLOOKUP(Table4[[#This Row],[Visitor]],'NHL Model'!$A$6:$B$38,2,FALSE)</f>
        <v>-0.3566847028170323</v>
      </c>
      <c r="J1014">
        <f>($B$1+Table4[[#This Row],[Home Differential]])-Table4[[#This Row],[Away Differential]]</f>
        <v>0.62836005751005986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0.6266442990682225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0.33829893848778331</v>
      </c>
      <c r="H1015" t="s">
        <v>14</v>
      </c>
      <c r="I1015">
        <f>VLOOKUP(Table4[[#This Row],[Visitor]],'NHL Model'!$A$6:$B$38,2,FALSE)</f>
        <v>1.1343608350765873E-2</v>
      </c>
      <c r="J1015">
        <f>($B$1+Table4[[#This Row],[Home Differential]])-Table4[[#This Row],[Away Differential]]</f>
        <v>0.46379190789715008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0.6061371503370705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1.7070031799067014</v>
      </c>
      <c r="H1016" t="s">
        <v>17</v>
      </c>
      <c r="I1016">
        <f>VLOOKUP(Table4[[#This Row],[Visitor]],'NHL Model'!$A$6:$B$38,2,FALSE)</f>
        <v>3.922199270086173E-4</v>
      </c>
      <c r="J1016">
        <f>($B$1+Table4[[#This Row],[Home Differential]])-Table4[[#This Row],[Away Differential]]</f>
        <v>1.8434475377398254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0.83027666763376895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0.5231745585052443</v>
      </c>
      <c r="H1017" t="s">
        <v>20</v>
      </c>
      <c r="I1017">
        <f>VLOOKUP(Table4[[#This Row],[Visitor]],'NHL Model'!$A$6:$B$38,2,FALSE)</f>
        <v>0.1394237692045871</v>
      </c>
      <c r="J1017">
        <f>($B$1+Table4[[#This Row],[Home Differential]])-Table4[[#This Row],[Away Differential]]</f>
        <v>0.52058736706078979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0.57293894801722189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-7.4962464446554744E-2</v>
      </c>
      <c r="H1018" t="s">
        <v>26</v>
      </c>
      <c r="I1018">
        <f>VLOOKUP(Table4[[#This Row],[Visitor]],'NHL Model'!$A$6:$B$38,2,FALSE)</f>
        <v>-4.6015351177631898E-2</v>
      </c>
      <c r="J1018">
        <f>($B$1+Table4[[#This Row],[Home Differential]])-Table4[[#This Row],[Away Differential]]</f>
        <v>0.10788946449120976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0.51900565961470702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0.32232840463649798</v>
      </c>
      <c r="H1019" t="s">
        <v>55</v>
      </c>
      <c r="I1019">
        <f>VLOOKUP(Table4[[#This Row],[Visitor]],'NHL Model'!$A$6:$B$38,2,FALSE)</f>
        <v>0.27119018820614604</v>
      </c>
      <c r="J1019">
        <f>($B$1+Table4[[#This Row],[Home Differential]])-Table4[[#This Row],[Away Differential]]</f>
        <v>0.18797479419048457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0.55889592956775835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6.8462291869218858E-2</v>
      </c>
      <c r="H1020" t="s">
        <v>19</v>
      </c>
      <c r="I1020">
        <f>VLOOKUP(Table4[[#This Row],[Visitor]],'NHL Model'!$A$6:$B$38,2,FALSE)</f>
        <v>4.3410611683700091E-2</v>
      </c>
      <c r="J1020">
        <f>($B$1+Table4[[#This Row],[Home Differential]])-Table4[[#This Row],[Away Differential]]</f>
        <v>0.16188825794565137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0.55637983184767648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-0.36341023830385849</v>
      </c>
      <c r="H1021" t="s">
        <v>16</v>
      </c>
      <c r="I1021">
        <f>VLOOKUP(Table4[[#This Row],[Visitor]],'NHL Model'!$A$6:$B$38,2,FALSE)</f>
        <v>-0.54997285633810766</v>
      </c>
      <c r="J1021">
        <f>($B$1+Table4[[#This Row],[Home Differential]])-Table4[[#This Row],[Away Differential]]</f>
        <v>0.32339919579438181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0.57119248840005377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-0.21579108793246188</v>
      </c>
      <c r="H1022" t="s">
        <v>29</v>
      </c>
      <c r="I1022">
        <f>VLOOKUP(Table4[[#This Row],[Visitor]],'NHL Model'!$A$6:$B$38,2,FALSE)</f>
        <v>-0.48381480045860298</v>
      </c>
      <c r="J1022">
        <f>($B$1+Table4[[#This Row],[Home Differential]])-Table4[[#This Row],[Away Differential]]</f>
        <v>0.40486029028627368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0.57904957115733302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-0.9803970267772969</v>
      </c>
      <c r="H1023" t="s">
        <v>30</v>
      </c>
      <c r="I1023">
        <f>VLOOKUP(Table4[[#This Row],[Visitor]],'NHL Model'!$A$6:$B$38,2,FALSE)</f>
        <v>0.25279292855900759</v>
      </c>
      <c r="J1023">
        <f>($B$1+Table4[[#This Row],[Home Differential]])-Table4[[#This Row],[Away Differential]]</f>
        <v>-1.0963533775761718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0.58651467001932589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0.98607049252714107</v>
      </c>
      <c r="H1024" t="s">
        <v>28</v>
      </c>
      <c r="I1024">
        <f>VLOOKUP(Table4[[#This Row],[Visitor]],'NHL Model'!$A$6:$B$38,2,FALSE)</f>
        <v>-0.29093210318822477</v>
      </c>
      <c r="J1024">
        <f>($B$1+Table4[[#This Row],[Home Differential]])-Table4[[#This Row],[Away Differential]]</f>
        <v>1.4138391734754985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0.69038418910016353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-0.16816097389287935</v>
      </c>
      <c r="H1025" t="s">
        <v>31</v>
      </c>
      <c r="I1025">
        <f>VLOOKUP(Table4[[#This Row],[Visitor]],'NHL Model'!$A$6:$B$38,2,FALSE)</f>
        <v>-0.30466872127922601</v>
      </c>
      <c r="J1025">
        <f>($B$1+Table4[[#This Row],[Home Differential]])-Table4[[#This Row],[Away Differential]]</f>
        <v>0.27334432514647927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0.56636459769297975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-7.2312572939580336E-2</v>
      </c>
      <c r="H1026" t="s">
        <v>18</v>
      </c>
      <c r="I1026">
        <f>VLOOKUP(Table4[[#This Row],[Visitor]],'NHL Model'!$A$6:$B$38,2,FALSE)</f>
        <v>6.8462291869218858E-2</v>
      </c>
      <c r="J1026">
        <f>($B$1+Table4[[#This Row],[Home Differential]])-Table4[[#This Row],[Away Differential]]</f>
        <v>-3.9382870486665833E-3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0.51178819542035014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-7.417166684134277E-2</v>
      </c>
      <c r="H1027" t="s">
        <v>22</v>
      </c>
      <c r="I1027">
        <f>VLOOKUP(Table4[[#This Row],[Visitor]],'NHL Model'!$A$6:$B$38,2,FALSE)</f>
        <v>0.34677881456804194</v>
      </c>
      <c r="J1027">
        <f>($B$1+Table4[[#This Row],[Home Differential]])-Table4[[#This Row],[Away Differential]]</f>
        <v>-0.2841139036492521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0.48740334471798719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0.17390560158361429</v>
      </c>
      <c r="H1028" t="s">
        <v>33</v>
      </c>
      <c r="I1028">
        <f>VLOOKUP(Table4[[#This Row],[Visitor]],'NHL Model'!$A$6:$B$38,2,FALSE)</f>
        <v>-0.3566847028170323</v>
      </c>
      <c r="J1028">
        <f>($B$1+Table4[[#This Row],[Home Differential]])-Table4[[#This Row],[Away Differential]]</f>
        <v>0.66742688216077917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0.60982918073632486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0.13483877693289487</v>
      </c>
      <c r="H1029" t="s">
        <v>22</v>
      </c>
      <c r="I1029">
        <f>VLOOKUP(Table4[[#This Row],[Visitor]],'NHL Model'!$A$6:$B$38,2,FALSE)</f>
        <v>0.34677881456804194</v>
      </c>
      <c r="J1029">
        <f>($B$1+Table4[[#This Row],[Home Differential]])-Table4[[#This Row],[Away Differential]]</f>
        <v>-7.5103459875014433E-2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0.42084825481681115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0.33829893848778331</v>
      </c>
      <c r="H1030" t="s">
        <v>35</v>
      </c>
      <c r="I1030">
        <f>VLOOKUP(Table4[[#This Row],[Visitor]],'NHL Model'!$A$6:$B$38,2,FALSE)</f>
        <v>-0.9803970267772969</v>
      </c>
      <c r="J1030">
        <f>($B$1+Table4[[#This Row],[Home Differential]])-Table4[[#This Row],[Away Differential]]</f>
        <v>1.4555325430252128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0.72220715790296197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0.5231745585052443</v>
      </c>
      <c r="H1031" t="s">
        <v>17</v>
      </c>
      <c r="I1031">
        <f>VLOOKUP(Table4[[#This Row],[Visitor]],'NHL Model'!$A$6:$B$38,2,FALSE)</f>
        <v>3.922199270086173E-4</v>
      </c>
      <c r="J1031">
        <f>($B$1+Table4[[#This Row],[Home Differential]])-Table4[[#This Row],[Away Differential]]</f>
        <v>0.65961891633836822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0.61763816212242995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-7.4962464446554744E-2</v>
      </c>
      <c r="H1032" t="s">
        <v>28</v>
      </c>
      <c r="I1032">
        <f>VLOOKUP(Table4[[#This Row],[Visitor]],'NHL Model'!$A$6:$B$38,2,FALSE)</f>
        <v>-0.29093210318822477</v>
      </c>
      <c r="J1032">
        <f>($B$1+Table4[[#This Row],[Home Differential]])-Table4[[#This Row],[Away Differential]]</f>
        <v>0.35280621650180266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0.57402885337629683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0.32232840463649798</v>
      </c>
      <c r="H1033" t="s">
        <v>27</v>
      </c>
      <c r="I1033">
        <f>VLOOKUP(Table4[[#This Row],[Visitor]],'NHL Model'!$A$6:$B$38,2,FALSE)</f>
        <v>-7.417166684134277E-2</v>
      </c>
      <c r="J1033">
        <f>($B$1+Table4[[#This Row],[Home Differential]])-Table4[[#This Row],[Away Differential]]</f>
        <v>0.53333664923797341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0.58360511131750636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-0.27466957136179609</v>
      </c>
      <c r="H1034" t="s">
        <v>16</v>
      </c>
      <c r="I1034">
        <f>VLOOKUP(Table4[[#This Row],[Visitor]],'NHL Model'!$A$6:$B$38,2,FALSE)</f>
        <v>-0.54997285633810766</v>
      </c>
      <c r="J1034">
        <f>($B$1+Table4[[#This Row],[Home Differential]])-Table4[[#This Row],[Away Differential]]</f>
        <v>0.41213986273644421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0.58224717943979731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-0.21579108793246188</v>
      </c>
      <c r="H1035" t="s">
        <v>12</v>
      </c>
      <c r="I1035">
        <f>VLOOKUP(Table4[[#This Row],[Visitor]],'NHL Model'!$A$6:$B$38,2,FALSE)</f>
        <v>1.7070031799067014</v>
      </c>
      <c r="J1035">
        <f>($B$1+Table4[[#This Row],[Home Differential]])-Table4[[#This Row],[Away Differential]]</f>
        <v>-1.7859576900790306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0.70216072100513405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0.98607049252714107</v>
      </c>
      <c r="H1036" t="s">
        <v>26</v>
      </c>
      <c r="I1036">
        <f>VLOOKUP(Table4[[#This Row],[Visitor]],'NHL Model'!$A$6:$B$38,2,FALSE)</f>
        <v>-4.6015351177631898E-2</v>
      </c>
      <c r="J1036">
        <f>($B$1+Table4[[#This Row],[Home Differential]])-Table4[[#This Row],[Away Differential]]</f>
        <v>1.1689224214649057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0.63547213896772303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4.3410611683700091E-2</v>
      </c>
      <c r="H1037" t="s">
        <v>31</v>
      </c>
      <c r="I1037">
        <f>VLOOKUP(Table4[[#This Row],[Visitor]],'NHL Model'!$A$6:$B$38,2,FALSE)</f>
        <v>-0.30466872127922601</v>
      </c>
      <c r="J1037">
        <f>($B$1+Table4[[#This Row],[Home Differential]])-Table4[[#This Row],[Away Differential]]</f>
        <v>0.48491591072305873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0.61901715898642495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0.27119018820614604</v>
      </c>
      <c r="H1038" t="s">
        <v>10</v>
      </c>
      <c r="I1038">
        <f>VLOOKUP(Table4[[#This Row],[Visitor]],'NHL Model'!$A$6:$B$38,2,FALSE)</f>
        <v>-0.43286905189715857</v>
      </c>
      <c r="J1038">
        <f>($B$1+Table4[[#This Row],[Home Differential]])-Table4[[#This Row],[Away Differential]]</f>
        <v>0.84089581786343714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0.63512267575620385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-0.87254503056606192</v>
      </c>
      <c r="H1039" t="s">
        <v>29</v>
      </c>
      <c r="I1039">
        <f>VLOOKUP(Table4[[#This Row],[Visitor]],'NHL Model'!$A$6:$B$38,2,FALSE)</f>
        <v>-0.48381480045860298</v>
      </c>
      <c r="J1039">
        <f>($B$1+Table4[[#This Row],[Home Differential]])-Table4[[#This Row],[Away Differential]]</f>
        <v>-0.25189365234732636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0.48429563811867599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0.1394237692045871</v>
      </c>
      <c r="H1040" t="s">
        <v>14</v>
      </c>
      <c r="I1040">
        <f>VLOOKUP(Table4[[#This Row],[Visitor]],'NHL Model'!$A$6:$B$38,2,FALSE)</f>
        <v>1.1343608350765873E-2</v>
      </c>
      <c r="J1040">
        <f>($B$1+Table4[[#This Row],[Home Differential]])-Table4[[#This Row],[Away Differential]]</f>
        <v>0.26491673861395382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0.54478250962980757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-0.16816097389287935</v>
      </c>
      <c r="H1041" t="s">
        <v>15</v>
      </c>
      <c r="I1041">
        <f>VLOOKUP(Table4[[#This Row],[Visitor]],'NHL Model'!$A$6:$B$38,2,FALSE)</f>
        <v>-0.36341023830385849</v>
      </c>
      <c r="J1041">
        <f>($B$1+Table4[[#This Row],[Home Differential]])-Table4[[#This Row],[Away Differential]]</f>
        <v>0.33208584217111176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0.49940716341755459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0.25279292855900759</v>
      </c>
      <c r="H1042" t="s">
        <v>13</v>
      </c>
      <c r="I1042">
        <f>VLOOKUP(Table4[[#This Row],[Visitor]],'NHL Model'!$A$6:$B$38,2,FALSE)</f>
        <v>-0.14985965438623808</v>
      </c>
      <c r="J1042">
        <f>($B$1+Table4[[#This Row],[Home Differential]])-Table4[[#This Row],[Away Differential]]</f>
        <v>0.53948916070537822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0.57990364291643148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-0.9803970267772969</v>
      </c>
      <c r="H1043" t="s">
        <v>17</v>
      </c>
      <c r="I1043">
        <f>VLOOKUP(Table4[[#This Row],[Visitor]],'NHL Model'!$A$6:$B$38,2,FALSE)</f>
        <v>3.922199270086173E-4</v>
      </c>
      <c r="J1043">
        <f>($B$1+Table4[[#This Row],[Home Differential]])-Table4[[#This Row],[Away Differential]]</f>
        <v>-0.84395266894417298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0.54140089455563456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0.13483877693289487</v>
      </c>
      <c r="H1044" t="s">
        <v>19</v>
      </c>
      <c r="I1044">
        <f>VLOOKUP(Table4[[#This Row],[Visitor]],'NHL Model'!$A$6:$B$38,2,FALSE)</f>
        <v>4.3410611683700091E-2</v>
      </c>
      <c r="J1044">
        <f>($B$1+Table4[[#This Row],[Home Differential]])-Table4[[#This Row],[Away Differential]]</f>
        <v>0.22826474300932742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0.60841220492604942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0.5231745585052443</v>
      </c>
      <c r="H1045" t="s">
        <v>26</v>
      </c>
      <c r="I1045">
        <f>VLOOKUP(Table4[[#This Row],[Visitor]],'NHL Model'!$A$6:$B$38,2,FALSE)</f>
        <v>-4.6015351177631898E-2</v>
      </c>
      <c r="J1045">
        <f>($B$1+Table4[[#This Row],[Home Differential]])-Table4[[#This Row],[Away Differential]]</f>
        <v>0.70602648744300878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0.59082491584478636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0.32232840463649798</v>
      </c>
      <c r="H1046" t="s">
        <v>15</v>
      </c>
      <c r="I1046">
        <f>VLOOKUP(Table4[[#This Row],[Visitor]],'NHL Model'!$A$6:$B$38,2,FALSE)</f>
        <v>-0.36341023830385849</v>
      </c>
      <c r="J1046">
        <f>($B$1+Table4[[#This Row],[Home Differential]])-Table4[[#This Row],[Away Differential]]</f>
        <v>0.82257522070048905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0.54748304195503172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6.8462291869218858E-2</v>
      </c>
      <c r="H1047" t="s">
        <v>33</v>
      </c>
      <c r="I1047">
        <f>VLOOKUP(Table4[[#This Row],[Visitor]],'NHL Model'!$A$6:$B$38,2,FALSE)</f>
        <v>-0.3566847028170323</v>
      </c>
      <c r="J1047">
        <f>($B$1+Table4[[#This Row],[Home Differential]])-Table4[[#This Row],[Away Differential]]</f>
        <v>0.56198357244638375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0.57420442070517697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-0.27466957136179609</v>
      </c>
      <c r="H1048" t="s">
        <v>13</v>
      </c>
      <c r="I1048">
        <f>VLOOKUP(Table4[[#This Row],[Visitor]],'NHL Model'!$A$6:$B$38,2,FALSE)</f>
        <v>-0.14985965438623808</v>
      </c>
      <c r="J1048">
        <f>($B$1+Table4[[#This Row],[Home Differential]])-Table4[[#This Row],[Away Differential]]</f>
        <v>1.2026660784574594E-2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0.51227110619425509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0.25279292855900759</v>
      </c>
      <c r="H1049" t="s">
        <v>16</v>
      </c>
      <c r="I1049">
        <f>VLOOKUP(Table4[[#This Row],[Visitor]],'NHL Model'!$A$6:$B$38,2,FALSE)</f>
        <v>-0.54997285633810766</v>
      </c>
      <c r="J1049">
        <f>($B$1+Table4[[#This Row],[Home Differential]])-Table4[[#This Row],[Away Differential]]</f>
        <v>0.93960236265724784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0.64973192691963255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-7.2312572939580336E-2</v>
      </c>
      <c r="H1050" t="s">
        <v>31</v>
      </c>
      <c r="I1050">
        <f>VLOOKUP(Table4[[#This Row],[Visitor]],'NHL Model'!$A$6:$B$38,2,FALSE)</f>
        <v>-0.30466872127922601</v>
      </c>
      <c r="J1050">
        <f>($B$1+Table4[[#This Row],[Home Differential]])-Table4[[#This Row],[Away Differential]]</f>
        <v>0.36919272609977827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0.57560936445115185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-7.417166684134277E-2</v>
      </c>
      <c r="H1051" t="s">
        <v>28</v>
      </c>
      <c r="I1051">
        <f>VLOOKUP(Table4[[#This Row],[Visitor]],'NHL Model'!$A$6:$B$38,2,FALSE)</f>
        <v>-0.29093210318822477</v>
      </c>
      <c r="J1051">
        <f>($B$1+Table4[[#This Row],[Home Differential]])-Table4[[#This Row],[Away Differential]]</f>
        <v>0.35359701410701461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0.57410512736042585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0.98607049252714107</v>
      </c>
      <c r="H1052" t="s">
        <v>25</v>
      </c>
      <c r="I1052">
        <f>VLOOKUP(Table4[[#This Row],[Visitor]],'NHL Model'!$A$6:$B$38,2,FALSE)</f>
        <v>0.33829893848778331</v>
      </c>
      <c r="J1052">
        <f>($B$1+Table4[[#This Row],[Home Differential]])-Table4[[#This Row],[Away Differential]]</f>
        <v>0.7846081317994904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0.58730490422352766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0.27119018820614604</v>
      </c>
      <c r="H1053" t="s">
        <v>14</v>
      </c>
      <c r="I1053">
        <f>VLOOKUP(Table4[[#This Row],[Visitor]],'NHL Model'!$A$6:$B$38,2,FALSE)</f>
        <v>1.1343608350765873E-2</v>
      </c>
      <c r="J1053">
        <f>($B$1+Table4[[#This Row],[Home Differential]])-Table4[[#This Row],[Away Differential]]</f>
        <v>0.39668315761551276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0.57159420396421046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-0.87254503056606192</v>
      </c>
      <c r="H1054" t="s">
        <v>32</v>
      </c>
      <c r="I1054">
        <f>VLOOKUP(Table4[[#This Row],[Visitor]],'NHL Model'!$A$6:$B$38,2,FALSE)</f>
        <v>-0.21579108793246188</v>
      </c>
      <c r="J1054">
        <f>($B$1+Table4[[#This Row],[Home Differential]])-Table4[[#This Row],[Away Differential]]</f>
        <v>-0.5199173648734674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0.51983108300437497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0.1394237692045871</v>
      </c>
      <c r="H1055" t="s">
        <v>10</v>
      </c>
      <c r="I1055">
        <f>VLOOKUP(Table4[[#This Row],[Visitor]],'NHL Model'!$A$6:$B$38,2,FALSE)</f>
        <v>-0.43286905189715857</v>
      </c>
      <c r="J1055">
        <f>($B$1+Table4[[#This Row],[Home Differential]])-Table4[[#This Row],[Away Differential]]</f>
        <v>0.70912939886187831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0.60839692502575005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-0.16816097389287935</v>
      </c>
      <c r="H1056" t="s">
        <v>12</v>
      </c>
      <c r="I1056">
        <f>VLOOKUP(Table4[[#This Row],[Visitor]],'NHL Model'!$A$6:$B$38,2,FALSE)</f>
        <v>1.7070031799067014</v>
      </c>
      <c r="J1056">
        <f>($B$1+Table4[[#This Row],[Home Differential]])-Table4[[#This Row],[Away Differential]]</f>
        <v>-1.7383275760394481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0.69756670284122513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0.34677881456804194</v>
      </c>
      <c r="H1057" t="s">
        <v>21</v>
      </c>
      <c r="I1057">
        <f>VLOOKUP(Table4[[#This Row],[Visitor]],'NHL Model'!$A$6:$B$38,2,FALSE)</f>
        <v>0.17390560158361429</v>
      </c>
      <c r="J1057">
        <f>($B$1+Table4[[#This Row],[Home Differential]])-Table4[[#This Row],[Away Differential]]</f>
        <v>0.30970979074456023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0.57889172620587126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3.922199270086173E-4</v>
      </c>
      <c r="H1058" t="s">
        <v>29</v>
      </c>
      <c r="I1058">
        <f>VLOOKUP(Table4[[#This Row],[Visitor]],'NHL Model'!$A$6:$B$38,2,FALSE)</f>
        <v>-0.48381480045860298</v>
      </c>
      <c r="J1058">
        <f>($B$1+Table4[[#This Row],[Home Differential]])-Table4[[#This Row],[Away Differential]]</f>
        <v>0.62104359814574417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0.60445533177117849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0.32232840463649798</v>
      </c>
      <c r="H1059" t="s">
        <v>19</v>
      </c>
      <c r="I1059">
        <f>VLOOKUP(Table4[[#This Row],[Visitor]],'NHL Model'!$A$6:$B$38,2,FALSE)</f>
        <v>4.3410611683700091E-2</v>
      </c>
      <c r="J1059">
        <f>($B$1+Table4[[#This Row],[Home Differential]])-Table4[[#This Row],[Away Differential]]</f>
        <v>0.41575437071293053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0.58086571765270745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6.8462291869218858E-2</v>
      </c>
      <c r="H1060" t="s">
        <v>31</v>
      </c>
      <c r="I1060">
        <f>VLOOKUP(Table4[[#This Row],[Visitor]],'NHL Model'!$A$6:$B$38,2,FALSE)</f>
        <v>-0.30466872127922601</v>
      </c>
      <c r="J1060">
        <f>($B$1+Table4[[#This Row],[Home Differential]])-Table4[[#This Row],[Away Differential]]</f>
        <v>0.50996759090857746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0.5899527680112151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-7.2312572939580336E-2</v>
      </c>
      <c r="H1061" t="s">
        <v>33</v>
      </c>
      <c r="I1061">
        <f>VLOOKUP(Table4[[#This Row],[Visitor]],'NHL Model'!$A$6:$B$38,2,FALSE)</f>
        <v>-0.3566847028170323</v>
      </c>
      <c r="J1061">
        <f>($B$1+Table4[[#This Row],[Home Differential]])-Table4[[#This Row],[Away Differential]]</f>
        <v>0.42120870763758456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0.55985717739085783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-0.21579108793246188</v>
      </c>
      <c r="H1062" t="s">
        <v>11</v>
      </c>
      <c r="I1062">
        <f>VLOOKUP(Table4[[#This Row],[Visitor]],'NHL Model'!$A$6:$B$38,2,FALSE)</f>
        <v>-7.4962464446554744E-2</v>
      </c>
      <c r="J1062">
        <f>($B$1+Table4[[#This Row],[Home Differential]])-Table4[[#This Row],[Away Differential]]</f>
        <v>-3.9920457257745234E-3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0.49396845625785923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-0.16816097389287935</v>
      </c>
      <c r="H1063" t="s">
        <v>35</v>
      </c>
      <c r="I1063">
        <f>VLOOKUP(Table4[[#This Row],[Visitor]],'NHL Model'!$A$6:$B$38,2,FALSE)</f>
        <v>-0.9803970267772969</v>
      </c>
      <c r="J1063">
        <f>($B$1+Table4[[#This Row],[Home Differential]])-Table4[[#This Row],[Away Differential]]</f>
        <v>0.94907263064455016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0.63153992158041994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1.7070031799067014</v>
      </c>
      <c r="H1064" t="s">
        <v>14</v>
      </c>
      <c r="I1064">
        <f>VLOOKUP(Table4[[#This Row],[Visitor]],'NHL Model'!$A$6:$B$38,2,FALSE)</f>
        <v>1.1343608350765873E-2</v>
      </c>
      <c r="J1064">
        <f>($B$1+Table4[[#This Row],[Home Differential]])-Table4[[#This Row],[Away Differential]]</f>
        <v>1.8324961493160681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0.81008119054515859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0.5231745585052443</v>
      </c>
      <c r="H1065" t="s">
        <v>55</v>
      </c>
      <c r="I1065">
        <f>VLOOKUP(Table4[[#This Row],[Visitor]],'NHL Model'!$A$6:$B$38,2,FALSE)</f>
        <v>0.27119018820614604</v>
      </c>
      <c r="J1065">
        <f>($B$1+Table4[[#This Row],[Home Differential]])-Table4[[#This Row],[Away Differential]]</f>
        <v>0.38882094805923084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0.59151916555672535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-4.6015351177631898E-2</v>
      </c>
      <c r="H1066" t="s">
        <v>16</v>
      </c>
      <c r="I1066">
        <f>VLOOKUP(Table4[[#This Row],[Visitor]],'NHL Model'!$A$6:$B$38,2,FALSE)</f>
        <v>-0.54997285633810766</v>
      </c>
      <c r="J1066">
        <f>($B$1+Table4[[#This Row],[Home Differential]])-Table4[[#This Row],[Away Differential]]</f>
        <v>0.64079408292060835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0.64362403123975098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-0.27466957136179609</v>
      </c>
      <c r="H1067" t="s">
        <v>21</v>
      </c>
      <c r="I1067">
        <f>VLOOKUP(Table4[[#This Row],[Visitor]],'NHL Model'!$A$6:$B$38,2,FALSE)</f>
        <v>0.17390560158361429</v>
      </c>
      <c r="J1067">
        <f>($B$1+Table4[[#This Row],[Home Differential]])-Table4[[#This Row],[Away Differential]]</f>
        <v>-0.3117385951852778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0.48757232133635248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-0.36341023830385849</v>
      </c>
      <c r="H1068" t="s">
        <v>13</v>
      </c>
      <c r="I1068">
        <f>VLOOKUP(Table4[[#This Row],[Visitor]],'NHL Model'!$A$6:$B$38,2,FALSE)</f>
        <v>-0.14985965438623808</v>
      </c>
      <c r="J1068">
        <f>($B$1+Table4[[#This Row],[Home Differential]])-Table4[[#This Row],[Away Differential]]</f>
        <v>-7.6714006157487802E-2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0.49879970815275093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-0.29093210318822477</v>
      </c>
      <c r="H1069" t="s">
        <v>25</v>
      </c>
      <c r="I1069">
        <f>VLOOKUP(Table4[[#This Row],[Visitor]],'NHL Model'!$A$6:$B$38,2,FALSE)</f>
        <v>0.33829893848778331</v>
      </c>
      <c r="J1069">
        <f>($B$1+Table4[[#This Row],[Home Differential]])-Table4[[#This Row],[Away Differential]]</f>
        <v>-0.49239446391587549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0.55000497715424668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-0.43286905189715857</v>
      </c>
      <c r="H1070" t="s">
        <v>34</v>
      </c>
      <c r="I1070">
        <f>VLOOKUP(Table4[[#This Row],[Visitor]],'NHL Model'!$A$6:$B$38,2,FALSE)</f>
        <v>0.32232840463649798</v>
      </c>
      <c r="J1070">
        <f>($B$1+Table4[[#This Row],[Home Differential]])-Table4[[#This Row],[Away Differential]]</f>
        <v>-0.61836087877352397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0.57105046265645654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3.922199270086173E-4</v>
      </c>
      <c r="H1071" t="s">
        <v>33</v>
      </c>
      <c r="I1071">
        <f>VLOOKUP(Table4[[#This Row],[Visitor]],'NHL Model'!$A$6:$B$38,2,FALSE)</f>
        <v>-0.3566847028170323</v>
      </c>
      <c r="J1071">
        <f>($B$1+Table4[[#This Row],[Home Differential]])-Table4[[#This Row],[Away Differential]]</f>
        <v>0.49391350050417349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0.57144845221583251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6.8462291869218858E-2</v>
      </c>
      <c r="H1072" t="s">
        <v>21</v>
      </c>
      <c r="I1072">
        <f>VLOOKUP(Table4[[#This Row],[Visitor]],'NHL Model'!$A$6:$B$38,2,FALSE)</f>
        <v>0.17390560158361429</v>
      </c>
      <c r="J1072">
        <f>($B$1+Table4[[#This Row],[Home Differential]])-Table4[[#This Row],[Away Differential]]</f>
        <v>3.1393268045737166E-2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0.54379333345296121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-0.21579108793246188</v>
      </c>
      <c r="H1073" t="s">
        <v>37</v>
      </c>
      <c r="I1073">
        <f>VLOOKUP(Table4[[#This Row],[Visitor]],'NHL Model'!$A$6:$B$38,2,FALSE)</f>
        <v>0.98607049252714107</v>
      </c>
      <c r="J1073">
        <f>($B$1+Table4[[#This Row],[Home Differential]])-Table4[[#This Row],[Away Differential]]</f>
        <v>-1.0650250026994703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0.67014698686050778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4.3410611683700091E-2</v>
      </c>
      <c r="H1074" t="s">
        <v>30</v>
      </c>
      <c r="I1074">
        <f>VLOOKUP(Table4[[#This Row],[Visitor]],'NHL Model'!$A$6:$B$38,2,FALSE)</f>
        <v>0.25279292855900759</v>
      </c>
      <c r="J1074">
        <f>($B$1+Table4[[#This Row],[Home Differential]])-Table4[[#This Row],[Away Differential]]</f>
        <v>-7.2545739115174895E-2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0.45527304126808188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-0.87254503056606192</v>
      </c>
      <c r="H1075" t="s">
        <v>11</v>
      </c>
      <c r="I1075">
        <f>VLOOKUP(Table4[[#This Row],[Visitor]],'NHL Model'!$A$6:$B$38,2,FALSE)</f>
        <v>-7.4962464446554744E-2</v>
      </c>
      <c r="J1075">
        <f>($B$1+Table4[[#This Row],[Home Differential]])-Table4[[#This Row],[Away Differential]]</f>
        <v>-0.66074598835937459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0.55731366553386819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0.1394237692045871</v>
      </c>
      <c r="H1076" t="s">
        <v>23</v>
      </c>
      <c r="I1076">
        <f>VLOOKUP(Table4[[#This Row],[Visitor]],'NHL Model'!$A$6:$B$38,2,FALSE)</f>
        <v>0.13483877693289487</v>
      </c>
      <c r="J1076">
        <f>($B$1+Table4[[#This Row],[Home Differential]])-Table4[[#This Row],[Away Differential]]</f>
        <v>0.14142157003182482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0.55364038853559738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-0.16816097389287935</v>
      </c>
      <c r="H1077" t="s">
        <v>29</v>
      </c>
      <c r="I1077">
        <f>VLOOKUP(Table4[[#This Row],[Visitor]],'NHL Model'!$A$6:$B$38,2,FALSE)</f>
        <v>-0.48381480045860298</v>
      </c>
      <c r="J1077">
        <f>($B$1+Table4[[#This Row],[Home Differential]])-Table4[[#This Row],[Away Differential]]</f>
        <v>0.45249040432585624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0.58364358932124183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-0.30466872127922601</v>
      </c>
      <c r="H1078" t="s">
        <v>27</v>
      </c>
      <c r="I1078">
        <f>VLOOKUP(Table4[[#This Row],[Visitor]],'NHL Model'!$A$6:$B$38,2,FALSE)</f>
        <v>-7.417166684134277E-2</v>
      </c>
      <c r="J1078">
        <f>($B$1+Table4[[#This Row],[Home Differential]])-Table4[[#This Row],[Away Differential]]</f>
        <v>-9.3660476677750626E-2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0.45528120166227704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0.33829893848778331</v>
      </c>
      <c r="H1079" t="s">
        <v>14</v>
      </c>
      <c r="I1079">
        <f>VLOOKUP(Table4[[#This Row],[Visitor]],'NHL Model'!$A$6:$B$38,2,FALSE)</f>
        <v>1.1343608350765873E-2</v>
      </c>
      <c r="J1079">
        <f>($B$1+Table4[[#This Row],[Home Differential]])-Table4[[#This Row],[Away Differential]]</f>
        <v>0.46379190789715008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0.6061371503370705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-0.54997285633810766</v>
      </c>
      <c r="H1080" t="s">
        <v>35</v>
      </c>
      <c r="I1080">
        <f>VLOOKUP(Table4[[#This Row],[Visitor]],'NHL Model'!$A$6:$B$38,2,FALSE)</f>
        <v>-0.9803970267772969</v>
      </c>
      <c r="J1080">
        <f>($B$1+Table4[[#This Row],[Home Differential]])-Table4[[#This Row],[Away Differential]]</f>
        <v>0.56726074819932182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0.60873003518274793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1.7070031799067014</v>
      </c>
      <c r="H1081" t="s">
        <v>39</v>
      </c>
      <c r="I1081">
        <f>VLOOKUP(Table4[[#This Row],[Visitor]],'NHL Model'!$A$6:$B$38,2,FALSE)</f>
        <v>0.5231745585052443</v>
      </c>
      <c r="J1081">
        <f>($B$1+Table4[[#This Row],[Home Differential]])-Table4[[#This Row],[Away Differential]]</f>
        <v>1.3206651991615896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0.72689531865881152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-0.36341023830385849</v>
      </c>
      <c r="H1082" t="s">
        <v>24</v>
      </c>
      <c r="I1082">
        <f>VLOOKUP(Table4[[#This Row],[Visitor]],'NHL Model'!$A$6:$B$38,2,FALSE)</f>
        <v>-0.27466957136179609</v>
      </c>
      <c r="J1082">
        <f>($B$1+Table4[[#This Row],[Home Differential]])-Table4[[#This Row],[Away Differential]]</f>
        <v>4.8095910818070214E-2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0.53405070988506742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0.34677881456804194</v>
      </c>
      <c r="H1083" t="s">
        <v>36</v>
      </c>
      <c r="I1083">
        <f>VLOOKUP(Table4[[#This Row],[Visitor]],'NHL Model'!$A$6:$B$38,2,FALSE)</f>
        <v>-7.2312572939580336E-2</v>
      </c>
      <c r="J1083">
        <f>($B$1+Table4[[#This Row],[Home Differential]])-Table4[[#This Row],[Away Differential]]</f>
        <v>0.5559279652677549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0.59298382957152707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0.17390560158361429</v>
      </c>
      <c r="H1084" t="s">
        <v>40</v>
      </c>
      <c r="I1084">
        <f>VLOOKUP(Table4[[#This Row],[Visitor]],'NHL Model'!$A$6:$B$38,2,FALSE)</f>
        <v>-0.16816097389287935</v>
      </c>
      <c r="J1084">
        <f>($B$1+Table4[[#This Row],[Home Differential]])-Table4[[#This Row],[Away Differential]]</f>
        <v>0.47890315323662624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0.61222888674350828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-0.29093210318822477</v>
      </c>
      <c r="H1085" t="s">
        <v>15</v>
      </c>
      <c r="I1085">
        <f>VLOOKUP(Table4[[#This Row],[Visitor]],'NHL Model'!$A$6:$B$38,2,FALSE)</f>
        <v>-0.36341023830385849</v>
      </c>
      <c r="J1085">
        <f>($B$1+Table4[[#This Row],[Home Differential]])-Table4[[#This Row],[Away Differential]]</f>
        <v>0.20931471287576633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0.48756564656714968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-4.6015351177631898E-2</v>
      </c>
      <c r="H1086" t="s">
        <v>18</v>
      </c>
      <c r="I1086">
        <f>VLOOKUP(Table4[[#This Row],[Visitor]],'NHL Model'!$A$6:$B$38,2,FALSE)</f>
        <v>6.8462291869218858E-2</v>
      </c>
      <c r="J1086">
        <f>($B$1+Table4[[#This Row],[Home Differential]])-Table4[[#This Row],[Away Differential]]</f>
        <v>2.2358934713281861E-2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0.53318109424655291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3.922199270086173E-4</v>
      </c>
      <c r="H1087" t="s">
        <v>11</v>
      </c>
      <c r="I1087">
        <f>VLOOKUP(Table4[[#This Row],[Visitor]],'NHL Model'!$A$6:$B$38,2,FALSE)</f>
        <v>-7.4962464446554744E-2</v>
      </c>
      <c r="J1087">
        <f>($B$1+Table4[[#This Row],[Home Differential]])-Table4[[#This Row],[Away Differential]]</f>
        <v>0.21219126213369596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0.53146870949545266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-0.14985965438623808</v>
      </c>
      <c r="H1088" t="s">
        <v>27</v>
      </c>
      <c r="I1088">
        <f>VLOOKUP(Table4[[#This Row],[Visitor]],'NHL Model'!$A$6:$B$38,2,FALSE)</f>
        <v>-7.417166684134277E-2</v>
      </c>
      <c r="J1088">
        <f>($B$1+Table4[[#This Row],[Home Differential]])-Table4[[#This Row],[Away Differential]]</f>
        <v>6.1148590215237303E-2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0.53729434038811641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0.32232840463649798</v>
      </c>
      <c r="H1089" t="s">
        <v>10</v>
      </c>
      <c r="I1089">
        <f>VLOOKUP(Table4[[#This Row],[Visitor]],'NHL Model'!$A$6:$B$38,2,FALSE)</f>
        <v>-0.43286905189715857</v>
      </c>
      <c r="J1089">
        <f>($B$1+Table4[[#This Row],[Home Differential]])-Table4[[#This Row],[Away Differential]]</f>
        <v>0.89203403429378914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0.6268038278107585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-0.48381480045860298</v>
      </c>
      <c r="H1090" t="s">
        <v>32</v>
      </c>
      <c r="I1090">
        <f>VLOOKUP(Table4[[#This Row],[Visitor]],'NHL Model'!$A$6:$B$38,2,FALSE)</f>
        <v>-0.21579108793246188</v>
      </c>
      <c r="J1090">
        <f>($B$1+Table4[[#This Row],[Home Differential]])-Table4[[#This Row],[Away Differential]]</f>
        <v>-0.13118713476600846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0.48233728787111024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-7.2312572939580336E-2</v>
      </c>
      <c r="H1091" t="s">
        <v>30</v>
      </c>
      <c r="I1091">
        <f>VLOOKUP(Table4[[#This Row],[Visitor]],'NHL Model'!$A$6:$B$38,2,FALSE)</f>
        <v>0.25279292855900759</v>
      </c>
      <c r="J1091">
        <f>($B$1+Table4[[#This Row],[Home Differential]])-Table4[[#This Row],[Away Differential]]</f>
        <v>-0.18826892373845533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0.49892813869532265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-0.3566847028170323</v>
      </c>
      <c r="H1092" t="s">
        <v>23</v>
      </c>
      <c r="I1092">
        <f>VLOOKUP(Table4[[#This Row],[Visitor]],'NHL Model'!$A$6:$B$38,2,FALSE)</f>
        <v>0.13483877693289487</v>
      </c>
      <c r="J1092">
        <f>($B$1+Table4[[#This Row],[Home Differential]])-Table4[[#This Row],[Away Differential]]</f>
        <v>-0.35468690198979458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0.4942102491899884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-0.87254503056606192</v>
      </c>
      <c r="H1093" t="s">
        <v>37</v>
      </c>
      <c r="I1093">
        <f>VLOOKUP(Table4[[#This Row],[Visitor]],'NHL Model'!$A$6:$B$38,2,FALSE)</f>
        <v>0.98607049252714107</v>
      </c>
      <c r="J1093">
        <f>($B$1+Table4[[#This Row],[Home Differential]])-Table4[[#This Row],[Away Differential]]</f>
        <v>-1.7217789453330705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0.73349219613651673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0.1394237692045871</v>
      </c>
      <c r="H1094" t="s">
        <v>55</v>
      </c>
      <c r="I1094">
        <f>VLOOKUP(Table4[[#This Row],[Visitor]],'NHL Model'!$A$6:$B$38,2,FALSE)</f>
        <v>0.27119018820614604</v>
      </c>
      <c r="J1094">
        <f>($B$1+Table4[[#This Row],[Home Differential]])-Table4[[#This Row],[Away Differential]]</f>
        <v>5.0701587585736396E-3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0.5404890267827499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-0.54997285633810766</v>
      </c>
      <c r="H1095" t="s">
        <v>11</v>
      </c>
      <c r="I1095">
        <f>VLOOKUP(Table4[[#This Row],[Visitor]],'NHL Model'!$A$6:$B$38,2,FALSE)</f>
        <v>-7.4962464446554744E-2</v>
      </c>
      <c r="J1095">
        <f>($B$1+Table4[[#This Row],[Home Differential]])-Table4[[#This Row],[Away Differential]]</f>
        <v>-0.33817381413142034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0.51206958418752191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-0.43286905189715857</v>
      </c>
      <c r="H1096" t="s">
        <v>12</v>
      </c>
      <c r="I1096">
        <f>VLOOKUP(Table4[[#This Row],[Visitor]],'NHL Model'!$A$6:$B$38,2,FALSE)</f>
        <v>1.7070031799067014</v>
      </c>
      <c r="J1096">
        <f>($B$1+Table4[[#This Row],[Home Differential]])-Table4[[#This Row],[Away Differential]]</f>
        <v>-2.0030356540437273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0.72309831751412856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4.3410611683700091E-2</v>
      </c>
      <c r="H1097" t="s">
        <v>25</v>
      </c>
      <c r="I1097">
        <f>VLOOKUP(Table4[[#This Row],[Visitor]],'NHL Model'!$A$6:$B$38,2,FALSE)</f>
        <v>0.33829893848778331</v>
      </c>
      <c r="J1097">
        <f>($B$1+Table4[[#This Row],[Home Differential]])-Table4[[#This Row],[Away Differential]]</f>
        <v>-0.15805174904395061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0.48512392007691302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0.27119018820614604</v>
      </c>
      <c r="H1098" t="s">
        <v>31</v>
      </c>
      <c r="I1098">
        <f>VLOOKUP(Table4[[#This Row],[Visitor]],'NHL Model'!$A$6:$B$38,2,FALSE)</f>
        <v>-0.30466872127922601</v>
      </c>
      <c r="J1098">
        <f>($B$1+Table4[[#This Row],[Home Differential]])-Table4[[#This Row],[Away Differential]]</f>
        <v>0.71269548724550469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0.62275750176169153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0.34677881456804194</v>
      </c>
      <c r="H1099" t="s">
        <v>24</v>
      </c>
      <c r="I1099">
        <f>VLOOKUP(Table4[[#This Row],[Visitor]],'NHL Model'!$A$6:$B$38,2,FALSE)</f>
        <v>-0.27466957136179609</v>
      </c>
      <c r="J1099">
        <f>($B$1+Table4[[#This Row],[Home Differential]])-Table4[[#This Row],[Away Differential]]</f>
        <v>0.75828496368997067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0.61159961437955368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-0.29093210318822477</v>
      </c>
      <c r="H1100" t="s">
        <v>32</v>
      </c>
      <c r="I1100">
        <f>VLOOKUP(Table4[[#This Row],[Visitor]],'NHL Model'!$A$6:$B$38,2,FALSE)</f>
        <v>-0.21579108793246188</v>
      </c>
      <c r="J1100">
        <f>($B$1+Table4[[#This Row],[Home Differential]])-Table4[[#This Row],[Away Differential]]</f>
        <v>6.1695562504369722E-2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0.53626662758513799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-4.6015351177631898E-2</v>
      </c>
      <c r="H1101" t="s">
        <v>21</v>
      </c>
      <c r="I1101">
        <f>VLOOKUP(Table4[[#This Row],[Visitor]],'NHL Model'!$A$6:$B$38,2,FALSE)</f>
        <v>0.17390560158361429</v>
      </c>
      <c r="J1101">
        <f>($B$1+Table4[[#This Row],[Home Differential]])-Table4[[#This Row],[Away Differential]]</f>
        <v>-8.308437500111357E-2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0.42619546953639881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3.922199270086173E-4</v>
      </c>
      <c r="H1102" t="s">
        <v>37</v>
      </c>
      <c r="I1102">
        <f>VLOOKUP(Table4[[#This Row],[Visitor]],'NHL Model'!$A$6:$B$38,2,FALSE)</f>
        <v>0.98607049252714107</v>
      </c>
      <c r="J1102">
        <f>($B$1+Table4[[#This Row],[Home Differential]])-Table4[[#This Row],[Away Differential]]</f>
        <v>-0.84884169483999983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0.6447863580023423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-0.14985965438623808</v>
      </c>
      <c r="H1103" t="s">
        <v>23</v>
      </c>
      <c r="I1103">
        <f>VLOOKUP(Table4[[#This Row],[Visitor]],'NHL Model'!$A$6:$B$38,2,FALSE)</f>
        <v>0.13483877693289487</v>
      </c>
      <c r="J1103">
        <f>($B$1+Table4[[#This Row],[Home Differential]])-Table4[[#This Row],[Away Differential]]</f>
        <v>-0.14786185355900033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0.47426156654663421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0.32232840463649798</v>
      </c>
      <c r="H1104" t="s">
        <v>39</v>
      </c>
      <c r="I1104">
        <f>VLOOKUP(Table4[[#This Row],[Visitor]],'NHL Model'!$A$6:$B$38,2,FALSE)</f>
        <v>0.5231745585052443</v>
      </c>
      <c r="J1104">
        <f>($B$1+Table4[[#This Row],[Home Differential]])-Table4[[#This Row],[Away Differential]]</f>
        <v>-6.4009576108613686E-2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0.52193316181165506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6.8462291869218858E-2</v>
      </c>
      <c r="H1105" t="s">
        <v>30</v>
      </c>
      <c r="I1105">
        <f>VLOOKUP(Table4[[#This Row],[Visitor]],'NHL Model'!$A$6:$B$38,2,FALSE)</f>
        <v>0.25279292855900759</v>
      </c>
      <c r="J1105">
        <f>($B$1+Table4[[#This Row],[Home Differential]])-Table4[[#This Row],[Away Differential]]</f>
        <v>-4.7494058929656136E-2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0.48458089538100368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-0.48381480045860298</v>
      </c>
      <c r="H1106" t="s">
        <v>20</v>
      </c>
      <c r="I1106">
        <f>VLOOKUP(Table4[[#This Row],[Visitor]],'NHL Model'!$A$6:$B$38,2,FALSE)</f>
        <v>0.1394237692045871</v>
      </c>
      <c r="J1106">
        <f>($B$1+Table4[[#This Row],[Home Differential]])-Table4[[#This Row],[Away Differential]]</f>
        <v>-0.48640199190305744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0.53831492003081349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-7.2312572939580336E-2</v>
      </c>
      <c r="H1107" t="s">
        <v>19</v>
      </c>
      <c r="I1107">
        <f>VLOOKUP(Table4[[#This Row],[Visitor]],'NHL Model'!$A$6:$B$38,2,FALSE)</f>
        <v>4.3410611683700091E-2</v>
      </c>
      <c r="J1107">
        <f>($B$1+Table4[[#This Row],[Home Differential]])-Table4[[#This Row],[Away Differential]]</f>
        <v>2.1113393136852183E-2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0.54203642828761323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1.1343608350765873E-2</v>
      </c>
      <c r="H1108" t="s">
        <v>40</v>
      </c>
      <c r="I1108">
        <f>VLOOKUP(Table4[[#This Row],[Visitor]],'NHL Model'!$A$6:$B$38,2,FALSE)</f>
        <v>-0.16816097389287935</v>
      </c>
      <c r="J1108">
        <f>($B$1+Table4[[#This Row],[Home Differential]])-Table4[[#This Row],[Away Differential]]</f>
        <v>0.31634116000377782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0.57051172696839714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-0.3566847028170323</v>
      </c>
      <c r="H1109" t="s">
        <v>27</v>
      </c>
      <c r="I1109">
        <f>VLOOKUP(Table4[[#This Row],[Visitor]],'NHL Model'!$A$6:$B$38,2,FALSE)</f>
        <v>-7.417166684134277E-2</v>
      </c>
      <c r="J1109">
        <f>($B$1+Table4[[#This Row],[Home Differential]])-Table4[[#This Row],[Away Differential]]</f>
        <v>-0.14567645821555691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0.48265434225523768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-0.87254503056606192</v>
      </c>
      <c r="H1110" t="s">
        <v>35</v>
      </c>
      <c r="I1110">
        <f>VLOOKUP(Table4[[#This Row],[Visitor]],'NHL Model'!$A$6:$B$38,2,FALSE)</f>
        <v>-0.9803970267772969</v>
      </c>
      <c r="J1110">
        <f>($B$1+Table4[[#This Row],[Home Differential]])-Table4[[#This Row],[Away Differential]]</f>
        <v>0.24468857397136756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0.56360069414050218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-0.30466872127922601</v>
      </c>
      <c r="H1111" t="s">
        <v>23</v>
      </c>
      <c r="I1111">
        <f>VLOOKUP(Table4[[#This Row],[Visitor]],'NHL Model'!$A$6:$B$38,2,FALSE)</f>
        <v>0.13483877693289487</v>
      </c>
      <c r="J1111">
        <f>($B$1+Table4[[#This Row],[Home Differential]])-Table4[[#This Row],[Away Differential]]</f>
        <v>-0.30267092045198829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0.46690946845683012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-0.54997285633810766</v>
      </c>
      <c r="H1112" t="s">
        <v>37</v>
      </c>
      <c r="I1112">
        <f>VLOOKUP(Table4[[#This Row],[Visitor]],'NHL Model'!$A$6:$B$38,2,FALSE)</f>
        <v>0.98607049252714107</v>
      </c>
      <c r="J1112">
        <f>($B$1+Table4[[#This Row],[Home Differential]])-Table4[[#This Row],[Away Differential]]</f>
        <v>-1.3992067711051162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0.68844461671127655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-0.43286905189715857</v>
      </c>
      <c r="H1113" t="s">
        <v>29</v>
      </c>
      <c r="I1113">
        <f>VLOOKUP(Table4[[#This Row],[Visitor]],'NHL Model'!$A$6:$B$38,2,FALSE)</f>
        <v>-0.48381480045860298</v>
      </c>
      <c r="J1113">
        <f>($B$1+Table4[[#This Row],[Home Differential]])-Table4[[#This Row],[Away Differential]]</f>
        <v>0.18778232632157704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0.5581119746483385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0.5231745585052443</v>
      </c>
      <c r="H1114" t="s">
        <v>20</v>
      </c>
      <c r="I1114">
        <f>VLOOKUP(Table4[[#This Row],[Visitor]],'NHL Model'!$A$6:$B$38,2,FALSE)</f>
        <v>0.1394237692045871</v>
      </c>
      <c r="J1114">
        <f>($B$1+Table4[[#This Row],[Home Differential]])-Table4[[#This Row],[Away Differential]]</f>
        <v>0.52058736706078979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0.57293894801722189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0.25279292855900759</v>
      </c>
      <c r="H1115" t="s">
        <v>28</v>
      </c>
      <c r="I1115">
        <f>VLOOKUP(Table4[[#This Row],[Visitor]],'NHL Model'!$A$6:$B$38,2,FALSE)</f>
        <v>-0.29093210318822477</v>
      </c>
      <c r="J1115">
        <f>($B$1+Table4[[#This Row],[Home Differential]])-Table4[[#This Row],[Away Differential]]</f>
        <v>0.680561609507365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0.62474693687375049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-0.36341023830385849</v>
      </c>
      <c r="H1116" t="s">
        <v>40</v>
      </c>
      <c r="I1116">
        <f>VLOOKUP(Table4[[#This Row],[Visitor]],'NHL Model'!$A$6:$B$38,2,FALSE)</f>
        <v>-0.16816097389287935</v>
      </c>
      <c r="J1116">
        <f>($B$1+Table4[[#This Row],[Home Differential]])-Table4[[#This Row],[Away Differential]]</f>
        <v>-5.8412686650846535E-2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0.46563401849623326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1.1343608350765873E-2</v>
      </c>
      <c r="H1117" t="s">
        <v>25</v>
      </c>
      <c r="I1117">
        <f>VLOOKUP(Table4[[#This Row],[Visitor]],'NHL Model'!$A$6:$B$38,2,FALSE)</f>
        <v>0.33829893848778331</v>
      </c>
      <c r="J1117">
        <f>($B$1+Table4[[#This Row],[Home Differential]])-Table4[[#This Row],[Away Differential]]</f>
        <v>-0.19011875237688483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0.52084989035003348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0.27119018820614604</v>
      </c>
      <c r="H1118" t="s">
        <v>13</v>
      </c>
      <c r="I1118">
        <f>VLOOKUP(Table4[[#This Row],[Visitor]],'NHL Model'!$A$6:$B$38,2,FALSE)</f>
        <v>-0.14985965438623808</v>
      </c>
      <c r="J1118">
        <f>($B$1+Table4[[#This Row],[Home Differential]])-Table4[[#This Row],[Away Differential]]</f>
        <v>0.55788642035251668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0.57653651505593195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0.34677881456804194</v>
      </c>
      <c r="H1119" t="s">
        <v>12</v>
      </c>
      <c r="I1119">
        <f>VLOOKUP(Table4[[#This Row],[Visitor]],'NHL Model'!$A$6:$B$38,2,FALSE)</f>
        <v>1.7070031799067014</v>
      </c>
      <c r="J1119">
        <f>($B$1+Table4[[#This Row],[Home Differential]])-Table4[[#This Row],[Away Differential]]</f>
        <v>-1.2233877875785268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0.6388314912417814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-0.36341023830385849</v>
      </c>
      <c r="H1120" t="s">
        <v>36</v>
      </c>
      <c r="I1120">
        <f>VLOOKUP(Table4[[#This Row],[Visitor]],'NHL Model'!$A$6:$B$38,2,FALSE)</f>
        <v>-7.2312572939580336E-2</v>
      </c>
      <c r="J1120">
        <f>($B$1+Table4[[#This Row],[Home Differential]])-Table4[[#This Row],[Away Differential]]</f>
        <v>-0.15426108760414553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0.48456281599736006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0.17390560158361429</v>
      </c>
      <c r="H1121" t="s">
        <v>19</v>
      </c>
      <c r="I1121">
        <f>VLOOKUP(Table4[[#This Row],[Visitor]],'NHL Model'!$A$6:$B$38,2,FALSE)</f>
        <v>4.3410611683700091E-2</v>
      </c>
      <c r="J1121">
        <f>($B$1+Table4[[#This Row],[Home Differential]])-Table4[[#This Row],[Away Differential]]</f>
        <v>0.26733156766004684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0.59182239125836067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-0.54997285633810766</v>
      </c>
      <c r="H1122" t="s">
        <v>13</v>
      </c>
      <c r="I1122">
        <f>VLOOKUP(Table4[[#This Row],[Visitor]],'NHL Model'!$A$6:$B$38,2,FALSE)</f>
        <v>-0.14985965438623808</v>
      </c>
      <c r="J1122">
        <f>($B$1+Table4[[#This Row],[Home Differential]])-Table4[[#This Row],[Away Differential]]</f>
        <v>-0.26327662419173703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0.50266627541045195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0.5231745585052443</v>
      </c>
      <c r="H1123" t="s">
        <v>24</v>
      </c>
      <c r="I1123">
        <f>VLOOKUP(Table4[[#This Row],[Visitor]],'NHL Model'!$A$6:$B$38,2,FALSE)</f>
        <v>-0.27466957136179609</v>
      </c>
      <c r="J1123">
        <f>($B$1+Table4[[#This Row],[Home Differential]])-Table4[[#This Row],[Away Differential]]</f>
        <v>0.93468070762717304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0.63363005317319054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-4.6015351177631898E-2</v>
      </c>
      <c r="H1124" t="s">
        <v>36</v>
      </c>
      <c r="I1124">
        <f>VLOOKUP(Table4[[#This Row],[Visitor]],'NHL Model'!$A$6:$B$38,2,FALSE)</f>
        <v>-7.2312572939580336E-2</v>
      </c>
      <c r="J1124">
        <f>($B$1+Table4[[#This Row],[Home Differential]])-Table4[[#This Row],[Away Differential]]</f>
        <v>0.16313379952208107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0.58805183859759225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-7.4962464446554744E-2</v>
      </c>
      <c r="H1125" t="s">
        <v>32</v>
      </c>
      <c r="I1125">
        <f>VLOOKUP(Table4[[#This Row],[Visitor]],'NHL Model'!$A$6:$B$38,2,FALSE)</f>
        <v>-0.21579108793246188</v>
      </c>
      <c r="J1125">
        <f>($B$1+Table4[[#This Row],[Home Differential]])-Table4[[#This Row],[Away Differential]]</f>
        <v>0.27766520124603977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0.55709732394684608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6.8462291869218858E-2</v>
      </c>
      <c r="H1126" t="s">
        <v>25</v>
      </c>
      <c r="I1126">
        <f>VLOOKUP(Table4[[#This Row],[Visitor]],'NHL Model'!$A$6:$B$38,2,FALSE)</f>
        <v>0.33829893848778331</v>
      </c>
      <c r="J1126">
        <f>($B$1+Table4[[#This Row],[Home Differential]])-Table4[[#This Row],[Away Differential]]</f>
        <v>-0.13300006885843185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0.51457027846525683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-0.48381480045860298</v>
      </c>
      <c r="H1127" t="s">
        <v>33</v>
      </c>
      <c r="I1127">
        <f>VLOOKUP(Table4[[#This Row],[Visitor]],'NHL Model'!$A$6:$B$38,2,FALSE)</f>
        <v>-0.3566847028170323</v>
      </c>
      <c r="J1127">
        <f>($B$1+Table4[[#This Row],[Home Differential]])-Table4[[#This Row],[Away Differential]]</f>
        <v>9.7064801185619554E-3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0.52016697832603276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0.25279292855900759</v>
      </c>
      <c r="H1128" t="s">
        <v>10</v>
      </c>
      <c r="I1128">
        <f>VLOOKUP(Table4[[#This Row],[Visitor]],'NHL Model'!$A$6:$B$38,2,FALSE)</f>
        <v>-0.43286905189715857</v>
      </c>
      <c r="J1128">
        <f>($B$1+Table4[[#This Row],[Home Differential]])-Table4[[#This Row],[Away Differential]]</f>
        <v>0.82249855821629869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0.63843703469624891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-7.417166684134277E-2</v>
      </c>
      <c r="H1129" t="s">
        <v>28</v>
      </c>
      <c r="I1129">
        <f>VLOOKUP(Table4[[#This Row],[Visitor]],'NHL Model'!$A$6:$B$38,2,FALSE)</f>
        <v>-0.29093210318822477</v>
      </c>
      <c r="J1129">
        <f>($B$1+Table4[[#This Row],[Home Differential]])-Table4[[#This Row],[Away Differential]]</f>
        <v>0.35359701410701461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0.57410512736042585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1.1343608350765873E-2</v>
      </c>
      <c r="H1130" t="s">
        <v>12</v>
      </c>
      <c r="I1130">
        <f>VLOOKUP(Table4[[#This Row],[Visitor]],'NHL Model'!$A$6:$B$38,2,FALSE)</f>
        <v>1.7070031799067014</v>
      </c>
      <c r="J1130">
        <f>($B$1+Table4[[#This Row],[Home Differential]])-Table4[[#This Row],[Away Differential]]</f>
        <v>-1.5588229937958029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0.68025313288741684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-0.9803970267772969</v>
      </c>
      <c r="H1131" t="s">
        <v>22</v>
      </c>
      <c r="I1131">
        <f>VLOOKUP(Table4[[#This Row],[Visitor]],'NHL Model'!$A$6:$B$38,2,FALSE)</f>
        <v>0.34677881456804194</v>
      </c>
      <c r="J1131">
        <f>($B$1+Table4[[#This Row],[Home Differential]])-Table4[[#This Row],[Away Differential]]</f>
        <v>-1.1903392635852064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0.57481056277925058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0.98607049252714107</v>
      </c>
      <c r="H1132" t="s">
        <v>34</v>
      </c>
      <c r="I1132">
        <f>VLOOKUP(Table4[[#This Row],[Visitor]],'NHL Model'!$A$6:$B$38,2,FALSE)</f>
        <v>0.32232840463649798</v>
      </c>
      <c r="J1132">
        <f>($B$1+Table4[[#This Row],[Home Differential]])-Table4[[#This Row],[Away Differential]]</f>
        <v>0.80057866565077562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0.57994962708001085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0.27119018820614604</v>
      </c>
      <c r="H1133" t="s">
        <v>17</v>
      </c>
      <c r="I1133">
        <f>VLOOKUP(Table4[[#This Row],[Visitor]],'NHL Model'!$A$6:$B$38,2,FALSE)</f>
        <v>3.922199270086173E-4</v>
      </c>
      <c r="J1133">
        <f>($B$1+Table4[[#This Row],[Home Differential]])-Table4[[#This Row],[Away Differential]]</f>
        <v>0.40763454603927002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0.59333377407890842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-0.87254503056606192</v>
      </c>
      <c r="H1134" t="s">
        <v>31</v>
      </c>
      <c r="I1134">
        <f>VLOOKUP(Table4[[#This Row],[Visitor]],'NHL Model'!$A$6:$B$38,2,FALSE)</f>
        <v>-0.30466872127922601</v>
      </c>
      <c r="J1134">
        <f>($B$1+Table4[[#This Row],[Home Differential]])-Table4[[#This Row],[Away Differential]]</f>
        <v>-0.43103973152670333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0.50157462974693812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-0.16816097389287935</v>
      </c>
      <c r="H1135" t="s">
        <v>20</v>
      </c>
      <c r="I1135">
        <f>VLOOKUP(Table4[[#This Row],[Visitor]],'NHL Model'!$A$6:$B$38,2,FALSE)</f>
        <v>0.1394237692045871</v>
      </c>
      <c r="J1135">
        <f>($B$1+Table4[[#This Row],[Home Differential]])-Table4[[#This Row],[Away Differential]]</f>
        <v>-0.17074816533733383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0.50786948772416041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0.13483877693289487</v>
      </c>
      <c r="H1136" t="s">
        <v>21</v>
      </c>
      <c r="I1136">
        <f>VLOOKUP(Table4[[#This Row],[Visitor]],'NHL Model'!$A$6:$B$38,2,FALSE)</f>
        <v>0.17390560158361429</v>
      </c>
      <c r="J1136">
        <f>($B$1+Table4[[#This Row],[Home Differential]])-Table4[[#This Row],[Away Differential]]</f>
        <v>9.7769753109413216E-2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0.59582570653133404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4.3410611683700091E-2</v>
      </c>
      <c r="H1137" t="s">
        <v>15</v>
      </c>
      <c r="I1137">
        <f>VLOOKUP(Table4[[#This Row],[Visitor]],'NHL Model'!$A$6:$B$38,2,FALSE)</f>
        <v>-0.36341023830385849</v>
      </c>
      <c r="J1137">
        <f>($B$1+Table4[[#This Row],[Home Differential]])-Table4[[#This Row],[Away Differential]]</f>
        <v>0.54365742774769121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0.55243682801055838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-0.54997285633810766</v>
      </c>
      <c r="H1138" t="s">
        <v>31</v>
      </c>
      <c r="I1138">
        <f>VLOOKUP(Table4[[#This Row],[Visitor]],'NHL Model'!$A$6:$B$38,2,FALSE)</f>
        <v>-0.30466872127922601</v>
      </c>
      <c r="J1138">
        <f>($B$1+Table4[[#This Row],[Home Differential]])-Table4[[#This Row],[Away Differential]]</f>
        <v>-0.10846755729874907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0.45644528870469231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-7.4962464446554744E-2</v>
      </c>
      <c r="H1139" t="s">
        <v>34</v>
      </c>
      <c r="I1139">
        <f>VLOOKUP(Table4[[#This Row],[Visitor]],'NHL Model'!$A$6:$B$38,2,FALSE)</f>
        <v>0.32232840463649798</v>
      </c>
      <c r="J1139">
        <f>($B$1+Table4[[#This Row],[Home Differential]])-Table4[[#This Row],[Away Differential]]</f>
        <v>-0.26045429132292008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0.53652966847225003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6.8462291869218858E-2</v>
      </c>
      <c r="H1140" t="s">
        <v>28</v>
      </c>
      <c r="I1140">
        <f>VLOOKUP(Table4[[#This Row],[Visitor]],'NHL Model'!$A$6:$B$38,2,FALSE)</f>
        <v>-0.29093210318822477</v>
      </c>
      <c r="J1140">
        <f>($B$1+Table4[[#This Row],[Home Differential]])-Table4[[#This Row],[Away Differential]]</f>
        <v>0.49623097281757622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0.588627844183229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-0.48381480045860298</v>
      </c>
      <c r="H1141" t="s">
        <v>24</v>
      </c>
      <c r="I1141">
        <f>VLOOKUP(Table4[[#This Row],[Visitor]],'NHL Model'!$A$6:$B$38,2,FALSE)</f>
        <v>-0.27466957136179609</v>
      </c>
      <c r="J1141">
        <f>($B$1+Table4[[#This Row],[Home Differential]])-Table4[[#This Row],[Away Differential]]</f>
        <v>-7.2308651336674246E-2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0.47756254691076366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0.25279292855900759</v>
      </c>
      <c r="H1142" t="s">
        <v>39</v>
      </c>
      <c r="I1142">
        <f>VLOOKUP(Table4[[#This Row],[Visitor]],'NHL Model'!$A$6:$B$38,2,FALSE)</f>
        <v>0.5231745585052443</v>
      </c>
      <c r="J1142">
        <f>($B$1+Table4[[#This Row],[Home Differential]])-Table4[[#This Row],[Away Differential]]</f>
        <v>-0.13354505218610413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0.51011825196095029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-7.2312572939580336E-2</v>
      </c>
      <c r="H1143" t="s">
        <v>14</v>
      </c>
      <c r="I1143">
        <f>VLOOKUP(Table4[[#This Row],[Visitor]],'NHL Model'!$A$6:$B$38,2,FALSE)</f>
        <v>1.1343608350765873E-2</v>
      </c>
      <c r="J1143">
        <f>($B$1+Table4[[#This Row],[Home Differential]])-Table4[[#This Row],[Away Differential]]</f>
        <v>5.3180396469786402E-2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0.52436012304972179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-7.417166684134277E-2</v>
      </c>
      <c r="H1144" t="s">
        <v>10</v>
      </c>
      <c r="I1144">
        <f>VLOOKUP(Table4[[#This Row],[Visitor]],'NHL Model'!$A$6:$B$38,2,FALSE)</f>
        <v>-0.43286905189715857</v>
      </c>
      <c r="J1144">
        <f>($B$1+Table4[[#This Row],[Home Differential]])-Table4[[#This Row],[Away Differential]]</f>
        <v>0.49553396281594841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0.58779522518292437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-0.9803970267772969</v>
      </c>
      <c r="H1145" t="s">
        <v>33</v>
      </c>
      <c r="I1145">
        <f>VLOOKUP(Table4[[#This Row],[Visitor]],'NHL Model'!$A$6:$B$38,2,FALSE)</f>
        <v>-0.3566847028170323</v>
      </c>
      <c r="J1145">
        <f>($B$1+Table4[[#This Row],[Home Differential]])-Table4[[#This Row],[Away Differential]]</f>
        <v>-0.48687574620013202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0.52772935393314535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0.98607049252714107</v>
      </c>
      <c r="H1146" t="s">
        <v>32</v>
      </c>
      <c r="I1146">
        <f>VLOOKUP(Table4[[#This Row],[Visitor]],'NHL Model'!$A$6:$B$38,2,FALSE)</f>
        <v>-0.21579108793246188</v>
      </c>
      <c r="J1146">
        <f>($B$1+Table4[[#This Row],[Home Differential]])-Table4[[#This Row],[Away Differential]]</f>
        <v>1.3386981582197355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0.6734987681399045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0.27119018820614604</v>
      </c>
      <c r="H1147" t="s">
        <v>22</v>
      </c>
      <c r="I1147">
        <f>VLOOKUP(Table4[[#This Row],[Visitor]],'NHL Model'!$A$6:$B$38,2,FALSE)</f>
        <v>0.34677881456804194</v>
      </c>
      <c r="J1147">
        <f>($B$1+Table4[[#This Row],[Home Differential]])-Table4[[#This Row],[Away Differential]]</f>
        <v>6.1247951398236689E-2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0.5599241058552924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-0.87254503056606192</v>
      </c>
      <c r="H1148" t="s">
        <v>13</v>
      </c>
      <c r="I1148">
        <f>VLOOKUP(Table4[[#This Row],[Visitor]],'NHL Model'!$A$6:$B$38,2,FALSE)</f>
        <v>-0.14985965438623808</v>
      </c>
      <c r="J1148">
        <f>($B$1+Table4[[#This Row],[Home Differential]])-Table4[[#This Row],[Away Differential]]</f>
        <v>-0.58584879841969129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0.5479067600818468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0.1394237692045871</v>
      </c>
      <c r="H1149" t="s">
        <v>17</v>
      </c>
      <c r="I1149">
        <f>VLOOKUP(Table4[[#This Row],[Visitor]],'NHL Model'!$A$6:$B$38,2,FALSE)</f>
        <v>3.922199270086173E-4</v>
      </c>
      <c r="J1149">
        <f>($B$1+Table4[[#This Row],[Home Differential]])-Table4[[#This Row],[Away Differential]]</f>
        <v>0.27586812703771108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0.56660802334845461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-0.16816097389287935</v>
      </c>
      <c r="H1150" t="s">
        <v>12</v>
      </c>
      <c r="I1150">
        <f>VLOOKUP(Table4[[#This Row],[Visitor]],'NHL Model'!$A$6:$B$38,2,FALSE)</f>
        <v>1.7070031799067014</v>
      </c>
      <c r="J1150">
        <f>($B$1+Table4[[#This Row],[Home Differential]])-Table4[[#This Row],[Away Differential]]</f>
        <v>-1.7383275760394481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0.69756670284122513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0.13483877693289487</v>
      </c>
      <c r="H1151" t="s">
        <v>26</v>
      </c>
      <c r="I1151">
        <f>VLOOKUP(Table4[[#This Row],[Visitor]],'NHL Model'!$A$6:$B$38,2,FALSE)</f>
        <v>-4.6015351177631898E-2</v>
      </c>
      <c r="J1151">
        <f>($B$1+Table4[[#This Row],[Home Differential]])-Table4[[#This Row],[Away Differential]]</f>
        <v>0.3176907058706594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0.58619744887670022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-0.36341023830385849</v>
      </c>
      <c r="H1152" t="s">
        <v>10</v>
      </c>
      <c r="I1152">
        <f>VLOOKUP(Table4[[#This Row],[Visitor]],'NHL Model'!$A$6:$B$38,2,FALSE)</f>
        <v>-0.43286905189715857</v>
      </c>
      <c r="J1152">
        <f>($B$1+Table4[[#This Row],[Home Differential]])-Table4[[#This Row],[Away Differential]]</f>
        <v>0.20629539135343269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0.55989759617667012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0.17390560158361429</v>
      </c>
      <c r="H1153" t="s">
        <v>34</v>
      </c>
      <c r="I1153">
        <f>VLOOKUP(Table4[[#This Row],[Visitor]],'NHL Model'!$A$6:$B$38,2,FALSE)</f>
        <v>0.32232840463649798</v>
      </c>
      <c r="J1153">
        <f>($B$1+Table4[[#This Row],[Home Differential]])-Table4[[#This Row],[Away Differential]]</f>
        <v>-1.1586225292751051E-2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0.48619214107951136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0.13483877693289487</v>
      </c>
      <c r="H1154" t="s">
        <v>32</v>
      </c>
      <c r="I1154">
        <f>VLOOKUP(Table4[[#This Row],[Visitor]],'NHL Model'!$A$6:$B$38,2,FALSE)</f>
        <v>-0.21579108793246188</v>
      </c>
      <c r="J1154">
        <f>($B$1+Table4[[#This Row],[Home Differential]])-Table4[[#This Row],[Away Differential]]</f>
        <v>0.48746644262548938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0.62394017391882384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0.33829893848778331</v>
      </c>
      <c r="H1155" t="s">
        <v>24</v>
      </c>
      <c r="I1155">
        <f>VLOOKUP(Table4[[#This Row],[Visitor]],'NHL Model'!$A$6:$B$38,2,FALSE)</f>
        <v>-0.27466957136179609</v>
      </c>
      <c r="J1155">
        <f>($B$1+Table4[[#This Row],[Home Differential]])-Table4[[#This Row],[Away Differential]]</f>
        <v>0.74980508760971198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0.64374874662293868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-0.29093210318822477</v>
      </c>
      <c r="H1156" t="s">
        <v>33</v>
      </c>
      <c r="I1156">
        <f>VLOOKUP(Table4[[#This Row],[Visitor]],'NHL Model'!$A$6:$B$38,2,FALSE)</f>
        <v>-0.3566847028170323</v>
      </c>
      <c r="J1156">
        <f>($B$1+Table4[[#This Row],[Home Differential]])-Table4[[#This Row],[Away Differential]]</f>
        <v>0.20258917738894014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0.53877089378228094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-0.54997285633810766</v>
      </c>
      <c r="H1157" t="s">
        <v>38</v>
      </c>
      <c r="I1157">
        <f>VLOOKUP(Table4[[#This Row],[Visitor]],'NHL Model'!$A$6:$B$38,2,FALSE)</f>
        <v>-0.87254503056606192</v>
      </c>
      <c r="J1157">
        <f>($B$1+Table4[[#This Row],[Home Differential]])-Table4[[#This Row],[Away Differential]]</f>
        <v>0.45940875198808684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0.59832749805683461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1.7070031799067014</v>
      </c>
      <c r="H1158" t="s">
        <v>40</v>
      </c>
      <c r="I1158">
        <f>VLOOKUP(Table4[[#This Row],[Visitor]],'NHL Model'!$A$6:$B$38,2,FALSE)</f>
        <v>-0.16816097389287935</v>
      </c>
      <c r="J1158">
        <f>($B$1+Table4[[#This Row],[Home Differential]])-Table4[[#This Row],[Away Differential]]</f>
        <v>2.0120007315597133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0.84653395463816106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-4.6015351177631898E-2</v>
      </c>
      <c r="H1159" t="s">
        <v>27</v>
      </c>
      <c r="I1159">
        <f>VLOOKUP(Table4[[#This Row],[Visitor]],'NHL Model'!$A$6:$B$38,2,FALSE)</f>
        <v>-7.417166684134277E-2</v>
      </c>
      <c r="J1159">
        <f>($B$1+Table4[[#This Row],[Home Differential]])-Table4[[#This Row],[Away Differential]]</f>
        <v>0.16499289342384349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0.58929272862029369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3.922199270086173E-4</v>
      </c>
      <c r="H1160" t="s">
        <v>31</v>
      </c>
      <c r="I1160">
        <f>VLOOKUP(Table4[[#This Row],[Visitor]],'NHL Model'!$A$6:$B$38,2,FALSE)</f>
        <v>-0.30466872127922601</v>
      </c>
      <c r="J1160">
        <f>($B$1+Table4[[#This Row],[Home Differential]])-Table4[[#This Row],[Away Differential]]</f>
        <v>0.4418975189663672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0.58717634014291642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-0.14985965438623808</v>
      </c>
      <c r="H1161" t="s">
        <v>55</v>
      </c>
      <c r="I1161">
        <f>VLOOKUP(Table4[[#This Row],[Visitor]],'NHL Model'!$A$6:$B$38,2,FALSE)</f>
        <v>0.27119018820614604</v>
      </c>
      <c r="J1161">
        <f>($B$1+Table4[[#This Row],[Home Differential]])-Table4[[#This Row],[Away Differential]]</f>
        <v>-0.28421326483225151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0.48741292829948157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-0.48381480045860298</v>
      </c>
      <c r="H1162" t="s">
        <v>18</v>
      </c>
      <c r="I1162">
        <f>VLOOKUP(Table4[[#This Row],[Visitor]],'NHL Model'!$A$6:$B$38,2,FALSE)</f>
        <v>6.8462291869218858E-2</v>
      </c>
      <c r="J1162">
        <f>($B$1+Table4[[#This Row],[Home Differential]])-Table4[[#This Row],[Away Differential]]</f>
        <v>-0.41544051456768921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0.55147839448517533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0.25279292855900759</v>
      </c>
      <c r="H1163" t="s">
        <v>11</v>
      </c>
      <c r="I1163">
        <f>VLOOKUP(Table4[[#This Row],[Visitor]],'NHL Model'!$A$6:$B$38,2,FALSE)</f>
        <v>-7.4962464446554744E-2</v>
      </c>
      <c r="J1163">
        <f>($B$1+Table4[[#This Row],[Home Differential]])-Table4[[#This Row],[Away Differential]]</f>
        <v>0.46459197076569492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0.57050250880688147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1.1343608350765873E-2</v>
      </c>
      <c r="H1164" t="s">
        <v>39</v>
      </c>
      <c r="I1164">
        <f>VLOOKUP(Table4[[#This Row],[Visitor]],'NHL Model'!$A$6:$B$38,2,FALSE)</f>
        <v>0.5231745585052443</v>
      </c>
      <c r="J1164">
        <f>($B$1+Table4[[#This Row],[Home Differential]])-Table4[[#This Row],[Away Differential]]</f>
        <v>-0.37499437239434585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0.5526978702650559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-0.9803970267772969</v>
      </c>
      <c r="H1165" t="s">
        <v>19</v>
      </c>
      <c r="I1165">
        <f>VLOOKUP(Table4[[#This Row],[Visitor]],'NHL Model'!$A$6:$B$38,2,FALSE)</f>
        <v>4.3410611683700091E-2</v>
      </c>
      <c r="J1165">
        <f>($B$1+Table4[[#This Row],[Home Differential]])-Table4[[#This Row],[Away Differential]]</f>
        <v>-0.8869710607008644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0.54555010303639007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0.98607049252714107</v>
      </c>
      <c r="H1166" t="s">
        <v>36</v>
      </c>
      <c r="I1166">
        <f>VLOOKUP(Table4[[#This Row],[Visitor]],'NHL Model'!$A$6:$B$38,2,FALSE)</f>
        <v>-7.2312572939580336E-2</v>
      </c>
      <c r="J1166">
        <f>($B$1+Table4[[#This Row],[Home Differential]])-Table4[[#This Row],[Away Differential]]</f>
        <v>1.195219643226854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0.6596599832178236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0.1394237692045871</v>
      </c>
      <c r="H1167" t="s">
        <v>22</v>
      </c>
      <c r="I1167">
        <f>VLOOKUP(Table4[[#This Row],[Visitor]],'NHL Model'!$A$6:$B$38,2,FALSE)</f>
        <v>0.34677881456804194</v>
      </c>
      <c r="J1167">
        <f>($B$1+Table4[[#This Row],[Home Differential]])-Table4[[#This Row],[Away Differential]]</f>
        <v>-7.0518467603322255E-2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0.46680164487516146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0.33829893848778331</v>
      </c>
      <c r="H1168" t="s">
        <v>18</v>
      </c>
      <c r="I1168">
        <f>VLOOKUP(Table4[[#This Row],[Visitor]],'NHL Model'!$A$6:$B$38,2,FALSE)</f>
        <v>6.8462291869218858E-2</v>
      </c>
      <c r="J1168">
        <f>($B$1+Table4[[#This Row],[Home Differential]])-Table4[[#This Row],[Away Differential]]</f>
        <v>0.40667322437869707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0.57024896324021968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-0.29093210318822477</v>
      </c>
      <c r="H1169" t="s">
        <v>21</v>
      </c>
      <c r="I1169">
        <f>VLOOKUP(Table4[[#This Row],[Visitor]],'NHL Model'!$A$6:$B$38,2,FALSE)</f>
        <v>0.17390560158361429</v>
      </c>
      <c r="J1169">
        <f>($B$1+Table4[[#This Row],[Home Differential]])-Table4[[#This Row],[Away Differential]]</f>
        <v>-0.32800112701170647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0.49163635371567904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-0.27466957136179609</v>
      </c>
      <c r="H1170" t="s">
        <v>10</v>
      </c>
      <c r="I1170">
        <f>VLOOKUP(Table4[[#This Row],[Visitor]],'NHL Model'!$A$6:$B$38,2,FALSE)</f>
        <v>-0.43286905189715857</v>
      </c>
      <c r="J1170">
        <f>($B$1+Table4[[#This Row],[Home Differential]])-Table4[[#This Row],[Away Differential]]</f>
        <v>0.29503605829549506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0.57095228721641378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-0.36341023830385849</v>
      </c>
      <c r="H1171" t="s">
        <v>11</v>
      </c>
      <c r="I1171">
        <f>VLOOKUP(Table4[[#This Row],[Visitor]],'NHL Model'!$A$6:$B$38,2,FALSE)</f>
        <v>-7.4962464446554744E-2</v>
      </c>
      <c r="J1171">
        <f>($B$1+Table4[[#This Row],[Home Differential]])-Table4[[#This Row],[Away Differential]]</f>
        <v>-0.15161119609717114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0.50820661360477237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-7.417166684134277E-2</v>
      </c>
      <c r="H1172" t="s">
        <v>39</v>
      </c>
      <c r="I1172">
        <f>VLOOKUP(Table4[[#This Row],[Visitor]],'NHL Model'!$A$6:$B$38,2,FALSE)</f>
        <v>0.5231745585052443</v>
      </c>
      <c r="J1172">
        <f>($B$1+Table4[[#This Row],[Home Differential]])-Table4[[#This Row],[Away Differential]]</f>
        <v>-0.46050964758645446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0.56094598672343199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0.98607049252714107</v>
      </c>
      <c r="H1173" t="s">
        <v>29</v>
      </c>
      <c r="I1173">
        <f>VLOOKUP(Table4[[#This Row],[Visitor]],'NHL Model'!$A$6:$B$38,2,FALSE)</f>
        <v>-0.48381480045860298</v>
      </c>
      <c r="J1173">
        <f>($B$1+Table4[[#This Row],[Home Differential]])-Table4[[#This Row],[Away Differential]]</f>
        <v>1.6067218707458766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0.7089881045564117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-0.30466872127922601</v>
      </c>
      <c r="H1174" t="s">
        <v>19</v>
      </c>
      <c r="I1174">
        <f>VLOOKUP(Table4[[#This Row],[Visitor]],'NHL Model'!$A$6:$B$38,2,FALSE)</f>
        <v>4.3410611683700091E-2</v>
      </c>
      <c r="J1174">
        <f>($B$1+Table4[[#This Row],[Home Differential]])-Table4[[#This Row],[Away Differential]]</f>
        <v>-0.21124275520279348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0.4580910421247284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1.7070031799067014</v>
      </c>
      <c r="H1175" t="s">
        <v>16</v>
      </c>
      <c r="I1175">
        <f>VLOOKUP(Table4[[#This Row],[Visitor]],'NHL Model'!$A$6:$B$38,2,FALSE)</f>
        <v>-0.54997285633810766</v>
      </c>
      <c r="J1175">
        <f>($B$1+Table4[[#This Row],[Home Differential]])-Table4[[#This Row],[Away Differential]]</f>
        <v>2.3938126140049416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0.88336046153444803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0.25279292855900759</v>
      </c>
      <c r="H1176" t="s">
        <v>14</v>
      </c>
      <c r="I1176">
        <f>VLOOKUP(Table4[[#This Row],[Visitor]],'NHL Model'!$A$6:$B$38,2,FALSE)</f>
        <v>1.1343608350765873E-2</v>
      </c>
      <c r="J1176">
        <f>($B$1+Table4[[#This Row],[Home Differential]])-Table4[[#This Row],[Away Differential]]</f>
        <v>0.37828589796837431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0.57494795722117165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-0.3566847028170323</v>
      </c>
      <c r="H1177" t="s">
        <v>35</v>
      </c>
      <c r="I1177">
        <f>VLOOKUP(Table4[[#This Row],[Visitor]],'NHL Model'!$A$6:$B$38,2,FALSE)</f>
        <v>-0.9803970267772969</v>
      </c>
      <c r="J1177">
        <f>($B$1+Table4[[#This Row],[Home Differential]])-Table4[[#This Row],[Away Differential]]</f>
        <v>0.76054890172039724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0.61335643719309219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0.1394237692045871</v>
      </c>
      <c r="H1178" t="s">
        <v>38</v>
      </c>
      <c r="I1178">
        <f>VLOOKUP(Table4[[#This Row],[Visitor]],'NHL Model'!$A$6:$B$38,2,FALSE)</f>
        <v>-0.87254503056606192</v>
      </c>
      <c r="J1178">
        <f>($B$1+Table4[[#This Row],[Home Differential]])-Table4[[#This Row],[Away Differential]]</f>
        <v>1.1488053775307816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0.65080453779276448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0.17390560158361429</v>
      </c>
      <c r="H1179" t="s">
        <v>39</v>
      </c>
      <c r="I1179">
        <f>VLOOKUP(Table4[[#This Row],[Visitor]],'NHL Model'!$A$6:$B$38,2,FALSE)</f>
        <v>0.5231745585052443</v>
      </c>
      <c r="J1179">
        <f>($B$1+Table4[[#This Row],[Home Differential]])-Table4[[#This Row],[Away Differential]]</f>
        <v>-0.21243237916149738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0.51068559915053924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0.13483877693289487</v>
      </c>
      <c r="H1180" t="s">
        <v>30</v>
      </c>
      <c r="I1180">
        <f>VLOOKUP(Table4[[#This Row],[Visitor]],'NHL Model'!$A$6:$B$38,2,FALSE)</f>
        <v>0.25279292855900759</v>
      </c>
      <c r="J1180">
        <f>($B$1+Table4[[#This Row],[Home Differential]])-Table4[[#This Row],[Away Differential]]</f>
        <v>1.8882426134019914E-2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0.56785898298204196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-0.29093210318822477</v>
      </c>
      <c r="H1181" t="s">
        <v>25</v>
      </c>
      <c r="I1181">
        <f>VLOOKUP(Table4[[#This Row],[Visitor]],'NHL Model'!$A$6:$B$38,2,FALSE)</f>
        <v>0.33829893848778331</v>
      </c>
      <c r="J1181">
        <f>($B$1+Table4[[#This Row],[Home Differential]])-Table4[[#This Row],[Away Differential]]</f>
        <v>-0.49239446391587549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0.55000497715424668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-0.43286905189715857</v>
      </c>
      <c r="H1182" t="s">
        <v>40</v>
      </c>
      <c r="I1182">
        <f>VLOOKUP(Table4[[#This Row],[Visitor]],'NHL Model'!$A$6:$B$38,2,FALSE)</f>
        <v>-0.16816097389287935</v>
      </c>
      <c r="J1182">
        <f>($B$1+Table4[[#This Row],[Home Differential]])-Table4[[#This Row],[Away Differential]]</f>
        <v>-0.12787150024414659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0.47233345765831464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3.922199270086173E-4</v>
      </c>
      <c r="H1183" t="s">
        <v>32</v>
      </c>
      <c r="I1183">
        <f>VLOOKUP(Table4[[#This Row],[Visitor]],'NHL Model'!$A$6:$B$38,2,FALSE)</f>
        <v>-0.21579108793246188</v>
      </c>
      <c r="J1183">
        <f>($B$1+Table4[[#This Row],[Home Differential]])-Table4[[#This Row],[Away Differential]]</f>
        <v>0.35301988561960307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0.56893318311312224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-7.4962464446554744E-2</v>
      </c>
      <c r="H1184" t="s">
        <v>36</v>
      </c>
      <c r="I1184">
        <f>VLOOKUP(Table4[[#This Row],[Visitor]],'NHL Model'!$A$6:$B$38,2,FALSE)</f>
        <v>-7.2312572939580336E-2</v>
      </c>
      <c r="J1184">
        <f>($B$1+Table4[[#This Row],[Home Differential]])-Table4[[#This Row],[Away Differential]]</f>
        <v>0.13418668625315822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0.54325853902476517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-0.36341023830385849</v>
      </c>
      <c r="H1185" t="s">
        <v>24</v>
      </c>
      <c r="I1185">
        <f>VLOOKUP(Table4[[#This Row],[Visitor]],'NHL Model'!$A$6:$B$38,2,FALSE)</f>
        <v>-0.27466957136179609</v>
      </c>
      <c r="J1185">
        <f>($B$1+Table4[[#This Row],[Home Differential]])-Table4[[#This Row],[Away Differential]]</f>
        <v>4.8095910818070214E-2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0.53405070988506742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1.1343608350765873E-2</v>
      </c>
      <c r="H1186" t="s">
        <v>26</v>
      </c>
      <c r="I1186">
        <f>VLOOKUP(Table4[[#This Row],[Visitor]],'NHL Model'!$A$6:$B$38,2,FALSE)</f>
        <v>-4.6015351177631898E-2</v>
      </c>
      <c r="J1186">
        <f>($B$1+Table4[[#This Row],[Home Differential]])-Table4[[#This Row],[Away Differential]]</f>
        <v>0.19419553728853037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0.52733005005721212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0.98607049252714107</v>
      </c>
      <c r="H1187" t="s">
        <v>18</v>
      </c>
      <c r="I1187">
        <f>VLOOKUP(Table4[[#This Row],[Visitor]],'NHL Model'!$A$6:$B$38,2,FALSE)</f>
        <v>6.8462291869218858E-2</v>
      </c>
      <c r="J1187">
        <f>($B$1+Table4[[#This Row],[Home Differential]])-Table4[[#This Row],[Away Differential]]</f>
        <v>1.0544447784180548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0.60443551288504183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0.34677881456804194</v>
      </c>
      <c r="H1188" t="s">
        <v>27</v>
      </c>
      <c r="I1188">
        <f>VLOOKUP(Table4[[#This Row],[Visitor]],'NHL Model'!$A$6:$B$38,2,FALSE)</f>
        <v>-7.417166684134277E-2</v>
      </c>
      <c r="J1188">
        <f>($B$1+Table4[[#This Row],[Home Differential]])-Table4[[#This Row],[Away Differential]]</f>
        <v>0.55778705916951732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0.59424083521775284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1.7070031799067014</v>
      </c>
      <c r="H1189" t="s">
        <v>38</v>
      </c>
      <c r="I1189">
        <f>VLOOKUP(Table4[[#This Row],[Visitor]],'NHL Model'!$A$6:$B$38,2,FALSE)</f>
        <v>-0.87254503056606192</v>
      </c>
      <c r="J1189">
        <f>($B$1+Table4[[#This Row],[Home Differential]])-Table4[[#This Row],[Away Differential]]</f>
        <v>2.716384788232896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0.91447318207807893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-0.14985965438623808</v>
      </c>
      <c r="H1190" t="s">
        <v>35</v>
      </c>
      <c r="I1190">
        <f>VLOOKUP(Table4[[#This Row],[Visitor]],'NHL Model'!$A$6:$B$38,2,FALSE)</f>
        <v>-0.9803970267772969</v>
      </c>
      <c r="J1190">
        <f>($B$1+Table4[[#This Row],[Home Differential]])-Table4[[#This Row],[Away Differential]]</f>
        <v>0.96737395015119143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0.63330511983644633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-0.3566847028170323</v>
      </c>
      <c r="H1191" t="s">
        <v>31</v>
      </c>
      <c r="I1191">
        <f>VLOOKUP(Table4[[#This Row],[Visitor]],'NHL Model'!$A$6:$B$38,2,FALSE)</f>
        <v>-0.30466872127922601</v>
      </c>
      <c r="J1191">
        <f>($B$1+Table4[[#This Row],[Home Differential]])-Table4[[#This Row],[Away Differential]]</f>
        <v>8.4820596222326322E-2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0.548181113305652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0.33829893848778331</v>
      </c>
      <c r="H1192" t="s">
        <v>28</v>
      </c>
      <c r="I1192">
        <f>VLOOKUP(Table4[[#This Row],[Visitor]],'NHL Model'!$A$6:$B$38,2,FALSE)</f>
        <v>-0.29093210318822477</v>
      </c>
      <c r="J1192">
        <f>($B$1+Table4[[#This Row],[Home Differential]])-Table4[[#This Row],[Away Differential]]</f>
        <v>0.76606761943614066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0.65570691018753569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0.5231745585052443</v>
      </c>
      <c r="H1193" t="s">
        <v>40</v>
      </c>
      <c r="I1193">
        <f>VLOOKUP(Table4[[#This Row],[Visitor]],'NHL Model'!$A$6:$B$38,2,FALSE)</f>
        <v>-0.16816097389287935</v>
      </c>
      <c r="J1193">
        <f>($B$1+Table4[[#This Row],[Home Differential]])-Table4[[#This Row],[Away Differential]]</f>
        <v>0.8281721101582562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0.63389544912682205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3.922199270086173E-4</v>
      </c>
      <c r="H1194" t="s">
        <v>10</v>
      </c>
      <c r="I1194">
        <f>VLOOKUP(Table4[[#This Row],[Visitor]],'NHL Model'!$A$6:$B$38,2,FALSE)</f>
        <v>-0.43286905189715857</v>
      </c>
      <c r="J1194">
        <f>($B$1+Table4[[#This Row],[Home Differential]])-Table4[[#This Row],[Away Differential]]</f>
        <v>0.57009784958429977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0.59954151413742884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-7.4962464446554744E-2</v>
      </c>
      <c r="H1195" t="s">
        <v>21</v>
      </c>
      <c r="I1195">
        <f>VLOOKUP(Table4[[#This Row],[Visitor]],'NHL Model'!$A$6:$B$38,2,FALSE)</f>
        <v>0.17390560158361429</v>
      </c>
      <c r="J1195">
        <f>($B$1+Table4[[#This Row],[Home Differential]])-Table4[[#This Row],[Away Differential]]</f>
        <v>-0.11203148827003642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0.47080565735397101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-0.14985965438623808</v>
      </c>
      <c r="H1196" t="s">
        <v>29</v>
      </c>
      <c r="I1196">
        <f>VLOOKUP(Table4[[#This Row],[Visitor]],'NHL Model'!$A$6:$B$38,2,FALSE)</f>
        <v>-0.48381480045860298</v>
      </c>
      <c r="J1196">
        <f>($B$1+Table4[[#This Row],[Home Differential]])-Table4[[#This Row],[Away Differential]]</f>
        <v>0.47079172383249751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0.58540878757726822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0.32232840463649798</v>
      </c>
      <c r="H1197" t="s">
        <v>38</v>
      </c>
      <c r="I1197">
        <f>VLOOKUP(Table4[[#This Row],[Visitor]],'NHL Model'!$A$6:$B$38,2,FALSE)</f>
        <v>-0.87254503056606192</v>
      </c>
      <c r="J1197">
        <f>($B$1+Table4[[#This Row],[Home Differential]])-Table4[[#This Row],[Away Differential]]</f>
        <v>1.3317100129626924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0.66921144057777293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-0.27466957136179609</v>
      </c>
      <c r="H1198" t="s">
        <v>22</v>
      </c>
      <c r="I1198">
        <f>VLOOKUP(Table4[[#This Row],[Visitor]],'NHL Model'!$A$6:$B$38,2,FALSE)</f>
        <v>0.34677881456804194</v>
      </c>
      <c r="J1198">
        <f>($B$1+Table4[[#This Row],[Home Differential]])-Table4[[#This Row],[Away Differential]]</f>
        <v>-0.48461180816970539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0.50424628268449767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-0.36341023830385849</v>
      </c>
      <c r="H1199" t="s">
        <v>18</v>
      </c>
      <c r="I1199">
        <f>VLOOKUP(Table4[[#This Row],[Visitor]],'NHL Model'!$A$6:$B$38,2,FALSE)</f>
        <v>6.8462291869218858E-2</v>
      </c>
      <c r="J1199">
        <f>($B$1+Table4[[#This Row],[Home Differential]])-Table4[[#This Row],[Away Differential]]</f>
        <v>-0.29503595241294472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0.53986513768934419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-7.2312572939580336E-2</v>
      </c>
      <c r="H1200" t="s">
        <v>23</v>
      </c>
      <c r="I1200">
        <f>VLOOKUP(Table4[[#This Row],[Visitor]],'NHL Model'!$A$6:$B$38,2,FALSE)</f>
        <v>0.13483877693289487</v>
      </c>
      <c r="J1200">
        <f>($B$1+Table4[[#This Row],[Home Differential]])-Table4[[#This Row],[Away Differential]]</f>
        <v>-7.0314772112342591E-2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0.46678199804448856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-7.417166684134277E-2</v>
      </c>
      <c r="H1201" t="s">
        <v>26</v>
      </c>
      <c r="I1201">
        <f>VLOOKUP(Table4[[#This Row],[Visitor]],'NHL Model'!$A$6:$B$38,2,FALSE)</f>
        <v>-4.6015351177631898E-2</v>
      </c>
      <c r="J1201">
        <f>($B$1+Table4[[#This Row],[Home Differential]])-Table4[[#This Row],[Away Differential]]</f>
        <v>0.10868026209642173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0.51908193359883603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-0.21579108793246188</v>
      </c>
      <c r="H1202" t="s">
        <v>55</v>
      </c>
      <c r="I1202">
        <f>VLOOKUP(Table4[[#This Row],[Visitor]],'NHL Model'!$A$6:$B$38,2,FALSE)</f>
        <v>0.27119018820614604</v>
      </c>
      <c r="J1202">
        <f>($B$1+Table4[[#This Row],[Home Differential]])-Table4[[#This Row],[Away Differential]]</f>
        <v>-0.35014469837847528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0.49377214471941688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-0.3566847028170323</v>
      </c>
      <c r="H1203" t="s">
        <v>19</v>
      </c>
      <c r="I1203">
        <f>VLOOKUP(Table4[[#This Row],[Visitor]],'NHL Model'!$A$6:$B$38,2,FALSE)</f>
        <v>4.3410611683700091E-2</v>
      </c>
      <c r="J1203">
        <f>($B$1+Table4[[#This Row],[Home Differential]])-Table4[[#This Row],[Away Differential]]</f>
        <v>-0.2632587367405998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0.48539182285788668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0.98607049252714107</v>
      </c>
      <c r="H1204" t="s">
        <v>14</v>
      </c>
      <c r="I1204">
        <f>VLOOKUP(Table4[[#This Row],[Visitor]],'NHL Model'!$A$6:$B$38,2,FALSE)</f>
        <v>1.1343608350765873E-2</v>
      </c>
      <c r="J1204">
        <f>($B$1+Table4[[#This Row],[Home Differential]])-Table4[[#This Row],[Away Differential]]</f>
        <v>1.1115634619365078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0.64054581513066866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0.1394237692045871</v>
      </c>
      <c r="H1205" t="s">
        <v>16</v>
      </c>
      <c r="I1205">
        <f>VLOOKUP(Table4[[#This Row],[Visitor]],'NHL Model'!$A$6:$B$38,2,FALSE)</f>
        <v>-0.54997285633810766</v>
      </c>
      <c r="J1205">
        <f>($B$1+Table4[[#This Row],[Home Differential]])-Table4[[#This Row],[Away Differential]]</f>
        <v>0.82623320330282735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0.61969181724913369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-0.30466872127922601</v>
      </c>
      <c r="H1206" t="s">
        <v>35</v>
      </c>
      <c r="I1206">
        <f>VLOOKUP(Table4[[#This Row],[Visitor]],'NHL Model'!$A$6:$B$38,2,FALSE)</f>
        <v>-0.9803970267772969</v>
      </c>
      <c r="J1206">
        <f>($B$1+Table4[[#This Row],[Home Differential]])-Table4[[#This Row],[Away Differential]]</f>
        <v>0.81256488325820353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0.6406572179262503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0.25279292855900759</v>
      </c>
      <c r="H1207" t="s">
        <v>27</v>
      </c>
      <c r="I1207">
        <f>VLOOKUP(Table4[[#This Row],[Visitor]],'NHL Model'!$A$6:$B$38,2,FALSE)</f>
        <v>-7.417166684134277E-2</v>
      </c>
      <c r="J1207">
        <f>($B$1+Table4[[#This Row],[Home Differential]])-Table4[[#This Row],[Away Differential]]</f>
        <v>0.46380117316048297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0.5952963329708183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-0.30466872127922601</v>
      </c>
      <c r="H1208" t="s">
        <v>16</v>
      </c>
      <c r="I1208">
        <f>VLOOKUP(Table4[[#This Row],[Visitor]],'NHL Model'!$A$6:$B$38,2,FALSE)</f>
        <v>-0.54997285633810766</v>
      </c>
      <c r="J1208">
        <f>($B$1+Table4[[#This Row],[Home Differential]])-Table4[[#This Row],[Away Differential]]</f>
        <v>0.38214071281901429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0.59914196025670607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0.33829893848778331</v>
      </c>
      <c r="H1209" t="s">
        <v>30</v>
      </c>
      <c r="I1209">
        <f>VLOOKUP(Table4[[#This Row],[Visitor]],'NHL Model'!$A$6:$B$38,2,FALSE)</f>
        <v>0.25279292855900759</v>
      </c>
      <c r="J1209">
        <f>($B$1+Table4[[#This Row],[Home Differential]])-Table4[[#This Row],[Away Differential]]</f>
        <v>0.22234258768890836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0.5828488885920261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-0.29093210318822477</v>
      </c>
      <c r="H1210" t="s">
        <v>40</v>
      </c>
      <c r="I1210">
        <f>VLOOKUP(Table4[[#This Row],[Visitor]],'NHL Model'!$A$6:$B$38,2,FALSE)</f>
        <v>-0.16816097389287935</v>
      </c>
      <c r="J1210">
        <f>($B$1+Table4[[#This Row],[Home Differential]])-Table4[[#This Row],[Away Differential]]</f>
        <v>1.4065448464787189E-2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0.54135664016418394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0.5231745585052443</v>
      </c>
      <c r="H1211" t="s">
        <v>12</v>
      </c>
      <c r="I1211">
        <f>VLOOKUP(Table4[[#This Row],[Visitor]],'NHL Model'!$A$6:$B$38,2,FALSE)</f>
        <v>1.7070031799067014</v>
      </c>
      <c r="J1211">
        <f>($B$1+Table4[[#This Row],[Home Differential]])-Table4[[#This Row],[Away Differential]]</f>
        <v>-1.0469920436413245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0.61677391520704838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3.922199270086173E-4</v>
      </c>
      <c r="H1212" t="s">
        <v>20</v>
      </c>
      <c r="I1212">
        <f>VLOOKUP(Table4[[#This Row],[Visitor]],'NHL Model'!$A$6:$B$38,2,FALSE)</f>
        <v>0.1394237692045871</v>
      </c>
      <c r="J1212">
        <f>($B$1+Table4[[#This Row],[Home Differential]])-Table4[[#This Row],[Away Differential]]</f>
        <v>-2.1949715174458817E-3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0.48702712514077812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-0.14985965438623808</v>
      </c>
      <c r="H1213" t="s">
        <v>19</v>
      </c>
      <c r="I1213">
        <f>VLOOKUP(Table4[[#This Row],[Visitor]],'NHL Model'!$A$6:$B$38,2,FALSE)</f>
        <v>4.3410611683700091E-2</v>
      </c>
      <c r="J1213">
        <f>($B$1+Table4[[#This Row],[Home Differential]])-Table4[[#This Row],[Away Differential]]</f>
        <v>-5.6433688309805559E-2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0.46544314021453248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-0.27466957136179609</v>
      </c>
      <c r="H1214" t="s">
        <v>18</v>
      </c>
      <c r="I1214">
        <f>VLOOKUP(Table4[[#This Row],[Visitor]],'NHL Model'!$A$6:$B$38,2,FALSE)</f>
        <v>6.8462291869218858E-2</v>
      </c>
      <c r="J1214">
        <f>($B$1+Table4[[#This Row],[Home Differential]])-Table4[[#This Row],[Away Differential]]</f>
        <v>-0.20629528547088233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0.52879438311711491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-0.36341023830385849</v>
      </c>
      <c r="H1215" t="s">
        <v>26</v>
      </c>
      <c r="I1215">
        <f>VLOOKUP(Table4[[#This Row],[Visitor]],'NHL Model'!$A$6:$B$38,2,FALSE)</f>
        <v>-4.6015351177631898E-2</v>
      </c>
      <c r="J1215">
        <f>($B$1+Table4[[#This Row],[Home Differential]])-Table4[[#This Row],[Away Differential]]</f>
        <v>-0.18055830936609399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0.508815695407418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-7.2312572939580336E-2</v>
      </c>
      <c r="H1216" t="s">
        <v>34</v>
      </c>
      <c r="I1216">
        <f>VLOOKUP(Table4[[#This Row],[Visitor]],'NHL Model'!$A$6:$B$38,2,FALSE)</f>
        <v>0.32232840463649798</v>
      </c>
      <c r="J1216">
        <f>($B$1+Table4[[#This Row],[Home Differential]])-Table4[[#This Row],[Away Differential]]</f>
        <v>-0.25780439981594572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0.53627408122538112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1.1343608350765873E-2</v>
      </c>
      <c r="H1217" t="s">
        <v>11</v>
      </c>
      <c r="I1217">
        <f>VLOOKUP(Table4[[#This Row],[Visitor]],'NHL Model'!$A$6:$B$38,2,FALSE)</f>
        <v>-7.4962464446554744E-2</v>
      </c>
      <c r="J1217">
        <f>($B$1+Table4[[#This Row],[Home Differential]])-Table4[[#This Row],[Away Differential]]</f>
        <v>0.22314265055745322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0.52793913185985808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-0.21579108793246188</v>
      </c>
      <c r="H1218" t="s">
        <v>10</v>
      </c>
      <c r="I1218">
        <f>VLOOKUP(Table4[[#This Row],[Visitor]],'NHL Model'!$A$6:$B$38,2,FALSE)</f>
        <v>-0.43286905189715857</v>
      </c>
      <c r="J1218">
        <f>($B$1+Table4[[#This Row],[Home Differential]])-Table4[[#This Row],[Away Differential]]</f>
        <v>0.35391454172482928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0.57413575352358326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-0.3566847028170323</v>
      </c>
      <c r="H1219" t="s">
        <v>29</v>
      </c>
      <c r="I1219">
        <f>VLOOKUP(Table4[[#This Row],[Visitor]],'NHL Model'!$A$6:$B$38,2,FALSE)</f>
        <v>-0.48381480045860298</v>
      </c>
      <c r="J1219">
        <f>($B$1+Table4[[#This Row],[Home Differential]])-Table4[[#This Row],[Away Differential]]</f>
        <v>0.26396667540170327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0.56546010493391408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0.98607049252714107</v>
      </c>
      <c r="H1220" t="s">
        <v>21</v>
      </c>
      <c r="I1220">
        <f>VLOOKUP(Table4[[#This Row],[Visitor]],'NHL Model'!$A$6:$B$38,2,FALSE)</f>
        <v>0.17390560158361429</v>
      </c>
      <c r="J1220">
        <f>($B$1+Table4[[#This Row],[Home Differential]])-Table4[[#This Row],[Away Differential]]</f>
        <v>0.94900146870365942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0.64554967836989574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-0.87254503056606192</v>
      </c>
      <c r="H1221" t="s">
        <v>55</v>
      </c>
      <c r="I1221">
        <f>VLOOKUP(Table4[[#This Row],[Visitor]],'NHL Model'!$A$6:$B$38,2,FALSE)</f>
        <v>0.27119018820614604</v>
      </c>
      <c r="J1221">
        <f>($B$1+Table4[[#This Row],[Home Differential]])-Table4[[#This Row],[Away Differential]]</f>
        <v>-1.0068986410120755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0.55711735399542583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0.34677881456804194</v>
      </c>
      <c r="H1222" t="s">
        <v>23</v>
      </c>
      <c r="I1222">
        <f>VLOOKUP(Table4[[#This Row],[Visitor]],'NHL Model'!$A$6:$B$38,2,FALSE)</f>
        <v>0.13483877693289487</v>
      </c>
      <c r="J1222">
        <f>($B$1+Table4[[#This Row],[Home Differential]])-Table4[[#This Row],[Away Differential]]</f>
        <v>0.34877661539527965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0.5826597982684848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1.7070031799067014</v>
      </c>
      <c r="H1223" t="s">
        <v>35</v>
      </c>
      <c r="I1223">
        <f>VLOOKUP(Table4[[#This Row],[Visitor]],'NHL Model'!$A$6:$B$38,2,FALSE)</f>
        <v>-0.9803970267772969</v>
      </c>
      <c r="J1223">
        <f>($B$1+Table4[[#This Row],[Home Differential]])-Table4[[#This Row],[Away Differential]]</f>
        <v>2.824236784444131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0.92487571920399225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-4.6015351177631898E-2</v>
      </c>
      <c r="H1224" t="s">
        <v>34</v>
      </c>
      <c r="I1224">
        <f>VLOOKUP(Table4[[#This Row],[Visitor]],'NHL Model'!$A$6:$B$38,2,FALSE)</f>
        <v>0.32232840463649798</v>
      </c>
      <c r="J1224">
        <f>($B$1+Table4[[#This Row],[Home Differential]])-Table4[[#This Row],[Away Differential]]</f>
        <v>-0.23150717805399726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0.49130479155847806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6.8462291869218858E-2</v>
      </c>
      <c r="H1225" t="s">
        <v>24</v>
      </c>
      <c r="I1225">
        <f>VLOOKUP(Table4[[#This Row],[Visitor]],'NHL Model'!$A$6:$B$38,2,FALSE)</f>
        <v>-0.27466957136179609</v>
      </c>
      <c r="J1225">
        <f>($B$1+Table4[[#This Row],[Home Differential]])-Table4[[#This Row],[Away Differential]]</f>
        <v>0.47996844099114755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0.57647334534400163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-0.36341023830385849</v>
      </c>
      <c r="H1226" t="s">
        <v>22</v>
      </c>
      <c r="I1226">
        <f>VLOOKUP(Table4[[#This Row],[Visitor]],'NHL Model'!$A$6:$B$38,2,FALSE)</f>
        <v>0.34677881456804194</v>
      </c>
      <c r="J1226">
        <f>($B$1+Table4[[#This Row],[Home Differential]])-Table4[[#This Row],[Away Differential]]</f>
        <v>-0.57335247511176779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0.51530097372424133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-7.2312572939580336E-2</v>
      </c>
      <c r="H1227" t="s">
        <v>25</v>
      </c>
      <c r="I1227">
        <f>VLOOKUP(Table4[[#This Row],[Visitor]],'NHL Model'!$A$6:$B$38,2,FALSE)</f>
        <v>0.33829893848778331</v>
      </c>
      <c r="J1227">
        <f>($B$1+Table4[[#This Row],[Home Differential]])-Table4[[#This Row],[Away Differential]]</f>
        <v>-0.27377493366723105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0.52891869354566978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-7.417166684134277E-2</v>
      </c>
      <c r="H1228" t="s">
        <v>21</v>
      </c>
      <c r="I1228">
        <f>VLOOKUP(Table4[[#This Row],[Visitor]],'NHL Model'!$A$6:$B$38,2,FALSE)</f>
        <v>0.17390560158361429</v>
      </c>
      <c r="J1228">
        <f>($B$1+Table4[[#This Row],[Home Differential]])-Table4[[#This Row],[Away Differential]]</f>
        <v>-0.11124069066482445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0.47072938336984194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1.1343608350765873E-2</v>
      </c>
      <c r="H1229" t="s">
        <v>11</v>
      </c>
      <c r="I1229">
        <f>VLOOKUP(Table4[[#This Row],[Visitor]],'NHL Model'!$A$6:$B$38,2,FALSE)</f>
        <v>-7.4962464446554744E-2</v>
      </c>
      <c r="J1229">
        <f>($B$1+Table4[[#This Row],[Home Differential]])-Table4[[#This Row],[Away Differential]]</f>
        <v>0.22314265055745322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0.52793913185985808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0.13483877693289487</v>
      </c>
      <c r="H1230" t="s">
        <v>37</v>
      </c>
      <c r="I1230">
        <f>VLOOKUP(Table4[[#This Row],[Visitor]],'NHL Model'!$A$6:$B$38,2,FALSE)</f>
        <v>0.98607049252714107</v>
      </c>
      <c r="J1230">
        <f>($B$1+Table4[[#This Row],[Home Differential]])-Table4[[#This Row],[Away Differential]]</f>
        <v>-0.71439513783411357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0.58954396370764639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-0.14985965438623808</v>
      </c>
      <c r="H1231" t="s">
        <v>29</v>
      </c>
      <c r="I1231">
        <f>VLOOKUP(Table4[[#This Row],[Visitor]],'NHL Model'!$A$6:$B$38,2,FALSE)</f>
        <v>-0.48381480045860298</v>
      </c>
      <c r="J1231">
        <f>($B$1+Table4[[#This Row],[Home Differential]])-Table4[[#This Row],[Away Differential]]</f>
        <v>0.47079172383249751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0.58540878757726822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-0.3566847028170323</v>
      </c>
      <c r="H1232" t="s">
        <v>10</v>
      </c>
      <c r="I1232">
        <f>VLOOKUP(Table4[[#This Row],[Visitor]],'NHL Model'!$A$6:$B$38,2,FALSE)</f>
        <v>-0.43286905189715857</v>
      </c>
      <c r="J1232">
        <f>($B$1+Table4[[#This Row],[Home Differential]])-Table4[[#This Row],[Away Differential]]</f>
        <v>0.21302092684025889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0.56054628730016431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-0.16816097389287935</v>
      </c>
      <c r="H1233" t="s">
        <v>32</v>
      </c>
      <c r="I1233">
        <f>VLOOKUP(Table4[[#This Row],[Visitor]],'NHL Model'!$A$6:$B$38,2,FALSE)</f>
        <v>-0.21579108793246188</v>
      </c>
      <c r="J1233">
        <f>($B$1+Table4[[#This Row],[Home Differential]])-Table4[[#This Row],[Away Differential]]</f>
        <v>0.18446669179971514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0.5481081444355429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-0.30466872127922601</v>
      </c>
      <c r="H1234" t="s">
        <v>29</v>
      </c>
      <c r="I1234">
        <f>VLOOKUP(Table4[[#This Row],[Visitor]],'NHL Model'!$A$6:$B$38,2,FALSE)</f>
        <v>-0.48381480045860298</v>
      </c>
      <c r="J1234">
        <f>($B$1+Table4[[#This Row],[Home Differential]])-Table4[[#This Row],[Away Differential]]</f>
        <v>0.31598265693950955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0.5927608856670723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0.33829893848778331</v>
      </c>
      <c r="H1235" t="s">
        <v>21</v>
      </c>
      <c r="I1235">
        <f>VLOOKUP(Table4[[#This Row],[Visitor]],'NHL Model'!$A$6:$B$38,2,FALSE)</f>
        <v>0.17390560158361429</v>
      </c>
      <c r="J1235">
        <f>($B$1+Table4[[#This Row],[Home Differential]])-Table4[[#This Row],[Away Differential]]</f>
        <v>0.30122991466430166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0.6108723994572679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0.5231745585052443</v>
      </c>
      <c r="H1236" t="s">
        <v>16</v>
      </c>
      <c r="I1236">
        <f>VLOOKUP(Table4[[#This Row],[Visitor]],'NHL Model'!$A$6:$B$38,2,FALSE)</f>
        <v>-0.54997285633810766</v>
      </c>
      <c r="J1236">
        <f>($B$1+Table4[[#This Row],[Home Differential]])-Table4[[#This Row],[Away Differential]]</f>
        <v>1.2099839926034845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0.67072195602310902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-4.6015351177631898E-2</v>
      </c>
      <c r="H1237" t="s">
        <v>28</v>
      </c>
      <c r="I1237">
        <f>VLOOKUP(Table4[[#This Row],[Visitor]],'NHL Model'!$A$6:$B$38,2,FALSE)</f>
        <v>-0.29093210318822477</v>
      </c>
      <c r="J1237">
        <f>($B$1+Table4[[#This Row],[Home Differential]])-Table4[[#This Row],[Away Differential]]</f>
        <v>0.38175332977072551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0.61863904119386892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0.32232840463649798</v>
      </c>
      <c r="H1238" t="s">
        <v>32</v>
      </c>
      <c r="I1238">
        <f>VLOOKUP(Table4[[#This Row],[Visitor]],'NHL Model'!$A$6:$B$38,2,FALSE)</f>
        <v>-0.21579108793246188</v>
      </c>
      <c r="J1238">
        <f>($B$1+Table4[[#This Row],[Home Differential]])-Table4[[#This Row],[Away Differential]]</f>
        <v>0.67495607032909244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0.5961843216367001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6.8462291869218858E-2</v>
      </c>
      <c r="H1239" t="s">
        <v>11</v>
      </c>
      <c r="I1239">
        <f>VLOOKUP(Table4[[#This Row],[Visitor]],'NHL Model'!$A$6:$B$38,2,FALSE)</f>
        <v>-7.4962464446554744E-2</v>
      </c>
      <c r="J1239">
        <f>($B$1+Table4[[#This Row],[Home Differential]])-Table4[[#This Row],[Away Differential]]</f>
        <v>0.2802613340759062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0.5342186151227678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-0.27466957136179609</v>
      </c>
      <c r="H1240" t="s">
        <v>27</v>
      </c>
      <c r="I1240">
        <f>VLOOKUP(Table4[[#This Row],[Visitor]],'NHL Model'!$A$6:$B$38,2,FALSE)</f>
        <v>-7.417166684134277E-2</v>
      </c>
      <c r="J1240">
        <f>($B$1+Table4[[#This Row],[Home Differential]])-Table4[[#This Row],[Away Differential]]</f>
        <v>-6.3661326760320713E-2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0.47224195507151595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-7.2312572939580336E-2</v>
      </c>
      <c r="H1241" t="s">
        <v>37</v>
      </c>
      <c r="I1241">
        <f>VLOOKUP(Table4[[#This Row],[Visitor]],'NHL Model'!$A$6:$B$38,2,FALSE)</f>
        <v>0.98607049252714107</v>
      </c>
      <c r="J1241">
        <f>($B$1+Table4[[#This Row],[Home Differential]])-Table4[[#This Row],[Away Differential]]</f>
        <v>-0.92154648770658876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0.65630820193842687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-0.9803970267772969</v>
      </c>
      <c r="H1242" t="s">
        <v>12</v>
      </c>
      <c r="I1242">
        <f>VLOOKUP(Table4[[#This Row],[Visitor]],'NHL Model'!$A$6:$B$38,2,FALSE)</f>
        <v>1.7070031799067014</v>
      </c>
      <c r="J1242">
        <f>($B$1+Table4[[#This Row],[Home Differential]])-Table4[[#This Row],[Away Differential]]</f>
        <v>-2.5505636289238658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0.77590846740705632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0.27119018820614604</v>
      </c>
      <c r="H1243" t="s">
        <v>17</v>
      </c>
      <c r="I1243">
        <f>VLOOKUP(Table4[[#This Row],[Visitor]],'NHL Model'!$A$6:$B$38,2,FALSE)</f>
        <v>3.922199270086173E-4</v>
      </c>
      <c r="J1243">
        <f>($B$1+Table4[[#This Row],[Home Differential]])-Table4[[#This Row],[Away Differential]]</f>
        <v>0.40763454603927002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0.59333377407890842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-0.87254503056606192</v>
      </c>
      <c r="H1244" t="s">
        <v>20</v>
      </c>
      <c r="I1244">
        <f>VLOOKUP(Table4[[#This Row],[Visitor]],'NHL Model'!$A$6:$B$38,2,FALSE)</f>
        <v>0.1394237692045871</v>
      </c>
      <c r="J1244">
        <f>($B$1+Table4[[#This Row],[Home Differential]])-Table4[[#This Row],[Away Differential]]</f>
        <v>-0.87513222201051644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0.57580871516407828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-0.36341023830385849</v>
      </c>
      <c r="H1245" t="s">
        <v>23</v>
      </c>
      <c r="I1245">
        <f>VLOOKUP(Table4[[#This Row],[Visitor]],'NHL Model'!$A$6:$B$38,2,FALSE)</f>
        <v>0.13483877693289487</v>
      </c>
      <c r="J1245">
        <f>($B$1+Table4[[#This Row],[Home Differential]])-Table4[[#This Row],[Away Differential]]</f>
        <v>-0.36141243747662077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0.4948589403134826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-0.3566847028170323</v>
      </c>
      <c r="H1246" t="s">
        <v>17</v>
      </c>
      <c r="I1246">
        <f>VLOOKUP(Table4[[#This Row],[Visitor]],'NHL Model'!$A$6:$B$38,2,FALSE)</f>
        <v>3.922199270086173E-4</v>
      </c>
      <c r="J1246">
        <f>($B$1+Table4[[#This Row],[Home Differential]])-Table4[[#This Row],[Away Differential]]</f>
        <v>-0.22024034498390829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0.48124261437713117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4.3410611683700091E-2</v>
      </c>
      <c r="H1247" t="s">
        <v>22</v>
      </c>
      <c r="I1247">
        <f>VLOOKUP(Table4[[#This Row],[Visitor]],'NHL Model'!$A$6:$B$38,2,FALSE)</f>
        <v>0.34677881456804194</v>
      </c>
      <c r="J1247">
        <f>($B$1+Table4[[#This Row],[Home Differential]])-Table4[[#This Row],[Away Differential]]</f>
        <v>-0.16653162512420924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0.44381623691997418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-0.30466872127922601</v>
      </c>
      <c r="H1248" t="s">
        <v>33</v>
      </c>
      <c r="I1248">
        <f>VLOOKUP(Table4[[#This Row],[Visitor]],'NHL Model'!$A$6:$B$38,2,FALSE)</f>
        <v>-0.3566847028170323</v>
      </c>
      <c r="J1248">
        <f>($B$1+Table4[[#This Row],[Home Differential]])-Table4[[#This Row],[Away Differential]]</f>
        <v>0.1888525592979389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0.5598818673901923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0.13483877693289487</v>
      </c>
      <c r="H1249" t="s">
        <v>28</v>
      </c>
      <c r="I1249">
        <f>VLOOKUP(Table4[[#This Row],[Visitor]],'NHL Model'!$A$6:$B$38,2,FALSE)</f>
        <v>-0.29093210318822477</v>
      </c>
      <c r="J1249">
        <f>($B$1+Table4[[#This Row],[Home Differential]])-Table4[[#This Row],[Away Differential]]</f>
        <v>0.56260745788125233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0.64066021726160183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-0.43286905189715857</v>
      </c>
      <c r="H1250" t="s">
        <v>25</v>
      </c>
      <c r="I1250">
        <f>VLOOKUP(Table4[[#This Row],[Visitor]],'NHL Model'!$A$6:$B$38,2,FALSE)</f>
        <v>0.33829893848778331</v>
      </c>
      <c r="J1250">
        <f>($B$1+Table4[[#This Row],[Home Differential]])-Table4[[#This Row],[Away Differential]]</f>
        <v>-0.63433141262480919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0.5636950749767452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1.7070031799067014</v>
      </c>
      <c r="H1251" t="s">
        <v>16</v>
      </c>
      <c r="I1251">
        <f>VLOOKUP(Table4[[#This Row],[Visitor]],'NHL Model'!$A$6:$B$38,2,FALSE)</f>
        <v>-0.54997285633810766</v>
      </c>
      <c r="J1251">
        <f>($B$1+Table4[[#This Row],[Home Differential]])-Table4[[#This Row],[Away Differential]]</f>
        <v>2.3938126140049416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0.88336046153444803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0.5231745585052443</v>
      </c>
      <c r="H1252" t="s">
        <v>34</v>
      </c>
      <c r="I1252">
        <f>VLOOKUP(Table4[[#This Row],[Visitor]],'NHL Model'!$A$6:$B$38,2,FALSE)</f>
        <v>0.32232840463649798</v>
      </c>
      <c r="J1252">
        <f>($B$1+Table4[[#This Row],[Home Differential]])-Table4[[#This Row],[Away Differential]]</f>
        <v>0.33768273162887891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0.53530240395707418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-4.6015351177631898E-2</v>
      </c>
      <c r="H1253" t="s">
        <v>27</v>
      </c>
      <c r="I1253">
        <f>VLOOKUP(Table4[[#This Row],[Visitor]],'NHL Model'!$A$6:$B$38,2,FALSE)</f>
        <v>-7.417166684134277E-2</v>
      </c>
      <c r="J1253">
        <f>($B$1+Table4[[#This Row],[Home Differential]])-Table4[[#This Row],[Away Differential]]</f>
        <v>0.16499289342384349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0.58929272862029369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-0.14985965438623808</v>
      </c>
      <c r="H1254" t="s">
        <v>38</v>
      </c>
      <c r="I1254">
        <f>VLOOKUP(Table4[[#This Row],[Visitor]],'NHL Model'!$A$6:$B$38,2,FALSE)</f>
        <v>-0.87254503056606192</v>
      </c>
      <c r="J1254">
        <f>($B$1+Table4[[#This Row],[Home Differential]])-Table4[[#This Row],[Away Differential]]</f>
        <v>0.85952195393995645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0.622902582710533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6.8462291869218858E-2</v>
      </c>
      <c r="H1255" t="s">
        <v>37</v>
      </c>
      <c r="I1255">
        <f>VLOOKUP(Table4[[#This Row],[Visitor]],'NHL Model'!$A$6:$B$38,2,FALSE)</f>
        <v>0.98607049252714107</v>
      </c>
      <c r="J1255">
        <f>($B$1+Table4[[#This Row],[Home Differential]])-Table4[[#This Row],[Away Differential]]</f>
        <v>-0.78077162289778967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0.64197362508537248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-0.27466957136179609</v>
      </c>
      <c r="H1256" t="s">
        <v>14</v>
      </c>
      <c r="I1256">
        <f>VLOOKUP(Table4[[#This Row],[Visitor]],'NHL Model'!$A$6:$B$38,2,FALSE)</f>
        <v>1.1343608350765873E-2</v>
      </c>
      <c r="J1256">
        <f>($B$1+Table4[[#This Row],[Home Differential]])-Table4[[#This Row],[Away Differential]]</f>
        <v>-0.14917660195242935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0.49264924617985528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0.25279292855900759</v>
      </c>
      <c r="H1257" t="s">
        <v>19</v>
      </c>
      <c r="I1257">
        <f>VLOOKUP(Table4[[#This Row],[Visitor]],'NHL Model'!$A$6:$B$38,2,FALSE)</f>
        <v>4.3410611683700091E-2</v>
      </c>
      <c r="J1257">
        <f>($B$1+Table4[[#This Row],[Home Differential]])-Table4[[#This Row],[Away Differential]]</f>
        <v>0.34621889463544009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0.59249892453819797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-7.2312572939580336E-2</v>
      </c>
      <c r="H1258" t="s">
        <v>11</v>
      </c>
      <c r="I1258">
        <f>VLOOKUP(Table4[[#This Row],[Visitor]],'NHL Model'!$A$6:$B$38,2,FALSE)</f>
        <v>-7.4962464446554744E-2</v>
      </c>
      <c r="J1258">
        <f>($B$1+Table4[[#This Row],[Home Differential]])-Table4[[#This Row],[Away Differential]]</f>
        <v>0.139486469267107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0.51987032866422178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-0.21579108793246188</v>
      </c>
      <c r="H1259" t="s">
        <v>20</v>
      </c>
      <c r="I1259">
        <f>VLOOKUP(Table4[[#This Row],[Visitor]],'NHL Model'!$A$6:$B$38,2,FALSE)</f>
        <v>0.1394237692045871</v>
      </c>
      <c r="J1259">
        <f>($B$1+Table4[[#This Row],[Home Differential]])-Table4[[#This Row],[Away Differential]]</f>
        <v>-0.21837827937691637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0.51246350588806933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-0.9803970267772969</v>
      </c>
      <c r="H1260" t="s">
        <v>40</v>
      </c>
      <c r="I1260">
        <f>VLOOKUP(Table4[[#This Row],[Visitor]],'NHL Model'!$A$6:$B$38,2,FALSE)</f>
        <v>-0.16816097389287935</v>
      </c>
      <c r="J1260">
        <f>($B$1+Table4[[#This Row],[Home Differential]])-Table4[[#This Row],[Away Differential]]</f>
        <v>-0.675399475124285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0.52514360755124245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0.27119018820614604</v>
      </c>
      <c r="H1261" t="s">
        <v>29</v>
      </c>
      <c r="I1261">
        <f>VLOOKUP(Table4[[#This Row],[Visitor]],'NHL Model'!$A$6:$B$38,2,FALSE)</f>
        <v>-0.48381480045860298</v>
      </c>
      <c r="J1261">
        <f>($B$1+Table4[[#This Row],[Home Differential]])-Table4[[#This Row],[Away Differential]]</f>
        <v>0.89184156642488155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0.64003649338995361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0.17390560158361429</v>
      </c>
      <c r="H1262" t="s">
        <v>37</v>
      </c>
      <c r="I1262">
        <f>VLOOKUP(Table4[[#This Row],[Visitor]],'NHL Model'!$A$6:$B$38,2,FALSE)</f>
        <v>0.98607049252714107</v>
      </c>
      <c r="J1262">
        <f>($B$1+Table4[[#This Row],[Home Differential]])-Table4[[#This Row],[Away Differential]]</f>
        <v>-0.67532831318339415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0.60653801772745353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-0.43286905189715857</v>
      </c>
      <c r="H1263" t="s">
        <v>35</v>
      </c>
      <c r="I1263">
        <f>VLOOKUP(Table4[[#This Row],[Visitor]],'NHL Model'!$A$6:$B$38,2,FALSE)</f>
        <v>-0.9803970267772969</v>
      </c>
      <c r="J1263">
        <f>($B$1+Table4[[#This Row],[Home Differential]])-Table4[[#This Row],[Away Differential]]</f>
        <v>0.68436455264027096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0.60600830690751661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1.7070031799067014</v>
      </c>
      <c r="H1264" t="s">
        <v>20</v>
      </c>
      <c r="I1264">
        <f>VLOOKUP(Table4[[#This Row],[Visitor]],'NHL Model'!$A$6:$B$38,2,FALSE)</f>
        <v>0.1394237692045871</v>
      </c>
      <c r="J1264">
        <f>($B$1+Table4[[#This Row],[Home Differential]])-Table4[[#This Row],[Away Differential]]</f>
        <v>1.7044159884622467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0.78778942361339566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0.5231745585052443</v>
      </c>
      <c r="H1265" t="s">
        <v>15</v>
      </c>
      <c r="I1265">
        <f>VLOOKUP(Table4[[#This Row],[Visitor]],'NHL Model'!$A$6:$B$38,2,FALSE)</f>
        <v>-0.36341023830385849</v>
      </c>
      <c r="J1265">
        <f>($B$1+Table4[[#This Row],[Home Differential]])-Table4[[#This Row],[Away Differential]]</f>
        <v>1.0234213745692353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0.58019248562051051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-4.6015351177631898E-2</v>
      </c>
      <c r="H1266" t="s">
        <v>24</v>
      </c>
      <c r="I1266">
        <f>VLOOKUP(Table4[[#This Row],[Visitor]],'NHL Model'!$A$6:$B$38,2,FALSE)</f>
        <v>-0.27466957136179609</v>
      </c>
      <c r="J1266">
        <f>($B$1+Table4[[#This Row],[Home Differential]])-Table4[[#This Row],[Away Differential]]</f>
        <v>0.36549079794429684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0.60668087762927192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-0.14985965438623808</v>
      </c>
      <c r="H1267" t="s">
        <v>17</v>
      </c>
      <c r="I1267">
        <f>VLOOKUP(Table4[[#This Row],[Visitor]],'NHL Model'!$A$6:$B$38,2,FALSE)</f>
        <v>3.922199270086173E-4</v>
      </c>
      <c r="J1267">
        <f>($B$1+Table4[[#This Row],[Home Differential]])-Table4[[#This Row],[Away Differential]]</f>
        <v>-1.3415296553114084E-2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0.46129393173377697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6.8462291869218858E-2</v>
      </c>
      <c r="H1268" t="s">
        <v>28</v>
      </c>
      <c r="I1268">
        <f>VLOOKUP(Table4[[#This Row],[Visitor]],'NHL Model'!$A$6:$B$38,2,FALSE)</f>
        <v>-0.29093210318822477</v>
      </c>
      <c r="J1268">
        <f>($B$1+Table4[[#This Row],[Home Differential]])-Table4[[#This Row],[Away Differential]]</f>
        <v>0.49623097281757622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0.588627844183229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-0.48381480045860298</v>
      </c>
      <c r="H1269" t="s">
        <v>34</v>
      </c>
      <c r="I1269">
        <f>VLOOKUP(Table4[[#This Row],[Visitor]],'NHL Model'!$A$6:$B$38,2,FALSE)</f>
        <v>0.32232840463649798</v>
      </c>
      <c r="J1269">
        <f>($B$1+Table4[[#This Row],[Home Differential]])-Table4[[#This Row],[Away Differential]]</f>
        <v>-0.66930662733496837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0.57596428029020619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0.25279292855900759</v>
      </c>
      <c r="H1270" t="s">
        <v>36</v>
      </c>
      <c r="I1270">
        <f>VLOOKUP(Table4[[#This Row],[Visitor]],'NHL Model'!$A$6:$B$38,2,FALSE)</f>
        <v>-7.2312572939580336E-2</v>
      </c>
      <c r="J1270">
        <f>($B$1+Table4[[#This Row],[Home Differential]])-Table4[[#This Row],[Away Differential]]</f>
        <v>0.46194207925872049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0.59404327656277789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1.1343608350765873E-2</v>
      </c>
      <c r="H1271" t="s">
        <v>22</v>
      </c>
      <c r="I1271">
        <f>VLOOKUP(Table4[[#This Row],[Visitor]],'NHL Model'!$A$6:$B$38,2,FALSE)</f>
        <v>0.34677881456804194</v>
      </c>
      <c r="J1271">
        <f>($B$1+Table4[[#This Row],[Home Differential]])-Table4[[#This Row],[Away Differential]]</f>
        <v>-0.19859862845714346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0.47915522825961104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-0.21579108793246188</v>
      </c>
      <c r="H1272" t="s">
        <v>16</v>
      </c>
      <c r="I1272">
        <f>VLOOKUP(Table4[[#This Row],[Visitor]],'NHL Model'!$A$6:$B$38,2,FALSE)</f>
        <v>-0.54997285633810766</v>
      </c>
      <c r="J1272">
        <f>($B$1+Table4[[#This Row],[Home Differential]])-Table4[[#This Row],[Away Differential]]</f>
        <v>0.47101834616577842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0.5854306457469669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-0.3566847028170323</v>
      </c>
      <c r="H1273" t="s">
        <v>38</v>
      </c>
      <c r="I1273">
        <f>VLOOKUP(Table4[[#This Row],[Visitor]],'NHL Model'!$A$6:$B$38,2,FALSE)</f>
        <v>-0.87254503056606192</v>
      </c>
      <c r="J1273">
        <f>($B$1+Table4[[#This Row],[Home Differential]])-Table4[[#This Row],[Away Differential]]</f>
        <v>0.65269690550916226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0.60295390006717875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4.3410611683700091E-2</v>
      </c>
      <c r="H1274" t="s">
        <v>11</v>
      </c>
      <c r="I1274">
        <f>VLOOKUP(Table4[[#This Row],[Visitor]],'NHL Model'!$A$6:$B$38,2,FALSE)</f>
        <v>-7.4962464446554744E-2</v>
      </c>
      <c r="J1274">
        <f>($B$1+Table4[[#This Row],[Home Differential]])-Table4[[#This Row],[Away Differential]]</f>
        <v>0.25520965389038741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0.56362256518701492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0.27119018820614604</v>
      </c>
      <c r="H1275" t="s">
        <v>25</v>
      </c>
      <c r="I1275">
        <f>VLOOKUP(Table4[[#This Row],[Visitor]],'NHL Model'!$A$6:$B$38,2,FALSE)</f>
        <v>0.33829893848778331</v>
      </c>
      <c r="J1275">
        <f>($B$1+Table4[[#This Row],[Home Differential]])-Table4[[#This Row],[Away Differential]]</f>
        <v>6.9727827478495319E-2</v>
      </c>
      <c r="K1275" t="str">
        <f>IF(Table4[[#This Row],[HomeIce Differential]]&gt;0,Table4[[#This Row],[Home]],Table4[[#This Row],[Visitor]])</f>
        <v>Utah Mammoth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0.51835329305706945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-0.16816097389287935</v>
      </c>
      <c r="H1276" t="s">
        <v>27</v>
      </c>
      <c r="I1276">
        <f>VLOOKUP(Table4[[#This Row],[Visitor]],'NHL Model'!$A$6:$B$38,2,FALSE)</f>
        <v>-7.417166684134277E-2</v>
      </c>
      <c r="J1276">
        <f>($B$1+Table4[[#This Row],[Home Differential]])-Table4[[#This Row],[Away Differential]]</f>
        <v>4.2847270708596036E-2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0.53552914213208991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-0.30466872127922601</v>
      </c>
      <c r="H1277" t="s">
        <v>38</v>
      </c>
      <c r="I1277">
        <f>VLOOKUP(Table4[[#This Row],[Visitor]],'NHL Model'!$A$6:$B$38,2,FALSE)</f>
        <v>-0.87254503056606192</v>
      </c>
      <c r="J1277">
        <f>($B$1+Table4[[#This Row],[Home Differential]])-Table4[[#This Row],[Away Differential]]</f>
        <v>0.70471288704696855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0.63025468080033697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-0.29093210318822477</v>
      </c>
      <c r="H1278" t="s">
        <v>21</v>
      </c>
      <c r="I1278">
        <f>VLOOKUP(Table4[[#This Row],[Visitor]],'NHL Model'!$A$6:$B$38,2,FALSE)</f>
        <v>0.17390560158361429</v>
      </c>
      <c r="J1278">
        <f>($B$1+Table4[[#This Row],[Home Differential]])-Table4[[#This Row],[Away Differential]]</f>
        <v>-0.32800112701170647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0.49163635371567904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-0.54997285633810766</v>
      </c>
      <c r="H1279" t="s">
        <v>55</v>
      </c>
      <c r="I1279">
        <f>VLOOKUP(Table4[[#This Row],[Visitor]],'NHL Model'!$A$6:$B$38,2,FALSE)</f>
        <v>0.27119018820614604</v>
      </c>
      <c r="J1279">
        <f>($B$1+Table4[[#This Row],[Home Differential]])-Table4[[#This Row],[Away Differential]]</f>
        <v>-0.68432646678412112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0.51198801295317997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-0.27466957136179609</v>
      </c>
      <c r="H1280" t="s">
        <v>36</v>
      </c>
      <c r="I1280">
        <f>VLOOKUP(Table4[[#This Row],[Visitor]],'NHL Model'!$A$6:$B$38,2,FALSE)</f>
        <v>-7.2312572939580336E-2</v>
      </c>
      <c r="J1280">
        <f>($B$1+Table4[[#This Row],[Home Differential]])-Table4[[#This Row],[Away Differential]]</f>
        <v>-6.5520420662083148E-2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0.47350104060046883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0.25279292855900759</v>
      </c>
      <c r="H1281" t="s">
        <v>18</v>
      </c>
      <c r="I1281">
        <f>VLOOKUP(Table4[[#This Row],[Visitor]],'NHL Model'!$A$6:$B$38,2,FALSE)</f>
        <v>6.8462291869218858E-2</v>
      </c>
      <c r="J1281">
        <f>($B$1+Table4[[#This Row],[Home Differential]])-Table4[[#This Row],[Away Differential]]</f>
        <v>0.3211672144499213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0.53886364474141146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0.34677881456804194</v>
      </c>
      <c r="H1282" t="s">
        <v>14</v>
      </c>
      <c r="I1282">
        <f>VLOOKUP(Table4[[#This Row],[Visitor]],'NHL Model'!$A$6:$B$38,2,FALSE)</f>
        <v>1.1343608350765873E-2</v>
      </c>
      <c r="J1282">
        <f>($B$1+Table4[[#This Row],[Home Differential]])-Table4[[#This Row],[Away Differential]]</f>
        <v>0.47227178397740865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0.57385342908124137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-0.43286905189715857</v>
      </c>
      <c r="H1283" t="s">
        <v>23</v>
      </c>
      <c r="I1283">
        <f>VLOOKUP(Table4[[#This Row],[Visitor]],'NHL Model'!$A$6:$B$38,2,FALSE)</f>
        <v>0.13483877693289487</v>
      </c>
      <c r="J1283">
        <f>($B$1+Table4[[#This Row],[Home Differential]])-Table4[[#This Row],[Away Differential]]</f>
        <v>-0.4308712510699208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0.50155837947556403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3.922199270086173E-4</v>
      </c>
      <c r="H1284" t="s">
        <v>12</v>
      </c>
      <c r="I1284">
        <f>VLOOKUP(Table4[[#This Row],[Visitor]],'NHL Model'!$A$6:$B$38,2,FALSE)</f>
        <v>1.7070031799067014</v>
      </c>
      <c r="J1284">
        <f>($B$1+Table4[[#This Row],[Home Differential]])-Table4[[#This Row],[Away Differential]]</f>
        <v>-1.5697743822195602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0.67673615633844308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-7.4962464446554744E-2</v>
      </c>
      <c r="H1285" t="s">
        <v>15</v>
      </c>
      <c r="I1285">
        <f>VLOOKUP(Table4[[#This Row],[Visitor]],'NHL Model'!$A$6:$B$38,2,FALSE)</f>
        <v>-0.36341023830385849</v>
      </c>
      <c r="J1285">
        <f>($B$1+Table4[[#This Row],[Home Differential]])-Table4[[#This Row],[Away Differential]]</f>
        <v>0.42528435161743638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0.50839634292885771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-0.48381480045860298</v>
      </c>
      <c r="H1286" t="s">
        <v>33</v>
      </c>
      <c r="I1286">
        <f>VLOOKUP(Table4[[#This Row],[Visitor]],'NHL Model'!$A$6:$B$38,2,FALSE)</f>
        <v>-0.3566847028170323</v>
      </c>
      <c r="J1286">
        <f>($B$1+Table4[[#This Row],[Home Differential]])-Table4[[#This Row],[Away Differential]]</f>
        <v>9.7064801185619554E-3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0.52016697832603276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-7.417166684134277E-2</v>
      </c>
      <c r="H1287" t="s">
        <v>25</v>
      </c>
      <c r="I1287">
        <f>VLOOKUP(Table4[[#This Row],[Visitor]],'NHL Model'!$A$6:$B$38,2,FALSE)</f>
        <v>0.33829893848778331</v>
      </c>
      <c r="J1287">
        <f>($B$1+Table4[[#This Row],[Home Differential]])-Table4[[#This Row],[Away Differential]]</f>
        <v>-0.27563402756899347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0.52909800680840957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-0.21579108793246188</v>
      </c>
      <c r="H1288" t="s">
        <v>13</v>
      </c>
      <c r="I1288">
        <f>VLOOKUP(Table4[[#This Row],[Visitor]],'NHL Model'!$A$6:$B$38,2,FALSE)</f>
        <v>-0.14985965438623808</v>
      </c>
      <c r="J1288">
        <f>($B$1+Table4[[#This Row],[Home Differential]])-Table4[[#This Row],[Away Differential]]</f>
        <v>7.0905144213908811E-2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0.51543844919416204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-0.9803970267772969</v>
      </c>
      <c r="H1289" t="s">
        <v>34</v>
      </c>
      <c r="I1289">
        <f>VLOOKUP(Table4[[#This Row],[Visitor]],'NHL Model'!$A$6:$B$38,2,FALSE)</f>
        <v>0.32232840463649798</v>
      </c>
      <c r="J1289">
        <f>($B$1+Table4[[#This Row],[Home Differential]])-Table4[[#This Row],[Away Differential]]</f>
        <v>-1.1658888536536622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0.6238606125493843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0.98607049252714107</v>
      </c>
      <c r="H1290" t="s">
        <v>26</v>
      </c>
      <c r="I1290">
        <f>VLOOKUP(Table4[[#This Row],[Visitor]],'NHL Model'!$A$6:$B$38,2,FALSE)</f>
        <v>-4.6015351177631898E-2</v>
      </c>
      <c r="J1290">
        <f>($B$1+Table4[[#This Row],[Home Differential]])-Table4[[#This Row],[Away Differential]]</f>
        <v>1.1689224214649057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0.63547213896772303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4.3410611683700091E-2</v>
      </c>
      <c r="H1291" t="s">
        <v>39</v>
      </c>
      <c r="I1291">
        <f>VLOOKUP(Table4[[#This Row],[Visitor]],'NHL Model'!$A$6:$B$38,2,FALSE)</f>
        <v>0.5231745585052443</v>
      </c>
      <c r="J1291">
        <f>($B$1+Table4[[#This Row],[Home Differential]])-Table4[[#This Row],[Away Differential]]</f>
        <v>-0.34292736906141164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0.51694698685581741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0.1394237692045871</v>
      </c>
      <c r="H1292" t="s">
        <v>40</v>
      </c>
      <c r="I1292">
        <f>VLOOKUP(Table4[[#This Row],[Visitor]],'NHL Model'!$A$6:$B$38,2,FALSE)</f>
        <v>-0.16816097389287935</v>
      </c>
      <c r="J1292">
        <f>($B$1+Table4[[#This Row],[Home Differential]])-Table4[[#This Row],[Away Differential]]</f>
        <v>0.444421320857599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0.58286531035284672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0.17390560158361429</v>
      </c>
      <c r="H1293" t="s">
        <v>24</v>
      </c>
      <c r="I1293">
        <f>VLOOKUP(Table4[[#This Row],[Visitor]],'NHL Model'!$A$6:$B$38,2,FALSE)</f>
        <v>-0.27466957136179609</v>
      </c>
      <c r="J1293">
        <f>($B$1+Table4[[#This Row],[Home Differential]])-Table4[[#This Row],[Away Differential]]</f>
        <v>0.58541175070554297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0.61201967012542546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-0.29093210318822477</v>
      </c>
      <c r="H1294" t="s">
        <v>22</v>
      </c>
      <c r="I1294">
        <f>VLOOKUP(Table4[[#This Row],[Visitor]],'NHL Model'!$A$6:$B$38,2,FALSE)</f>
        <v>0.34677881456804194</v>
      </c>
      <c r="J1294">
        <f>($B$1+Table4[[#This Row],[Home Differential]])-Table4[[#This Row],[Away Differential]]</f>
        <v>-0.50087433999613407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0.50831031506382429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-0.54997285633810766</v>
      </c>
      <c r="H1295" t="s">
        <v>12</v>
      </c>
      <c r="I1295">
        <f>VLOOKUP(Table4[[#This Row],[Visitor]],'NHL Model'!$A$6:$B$38,2,FALSE)</f>
        <v>1.7070031799067014</v>
      </c>
      <c r="J1295">
        <f>($B$1+Table4[[#This Row],[Home Differential]])-Table4[[#This Row],[Away Differential]]</f>
        <v>-2.1201394584846764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0.72028109371695359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0.32232840463649798</v>
      </c>
      <c r="H1296" t="s">
        <v>31</v>
      </c>
      <c r="I1296">
        <f>VLOOKUP(Table4[[#This Row],[Visitor]],'NHL Model'!$A$6:$B$38,2,FALSE)</f>
        <v>-0.30466872127922601</v>
      </c>
      <c r="J1296">
        <f>($B$1+Table4[[#This Row],[Home Differential]])-Table4[[#This Row],[Away Differential]]</f>
        <v>0.76383370367585668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0.61443865381624607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0.25279292855900759</v>
      </c>
      <c r="H1297" t="s">
        <v>25</v>
      </c>
      <c r="I1297">
        <f>VLOOKUP(Table4[[#This Row],[Visitor]],'NHL Model'!$A$6:$B$38,2,FALSE)</f>
        <v>0.33829893848778331</v>
      </c>
      <c r="J1297">
        <f>($B$1+Table4[[#This Row],[Home Differential]])-Table4[[#This Row],[Away Differential]]</f>
        <v>5.1330567831356866E-2</v>
      </c>
      <c r="K1297" t="str">
        <f>IF(Table4[[#This Row],[HomeIce Differential]]&gt;0,Table4[[#This Row],[Home]],Table4[[#This Row],[Visitor]])</f>
        <v>New York Islanders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0.52172945769901413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-7.417166684134277E-2</v>
      </c>
      <c r="H1298" t="s">
        <v>18</v>
      </c>
      <c r="I1298">
        <f>VLOOKUP(Table4[[#This Row],[Visitor]],'NHL Model'!$A$6:$B$38,2,FALSE)</f>
        <v>6.8462291869218858E-2</v>
      </c>
      <c r="J1298">
        <f>($B$1+Table4[[#This Row],[Home Differential]])-Table4[[#This Row],[Away Differential]]</f>
        <v>-5.797380950429018E-3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0.51196750868309004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-0.9803970267772969</v>
      </c>
      <c r="H1299" t="s">
        <v>14</v>
      </c>
      <c r="I1299">
        <f>VLOOKUP(Table4[[#This Row],[Visitor]],'NHL Model'!$A$6:$B$38,2,FALSE)</f>
        <v>1.1343608350765873E-2</v>
      </c>
      <c r="J1299">
        <f>($B$1+Table4[[#This Row],[Home Differential]])-Table4[[#This Row],[Away Differential]]</f>
        <v>-0.85490405736793018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0.5632264082742815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0.27119018820614604</v>
      </c>
      <c r="H1300" t="s">
        <v>40</v>
      </c>
      <c r="I1300">
        <f>VLOOKUP(Table4[[#This Row],[Visitor]],'NHL Model'!$A$6:$B$38,2,FALSE)</f>
        <v>-0.16816097389287935</v>
      </c>
      <c r="J1300">
        <f>($B$1+Table4[[#This Row],[Home Differential]])-Table4[[#This Row],[Away Differential]]</f>
        <v>0.57618773985915794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0.60959106108330052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-0.87254503056606192</v>
      </c>
      <c r="H1301" t="s">
        <v>13</v>
      </c>
      <c r="I1301">
        <f>VLOOKUP(Table4[[#This Row],[Visitor]],'NHL Model'!$A$6:$B$38,2,FALSE)</f>
        <v>-0.14985965438623808</v>
      </c>
      <c r="J1301">
        <f>($B$1+Table4[[#This Row],[Home Differential]])-Table4[[#This Row],[Away Differential]]</f>
        <v>-0.58584879841969129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0.5479067600818468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0.13483877693289487</v>
      </c>
      <c r="H1302" t="s">
        <v>39</v>
      </c>
      <c r="I1302">
        <f>VLOOKUP(Table4[[#This Row],[Visitor]],'NHL Model'!$A$6:$B$38,2,FALSE)</f>
        <v>0.5231745585052443</v>
      </c>
      <c r="J1302">
        <f>($B$1+Table4[[#This Row],[Home Differential]])-Table4[[#This Row],[Away Differential]]</f>
        <v>-0.2514992038122168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0.49364534788382097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-0.43286905189715857</v>
      </c>
      <c r="H1303" t="s">
        <v>33</v>
      </c>
      <c r="I1303">
        <f>VLOOKUP(Table4[[#This Row],[Visitor]],'NHL Model'!$A$6:$B$38,2,FALSE)</f>
        <v>-0.3566847028170323</v>
      </c>
      <c r="J1303">
        <f>($B$1+Table4[[#This Row],[Home Differential]])-Table4[[#This Row],[Away Differential]]</f>
        <v>6.0652228680006359E-2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0.52508079595978241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-7.4962464446554744E-2</v>
      </c>
      <c r="H1304" t="s">
        <v>26</v>
      </c>
      <c r="I1304">
        <f>VLOOKUP(Table4[[#This Row],[Visitor]],'NHL Model'!$A$6:$B$38,2,FALSE)</f>
        <v>-4.6015351177631898E-2</v>
      </c>
      <c r="J1304">
        <f>($B$1+Table4[[#This Row],[Home Differential]])-Table4[[#This Row],[Away Differential]]</f>
        <v>0.10788946449120976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0.51900565961470702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-7.2312572939580336E-2</v>
      </c>
      <c r="H1305" t="s">
        <v>19</v>
      </c>
      <c r="I1305">
        <f>VLOOKUP(Table4[[#This Row],[Visitor]],'NHL Model'!$A$6:$B$38,2,FALSE)</f>
        <v>4.3410611683700091E-2</v>
      </c>
      <c r="J1305">
        <f>($B$1+Table4[[#This Row],[Home Differential]])-Table4[[#This Row],[Away Differential]]</f>
        <v>2.1113393136852183E-2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0.54203642828761323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0.98607049252714107</v>
      </c>
      <c r="H1306" t="s">
        <v>15</v>
      </c>
      <c r="I1306">
        <f>VLOOKUP(Table4[[#This Row],[Visitor]],'NHL Model'!$A$6:$B$38,2,FALSE)</f>
        <v>-0.36341023830385849</v>
      </c>
      <c r="J1306">
        <f>($B$1+Table4[[#This Row],[Home Differential]])-Table4[[#This Row],[Away Differential]]</f>
        <v>1.4863173085911321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0.62483970874344708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0.1394237692045871</v>
      </c>
      <c r="H1307" t="s">
        <v>32</v>
      </c>
      <c r="I1307">
        <f>VLOOKUP(Table4[[#This Row],[Visitor]],'NHL Model'!$A$6:$B$38,2,FALSE)</f>
        <v>-0.21579108793246188</v>
      </c>
      <c r="J1307">
        <f>($B$1+Table4[[#This Row],[Home Differential]])-Table4[[#This Row],[Away Differential]]</f>
        <v>0.49205143489718156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0.57777529777380077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-0.54997285633810766</v>
      </c>
      <c r="H1308" t="s">
        <v>13</v>
      </c>
      <c r="I1308">
        <f>VLOOKUP(Table4[[#This Row],[Visitor]],'NHL Model'!$A$6:$B$38,2,FALSE)</f>
        <v>-0.14985965438623808</v>
      </c>
      <c r="J1308">
        <f>($B$1+Table4[[#This Row],[Home Differential]])-Table4[[#This Row],[Away Differential]]</f>
        <v>-0.26327662419173703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0.50266627541045195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1.7070031799067014</v>
      </c>
      <c r="H1309" t="s">
        <v>32</v>
      </c>
      <c r="I1309">
        <f>VLOOKUP(Table4[[#This Row],[Visitor]],'NHL Model'!$A$6:$B$38,2,FALSE)</f>
        <v>-0.21579108793246188</v>
      </c>
      <c r="J1309">
        <f>($B$1+Table4[[#This Row],[Home Differential]])-Table4[[#This Row],[Away Differential]]</f>
        <v>2.0596308455992958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0.84224896521172221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3.922199270086173E-4</v>
      </c>
      <c r="H1310" t="s">
        <v>38</v>
      </c>
      <c r="I1310">
        <f>VLOOKUP(Table4[[#This Row],[Visitor]],'NHL Model'!$A$6:$B$38,2,FALSE)</f>
        <v>-0.87254503056606192</v>
      </c>
      <c r="J1310">
        <f>($B$1+Table4[[#This Row],[Home Differential]])-Table4[[#This Row],[Away Differential]]</f>
        <v>1.0097738282532032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0.64194912690444328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-0.48381480045860298</v>
      </c>
      <c r="H1311" t="s">
        <v>31</v>
      </c>
      <c r="I1311">
        <f>VLOOKUP(Table4[[#This Row],[Visitor]],'NHL Model'!$A$6:$B$38,2,FALSE)</f>
        <v>-0.30466872127922601</v>
      </c>
      <c r="J1311">
        <f>($B$1+Table4[[#This Row],[Home Differential]])-Table4[[#This Row],[Away Differential]]</f>
        <v>-4.2309501419244333E-2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0.46408083461367333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0.27119018820614604</v>
      </c>
      <c r="H1312" t="s">
        <v>35</v>
      </c>
      <c r="I1312">
        <f>VLOOKUP(Table4[[#This Row],[Visitor]],'NHL Model'!$A$6:$B$38,2,FALSE)</f>
        <v>-0.9803970267772969</v>
      </c>
      <c r="J1312">
        <f>($B$1+Table4[[#This Row],[Home Differential]])-Table4[[#This Row],[Away Differential]]</f>
        <v>1.3884237927435756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0.68793282564913172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-0.16816097389287935</v>
      </c>
      <c r="H1313" t="s">
        <v>33</v>
      </c>
      <c r="I1313">
        <f>VLOOKUP(Table4[[#This Row],[Visitor]],'NHL Model'!$A$6:$B$38,2,FALSE)</f>
        <v>-0.3566847028170323</v>
      </c>
      <c r="J1313">
        <f>($B$1+Table4[[#This Row],[Home Differential]])-Table4[[#This Row],[Away Differential]]</f>
        <v>0.32536030668428556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0.55061241063268584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46</v>
      </c>
      <c r="C2">
        <f>COUNTIF(NHL2025_26Results[Winning Team],Standings!A2)</f>
        <v>22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47</v>
      </c>
      <c r="G2">
        <f>COUNTIFS('NHL2025-26Results'!$D:$D,A2,'NHL2025-26Results'!$G:$G,A2)</f>
        <v>13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0.59090909090909094</v>
      </c>
      <c r="N2" s="11">
        <f>Table1[[#This Row],[AwayWins]]/SUM(Table1[[#This Row],[AwayWins]:[AwayOTL]])</f>
        <v>0.375</v>
      </c>
      <c r="O2" s="14">
        <f>SUMIFS('NHL2025-26Results'!$E:$E,'NHL2025-26Results'!$D:$D,A2,'NHL2025-26Results'!$E:$E,"&gt;0")/COUNTIFS('NHL2025-26Results'!$D:$D,A2,'NHL2025-26Results'!$E:$E,"&gt;0")</f>
        <v>3.7142857142857144</v>
      </c>
      <c r="P2" s="15">
        <f>SUMIFS('NHL2025-26Results'!$C:$C,'NHL2025-26Results'!$B:$B,A2,'NHL2025-26Results'!$C:$C,"&gt;0")/COUNTIFS('NHL2025-26Results'!$B:$B,A2,'NHL2025-26Results'!$C:$C,"&gt;0")</f>
        <v>3.2608695652173911</v>
      </c>
      <c r="Q2" s="14">
        <f>SUMIFS('NHL2025-26Results'!$C:$C,'NHL2025-26Results'!$D:$D,A2,'NHL2025-26Results'!$C:$C,"&gt;0")/COUNTIFS('NHL2025-26Results'!$D:$D,A2,'NHL2025-26Results'!$C:$C,"&gt;0")</f>
        <v>3.3636363636363638</v>
      </c>
      <c r="R2" s="14">
        <f>SUMIFS('NHL2025-26Results'!$E:$E,'NHL2025-26Results'!$B:$B,A2,'NHL2025-26Results'!$E:$E,"&gt;0")/COUNTIFS('NHL2025-26Results'!$B:$B,A2,'NHL2025-26Results'!$E:$E,"&gt;0")</f>
        <v>3.9583333333333335</v>
      </c>
    </row>
    <row r="3" spans="1:18" x14ac:dyDescent="0.2">
      <c r="A3" s="4" t="s">
        <v>21</v>
      </c>
      <c r="B3">
        <f>SUM(Table1[[#This Row],[W]:[OTL]])</f>
        <v>47</v>
      </c>
      <c r="C3">
        <f>COUNTIF(NHL2025_26Results[Winning Team],Standings!A3)</f>
        <v>25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52</v>
      </c>
      <c r="G3">
        <f>COUNTIFS('NHL2025-26Results'!$D:$D,A3,'NHL2025-26Results'!$G:$G,A3)</f>
        <v>15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10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</v>
      </c>
      <c r="N3" s="11">
        <f>Table1[[#This Row],[AwayWins]]/SUM(Table1[[#This Row],[AwayWins]:[AwayOTL]])</f>
        <v>0.45454545454545453</v>
      </c>
      <c r="O3" s="14">
        <f>SUMIFS('NHL2025-26Results'!$E:$E,'NHL2025-26Results'!$D:$D,A3,'NHL2025-26Results'!$E:$E,"&gt;0")/COUNTIFS('NHL2025-26Results'!$D:$D,A3,'NHL2025-26Results'!$E:$E,"&gt;0")</f>
        <v>3.44</v>
      </c>
      <c r="P3" s="14">
        <f>SUMIFS('NHL2025-26Results'!$C:$C,'NHL2025-26Results'!$B:$B,A3,'NHL2025-26Results'!$C:$C,"&gt;0")/COUNTIFS('NHL2025-26Results'!$B:$B,A3,'NHL2025-26Results'!$C:$C,"&gt;0")</f>
        <v>3.1363636363636362</v>
      </c>
      <c r="Q3" s="14">
        <f>SUMIFS('NHL2025-26Results'!$C:$C,'NHL2025-26Results'!$D:$D,A3,'NHL2025-26Results'!$C:$C,"&gt;0")/COUNTIFS('NHL2025-26Results'!$D:$D,A3,'NHL2025-26Results'!$C:$C,"&gt;0")</f>
        <v>3.0434782608695654</v>
      </c>
      <c r="R3" s="14">
        <f>SUMIFS('NHL2025-26Results'!$E:$E,'NHL2025-26Results'!$B:$B,A3,'NHL2025-26Results'!$E:$E,"&gt;0")/COUNTIFS('NHL2025-26Results'!$B:$B,A3,'NHL2025-26Results'!$E:$E,"&gt;0")</f>
        <v>3.4545454545454546</v>
      </c>
    </row>
    <row r="4" spans="1:18" x14ac:dyDescent="0.2">
      <c r="A4" s="4" t="s">
        <v>23</v>
      </c>
      <c r="B4">
        <f>SUM(Table1[[#This Row],[W]:[OTL]])</f>
        <v>45</v>
      </c>
      <c r="C4">
        <f>COUNTIF(NHL2025_26Results[Winning Team],Standings!A4)</f>
        <v>25</v>
      </c>
      <c r="D4">
        <f>COUNTIFS('NHL2025-26Results'!$H:$H,A4,'NHL2025-26Results'!$F:$F,"")</f>
        <v>16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54</v>
      </c>
      <c r="G4">
        <f>COUNTIFS('NHL2025-26Results'!$D:$D,A4,'NHL2025-26Results'!$G:$G,A4)</f>
        <v>15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0.65217391304347827</v>
      </c>
      <c r="N4" s="11">
        <f>Table1[[#This Row],[AwayWins]]/SUM(Table1[[#This Row],[AwayWins]:[AwayOTL]])</f>
        <v>0.45454545454545453</v>
      </c>
      <c r="O4" s="14">
        <f>SUMIFS('NHL2025-26Results'!$E:$E,'NHL2025-26Results'!$D:$D,A4,'NHL2025-26Results'!$E:$E,"&gt;0")/COUNTIFS('NHL2025-26Results'!$D:$D,A4,'NHL2025-26Results'!$E:$E,"&gt;0")</f>
        <v>4.2</v>
      </c>
      <c r="P4" s="14">
        <f>SUMIFS('NHL2025-26Results'!$C:$C,'NHL2025-26Results'!$B:$B,A4,'NHL2025-26Results'!$C:$C,"&gt;0")/COUNTIFS('NHL2025-26Results'!$B:$B,A4,'NHL2025-26Results'!$C:$C,"&gt;0")</f>
        <v>2.9090909090909092</v>
      </c>
      <c r="Q4" s="14">
        <f>SUMIFS('NHL2025-26Results'!$C:$C,'NHL2025-26Results'!$D:$D,A4,'NHL2025-26Results'!$C:$C,"&gt;0")/COUNTIFS('NHL2025-26Results'!$D:$D,A4,'NHL2025-26Results'!$C:$C,"&gt;0")</f>
        <v>2.8636363636363638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46</v>
      </c>
      <c r="C5">
        <f>COUNTIF(NHL2025_26Results[Winning Team],Standings!A5)</f>
        <v>19</v>
      </c>
      <c r="D5">
        <f>COUNTIFS('NHL2025-26Results'!$H:$H,A5,'NHL2025-26Results'!$F:$F,"")</f>
        <v>23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42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7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0.5714285714285714</v>
      </c>
      <c r="N5" s="11">
        <f>Table1[[#This Row],[AwayWins]]/SUM(Table1[[#This Row],[AwayWins]:[AwayOTL]])</f>
        <v>0.28000000000000003</v>
      </c>
      <c r="O5" s="14">
        <f>SUMIFS('NHL2025-26Results'!$E:$E,'NHL2025-26Results'!$D:$D,A5,'NHL2025-26Results'!$E:$E,"&gt;0")/COUNTIFS('NHL2025-26Results'!$D:$D,A5,'NHL2025-26Results'!$E:$E,"&gt;0")</f>
        <v>3.2</v>
      </c>
      <c r="P5" s="14">
        <f>SUMIFS('NHL2025-26Results'!$C:$C,'NHL2025-26Results'!$B:$B,A5,'NHL2025-26Results'!$C:$C,"&gt;0")/COUNTIFS('NHL2025-26Results'!$B:$B,A5,'NHL2025-26Results'!$C:$C,"&gt;0")</f>
        <v>2.3913043478260869</v>
      </c>
      <c r="Q5" s="14">
        <f>SUMIFS('NHL2025-26Results'!$C:$C,'NHL2025-26Results'!$D:$D,A5,'NHL2025-26Results'!$C:$C,"&gt;0")/COUNTIFS('NHL2025-26Results'!$D:$D,A5,'NHL2025-26Results'!$C:$C,"&gt;0")</f>
        <v>2.6842105263157894</v>
      </c>
      <c r="R5" s="14">
        <f>SUMIFS('NHL2025-26Results'!$E:$E,'NHL2025-26Results'!$B:$B,A5,'NHL2025-26Results'!$E:$E,"&gt;0")/COUNTIFS('NHL2025-26Results'!$B:$B,A5,'NHL2025-26Results'!$E:$E,"&gt;0")</f>
        <v>3.56</v>
      </c>
    </row>
    <row r="6" spans="1:18" x14ac:dyDescent="0.2">
      <c r="A6" s="4" t="s">
        <v>25</v>
      </c>
      <c r="B6">
        <f>SUM(Table1[[#This Row],[W]:[OTL]])</f>
        <v>47</v>
      </c>
      <c r="C6">
        <f>COUNTIF(NHL2025_26Results[Winning Team],Standings!A6)</f>
        <v>28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60</v>
      </c>
      <c r="G6">
        <f>COUNTIFS('NHL2025-26Results'!$D:$D,A6,'NHL2025-26Results'!$G:$G,A6)</f>
        <v>16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12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</v>
      </c>
      <c r="N6" s="11">
        <f>Table1[[#This Row],[AwayWins]]/SUM(Table1[[#This Row],[AwayWins]:[AwayOTL]])</f>
        <v>0.54545454545454541</v>
      </c>
      <c r="O6" s="14">
        <f>SUMIFS('NHL2025-26Results'!$E:$E,'NHL2025-26Results'!$D:$D,A6,'NHL2025-26Results'!$E:$E,"&gt;0")/COUNTIFS('NHL2025-26Results'!$D:$D,A6,'NHL2025-26Results'!$E:$E,"&gt;0")</f>
        <v>3.68</v>
      </c>
      <c r="P6" s="14">
        <f>SUMIFS('NHL2025-26Results'!$C:$C,'NHL2025-26Results'!$B:$B,A6,'NHL2025-26Results'!$C:$C,"&gt;0")/COUNTIFS('NHL2025-26Results'!$B:$B,A6,'NHL2025-26Results'!$C:$C,"&gt;0")</f>
        <v>3.1428571428571428</v>
      </c>
      <c r="Q6" s="14">
        <f>SUMIFS('NHL2025-26Results'!$C:$C,'NHL2025-26Results'!$D:$D,A6,'NHL2025-26Results'!$C:$C,"&gt;0")/COUNTIFS('NHL2025-26Results'!$D:$D,A6,'NHL2025-26Results'!$C:$C,"&gt;0")</f>
        <v>3.2916666666666665</v>
      </c>
      <c r="R6" s="14">
        <f>SUMIFS('NHL2025-26Results'!$E:$E,'NHL2025-26Results'!$B:$B,A6,'NHL2025-26Results'!$E:$E,"&gt;0")/COUNTIFS('NHL2025-26Results'!$B:$B,A6,'NHL2025-26Results'!$E:$E,"&gt;0")</f>
        <v>3</v>
      </c>
    </row>
    <row r="7" spans="1:18" x14ac:dyDescent="0.2">
      <c r="A7" s="4" t="s">
        <v>10</v>
      </c>
      <c r="B7">
        <f>SUM(Table1[[#This Row],[W]:[OTL]])</f>
        <v>46</v>
      </c>
      <c r="C7">
        <f>COUNTIF(NHL2025_26Results[Winning Team],Standings!A7)</f>
        <v>19</v>
      </c>
      <c r="D7">
        <f>COUNTIFS('NHL2025-26Results'!$H:$H,A7,'NHL2025-26Results'!$F:$F,"")</f>
        <v>20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45</v>
      </c>
      <c r="G7">
        <f>COUNTIFS('NHL2025-26Results'!$D:$D,A7,'NHL2025-26Results'!$G:$G,A7)</f>
        <v>10</v>
      </c>
      <c r="H7">
        <f>COUNTIFS('NHL2025-26Results'!$D:$D,A7,'NHL2025-26Results'!$H:$H,A7,'NHL2025-26Results'!$F:$F,"")</f>
        <v>10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0.41666666666666669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3.0869565217391304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45</v>
      </c>
      <c r="C8">
        <f>COUNTIF(NHL2025_26Results[Winning Team],Standings!A8)</f>
        <v>33</v>
      </c>
      <c r="D8">
        <f>COUNTIFS('NHL2025-26Results'!$H:$H,A8,'NHL2025-26Results'!$F:$F,"")</f>
        <v>4</v>
      </c>
      <c r="E8">
        <f>COUNTIFS('NHL2025-26Results'!$F:$F,"OT",'NHL2025-26Results'!$H:$H,A8) + COUNTIFS('NHL2025-26Results'!$F:$F,"SO",'NHL2025-26Results'!$H:$H,A8)</f>
        <v>8</v>
      </c>
      <c r="F8" s="3">
        <f>(Table1[[#This Row],[W]]*2)+Table1[[#This Row],[OTL]]</f>
        <v>74</v>
      </c>
      <c r="G8">
        <f>COUNTIFS('NHL2025-26Results'!$D:$D,A8,'NHL2025-26Results'!$G:$G,A8)</f>
        <v>19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3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0.86363636363636365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4.5909090909090908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2.3157894736842106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46</v>
      </c>
      <c r="C9">
        <f>COUNTIF(NHL2025_26Results[Winning Team],Standings!A9)</f>
        <v>20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47</v>
      </c>
      <c r="G9">
        <f>COUNTIFS('NHL2025-26Results'!$D:$D,A9,'NHL2025-26Results'!$G:$G,A9)</f>
        <v>10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10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0.47619047619047616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3.1904761904761907</v>
      </c>
      <c r="P9" s="14">
        <f>SUMIFS('NHL2025-26Results'!$C:$C,'NHL2025-26Results'!$B:$B,A9,'NHL2025-26Results'!$C:$C,"&gt;0")/COUNTIFS('NHL2025-26Results'!$B:$B,A9,'NHL2025-26Results'!$C:$C,"&gt;0")</f>
        <v>3.1739130434782608</v>
      </c>
      <c r="Q9" s="14">
        <f>SUMIFS('NHL2025-26Results'!$C:$C,'NHL2025-26Results'!$D:$D,A9,'NHL2025-26Results'!$C:$C,"&gt;0")/COUNTIFS('NHL2025-26Results'!$D:$D,A9,'NHL2025-26Results'!$C:$C,"&gt;0")</f>
        <v>3.3333333333333335</v>
      </c>
      <c r="R9" s="14">
        <f>SUMIFS('NHL2025-26Results'!$E:$E,'NHL2025-26Results'!$B:$B,A9,'NHL2025-26Results'!$E:$E,"&gt;0")/COUNTIFS('NHL2025-26Results'!$B:$B,A9,'NHL2025-26Results'!$E:$E,"&gt;0")</f>
        <v>3.44</v>
      </c>
    </row>
    <row r="10" spans="1:18" x14ac:dyDescent="0.2">
      <c r="A10" s="4" t="s">
        <v>39</v>
      </c>
      <c r="B10">
        <f>SUM(Table1[[#This Row],[W]:[OTL]])</f>
        <v>47</v>
      </c>
      <c r="C10">
        <f>COUNTIF(NHL2025_26Results[Winning Team],Standings!A10)</f>
        <v>27</v>
      </c>
      <c r="D10">
        <f>COUNTIFS('NHL2025-26Results'!$H:$H,A10,'NHL2025-26Results'!$F:$F,"")</f>
        <v>11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63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5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0.57692307692307687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3.6538461538461537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3.1666666666666665</v>
      </c>
    </row>
    <row r="11" spans="1:18" x14ac:dyDescent="0.2">
      <c r="A11" s="4" t="s">
        <v>26</v>
      </c>
      <c r="B11">
        <f>SUM(Table1[[#This Row],[W]:[OTL]])</f>
        <v>48</v>
      </c>
      <c r="C11">
        <f>COUNTIF(NHL2025_26Results[Winning Team],Standings!A11)</f>
        <v>28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60</v>
      </c>
      <c r="G11">
        <f>COUNTIFS('NHL2025-26Results'!$D:$D,A11,'NHL2025-26Results'!$G:$G,A11)</f>
        <v>16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0.64</v>
      </c>
      <c r="N11" s="11">
        <f>Table1[[#This Row],[AwayWins]]/SUM(Table1[[#This Row],[AwayWins]:[AwayOTL]])</f>
        <v>0.52173913043478259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3.24</v>
      </c>
      <c r="R11" s="14">
        <f>SUMIFS('NHL2025-26Results'!$E:$E,'NHL2025-26Results'!$B:$B,A11,'NHL2025-26Results'!$E:$E,"&gt;0")/COUNTIFS('NHL2025-26Results'!$B:$B,A11,'NHL2025-26Results'!$E:$E,"&gt;0")</f>
        <v>3.35</v>
      </c>
    </row>
    <row r="12" spans="1:18" x14ac:dyDescent="0.2">
      <c r="A12" s="4" t="s">
        <v>17</v>
      </c>
      <c r="B12">
        <f>SUM(Table1[[#This Row],[W]:[OTL]])</f>
        <v>47</v>
      </c>
      <c r="C12">
        <f>COUNTIF(NHL2025_26Results[Winning Team],Standings!A12)</f>
        <v>23</v>
      </c>
      <c r="D12">
        <f>COUNTIFS('NHL2025-26Results'!$H:$H,A12,'NHL2025-26Results'!$F:$F,"")</f>
        <v>16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54</v>
      </c>
      <c r="G12">
        <f>COUNTIFS('NHL2025-26Results'!$D:$D,A12,'NHL2025-26Results'!$G:$G,A12)</f>
        <v>11</v>
      </c>
      <c r="H12">
        <f>COUNTIFS('NHL2025-26Results'!$D:$D,A12,'NHL2025-26Results'!$H:$H,A12,'NHL2025-26Results'!$F:$F,"")</f>
        <v>5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12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0.55000000000000004</v>
      </c>
      <c r="N12" s="11">
        <f>Table1[[#This Row],[AwayWins]]/SUM(Table1[[#This Row],[AwayWins]:[AwayOTL]])</f>
        <v>0.44444444444444442</v>
      </c>
      <c r="O12" s="14">
        <f>SUMIFS('NHL2025-26Results'!$E:$E,'NHL2025-26Results'!$D:$D,A12,'NHL2025-26Results'!$E:$E,"&gt;0")/COUNTIFS('NHL2025-26Results'!$D:$D,A12,'NHL2025-26Results'!$E:$E,"&gt;0")</f>
        <v>4.0526315789473681</v>
      </c>
      <c r="P12" s="14">
        <f>SUMIFS('NHL2025-26Results'!$C:$C,'NHL2025-26Results'!$B:$B,A12,'NHL2025-26Results'!$C:$C,"&gt;0")/COUNTIFS('NHL2025-26Results'!$B:$B,A12,'NHL2025-26Results'!$C:$C,"&gt;0")</f>
        <v>3.0370370370370372</v>
      </c>
      <c r="Q12" s="14">
        <f>SUMIFS('NHL2025-26Results'!$C:$C,'NHL2025-26Results'!$D:$D,A12,'NHL2025-26Results'!$C:$C,"&gt;0")/COUNTIFS('NHL2025-26Results'!$D:$D,A12,'NHL2025-26Results'!$C:$C,"&gt;0")</f>
        <v>3.65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45</v>
      </c>
      <c r="C13">
        <f>COUNTIF(NHL2025_26Results[Winning Team],Standings!A13)</f>
        <v>24</v>
      </c>
      <c r="D13">
        <f>COUNTIFS('NHL2025-26Results'!$H:$H,A13,'NHL2025-26Results'!$F:$F,"")</f>
        <v>18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51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10</v>
      </c>
      <c r="K13">
        <f>COUNTIFS('NHL2025-26Results'!$B:$B,A13,'NHL2025-26Results'!$H:$H,A13,'NHL2025-26Results'!$F:$F,"")</f>
        <v>9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0.52631578947368418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3.2222222222222223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46</v>
      </c>
      <c r="C14">
        <f>COUNTIF(NHL2025_26Results[Winning Team],Standings!A14)</f>
        <v>19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11</v>
      </c>
      <c r="F14" s="3">
        <f>(Table1[[#This Row],[W]]*2)+Table1[[#This Row],[OTL]]</f>
        <v>49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6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0.30434782608695654</v>
      </c>
      <c r="N14" s="11">
        <f>Table1[[#This Row],[AwayWins]]/SUM(Table1[[#This Row],[AwayWins]:[AwayOTL]])</f>
        <v>0.52173913043478259</v>
      </c>
      <c r="O14" s="14">
        <f>SUMIFS('NHL2025-26Results'!$E:$E,'NHL2025-26Results'!$D:$D,A14,'NHL2025-26Results'!$E:$E,"&gt;0")/COUNTIFS('NHL2025-26Results'!$D:$D,A14,'NHL2025-26Results'!$E:$E,"&gt;0")</f>
        <v>2.4347826086956523</v>
      </c>
      <c r="P14" s="14">
        <f>SUMIFS('NHL2025-26Results'!$C:$C,'NHL2025-26Results'!$B:$B,A14,'NHL2025-26Results'!$C:$C,"&gt;0")/COUNTIFS('NHL2025-26Results'!$B:$B,A14,'NHL2025-26Results'!$C:$C,"&gt;0")</f>
        <v>2.8695652173913042</v>
      </c>
      <c r="Q14" s="14">
        <f>SUMIFS('NHL2025-26Results'!$C:$C,'NHL2025-26Results'!$D:$D,A14,'NHL2025-26Results'!$C:$C,"&gt;0")/COUNTIFS('NHL2025-26Results'!$D:$D,A14,'NHL2025-26Results'!$C:$C,"&gt;0")</f>
        <v>3.0476190476190474</v>
      </c>
      <c r="R14" s="14">
        <f>SUMIFS('NHL2025-26Results'!$E:$E,'NHL2025-26Results'!$B:$B,A14,'NHL2025-26Results'!$E:$E,"&gt;0")/COUNTIFS('NHL2025-26Results'!$B:$B,A14,'NHL2025-26Results'!$E:$E,"&gt;0")</f>
        <v>3.0454545454545454</v>
      </c>
    </row>
    <row r="15" spans="1:18" x14ac:dyDescent="0.2">
      <c r="A15" s="4" t="s">
        <v>34</v>
      </c>
      <c r="B15">
        <f>SUM(Table1[[#This Row],[W]:[OTL]])</f>
        <v>47</v>
      </c>
      <c r="C15">
        <f>COUNTIF(NHL2025_26Results[Winning Team],Standings!A15)</f>
        <v>26</v>
      </c>
      <c r="D15">
        <f>COUNTIFS('NHL2025-26Results'!$H:$H,A15,'NHL2025-26Results'!$F:$F,"")</f>
        <v>12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61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5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13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0.54166666666666663</v>
      </c>
      <c r="N15" s="11">
        <f>Table1[[#This Row],[AwayWins]]/SUM(Table1[[#This Row],[AwayWins]:[AwayOTL]])</f>
        <v>0.56521739130434778</v>
      </c>
      <c r="O15" s="14">
        <f>SUMIFS('NHL2025-26Results'!$E:$E,'NHL2025-26Results'!$D:$D,A15,'NHL2025-26Results'!$E:$E,"&gt;0")/COUNTIFS('NHL2025-26Results'!$D:$D,A15,'NHL2025-26Results'!$E:$E,"&gt;0")</f>
        <v>3.1666666666666665</v>
      </c>
      <c r="P15" s="14">
        <f>SUMIFS('NHL2025-26Results'!$C:$C,'NHL2025-26Results'!$B:$B,A15,'NHL2025-26Results'!$C:$C,"&gt;0")/COUNTIFS('NHL2025-26Results'!$B:$B,A15,'NHL2025-26Results'!$C:$C,"&gt;0")</f>
        <v>3.1304347826086958</v>
      </c>
      <c r="Q15" s="14">
        <f>SUMIFS('NHL2025-26Results'!$C:$C,'NHL2025-26Results'!$D:$D,A15,'NHL2025-26Results'!$C:$C,"&gt;0")/COUNTIFS('NHL2025-26Results'!$D:$D,A15,'NHL2025-26Results'!$C:$C,"&gt;0")</f>
        <v>3.3809523809523809</v>
      </c>
      <c r="R15" s="14">
        <f>SUMIFS('NHL2025-26Results'!$E:$E,'NHL2025-26Results'!$B:$B,A15,'NHL2025-26Results'!$E:$E,"&gt;0")/COUNTIFS('NHL2025-26Results'!$B:$B,A15,'NHL2025-26Results'!$E:$E,"&gt;0")</f>
        <v>3.1052631578947367</v>
      </c>
    </row>
    <row r="16" spans="1:18" x14ac:dyDescent="0.2">
      <c r="A16" s="4" t="s">
        <v>18</v>
      </c>
      <c r="B16">
        <f>SUM(Table1[[#This Row],[W]:[OTL]])</f>
        <v>47</v>
      </c>
      <c r="C16">
        <f>COUNTIF(NHL2025_26Results[Winning Team],Standings!A16)</f>
        <v>26</v>
      </c>
      <c r="D16">
        <f>COUNTIFS('NHL2025-26Results'!$H:$H,A16,'NHL2025-26Results'!$F:$F,"")</f>
        <v>14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59</v>
      </c>
      <c r="G16">
        <f>COUNTIFS('NHL2025-26Results'!$D:$D,A16,'NHL2025-26Results'!$G:$G,A16)</f>
        <v>13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13</v>
      </c>
      <c r="K16">
        <f>COUNTIFS('NHL2025-26Results'!$B:$B,A16,'NHL2025-26Results'!$H:$H,A16,'NHL2025-26Results'!$F:$F,"")</f>
        <v>4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0.54166666666666663</v>
      </c>
      <c r="N16" s="11">
        <f>Table1[[#This Row],[AwayWins]]/SUM(Table1[[#This Row],[AwayWins]:[AwayOTL]])</f>
        <v>0.56521739130434778</v>
      </c>
      <c r="O16" s="14">
        <f>SUMIFS('NHL2025-26Results'!$E:$E,'NHL2025-26Results'!$D:$D,A16,'NHL2025-26Results'!$E:$E,"&gt;0")/COUNTIFS('NHL2025-26Results'!$D:$D,A16,'NHL2025-26Results'!$E:$E,"&gt;0")</f>
        <v>3.5909090909090908</v>
      </c>
      <c r="P16" s="14">
        <f>SUMIFS('NHL2025-26Results'!$C:$C,'NHL2025-26Results'!$B:$B,A16,'NHL2025-26Results'!$C:$C,"&gt;0")/COUNTIFS('NHL2025-26Results'!$B:$B,A16,'NHL2025-26Results'!$C:$C,"&gt;0")</f>
        <v>3.6363636363636362</v>
      </c>
      <c r="Q16" s="14">
        <f>SUMIFS('NHL2025-26Results'!$C:$C,'NHL2025-26Results'!$D:$D,A16,'NHL2025-26Results'!$C:$C,"&gt;0")/COUNTIFS('NHL2025-26Results'!$D:$D,A16,'NHL2025-26Results'!$C:$C,"&gt;0")</f>
        <v>3.4782608695652173</v>
      </c>
      <c r="R16" s="14">
        <f>SUMIFS('NHL2025-26Results'!$E:$E,'NHL2025-26Results'!$B:$B,A16,'NHL2025-26Results'!$E:$E,"&gt;0")/COUNTIFS('NHL2025-26Results'!$B:$B,A16,'NHL2025-26Results'!$E:$E,"&gt;0")</f>
        <v>3.2173913043478262</v>
      </c>
    </row>
    <row r="17" spans="1:18" x14ac:dyDescent="0.2">
      <c r="A17" s="4" t="s">
        <v>29</v>
      </c>
      <c r="B17">
        <f>SUM(Table1[[#This Row],[W]:[OTL]])</f>
        <v>46</v>
      </c>
      <c r="C17">
        <f>COUNTIF(NHL2025_26Results[Winning Team],Standings!A17)</f>
        <v>22</v>
      </c>
      <c r="D17">
        <f>COUNTIFS('NHL2025-26Results'!$H:$H,A17,'NHL2025-26Results'!$F:$F,"")</f>
        <v>20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48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9</v>
      </c>
      <c r="K17">
        <f>COUNTIFS('NHL2025-26Results'!$B:$B,A17,'NHL2025-26Results'!$H:$H,A17,'NHL2025-26Results'!$F:$F,"")</f>
        <v>10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0.52</v>
      </c>
      <c r="N17" s="11">
        <f>Table1[[#This Row],[AwayWins]]/SUM(Table1[[#This Row],[AwayWins]:[AwayOTL]])</f>
        <v>0.42857142857142855</v>
      </c>
      <c r="O17" s="14">
        <f>SUMIFS('NHL2025-26Results'!$E:$E,'NHL2025-26Results'!$D:$D,A17,'NHL2025-26Results'!$E:$E,"&gt;0")/COUNTIFS('NHL2025-26Results'!$D:$D,A17,'NHL2025-26Results'!$E:$E,"&gt;0")</f>
        <v>3.0434782608695654</v>
      </c>
      <c r="P17" s="14">
        <f>SUMIFS('NHL2025-26Results'!$C:$C,'NHL2025-26Results'!$B:$B,A17,'NHL2025-26Results'!$C:$C,"&gt;0")/COUNTIFS('NHL2025-26Results'!$B:$B,A17,'NHL2025-26Results'!$C:$C,"&gt;0")</f>
        <v>2.95</v>
      </c>
      <c r="Q17" s="14">
        <f>SUMIFS('NHL2025-26Results'!$C:$C,'NHL2025-26Results'!$D:$D,A17,'NHL2025-26Results'!$C:$C,"&gt;0")/COUNTIFS('NHL2025-26Results'!$D:$D,A17,'NHL2025-26Results'!$C:$C,"&gt;0")</f>
        <v>3.08</v>
      </c>
      <c r="R17" s="14">
        <f>SUMIFS('NHL2025-26Results'!$E:$E,'NHL2025-26Results'!$B:$B,A17,'NHL2025-26Results'!$E:$E,"&gt;0")/COUNTIFS('NHL2025-26Results'!$B:$B,A17,'NHL2025-26Results'!$E:$E,"&gt;0")</f>
        <v>3.5238095238095237</v>
      </c>
    </row>
    <row r="18" spans="1:18" x14ac:dyDescent="0.2">
      <c r="A18" s="4" t="s">
        <v>24</v>
      </c>
      <c r="B18">
        <f>SUM(Table1[[#This Row],[W]:[OTL]])</f>
        <v>47</v>
      </c>
      <c r="C18">
        <f>COUNTIF(NHL2025_26Results[Winning Team],Standings!A18)</f>
        <v>24</v>
      </c>
      <c r="D18">
        <f>COUNTIFS('NHL2025-26Results'!$H:$H,A18,'NHL2025-26Results'!$F:$F,"")</f>
        <v>21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50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8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12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0.54545454545454541</v>
      </c>
      <c r="N18" s="11">
        <f>Table1[[#This Row],[AwayWins]]/SUM(Table1[[#This Row],[AwayWins]:[AwayOTL]])</f>
        <v>0.48</v>
      </c>
      <c r="O18" s="14">
        <f>SUMIFS('NHL2025-26Results'!$E:$E,'NHL2025-26Results'!$D:$D,A18,'NHL2025-26Results'!$E:$E,"&gt;0")/COUNTIFS('NHL2025-26Results'!$D:$D,A18,'NHL2025-26Results'!$E:$E,"&gt;0")</f>
        <v>3.05</v>
      </c>
      <c r="P18" s="14">
        <f>SUMIFS('NHL2025-26Results'!$C:$C,'NHL2025-26Results'!$B:$B,A18,'NHL2025-26Results'!$C:$C,"&gt;0")/COUNTIFS('NHL2025-26Results'!$B:$B,A18,'NHL2025-26Results'!$C:$C,"&gt;0")</f>
        <v>2.9545454545454546</v>
      </c>
      <c r="Q18" s="14">
        <f>SUMIFS('NHL2025-26Results'!$C:$C,'NHL2025-26Results'!$D:$D,A18,'NHL2025-26Results'!$C:$C,"&gt;0")/COUNTIFS('NHL2025-26Results'!$D:$D,A18,'NHL2025-26Results'!$C:$C,"&gt;0")</f>
        <v>2.7727272727272729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46</v>
      </c>
      <c r="C19">
        <f>COUNTIF(NHL2025_26Results[Winning Team],Standings!A19)</f>
        <v>25</v>
      </c>
      <c r="D19">
        <f>COUNTIFS('NHL2025-26Results'!$H:$H,A19,'NHL2025-26Results'!$F:$F,"")</f>
        <v>16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55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11</v>
      </c>
      <c r="K19">
        <f>COUNTIFS('NHL2025-26Results'!$B:$B,A19,'NHL2025-26Results'!$H:$H,A19,'NHL2025-26Results'!$F:$F,"")</f>
        <v>8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2.8636363636363638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3.3157894736842106</v>
      </c>
    </row>
    <row r="20" spans="1:18" x14ac:dyDescent="0.2">
      <c r="A20" s="4" t="s">
        <v>15</v>
      </c>
      <c r="B20">
        <f>SUM(Table1[[#This Row],[W]:[OTL]])</f>
        <v>48</v>
      </c>
      <c r="C20">
        <f>COUNTIF(NHL2025_26Results[Winning Team],Standings!A20)</f>
        <v>21</v>
      </c>
      <c r="D20">
        <f>COUNTIFS('NHL2025-26Results'!$H:$H,A20,'NHL2025-26Results'!$F:$F,"")</f>
        <v>21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48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16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0.61538461538461542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3.375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2.9166666666666665</v>
      </c>
    </row>
    <row r="21" spans="1:18" x14ac:dyDescent="0.2">
      <c r="A21" s="4" t="s">
        <v>36</v>
      </c>
      <c r="B21">
        <f>SUM(Table1[[#This Row],[W]:[OTL]])</f>
        <v>46</v>
      </c>
      <c r="C21">
        <f>COUNTIF(NHL2025_26Results[Winning Team],Standings!A21)</f>
        <v>22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49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11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0.47826086956521741</v>
      </c>
      <c r="N21" s="11">
        <f>Table1[[#This Row],[AwayWins]]/SUM(Table1[[#This Row],[AwayWins]:[AwayOTL]])</f>
        <v>0.47826086956521741</v>
      </c>
      <c r="O21" s="14">
        <f>SUMIFS('NHL2025-26Results'!$E:$E,'NHL2025-26Results'!$D:$D,A21,'NHL2025-26Results'!$E:$E,"&gt;0")/COUNTIFS('NHL2025-26Results'!$D:$D,A21,'NHL2025-26Results'!$E:$E,"&gt;0")</f>
        <v>3.1363636363636362</v>
      </c>
      <c r="P21" s="14">
        <f>SUMIFS('NHL2025-26Results'!$C:$C,'NHL2025-26Results'!$B:$B,A21,'NHL2025-26Results'!$C:$C,"&gt;0")/COUNTIFS('NHL2025-26Results'!$B:$B,A21,'NHL2025-26Results'!$C:$C,"&gt;0")</f>
        <v>3.5652173913043477</v>
      </c>
      <c r="Q21" s="14">
        <f>SUMIFS('NHL2025-26Results'!$C:$C,'NHL2025-26Results'!$D:$D,A21,'NHL2025-26Results'!$C:$C,"&gt;0")/COUNTIFS('NHL2025-26Results'!$D:$D,A21,'NHL2025-26Results'!$C:$C,"&gt;0")</f>
        <v>2.9545454545454546</v>
      </c>
      <c r="R21" s="14">
        <f>SUMIFS('NHL2025-26Results'!$E:$E,'NHL2025-26Results'!$B:$B,A21,'NHL2025-26Results'!$E:$E,"&gt;0")/COUNTIFS('NHL2025-26Results'!$B:$B,A21,'NHL2025-26Results'!$E:$E,"&gt;0")</f>
        <v>3.8260869565217392</v>
      </c>
    </row>
    <row r="22" spans="1:18" x14ac:dyDescent="0.2">
      <c r="A22" s="4" t="s">
        <v>27</v>
      </c>
      <c r="B22">
        <f>SUM(Table1[[#This Row],[W]:[OTL]])</f>
        <v>45</v>
      </c>
      <c r="C22">
        <f>COUNTIF(NHL2025_26Results[Winning Team],Standings!A22)</f>
        <v>22</v>
      </c>
      <c r="D22">
        <f>COUNTIFS('NHL2025-26Results'!$H:$H,A22,'NHL2025-26Results'!$F:$F,"")</f>
        <v>15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52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7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8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</v>
      </c>
      <c r="N22" s="11">
        <f>Table1[[#This Row],[AwayWins]]/SUM(Table1[[#This Row],[AwayWins]:[AwayOTL]])</f>
        <v>0.47619047619047616</v>
      </c>
      <c r="O22" s="14">
        <f>SUMIFS('NHL2025-26Results'!$E:$E,'NHL2025-26Results'!$D:$D,A22,'NHL2025-26Results'!$E:$E,"&gt;0")/COUNTIFS('NHL2025-26Results'!$D:$D,A22,'NHL2025-26Results'!$E:$E,"&gt;0")</f>
        <v>2.9583333333333335</v>
      </c>
      <c r="P22" s="14">
        <f>SUMIFS('NHL2025-26Results'!$C:$C,'NHL2025-26Results'!$B:$B,A22,'NHL2025-26Results'!$C:$C,"&gt;0")/COUNTIFS('NHL2025-26Results'!$B:$B,A22,'NHL2025-26Results'!$C:$C,"&gt;0")</f>
        <v>3.2</v>
      </c>
      <c r="Q22" s="14">
        <f>SUMIFS('NHL2025-26Results'!$C:$C,'NHL2025-26Results'!$D:$D,A22,'NHL2025-26Results'!$C:$C,"&gt;0")/COUNTIFS('NHL2025-26Results'!$D:$D,A22,'NHL2025-26Results'!$C:$C,"&gt;0")</f>
        <v>2.875</v>
      </c>
      <c r="R22" s="14">
        <f>SUMIFS('NHL2025-26Results'!$E:$E,'NHL2025-26Results'!$B:$B,A22,'NHL2025-26Results'!$E:$E,"&gt;0")/COUNTIFS('NHL2025-26Results'!$B:$B,A22,'NHL2025-26Results'!$E:$E,"&gt;0")</f>
        <v>3.2380952380952381</v>
      </c>
    </row>
    <row r="23" spans="1:18" x14ac:dyDescent="0.2">
      <c r="A23" s="4" t="s">
        <v>14</v>
      </c>
      <c r="B23">
        <f>SUM(Table1[[#This Row],[W]:[OTL]])</f>
        <v>45</v>
      </c>
      <c r="C23">
        <f>COUNTIF(NHL2025_26Results[Winning Team],Standings!A23)</f>
        <v>21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10</v>
      </c>
      <c r="F23" s="3">
        <f>(Table1[[#This Row],[W]]*2)+Table1[[#This Row],[OTL]]</f>
        <v>52</v>
      </c>
      <c r="G23">
        <f>COUNTIFS('NHL2025-26Results'!$D:$D,A23,'NHL2025-26Results'!$G:$G,A23)</f>
        <v>10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6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0.43478260869565216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3.4545454545454546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3.5454545454545454</v>
      </c>
      <c r="R23" s="14">
        <f>SUMIFS('NHL2025-26Results'!$E:$E,'NHL2025-26Results'!$B:$B,A23,'NHL2025-26Results'!$E:$E,"&gt;0")/COUNTIFS('NHL2025-26Results'!$B:$B,A23,'NHL2025-26Results'!$E:$E,"&gt;0")</f>
        <v>2.95</v>
      </c>
    </row>
    <row r="24" spans="1:18" x14ac:dyDescent="0.2">
      <c r="A24" s="4" t="s">
        <v>33</v>
      </c>
      <c r="B24">
        <f>SUM(Table1[[#This Row],[W]:[OTL]])</f>
        <v>45</v>
      </c>
      <c r="C24">
        <f>COUNTIF(NHL2025_26Results[Winning Team],Standings!A24)</f>
        <v>23</v>
      </c>
      <c r="D24">
        <f>COUNTIFS('NHL2025-26Results'!$H:$H,A24,'NHL2025-26Results'!$F:$F,"")</f>
        <v>19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49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10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3.7</v>
      </c>
    </row>
    <row r="25" spans="1:18" x14ac:dyDescent="0.2">
      <c r="A25" s="4" t="s">
        <v>32</v>
      </c>
      <c r="B25">
        <f>SUM(Table1[[#This Row],[W]:[OTL]])</f>
        <v>45</v>
      </c>
      <c r="C25">
        <f>COUNTIF(NHL2025_26Results[Winning Team],Standings!A25)</f>
        <v>21</v>
      </c>
      <c r="D25">
        <f>COUNTIFS('NHL2025-26Results'!$H:$H,A25,'NHL2025-26Results'!$F:$F,"")</f>
        <v>15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51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8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0.45454545454545453</v>
      </c>
      <c r="N25" s="11">
        <f>Table1[[#This Row],[AwayWins]]/SUM(Table1[[#This Row],[AwayWins]:[AwayOTL]])</f>
        <v>0.47826086956521741</v>
      </c>
      <c r="O25" s="14">
        <f>SUMIFS('NHL2025-26Results'!$E:$E,'NHL2025-26Results'!$D:$D,A25,'NHL2025-26Results'!$E:$E,"&gt;0")/COUNTIFS('NHL2025-26Results'!$D:$D,A25,'NHL2025-26Results'!$E:$E,"&gt;0")</f>
        <v>2.8095238095238093</v>
      </c>
      <c r="P25" s="14">
        <f>SUMIFS('NHL2025-26Results'!$C:$C,'NHL2025-26Results'!$B:$B,A25,'NHL2025-26Results'!$C:$C,"&gt;0")/COUNTIFS('NHL2025-26Results'!$B:$B,A25,'NHL2025-26Results'!$C:$C,"&gt;0")</f>
        <v>3</v>
      </c>
      <c r="Q25" s="14">
        <f>SUMIFS('NHL2025-26Results'!$C:$C,'NHL2025-26Results'!$D:$D,A25,'NHL2025-26Results'!$C:$C,"&gt;0")/COUNTIFS('NHL2025-26Results'!$D:$D,A25,'NHL2025-26Results'!$C:$C,"&gt;0")</f>
        <v>2.7727272727272729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47</v>
      </c>
      <c r="C26">
        <f>COUNTIF(NHL2025_26Results[Winning Team],Standings!A26)</f>
        <v>18</v>
      </c>
      <c r="D26">
        <f>COUNTIFS('NHL2025-26Results'!$H:$H,A26,'NHL2025-26Results'!$F:$F,"")</f>
        <v>21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44</v>
      </c>
      <c r="G26">
        <f>COUNTIFS('NHL2025-26Results'!$D:$D,A26,'NHL2025-26Results'!$G:$G,A26)</f>
        <v>11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12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</v>
      </c>
      <c r="N26" s="11">
        <f>Table1[[#This Row],[AwayWins]]/SUM(Table1[[#This Row],[AwayWins]:[AwayOTL]])</f>
        <v>0.31818181818181818</v>
      </c>
      <c r="O26" s="14">
        <f>SUMIFS('NHL2025-26Results'!$E:$E,'NHL2025-26Results'!$D:$D,A26,'NHL2025-26Results'!$E:$E,"&gt;0")/COUNTIFS('NHL2025-26Results'!$D:$D,A26,'NHL2025-26Results'!$E:$E,"&gt;0")</f>
        <v>2.5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3.8571428571428572</v>
      </c>
    </row>
    <row r="27" spans="1:18" x14ac:dyDescent="0.2">
      <c r="A27" s="4" t="s">
        <v>37</v>
      </c>
      <c r="B27">
        <f>SUM(Table1[[#This Row],[W]:[OTL]])</f>
        <v>45</v>
      </c>
      <c r="C27">
        <f>COUNTIF(NHL2025_26Results[Winning Team],Standings!A27)</f>
        <v>29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61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17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0.70833333333333337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4.1304347826086953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2.3333333333333335</v>
      </c>
    </row>
    <row r="28" spans="1:18" x14ac:dyDescent="0.2">
      <c r="A28" s="4" t="s">
        <v>19</v>
      </c>
      <c r="B28">
        <f>SUM(Table1[[#This Row],[W]:[OTL]])</f>
        <v>46</v>
      </c>
      <c r="C28">
        <f>COUNTIF(NHL2025_26Results[Winning Team],Standings!A28)</f>
        <v>23</v>
      </c>
      <c r="D28">
        <f>COUNTIFS('NHL2025-26Results'!$H:$H,A28,'NHL2025-26Results'!$F:$F,"")</f>
        <v>16</v>
      </c>
      <c r="E28">
        <f>COUNTIFS('NHL2025-26Results'!$F:$F,"OT",'NHL2025-26Results'!$H:$H,A28) + COUNTIFS('NHL2025-26Results'!$F:$F,"SO",'NHL2025-26Results'!$H:$H,A28)</f>
        <v>7</v>
      </c>
      <c r="F28" s="3">
        <f>(Table1[[#This Row],[W]]*2)+Table1[[#This Row],[OTL]]</f>
        <v>53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7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2</v>
      </c>
      <c r="M28" s="11">
        <f>Table1[[#This Row],[HomeWins]]/SUM(Table1[[#This Row],[HomeWins]:[HomeOTL]])</f>
        <v>0.61538461538461542</v>
      </c>
      <c r="N28" s="11">
        <f>Table1[[#This Row],[AwayWins]]/SUM(Table1[[#This Row],[AwayWins]:[AwayOTL]])</f>
        <v>0.35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</v>
      </c>
      <c r="Q28" s="14">
        <f>SUMIFS('NHL2025-26Results'!$C:$C,'NHL2025-26Results'!$D:$D,A28,'NHL2025-26Results'!$C:$C,"&gt;0")/COUNTIFS('NHL2025-26Results'!$D:$D,A28,'NHL2025-26Results'!$C:$C,"&gt;0")</f>
        <v>3.347826086956522</v>
      </c>
      <c r="R28" s="14">
        <f>SUMIFS('NHL2025-26Results'!$E:$E,'NHL2025-26Results'!$B:$B,A28,'NHL2025-26Results'!$E:$E,"&gt;0")/COUNTIFS('NHL2025-26Results'!$B:$B,A28,'NHL2025-26Results'!$E:$E,"&gt;0")</f>
        <v>3.6</v>
      </c>
    </row>
    <row r="29" spans="1:18" x14ac:dyDescent="0.2">
      <c r="A29" t="s">
        <v>55</v>
      </c>
      <c r="B29">
        <f>SUM(Table1[[#This Row],[W]:[OTL]])</f>
        <v>47</v>
      </c>
      <c r="C29">
        <f>COUNTIF(NHL2025_26Results[Winning Team],Standings!A29)</f>
        <v>23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50</v>
      </c>
      <c r="G29">
        <f>COUNTIFS('NHL2025-26Results'!$D:$D,A29,'NHL2025-26Results'!$G:$G,A29)</f>
        <v>12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3.3333333333333335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46</v>
      </c>
      <c r="C30">
        <f>COUNTIF(NHL2025_26Results[Winning Team],Standings!A30)</f>
        <v>16</v>
      </c>
      <c r="D30">
        <f>COUNTIFS('NHL2025-26Results'!$H:$H,A30,'NHL2025-26Results'!$F:$F,"")</f>
        <v>25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13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0.21052631578947367</v>
      </c>
      <c r="N30" s="11">
        <f>Table1[[#This Row],[AwayWins]]/SUM(Table1[[#This Row],[AwayWins]:[AwayOTL]])</f>
        <v>0.44444444444444442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2.9230769230769229</v>
      </c>
      <c r="Q30" s="14">
        <f>SUMIFS('NHL2025-26Results'!$C:$C,'NHL2025-26Results'!$D:$D,A30,'NHL2025-26Results'!$C:$C,"&gt;0")/COUNTIFS('NHL2025-26Results'!$D:$D,A30,'NHL2025-26Results'!$C:$C,"&gt;0")</f>
        <v>3.8947368421052633</v>
      </c>
      <c r="R30" s="14">
        <f>SUMIFS('NHL2025-26Results'!$E:$E,'NHL2025-26Results'!$B:$B,A30,'NHL2025-26Results'!$E:$E,"&gt;0")/COUNTIFS('NHL2025-26Results'!$B:$B,A30,'NHL2025-26Results'!$E:$E,"&gt;0")</f>
        <v>3.5384615384615383</v>
      </c>
    </row>
    <row r="31" spans="1:18" x14ac:dyDescent="0.2">
      <c r="A31" s="4" t="s">
        <v>20</v>
      </c>
      <c r="B31">
        <f>SUM(Table1[[#This Row],[W]:[OTL]])</f>
        <v>45</v>
      </c>
      <c r="C31">
        <f>COUNTIF(NHL2025_26Results[Winning Team],Standings!A31)</f>
        <v>22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56</v>
      </c>
      <c r="G31">
        <f>COUNTIFS('NHL2025-26Results'!$D:$D,A31,'NHL2025-26Results'!$G:$G,A31)</f>
        <v>10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0.52173913043478259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3.2272727272727271</v>
      </c>
      <c r="Q31" s="14">
        <f>SUMIFS('NHL2025-26Results'!$C:$C,'NHL2025-26Results'!$D:$D,A31,'NHL2025-26Results'!$C:$C,"&gt;0")/COUNTIFS('NHL2025-26Results'!$D:$D,A31,'NHL2025-26Results'!$C:$C,"&gt;0")</f>
        <v>3.5238095238095237</v>
      </c>
      <c r="R31" s="14">
        <f>SUMIFS('NHL2025-26Results'!$E:$E,'NHL2025-26Results'!$B:$B,A31,'NHL2025-26Results'!$E:$E,"&gt;0")/COUNTIFS('NHL2025-26Results'!$B:$B,A31,'NHL2025-26Results'!$E:$E,"&gt;0")</f>
        <v>2.9090909090909092</v>
      </c>
    </row>
    <row r="32" spans="1:18" x14ac:dyDescent="0.2">
      <c r="A32" s="4" t="s">
        <v>22</v>
      </c>
      <c r="B32">
        <f>SUM(Table1[[#This Row],[W]:[OTL]])</f>
        <v>47</v>
      </c>
      <c r="C32">
        <f>COUNTIF(NHL2025_26Results[Winning Team],Standings!A32)</f>
        <v>24</v>
      </c>
      <c r="D32">
        <f>COUNTIFS('NHL2025-26Results'!$H:$H,A32,'NHL2025-26Results'!$F:$F,"")</f>
        <v>17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8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9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0.56000000000000005</v>
      </c>
      <c r="N32" s="11">
        <f>Table1[[#This Row],[AwayWins]]/SUM(Table1[[#This Row],[AwayWins]:[AwayOTL]])</f>
        <v>0.45454545454545453</v>
      </c>
      <c r="O32" s="14">
        <f>SUMIFS('NHL2025-26Results'!$E:$E,'NHL2025-26Results'!$D:$D,A32,'NHL2025-26Results'!$E:$E,"&gt;0")/COUNTIFS('NHL2025-26Results'!$D:$D,A32,'NHL2025-26Results'!$E:$E,"&gt;0")</f>
        <v>3.32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3.1304347826086958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45</v>
      </c>
      <c r="C33">
        <f>COUNTIF(NHL2025_26Results[Winning Team],Standings!A33)</f>
        <v>18</v>
      </c>
      <c r="D33">
        <f>COUNTIFS('NHL2025-26Results'!$H:$H,A33,'NHL2025-26Results'!$F:$F,"")</f>
        <v>22</v>
      </c>
      <c r="E33">
        <f>COUNTIFS('NHL2025-26Results'!$F:$F,"OT",'NHL2025-26Results'!$H:$H,A33) + COUNTIFS('NHL2025-26Results'!$F:$F,"SO",'NHL2025-26Results'!$H:$H,A33)</f>
        <v>5</v>
      </c>
      <c r="F33" s="3">
        <f>(Table1[[#This Row],[W]]*2)+Table1[[#This Row],[OTL]]</f>
        <v>41</v>
      </c>
      <c r="G33">
        <f>COUNTIFS('NHL2025-26Results'!$D:$D,A33,'NHL2025-26Results'!$G:$G,A33)</f>
        <v>11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3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0.47826086956521741</v>
      </c>
      <c r="N33" s="11">
        <f>Table1[[#This Row],[AwayWins]]/SUM(Table1[[#This Row],[AwayWins]:[AwayOTL]])</f>
        <v>0.31818181818181818</v>
      </c>
      <c r="O33" s="14">
        <f>SUMIFS('NHL2025-26Results'!$E:$E,'NHL2025-26Results'!$D:$D,A33,'NHL2025-26Results'!$E:$E,"&gt;0")/COUNTIFS('NHL2025-26Results'!$D:$D,A33,'NHL2025-26Results'!$E:$E,"&gt;0")</f>
        <v>3.7142857142857144</v>
      </c>
      <c r="P33" s="14">
        <f>SUMIFS('NHL2025-26Results'!$C:$C,'NHL2025-26Results'!$B:$B,A33,'NHL2025-26Results'!$C:$C,"&gt;0")/COUNTIFS('NHL2025-26Results'!$B:$B,A33,'NHL2025-26Results'!$C:$C,"&gt;0")</f>
        <v>2.85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3.3181818181818183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24"/>
  <sheetViews>
    <sheetView tabSelected="1" topLeftCell="A274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0.64583333333333337</v>
      </c>
      <c r="C17" s="19" t="s">
        <v>11</v>
      </c>
      <c r="D17" s="19" t="s">
        <v>28</v>
      </c>
      <c r="E17" s="19" t="s">
        <v>11</v>
      </c>
      <c r="F17">
        <v>4</v>
      </c>
      <c r="G17">
        <v>3</v>
      </c>
      <c r="H17">
        <v>0.52759999999999996</v>
      </c>
      <c r="I17" s="19" t="s">
        <v>249</v>
      </c>
      <c r="J17" s="19" t="s">
        <v>28</v>
      </c>
      <c r="K17">
        <v>3</v>
      </c>
      <c r="L17">
        <v>2</v>
      </c>
      <c r="M17">
        <v>-0.02</v>
      </c>
      <c r="N17" s="19" t="s">
        <v>11</v>
      </c>
      <c r="O17" s="19" t="s">
        <v>292</v>
      </c>
      <c r="P17" s="19" t="s">
        <v>288</v>
      </c>
      <c r="Q17" s="19" t="s">
        <v>287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21</v>
      </c>
      <c r="D18" s="19" t="s">
        <v>24</v>
      </c>
      <c r="E18" s="19" t="s">
        <v>21</v>
      </c>
      <c r="F18">
        <v>5</v>
      </c>
      <c r="G18">
        <v>4</v>
      </c>
      <c r="H18">
        <v>0.52739999999999998</v>
      </c>
      <c r="I18" s="19" t="s">
        <v>249</v>
      </c>
      <c r="J18" s="19" t="s">
        <v>21</v>
      </c>
      <c r="K18">
        <v>3</v>
      </c>
      <c r="L18">
        <v>2</v>
      </c>
      <c r="M18">
        <v>7.0000000000000007E-2</v>
      </c>
      <c r="N18" s="19" t="s">
        <v>21</v>
      </c>
      <c r="O18" s="19" t="s">
        <v>289</v>
      </c>
      <c r="P18" s="19" t="s">
        <v>287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17</v>
      </c>
      <c r="D19" s="19" t="s">
        <v>40</v>
      </c>
      <c r="E19" s="19" t="s">
        <v>17</v>
      </c>
      <c r="F19">
        <v>4</v>
      </c>
      <c r="G19">
        <v>3</v>
      </c>
      <c r="H19">
        <v>0.78990000000000005</v>
      </c>
      <c r="I19" s="19" t="s">
        <v>249</v>
      </c>
      <c r="J19" s="19" t="s">
        <v>40</v>
      </c>
      <c r="K19">
        <v>3</v>
      </c>
      <c r="L19">
        <v>2</v>
      </c>
      <c r="M19">
        <v>-0.33</v>
      </c>
      <c r="N19" s="19" t="s">
        <v>17</v>
      </c>
      <c r="O19" s="19" t="s">
        <v>288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19</v>
      </c>
      <c r="D20" s="19" t="s">
        <v>18</v>
      </c>
      <c r="E20" s="19" t="s">
        <v>19</v>
      </c>
      <c r="F20">
        <v>4</v>
      </c>
      <c r="G20">
        <v>3</v>
      </c>
      <c r="H20">
        <v>0.60129999999999995</v>
      </c>
      <c r="I20" s="19" t="s">
        <v>249</v>
      </c>
      <c r="J20" s="19" t="s">
        <v>19</v>
      </c>
      <c r="K20">
        <v>3</v>
      </c>
      <c r="L20">
        <v>2</v>
      </c>
      <c r="M20">
        <v>0.33</v>
      </c>
      <c r="N20" s="19" t="s">
        <v>18</v>
      </c>
      <c r="O20" s="19" t="s">
        <v>287</v>
      </c>
      <c r="P20" s="19" t="s">
        <v>284</v>
      </c>
      <c r="Q20" s="19" t="s">
        <v>287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25</v>
      </c>
      <c r="D21" s="19" t="s">
        <v>29</v>
      </c>
      <c r="E21" s="19" t="s">
        <v>25</v>
      </c>
      <c r="F21">
        <v>4</v>
      </c>
      <c r="G21">
        <v>2</v>
      </c>
      <c r="H21">
        <v>0.76490000000000002</v>
      </c>
      <c r="I21" s="19" t="s">
        <v>248</v>
      </c>
      <c r="J21" s="19" t="s">
        <v>25</v>
      </c>
      <c r="K21">
        <v>3</v>
      </c>
      <c r="L21">
        <v>2</v>
      </c>
      <c r="M21">
        <v>1.43</v>
      </c>
      <c r="N21" s="19" t="s">
        <v>25</v>
      </c>
      <c r="O21" s="19" t="s">
        <v>288</v>
      </c>
      <c r="P21" s="19" t="s">
        <v>291</v>
      </c>
      <c r="Q21" s="19" t="s">
        <v>285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16</v>
      </c>
      <c r="D22" s="19" t="s">
        <v>55</v>
      </c>
      <c r="E22" s="19" t="s">
        <v>16</v>
      </c>
      <c r="F22">
        <v>2</v>
      </c>
      <c r="G22">
        <v>0</v>
      </c>
      <c r="H22">
        <v>0.56730000000000003</v>
      </c>
      <c r="I22" s="19" t="s">
        <v>249</v>
      </c>
      <c r="J22" s="19" t="s">
        <v>55</v>
      </c>
      <c r="K22">
        <v>3</v>
      </c>
      <c r="L22">
        <v>2</v>
      </c>
      <c r="M22">
        <v>-0.92</v>
      </c>
      <c r="N22" s="19" t="s">
        <v>16</v>
      </c>
      <c r="O22" s="19" t="s">
        <v>284</v>
      </c>
      <c r="P22" s="19" t="s">
        <v>285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36</v>
      </c>
      <c r="D23" s="19" t="s">
        <v>35</v>
      </c>
      <c r="E23" s="19" t="s">
        <v>36</v>
      </c>
      <c r="F23">
        <v>4</v>
      </c>
      <c r="G23">
        <v>3</v>
      </c>
      <c r="H23">
        <v>0.84889999999999999</v>
      </c>
      <c r="I23" s="19" t="s">
        <v>249</v>
      </c>
      <c r="J23" s="19" t="s">
        <v>36</v>
      </c>
      <c r="K23">
        <v>3</v>
      </c>
      <c r="L23">
        <v>2</v>
      </c>
      <c r="M23">
        <v>0.99</v>
      </c>
      <c r="N23" s="19" t="s">
        <v>35</v>
      </c>
      <c r="O23" s="19" t="s">
        <v>287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37</v>
      </c>
      <c r="D24" s="19" t="s">
        <v>30</v>
      </c>
      <c r="E24" s="19" t="s">
        <v>30</v>
      </c>
      <c r="F24">
        <v>3</v>
      </c>
      <c r="G24">
        <v>4</v>
      </c>
      <c r="H24">
        <v>0.56379999999999997</v>
      </c>
      <c r="I24" s="19" t="s">
        <v>249</v>
      </c>
      <c r="J24" s="19" t="s">
        <v>37</v>
      </c>
      <c r="K24">
        <v>3</v>
      </c>
      <c r="L24">
        <v>2</v>
      </c>
      <c r="M24">
        <v>0.47</v>
      </c>
      <c r="N24" s="19" t="s">
        <v>30</v>
      </c>
      <c r="O24" s="19" t="s">
        <v>285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0.52083333333333337</v>
      </c>
      <c r="C25" s="19" t="s">
        <v>15</v>
      </c>
      <c r="D25" s="19" t="s">
        <v>12</v>
      </c>
      <c r="E25" s="19" t="s">
        <v>12</v>
      </c>
      <c r="F25">
        <v>2</v>
      </c>
      <c r="G25">
        <v>3</v>
      </c>
      <c r="H25">
        <v>0.58209999999999995</v>
      </c>
      <c r="I25" s="19" t="s">
        <v>249</v>
      </c>
      <c r="J25" s="19" t="s">
        <v>12</v>
      </c>
      <c r="K25">
        <v>3</v>
      </c>
      <c r="L25">
        <v>2</v>
      </c>
      <c r="M25">
        <v>-1.52</v>
      </c>
      <c r="N25" s="19" t="s">
        <v>12</v>
      </c>
      <c r="O25" s="19" t="s">
        <v>284</v>
      </c>
      <c r="P25" s="19" t="s">
        <v>291</v>
      </c>
      <c r="Q25" s="19" t="s">
        <v>287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0.875</v>
      </c>
      <c r="C26" s="19" t="s">
        <v>13</v>
      </c>
      <c r="D26" s="19" t="s">
        <v>10</v>
      </c>
      <c r="E26" s="19" t="s">
        <v>10</v>
      </c>
      <c r="F26">
        <v>2</v>
      </c>
      <c r="G26">
        <v>3</v>
      </c>
      <c r="H26">
        <v>0.7802</v>
      </c>
      <c r="I26" s="19" t="s">
        <v>249</v>
      </c>
      <c r="J26" s="19" t="s">
        <v>10</v>
      </c>
      <c r="K26">
        <v>3</v>
      </c>
      <c r="L26">
        <v>2</v>
      </c>
      <c r="M26">
        <v>-0.17</v>
      </c>
      <c r="N26" s="19" t="s">
        <v>13</v>
      </c>
      <c r="O26" s="19" t="s">
        <v>288</v>
      </c>
      <c r="P26" s="19" t="s">
        <v>285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32</v>
      </c>
      <c r="D27" s="19" t="s">
        <v>26</v>
      </c>
      <c r="E27" s="19" t="s">
        <v>26</v>
      </c>
      <c r="F27">
        <v>3</v>
      </c>
      <c r="G27">
        <v>4</v>
      </c>
      <c r="H27">
        <v>0.50860000000000005</v>
      </c>
      <c r="I27" s="19" t="s">
        <v>249</v>
      </c>
      <c r="J27" s="19" t="s">
        <v>32</v>
      </c>
      <c r="K27">
        <v>3</v>
      </c>
      <c r="L27">
        <v>2</v>
      </c>
      <c r="M27">
        <v>0.08</v>
      </c>
      <c r="N27" s="19" t="s">
        <v>26</v>
      </c>
      <c r="O27" s="19" t="s">
        <v>291</v>
      </c>
      <c r="P27" s="19" t="s">
        <v>289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0.91666666666666663</v>
      </c>
      <c r="C28" s="19" t="s">
        <v>38</v>
      </c>
      <c r="D28" s="19" t="s">
        <v>34</v>
      </c>
      <c r="E28" s="19" t="s">
        <v>34</v>
      </c>
      <c r="F28">
        <v>3</v>
      </c>
      <c r="G28">
        <v>4</v>
      </c>
      <c r="H28">
        <v>0.78480000000000005</v>
      </c>
      <c r="I28" s="19" t="s">
        <v>249</v>
      </c>
      <c r="J28" s="19" t="s">
        <v>34</v>
      </c>
      <c r="K28">
        <v>3</v>
      </c>
      <c r="L28">
        <v>2</v>
      </c>
      <c r="M28">
        <v>-0.77</v>
      </c>
      <c r="N28" s="19" t="s">
        <v>38</v>
      </c>
      <c r="O28" s="19" t="s">
        <v>289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15</v>
      </c>
      <c r="D31" s="19" t="s">
        <v>20</v>
      </c>
      <c r="E31" s="19" t="s">
        <v>20</v>
      </c>
      <c r="F31">
        <v>1</v>
      </c>
      <c r="G31">
        <v>3</v>
      </c>
      <c r="H31">
        <v>0.82699999999999996</v>
      </c>
      <c r="I31" s="19" t="s">
        <v>249</v>
      </c>
      <c r="J31" s="19" t="s">
        <v>15</v>
      </c>
      <c r="K31">
        <v>3</v>
      </c>
      <c r="L31">
        <v>2</v>
      </c>
      <c r="M31">
        <v>0.12</v>
      </c>
      <c r="N31" s="19" t="s">
        <v>20</v>
      </c>
      <c r="O31" s="19" t="s">
        <v>284</v>
      </c>
      <c r="P31" s="19" t="s">
        <v>291</v>
      </c>
      <c r="Q31" s="19" t="s">
        <v>287</v>
      </c>
      <c r="R31" s="19" t="s">
        <v>248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22</v>
      </c>
      <c r="D32" s="19" t="s">
        <v>28</v>
      </c>
      <c r="E32" s="19" t="s">
        <v>22</v>
      </c>
      <c r="F32">
        <v>4</v>
      </c>
      <c r="G32">
        <v>3</v>
      </c>
      <c r="H32">
        <v>0.624</v>
      </c>
      <c r="I32" s="19" t="s">
        <v>249</v>
      </c>
      <c r="J32" s="19" t="s">
        <v>22</v>
      </c>
      <c r="K32">
        <v>3</v>
      </c>
      <c r="L32">
        <v>2</v>
      </c>
      <c r="M32">
        <v>1.26</v>
      </c>
      <c r="N32" s="19" t="s">
        <v>22</v>
      </c>
      <c r="O32" s="19" t="s">
        <v>284</v>
      </c>
      <c r="P32" s="19" t="s">
        <v>285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25</v>
      </c>
      <c r="D33" s="19" t="s">
        <v>33</v>
      </c>
      <c r="E33" s="19" t="s">
        <v>25</v>
      </c>
      <c r="F33">
        <v>4</v>
      </c>
      <c r="G33">
        <v>3</v>
      </c>
      <c r="H33">
        <v>0.6341</v>
      </c>
      <c r="I33" s="19" t="s">
        <v>249</v>
      </c>
      <c r="J33" s="19" t="s">
        <v>25</v>
      </c>
      <c r="K33">
        <v>3</v>
      </c>
      <c r="L33">
        <v>2</v>
      </c>
      <c r="M33">
        <v>1.1000000000000001</v>
      </c>
      <c r="N33" s="19" t="s">
        <v>33</v>
      </c>
      <c r="O33" s="19" t="s">
        <v>287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36</v>
      </c>
      <c r="D43" s="19" t="s">
        <v>24</v>
      </c>
      <c r="E43" s="19" t="s">
        <v>24</v>
      </c>
      <c r="F43">
        <v>3</v>
      </c>
      <c r="G43">
        <v>4</v>
      </c>
      <c r="H43">
        <v>0.59130000000000005</v>
      </c>
      <c r="I43" s="19" t="s">
        <v>249</v>
      </c>
      <c r="J43" s="19" t="s">
        <v>24</v>
      </c>
      <c r="K43">
        <v>3</v>
      </c>
      <c r="L43">
        <v>2</v>
      </c>
      <c r="M43">
        <v>-0.11</v>
      </c>
      <c r="N43" s="19" t="s">
        <v>24</v>
      </c>
      <c r="O43" s="19" t="s">
        <v>291</v>
      </c>
      <c r="P43" s="19" t="s">
        <v>289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23</v>
      </c>
      <c r="O44" s="19" t="s">
        <v>291</v>
      </c>
      <c r="P44" s="19" t="s">
        <v>289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18</v>
      </c>
      <c r="D46" s="19" t="s">
        <v>37</v>
      </c>
      <c r="E46" s="19" t="s">
        <v>37</v>
      </c>
      <c r="F46">
        <v>3</v>
      </c>
      <c r="G46">
        <v>4</v>
      </c>
      <c r="H46">
        <v>0.62790000000000001</v>
      </c>
      <c r="I46" s="19" t="s">
        <v>249</v>
      </c>
      <c r="J46" s="19" t="s">
        <v>37</v>
      </c>
      <c r="K46">
        <v>3</v>
      </c>
      <c r="L46">
        <v>2</v>
      </c>
      <c r="M46">
        <v>-0.82</v>
      </c>
      <c r="N46" s="19" t="s">
        <v>37</v>
      </c>
      <c r="O46" s="19" t="s">
        <v>287</v>
      </c>
      <c r="P46" s="19" t="s">
        <v>288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0.89583333333333337</v>
      </c>
      <c r="C49" s="19" t="s">
        <v>29</v>
      </c>
      <c r="D49" s="19" t="s">
        <v>12</v>
      </c>
      <c r="E49" s="19" t="s">
        <v>12</v>
      </c>
      <c r="F49">
        <v>1</v>
      </c>
      <c r="G49">
        <v>3</v>
      </c>
      <c r="H49">
        <v>0.93230000000000002</v>
      </c>
      <c r="I49" s="19" t="s">
        <v>249</v>
      </c>
      <c r="J49" s="19" t="s">
        <v>12</v>
      </c>
      <c r="K49">
        <v>3</v>
      </c>
      <c r="L49">
        <v>2</v>
      </c>
      <c r="M49">
        <v>-2.48</v>
      </c>
      <c r="N49" s="19" t="s">
        <v>29</v>
      </c>
      <c r="O49" s="19" t="s">
        <v>289</v>
      </c>
      <c r="P49" s="19" t="s">
        <v>291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0.8125</v>
      </c>
      <c r="C51" s="19" t="s">
        <v>25</v>
      </c>
      <c r="D51" s="19" t="s">
        <v>28</v>
      </c>
      <c r="E51" s="19" t="s">
        <v>28</v>
      </c>
      <c r="F51">
        <v>3</v>
      </c>
      <c r="G51">
        <v>4</v>
      </c>
      <c r="H51">
        <v>0.65369999999999995</v>
      </c>
      <c r="I51" s="19" t="s">
        <v>249</v>
      </c>
      <c r="J51" s="19" t="s">
        <v>25</v>
      </c>
      <c r="K51">
        <v>3</v>
      </c>
      <c r="L51">
        <v>2</v>
      </c>
      <c r="M51">
        <v>0.82</v>
      </c>
      <c r="N51" s="19" t="s">
        <v>25</v>
      </c>
      <c r="O51" s="19" t="s">
        <v>289</v>
      </c>
      <c r="P51" s="19" t="s">
        <v>287</v>
      </c>
      <c r="Q51" s="19" t="s">
        <v>285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0.875</v>
      </c>
      <c r="C56" s="19" t="s">
        <v>17</v>
      </c>
      <c r="D56" s="19" t="s">
        <v>26</v>
      </c>
      <c r="E56" s="19" t="s">
        <v>26</v>
      </c>
      <c r="F56">
        <v>3</v>
      </c>
      <c r="G56">
        <v>4</v>
      </c>
      <c r="H56">
        <v>0.69140000000000001</v>
      </c>
      <c r="I56" s="19" t="s">
        <v>249</v>
      </c>
      <c r="J56" s="19" t="s">
        <v>17</v>
      </c>
      <c r="K56">
        <v>3</v>
      </c>
      <c r="L56">
        <v>2</v>
      </c>
      <c r="M56">
        <v>0.14000000000000001</v>
      </c>
      <c r="N56" s="19" t="s">
        <v>17</v>
      </c>
      <c r="O56" s="19" t="s">
        <v>289</v>
      </c>
      <c r="P56" s="19" t="s">
        <v>287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30</v>
      </c>
      <c r="D57" s="19" t="s">
        <v>31</v>
      </c>
      <c r="E57" s="19" t="s">
        <v>30</v>
      </c>
      <c r="F57">
        <v>6</v>
      </c>
      <c r="G57">
        <v>3</v>
      </c>
      <c r="H57">
        <v>0.52490000000000003</v>
      </c>
      <c r="I57" s="19" t="s">
        <v>249</v>
      </c>
      <c r="J57" s="19" t="s">
        <v>31</v>
      </c>
      <c r="K57">
        <v>3</v>
      </c>
      <c r="L57">
        <v>2</v>
      </c>
      <c r="M57">
        <v>-7.0000000000000007E-2</v>
      </c>
      <c r="N57" s="19" t="s">
        <v>30</v>
      </c>
      <c r="O57" s="19" t="s">
        <v>283</v>
      </c>
      <c r="P57" s="19" t="s">
        <v>284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27</v>
      </c>
      <c r="D58" s="19" t="s">
        <v>20</v>
      </c>
      <c r="E58" s="19" t="s">
        <v>27</v>
      </c>
      <c r="F58">
        <v>4</v>
      </c>
      <c r="G58">
        <v>3</v>
      </c>
      <c r="H58">
        <v>0.58589999999999998</v>
      </c>
      <c r="I58" s="19" t="s">
        <v>249</v>
      </c>
      <c r="J58" s="19" t="s">
        <v>27</v>
      </c>
      <c r="K58">
        <v>3</v>
      </c>
      <c r="L58">
        <v>2</v>
      </c>
      <c r="M58">
        <v>0.05</v>
      </c>
      <c r="N58" s="19" t="s">
        <v>20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29</v>
      </c>
      <c r="D59" s="19" t="s">
        <v>35</v>
      </c>
      <c r="E59" s="19" t="s">
        <v>35</v>
      </c>
      <c r="F59">
        <v>2</v>
      </c>
      <c r="G59">
        <v>3</v>
      </c>
      <c r="H59">
        <v>0.59950000000000003</v>
      </c>
      <c r="I59" s="19" t="s">
        <v>249</v>
      </c>
      <c r="J59" s="19" t="s">
        <v>29</v>
      </c>
      <c r="K59">
        <v>3</v>
      </c>
      <c r="L59">
        <v>2</v>
      </c>
      <c r="M59">
        <v>0.34</v>
      </c>
      <c r="N59" s="19" t="s">
        <v>29</v>
      </c>
      <c r="O59" s="19" t="s">
        <v>292</v>
      </c>
      <c r="P59" s="19" t="s">
        <v>284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0.83333333333333337</v>
      </c>
      <c r="C60" s="19" t="s">
        <v>34</v>
      </c>
      <c r="D60" s="19" t="s">
        <v>39</v>
      </c>
      <c r="E60" s="19" t="s">
        <v>34</v>
      </c>
      <c r="F60">
        <v>3</v>
      </c>
      <c r="G60">
        <v>2</v>
      </c>
      <c r="H60">
        <v>0.73089999999999999</v>
      </c>
      <c r="I60" s="19" t="s">
        <v>248</v>
      </c>
      <c r="J60" s="19" t="s">
        <v>39</v>
      </c>
      <c r="K60">
        <v>3</v>
      </c>
      <c r="L60">
        <v>2</v>
      </c>
      <c r="M60">
        <v>-0.66</v>
      </c>
      <c r="N60" s="19" t="s">
        <v>34</v>
      </c>
      <c r="O60" s="19" t="s">
        <v>283</v>
      </c>
      <c r="P60" s="19" t="s">
        <v>284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0.91666666666666663</v>
      </c>
      <c r="C61" s="19" t="s">
        <v>38</v>
      </c>
      <c r="D61" s="19" t="s">
        <v>23</v>
      </c>
      <c r="E61" s="19" t="s">
        <v>23</v>
      </c>
      <c r="F61">
        <v>3</v>
      </c>
      <c r="G61">
        <v>4</v>
      </c>
      <c r="H61">
        <v>0.61160000000000003</v>
      </c>
      <c r="I61" s="19" t="s">
        <v>249</v>
      </c>
      <c r="J61" s="19" t="s">
        <v>23</v>
      </c>
      <c r="K61">
        <v>3</v>
      </c>
      <c r="L61">
        <v>2</v>
      </c>
      <c r="M61">
        <v>-0.23</v>
      </c>
      <c r="N61" s="19" t="s">
        <v>23</v>
      </c>
      <c r="O61" s="19" t="s">
        <v>284</v>
      </c>
      <c r="P61" s="19" t="s">
        <v>291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22</v>
      </c>
      <c r="D62" s="19" t="s">
        <v>25</v>
      </c>
      <c r="E62" s="19" t="s">
        <v>25</v>
      </c>
      <c r="F62">
        <v>3</v>
      </c>
      <c r="G62">
        <v>4</v>
      </c>
      <c r="H62">
        <v>0.52529999999999999</v>
      </c>
      <c r="I62" s="19" t="s">
        <v>249</v>
      </c>
      <c r="J62" s="19" t="s">
        <v>22</v>
      </c>
      <c r="K62">
        <v>3</v>
      </c>
      <c r="L62">
        <v>2</v>
      </c>
      <c r="M62">
        <v>0.48</v>
      </c>
      <c r="N62" s="19" t="s">
        <v>25</v>
      </c>
      <c r="O62" s="19" t="s">
        <v>284</v>
      </c>
      <c r="P62" s="19" t="s">
        <v>291</v>
      </c>
      <c r="Q62" s="19" t="s">
        <v>287</v>
      </c>
      <c r="R62" s="19" t="s">
        <v>248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28</v>
      </c>
      <c r="D63" s="19" t="s">
        <v>36</v>
      </c>
      <c r="E63" s="19" t="s">
        <v>28</v>
      </c>
      <c r="F63">
        <v>4</v>
      </c>
      <c r="G63">
        <v>3</v>
      </c>
      <c r="H63">
        <v>0.55700000000000005</v>
      </c>
      <c r="I63" s="19" t="s">
        <v>249</v>
      </c>
      <c r="J63" s="19" t="s">
        <v>36</v>
      </c>
      <c r="K63">
        <v>3</v>
      </c>
      <c r="L63">
        <v>2</v>
      </c>
      <c r="M63">
        <v>-0.03</v>
      </c>
      <c r="N63" s="19" t="s">
        <v>36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14</v>
      </c>
      <c r="D64" s="19" t="s">
        <v>18</v>
      </c>
      <c r="E64" s="19" t="s">
        <v>18</v>
      </c>
      <c r="F64">
        <v>3</v>
      </c>
      <c r="G64">
        <v>4</v>
      </c>
      <c r="H64">
        <v>0.73029999999999995</v>
      </c>
      <c r="I64" s="19" t="s">
        <v>249</v>
      </c>
      <c r="J64" s="19" t="s">
        <v>14</v>
      </c>
      <c r="K64">
        <v>3</v>
      </c>
      <c r="L64">
        <v>2</v>
      </c>
      <c r="M64">
        <v>0.77</v>
      </c>
      <c r="N64" s="19" t="s">
        <v>18</v>
      </c>
      <c r="O64" s="19" t="s">
        <v>284</v>
      </c>
      <c r="P64" s="19" t="s">
        <v>289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24</v>
      </c>
      <c r="D65" s="19" t="s">
        <v>37</v>
      </c>
      <c r="E65" s="19" t="s">
        <v>37</v>
      </c>
      <c r="F65">
        <v>2</v>
      </c>
      <c r="G65">
        <v>3</v>
      </c>
      <c r="H65">
        <v>0.68110000000000004</v>
      </c>
      <c r="I65" s="19" t="s">
        <v>249</v>
      </c>
      <c r="J65" s="19" t="s">
        <v>37</v>
      </c>
      <c r="K65">
        <v>3</v>
      </c>
      <c r="L65">
        <v>2</v>
      </c>
      <c r="M65">
        <v>-0.61</v>
      </c>
      <c r="N65" s="19" t="s">
        <v>37</v>
      </c>
      <c r="O65" s="19" t="s">
        <v>289</v>
      </c>
      <c r="P65" s="19" t="s">
        <v>1566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40</v>
      </c>
      <c r="D66" s="19" t="s">
        <v>21</v>
      </c>
      <c r="E66" s="19" t="s">
        <v>40</v>
      </c>
      <c r="F66">
        <v>3</v>
      </c>
      <c r="G66">
        <v>2</v>
      </c>
      <c r="H66">
        <v>0.61360000000000003</v>
      </c>
      <c r="I66" s="19" t="s">
        <v>249</v>
      </c>
      <c r="J66" s="19" t="s">
        <v>21</v>
      </c>
      <c r="K66">
        <v>3</v>
      </c>
      <c r="L66">
        <v>2</v>
      </c>
      <c r="M66">
        <v>-0.28000000000000003</v>
      </c>
      <c r="N66" s="19" t="s">
        <v>21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0.875</v>
      </c>
      <c r="C67" s="19" t="s">
        <v>12</v>
      </c>
      <c r="D67" s="19" t="s">
        <v>11</v>
      </c>
      <c r="E67" s="19" t="s">
        <v>12</v>
      </c>
      <c r="F67">
        <v>4</v>
      </c>
      <c r="G67">
        <v>1</v>
      </c>
      <c r="H67">
        <v>0.94750000000000001</v>
      </c>
      <c r="I67" s="19" t="s">
        <v>249</v>
      </c>
      <c r="J67" s="19" t="s">
        <v>12</v>
      </c>
      <c r="K67">
        <v>3</v>
      </c>
      <c r="L67">
        <v>2</v>
      </c>
      <c r="M67">
        <v>1.69</v>
      </c>
      <c r="N67" s="19" t="s">
        <v>12</v>
      </c>
      <c r="O67" s="19" t="s">
        <v>288</v>
      </c>
      <c r="P67" s="19" t="s">
        <v>284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19</v>
      </c>
      <c r="D68" s="19" t="s">
        <v>33</v>
      </c>
      <c r="E68" s="19" t="s">
        <v>19</v>
      </c>
      <c r="F68">
        <v>5</v>
      </c>
      <c r="G68">
        <v>4</v>
      </c>
      <c r="H68">
        <v>0.66810000000000003</v>
      </c>
      <c r="I68" s="19" t="s">
        <v>249</v>
      </c>
      <c r="J68" s="19" t="s">
        <v>19</v>
      </c>
      <c r="K68">
        <v>3</v>
      </c>
      <c r="L68">
        <v>2</v>
      </c>
      <c r="M68">
        <v>0.46</v>
      </c>
      <c r="N68" s="19" t="s">
        <v>33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10</v>
      </c>
      <c r="D71" s="19" t="s">
        <v>26</v>
      </c>
      <c r="E71" s="19" t="s">
        <v>26</v>
      </c>
      <c r="F71">
        <v>3</v>
      </c>
      <c r="G71">
        <v>4</v>
      </c>
      <c r="H71">
        <v>0.53810000000000002</v>
      </c>
      <c r="I71" s="19" t="s">
        <v>248</v>
      </c>
      <c r="J71" s="19" t="s">
        <v>10</v>
      </c>
      <c r="K71">
        <v>3</v>
      </c>
      <c r="L71">
        <v>2</v>
      </c>
      <c r="M71">
        <v>0.28000000000000003</v>
      </c>
      <c r="N71" s="19" t="s">
        <v>26</v>
      </c>
      <c r="O71" s="19" t="s">
        <v>285</v>
      </c>
      <c r="P71" s="19" t="s">
        <v>289</v>
      </c>
      <c r="Q71" s="19" t="s">
        <v>285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0.52083333333333337</v>
      </c>
      <c r="C72" s="19" t="s">
        <v>24</v>
      </c>
      <c r="D72" s="19" t="s">
        <v>31</v>
      </c>
      <c r="E72" s="19" t="s">
        <v>31</v>
      </c>
      <c r="F72">
        <v>3</v>
      </c>
      <c r="G72">
        <v>4</v>
      </c>
      <c r="H72">
        <v>0.55169999999999997</v>
      </c>
      <c r="I72" s="19" t="s">
        <v>249</v>
      </c>
      <c r="J72" s="19" t="s">
        <v>31</v>
      </c>
      <c r="K72">
        <v>3</v>
      </c>
      <c r="L72">
        <v>2</v>
      </c>
      <c r="M72">
        <v>-0.35</v>
      </c>
      <c r="N72" s="19" t="s">
        <v>24</v>
      </c>
      <c r="O72" s="19" t="s">
        <v>289</v>
      </c>
      <c r="P72" s="19" t="s">
        <v>287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27</v>
      </c>
      <c r="D73" s="19" t="s">
        <v>25</v>
      </c>
      <c r="E73" s="19" t="s">
        <v>25</v>
      </c>
      <c r="F73">
        <v>2</v>
      </c>
      <c r="G73">
        <v>3</v>
      </c>
      <c r="H73">
        <v>0.73609999999999998</v>
      </c>
      <c r="I73" s="19" t="s">
        <v>249</v>
      </c>
      <c r="J73" s="19" t="s">
        <v>25</v>
      </c>
      <c r="K73">
        <v>3</v>
      </c>
      <c r="L73">
        <v>2</v>
      </c>
      <c r="M73">
        <v>-0.39</v>
      </c>
      <c r="N73" s="19" t="s">
        <v>25</v>
      </c>
      <c r="O73" s="19" t="s">
        <v>291</v>
      </c>
      <c r="P73" s="19" t="s">
        <v>289</v>
      </c>
      <c r="Q73" s="19" t="s">
        <v>287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0.64583333333333337</v>
      </c>
      <c r="C74" s="19" t="s">
        <v>30</v>
      </c>
      <c r="D74" s="19" t="s">
        <v>37</v>
      </c>
      <c r="E74" s="19" t="s">
        <v>30</v>
      </c>
      <c r="F74">
        <v>3</v>
      </c>
      <c r="G74">
        <v>2</v>
      </c>
      <c r="H74">
        <v>0.72950000000000004</v>
      </c>
      <c r="I74" s="19" t="s">
        <v>249</v>
      </c>
      <c r="J74" s="19" t="s">
        <v>37</v>
      </c>
      <c r="K74">
        <v>3</v>
      </c>
      <c r="L74">
        <v>2</v>
      </c>
      <c r="M74">
        <v>-0.31</v>
      </c>
      <c r="N74" s="19" t="s">
        <v>30</v>
      </c>
      <c r="O74" s="19" t="s">
        <v>291</v>
      </c>
      <c r="P74" s="19" t="s">
        <v>284</v>
      </c>
      <c r="Q74" s="19" t="s">
        <v>287</v>
      </c>
      <c r="R74" s="19" t="s">
        <v>248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19</v>
      </c>
      <c r="D75" s="19" t="s">
        <v>17</v>
      </c>
      <c r="E75" s="19" t="s">
        <v>19</v>
      </c>
      <c r="F75">
        <v>4</v>
      </c>
      <c r="G75">
        <v>3</v>
      </c>
      <c r="H75">
        <v>0.55420000000000003</v>
      </c>
      <c r="I75" s="19" t="s">
        <v>249</v>
      </c>
      <c r="J75" s="19" t="s">
        <v>19</v>
      </c>
      <c r="K75">
        <v>3</v>
      </c>
      <c r="L75">
        <v>2</v>
      </c>
      <c r="M75">
        <v>0.22</v>
      </c>
      <c r="N75" s="19" t="s">
        <v>17</v>
      </c>
      <c r="O75" s="19" t="s">
        <v>291</v>
      </c>
      <c r="P75" s="19" t="s">
        <v>288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0.83333333333333337</v>
      </c>
      <c r="C77" s="19" t="s">
        <v>39</v>
      </c>
      <c r="D77" s="19" t="s">
        <v>11</v>
      </c>
      <c r="E77" s="19" t="s">
        <v>39</v>
      </c>
      <c r="F77">
        <v>4</v>
      </c>
      <c r="G77">
        <v>3</v>
      </c>
      <c r="H77">
        <v>0.54620000000000002</v>
      </c>
      <c r="I77" s="19" t="s">
        <v>249</v>
      </c>
      <c r="J77" s="19" t="s">
        <v>39</v>
      </c>
      <c r="K77">
        <v>3</v>
      </c>
      <c r="L77">
        <v>2</v>
      </c>
      <c r="M77">
        <v>0.95</v>
      </c>
      <c r="N77" s="19" t="s">
        <v>11</v>
      </c>
      <c r="O77" s="19" t="s">
        <v>285</v>
      </c>
      <c r="P77" s="19" t="s">
        <v>289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0.625</v>
      </c>
      <c r="C78" s="19" t="s">
        <v>14</v>
      </c>
      <c r="D78" s="19" t="s">
        <v>33</v>
      </c>
      <c r="E78" s="19" t="s">
        <v>33</v>
      </c>
      <c r="F78">
        <v>3</v>
      </c>
      <c r="G78">
        <v>4</v>
      </c>
      <c r="H78">
        <v>0.5595</v>
      </c>
      <c r="I78" s="19" t="s">
        <v>249</v>
      </c>
      <c r="J78" s="19" t="s">
        <v>14</v>
      </c>
      <c r="K78">
        <v>3</v>
      </c>
      <c r="L78">
        <v>2</v>
      </c>
      <c r="M78">
        <v>0.51</v>
      </c>
      <c r="N78" s="19" t="s">
        <v>33</v>
      </c>
      <c r="O78" s="19" t="s">
        <v>283</v>
      </c>
      <c r="P78" s="19" t="s">
        <v>288</v>
      </c>
      <c r="Q78" s="19" t="s">
        <v>287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40</v>
      </c>
      <c r="D79" s="19" t="s">
        <v>22</v>
      </c>
      <c r="E79" s="19" t="s">
        <v>22</v>
      </c>
      <c r="F79">
        <v>4</v>
      </c>
      <c r="G79">
        <v>5</v>
      </c>
      <c r="H79">
        <v>0.60980000000000001</v>
      </c>
      <c r="I79" s="19" t="s">
        <v>249</v>
      </c>
      <c r="J79" s="19" t="s">
        <v>22</v>
      </c>
      <c r="K79">
        <v>3</v>
      </c>
      <c r="L79">
        <v>2</v>
      </c>
      <c r="M79">
        <v>-1.01</v>
      </c>
      <c r="N79" s="19" t="s">
        <v>40</v>
      </c>
      <c r="O79" s="19" t="s">
        <v>283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15</v>
      </c>
      <c r="D80" s="19" t="s">
        <v>18</v>
      </c>
      <c r="E80" s="19" t="s">
        <v>18</v>
      </c>
      <c r="F80">
        <v>1</v>
      </c>
      <c r="G80">
        <v>3</v>
      </c>
      <c r="H80">
        <v>0.72430000000000005</v>
      </c>
      <c r="I80" s="19" t="s">
        <v>249</v>
      </c>
      <c r="J80" s="19" t="s">
        <v>15</v>
      </c>
      <c r="K80">
        <v>3</v>
      </c>
      <c r="L80">
        <v>2</v>
      </c>
      <c r="M80">
        <v>0.53</v>
      </c>
      <c r="N80" s="19" t="s">
        <v>15</v>
      </c>
      <c r="O80" s="19" t="s">
        <v>283</v>
      </c>
      <c r="P80" s="19" t="s">
        <v>289</v>
      </c>
      <c r="Q80" s="19" t="s">
        <v>287</v>
      </c>
      <c r="R80" s="19" t="s">
        <v>249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0.91666666666666663</v>
      </c>
      <c r="C81" s="19" t="s">
        <v>13</v>
      </c>
      <c r="D81" s="19" t="s">
        <v>16</v>
      </c>
      <c r="E81" s="19" t="s">
        <v>13</v>
      </c>
      <c r="F81">
        <v>3</v>
      </c>
      <c r="G81">
        <v>1</v>
      </c>
      <c r="H81">
        <v>0.80530000000000002</v>
      </c>
      <c r="I81" s="19" t="s">
        <v>249</v>
      </c>
      <c r="J81" s="19" t="s">
        <v>13</v>
      </c>
      <c r="K81">
        <v>3</v>
      </c>
      <c r="L81">
        <v>2</v>
      </c>
      <c r="M81">
        <v>0.77</v>
      </c>
      <c r="N81" s="19" t="s">
        <v>16</v>
      </c>
      <c r="O81" s="19" t="s">
        <v>287</v>
      </c>
      <c r="P81" s="19" t="s">
        <v>284</v>
      </c>
      <c r="Q81" s="19" t="s">
        <v>287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28</v>
      </c>
      <c r="D82" s="19" t="s">
        <v>20</v>
      </c>
      <c r="E82" s="19" t="s">
        <v>20</v>
      </c>
      <c r="F82">
        <v>3</v>
      </c>
      <c r="G82">
        <v>4</v>
      </c>
      <c r="H82">
        <v>0.65100000000000002</v>
      </c>
      <c r="I82" s="19" t="s">
        <v>248</v>
      </c>
      <c r="J82" s="19" t="s">
        <v>20</v>
      </c>
      <c r="K82">
        <v>3</v>
      </c>
      <c r="L82">
        <v>2</v>
      </c>
      <c r="M82">
        <v>-0.59</v>
      </c>
      <c r="N82" s="19" t="s">
        <v>20</v>
      </c>
      <c r="O82" s="19" t="s">
        <v>284</v>
      </c>
      <c r="P82" s="19" t="s">
        <v>291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0.875</v>
      </c>
      <c r="C83" s="19" t="s">
        <v>12</v>
      </c>
      <c r="D83" s="19" t="s">
        <v>29</v>
      </c>
      <c r="E83" s="19" t="s">
        <v>12</v>
      </c>
      <c r="F83">
        <v>6</v>
      </c>
      <c r="G83">
        <v>2</v>
      </c>
      <c r="H83">
        <v>0.91220000000000001</v>
      </c>
      <c r="I83" s="19" t="s">
        <v>249</v>
      </c>
      <c r="J83" s="19" t="s">
        <v>12</v>
      </c>
      <c r="K83">
        <v>3</v>
      </c>
      <c r="L83">
        <v>2</v>
      </c>
      <c r="M83">
        <v>2.38</v>
      </c>
      <c r="N83" s="19" t="s">
        <v>12</v>
      </c>
      <c r="O83" s="19" t="s">
        <v>289</v>
      </c>
      <c r="P83" s="19" t="s">
        <v>284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0.75</v>
      </c>
      <c r="C84" s="19" t="s">
        <v>34</v>
      </c>
      <c r="D84" s="19" t="s">
        <v>21</v>
      </c>
      <c r="E84" s="19" t="s">
        <v>21</v>
      </c>
      <c r="F84">
        <v>3</v>
      </c>
      <c r="G84">
        <v>4</v>
      </c>
      <c r="H84">
        <v>0.61240000000000006</v>
      </c>
      <c r="I84" s="19" t="s">
        <v>249</v>
      </c>
      <c r="J84" s="19" t="s">
        <v>21</v>
      </c>
      <c r="K84">
        <v>3</v>
      </c>
      <c r="L84">
        <v>2</v>
      </c>
      <c r="M84">
        <v>-0.06</v>
      </c>
      <c r="N84" s="19" t="s">
        <v>34</v>
      </c>
      <c r="O84" s="19" t="s">
        <v>288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0.52083333333333337</v>
      </c>
      <c r="C86" s="19" t="s">
        <v>24</v>
      </c>
      <c r="D86" s="19" t="s">
        <v>38</v>
      </c>
      <c r="E86" s="19" t="s">
        <v>24</v>
      </c>
      <c r="F86">
        <v>5</v>
      </c>
      <c r="G86">
        <v>4</v>
      </c>
      <c r="H86">
        <v>0.51690000000000003</v>
      </c>
      <c r="I86" s="19" t="s">
        <v>249</v>
      </c>
      <c r="J86" s="19" t="s">
        <v>24</v>
      </c>
      <c r="K86">
        <v>3</v>
      </c>
      <c r="L86">
        <v>2</v>
      </c>
      <c r="M86">
        <v>0.77</v>
      </c>
      <c r="N86" s="19" t="s">
        <v>38</v>
      </c>
      <c r="O86" s="19" t="s">
        <v>287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0.625</v>
      </c>
      <c r="C88" s="19" t="s">
        <v>14</v>
      </c>
      <c r="D88" s="19" t="s">
        <v>55</v>
      </c>
      <c r="E88" s="19" t="s">
        <v>14</v>
      </c>
      <c r="F88">
        <v>4</v>
      </c>
      <c r="G88">
        <v>3</v>
      </c>
      <c r="H88">
        <v>0.66879999999999995</v>
      </c>
      <c r="I88" s="19" t="s">
        <v>249</v>
      </c>
      <c r="J88" s="19" t="s">
        <v>14</v>
      </c>
      <c r="K88">
        <v>3</v>
      </c>
      <c r="L88">
        <v>2</v>
      </c>
      <c r="M88">
        <v>0.05</v>
      </c>
      <c r="N88" s="19" t="s">
        <v>55</v>
      </c>
      <c r="O88" s="19" t="s">
        <v>289</v>
      </c>
      <c r="P88" s="19" t="s">
        <v>283</v>
      </c>
      <c r="Q88" s="19" t="s">
        <v>287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21</v>
      </c>
      <c r="D95" s="19" t="s">
        <v>55</v>
      </c>
      <c r="E95" s="19" t="s">
        <v>21</v>
      </c>
      <c r="F95">
        <v>4</v>
      </c>
      <c r="G95">
        <v>3</v>
      </c>
      <c r="H95">
        <v>0.66569999999999996</v>
      </c>
      <c r="I95" s="19" t="s">
        <v>249</v>
      </c>
      <c r="J95" s="19" t="s">
        <v>21</v>
      </c>
      <c r="K95">
        <v>3</v>
      </c>
      <c r="L95">
        <v>2</v>
      </c>
      <c r="M95">
        <v>0.17</v>
      </c>
      <c r="N95" s="19" t="s">
        <v>21</v>
      </c>
      <c r="O95" s="19" t="s">
        <v>289</v>
      </c>
      <c r="P95" s="19" t="s">
        <v>287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18</v>
      </c>
      <c r="D96" s="19" t="s">
        <v>27</v>
      </c>
      <c r="E96" s="19" t="s">
        <v>27</v>
      </c>
      <c r="F96">
        <v>3</v>
      </c>
      <c r="G96">
        <v>5</v>
      </c>
      <c r="H96">
        <v>0.84399999999999997</v>
      </c>
      <c r="I96" s="19" t="s">
        <v>248</v>
      </c>
      <c r="J96" s="19" t="s">
        <v>27</v>
      </c>
      <c r="K96">
        <v>3</v>
      </c>
      <c r="L96">
        <v>2</v>
      </c>
      <c r="M96">
        <v>-0.4</v>
      </c>
      <c r="N96" s="19" t="s">
        <v>27</v>
      </c>
      <c r="O96" s="19" t="s">
        <v>287</v>
      </c>
      <c r="P96" s="19" t="s">
        <v>289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0.8125</v>
      </c>
      <c r="C97" s="19" t="s">
        <v>14</v>
      </c>
      <c r="D97" s="19" t="s">
        <v>17</v>
      </c>
      <c r="E97" s="19" t="s">
        <v>17</v>
      </c>
      <c r="F97">
        <v>4</v>
      </c>
      <c r="G97">
        <v>5</v>
      </c>
      <c r="H97">
        <v>0.51959999999999995</v>
      </c>
      <c r="I97" s="19" t="s">
        <v>249</v>
      </c>
      <c r="J97" s="19" t="s">
        <v>14</v>
      </c>
      <c r="K97">
        <v>3</v>
      </c>
      <c r="L97">
        <v>2</v>
      </c>
      <c r="M97">
        <v>0.28999999999999998</v>
      </c>
      <c r="N97" s="19" t="s">
        <v>17</v>
      </c>
      <c r="O97" s="19" t="s">
        <v>289</v>
      </c>
      <c r="P97" s="19" t="s">
        <v>288</v>
      </c>
      <c r="Q97" s="19" t="s">
        <v>285</v>
      </c>
      <c r="R97" s="19" t="s">
        <v>248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0.83333333333333337</v>
      </c>
      <c r="C98" s="19" t="s">
        <v>34</v>
      </c>
      <c r="D98" s="19" t="s">
        <v>22</v>
      </c>
      <c r="E98" s="19" t="s">
        <v>22</v>
      </c>
      <c r="F98">
        <v>3</v>
      </c>
      <c r="G98">
        <v>4</v>
      </c>
      <c r="H98">
        <v>0.60750000000000004</v>
      </c>
      <c r="I98" s="19" t="s">
        <v>249</v>
      </c>
      <c r="J98" s="19" t="s">
        <v>22</v>
      </c>
      <c r="K98">
        <v>3</v>
      </c>
      <c r="L98">
        <v>2</v>
      </c>
      <c r="M98">
        <v>-0.33</v>
      </c>
      <c r="N98" s="19" t="s">
        <v>34</v>
      </c>
      <c r="O98" s="19" t="s">
        <v>283</v>
      </c>
      <c r="P98" s="19" t="s">
        <v>285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26</v>
      </c>
      <c r="D99" s="19" t="s">
        <v>30</v>
      </c>
      <c r="E99" s="19" t="s">
        <v>30</v>
      </c>
      <c r="F99">
        <v>3</v>
      </c>
      <c r="G99">
        <v>4</v>
      </c>
      <c r="H99">
        <v>0.70879999999999999</v>
      </c>
      <c r="I99" s="19" t="s">
        <v>249</v>
      </c>
      <c r="J99" s="19" t="s">
        <v>30</v>
      </c>
      <c r="K99">
        <v>3</v>
      </c>
      <c r="L99">
        <v>2</v>
      </c>
      <c r="M99">
        <v>-0.69</v>
      </c>
      <c r="N99" s="19" t="s">
        <v>26</v>
      </c>
      <c r="O99" s="19" t="s">
        <v>291</v>
      </c>
      <c r="P99" s="19" t="s">
        <v>284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0.91666666666666663</v>
      </c>
      <c r="C100" s="19" t="s">
        <v>32</v>
      </c>
      <c r="D100" s="19" t="s">
        <v>12</v>
      </c>
      <c r="E100" s="19" t="s">
        <v>12</v>
      </c>
      <c r="F100">
        <v>1</v>
      </c>
      <c r="G100">
        <v>2</v>
      </c>
      <c r="H100">
        <v>0.81510000000000005</v>
      </c>
      <c r="I100" s="19" t="s">
        <v>249</v>
      </c>
      <c r="J100" s="19" t="s">
        <v>12</v>
      </c>
      <c r="K100">
        <v>3</v>
      </c>
      <c r="L100">
        <v>2</v>
      </c>
      <c r="M100">
        <v>-2.2999999999999998</v>
      </c>
      <c r="N100" s="19" t="s">
        <v>12</v>
      </c>
      <c r="O100" s="19" t="s">
        <v>291</v>
      </c>
      <c r="P100" s="19" t="s">
        <v>283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19</v>
      </c>
      <c r="D101" s="19" t="s">
        <v>10</v>
      </c>
      <c r="E101" s="19" t="s">
        <v>19</v>
      </c>
      <c r="F101">
        <v>4</v>
      </c>
      <c r="G101">
        <v>3</v>
      </c>
      <c r="H101">
        <v>0.54720000000000002</v>
      </c>
      <c r="I101" s="19" t="s">
        <v>248</v>
      </c>
      <c r="J101" s="19" t="s">
        <v>19</v>
      </c>
      <c r="K101">
        <v>3</v>
      </c>
      <c r="L101">
        <v>2</v>
      </c>
      <c r="M101">
        <v>0.32</v>
      </c>
      <c r="N101" s="19" t="s">
        <v>19</v>
      </c>
      <c r="O101" s="19" t="s">
        <v>291</v>
      </c>
      <c r="P101" s="19" t="s">
        <v>284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28</v>
      </c>
      <c r="D102" s="19" t="s">
        <v>31</v>
      </c>
      <c r="E102" s="19" t="s">
        <v>31</v>
      </c>
      <c r="F102">
        <v>3</v>
      </c>
      <c r="G102">
        <v>4</v>
      </c>
      <c r="H102">
        <v>0.55640000000000001</v>
      </c>
      <c r="I102" s="19" t="s">
        <v>249</v>
      </c>
      <c r="J102" s="19" t="s">
        <v>31</v>
      </c>
      <c r="K102">
        <v>3</v>
      </c>
      <c r="L102">
        <v>2</v>
      </c>
      <c r="M102">
        <v>-0.74</v>
      </c>
      <c r="N102" s="19" t="s">
        <v>28</v>
      </c>
      <c r="O102" s="19" t="s">
        <v>289</v>
      </c>
      <c r="P102" s="19" t="s">
        <v>291</v>
      </c>
      <c r="Q102" s="19" t="s">
        <v>287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33</v>
      </c>
      <c r="D103" s="19" t="s">
        <v>16</v>
      </c>
      <c r="E103" s="19" t="s">
        <v>33</v>
      </c>
      <c r="F103">
        <v>4</v>
      </c>
      <c r="G103">
        <v>2</v>
      </c>
      <c r="H103">
        <v>0.70199999999999996</v>
      </c>
      <c r="I103" s="19" t="s">
        <v>249</v>
      </c>
      <c r="J103" s="19" t="s">
        <v>33</v>
      </c>
      <c r="K103">
        <v>3</v>
      </c>
      <c r="L103">
        <v>2</v>
      </c>
      <c r="M103">
        <v>0.32</v>
      </c>
      <c r="N103" s="19" t="s">
        <v>33</v>
      </c>
      <c r="O103" s="19" t="s">
        <v>288</v>
      </c>
      <c r="P103" s="19" t="s">
        <v>291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15</v>
      </c>
      <c r="D104" s="19" t="s">
        <v>38</v>
      </c>
      <c r="E104" s="19" t="s">
        <v>15</v>
      </c>
      <c r="F104">
        <v>3</v>
      </c>
      <c r="G104">
        <v>2</v>
      </c>
      <c r="H104">
        <v>0.67700000000000005</v>
      </c>
      <c r="I104" s="19" t="s">
        <v>249</v>
      </c>
      <c r="J104" s="19" t="s">
        <v>15</v>
      </c>
      <c r="K104">
        <v>3</v>
      </c>
      <c r="L104">
        <v>2</v>
      </c>
      <c r="M104">
        <v>0.74</v>
      </c>
      <c r="N104" s="19" t="s">
        <v>38</v>
      </c>
      <c r="O104" s="19" t="s">
        <v>285</v>
      </c>
      <c r="P104" s="19" t="s">
        <v>291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36</v>
      </c>
      <c r="D110" s="19" t="s">
        <v>14</v>
      </c>
      <c r="E110" s="19" t="s">
        <v>14</v>
      </c>
      <c r="F110">
        <v>3</v>
      </c>
      <c r="G110">
        <v>4</v>
      </c>
      <c r="H110">
        <v>0.58830000000000005</v>
      </c>
      <c r="I110" s="19" t="s">
        <v>249</v>
      </c>
      <c r="J110" s="19" t="s">
        <v>14</v>
      </c>
      <c r="K110">
        <v>3</v>
      </c>
      <c r="L110">
        <v>2</v>
      </c>
      <c r="M110">
        <v>-0.03</v>
      </c>
      <c r="N110" s="19" t="s">
        <v>36</v>
      </c>
      <c r="O110" s="19" t="s">
        <v>289</v>
      </c>
      <c r="P110" s="19" t="s">
        <v>285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0.91666666666666663</v>
      </c>
      <c r="C111" s="19" t="s">
        <v>33</v>
      </c>
      <c r="D111" s="19" t="s">
        <v>39</v>
      </c>
      <c r="E111" s="19" t="s">
        <v>39</v>
      </c>
      <c r="F111">
        <v>2</v>
      </c>
      <c r="G111">
        <v>4</v>
      </c>
      <c r="H111">
        <v>0.74929999999999997</v>
      </c>
      <c r="I111" s="19" t="s">
        <v>249</v>
      </c>
      <c r="J111" s="19" t="s">
        <v>39</v>
      </c>
      <c r="K111">
        <v>3</v>
      </c>
      <c r="L111">
        <v>2</v>
      </c>
      <c r="M111">
        <v>-0.81</v>
      </c>
      <c r="N111" s="19" t="s">
        <v>39</v>
      </c>
      <c r="O111" s="19" t="s">
        <v>291</v>
      </c>
      <c r="P111" s="19" t="s">
        <v>283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0.8125</v>
      </c>
      <c r="C112" s="19" t="s">
        <v>23</v>
      </c>
      <c r="D112" s="19" t="s">
        <v>27</v>
      </c>
      <c r="E112" s="19" t="s">
        <v>27</v>
      </c>
      <c r="F112">
        <v>2</v>
      </c>
      <c r="G112">
        <v>3</v>
      </c>
      <c r="H112">
        <v>0.50270000000000004</v>
      </c>
      <c r="I112" s="19" t="s">
        <v>249</v>
      </c>
      <c r="J112" s="19" t="s">
        <v>27</v>
      </c>
      <c r="K112">
        <v>3</v>
      </c>
      <c r="L112">
        <v>2</v>
      </c>
      <c r="M112">
        <v>-0.48</v>
      </c>
      <c r="N112" s="19" t="s">
        <v>23</v>
      </c>
      <c r="O112" s="19" t="s">
        <v>283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0.83333333333333337</v>
      </c>
      <c r="C113" s="19" t="s">
        <v>35</v>
      </c>
      <c r="D113" s="19" t="s">
        <v>15</v>
      </c>
      <c r="E113" s="19" t="s">
        <v>15</v>
      </c>
      <c r="F113">
        <v>2</v>
      </c>
      <c r="G113">
        <v>4</v>
      </c>
      <c r="H113">
        <v>0.79800000000000004</v>
      </c>
      <c r="I113" s="19" t="s">
        <v>249</v>
      </c>
      <c r="J113" s="19" t="s">
        <v>15</v>
      </c>
      <c r="K113">
        <v>3</v>
      </c>
      <c r="L113">
        <v>2</v>
      </c>
      <c r="M113">
        <v>-0.96</v>
      </c>
      <c r="N113" s="19" t="s">
        <v>15</v>
      </c>
      <c r="O113" s="19" t="s">
        <v>287</v>
      </c>
      <c r="P113" s="19" t="s">
        <v>284</v>
      </c>
      <c r="Q113" s="19" t="s">
        <v>287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37</v>
      </c>
      <c r="D114" s="19" t="s">
        <v>13</v>
      </c>
      <c r="E114" s="19" t="s">
        <v>13</v>
      </c>
      <c r="F114">
        <v>3</v>
      </c>
      <c r="G114">
        <v>4</v>
      </c>
      <c r="H114">
        <v>0.55379999999999996</v>
      </c>
      <c r="I114" s="19" t="s">
        <v>249</v>
      </c>
      <c r="J114" s="19" t="s">
        <v>37</v>
      </c>
      <c r="K114">
        <v>3</v>
      </c>
      <c r="L114">
        <v>2</v>
      </c>
      <c r="M114">
        <v>0.76</v>
      </c>
      <c r="N114" s="19" t="s">
        <v>13</v>
      </c>
      <c r="O114" s="19" t="s">
        <v>287</v>
      </c>
      <c r="P114" s="19" t="s">
        <v>284</v>
      </c>
      <c r="Q114" s="19" t="s">
        <v>285</v>
      </c>
      <c r="R114" s="19" t="s">
        <v>248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28</v>
      </c>
      <c r="D115" s="19" t="s">
        <v>34</v>
      </c>
      <c r="E115" s="19" t="s">
        <v>34</v>
      </c>
      <c r="F115">
        <v>2</v>
      </c>
      <c r="G115">
        <v>3</v>
      </c>
      <c r="H115">
        <v>0.75509999999999999</v>
      </c>
      <c r="I115" s="19" t="s">
        <v>249</v>
      </c>
      <c r="J115" s="19" t="s">
        <v>34</v>
      </c>
      <c r="K115">
        <v>3</v>
      </c>
      <c r="L115">
        <v>2</v>
      </c>
      <c r="M115">
        <v>-0.85</v>
      </c>
      <c r="N115" s="19" t="s">
        <v>34</v>
      </c>
      <c r="O115" s="19" t="s">
        <v>284</v>
      </c>
      <c r="P115" s="19" t="s">
        <v>283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22</v>
      </c>
      <c r="D116" s="19" t="s">
        <v>19</v>
      </c>
      <c r="E116" s="19" t="s">
        <v>22</v>
      </c>
      <c r="F116">
        <v>4</v>
      </c>
      <c r="G116">
        <v>3</v>
      </c>
      <c r="H116">
        <v>0.75260000000000005</v>
      </c>
      <c r="I116" s="19" t="s">
        <v>249</v>
      </c>
      <c r="J116" s="19" t="s">
        <v>22</v>
      </c>
      <c r="K116">
        <v>3</v>
      </c>
      <c r="L116">
        <v>2</v>
      </c>
      <c r="M116">
        <v>0.7</v>
      </c>
      <c r="N116" s="19" t="s">
        <v>22</v>
      </c>
      <c r="O116" s="19" t="s">
        <v>289</v>
      </c>
      <c r="P116" s="19" t="s">
        <v>285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21</v>
      </c>
      <c r="D117" s="19" t="s">
        <v>17</v>
      </c>
      <c r="E117" s="19" t="s">
        <v>21</v>
      </c>
      <c r="F117">
        <v>4</v>
      </c>
      <c r="G117">
        <v>2</v>
      </c>
      <c r="H117">
        <v>0.83350000000000002</v>
      </c>
      <c r="I117" s="19" t="s">
        <v>249</v>
      </c>
      <c r="J117" s="19" t="s">
        <v>21</v>
      </c>
      <c r="K117">
        <v>3</v>
      </c>
      <c r="L117">
        <v>2</v>
      </c>
      <c r="M117">
        <v>0.49</v>
      </c>
      <c r="N117" s="19" t="s">
        <v>17</v>
      </c>
      <c r="O117" s="19" t="s">
        <v>287</v>
      </c>
      <c r="P117" s="19" t="s">
        <v>291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18</v>
      </c>
      <c r="D118" s="19" t="s">
        <v>10</v>
      </c>
      <c r="E118" s="19" t="s">
        <v>18</v>
      </c>
      <c r="F118">
        <v>4</v>
      </c>
      <c r="G118">
        <v>3</v>
      </c>
      <c r="H118">
        <v>0.72230000000000005</v>
      </c>
      <c r="I118" s="19" t="s">
        <v>248</v>
      </c>
      <c r="J118" s="19" t="s">
        <v>18</v>
      </c>
      <c r="K118">
        <v>3</v>
      </c>
      <c r="L118">
        <v>2</v>
      </c>
      <c r="M118">
        <v>0.03</v>
      </c>
      <c r="N118" s="19" t="s">
        <v>18</v>
      </c>
      <c r="O118" s="19" t="s">
        <v>289</v>
      </c>
      <c r="P118" s="19" t="s">
        <v>287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0.875</v>
      </c>
      <c r="C119" s="19" t="s">
        <v>16</v>
      </c>
      <c r="D119" s="19" t="s">
        <v>32</v>
      </c>
      <c r="E119" s="19" t="s">
        <v>32</v>
      </c>
      <c r="F119">
        <v>3</v>
      </c>
      <c r="G119">
        <v>4</v>
      </c>
      <c r="H119">
        <v>0.76790000000000003</v>
      </c>
      <c r="I119" s="19" t="s">
        <v>249</v>
      </c>
      <c r="J119" s="19" t="s">
        <v>16</v>
      </c>
      <c r="K119">
        <v>3</v>
      </c>
      <c r="L119">
        <v>2</v>
      </c>
      <c r="M119">
        <v>0.16</v>
      </c>
      <c r="N119" s="19" t="s">
        <v>16</v>
      </c>
      <c r="O119" s="19" t="s">
        <v>289</v>
      </c>
      <c r="P119" s="19" t="s">
        <v>284</v>
      </c>
      <c r="Q119" s="19" t="s">
        <v>285</v>
      </c>
      <c r="R119" s="19" t="s">
        <v>249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1566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33</v>
      </c>
      <c r="D126" s="19" t="s">
        <v>32</v>
      </c>
      <c r="E126" s="19" t="s">
        <v>33</v>
      </c>
      <c r="F126">
        <v>4</v>
      </c>
      <c r="G126">
        <v>3</v>
      </c>
      <c r="H126">
        <v>0.73929999999999996</v>
      </c>
      <c r="I126" s="19" t="s">
        <v>248</v>
      </c>
      <c r="J126" s="19" t="s">
        <v>33</v>
      </c>
      <c r="K126">
        <v>3</v>
      </c>
      <c r="L126">
        <v>2</v>
      </c>
      <c r="M126">
        <v>0.57999999999999996</v>
      </c>
      <c r="N126" s="19" t="s">
        <v>32</v>
      </c>
      <c r="O126" s="19" t="s">
        <v>284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0.70833333333333337</v>
      </c>
      <c r="C127" s="19" t="s">
        <v>23</v>
      </c>
      <c r="D127" s="19" t="s">
        <v>30</v>
      </c>
      <c r="E127" s="19" t="s">
        <v>30</v>
      </c>
      <c r="F127">
        <v>2</v>
      </c>
      <c r="G127">
        <v>3</v>
      </c>
      <c r="H127">
        <v>0.63270000000000004</v>
      </c>
      <c r="I127" s="19" t="s">
        <v>249</v>
      </c>
      <c r="J127" s="19" t="s">
        <v>30</v>
      </c>
      <c r="K127">
        <v>3</v>
      </c>
      <c r="L127">
        <v>2</v>
      </c>
      <c r="M127">
        <v>-0.45</v>
      </c>
      <c r="N127" s="19" t="s">
        <v>23</v>
      </c>
      <c r="O127" s="19" t="s">
        <v>291</v>
      </c>
      <c r="P127" s="19" t="s">
        <v>284</v>
      </c>
      <c r="Q127" s="19" t="s">
        <v>287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21</v>
      </c>
      <c r="D128" s="19" t="s">
        <v>38</v>
      </c>
      <c r="E128" s="19" t="s">
        <v>38</v>
      </c>
      <c r="F128">
        <v>3</v>
      </c>
      <c r="G128">
        <v>4</v>
      </c>
      <c r="H128">
        <v>0.5171</v>
      </c>
      <c r="I128" s="19" t="s">
        <v>249</v>
      </c>
      <c r="J128" s="19" t="s">
        <v>21</v>
      </c>
      <c r="K128">
        <v>3</v>
      </c>
      <c r="L128">
        <v>2</v>
      </c>
      <c r="M128">
        <v>0.75</v>
      </c>
      <c r="N128" s="19" t="s">
        <v>38</v>
      </c>
      <c r="O128" s="19" t="s">
        <v>289</v>
      </c>
      <c r="P128" s="19" t="s">
        <v>283</v>
      </c>
      <c r="Q128" s="19" t="s">
        <v>287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18</v>
      </c>
      <c r="D129" s="19" t="s">
        <v>14</v>
      </c>
      <c r="E129" s="19" t="s">
        <v>14</v>
      </c>
      <c r="F129">
        <v>3</v>
      </c>
      <c r="G129">
        <v>4</v>
      </c>
      <c r="H129">
        <v>0.5988</v>
      </c>
      <c r="I129" s="19" t="s">
        <v>249</v>
      </c>
      <c r="J129" s="19" t="s">
        <v>14</v>
      </c>
      <c r="K129">
        <v>3</v>
      </c>
      <c r="L129">
        <v>2</v>
      </c>
      <c r="M129">
        <v>-0.11</v>
      </c>
      <c r="N129" s="19" t="s">
        <v>18</v>
      </c>
      <c r="O129" s="19" t="s">
        <v>289</v>
      </c>
      <c r="P129" s="19" t="s">
        <v>285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31</v>
      </c>
      <c r="D130" s="19" t="s">
        <v>28</v>
      </c>
      <c r="E130" s="19" t="s">
        <v>31</v>
      </c>
      <c r="F130">
        <v>5</v>
      </c>
      <c r="G130">
        <v>3</v>
      </c>
      <c r="H130">
        <v>0.74139999999999995</v>
      </c>
      <c r="I130" s="19" t="s">
        <v>249</v>
      </c>
      <c r="J130" s="19" t="s">
        <v>31</v>
      </c>
      <c r="K130">
        <v>3</v>
      </c>
      <c r="L130">
        <v>2</v>
      </c>
      <c r="M130">
        <v>0.68</v>
      </c>
      <c r="N130" s="19" t="s">
        <v>31</v>
      </c>
      <c r="O130" s="19" t="s">
        <v>289</v>
      </c>
      <c r="P130" s="19" t="s">
        <v>291</v>
      </c>
      <c r="Q130" s="19" t="s">
        <v>285</v>
      </c>
      <c r="R130" s="19" t="s">
        <v>248</v>
      </c>
      <c r="S130" s="19" t="s">
        <v>248</v>
      </c>
      <c r="T130" s="19" t="s">
        <v>286</v>
      </c>
    </row>
    <row r="131" spans="1:20" x14ac:dyDescent="0.2">
      <c r="A131" s="1">
        <v>46011</v>
      </c>
      <c r="B131" s="2">
        <v>0.52083333333333337</v>
      </c>
      <c r="C131" s="19" t="s">
        <v>15</v>
      </c>
      <c r="D131" s="19" t="s">
        <v>27</v>
      </c>
      <c r="E131" s="19" t="s">
        <v>27</v>
      </c>
      <c r="F131">
        <v>1</v>
      </c>
      <c r="G131">
        <v>3</v>
      </c>
      <c r="H131">
        <v>0.91959999999999997</v>
      </c>
      <c r="I131" s="19" t="s">
        <v>249</v>
      </c>
      <c r="J131" s="19" t="s">
        <v>27</v>
      </c>
      <c r="K131">
        <v>3</v>
      </c>
      <c r="L131">
        <v>2</v>
      </c>
      <c r="M131">
        <v>-0.19</v>
      </c>
      <c r="N131" s="19" t="s">
        <v>15</v>
      </c>
      <c r="O131" s="19" t="s">
        <v>283</v>
      </c>
      <c r="P131" s="19" t="s">
        <v>289</v>
      </c>
      <c r="Q131" s="19" t="s">
        <v>287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0.625</v>
      </c>
      <c r="C132" s="19" t="s">
        <v>36</v>
      </c>
      <c r="D132" s="19" t="s">
        <v>10</v>
      </c>
      <c r="E132" s="19" t="s">
        <v>36</v>
      </c>
      <c r="F132">
        <v>3</v>
      </c>
      <c r="G132">
        <v>2</v>
      </c>
      <c r="H132">
        <v>0.54479999999999995</v>
      </c>
      <c r="I132" s="19" t="s">
        <v>249</v>
      </c>
      <c r="J132" s="19" t="s">
        <v>36</v>
      </c>
      <c r="K132">
        <v>3</v>
      </c>
      <c r="L132">
        <v>2</v>
      </c>
      <c r="M132">
        <v>0.51</v>
      </c>
      <c r="N132" s="19" t="s">
        <v>36</v>
      </c>
      <c r="O132" s="19" t="s">
        <v>288</v>
      </c>
      <c r="P132" s="19" t="s">
        <v>289</v>
      </c>
      <c r="Q132" s="19" t="s">
        <v>285</v>
      </c>
      <c r="R132" s="19" t="s">
        <v>248</v>
      </c>
      <c r="S132" s="19" t="s">
        <v>248</v>
      </c>
      <c r="T132" s="19" t="s">
        <v>286</v>
      </c>
    </row>
    <row r="133" spans="1:20" x14ac:dyDescent="0.2">
      <c r="A133" s="1">
        <v>46011</v>
      </c>
      <c r="B133" s="2">
        <v>0.75</v>
      </c>
      <c r="C133" s="19" t="s">
        <v>11</v>
      </c>
      <c r="D133" s="19" t="s">
        <v>35</v>
      </c>
      <c r="E133" s="19" t="s">
        <v>35</v>
      </c>
      <c r="F133">
        <v>4</v>
      </c>
      <c r="G133">
        <v>5</v>
      </c>
      <c r="H133">
        <v>0.5121</v>
      </c>
      <c r="I133" s="19" t="s">
        <v>249</v>
      </c>
      <c r="J133" s="19" t="s">
        <v>11</v>
      </c>
      <c r="K133">
        <v>3</v>
      </c>
      <c r="L133">
        <v>2</v>
      </c>
      <c r="M133">
        <v>1.4</v>
      </c>
      <c r="N133" s="19" t="s">
        <v>35</v>
      </c>
      <c r="O133" s="19" t="s">
        <v>284</v>
      </c>
      <c r="P133" s="19" t="s">
        <v>288</v>
      </c>
      <c r="Q133" s="19" t="s">
        <v>285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0.625</v>
      </c>
      <c r="C134" s="19" t="s">
        <v>34</v>
      </c>
      <c r="D134" s="19" t="s">
        <v>17</v>
      </c>
      <c r="E134" s="19" t="s">
        <v>17</v>
      </c>
      <c r="F134">
        <v>4</v>
      </c>
      <c r="G134">
        <v>5</v>
      </c>
      <c r="H134">
        <v>0.55320000000000003</v>
      </c>
      <c r="I134" s="19" t="s">
        <v>248</v>
      </c>
      <c r="J134" s="19" t="s">
        <v>34</v>
      </c>
      <c r="K134">
        <v>3</v>
      </c>
      <c r="L134">
        <v>2</v>
      </c>
      <c r="M134">
        <v>0.67</v>
      </c>
      <c r="N134" s="19" t="s">
        <v>34</v>
      </c>
      <c r="O134" s="19" t="s">
        <v>283</v>
      </c>
      <c r="P134" s="19" t="s">
        <v>284</v>
      </c>
      <c r="Q134" s="19" t="s">
        <v>285</v>
      </c>
      <c r="R134" s="19" t="s">
        <v>249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0.91666666666666663</v>
      </c>
      <c r="C135" s="19" t="s">
        <v>16</v>
      </c>
      <c r="D135" s="19" t="s">
        <v>20</v>
      </c>
      <c r="E135" s="19" t="s">
        <v>20</v>
      </c>
      <c r="F135">
        <v>3</v>
      </c>
      <c r="G135">
        <v>4</v>
      </c>
      <c r="H135">
        <v>0.77259999999999995</v>
      </c>
      <c r="I135" s="19" t="s">
        <v>249</v>
      </c>
      <c r="J135" s="19" t="s">
        <v>20</v>
      </c>
      <c r="K135">
        <v>3</v>
      </c>
      <c r="L135">
        <v>2</v>
      </c>
      <c r="M135">
        <v>-0.65</v>
      </c>
      <c r="N135" s="19" t="s">
        <v>16</v>
      </c>
      <c r="O135" s="19" t="s">
        <v>288</v>
      </c>
      <c r="P135" s="19" t="s">
        <v>291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29</v>
      </c>
      <c r="D136" s="19" t="s">
        <v>19</v>
      </c>
      <c r="E136" s="19" t="s">
        <v>29</v>
      </c>
      <c r="F136">
        <v>3</v>
      </c>
      <c r="G136">
        <v>2</v>
      </c>
      <c r="H136">
        <v>0.69740000000000002</v>
      </c>
      <c r="I136" s="19" t="s">
        <v>249</v>
      </c>
      <c r="J136" s="19" t="s">
        <v>19</v>
      </c>
      <c r="K136">
        <v>3</v>
      </c>
      <c r="L136">
        <v>2</v>
      </c>
      <c r="M136">
        <v>-0.41</v>
      </c>
      <c r="N136" s="19" t="s">
        <v>29</v>
      </c>
      <c r="O136" s="19" t="s">
        <v>283</v>
      </c>
      <c r="P136" s="19" t="s">
        <v>291</v>
      </c>
      <c r="Q136" s="19" t="s">
        <v>285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22</v>
      </c>
      <c r="D137" s="19" t="s">
        <v>26</v>
      </c>
      <c r="E137" s="19" t="s">
        <v>22</v>
      </c>
      <c r="F137">
        <v>4</v>
      </c>
      <c r="G137">
        <v>3</v>
      </c>
      <c r="H137">
        <v>0.57709999999999995</v>
      </c>
      <c r="I137" s="19" t="s">
        <v>249</v>
      </c>
      <c r="J137" s="19" t="s">
        <v>22</v>
      </c>
      <c r="K137">
        <v>3</v>
      </c>
      <c r="L137">
        <v>2</v>
      </c>
      <c r="M137">
        <v>1.1000000000000001</v>
      </c>
      <c r="N137" s="19" t="s">
        <v>26</v>
      </c>
      <c r="O137" s="19" t="s">
        <v>284</v>
      </c>
      <c r="P137" s="19" t="s">
        <v>283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0.75</v>
      </c>
      <c r="C138" s="19" t="s">
        <v>34</v>
      </c>
      <c r="D138" s="19" t="s">
        <v>12</v>
      </c>
      <c r="E138" s="19" t="s">
        <v>34</v>
      </c>
      <c r="F138">
        <v>4</v>
      </c>
      <c r="G138">
        <v>3</v>
      </c>
      <c r="H138">
        <v>0.91279999999999994</v>
      </c>
      <c r="I138" s="19" t="s">
        <v>248</v>
      </c>
      <c r="J138" s="19" t="s">
        <v>12</v>
      </c>
      <c r="K138">
        <v>3</v>
      </c>
      <c r="L138">
        <v>2</v>
      </c>
      <c r="M138">
        <v>-0.94</v>
      </c>
      <c r="N138" s="19" t="s">
        <v>12</v>
      </c>
      <c r="O138" s="19" t="s">
        <v>287</v>
      </c>
      <c r="P138" s="19" t="s">
        <v>283</v>
      </c>
      <c r="Q138" s="19" t="s">
        <v>285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36</v>
      </c>
      <c r="O139" s="19" t="s">
        <v>284</v>
      </c>
      <c r="P139" s="19" t="s">
        <v>288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14</v>
      </c>
      <c r="D141" s="19" t="s">
        <v>18</v>
      </c>
      <c r="E141" s="19" t="s">
        <v>18</v>
      </c>
      <c r="F141">
        <v>2</v>
      </c>
      <c r="G141">
        <v>4</v>
      </c>
      <c r="H141">
        <v>0.80289999999999995</v>
      </c>
      <c r="I141" s="19" t="s">
        <v>249</v>
      </c>
      <c r="J141" s="19" t="s">
        <v>14</v>
      </c>
      <c r="K141">
        <v>3</v>
      </c>
      <c r="L141">
        <v>2</v>
      </c>
      <c r="M141">
        <v>0.01</v>
      </c>
      <c r="N141" s="19" t="s">
        <v>14</v>
      </c>
      <c r="O141" s="19" t="s">
        <v>289</v>
      </c>
      <c r="P141" s="19" t="s">
        <v>291</v>
      </c>
      <c r="Q141" s="19" t="s">
        <v>287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0.54166666666666663</v>
      </c>
      <c r="C145" s="19" t="s">
        <v>26</v>
      </c>
      <c r="D145" s="19" t="s">
        <v>22</v>
      </c>
      <c r="E145" s="19" t="s">
        <v>26</v>
      </c>
      <c r="F145">
        <v>5</v>
      </c>
      <c r="G145">
        <v>4</v>
      </c>
      <c r="H145">
        <v>0.50509999999999999</v>
      </c>
      <c r="I145" s="19" t="s">
        <v>249</v>
      </c>
      <c r="J145" s="19" t="s">
        <v>22</v>
      </c>
      <c r="K145">
        <v>3</v>
      </c>
      <c r="L145">
        <v>2</v>
      </c>
      <c r="M145">
        <v>-0.73</v>
      </c>
      <c r="N145" s="19" t="s">
        <v>26</v>
      </c>
      <c r="O145" s="19" t="s">
        <v>291</v>
      </c>
      <c r="P145" s="19" t="s">
        <v>284</v>
      </c>
      <c r="Q145" s="19" t="s">
        <v>287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30</v>
      </c>
      <c r="D151" s="19" t="s">
        <v>24</v>
      </c>
      <c r="E151" s="19" t="s">
        <v>24</v>
      </c>
      <c r="F151">
        <v>3</v>
      </c>
      <c r="G151">
        <v>4</v>
      </c>
      <c r="H151">
        <v>0.6946</v>
      </c>
      <c r="I151" s="19" t="s">
        <v>249</v>
      </c>
      <c r="J151" s="19" t="s">
        <v>30</v>
      </c>
      <c r="K151">
        <v>3</v>
      </c>
      <c r="L151">
        <v>2</v>
      </c>
      <c r="M151">
        <v>0.33</v>
      </c>
      <c r="N151" s="19" t="s">
        <v>30</v>
      </c>
      <c r="O151" s="19" t="s">
        <v>284</v>
      </c>
      <c r="P151" s="19" t="s">
        <v>287</v>
      </c>
      <c r="Q151" s="19" t="s">
        <v>285</v>
      </c>
      <c r="R151" s="19" t="s">
        <v>249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0.66666666666666663</v>
      </c>
      <c r="C152" s="19" t="s">
        <v>19</v>
      </c>
      <c r="D152" s="19" t="s">
        <v>14</v>
      </c>
      <c r="E152" s="19" t="s">
        <v>19</v>
      </c>
      <c r="F152">
        <v>4</v>
      </c>
      <c r="G152">
        <v>3</v>
      </c>
      <c r="H152">
        <v>0.72040000000000004</v>
      </c>
      <c r="I152" s="19" t="s">
        <v>249</v>
      </c>
      <c r="J152" s="19" t="s">
        <v>14</v>
      </c>
      <c r="K152">
        <v>3</v>
      </c>
      <c r="L152">
        <v>2</v>
      </c>
      <c r="M152">
        <v>-0.05</v>
      </c>
      <c r="N152" s="19" t="s">
        <v>19</v>
      </c>
      <c r="O152" s="19" t="s">
        <v>288</v>
      </c>
      <c r="P152" s="19" t="s">
        <v>291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0.77083333333333337</v>
      </c>
      <c r="C153" s="19" t="s">
        <v>26</v>
      </c>
      <c r="D153" s="19" t="s">
        <v>39</v>
      </c>
      <c r="E153" s="19" t="s">
        <v>39</v>
      </c>
      <c r="F153">
        <v>3</v>
      </c>
      <c r="G153">
        <v>6</v>
      </c>
      <c r="H153">
        <v>0.59989999999999999</v>
      </c>
      <c r="I153" s="19" t="s">
        <v>249</v>
      </c>
      <c r="J153" s="19" t="s">
        <v>39</v>
      </c>
      <c r="K153">
        <v>3</v>
      </c>
      <c r="L153">
        <v>2</v>
      </c>
      <c r="M153">
        <v>-1.08</v>
      </c>
      <c r="N153" s="19" t="s">
        <v>26</v>
      </c>
      <c r="O153" s="19" t="s">
        <v>289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0.83333333333333337</v>
      </c>
      <c r="C154" s="19" t="s">
        <v>34</v>
      </c>
      <c r="D154" s="19" t="s">
        <v>29</v>
      </c>
      <c r="E154" s="19" t="s">
        <v>34</v>
      </c>
      <c r="F154">
        <v>4</v>
      </c>
      <c r="G154">
        <v>3</v>
      </c>
      <c r="H154">
        <v>0.87450000000000006</v>
      </c>
      <c r="I154" s="19" t="s">
        <v>248</v>
      </c>
      <c r="J154" s="19" t="s">
        <v>34</v>
      </c>
      <c r="K154">
        <v>3</v>
      </c>
      <c r="L154">
        <v>2</v>
      </c>
      <c r="M154">
        <v>1.08</v>
      </c>
      <c r="N154" s="19" t="s">
        <v>29</v>
      </c>
      <c r="O154" s="19" t="s">
        <v>284</v>
      </c>
      <c r="P154" s="19" t="s">
        <v>291</v>
      </c>
      <c r="Q154" s="19" t="s">
        <v>287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17</v>
      </c>
      <c r="D155" s="19" t="s">
        <v>16</v>
      </c>
      <c r="E155" s="19" t="s">
        <v>16</v>
      </c>
      <c r="F155">
        <v>3</v>
      </c>
      <c r="G155">
        <v>4</v>
      </c>
      <c r="H155">
        <v>0.622</v>
      </c>
      <c r="I155" s="19" t="s">
        <v>248</v>
      </c>
      <c r="J155" s="19" t="s">
        <v>17</v>
      </c>
      <c r="K155">
        <v>3</v>
      </c>
      <c r="L155">
        <v>2</v>
      </c>
      <c r="M155">
        <v>0.43</v>
      </c>
      <c r="N155" s="19" t="s">
        <v>17</v>
      </c>
      <c r="O155" s="19" t="s">
        <v>283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36</v>
      </c>
      <c r="D156" s="19" t="s">
        <v>23</v>
      </c>
      <c r="E156" s="19" t="s">
        <v>36</v>
      </c>
      <c r="F156">
        <v>4</v>
      </c>
      <c r="G156">
        <v>3</v>
      </c>
      <c r="H156">
        <v>0.72799999999999998</v>
      </c>
      <c r="I156" s="19" t="s">
        <v>249</v>
      </c>
      <c r="J156" s="19" t="s">
        <v>36</v>
      </c>
      <c r="K156">
        <v>3</v>
      </c>
      <c r="L156">
        <v>2</v>
      </c>
      <c r="M156">
        <v>0.38</v>
      </c>
      <c r="N156" s="19" t="s">
        <v>23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10</v>
      </c>
      <c r="D157" s="19" t="s">
        <v>27</v>
      </c>
      <c r="E157" s="19" t="s">
        <v>27</v>
      </c>
      <c r="F157">
        <v>3</v>
      </c>
      <c r="G157">
        <v>4</v>
      </c>
      <c r="H157">
        <v>0.52180000000000004</v>
      </c>
      <c r="I157" s="19" t="s">
        <v>249</v>
      </c>
      <c r="J157" s="19" t="s">
        <v>27</v>
      </c>
      <c r="K157">
        <v>3</v>
      </c>
      <c r="L157">
        <v>2</v>
      </c>
      <c r="M157">
        <v>-0.59</v>
      </c>
      <c r="N157" s="19" t="s">
        <v>27</v>
      </c>
      <c r="O157" s="19" t="s">
        <v>287</v>
      </c>
      <c r="P157" s="19" t="s">
        <v>291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0.91666666666666663</v>
      </c>
      <c r="C158" s="19" t="s">
        <v>20</v>
      </c>
      <c r="D158" s="19" t="s">
        <v>33</v>
      </c>
      <c r="E158" s="19" t="s">
        <v>33</v>
      </c>
      <c r="F158">
        <v>3</v>
      </c>
      <c r="G158">
        <v>4</v>
      </c>
      <c r="H158">
        <v>0.67400000000000004</v>
      </c>
      <c r="I158" s="19" t="s">
        <v>248</v>
      </c>
      <c r="J158" s="19" t="s">
        <v>20</v>
      </c>
      <c r="K158">
        <v>3</v>
      </c>
      <c r="L158">
        <v>2</v>
      </c>
      <c r="M158">
        <v>0.42</v>
      </c>
      <c r="N158" s="19" t="s">
        <v>20</v>
      </c>
      <c r="O158" s="19" t="s">
        <v>292</v>
      </c>
      <c r="P158" s="19" t="s">
        <v>284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0.875</v>
      </c>
      <c r="C159" s="19" t="s">
        <v>12</v>
      </c>
      <c r="D159" s="19" t="s">
        <v>55</v>
      </c>
      <c r="E159" s="19" t="s">
        <v>12</v>
      </c>
      <c r="F159">
        <v>5</v>
      </c>
      <c r="G159">
        <v>1</v>
      </c>
      <c r="H159">
        <v>0.87890000000000001</v>
      </c>
      <c r="I159" s="19" t="s">
        <v>249</v>
      </c>
      <c r="J159" s="19" t="s">
        <v>12</v>
      </c>
      <c r="K159">
        <v>3</v>
      </c>
      <c r="L159">
        <v>2</v>
      </c>
      <c r="M159">
        <v>1.68</v>
      </c>
      <c r="N159" s="19" t="s">
        <v>12</v>
      </c>
      <c r="O159" s="19" t="s">
        <v>287</v>
      </c>
      <c r="P159" s="19" t="s">
        <v>285</v>
      </c>
      <c r="Q159" s="19" t="s">
        <v>285</v>
      </c>
      <c r="R159" s="19" t="s">
        <v>248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22</v>
      </c>
      <c r="D160" s="19" t="s">
        <v>15</v>
      </c>
      <c r="E160" s="19" t="s">
        <v>15</v>
      </c>
      <c r="F160">
        <v>3</v>
      </c>
      <c r="G160">
        <v>4</v>
      </c>
      <c r="H160">
        <v>0.76980000000000004</v>
      </c>
      <c r="I160" s="19" t="s">
        <v>249</v>
      </c>
      <c r="J160" s="19" t="s">
        <v>22</v>
      </c>
      <c r="K160">
        <v>3</v>
      </c>
      <c r="L160">
        <v>2</v>
      </c>
      <c r="M160">
        <v>0.68</v>
      </c>
      <c r="N160" s="19" t="s">
        <v>15</v>
      </c>
      <c r="O160" s="19" t="s">
        <v>291</v>
      </c>
      <c r="P160" s="19" t="s">
        <v>292</v>
      </c>
      <c r="Q160" s="19" t="s">
        <v>285</v>
      </c>
      <c r="R160" s="19" t="s">
        <v>248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13</v>
      </c>
      <c r="D161" s="19" t="s">
        <v>32</v>
      </c>
      <c r="E161" s="19" t="s">
        <v>32</v>
      </c>
      <c r="F161">
        <v>2</v>
      </c>
      <c r="G161">
        <v>3</v>
      </c>
      <c r="H161">
        <v>0.58230000000000004</v>
      </c>
      <c r="I161" s="19" t="s">
        <v>249</v>
      </c>
      <c r="J161" s="19" t="s">
        <v>13</v>
      </c>
      <c r="K161">
        <v>3</v>
      </c>
      <c r="L161">
        <v>2</v>
      </c>
      <c r="M161">
        <v>0.54</v>
      </c>
      <c r="N161" s="19" t="s">
        <v>32</v>
      </c>
      <c r="O161" s="19" t="s">
        <v>284</v>
      </c>
      <c r="P161" s="19" t="s">
        <v>291</v>
      </c>
      <c r="Q161" s="19" t="s">
        <v>285</v>
      </c>
      <c r="R161" s="19" t="s">
        <v>248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25</v>
      </c>
      <c r="D162" s="19" t="s">
        <v>11</v>
      </c>
      <c r="E162" s="19" t="s">
        <v>25</v>
      </c>
      <c r="F162">
        <v>4</v>
      </c>
      <c r="G162">
        <v>3</v>
      </c>
      <c r="H162">
        <v>0.5484</v>
      </c>
      <c r="I162" s="19" t="s">
        <v>249</v>
      </c>
      <c r="J162" s="19" t="s">
        <v>25</v>
      </c>
      <c r="K162">
        <v>3</v>
      </c>
      <c r="L162">
        <v>2</v>
      </c>
      <c r="M162">
        <v>0.6</v>
      </c>
      <c r="N162" s="19" t="s">
        <v>11</v>
      </c>
      <c r="O162" s="19" t="s">
        <v>284</v>
      </c>
      <c r="P162" s="19" t="s">
        <v>283</v>
      </c>
      <c r="Q162" s="19" t="s">
        <v>285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21</v>
      </c>
      <c r="D163" s="19" t="s">
        <v>18</v>
      </c>
      <c r="E163" s="19" t="s">
        <v>21</v>
      </c>
      <c r="F163">
        <v>4</v>
      </c>
      <c r="G163">
        <v>3</v>
      </c>
      <c r="H163">
        <v>0.67310000000000003</v>
      </c>
      <c r="I163" s="19" t="s">
        <v>249</v>
      </c>
      <c r="J163" s="19" t="s">
        <v>21</v>
      </c>
      <c r="K163">
        <v>3</v>
      </c>
      <c r="L163">
        <v>2</v>
      </c>
      <c r="M163">
        <v>0.36</v>
      </c>
      <c r="N163" s="19" t="s">
        <v>18</v>
      </c>
      <c r="O163" s="19" t="s">
        <v>284</v>
      </c>
      <c r="P163" s="19" t="s">
        <v>288</v>
      </c>
      <c r="Q163" s="19" t="s">
        <v>285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19</v>
      </c>
      <c r="D164" s="19" t="s">
        <v>36</v>
      </c>
      <c r="E164" s="19" t="s">
        <v>36</v>
      </c>
      <c r="F164">
        <v>4</v>
      </c>
      <c r="G164">
        <v>5</v>
      </c>
      <c r="H164">
        <v>0.73709999999999998</v>
      </c>
      <c r="I164" s="19" t="s">
        <v>249</v>
      </c>
      <c r="J164" s="19" t="s">
        <v>36</v>
      </c>
      <c r="K164">
        <v>3</v>
      </c>
      <c r="L164">
        <v>2</v>
      </c>
      <c r="M164">
        <v>-0.33</v>
      </c>
      <c r="N164" s="19" t="s">
        <v>19</v>
      </c>
      <c r="O164" s="19" t="s">
        <v>292</v>
      </c>
      <c r="P164" s="19" t="s">
        <v>283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38</v>
      </c>
      <c r="D165" s="19" t="s">
        <v>33</v>
      </c>
      <c r="E165" s="19" t="s">
        <v>33</v>
      </c>
      <c r="F165">
        <v>3</v>
      </c>
      <c r="G165">
        <v>5</v>
      </c>
      <c r="H165">
        <v>0.71030000000000004</v>
      </c>
      <c r="I165" s="19" t="s">
        <v>249</v>
      </c>
      <c r="J165" s="19" t="s">
        <v>38</v>
      </c>
      <c r="K165">
        <v>3</v>
      </c>
      <c r="L165">
        <v>2</v>
      </c>
      <c r="M165">
        <v>0.02</v>
      </c>
      <c r="N165" s="19" t="s">
        <v>33</v>
      </c>
      <c r="O165" s="19" t="s">
        <v>291</v>
      </c>
      <c r="P165" s="19" t="s">
        <v>288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20</v>
      </c>
      <c r="D166" s="19" t="s">
        <v>12</v>
      </c>
      <c r="E166" s="19" t="s">
        <v>12</v>
      </c>
      <c r="F166">
        <v>2</v>
      </c>
      <c r="G166">
        <v>4</v>
      </c>
      <c r="H166">
        <v>0.76419999999999999</v>
      </c>
      <c r="I166" s="19" t="s">
        <v>249</v>
      </c>
      <c r="J166" s="19" t="s">
        <v>12</v>
      </c>
      <c r="K166">
        <v>3</v>
      </c>
      <c r="L166">
        <v>2</v>
      </c>
      <c r="M166">
        <v>-1.46</v>
      </c>
      <c r="N166" s="19" t="s">
        <v>12</v>
      </c>
      <c r="O166" s="19" t="s">
        <v>283</v>
      </c>
      <c r="P166" s="19" t="s">
        <v>288</v>
      </c>
      <c r="Q166" s="19" t="s">
        <v>287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23</v>
      </c>
      <c r="D167" s="19" t="s">
        <v>21</v>
      </c>
      <c r="E167" s="19" t="s">
        <v>23</v>
      </c>
      <c r="F167">
        <v>4</v>
      </c>
      <c r="G167">
        <v>3</v>
      </c>
      <c r="H167">
        <v>0.59740000000000004</v>
      </c>
      <c r="I167" s="19" t="s">
        <v>249</v>
      </c>
      <c r="J167" s="19" t="s">
        <v>21</v>
      </c>
      <c r="K167">
        <v>3</v>
      </c>
      <c r="L167">
        <v>2</v>
      </c>
      <c r="M167">
        <v>-0.01</v>
      </c>
      <c r="N167" s="19" t="s">
        <v>23</v>
      </c>
      <c r="O167" s="19" t="s">
        <v>289</v>
      </c>
      <c r="P167" s="19" t="s">
        <v>287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25</v>
      </c>
      <c r="D168" s="19" t="s">
        <v>26</v>
      </c>
      <c r="E168" s="19" t="s">
        <v>25</v>
      </c>
      <c r="F168">
        <v>4</v>
      </c>
      <c r="G168">
        <v>3</v>
      </c>
      <c r="H168">
        <v>0.75470000000000004</v>
      </c>
      <c r="I168" s="19" t="s">
        <v>249</v>
      </c>
      <c r="J168" s="19" t="s">
        <v>25</v>
      </c>
      <c r="K168">
        <v>3</v>
      </c>
      <c r="L168">
        <v>2</v>
      </c>
      <c r="M168">
        <v>0.69</v>
      </c>
      <c r="N168" s="19" t="s">
        <v>25</v>
      </c>
      <c r="O168" s="19" t="s">
        <v>283</v>
      </c>
      <c r="P168" s="19" t="s">
        <v>284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11</v>
      </c>
      <c r="D169" s="19" t="s">
        <v>37</v>
      </c>
      <c r="E169" s="19" t="s">
        <v>37</v>
      </c>
      <c r="F169">
        <v>3</v>
      </c>
      <c r="G169">
        <v>4</v>
      </c>
      <c r="H169">
        <v>0.78510000000000002</v>
      </c>
      <c r="I169" s="19" t="s">
        <v>249</v>
      </c>
      <c r="J169" s="19" t="s">
        <v>37</v>
      </c>
      <c r="K169">
        <v>3</v>
      </c>
      <c r="L169">
        <v>2</v>
      </c>
      <c r="M169">
        <v>-0.45</v>
      </c>
      <c r="N169" s="19" t="s">
        <v>37</v>
      </c>
      <c r="O169" s="19" t="s">
        <v>284</v>
      </c>
      <c r="P169" s="19" t="s">
        <v>289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0.83333333333333337</v>
      </c>
      <c r="C170" s="19" t="s">
        <v>35</v>
      </c>
      <c r="D170" s="19" t="s">
        <v>29</v>
      </c>
      <c r="E170" s="19" t="s">
        <v>29</v>
      </c>
      <c r="F170">
        <v>3</v>
      </c>
      <c r="G170">
        <v>4</v>
      </c>
      <c r="H170">
        <v>0.75290000000000001</v>
      </c>
      <c r="I170" s="19" t="s">
        <v>249</v>
      </c>
      <c r="J170" s="19" t="s">
        <v>29</v>
      </c>
      <c r="K170">
        <v>3</v>
      </c>
      <c r="L170">
        <v>2</v>
      </c>
      <c r="M170">
        <v>-0.54</v>
      </c>
      <c r="N170" s="19" t="s">
        <v>35</v>
      </c>
      <c r="O170" s="19" t="s">
        <v>291</v>
      </c>
      <c r="P170" s="19" t="s">
        <v>284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40</v>
      </c>
      <c r="D171" s="19" t="s">
        <v>34</v>
      </c>
      <c r="E171" s="19" t="s">
        <v>34</v>
      </c>
      <c r="F171">
        <v>2</v>
      </c>
      <c r="G171">
        <v>3</v>
      </c>
      <c r="H171">
        <v>0.83430000000000004</v>
      </c>
      <c r="I171" s="19" t="s">
        <v>249</v>
      </c>
      <c r="J171" s="19" t="s">
        <v>34</v>
      </c>
      <c r="K171">
        <v>3</v>
      </c>
      <c r="L171">
        <v>2</v>
      </c>
      <c r="M171">
        <v>-0.52</v>
      </c>
      <c r="N171" s="19" t="s">
        <v>34</v>
      </c>
      <c r="O171" s="19" t="s">
        <v>291</v>
      </c>
      <c r="P171" s="19" t="s">
        <v>289</v>
      </c>
      <c r="Q171" s="19" t="s">
        <v>287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0.83333333333333337</v>
      </c>
      <c r="C172" s="19" t="s">
        <v>39</v>
      </c>
      <c r="D172" s="19" t="s">
        <v>10</v>
      </c>
      <c r="E172" s="19" t="s">
        <v>39</v>
      </c>
      <c r="F172">
        <v>5</v>
      </c>
      <c r="G172">
        <v>1</v>
      </c>
      <c r="H172">
        <v>0.71579999999999999</v>
      </c>
      <c r="I172" s="19" t="s">
        <v>249</v>
      </c>
      <c r="J172" s="19" t="s">
        <v>39</v>
      </c>
      <c r="K172">
        <v>3</v>
      </c>
      <c r="L172">
        <v>2</v>
      </c>
      <c r="M172">
        <v>1.45</v>
      </c>
      <c r="N172" s="19" t="s">
        <v>10</v>
      </c>
      <c r="O172" s="19" t="s">
        <v>291</v>
      </c>
      <c r="P172" s="19" t="s">
        <v>289</v>
      </c>
      <c r="Q172" s="19" t="s">
        <v>287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0.75</v>
      </c>
      <c r="C173" s="19" t="s">
        <v>30</v>
      </c>
      <c r="D173" s="19" t="s">
        <v>15</v>
      </c>
      <c r="E173" s="19" t="s">
        <v>15</v>
      </c>
      <c r="F173">
        <v>3</v>
      </c>
      <c r="G173">
        <v>4</v>
      </c>
      <c r="H173">
        <v>0.59319999999999995</v>
      </c>
      <c r="I173" s="19" t="s">
        <v>249</v>
      </c>
      <c r="J173" s="19" t="s">
        <v>30</v>
      </c>
      <c r="K173">
        <v>3</v>
      </c>
      <c r="L173">
        <v>2</v>
      </c>
      <c r="M173">
        <v>0.28000000000000003</v>
      </c>
      <c r="N173" s="19" t="s">
        <v>30</v>
      </c>
      <c r="O173" s="19" t="s">
        <v>284</v>
      </c>
      <c r="P173" s="19" t="s">
        <v>285</v>
      </c>
      <c r="Q173" s="19" t="s">
        <v>285</v>
      </c>
      <c r="R173" s="19" t="s">
        <v>249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24</v>
      </c>
      <c r="D174" s="19" t="s">
        <v>22</v>
      </c>
      <c r="E174" s="19" t="s">
        <v>24</v>
      </c>
      <c r="F174">
        <v>4</v>
      </c>
      <c r="G174">
        <v>3</v>
      </c>
      <c r="H174">
        <v>0.60270000000000001</v>
      </c>
      <c r="I174" s="19" t="s">
        <v>249</v>
      </c>
      <c r="J174" s="19" t="s">
        <v>22</v>
      </c>
      <c r="K174">
        <v>3</v>
      </c>
      <c r="L174">
        <v>2</v>
      </c>
      <c r="M174">
        <v>-0.38</v>
      </c>
      <c r="N174" s="19" t="s">
        <v>22</v>
      </c>
      <c r="O174" s="19" t="s">
        <v>291</v>
      </c>
      <c r="P174" s="19" t="s">
        <v>289</v>
      </c>
      <c r="Q174" s="19" t="s">
        <v>287</v>
      </c>
      <c r="R174" s="19" t="s">
        <v>249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16</v>
      </c>
      <c r="D175" s="19" t="s">
        <v>17</v>
      </c>
      <c r="E175" s="19" t="s">
        <v>16</v>
      </c>
      <c r="F175">
        <v>4</v>
      </c>
      <c r="G175">
        <v>3</v>
      </c>
      <c r="H175">
        <v>0.62190000000000001</v>
      </c>
      <c r="I175" s="19" t="s">
        <v>249</v>
      </c>
      <c r="J175" s="19" t="s">
        <v>17</v>
      </c>
      <c r="K175">
        <v>3</v>
      </c>
      <c r="L175">
        <v>2</v>
      </c>
      <c r="M175">
        <v>-0.48</v>
      </c>
      <c r="N175" s="19" t="s">
        <v>16</v>
      </c>
      <c r="O175" s="19" t="s">
        <v>291</v>
      </c>
      <c r="P175" s="19" t="s">
        <v>284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0.875</v>
      </c>
      <c r="C176" s="19" t="s">
        <v>13</v>
      </c>
      <c r="D176" s="19" t="s">
        <v>31</v>
      </c>
      <c r="E176" s="19" t="s">
        <v>31</v>
      </c>
      <c r="F176">
        <v>4</v>
      </c>
      <c r="G176">
        <v>5</v>
      </c>
      <c r="H176">
        <v>0.62739999999999996</v>
      </c>
      <c r="I176" s="19" t="s">
        <v>249</v>
      </c>
      <c r="J176" s="19" t="s">
        <v>31</v>
      </c>
      <c r="K176">
        <v>3</v>
      </c>
      <c r="L176">
        <v>2</v>
      </c>
      <c r="M176">
        <v>-0.17</v>
      </c>
      <c r="N176" s="19" t="s">
        <v>13</v>
      </c>
      <c r="O176" s="19" t="s">
        <v>288</v>
      </c>
      <c r="P176" s="19" t="s">
        <v>287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28</v>
      </c>
      <c r="D177" s="19" t="s">
        <v>30</v>
      </c>
      <c r="E177" s="19" t="s">
        <v>30</v>
      </c>
      <c r="F177">
        <v>3</v>
      </c>
      <c r="G177">
        <v>4</v>
      </c>
      <c r="H177">
        <v>0.55369999999999997</v>
      </c>
      <c r="I177" s="19" t="s">
        <v>249</v>
      </c>
      <c r="J177" s="19" t="s">
        <v>30</v>
      </c>
      <c r="K177">
        <v>3</v>
      </c>
      <c r="L177">
        <v>2</v>
      </c>
      <c r="M177">
        <v>-0.61</v>
      </c>
      <c r="N177" s="19" t="s">
        <v>28</v>
      </c>
      <c r="O177" s="19" t="s">
        <v>289</v>
      </c>
      <c r="P177" s="19" t="s">
        <v>284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10</v>
      </c>
      <c r="D179" s="19" t="s">
        <v>14</v>
      </c>
      <c r="E179" s="19" t="s">
        <v>14</v>
      </c>
      <c r="F179">
        <v>2</v>
      </c>
      <c r="G179">
        <v>3</v>
      </c>
      <c r="H179">
        <v>0.61629999999999996</v>
      </c>
      <c r="I179" s="19" t="s">
        <v>249</v>
      </c>
      <c r="J179" s="19" t="s">
        <v>14</v>
      </c>
      <c r="K179">
        <v>3</v>
      </c>
      <c r="L179">
        <v>2</v>
      </c>
      <c r="M179">
        <v>-0.06</v>
      </c>
      <c r="N179" s="19" t="s">
        <v>14</v>
      </c>
      <c r="O179" s="19" t="s">
        <v>291</v>
      </c>
      <c r="P179" s="19" t="s">
        <v>292</v>
      </c>
      <c r="Q179" s="19" t="s">
        <v>285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0.83333333333333337</v>
      </c>
      <c r="C180" s="19" t="s">
        <v>32</v>
      </c>
      <c r="D180" s="19" t="s">
        <v>27</v>
      </c>
      <c r="E180" s="19" t="s">
        <v>27</v>
      </c>
      <c r="F180">
        <v>2</v>
      </c>
      <c r="G180">
        <v>3</v>
      </c>
      <c r="H180">
        <v>0.63080000000000003</v>
      </c>
      <c r="I180" s="19" t="s">
        <v>249</v>
      </c>
      <c r="J180" s="19" t="s">
        <v>27</v>
      </c>
      <c r="K180">
        <v>3</v>
      </c>
      <c r="L180">
        <v>2</v>
      </c>
      <c r="M180">
        <v>-0.68</v>
      </c>
      <c r="N180" s="19" t="s">
        <v>32</v>
      </c>
      <c r="O180" s="19" t="s">
        <v>289</v>
      </c>
      <c r="P180" s="19" t="s">
        <v>287</v>
      </c>
      <c r="Q180" s="19" t="s">
        <v>285</v>
      </c>
      <c r="R180" s="19" t="s">
        <v>249</v>
      </c>
      <c r="S180" s="19" t="s">
        <v>249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0.83333333333333337</v>
      </c>
      <c r="C182" s="19" t="s">
        <v>35</v>
      </c>
      <c r="D182" s="19" t="s">
        <v>23</v>
      </c>
      <c r="E182" s="19" t="s">
        <v>35</v>
      </c>
      <c r="F182">
        <v>4</v>
      </c>
      <c r="G182">
        <v>3</v>
      </c>
      <c r="H182">
        <v>0.57420000000000004</v>
      </c>
      <c r="I182" s="19" t="s">
        <v>249</v>
      </c>
      <c r="J182" s="19" t="s">
        <v>23</v>
      </c>
      <c r="K182">
        <v>3</v>
      </c>
      <c r="L182">
        <v>2</v>
      </c>
      <c r="M182">
        <v>-0.86</v>
      </c>
      <c r="N182" s="19" t="s">
        <v>23</v>
      </c>
      <c r="O182" s="19" t="s">
        <v>284</v>
      </c>
      <c r="P182" s="19" t="s">
        <v>289</v>
      </c>
      <c r="Q182" s="19" t="s">
        <v>285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31</v>
      </c>
      <c r="D183" s="19" t="s">
        <v>33</v>
      </c>
      <c r="E183" s="19" t="s">
        <v>31</v>
      </c>
      <c r="F183">
        <v>4</v>
      </c>
      <c r="G183">
        <v>3</v>
      </c>
      <c r="H183">
        <v>0.65629999999999999</v>
      </c>
      <c r="I183" s="19" t="s">
        <v>249</v>
      </c>
      <c r="J183" s="19" t="s">
        <v>31</v>
      </c>
      <c r="K183">
        <v>3</v>
      </c>
      <c r="L183">
        <v>2</v>
      </c>
      <c r="M183">
        <v>0.36</v>
      </c>
      <c r="N183" s="19" t="s">
        <v>33</v>
      </c>
      <c r="O183" s="19" t="s">
        <v>289</v>
      </c>
      <c r="P183" s="19" t="s">
        <v>283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20</v>
      </c>
      <c r="D184" s="19" t="s">
        <v>34</v>
      </c>
      <c r="E184" s="19" t="s">
        <v>34</v>
      </c>
      <c r="F184">
        <v>3</v>
      </c>
      <c r="G184">
        <v>4</v>
      </c>
      <c r="H184">
        <v>0.59099999999999997</v>
      </c>
      <c r="I184" s="19" t="s">
        <v>249</v>
      </c>
      <c r="J184" s="19" t="s">
        <v>34</v>
      </c>
      <c r="K184">
        <v>3</v>
      </c>
      <c r="L184">
        <v>2</v>
      </c>
      <c r="M184">
        <v>-0.21</v>
      </c>
      <c r="N184" s="19" t="s">
        <v>34</v>
      </c>
      <c r="O184" s="19" t="s">
        <v>284</v>
      </c>
      <c r="P184" s="19" t="s">
        <v>283</v>
      </c>
      <c r="Q184" s="19" t="s">
        <v>285</v>
      </c>
      <c r="R184" s="19" t="s">
        <v>248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36</v>
      </c>
      <c r="D185" s="19" t="s">
        <v>28</v>
      </c>
      <c r="E185" s="19" t="s">
        <v>28</v>
      </c>
      <c r="F185">
        <v>3</v>
      </c>
      <c r="G185">
        <v>4</v>
      </c>
      <c r="H185">
        <v>0.5101</v>
      </c>
      <c r="I185" s="19" t="s">
        <v>249</v>
      </c>
      <c r="J185" s="19" t="s">
        <v>36</v>
      </c>
      <c r="K185">
        <v>3</v>
      </c>
      <c r="L185">
        <v>2</v>
      </c>
      <c r="M185">
        <v>0.48</v>
      </c>
      <c r="N185" s="19" t="s">
        <v>28</v>
      </c>
      <c r="O185" s="19" t="s">
        <v>287</v>
      </c>
      <c r="P185" s="19" t="s">
        <v>289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55</v>
      </c>
      <c r="D186" s="19" t="s">
        <v>29</v>
      </c>
      <c r="E186" s="19" t="s">
        <v>55</v>
      </c>
      <c r="F186">
        <v>4</v>
      </c>
      <c r="G186">
        <v>2</v>
      </c>
      <c r="H186">
        <v>0.71530000000000005</v>
      </c>
      <c r="I186" s="19" t="s">
        <v>249</v>
      </c>
      <c r="J186" s="19" t="s">
        <v>55</v>
      </c>
      <c r="K186">
        <v>3</v>
      </c>
      <c r="L186">
        <v>2</v>
      </c>
      <c r="M186">
        <v>0.66</v>
      </c>
      <c r="N186" s="19" t="s">
        <v>29</v>
      </c>
      <c r="O186" s="19" t="s">
        <v>291</v>
      </c>
      <c r="P186" s="19" t="s">
        <v>289</v>
      </c>
      <c r="Q186" s="19" t="s">
        <v>285</v>
      </c>
      <c r="R186" s="19" t="s">
        <v>249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16</v>
      </c>
      <c r="D187" s="19" t="s">
        <v>21</v>
      </c>
      <c r="E187" s="19" t="s">
        <v>16</v>
      </c>
      <c r="F187">
        <v>4</v>
      </c>
      <c r="G187">
        <v>2</v>
      </c>
      <c r="H187">
        <v>0.67530000000000001</v>
      </c>
      <c r="I187" s="19" t="s">
        <v>249</v>
      </c>
      <c r="J187" s="19" t="s">
        <v>21</v>
      </c>
      <c r="K187">
        <v>3</v>
      </c>
      <c r="L187">
        <v>2</v>
      </c>
      <c r="M187">
        <v>-0.24</v>
      </c>
      <c r="N187" s="19" t="s">
        <v>16</v>
      </c>
      <c r="O187" s="19" t="s">
        <v>284</v>
      </c>
      <c r="P187" s="19" t="s">
        <v>287</v>
      </c>
      <c r="Q187" s="19" t="s">
        <v>287</v>
      </c>
      <c r="R187" s="19" t="s">
        <v>248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11</v>
      </c>
      <c r="D188" s="19" t="s">
        <v>22</v>
      </c>
      <c r="E188" s="19" t="s">
        <v>11</v>
      </c>
      <c r="F188">
        <v>4</v>
      </c>
      <c r="G188">
        <v>3</v>
      </c>
      <c r="H188">
        <v>0.65490000000000004</v>
      </c>
      <c r="I188" s="19" t="s">
        <v>249</v>
      </c>
      <c r="J188" s="19" t="s">
        <v>22</v>
      </c>
      <c r="K188">
        <v>3</v>
      </c>
      <c r="L188">
        <v>2</v>
      </c>
      <c r="M188">
        <v>-0.23</v>
      </c>
      <c r="N188" s="19" t="s">
        <v>11</v>
      </c>
      <c r="O188" s="19" t="s">
        <v>283</v>
      </c>
      <c r="P188" s="19" t="s">
        <v>291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38</v>
      </c>
      <c r="O189" s="19" t="s">
        <v>284</v>
      </c>
      <c r="P189" s="19" t="s">
        <v>291</v>
      </c>
      <c r="Q189" s="19" t="s">
        <v>287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12</v>
      </c>
      <c r="D190" s="19" t="s">
        <v>13</v>
      </c>
      <c r="E190" s="19" t="s">
        <v>12</v>
      </c>
      <c r="F190">
        <v>6</v>
      </c>
      <c r="G190">
        <v>3</v>
      </c>
      <c r="H190">
        <v>0.82250000000000001</v>
      </c>
      <c r="I190" s="19" t="s">
        <v>249</v>
      </c>
      <c r="J190" s="19" t="s">
        <v>12</v>
      </c>
      <c r="K190">
        <v>3</v>
      </c>
      <c r="L190">
        <v>2</v>
      </c>
      <c r="M190">
        <v>1.79</v>
      </c>
      <c r="N190" s="19" t="s">
        <v>12</v>
      </c>
      <c r="O190" s="19" t="s">
        <v>283</v>
      </c>
      <c r="P190" s="19" t="s">
        <v>284</v>
      </c>
      <c r="Q190" s="19" t="s">
        <v>285</v>
      </c>
      <c r="R190" s="19" t="s">
        <v>248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0.8125</v>
      </c>
      <c r="C191" s="19" t="s">
        <v>40</v>
      </c>
      <c r="D191" s="19" t="s">
        <v>17</v>
      </c>
      <c r="E191" s="19" t="s">
        <v>17</v>
      </c>
      <c r="F191">
        <v>3</v>
      </c>
      <c r="G191">
        <v>4</v>
      </c>
      <c r="H191">
        <v>0.54410000000000003</v>
      </c>
      <c r="I191" s="19" t="s">
        <v>249</v>
      </c>
      <c r="J191" s="19" t="s">
        <v>17</v>
      </c>
      <c r="K191">
        <v>3</v>
      </c>
      <c r="L191">
        <v>2</v>
      </c>
      <c r="M191">
        <v>-0.05</v>
      </c>
      <c r="N191" s="19" t="s">
        <v>17</v>
      </c>
      <c r="O191" s="19" t="s">
        <v>287</v>
      </c>
      <c r="P191" s="19" t="s">
        <v>291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25</v>
      </c>
      <c r="D192" s="19" t="s">
        <v>15</v>
      </c>
      <c r="E192" s="19" t="s">
        <v>15</v>
      </c>
      <c r="F192">
        <v>3</v>
      </c>
      <c r="G192">
        <v>4</v>
      </c>
      <c r="H192">
        <v>0.75149999999999995</v>
      </c>
      <c r="I192" s="19" t="s">
        <v>249</v>
      </c>
      <c r="J192" s="19" t="s">
        <v>25</v>
      </c>
      <c r="K192">
        <v>3</v>
      </c>
      <c r="L192">
        <v>2</v>
      </c>
      <c r="M192">
        <v>0.65</v>
      </c>
      <c r="N192" s="19" t="s">
        <v>25</v>
      </c>
      <c r="O192" s="19" t="s">
        <v>291</v>
      </c>
      <c r="P192" s="19" t="s">
        <v>284</v>
      </c>
      <c r="Q192" s="19" t="s">
        <v>287</v>
      </c>
      <c r="R192" s="19" t="s">
        <v>249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0.85416666666666663</v>
      </c>
      <c r="C194" s="19" t="s">
        <v>10</v>
      </c>
      <c r="D194" s="19" t="s">
        <v>30</v>
      </c>
      <c r="E194" s="19" t="s">
        <v>30</v>
      </c>
      <c r="F194">
        <v>2</v>
      </c>
      <c r="G194">
        <v>3</v>
      </c>
      <c r="H194">
        <v>0.63029999999999997</v>
      </c>
      <c r="I194" s="19" t="s">
        <v>249</v>
      </c>
      <c r="J194" s="19" t="s">
        <v>30</v>
      </c>
      <c r="K194">
        <v>3</v>
      </c>
      <c r="L194">
        <v>2</v>
      </c>
      <c r="M194">
        <v>-0.67</v>
      </c>
      <c r="N194" s="19" t="s">
        <v>30</v>
      </c>
      <c r="O194" s="19" t="s">
        <v>284</v>
      </c>
      <c r="P194" s="19" t="s">
        <v>291</v>
      </c>
      <c r="Q194" s="19" t="s">
        <v>287</v>
      </c>
      <c r="R194" s="19" t="s">
        <v>248</v>
      </c>
      <c r="S194" s="19" t="s">
        <v>248</v>
      </c>
      <c r="T194" s="19" t="s">
        <v>286</v>
      </c>
    </row>
    <row r="195" spans="1:20" x14ac:dyDescent="0.2">
      <c r="A195" s="1">
        <v>46021</v>
      </c>
      <c r="B195" s="2">
        <v>0.79166666666666663</v>
      </c>
      <c r="C195" s="19" t="s">
        <v>11</v>
      </c>
      <c r="D195" s="19" t="s">
        <v>18</v>
      </c>
      <c r="E195" s="19" t="s">
        <v>18</v>
      </c>
      <c r="F195">
        <v>3</v>
      </c>
      <c r="G195">
        <v>5</v>
      </c>
      <c r="H195">
        <v>0.68310000000000004</v>
      </c>
      <c r="I195" s="19" t="s">
        <v>249</v>
      </c>
      <c r="J195" s="19" t="s">
        <v>11</v>
      </c>
      <c r="K195">
        <v>3</v>
      </c>
      <c r="L195">
        <v>2</v>
      </c>
      <c r="M195">
        <v>0.32</v>
      </c>
      <c r="N195" s="19" t="s">
        <v>18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249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0.91666666666666663</v>
      </c>
      <c r="C197" s="19" t="s">
        <v>38</v>
      </c>
      <c r="D197" s="19" t="s">
        <v>27</v>
      </c>
      <c r="E197" s="19" t="s">
        <v>27</v>
      </c>
      <c r="F197">
        <v>2</v>
      </c>
      <c r="G197">
        <v>4</v>
      </c>
      <c r="H197">
        <v>0.77549999999999997</v>
      </c>
      <c r="I197" s="19" t="s">
        <v>249</v>
      </c>
      <c r="J197" s="19" t="s">
        <v>27</v>
      </c>
      <c r="K197">
        <v>3</v>
      </c>
      <c r="L197">
        <v>2</v>
      </c>
      <c r="M197">
        <v>-0.59</v>
      </c>
      <c r="N197" s="19" t="s">
        <v>27</v>
      </c>
      <c r="O197" s="19" t="s">
        <v>291</v>
      </c>
      <c r="P197" s="19" t="s">
        <v>288</v>
      </c>
      <c r="Q197" s="19" t="s">
        <v>285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0.89583333333333337</v>
      </c>
      <c r="C198" s="19" t="s">
        <v>16</v>
      </c>
      <c r="D198" s="19" t="s">
        <v>27</v>
      </c>
      <c r="E198" s="19" t="s">
        <v>16</v>
      </c>
      <c r="F198">
        <v>5</v>
      </c>
      <c r="G198">
        <v>2</v>
      </c>
      <c r="H198">
        <v>0.67779999999999996</v>
      </c>
      <c r="I198" s="19" t="s">
        <v>249</v>
      </c>
      <c r="J198" s="19" t="s">
        <v>27</v>
      </c>
      <c r="K198">
        <v>3</v>
      </c>
      <c r="L198">
        <v>2</v>
      </c>
      <c r="M198">
        <v>-0.49</v>
      </c>
      <c r="N198" s="19" t="s">
        <v>16</v>
      </c>
      <c r="O198" s="19" t="s">
        <v>283</v>
      </c>
      <c r="P198" s="19" t="s">
        <v>287</v>
      </c>
      <c r="Q198" s="19" t="s">
        <v>285</v>
      </c>
      <c r="R198" s="19" t="s">
        <v>248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0.79166666666666663</v>
      </c>
      <c r="C199" s="19" t="s">
        <v>28</v>
      </c>
      <c r="D199" s="19" t="s">
        <v>24</v>
      </c>
      <c r="E199" s="19" t="s">
        <v>24</v>
      </c>
      <c r="F199">
        <v>3</v>
      </c>
      <c r="G199">
        <v>4</v>
      </c>
      <c r="H199">
        <v>0.67300000000000004</v>
      </c>
      <c r="I199" s="19" t="s">
        <v>249</v>
      </c>
      <c r="J199" s="19" t="s">
        <v>24</v>
      </c>
      <c r="K199">
        <v>3</v>
      </c>
      <c r="L199">
        <v>2</v>
      </c>
      <c r="M199">
        <v>-0.12</v>
      </c>
      <c r="N199" s="19" t="s">
        <v>24</v>
      </c>
      <c r="O199" s="19" t="s">
        <v>284</v>
      </c>
      <c r="P199" s="19" t="s">
        <v>291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0.625</v>
      </c>
      <c r="C200" s="19" t="s">
        <v>20</v>
      </c>
      <c r="D200" s="19" t="s">
        <v>29</v>
      </c>
      <c r="E200" s="19" t="s">
        <v>20</v>
      </c>
      <c r="F200">
        <v>4</v>
      </c>
      <c r="G200">
        <v>3</v>
      </c>
      <c r="H200">
        <v>0.66679999999999995</v>
      </c>
      <c r="I200" s="19" t="s">
        <v>248</v>
      </c>
      <c r="J200" s="19" t="s">
        <v>20</v>
      </c>
      <c r="K200">
        <v>3</v>
      </c>
      <c r="L200">
        <v>2</v>
      </c>
      <c r="M200">
        <v>0.59</v>
      </c>
      <c r="N200" s="19" t="s">
        <v>29</v>
      </c>
      <c r="O200" s="19" t="s">
        <v>284</v>
      </c>
      <c r="P200" s="19" t="s">
        <v>289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31</v>
      </c>
      <c r="D201" s="19" t="s">
        <v>37</v>
      </c>
      <c r="E201" s="19" t="s">
        <v>37</v>
      </c>
      <c r="F201">
        <v>2</v>
      </c>
      <c r="G201">
        <v>4</v>
      </c>
      <c r="H201">
        <v>0.76780000000000004</v>
      </c>
      <c r="I201" s="19" t="s">
        <v>249</v>
      </c>
      <c r="J201" s="19" t="s">
        <v>37</v>
      </c>
      <c r="K201">
        <v>3</v>
      </c>
      <c r="L201">
        <v>2</v>
      </c>
      <c r="M201">
        <v>-0.71</v>
      </c>
      <c r="N201" s="19" t="s">
        <v>37</v>
      </c>
      <c r="O201" s="19" t="s">
        <v>291</v>
      </c>
      <c r="P201" s="19" t="s">
        <v>289</v>
      </c>
      <c r="Q201" s="19" t="s">
        <v>287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0.875</v>
      </c>
      <c r="C202" s="19" t="s">
        <v>12</v>
      </c>
      <c r="D202" s="19" t="s">
        <v>35</v>
      </c>
      <c r="E202" s="19" t="s">
        <v>12</v>
      </c>
      <c r="F202">
        <v>3</v>
      </c>
      <c r="G202">
        <v>2</v>
      </c>
      <c r="H202">
        <v>0.87290000000000001</v>
      </c>
      <c r="I202" s="19" t="s">
        <v>249</v>
      </c>
      <c r="J202" s="19" t="s">
        <v>12</v>
      </c>
      <c r="K202">
        <v>3</v>
      </c>
      <c r="L202">
        <v>2</v>
      </c>
      <c r="M202">
        <v>2.8</v>
      </c>
      <c r="N202" s="19" t="s">
        <v>12</v>
      </c>
      <c r="O202" s="19" t="s">
        <v>288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0.83333333333333337</v>
      </c>
      <c r="C203" s="19" t="s">
        <v>39</v>
      </c>
      <c r="D203" s="19" t="s">
        <v>23</v>
      </c>
      <c r="E203" s="19" t="s">
        <v>39</v>
      </c>
      <c r="F203">
        <v>4</v>
      </c>
      <c r="G203">
        <v>3</v>
      </c>
      <c r="H203">
        <v>0.78620000000000001</v>
      </c>
      <c r="I203" s="19" t="s">
        <v>249</v>
      </c>
      <c r="J203" s="19" t="s">
        <v>39</v>
      </c>
      <c r="K203">
        <v>3</v>
      </c>
      <c r="L203">
        <v>2</v>
      </c>
      <c r="M203">
        <v>0.91</v>
      </c>
      <c r="N203" s="19" t="s">
        <v>23</v>
      </c>
      <c r="O203" s="19" t="s">
        <v>287</v>
      </c>
      <c r="P203" s="19" t="s">
        <v>289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17</v>
      </c>
      <c r="D204" s="19" t="s">
        <v>21</v>
      </c>
      <c r="E204" s="19" t="s">
        <v>17</v>
      </c>
      <c r="F204">
        <v>4</v>
      </c>
      <c r="G204">
        <v>3</v>
      </c>
      <c r="H204">
        <v>0.6331</v>
      </c>
      <c r="I204" s="19" t="s">
        <v>249</v>
      </c>
      <c r="J204" s="19" t="s">
        <v>17</v>
      </c>
      <c r="K204">
        <v>3</v>
      </c>
      <c r="L204">
        <v>2</v>
      </c>
      <c r="M204">
        <v>0.3</v>
      </c>
      <c r="N204" s="19" t="s">
        <v>21</v>
      </c>
      <c r="O204" s="19" t="s">
        <v>284</v>
      </c>
      <c r="P204" s="19" t="s">
        <v>288</v>
      </c>
      <c r="Q204" s="19" t="s">
        <v>285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0.66666666666666663</v>
      </c>
      <c r="C205" s="19" t="s">
        <v>33</v>
      </c>
      <c r="D205" s="19" t="s">
        <v>34</v>
      </c>
      <c r="E205" s="19" t="s">
        <v>34</v>
      </c>
      <c r="F205">
        <v>2</v>
      </c>
      <c r="G205">
        <v>3</v>
      </c>
      <c r="H205">
        <v>0.72799999999999998</v>
      </c>
      <c r="I205" s="19" t="s">
        <v>249</v>
      </c>
      <c r="J205" s="19" t="s">
        <v>34</v>
      </c>
      <c r="K205">
        <v>3</v>
      </c>
      <c r="L205">
        <v>2</v>
      </c>
      <c r="M205">
        <v>-0.8</v>
      </c>
      <c r="N205" s="19" t="s">
        <v>33</v>
      </c>
      <c r="O205" s="19" t="s">
        <v>289</v>
      </c>
      <c r="P205" s="19" t="s">
        <v>291</v>
      </c>
      <c r="Q205" s="19" t="s">
        <v>287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0.77083333333333337</v>
      </c>
      <c r="C207" s="19" t="s">
        <v>26</v>
      </c>
      <c r="D207" s="19" t="s">
        <v>40</v>
      </c>
      <c r="E207" s="19" t="s">
        <v>26</v>
      </c>
      <c r="F207">
        <v>5</v>
      </c>
      <c r="G207">
        <v>4</v>
      </c>
      <c r="H207">
        <v>0.53749999999999998</v>
      </c>
      <c r="I207" s="19" t="s">
        <v>249</v>
      </c>
      <c r="J207" s="19" t="s">
        <v>26</v>
      </c>
      <c r="K207">
        <v>3</v>
      </c>
      <c r="L207">
        <v>2</v>
      </c>
      <c r="M207">
        <v>0.04</v>
      </c>
      <c r="N207" s="19" t="s">
        <v>26</v>
      </c>
      <c r="O207" s="19" t="s">
        <v>284</v>
      </c>
      <c r="P207" s="19" t="s">
        <v>287</v>
      </c>
      <c r="Q207" s="19" t="s">
        <v>285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0.91666666666666663</v>
      </c>
      <c r="C209" s="19" t="s">
        <v>32</v>
      </c>
      <c r="D209" s="19" t="s">
        <v>29</v>
      </c>
      <c r="E209" s="19" t="s">
        <v>32</v>
      </c>
      <c r="F209">
        <v>3</v>
      </c>
      <c r="G209">
        <v>2</v>
      </c>
      <c r="H209">
        <v>0.54830000000000001</v>
      </c>
      <c r="I209" s="19" t="s">
        <v>249</v>
      </c>
      <c r="J209" s="19" t="s">
        <v>29</v>
      </c>
      <c r="K209">
        <v>3</v>
      </c>
      <c r="L209">
        <v>2</v>
      </c>
      <c r="M209">
        <v>-0.04</v>
      </c>
      <c r="N209" s="19" t="s">
        <v>32</v>
      </c>
      <c r="O209" s="19" t="s">
        <v>289</v>
      </c>
      <c r="P209" s="19" t="s">
        <v>287</v>
      </c>
      <c r="Q209" s="19" t="s">
        <v>285</v>
      </c>
      <c r="R209" s="19" t="s">
        <v>248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13</v>
      </c>
      <c r="D210" s="19" t="s">
        <v>37</v>
      </c>
      <c r="E210" s="19" t="s">
        <v>37</v>
      </c>
      <c r="F210">
        <v>2</v>
      </c>
      <c r="G210">
        <v>3</v>
      </c>
      <c r="H210">
        <v>0.71709999999999996</v>
      </c>
      <c r="I210" s="19" t="s">
        <v>249</v>
      </c>
      <c r="J210" s="19" t="s">
        <v>37</v>
      </c>
      <c r="K210">
        <v>3</v>
      </c>
      <c r="L210">
        <v>2</v>
      </c>
      <c r="M210">
        <v>-0.66</v>
      </c>
      <c r="N210" s="19" t="s">
        <v>37</v>
      </c>
      <c r="O210" s="19" t="s">
        <v>291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25</v>
      </c>
      <c r="D211" s="19" t="s">
        <v>18</v>
      </c>
      <c r="E211" s="19" t="s">
        <v>18</v>
      </c>
      <c r="F211">
        <v>4</v>
      </c>
      <c r="G211">
        <v>5</v>
      </c>
      <c r="H211">
        <v>0.57499999999999996</v>
      </c>
      <c r="I211" s="19" t="s">
        <v>249</v>
      </c>
      <c r="J211" s="19" t="s">
        <v>25</v>
      </c>
      <c r="K211">
        <v>3</v>
      </c>
      <c r="L211">
        <v>2</v>
      </c>
      <c r="M211">
        <v>0.56999999999999995</v>
      </c>
      <c r="N211" s="19" t="s">
        <v>18</v>
      </c>
      <c r="O211" s="19" t="s">
        <v>283</v>
      </c>
      <c r="P211" s="19" t="s">
        <v>292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0.85416666666666663</v>
      </c>
      <c r="C212" s="19" t="s">
        <v>10</v>
      </c>
      <c r="D212" s="19" t="s">
        <v>39</v>
      </c>
      <c r="E212" s="19" t="s">
        <v>39</v>
      </c>
      <c r="F212">
        <v>2</v>
      </c>
      <c r="G212">
        <v>3</v>
      </c>
      <c r="H212">
        <v>0.7883</v>
      </c>
      <c r="I212" s="19" t="s">
        <v>249</v>
      </c>
      <c r="J212" s="19" t="s">
        <v>39</v>
      </c>
      <c r="K212">
        <v>3</v>
      </c>
      <c r="L212">
        <v>2</v>
      </c>
      <c r="M212">
        <v>-1.2</v>
      </c>
      <c r="N212" s="19" t="s">
        <v>10</v>
      </c>
      <c r="O212" s="19" t="s">
        <v>289</v>
      </c>
      <c r="P212" s="19" t="s">
        <v>291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0.625</v>
      </c>
      <c r="C213" s="19" t="s">
        <v>30</v>
      </c>
      <c r="D213" s="19" t="s">
        <v>55</v>
      </c>
      <c r="E213" s="19" t="s">
        <v>30</v>
      </c>
      <c r="F213">
        <v>3</v>
      </c>
      <c r="G213">
        <v>2</v>
      </c>
      <c r="H213">
        <v>0.56630000000000003</v>
      </c>
      <c r="I213" s="19" t="s">
        <v>249</v>
      </c>
      <c r="J213" s="19" t="s">
        <v>30</v>
      </c>
      <c r="K213">
        <v>3</v>
      </c>
      <c r="L213">
        <v>2</v>
      </c>
      <c r="M213">
        <v>0.17</v>
      </c>
      <c r="N213" s="19" t="s">
        <v>55</v>
      </c>
      <c r="O213" s="19" t="s">
        <v>284</v>
      </c>
      <c r="P213" s="19" t="s">
        <v>292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14</v>
      </c>
      <c r="D215" s="19" t="s">
        <v>26</v>
      </c>
      <c r="E215" s="19" t="s">
        <v>26</v>
      </c>
      <c r="F215">
        <v>3</v>
      </c>
      <c r="G215">
        <v>4</v>
      </c>
      <c r="H215">
        <v>0.62039999999999995</v>
      </c>
      <c r="I215" s="19" t="s">
        <v>249</v>
      </c>
      <c r="J215" s="19" t="s">
        <v>14</v>
      </c>
      <c r="K215">
        <v>3</v>
      </c>
      <c r="L215">
        <v>2</v>
      </c>
      <c r="M215">
        <v>0.15</v>
      </c>
      <c r="N215" s="19" t="s">
        <v>14</v>
      </c>
      <c r="O215" s="19" t="s">
        <v>289</v>
      </c>
      <c r="P215" s="19" t="s">
        <v>291</v>
      </c>
      <c r="Q215" s="19" t="s">
        <v>287</v>
      </c>
      <c r="R215" s="19" t="s">
        <v>249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0.91666666666666663</v>
      </c>
      <c r="C220" s="19" t="s">
        <v>38</v>
      </c>
      <c r="D220" s="19" t="s">
        <v>21</v>
      </c>
      <c r="E220" s="19" t="s">
        <v>21</v>
      </c>
      <c r="F220">
        <v>2</v>
      </c>
      <c r="G220">
        <v>3</v>
      </c>
      <c r="H220">
        <v>0.84850000000000003</v>
      </c>
      <c r="I220" s="19" t="s">
        <v>249</v>
      </c>
      <c r="J220" s="19" t="s">
        <v>21</v>
      </c>
      <c r="K220">
        <v>3</v>
      </c>
      <c r="L220">
        <v>2</v>
      </c>
      <c r="M220">
        <v>-0.47</v>
      </c>
      <c r="N220" s="19" t="s">
        <v>21</v>
      </c>
      <c r="O220" s="19" t="s">
        <v>284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0.625</v>
      </c>
      <c r="C221" s="19" t="s">
        <v>28</v>
      </c>
      <c r="D221" s="19" t="s">
        <v>23</v>
      </c>
      <c r="E221" s="19" t="s">
        <v>28</v>
      </c>
      <c r="F221">
        <v>4</v>
      </c>
      <c r="G221">
        <v>3</v>
      </c>
      <c r="H221">
        <v>0.62</v>
      </c>
      <c r="I221" s="19" t="s">
        <v>249</v>
      </c>
      <c r="J221" s="19" t="s">
        <v>23</v>
      </c>
      <c r="K221">
        <v>3</v>
      </c>
      <c r="L221">
        <v>2</v>
      </c>
      <c r="M221">
        <v>-0.32</v>
      </c>
      <c r="N221" s="19" t="s">
        <v>28</v>
      </c>
      <c r="O221" s="19" t="s">
        <v>283</v>
      </c>
      <c r="P221" s="19" t="s">
        <v>287</v>
      </c>
      <c r="Q221" s="19" t="s">
        <v>285</v>
      </c>
      <c r="R221" s="19" t="s">
        <v>248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0.66666666666666663</v>
      </c>
      <c r="C222" s="19" t="s">
        <v>33</v>
      </c>
      <c r="D222" s="19" t="s">
        <v>37</v>
      </c>
      <c r="E222" s="19" t="s">
        <v>37</v>
      </c>
      <c r="F222">
        <v>2</v>
      </c>
      <c r="G222">
        <v>4</v>
      </c>
      <c r="H222">
        <v>0.76839999999999997</v>
      </c>
      <c r="I222" s="19" t="s">
        <v>249</v>
      </c>
      <c r="J222" s="19" t="s">
        <v>37</v>
      </c>
      <c r="K222">
        <v>3</v>
      </c>
      <c r="L222">
        <v>2</v>
      </c>
      <c r="M222">
        <v>-0.9</v>
      </c>
      <c r="N222" s="19" t="s">
        <v>37</v>
      </c>
      <c r="O222" s="19" t="s">
        <v>291</v>
      </c>
      <c r="P222" s="19" t="s">
        <v>292</v>
      </c>
      <c r="Q222" s="19" t="s">
        <v>285</v>
      </c>
      <c r="R222" s="19" t="s">
        <v>248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0.79166666666666663</v>
      </c>
      <c r="C223" s="19" t="s">
        <v>22</v>
      </c>
      <c r="D223" s="19" t="s">
        <v>10</v>
      </c>
      <c r="E223" s="19" t="s">
        <v>22</v>
      </c>
      <c r="F223">
        <v>3</v>
      </c>
      <c r="G223">
        <v>2</v>
      </c>
      <c r="H223">
        <v>0.77210000000000001</v>
      </c>
      <c r="I223" s="19" t="s">
        <v>249</v>
      </c>
      <c r="J223" s="19" t="s">
        <v>22</v>
      </c>
      <c r="K223">
        <v>3</v>
      </c>
      <c r="L223">
        <v>2</v>
      </c>
      <c r="M223">
        <v>0.93</v>
      </c>
      <c r="N223" s="19" t="s">
        <v>10</v>
      </c>
      <c r="O223" s="19" t="s">
        <v>284</v>
      </c>
      <c r="P223" s="19" t="s">
        <v>291</v>
      </c>
      <c r="Q223" s="19" t="s">
        <v>287</v>
      </c>
      <c r="R223" s="19" t="s">
        <v>249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0.875</v>
      </c>
      <c r="C224" s="19" t="s">
        <v>13</v>
      </c>
      <c r="D224" s="19" t="s">
        <v>34</v>
      </c>
      <c r="E224" s="19" t="s">
        <v>34</v>
      </c>
      <c r="F224">
        <v>1</v>
      </c>
      <c r="G224">
        <v>3</v>
      </c>
      <c r="H224">
        <v>0.93779999999999997</v>
      </c>
      <c r="I224" s="19" t="s">
        <v>249</v>
      </c>
      <c r="J224" s="19" t="s">
        <v>34</v>
      </c>
      <c r="K224">
        <v>3</v>
      </c>
      <c r="L224">
        <v>2</v>
      </c>
      <c r="M224">
        <v>-0.57999999999999996</v>
      </c>
      <c r="N224" s="19" t="s">
        <v>13</v>
      </c>
      <c r="O224" s="19" t="s">
        <v>283</v>
      </c>
      <c r="P224" s="19" t="s">
        <v>289</v>
      </c>
      <c r="Q224" s="19" t="s">
        <v>287</v>
      </c>
      <c r="R224" s="19" t="s">
        <v>249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0.66666666666666663</v>
      </c>
      <c r="C225" s="19" t="s">
        <v>35</v>
      </c>
      <c r="D225" s="19" t="s">
        <v>18</v>
      </c>
      <c r="E225" s="19" t="s">
        <v>18</v>
      </c>
      <c r="F225">
        <v>3</v>
      </c>
      <c r="G225">
        <v>4</v>
      </c>
      <c r="H225">
        <v>0.63329999999999997</v>
      </c>
      <c r="I225" s="19" t="s">
        <v>249</v>
      </c>
      <c r="J225" s="19" t="s">
        <v>18</v>
      </c>
      <c r="K225">
        <v>3</v>
      </c>
      <c r="L225">
        <v>2</v>
      </c>
      <c r="M225">
        <v>-0.95</v>
      </c>
      <c r="N225" s="19" t="s">
        <v>35</v>
      </c>
      <c r="O225" s="19" t="s">
        <v>284</v>
      </c>
      <c r="P225" s="19" t="s">
        <v>285</v>
      </c>
      <c r="Q225" s="19" t="s">
        <v>285</v>
      </c>
      <c r="R225" s="19" t="s">
        <v>249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25</v>
      </c>
      <c r="D226" s="19" t="s">
        <v>12</v>
      </c>
      <c r="E226" s="19" t="s">
        <v>25</v>
      </c>
      <c r="F226">
        <v>5</v>
      </c>
      <c r="G226">
        <v>4</v>
      </c>
      <c r="H226">
        <v>0.51919999999999999</v>
      </c>
      <c r="I226" s="19" t="s">
        <v>249</v>
      </c>
      <c r="J226" s="19" t="s">
        <v>12</v>
      </c>
      <c r="K226">
        <v>3</v>
      </c>
      <c r="L226">
        <v>2</v>
      </c>
      <c r="M226">
        <v>-1.34</v>
      </c>
      <c r="N226" s="19" t="s">
        <v>12</v>
      </c>
      <c r="O226" s="19" t="s">
        <v>291</v>
      </c>
      <c r="P226" s="19" t="s">
        <v>283</v>
      </c>
      <c r="Q226" s="19" t="s">
        <v>285</v>
      </c>
      <c r="R226" s="19" t="s">
        <v>249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0.625</v>
      </c>
      <c r="C227" s="19" t="s">
        <v>24</v>
      </c>
      <c r="D227" s="19" t="s">
        <v>55</v>
      </c>
      <c r="E227" s="19" t="s">
        <v>24</v>
      </c>
      <c r="F227">
        <v>4</v>
      </c>
      <c r="G227">
        <v>3</v>
      </c>
      <c r="H227">
        <v>0.62829999999999997</v>
      </c>
      <c r="I227" s="19" t="s">
        <v>249</v>
      </c>
      <c r="J227" s="19" t="s">
        <v>55</v>
      </c>
      <c r="K227">
        <v>3</v>
      </c>
      <c r="L227">
        <v>2</v>
      </c>
      <c r="M227">
        <v>-0.32</v>
      </c>
      <c r="N227" s="19" t="s">
        <v>24</v>
      </c>
      <c r="O227" s="19" t="s">
        <v>289</v>
      </c>
      <c r="P227" s="19" t="s">
        <v>287</v>
      </c>
      <c r="Q227" s="19" t="s">
        <v>285</v>
      </c>
      <c r="R227" s="19" t="s">
        <v>248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0.5</v>
      </c>
      <c r="C228" s="19" t="s">
        <v>26</v>
      </c>
      <c r="D228" s="19" t="s">
        <v>14</v>
      </c>
      <c r="E228" s="19" t="s">
        <v>26</v>
      </c>
      <c r="F228">
        <v>4</v>
      </c>
      <c r="G228">
        <v>3</v>
      </c>
      <c r="H228">
        <v>0.8014</v>
      </c>
      <c r="I228" s="19" t="s">
        <v>249</v>
      </c>
      <c r="J228" s="19" t="s">
        <v>14</v>
      </c>
      <c r="K228">
        <v>3</v>
      </c>
      <c r="L228">
        <v>2</v>
      </c>
      <c r="M228">
        <v>-0.06</v>
      </c>
      <c r="N228" s="19" t="s">
        <v>14</v>
      </c>
      <c r="O228" s="19" t="s">
        <v>287</v>
      </c>
      <c r="P228" s="19" t="s">
        <v>289</v>
      </c>
      <c r="Q228" s="19" t="s">
        <v>285</v>
      </c>
      <c r="R228" s="19" t="s">
        <v>249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0.79166666666666663</v>
      </c>
      <c r="C229" s="19" t="s">
        <v>30</v>
      </c>
      <c r="D229" s="19" t="s">
        <v>19</v>
      </c>
      <c r="E229" s="19" t="s">
        <v>30</v>
      </c>
      <c r="F229">
        <v>4</v>
      </c>
      <c r="G229">
        <v>3</v>
      </c>
      <c r="H229">
        <v>0.622</v>
      </c>
      <c r="I229" s="19" t="s">
        <v>249</v>
      </c>
      <c r="J229" s="19" t="s">
        <v>30</v>
      </c>
      <c r="K229">
        <v>3</v>
      </c>
      <c r="L229">
        <v>2</v>
      </c>
      <c r="M229">
        <v>0.27</v>
      </c>
      <c r="N229" s="19" t="s">
        <v>30</v>
      </c>
      <c r="O229" s="19" t="s">
        <v>289</v>
      </c>
      <c r="P229" s="19" t="s">
        <v>291</v>
      </c>
      <c r="Q229" s="19" t="s">
        <v>287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16</v>
      </c>
      <c r="D230" s="19" t="s">
        <v>29</v>
      </c>
      <c r="E230" s="19" t="s">
        <v>16</v>
      </c>
      <c r="F230">
        <v>4</v>
      </c>
      <c r="G230">
        <v>3</v>
      </c>
      <c r="H230">
        <v>0.71840000000000004</v>
      </c>
      <c r="I230" s="19" t="s">
        <v>249</v>
      </c>
      <c r="J230" s="19" t="s">
        <v>16</v>
      </c>
      <c r="K230">
        <v>3</v>
      </c>
      <c r="L230">
        <v>2</v>
      </c>
      <c r="M230">
        <v>0.17</v>
      </c>
      <c r="N230" s="19" t="s">
        <v>29</v>
      </c>
      <c r="O230" s="19" t="s">
        <v>291</v>
      </c>
      <c r="P230" s="19" t="s">
        <v>289</v>
      </c>
      <c r="Q230" s="19" t="s">
        <v>285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0.64583333333333337</v>
      </c>
      <c r="C231" s="19" t="s">
        <v>17</v>
      </c>
      <c r="D231" s="19" t="s">
        <v>27</v>
      </c>
      <c r="E231" s="19" t="s">
        <v>17</v>
      </c>
      <c r="F231">
        <v>4</v>
      </c>
      <c r="G231">
        <v>3</v>
      </c>
      <c r="H231">
        <v>0.68379999999999996</v>
      </c>
      <c r="I231" s="19" t="s">
        <v>249</v>
      </c>
      <c r="J231" s="19" t="s">
        <v>27</v>
      </c>
      <c r="K231">
        <v>3</v>
      </c>
      <c r="L231">
        <v>2</v>
      </c>
      <c r="M231">
        <v>-0.03</v>
      </c>
      <c r="N231" s="19" t="s">
        <v>27</v>
      </c>
      <c r="O231" s="19" t="s">
        <v>284</v>
      </c>
      <c r="P231" s="19" t="s">
        <v>283</v>
      </c>
      <c r="Q231" s="19" t="s">
        <v>285</v>
      </c>
      <c r="R231" s="19" t="s">
        <v>249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36</v>
      </c>
      <c r="D232" s="19" t="s">
        <v>40</v>
      </c>
      <c r="E232" s="19" t="s">
        <v>36</v>
      </c>
      <c r="F232">
        <v>3</v>
      </c>
      <c r="G232">
        <v>2</v>
      </c>
      <c r="H232">
        <v>0.71260000000000001</v>
      </c>
      <c r="I232" s="19" t="s">
        <v>249</v>
      </c>
      <c r="J232" s="19" t="s">
        <v>36</v>
      </c>
      <c r="K232">
        <v>3</v>
      </c>
      <c r="L232">
        <v>2</v>
      </c>
      <c r="M232">
        <v>0.27</v>
      </c>
      <c r="N232" s="19" t="s">
        <v>36</v>
      </c>
      <c r="O232" s="19" t="s">
        <v>289</v>
      </c>
      <c r="P232" s="19" t="s">
        <v>284</v>
      </c>
      <c r="Q232" s="19" t="s">
        <v>285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0.625</v>
      </c>
      <c r="C233" s="19" t="s">
        <v>28</v>
      </c>
      <c r="D233" s="19" t="s">
        <v>14</v>
      </c>
      <c r="E233" s="19" t="s">
        <v>14</v>
      </c>
      <c r="F233">
        <v>3</v>
      </c>
      <c r="G233">
        <v>4</v>
      </c>
      <c r="H233">
        <v>0.80030000000000001</v>
      </c>
      <c r="I233" s="19" t="s">
        <v>248</v>
      </c>
      <c r="J233" s="19" t="s">
        <v>14</v>
      </c>
      <c r="K233">
        <v>3</v>
      </c>
      <c r="L233">
        <v>2</v>
      </c>
      <c r="M233">
        <v>-0.17</v>
      </c>
      <c r="N233" s="19" t="s">
        <v>14</v>
      </c>
      <c r="O233" s="19" t="s">
        <v>289</v>
      </c>
      <c r="P233" s="19" t="s">
        <v>283</v>
      </c>
      <c r="Q233" s="19" t="s">
        <v>287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0.79166666666666663</v>
      </c>
      <c r="C234" s="19" t="s">
        <v>10</v>
      </c>
      <c r="D234" s="19" t="s">
        <v>20</v>
      </c>
      <c r="E234" s="19" t="s">
        <v>20</v>
      </c>
      <c r="F234">
        <v>2</v>
      </c>
      <c r="G234">
        <v>3</v>
      </c>
      <c r="H234">
        <v>0.81279999999999997</v>
      </c>
      <c r="I234" s="19" t="s">
        <v>249</v>
      </c>
      <c r="J234" s="19" t="s">
        <v>20</v>
      </c>
      <c r="K234">
        <v>3</v>
      </c>
      <c r="L234">
        <v>2</v>
      </c>
      <c r="M234">
        <v>-0.43</v>
      </c>
      <c r="N234" s="19" t="s">
        <v>10</v>
      </c>
      <c r="O234" s="19" t="s">
        <v>291</v>
      </c>
      <c r="P234" s="19" t="s">
        <v>284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0.58333333333333337</v>
      </c>
      <c r="C235" s="19" t="s">
        <v>39</v>
      </c>
      <c r="D235" s="19" t="s">
        <v>18</v>
      </c>
      <c r="E235" s="19" t="s">
        <v>39</v>
      </c>
      <c r="F235">
        <v>4</v>
      </c>
      <c r="G235">
        <v>3</v>
      </c>
      <c r="H235">
        <v>0.61960000000000004</v>
      </c>
      <c r="I235" s="19" t="s">
        <v>249</v>
      </c>
      <c r="J235" s="19" t="s">
        <v>39</v>
      </c>
      <c r="K235">
        <v>3</v>
      </c>
      <c r="L235">
        <v>2</v>
      </c>
      <c r="M235">
        <v>0.73</v>
      </c>
      <c r="N235" s="19" t="s">
        <v>18</v>
      </c>
      <c r="O235" s="19" t="s">
        <v>291</v>
      </c>
      <c r="P235" s="19" t="s">
        <v>289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0.70833333333333337</v>
      </c>
      <c r="C236" s="19" t="s">
        <v>11</v>
      </c>
      <c r="D236" s="19" t="s">
        <v>12</v>
      </c>
      <c r="E236" s="19" t="s">
        <v>11</v>
      </c>
      <c r="F236">
        <v>5</v>
      </c>
      <c r="G236">
        <v>4</v>
      </c>
      <c r="H236">
        <v>0.54</v>
      </c>
      <c r="I236" s="19" t="s">
        <v>248</v>
      </c>
      <c r="J236" s="19" t="s">
        <v>12</v>
      </c>
      <c r="K236">
        <v>3</v>
      </c>
      <c r="L236">
        <v>2</v>
      </c>
      <c r="M236">
        <v>-1.71</v>
      </c>
      <c r="N236" s="19" t="s">
        <v>11</v>
      </c>
      <c r="O236" s="19" t="s">
        <v>284</v>
      </c>
      <c r="P236" s="19" t="s">
        <v>287</v>
      </c>
      <c r="Q236" s="19" t="s">
        <v>285</v>
      </c>
      <c r="R236" s="19" t="s">
        <v>248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22</v>
      </c>
      <c r="D238" s="19" t="s">
        <v>31</v>
      </c>
      <c r="E238" s="19" t="s">
        <v>31</v>
      </c>
      <c r="F238">
        <v>3</v>
      </c>
      <c r="G238">
        <v>4</v>
      </c>
      <c r="H238">
        <v>0.52459999999999996</v>
      </c>
      <c r="I238" s="19" t="s">
        <v>249</v>
      </c>
      <c r="J238" s="19" t="s">
        <v>22</v>
      </c>
      <c r="K238">
        <v>3</v>
      </c>
      <c r="L238">
        <v>2</v>
      </c>
      <c r="M238">
        <v>0.56000000000000005</v>
      </c>
      <c r="N238" s="19" t="s">
        <v>22</v>
      </c>
      <c r="O238" s="19" t="s">
        <v>292</v>
      </c>
      <c r="P238" s="19" t="s">
        <v>289</v>
      </c>
      <c r="Q238" s="19" t="s">
        <v>285</v>
      </c>
      <c r="R238" s="19" t="s">
        <v>249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0.89583333333333337</v>
      </c>
      <c r="C239" s="19" t="s">
        <v>16</v>
      </c>
      <c r="D239" s="19" t="s">
        <v>32</v>
      </c>
      <c r="E239" s="19" t="s">
        <v>16</v>
      </c>
      <c r="F239">
        <v>4</v>
      </c>
      <c r="G239">
        <v>2</v>
      </c>
      <c r="H239">
        <v>0.86470000000000002</v>
      </c>
      <c r="I239" s="19" t="s">
        <v>249</v>
      </c>
      <c r="J239" s="19" t="s">
        <v>16</v>
      </c>
      <c r="K239">
        <v>3</v>
      </c>
      <c r="L239">
        <v>2</v>
      </c>
      <c r="M239">
        <v>0.09</v>
      </c>
      <c r="N239" s="19" t="s">
        <v>32</v>
      </c>
      <c r="O239" s="19" t="s">
        <v>287</v>
      </c>
      <c r="P239" s="19" t="s">
        <v>283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13</v>
      </c>
      <c r="O240" s="19" t="s">
        <v>289</v>
      </c>
      <c r="P240" s="19" t="s">
        <v>284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0.8125</v>
      </c>
      <c r="C242" s="19" t="s">
        <v>36</v>
      </c>
      <c r="D242" s="19" t="s">
        <v>26</v>
      </c>
      <c r="E242" s="19" t="s">
        <v>26</v>
      </c>
      <c r="F242">
        <v>3</v>
      </c>
      <c r="G242">
        <v>4</v>
      </c>
      <c r="H242">
        <v>0.58299999999999996</v>
      </c>
      <c r="I242" s="19" t="s">
        <v>249</v>
      </c>
      <c r="J242" s="19" t="s">
        <v>36</v>
      </c>
      <c r="K242">
        <v>3</v>
      </c>
      <c r="L242">
        <v>2</v>
      </c>
      <c r="M242">
        <v>0.36</v>
      </c>
      <c r="N242" s="19" t="s">
        <v>26</v>
      </c>
      <c r="O242" s="19" t="s">
        <v>291</v>
      </c>
      <c r="P242" s="19" t="s">
        <v>283</v>
      </c>
      <c r="Q242" s="19" t="s">
        <v>285</v>
      </c>
      <c r="R242" s="19" t="s">
        <v>248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0.91666666666666663</v>
      </c>
      <c r="C243" s="19" t="s">
        <v>32</v>
      </c>
      <c r="D243" s="19" t="s">
        <v>21</v>
      </c>
      <c r="E243" s="19" t="s">
        <v>21</v>
      </c>
      <c r="F243">
        <v>2</v>
      </c>
      <c r="G243">
        <v>3</v>
      </c>
      <c r="H243">
        <v>0.54420000000000002</v>
      </c>
      <c r="I243" s="19" t="s">
        <v>249</v>
      </c>
      <c r="J243" s="19" t="s">
        <v>21</v>
      </c>
      <c r="K243">
        <v>3</v>
      </c>
      <c r="L243">
        <v>2</v>
      </c>
      <c r="M243">
        <v>-0.15</v>
      </c>
      <c r="N243" s="19" t="s">
        <v>32</v>
      </c>
      <c r="O243" s="19" t="s">
        <v>292</v>
      </c>
      <c r="P243" s="19" t="s">
        <v>289</v>
      </c>
      <c r="Q243" s="19" t="s">
        <v>285</v>
      </c>
      <c r="R243" s="19" t="s">
        <v>249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0.83333333333333337</v>
      </c>
      <c r="C244" s="19" t="s">
        <v>40</v>
      </c>
      <c r="D244" s="19" t="s">
        <v>20</v>
      </c>
      <c r="E244" s="19" t="s">
        <v>40</v>
      </c>
      <c r="F244">
        <v>3</v>
      </c>
      <c r="G244">
        <v>2</v>
      </c>
      <c r="H244">
        <v>0.60250000000000004</v>
      </c>
      <c r="I244" s="19" t="s">
        <v>249</v>
      </c>
      <c r="J244" s="19" t="s">
        <v>20</v>
      </c>
      <c r="K244">
        <v>3</v>
      </c>
      <c r="L244">
        <v>2</v>
      </c>
      <c r="M244">
        <v>-0.15</v>
      </c>
      <c r="N244" s="19" t="s">
        <v>20</v>
      </c>
      <c r="O244" s="19" t="s">
        <v>291</v>
      </c>
      <c r="P244" s="19" t="s">
        <v>289</v>
      </c>
      <c r="Q244" s="19" t="s">
        <v>287</v>
      </c>
      <c r="R244" s="19" t="s">
        <v>249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0.79166666666666663</v>
      </c>
      <c r="C245" s="19" t="s">
        <v>25</v>
      </c>
      <c r="D245" s="19" t="s">
        <v>39</v>
      </c>
      <c r="E245" s="19" t="s">
        <v>25</v>
      </c>
      <c r="F245">
        <v>6</v>
      </c>
      <c r="G245">
        <v>5</v>
      </c>
      <c r="H245">
        <v>0.62119999999999997</v>
      </c>
      <c r="I245" s="19" t="s">
        <v>249</v>
      </c>
      <c r="J245" s="19" t="s">
        <v>39</v>
      </c>
      <c r="K245">
        <v>3</v>
      </c>
      <c r="L245">
        <v>2</v>
      </c>
      <c r="M245">
        <v>-0.2</v>
      </c>
      <c r="N245" s="19" t="s">
        <v>25</v>
      </c>
      <c r="O245" s="19" t="s">
        <v>288</v>
      </c>
      <c r="P245" s="19" t="s">
        <v>291</v>
      </c>
      <c r="Q245" s="19" t="s">
        <v>285</v>
      </c>
      <c r="R245" s="19" t="s">
        <v>248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0.8125</v>
      </c>
      <c r="C246" s="19" t="s">
        <v>19</v>
      </c>
      <c r="D246" s="19" t="s">
        <v>11</v>
      </c>
      <c r="E246" s="19" t="s">
        <v>11</v>
      </c>
      <c r="F246">
        <v>3</v>
      </c>
      <c r="G246">
        <v>4</v>
      </c>
      <c r="H246">
        <v>0.60119999999999996</v>
      </c>
      <c r="I246" s="19" t="s">
        <v>249</v>
      </c>
      <c r="J246" s="19" t="s">
        <v>11</v>
      </c>
      <c r="K246">
        <v>3</v>
      </c>
      <c r="L246">
        <v>2</v>
      </c>
      <c r="M246">
        <v>-0.09</v>
      </c>
      <c r="N246" s="19" t="s">
        <v>19</v>
      </c>
      <c r="O246" s="19" t="s">
        <v>289</v>
      </c>
      <c r="P246" s="19" t="s">
        <v>287</v>
      </c>
      <c r="Q246" s="19" t="s">
        <v>285</v>
      </c>
      <c r="R246" s="19" t="s">
        <v>249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0.91666666666666663</v>
      </c>
      <c r="C247" s="19" t="s">
        <v>33</v>
      </c>
      <c r="D247" s="19" t="s">
        <v>28</v>
      </c>
      <c r="E247" s="19" t="s">
        <v>33</v>
      </c>
      <c r="F247">
        <v>5</v>
      </c>
      <c r="G247">
        <v>4</v>
      </c>
      <c r="H247">
        <v>0.59719999999999995</v>
      </c>
      <c r="I247" s="19" t="s">
        <v>249</v>
      </c>
      <c r="J247" s="19" t="s">
        <v>28</v>
      </c>
      <c r="K247">
        <v>3</v>
      </c>
      <c r="L247">
        <v>2</v>
      </c>
      <c r="M247">
        <v>-0.09</v>
      </c>
      <c r="N247" s="19" t="s">
        <v>33</v>
      </c>
      <c r="O247" s="19" t="s">
        <v>283</v>
      </c>
      <c r="P247" s="19" t="s">
        <v>284</v>
      </c>
      <c r="Q247" s="19" t="s">
        <v>285</v>
      </c>
      <c r="R247" s="19" t="s">
        <v>248</v>
      </c>
      <c r="S247" s="19" t="s">
        <v>249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27</v>
      </c>
      <c r="D248" s="19" t="s">
        <v>31</v>
      </c>
      <c r="E248" s="19" t="s">
        <v>27</v>
      </c>
      <c r="F248">
        <v>3</v>
      </c>
      <c r="G248">
        <v>2</v>
      </c>
      <c r="H248">
        <v>0.59240000000000004</v>
      </c>
      <c r="I248" s="19" t="s">
        <v>249</v>
      </c>
      <c r="J248" s="19" t="s">
        <v>27</v>
      </c>
      <c r="K248">
        <v>3</v>
      </c>
      <c r="L248">
        <v>2</v>
      </c>
      <c r="M248">
        <v>0.43</v>
      </c>
      <c r="N248" s="19" t="s">
        <v>27</v>
      </c>
      <c r="O248" s="19" t="s">
        <v>283</v>
      </c>
      <c r="P248" s="19" t="s">
        <v>284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0.875</v>
      </c>
      <c r="C249" s="19" t="s">
        <v>17</v>
      </c>
      <c r="D249" s="19" t="s">
        <v>29</v>
      </c>
      <c r="E249" s="19" t="s">
        <v>17</v>
      </c>
      <c r="F249">
        <v>4</v>
      </c>
      <c r="G249">
        <v>3</v>
      </c>
      <c r="H249">
        <v>0.67930000000000001</v>
      </c>
      <c r="I249" s="19" t="s">
        <v>248</v>
      </c>
      <c r="J249" s="19" t="s">
        <v>17</v>
      </c>
      <c r="K249">
        <v>3</v>
      </c>
      <c r="L249">
        <v>2</v>
      </c>
      <c r="M249">
        <v>0.36</v>
      </c>
      <c r="N249" s="19" t="s">
        <v>17</v>
      </c>
      <c r="O249" s="19" t="s">
        <v>288</v>
      </c>
      <c r="P249" s="19" t="s">
        <v>284</v>
      </c>
      <c r="Q249" s="19" t="s">
        <v>285</v>
      </c>
      <c r="R249" s="19" t="s">
        <v>248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0.8125</v>
      </c>
      <c r="C250" s="19" t="s">
        <v>30</v>
      </c>
      <c r="D250" s="19" t="s">
        <v>24</v>
      </c>
      <c r="E250" s="19" t="s">
        <v>30</v>
      </c>
      <c r="F250">
        <v>4</v>
      </c>
      <c r="G250">
        <v>3</v>
      </c>
      <c r="H250">
        <v>0.63380000000000003</v>
      </c>
      <c r="I250" s="19" t="s">
        <v>249</v>
      </c>
      <c r="J250" s="19" t="s">
        <v>30</v>
      </c>
      <c r="K250">
        <v>3</v>
      </c>
      <c r="L250">
        <v>2</v>
      </c>
      <c r="M250">
        <v>0.28000000000000003</v>
      </c>
      <c r="N250" s="19" t="s">
        <v>30</v>
      </c>
      <c r="O250" s="19" t="s">
        <v>290</v>
      </c>
      <c r="P250" s="19" t="s">
        <v>285</v>
      </c>
      <c r="Q250" s="19" t="s">
        <v>285</v>
      </c>
      <c r="R250" s="19" t="s">
        <v>248</v>
      </c>
      <c r="S250" s="19" t="s">
        <v>248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37</v>
      </c>
      <c r="D251" s="19" t="s">
        <v>12</v>
      </c>
      <c r="E251" s="19" t="s">
        <v>12</v>
      </c>
      <c r="F251">
        <v>2</v>
      </c>
      <c r="G251">
        <v>3</v>
      </c>
      <c r="H251">
        <v>0.54349999999999998</v>
      </c>
      <c r="I251" s="19" t="s">
        <v>249</v>
      </c>
      <c r="J251" s="19" t="s">
        <v>12</v>
      </c>
      <c r="K251">
        <v>3</v>
      </c>
      <c r="L251">
        <v>2</v>
      </c>
      <c r="M251">
        <v>-0.87</v>
      </c>
      <c r="N251" s="19" t="s">
        <v>37</v>
      </c>
      <c r="O251" s="19" t="s">
        <v>289</v>
      </c>
      <c r="P251" s="19" t="s">
        <v>284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23</v>
      </c>
      <c r="D252" s="19" t="s">
        <v>38</v>
      </c>
      <c r="E252" s="19" t="s">
        <v>23</v>
      </c>
      <c r="F252">
        <v>4</v>
      </c>
      <c r="G252">
        <v>3</v>
      </c>
      <c r="H252">
        <v>0.5484</v>
      </c>
      <c r="I252" s="19" t="s">
        <v>249</v>
      </c>
      <c r="J252" s="19" t="s">
        <v>23</v>
      </c>
      <c r="K252">
        <v>3</v>
      </c>
      <c r="L252">
        <v>2</v>
      </c>
      <c r="M252">
        <v>0.66</v>
      </c>
      <c r="N252" s="19" t="s">
        <v>23</v>
      </c>
      <c r="O252" s="19" t="s">
        <v>283</v>
      </c>
      <c r="P252" s="19" t="s">
        <v>291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0.9375</v>
      </c>
      <c r="C253" s="19" t="s">
        <v>13</v>
      </c>
      <c r="D253" s="19" t="s">
        <v>33</v>
      </c>
      <c r="E253" s="19" t="s">
        <v>33</v>
      </c>
      <c r="F253">
        <v>3</v>
      </c>
      <c r="G253">
        <v>4</v>
      </c>
      <c r="H253">
        <v>0.64629999999999999</v>
      </c>
      <c r="I253" s="19" t="s">
        <v>249</v>
      </c>
      <c r="J253" s="19" t="s">
        <v>13</v>
      </c>
      <c r="K253">
        <v>3</v>
      </c>
      <c r="L253">
        <v>2</v>
      </c>
      <c r="M253">
        <v>0.4</v>
      </c>
      <c r="N253" s="19" t="s">
        <v>33</v>
      </c>
      <c r="O253" s="19" t="s">
        <v>291</v>
      </c>
      <c r="P253" s="19" t="s">
        <v>289</v>
      </c>
      <c r="Q253" s="19" t="s">
        <v>287</v>
      </c>
      <c r="R253" s="19" t="s">
        <v>248</v>
      </c>
      <c r="S253" s="19" t="s">
        <v>249</v>
      </c>
      <c r="T253" s="19" t="s">
        <v>286</v>
      </c>
    </row>
    <row r="254" spans="1:20" x14ac:dyDescent="0.2">
      <c r="A254" s="1">
        <v>46029</v>
      </c>
      <c r="B254" s="2">
        <v>0.8125</v>
      </c>
      <c r="C254" s="19" t="s">
        <v>18</v>
      </c>
      <c r="D254" s="19" t="s">
        <v>16</v>
      </c>
      <c r="E254" s="19" t="s">
        <v>18</v>
      </c>
      <c r="F254">
        <v>4</v>
      </c>
      <c r="G254">
        <v>2</v>
      </c>
      <c r="H254">
        <v>0.73640000000000005</v>
      </c>
      <c r="I254" s="19" t="s">
        <v>249</v>
      </c>
      <c r="J254" s="19" t="s">
        <v>18</v>
      </c>
      <c r="K254">
        <v>3</v>
      </c>
      <c r="L254">
        <v>2</v>
      </c>
      <c r="M254">
        <v>0.55000000000000004</v>
      </c>
      <c r="N254" s="19" t="s">
        <v>18</v>
      </c>
      <c r="O254" s="19" t="s">
        <v>289</v>
      </c>
      <c r="P254" s="19" t="s">
        <v>287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0.79166666666666663</v>
      </c>
      <c r="C256" s="19" t="s">
        <v>22</v>
      </c>
      <c r="D256" s="19" t="s">
        <v>39</v>
      </c>
      <c r="E256" s="19" t="s">
        <v>39</v>
      </c>
      <c r="F256">
        <v>3</v>
      </c>
      <c r="G256">
        <v>4</v>
      </c>
      <c r="H256">
        <v>0.50209999999999999</v>
      </c>
      <c r="I256" s="19" t="s">
        <v>249</v>
      </c>
      <c r="J256" s="19" t="s">
        <v>39</v>
      </c>
      <c r="K256">
        <v>3</v>
      </c>
      <c r="L256">
        <v>2</v>
      </c>
      <c r="M256">
        <v>-0.06</v>
      </c>
      <c r="N256" s="19" t="s">
        <v>39</v>
      </c>
      <c r="O256" s="19" t="s">
        <v>287</v>
      </c>
      <c r="P256" s="19" t="s">
        <v>289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55</v>
      </c>
      <c r="D257" s="19" t="s">
        <v>36</v>
      </c>
      <c r="E257" s="19" t="s">
        <v>36</v>
      </c>
      <c r="F257">
        <v>4</v>
      </c>
      <c r="G257">
        <v>5</v>
      </c>
      <c r="H257">
        <v>0.53620000000000001</v>
      </c>
      <c r="I257" s="19" t="s">
        <v>249</v>
      </c>
      <c r="J257" s="19" t="s">
        <v>55</v>
      </c>
      <c r="K257">
        <v>3</v>
      </c>
      <c r="L257">
        <v>2</v>
      </c>
      <c r="M257">
        <v>0.27</v>
      </c>
      <c r="N257" s="19" t="s">
        <v>55</v>
      </c>
      <c r="O257" s="19" t="s">
        <v>291</v>
      </c>
      <c r="P257" s="19" t="s">
        <v>287</v>
      </c>
      <c r="Q257" s="19" t="s">
        <v>285</v>
      </c>
      <c r="R257" s="19" t="s">
        <v>249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0.91666666666666663</v>
      </c>
      <c r="C258" s="19" t="s">
        <v>20</v>
      </c>
      <c r="D258" s="19" t="s">
        <v>28</v>
      </c>
      <c r="E258" s="19" t="s">
        <v>28</v>
      </c>
      <c r="F258">
        <v>3</v>
      </c>
      <c r="G258">
        <v>4</v>
      </c>
      <c r="H258">
        <v>0.51880000000000004</v>
      </c>
      <c r="I258" s="19" t="s">
        <v>248</v>
      </c>
      <c r="J258" s="19" t="s">
        <v>20</v>
      </c>
      <c r="K258">
        <v>3</v>
      </c>
      <c r="L258">
        <v>2</v>
      </c>
      <c r="M258">
        <v>0.38</v>
      </c>
      <c r="N258" s="19" t="s">
        <v>20</v>
      </c>
      <c r="O258" s="19" t="s">
        <v>283</v>
      </c>
      <c r="P258" s="19" t="s">
        <v>291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27</v>
      </c>
      <c r="D259" s="19" t="s">
        <v>19</v>
      </c>
      <c r="E259" s="19" t="s">
        <v>19</v>
      </c>
      <c r="F259">
        <v>3</v>
      </c>
      <c r="G259">
        <v>4</v>
      </c>
      <c r="H259">
        <v>0.5877</v>
      </c>
      <c r="I259" s="19" t="s">
        <v>249</v>
      </c>
      <c r="J259" s="19" t="s">
        <v>27</v>
      </c>
      <c r="K259">
        <v>3</v>
      </c>
      <c r="L259">
        <v>2</v>
      </c>
      <c r="M259">
        <v>0.35</v>
      </c>
      <c r="N259" s="19" t="s">
        <v>19</v>
      </c>
      <c r="O259" s="19" t="s">
        <v>287</v>
      </c>
      <c r="P259" s="19" t="s">
        <v>284</v>
      </c>
      <c r="Q259" s="19" t="s">
        <v>287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0.83333333333333337</v>
      </c>
      <c r="C260" s="19" t="s">
        <v>29</v>
      </c>
      <c r="D260" s="19" t="s">
        <v>30</v>
      </c>
      <c r="E260" s="19" t="s">
        <v>30</v>
      </c>
      <c r="F260">
        <v>3</v>
      </c>
      <c r="G260">
        <v>4</v>
      </c>
      <c r="H260">
        <v>0.55769999999999997</v>
      </c>
      <c r="I260" s="19" t="s">
        <v>249</v>
      </c>
      <c r="J260" s="19" t="s">
        <v>30</v>
      </c>
      <c r="K260">
        <v>3</v>
      </c>
      <c r="L260">
        <v>2</v>
      </c>
      <c r="M260">
        <v>-0.65</v>
      </c>
      <c r="N260" s="19" t="s">
        <v>29</v>
      </c>
      <c r="O260" s="19" t="s">
        <v>284</v>
      </c>
      <c r="P260" s="19" t="s">
        <v>287</v>
      </c>
      <c r="Q260" s="19" t="s">
        <v>287</v>
      </c>
      <c r="R260" s="19" t="s">
        <v>249</v>
      </c>
      <c r="S260" s="19" t="s">
        <v>249</v>
      </c>
      <c r="T260" s="19" t="s">
        <v>286</v>
      </c>
    </row>
    <row r="261" spans="1:20" x14ac:dyDescent="0.2">
      <c r="A261" s="1">
        <v>46030</v>
      </c>
      <c r="B261" s="2">
        <v>0.875</v>
      </c>
      <c r="C261" s="19" t="s">
        <v>12</v>
      </c>
      <c r="D261" s="19" t="s">
        <v>36</v>
      </c>
      <c r="E261" s="19" t="s">
        <v>12</v>
      </c>
      <c r="F261">
        <v>5</v>
      </c>
      <c r="G261">
        <v>1</v>
      </c>
      <c r="H261">
        <v>0.96279999999999999</v>
      </c>
      <c r="I261" s="19" t="s">
        <v>249</v>
      </c>
      <c r="J261" s="19" t="s">
        <v>12</v>
      </c>
      <c r="K261">
        <v>3</v>
      </c>
      <c r="L261">
        <v>2</v>
      </c>
      <c r="M261">
        <v>1.81</v>
      </c>
      <c r="N261" s="19" t="s">
        <v>12</v>
      </c>
      <c r="O261" s="19" t="s">
        <v>1566</v>
      </c>
      <c r="P261" s="19" t="s">
        <v>284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25</v>
      </c>
      <c r="D262" s="19" t="s">
        <v>31</v>
      </c>
      <c r="E262" s="19" t="s">
        <v>25</v>
      </c>
      <c r="F262">
        <v>6</v>
      </c>
      <c r="G262">
        <v>5</v>
      </c>
      <c r="H262">
        <v>0.51129999999999998</v>
      </c>
      <c r="I262" s="19" t="s">
        <v>249</v>
      </c>
      <c r="J262" s="19" t="s">
        <v>25</v>
      </c>
      <c r="K262">
        <v>3</v>
      </c>
      <c r="L262">
        <v>2</v>
      </c>
      <c r="M262">
        <v>0.82</v>
      </c>
      <c r="N262" s="19" t="s">
        <v>25</v>
      </c>
      <c r="O262" s="19" t="s">
        <v>283</v>
      </c>
      <c r="P262" s="19" t="s">
        <v>284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0.83333333333333337</v>
      </c>
      <c r="C263" s="19" t="s">
        <v>40</v>
      </c>
      <c r="D263" s="19" t="s">
        <v>17</v>
      </c>
      <c r="E263" s="19" t="s">
        <v>17</v>
      </c>
      <c r="F263">
        <v>3</v>
      </c>
      <c r="G263">
        <v>4</v>
      </c>
      <c r="H263">
        <v>0.59899999999999998</v>
      </c>
      <c r="I263" s="19" t="s">
        <v>249</v>
      </c>
      <c r="J263" s="19" t="s">
        <v>17</v>
      </c>
      <c r="K263">
        <v>3</v>
      </c>
      <c r="L263">
        <v>2</v>
      </c>
      <c r="M263">
        <v>-0.14000000000000001</v>
      </c>
      <c r="N263" s="19" t="s">
        <v>17</v>
      </c>
      <c r="O263" s="19" t="s">
        <v>291</v>
      </c>
      <c r="P263" s="19" t="s">
        <v>289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21</v>
      </c>
      <c r="D264" s="19" t="s">
        <v>16</v>
      </c>
      <c r="E264" s="19" t="s">
        <v>21</v>
      </c>
      <c r="F264">
        <v>3</v>
      </c>
      <c r="G264">
        <v>2</v>
      </c>
      <c r="H264">
        <v>0.7903</v>
      </c>
      <c r="I264" s="19" t="s">
        <v>249</v>
      </c>
      <c r="J264" s="19" t="s">
        <v>21</v>
      </c>
      <c r="K264">
        <v>3</v>
      </c>
      <c r="L264">
        <v>2</v>
      </c>
      <c r="M264">
        <v>0.48</v>
      </c>
      <c r="N264" s="19" t="s">
        <v>21</v>
      </c>
      <c r="O264" s="19" t="s">
        <v>289</v>
      </c>
      <c r="P264" s="19" t="s">
        <v>287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14</v>
      </c>
      <c r="D265" s="19" t="s">
        <v>24</v>
      </c>
      <c r="E265" s="19" t="s">
        <v>24</v>
      </c>
      <c r="F265">
        <v>3</v>
      </c>
      <c r="G265">
        <v>4</v>
      </c>
      <c r="H265">
        <v>0.74209999999999998</v>
      </c>
      <c r="I265" s="19" t="s">
        <v>249</v>
      </c>
      <c r="J265" s="19" t="s">
        <v>14</v>
      </c>
      <c r="K265">
        <v>3</v>
      </c>
      <c r="L265">
        <v>2</v>
      </c>
      <c r="M265">
        <v>0.47</v>
      </c>
      <c r="N265" s="19" t="s">
        <v>14</v>
      </c>
      <c r="O265" s="19" t="s">
        <v>289</v>
      </c>
      <c r="P265" s="19" t="s">
        <v>287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15</v>
      </c>
      <c r="D266" s="19" t="s">
        <v>23</v>
      </c>
      <c r="E266" s="19" t="s">
        <v>23</v>
      </c>
      <c r="F266">
        <v>2</v>
      </c>
      <c r="G266">
        <v>3</v>
      </c>
      <c r="H266">
        <v>0.88</v>
      </c>
      <c r="I266" s="19" t="s">
        <v>249</v>
      </c>
      <c r="J266" s="19" t="s">
        <v>15</v>
      </c>
      <c r="K266">
        <v>3</v>
      </c>
      <c r="L266">
        <v>2</v>
      </c>
      <c r="M266">
        <v>0.09</v>
      </c>
      <c r="N266" s="19" t="s">
        <v>23</v>
      </c>
      <c r="O266" s="19" t="s">
        <v>284</v>
      </c>
      <c r="P266" s="19" t="s">
        <v>283</v>
      </c>
      <c r="Q266" s="19" t="s">
        <v>285</v>
      </c>
      <c r="R266" s="19" t="s">
        <v>248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18</v>
      </c>
      <c r="D267" s="19" t="s">
        <v>11</v>
      </c>
      <c r="E267" s="19" t="s">
        <v>11</v>
      </c>
      <c r="F267">
        <v>3</v>
      </c>
      <c r="G267">
        <v>4</v>
      </c>
      <c r="H267">
        <v>0.51329999999999998</v>
      </c>
      <c r="I267" s="19" t="s">
        <v>249</v>
      </c>
      <c r="J267" s="19" t="s">
        <v>18</v>
      </c>
      <c r="K267">
        <v>3</v>
      </c>
      <c r="L267">
        <v>2</v>
      </c>
      <c r="M267">
        <v>0.19</v>
      </c>
      <c r="N267" s="19" t="s">
        <v>18</v>
      </c>
      <c r="O267" s="19" t="s">
        <v>288</v>
      </c>
      <c r="P267" s="19" t="s">
        <v>284</v>
      </c>
      <c r="Q267" s="19" t="s">
        <v>285</v>
      </c>
      <c r="R267" s="19" t="s">
        <v>249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0.91666666666666663</v>
      </c>
      <c r="C268" s="19" t="s">
        <v>32</v>
      </c>
      <c r="D268" s="19" t="s">
        <v>34</v>
      </c>
      <c r="E268" s="19" t="s">
        <v>34</v>
      </c>
      <c r="F268">
        <v>2</v>
      </c>
      <c r="G268">
        <v>3</v>
      </c>
      <c r="H268">
        <v>0.878</v>
      </c>
      <c r="I268" s="19" t="s">
        <v>249</v>
      </c>
      <c r="J268" s="19" t="s">
        <v>34</v>
      </c>
      <c r="K268">
        <v>3</v>
      </c>
      <c r="L268">
        <v>2</v>
      </c>
      <c r="M268">
        <v>-0.52</v>
      </c>
      <c r="N268" s="19" t="s">
        <v>34</v>
      </c>
      <c r="O268" s="19" t="s">
        <v>284</v>
      </c>
      <c r="P268" s="19" t="s">
        <v>291</v>
      </c>
      <c r="Q268" s="19" t="s">
        <v>287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26</v>
      </c>
      <c r="D269" s="19" t="s">
        <v>38</v>
      </c>
      <c r="E269" s="19" t="s">
        <v>26</v>
      </c>
      <c r="F269">
        <v>4</v>
      </c>
      <c r="G269">
        <v>3</v>
      </c>
      <c r="H269">
        <v>0.63100000000000001</v>
      </c>
      <c r="I269" s="19" t="s">
        <v>249</v>
      </c>
      <c r="J269" s="19" t="s">
        <v>26</v>
      </c>
      <c r="K269">
        <v>3</v>
      </c>
      <c r="L269">
        <v>2</v>
      </c>
      <c r="M269">
        <v>0.56999999999999995</v>
      </c>
      <c r="N269" s="19" t="s">
        <v>26</v>
      </c>
      <c r="O269" s="19" t="s">
        <v>283</v>
      </c>
      <c r="P269" s="19" t="s">
        <v>287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0.79166666666666663</v>
      </c>
      <c r="C273" s="19" t="s">
        <v>23</v>
      </c>
      <c r="D273" s="19" t="s">
        <v>31</v>
      </c>
      <c r="E273" s="19" t="s">
        <v>23</v>
      </c>
      <c r="F273">
        <v>4</v>
      </c>
      <c r="G273">
        <v>2</v>
      </c>
      <c r="H273">
        <v>0.53600000000000003</v>
      </c>
      <c r="I273" s="19" t="s">
        <v>249</v>
      </c>
      <c r="J273" s="19" t="s">
        <v>23</v>
      </c>
      <c r="K273">
        <v>3</v>
      </c>
      <c r="L273">
        <v>2</v>
      </c>
      <c r="M273">
        <v>0.55000000000000004</v>
      </c>
      <c r="N273" s="19" t="s">
        <v>23</v>
      </c>
      <c r="O273" s="19" t="s">
        <v>283</v>
      </c>
      <c r="P273" s="19" t="s">
        <v>291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36</v>
      </c>
      <c r="D274" s="19" t="s">
        <v>11</v>
      </c>
      <c r="E274" s="19" t="s">
        <v>36</v>
      </c>
      <c r="F274">
        <v>4</v>
      </c>
      <c r="G274">
        <v>3</v>
      </c>
      <c r="H274">
        <v>0.60099999999999998</v>
      </c>
      <c r="I274" s="19" t="s">
        <v>249</v>
      </c>
      <c r="J274" s="19" t="s">
        <v>36</v>
      </c>
      <c r="K274">
        <v>3</v>
      </c>
      <c r="L274">
        <v>2</v>
      </c>
      <c r="M274">
        <v>0.11</v>
      </c>
      <c r="N274" s="19" t="s">
        <v>11</v>
      </c>
      <c r="O274" s="19" t="s">
        <v>284</v>
      </c>
      <c r="P274" s="19" t="s">
        <v>291</v>
      </c>
      <c r="Q274" s="19" t="s">
        <v>285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0.83333333333333337</v>
      </c>
      <c r="C275" s="19" t="s">
        <v>34</v>
      </c>
      <c r="D275" s="19" t="s">
        <v>30</v>
      </c>
      <c r="E275" s="19" t="s">
        <v>30</v>
      </c>
      <c r="F275">
        <v>3</v>
      </c>
      <c r="G275">
        <v>4</v>
      </c>
      <c r="H275">
        <v>0.50819999999999999</v>
      </c>
      <c r="I275" s="19" t="s">
        <v>249</v>
      </c>
      <c r="J275" s="19" t="s">
        <v>34</v>
      </c>
      <c r="K275">
        <v>3</v>
      </c>
      <c r="L275">
        <v>2</v>
      </c>
      <c r="M275">
        <v>0.35</v>
      </c>
      <c r="N275" s="19" t="s">
        <v>30</v>
      </c>
      <c r="O275" s="19" t="s">
        <v>291</v>
      </c>
      <c r="P275" s="19" t="s">
        <v>289</v>
      </c>
      <c r="Q275" s="19" t="s">
        <v>287</v>
      </c>
      <c r="R275" s="19" t="s">
        <v>248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19</v>
      </c>
      <c r="D276" s="19" t="s">
        <v>38</v>
      </c>
      <c r="E276" s="19" t="s">
        <v>19</v>
      </c>
      <c r="F276">
        <v>4</v>
      </c>
      <c r="G276">
        <v>3</v>
      </c>
      <c r="H276">
        <v>0.67830000000000001</v>
      </c>
      <c r="I276" s="19" t="s">
        <v>249</v>
      </c>
      <c r="J276" s="19" t="s">
        <v>19</v>
      </c>
      <c r="K276">
        <v>3</v>
      </c>
      <c r="L276">
        <v>2</v>
      </c>
      <c r="M276">
        <v>0.85</v>
      </c>
      <c r="N276" s="19" t="s">
        <v>19</v>
      </c>
      <c r="O276" s="19" t="s">
        <v>283</v>
      </c>
      <c r="P276" s="19" t="s">
        <v>285</v>
      </c>
      <c r="Q276" s="19" t="s">
        <v>285</v>
      </c>
      <c r="R276" s="19" t="s">
        <v>248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0.66666666666666663</v>
      </c>
      <c r="C277" s="19" t="s">
        <v>12</v>
      </c>
      <c r="D277" s="19" t="s">
        <v>28</v>
      </c>
      <c r="E277" s="19" t="s">
        <v>12</v>
      </c>
      <c r="F277">
        <v>3</v>
      </c>
      <c r="G277">
        <v>1</v>
      </c>
      <c r="H277">
        <v>0.90700000000000003</v>
      </c>
      <c r="I277" s="19" t="s">
        <v>249</v>
      </c>
      <c r="J277" s="19" t="s">
        <v>12</v>
      </c>
      <c r="K277">
        <v>3</v>
      </c>
      <c r="L277">
        <v>2</v>
      </c>
      <c r="M277">
        <v>2.19</v>
      </c>
      <c r="N277" s="19" t="s">
        <v>12</v>
      </c>
      <c r="O277" s="19" t="s">
        <v>289</v>
      </c>
      <c r="P277" s="19" t="s">
        <v>285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0.91666666666666663</v>
      </c>
      <c r="C278" s="19" t="s">
        <v>20</v>
      </c>
      <c r="D278" s="19" t="s">
        <v>35</v>
      </c>
      <c r="E278" s="19" t="s">
        <v>20</v>
      </c>
      <c r="F278">
        <v>4</v>
      </c>
      <c r="G278">
        <v>3</v>
      </c>
      <c r="H278">
        <v>0.60719999999999996</v>
      </c>
      <c r="I278" s="19" t="s">
        <v>249</v>
      </c>
      <c r="J278" s="19" t="s">
        <v>20</v>
      </c>
      <c r="K278">
        <v>3</v>
      </c>
      <c r="L278">
        <v>2</v>
      </c>
      <c r="M278">
        <v>1.19</v>
      </c>
      <c r="N278" s="19" t="s">
        <v>20</v>
      </c>
      <c r="O278" s="19" t="s">
        <v>289</v>
      </c>
      <c r="P278" s="19" t="s">
        <v>284</v>
      </c>
      <c r="Q278" s="19" t="s">
        <v>285</v>
      </c>
      <c r="R278" s="19" t="s">
        <v>248</v>
      </c>
      <c r="S278" s="19" t="s">
        <v>248</v>
      </c>
      <c r="T278" s="19" t="s">
        <v>286</v>
      </c>
    </row>
    <row r="279" spans="1:20" x14ac:dyDescent="0.2">
      <c r="A279" s="1">
        <v>46032</v>
      </c>
      <c r="B279" s="2">
        <v>0.54166666666666663</v>
      </c>
      <c r="C279" s="19" t="s">
        <v>21</v>
      </c>
      <c r="D279" s="19" t="s">
        <v>15</v>
      </c>
      <c r="E279" s="19" t="s">
        <v>15</v>
      </c>
      <c r="F279">
        <v>3</v>
      </c>
      <c r="G279">
        <v>4</v>
      </c>
      <c r="H279">
        <v>0.67290000000000005</v>
      </c>
      <c r="I279" s="19" t="s">
        <v>249</v>
      </c>
      <c r="J279" s="19" t="s">
        <v>21</v>
      </c>
      <c r="K279">
        <v>3</v>
      </c>
      <c r="L279">
        <v>2</v>
      </c>
      <c r="M279">
        <v>0.13</v>
      </c>
      <c r="N279" s="19" t="s">
        <v>21</v>
      </c>
      <c r="O279" s="19" t="s">
        <v>2070</v>
      </c>
      <c r="P279" s="19" t="s">
        <v>284</v>
      </c>
      <c r="Q279" s="19" t="s">
        <v>285</v>
      </c>
      <c r="R279" s="19" t="s">
        <v>249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0.66666666666666663</v>
      </c>
      <c r="C280" s="19" t="s">
        <v>33</v>
      </c>
      <c r="D280" s="19" t="s">
        <v>39</v>
      </c>
      <c r="E280" s="19" t="s">
        <v>39</v>
      </c>
      <c r="F280">
        <v>3</v>
      </c>
      <c r="G280">
        <v>5</v>
      </c>
      <c r="H280">
        <v>0.80640000000000001</v>
      </c>
      <c r="I280" s="19" t="s">
        <v>249</v>
      </c>
      <c r="J280" s="19" t="s">
        <v>39</v>
      </c>
      <c r="K280">
        <v>3</v>
      </c>
      <c r="L280">
        <v>2</v>
      </c>
      <c r="M280">
        <v>-0.76</v>
      </c>
      <c r="N280" s="19" t="s">
        <v>33</v>
      </c>
      <c r="O280" s="19" t="s">
        <v>283</v>
      </c>
      <c r="P280" s="19" t="s">
        <v>289</v>
      </c>
      <c r="Q280" s="19" t="s">
        <v>287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25</v>
      </c>
      <c r="D281" s="19" t="s">
        <v>32</v>
      </c>
      <c r="E281" s="19" t="s">
        <v>25</v>
      </c>
      <c r="F281">
        <v>4</v>
      </c>
      <c r="G281">
        <v>3</v>
      </c>
      <c r="H281">
        <v>0.6603</v>
      </c>
      <c r="I281" s="19" t="s">
        <v>249</v>
      </c>
      <c r="J281" s="19" t="s">
        <v>25</v>
      </c>
      <c r="K281">
        <v>3</v>
      </c>
      <c r="L281">
        <v>2</v>
      </c>
      <c r="M281">
        <v>0.82</v>
      </c>
      <c r="N281" s="19" t="s">
        <v>25</v>
      </c>
      <c r="O281" s="19" t="s">
        <v>291</v>
      </c>
      <c r="P281" s="19" t="s">
        <v>284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18</v>
      </c>
      <c r="D282" s="19" t="s">
        <v>26</v>
      </c>
      <c r="E282" s="19" t="s">
        <v>18</v>
      </c>
      <c r="F282">
        <v>5</v>
      </c>
      <c r="G282">
        <v>4</v>
      </c>
      <c r="H282">
        <v>0.5161</v>
      </c>
      <c r="I282" s="19" t="s">
        <v>249</v>
      </c>
      <c r="J282" s="19" t="s">
        <v>18</v>
      </c>
      <c r="K282">
        <v>3</v>
      </c>
      <c r="L282">
        <v>2</v>
      </c>
      <c r="M282">
        <v>0.39</v>
      </c>
      <c r="N282" s="19" t="s">
        <v>26</v>
      </c>
      <c r="O282" s="19" t="s">
        <v>285</v>
      </c>
      <c r="P282" s="19" t="s">
        <v>289</v>
      </c>
      <c r="Q282" s="19" t="s">
        <v>285</v>
      </c>
      <c r="R282" s="19" t="s">
        <v>249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27</v>
      </c>
      <c r="D283" s="19" t="s">
        <v>37</v>
      </c>
      <c r="E283" s="19" t="s">
        <v>37</v>
      </c>
      <c r="F283">
        <v>2</v>
      </c>
      <c r="G283">
        <v>3</v>
      </c>
      <c r="H283">
        <v>0.88600000000000001</v>
      </c>
      <c r="I283" s="19" t="s">
        <v>249</v>
      </c>
      <c r="J283" s="19" t="s">
        <v>37</v>
      </c>
      <c r="K283">
        <v>3</v>
      </c>
      <c r="L283">
        <v>2</v>
      </c>
      <c r="M283">
        <v>-0.51</v>
      </c>
      <c r="N283" s="19" t="s">
        <v>37</v>
      </c>
      <c r="O283" s="19" t="s">
        <v>284</v>
      </c>
      <c r="P283" s="19" t="s">
        <v>292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0.64583333333333337</v>
      </c>
      <c r="C284" s="19" t="s">
        <v>14</v>
      </c>
      <c r="D284" s="19" t="s">
        <v>16</v>
      </c>
      <c r="E284" s="19" t="s">
        <v>14</v>
      </c>
      <c r="F284">
        <v>4</v>
      </c>
      <c r="G284">
        <v>2</v>
      </c>
      <c r="H284">
        <v>0.74260000000000004</v>
      </c>
      <c r="I284" s="19" t="s">
        <v>249</v>
      </c>
      <c r="J284" s="19" t="s">
        <v>14</v>
      </c>
      <c r="K284">
        <v>3</v>
      </c>
      <c r="L284">
        <v>2</v>
      </c>
      <c r="M284">
        <v>0.78</v>
      </c>
      <c r="N284" s="19" t="s">
        <v>16</v>
      </c>
      <c r="O284" s="19" t="s">
        <v>287</v>
      </c>
      <c r="P284" s="19" t="s">
        <v>284</v>
      </c>
      <c r="Q284" s="19" t="s">
        <v>285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0.83333333333333337</v>
      </c>
      <c r="C285" s="19" t="s">
        <v>29</v>
      </c>
      <c r="D285" s="19" t="s">
        <v>10</v>
      </c>
      <c r="E285" s="19" t="s">
        <v>29</v>
      </c>
      <c r="F285">
        <v>4</v>
      </c>
      <c r="G285">
        <v>3</v>
      </c>
      <c r="H285">
        <v>0.75119999999999998</v>
      </c>
      <c r="I285" s="19" t="s">
        <v>249</v>
      </c>
      <c r="J285" s="19" t="s">
        <v>29</v>
      </c>
      <c r="K285">
        <v>3</v>
      </c>
      <c r="L285">
        <v>2</v>
      </c>
      <c r="M285">
        <v>0.13</v>
      </c>
      <c r="N285" s="19" t="s">
        <v>10</v>
      </c>
      <c r="O285" s="19" t="s">
        <v>285</v>
      </c>
      <c r="P285" s="19" t="s">
        <v>291</v>
      </c>
      <c r="Q285" s="19" t="s">
        <v>285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0.91666666666666663</v>
      </c>
      <c r="C286" s="19" t="s">
        <v>17</v>
      </c>
      <c r="D286" s="19" t="s">
        <v>13</v>
      </c>
      <c r="E286" s="19" t="s">
        <v>17</v>
      </c>
      <c r="F286">
        <v>4</v>
      </c>
      <c r="G286">
        <v>3</v>
      </c>
      <c r="H286">
        <v>0.52880000000000005</v>
      </c>
      <c r="I286" s="19" t="s">
        <v>248</v>
      </c>
      <c r="J286" s="19" t="s">
        <v>17</v>
      </c>
      <c r="K286">
        <v>3</v>
      </c>
      <c r="L286">
        <v>2</v>
      </c>
      <c r="M286">
        <v>0.28000000000000003</v>
      </c>
      <c r="N286" s="19" t="s">
        <v>13</v>
      </c>
      <c r="O286" s="19" t="s">
        <v>291</v>
      </c>
      <c r="P286" s="19" t="s">
        <v>289</v>
      </c>
      <c r="Q286" s="19" t="s">
        <v>287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0.83333333333333337</v>
      </c>
      <c r="C287" s="19" t="s">
        <v>33</v>
      </c>
      <c r="D287" s="19" t="s">
        <v>20</v>
      </c>
      <c r="E287" s="19" t="s">
        <v>20</v>
      </c>
      <c r="F287">
        <v>3</v>
      </c>
      <c r="G287">
        <v>4</v>
      </c>
      <c r="H287">
        <v>0.52929999999999999</v>
      </c>
      <c r="I287" s="19" t="s">
        <v>248</v>
      </c>
      <c r="J287" s="19" t="s">
        <v>20</v>
      </c>
      <c r="K287">
        <v>3</v>
      </c>
      <c r="L287">
        <v>2</v>
      </c>
      <c r="M287">
        <v>-0.13</v>
      </c>
      <c r="N287" s="19" t="s">
        <v>20</v>
      </c>
      <c r="O287" s="19" t="s">
        <v>284</v>
      </c>
      <c r="P287" s="19" t="s">
        <v>292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55</v>
      </c>
      <c r="D288" s="19" t="s">
        <v>28</v>
      </c>
      <c r="E288" s="19" t="s">
        <v>55</v>
      </c>
      <c r="F288">
        <v>4</v>
      </c>
      <c r="G288">
        <v>3</v>
      </c>
      <c r="H288">
        <v>0.5736</v>
      </c>
      <c r="I288" s="19" t="s">
        <v>249</v>
      </c>
      <c r="J288" s="19" t="s">
        <v>55</v>
      </c>
      <c r="K288">
        <v>3</v>
      </c>
      <c r="L288">
        <v>2</v>
      </c>
      <c r="M288">
        <v>0.7</v>
      </c>
      <c r="N288" s="19" t="s">
        <v>28</v>
      </c>
      <c r="O288" s="19" t="s">
        <v>284</v>
      </c>
      <c r="P288" s="19" t="s">
        <v>291</v>
      </c>
      <c r="Q288" s="19" t="s">
        <v>287</v>
      </c>
      <c r="R288" s="19" t="s">
        <v>249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0.58333333333333337</v>
      </c>
      <c r="C290" s="19" t="s">
        <v>40</v>
      </c>
      <c r="D290" s="19" t="s">
        <v>24</v>
      </c>
      <c r="E290" s="19" t="s">
        <v>24</v>
      </c>
      <c r="F290">
        <v>3</v>
      </c>
      <c r="G290">
        <v>4</v>
      </c>
      <c r="H290">
        <v>0.66759999999999997</v>
      </c>
      <c r="I290" s="19" t="s">
        <v>249</v>
      </c>
      <c r="J290" s="19" t="s">
        <v>40</v>
      </c>
      <c r="K290">
        <v>3</v>
      </c>
      <c r="L290">
        <v>2</v>
      </c>
      <c r="M290">
        <v>0.28999999999999998</v>
      </c>
      <c r="N290" s="19" t="s">
        <v>40</v>
      </c>
      <c r="O290" s="19" t="s">
        <v>289</v>
      </c>
      <c r="P290" s="19" t="s">
        <v>291</v>
      </c>
      <c r="Q290" s="19" t="s">
        <v>285</v>
      </c>
      <c r="R290" s="19" t="s">
        <v>249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29</v>
      </c>
      <c r="D291" s="19" t="s">
        <v>22</v>
      </c>
      <c r="E291" s="19" t="s">
        <v>29</v>
      </c>
      <c r="F291">
        <v>4</v>
      </c>
      <c r="G291">
        <v>3</v>
      </c>
      <c r="H291">
        <v>0.57699999999999996</v>
      </c>
      <c r="I291" s="19" t="s">
        <v>249</v>
      </c>
      <c r="J291" s="19" t="s">
        <v>22</v>
      </c>
      <c r="K291">
        <v>3</v>
      </c>
      <c r="L291">
        <v>2</v>
      </c>
      <c r="M291">
        <v>-0.78</v>
      </c>
      <c r="N291" s="19" t="s">
        <v>29</v>
      </c>
      <c r="O291" s="19" t="s">
        <v>291</v>
      </c>
      <c r="P291" s="19" t="s">
        <v>284</v>
      </c>
      <c r="Q291" s="19" t="s">
        <v>285</v>
      </c>
      <c r="R291" s="19" t="s">
        <v>248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0.8125</v>
      </c>
      <c r="C292" s="19" t="s">
        <v>18</v>
      </c>
      <c r="D292" s="19" t="s">
        <v>38</v>
      </c>
      <c r="E292" s="19" t="s">
        <v>18</v>
      </c>
      <c r="F292">
        <v>4</v>
      </c>
      <c r="G292">
        <v>2</v>
      </c>
      <c r="H292">
        <v>0.76570000000000005</v>
      </c>
      <c r="I292" s="19" t="s">
        <v>249</v>
      </c>
      <c r="J292" s="19" t="s">
        <v>18</v>
      </c>
      <c r="K292">
        <v>3</v>
      </c>
      <c r="L292">
        <v>2</v>
      </c>
      <c r="M292">
        <v>0.99</v>
      </c>
      <c r="N292" s="19" t="s">
        <v>18</v>
      </c>
      <c r="O292" s="19" t="s">
        <v>288</v>
      </c>
      <c r="P292" s="19" t="s">
        <v>291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0.79166666666666663</v>
      </c>
      <c r="C293" s="19" t="s">
        <v>15</v>
      </c>
      <c r="D293" s="19" t="s">
        <v>32</v>
      </c>
      <c r="E293" s="19" t="s">
        <v>32</v>
      </c>
      <c r="F293">
        <v>2</v>
      </c>
      <c r="G293">
        <v>3</v>
      </c>
      <c r="H293">
        <v>0.79149999999999998</v>
      </c>
      <c r="I293" s="19" t="s">
        <v>249</v>
      </c>
      <c r="J293" s="19" t="s">
        <v>15</v>
      </c>
      <c r="K293">
        <v>3</v>
      </c>
      <c r="L293">
        <v>2</v>
      </c>
      <c r="M293">
        <v>0.12</v>
      </c>
      <c r="N293" s="19" t="s">
        <v>32</v>
      </c>
      <c r="O293" s="19" t="s">
        <v>284</v>
      </c>
      <c r="P293" s="19" t="s">
        <v>289</v>
      </c>
      <c r="Q293" s="19" t="s">
        <v>285</v>
      </c>
      <c r="R293" s="19" t="s">
        <v>248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0.85416666666666663</v>
      </c>
      <c r="C295" s="19" t="s">
        <v>10</v>
      </c>
      <c r="D295" s="19" t="s">
        <v>17</v>
      </c>
      <c r="E295" s="19" t="s">
        <v>10</v>
      </c>
      <c r="F295">
        <v>4</v>
      </c>
      <c r="G295">
        <v>3</v>
      </c>
      <c r="H295">
        <v>0.51800000000000002</v>
      </c>
      <c r="I295" s="19" t="s">
        <v>249</v>
      </c>
      <c r="J295" s="19" t="s">
        <v>17</v>
      </c>
      <c r="K295">
        <v>3</v>
      </c>
      <c r="L295">
        <v>2</v>
      </c>
      <c r="M295">
        <v>-0.22</v>
      </c>
      <c r="N295" s="19" t="s">
        <v>17</v>
      </c>
      <c r="O295" s="19" t="s">
        <v>287</v>
      </c>
      <c r="P295" s="19" t="s">
        <v>289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27</v>
      </c>
      <c r="D296" s="19" t="s">
        <v>37</v>
      </c>
      <c r="E296" s="19" t="s">
        <v>37</v>
      </c>
      <c r="F296">
        <v>2</v>
      </c>
      <c r="G296">
        <v>5</v>
      </c>
      <c r="H296">
        <v>0.94599999999999995</v>
      </c>
      <c r="I296" s="19" t="s">
        <v>249</v>
      </c>
      <c r="J296" s="19" t="s">
        <v>37</v>
      </c>
      <c r="K296">
        <v>3</v>
      </c>
      <c r="L296">
        <v>2</v>
      </c>
      <c r="M296">
        <v>-0.72</v>
      </c>
      <c r="N296" s="19" t="s">
        <v>37</v>
      </c>
      <c r="O296" s="19" t="s">
        <v>287</v>
      </c>
      <c r="P296" s="19" t="s">
        <v>283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26</v>
      </c>
      <c r="D297" s="19" t="s">
        <v>25</v>
      </c>
      <c r="E297" s="19" t="s">
        <v>26</v>
      </c>
      <c r="F297">
        <v>4</v>
      </c>
      <c r="G297">
        <v>3</v>
      </c>
      <c r="H297">
        <v>0.63759999999999994</v>
      </c>
      <c r="I297" s="19" t="s">
        <v>249</v>
      </c>
      <c r="J297" s="19" t="s">
        <v>25</v>
      </c>
      <c r="K297">
        <v>3</v>
      </c>
      <c r="L297">
        <v>2</v>
      </c>
      <c r="M297">
        <v>-0.36</v>
      </c>
      <c r="N297" s="19" t="s">
        <v>26</v>
      </c>
      <c r="O297" s="19" t="s">
        <v>289</v>
      </c>
      <c r="P297" s="19" t="s">
        <v>291</v>
      </c>
      <c r="Q297" s="19" t="s">
        <v>287</v>
      </c>
      <c r="R297" s="19" t="s">
        <v>248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13</v>
      </c>
      <c r="D298" s="19" t="s">
        <v>39</v>
      </c>
      <c r="E298" s="19" t="s">
        <v>13</v>
      </c>
      <c r="F298">
        <v>5</v>
      </c>
      <c r="G298">
        <v>4</v>
      </c>
      <c r="H298">
        <v>0.53180000000000005</v>
      </c>
      <c r="I298" s="19" t="s">
        <v>249</v>
      </c>
      <c r="J298" s="19" t="s">
        <v>39</v>
      </c>
      <c r="K298">
        <v>3</v>
      </c>
      <c r="L298">
        <v>2</v>
      </c>
      <c r="M298">
        <v>-0.52</v>
      </c>
      <c r="N298" s="19" t="s">
        <v>39</v>
      </c>
      <c r="O298" s="19" t="s">
        <v>287</v>
      </c>
      <c r="P298" s="19" t="s">
        <v>291</v>
      </c>
      <c r="Q298" s="19" t="s">
        <v>285</v>
      </c>
      <c r="R298" s="19" t="s">
        <v>249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0.83333333333333337</v>
      </c>
      <c r="C299" s="19" t="s">
        <v>34</v>
      </c>
      <c r="D299" s="19" t="s">
        <v>24</v>
      </c>
      <c r="E299" s="19" t="s">
        <v>34</v>
      </c>
      <c r="F299">
        <v>4</v>
      </c>
      <c r="G299">
        <v>3</v>
      </c>
      <c r="H299">
        <v>0.62450000000000006</v>
      </c>
      <c r="I299" s="19" t="s">
        <v>248</v>
      </c>
      <c r="J299" s="19" t="s">
        <v>34</v>
      </c>
      <c r="K299">
        <v>3</v>
      </c>
      <c r="L299">
        <v>2</v>
      </c>
      <c r="M299">
        <v>0.91</v>
      </c>
      <c r="N299" s="19" t="s">
        <v>24</v>
      </c>
      <c r="O299" s="19" t="s">
        <v>284</v>
      </c>
      <c r="P299" s="19" t="s">
        <v>283</v>
      </c>
      <c r="Q299" s="19" t="s">
        <v>285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0.91666666666666663</v>
      </c>
      <c r="C300" s="19" t="s">
        <v>12</v>
      </c>
      <c r="D300" s="19" t="s">
        <v>19</v>
      </c>
      <c r="E300" s="19" t="s">
        <v>12</v>
      </c>
      <c r="F300">
        <v>5</v>
      </c>
      <c r="G300">
        <v>2</v>
      </c>
      <c r="H300">
        <v>0.90039999999999998</v>
      </c>
      <c r="I300" s="19" t="s">
        <v>249</v>
      </c>
      <c r="J300" s="19" t="s">
        <v>12</v>
      </c>
      <c r="K300">
        <v>3</v>
      </c>
      <c r="L300">
        <v>2</v>
      </c>
      <c r="M300">
        <v>1.81</v>
      </c>
      <c r="N300" s="19" t="s">
        <v>19</v>
      </c>
      <c r="O300" s="19" t="s">
        <v>291</v>
      </c>
      <c r="P300" s="19" t="s">
        <v>289</v>
      </c>
      <c r="Q300" s="19" t="s">
        <v>287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14</v>
      </c>
      <c r="D301" s="19" t="s">
        <v>37</v>
      </c>
      <c r="E301" s="19" t="s">
        <v>37</v>
      </c>
      <c r="F301">
        <v>2</v>
      </c>
      <c r="G301">
        <v>6</v>
      </c>
      <c r="H301">
        <v>0.95299999999999996</v>
      </c>
      <c r="I301" s="19" t="s">
        <v>249</v>
      </c>
      <c r="J301" s="19" t="s">
        <v>37</v>
      </c>
      <c r="K301">
        <v>3</v>
      </c>
      <c r="L301">
        <v>2</v>
      </c>
      <c r="M301">
        <v>-0.85</v>
      </c>
      <c r="N301" s="19" t="s">
        <v>37</v>
      </c>
      <c r="O301" s="19" t="s">
        <v>287</v>
      </c>
      <c r="P301" s="19" t="s">
        <v>284</v>
      </c>
      <c r="Q301" s="19" t="s">
        <v>287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0.91666666666666663</v>
      </c>
      <c r="C302" s="19" t="s">
        <v>55</v>
      </c>
      <c r="D302" s="19" t="s">
        <v>19</v>
      </c>
      <c r="E302" s="19" t="s">
        <v>55</v>
      </c>
      <c r="F302">
        <v>4</v>
      </c>
      <c r="G302">
        <v>2</v>
      </c>
      <c r="H302">
        <v>0.7389</v>
      </c>
      <c r="I302" s="19" t="s">
        <v>249</v>
      </c>
      <c r="J302" s="19" t="s">
        <v>55</v>
      </c>
      <c r="K302">
        <v>3</v>
      </c>
      <c r="L302">
        <v>2</v>
      </c>
      <c r="M302">
        <v>0.11</v>
      </c>
      <c r="N302" s="19" t="s">
        <v>55</v>
      </c>
      <c r="O302" s="19" t="s">
        <v>288</v>
      </c>
      <c r="P302" s="19" t="s">
        <v>287</v>
      </c>
      <c r="Q302" s="19" t="s">
        <v>285</v>
      </c>
      <c r="R302" s="19" t="s">
        <v>248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0.83333333333333337</v>
      </c>
      <c r="C303" s="19" t="s">
        <v>40</v>
      </c>
      <c r="D303" s="19" t="s">
        <v>30</v>
      </c>
      <c r="E303" s="19" t="s">
        <v>30</v>
      </c>
      <c r="F303">
        <v>3</v>
      </c>
      <c r="G303">
        <v>4</v>
      </c>
      <c r="H303">
        <v>0.52470000000000006</v>
      </c>
      <c r="I303" s="19" t="s">
        <v>249</v>
      </c>
      <c r="J303" s="19" t="s">
        <v>30</v>
      </c>
      <c r="K303">
        <v>3</v>
      </c>
      <c r="L303">
        <v>2</v>
      </c>
      <c r="M303">
        <v>-0.37</v>
      </c>
      <c r="N303" s="19" t="s">
        <v>40</v>
      </c>
      <c r="O303" s="19" t="s">
        <v>283</v>
      </c>
      <c r="P303" s="19" t="s">
        <v>289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0.8125</v>
      </c>
      <c r="C304" s="19" t="s">
        <v>35</v>
      </c>
      <c r="D304" s="19" t="s">
        <v>25</v>
      </c>
      <c r="E304" s="19" t="s">
        <v>25</v>
      </c>
      <c r="F304">
        <v>2</v>
      </c>
      <c r="G304">
        <v>4</v>
      </c>
      <c r="H304">
        <v>0.88229999999999997</v>
      </c>
      <c r="I304" s="19" t="s">
        <v>249</v>
      </c>
      <c r="J304" s="19" t="s">
        <v>25</v>
      </c>
      <c r="K304">
        <v>3</v>
      </c>
      <c r="L304">
        <v>2</v>
      </c>
      <c r="M304">
        <v>-1.41</v>
      </c>
      <c r="N304" s="19" t="s">
        <v>35</v>
      </c>
      <c r="O304" s="19" t="s">
        <v>291</v>
      </c>
      <c r="P304" s="19" t="s">
        <v>285</v>
      </c>
      <c r="Q304" s="19" t="s">
        <v>285</v>
      </c>
      <c r="R304" s="19" t="s">
        <v>249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36</v>
      </c>
      <c r="D305" s="19" t="s">
        <v>38</v>
      </c>
      <c r="E305" s="19" t="s">
        <v>38</v>
      </c>
      <c r="F305">
        <v>3</v>
      </c>
      <c r="G305">
        <v>4</v>
      </c>
      <c r="H305">
        <v>0.51249999999999996</v>
      </c>
      <c r="I305" s="19" t="s">
        <v>248</v>
      </c>
      <c r="J305" s="19" t="s">
        <v>36</v>
      </c>
      <c r="K305">
        <v>3</v>
      </c>
      <c r="L305">
        <v>2</v>
      </c>
      <c r="M305">
        <v>0.81</v>
      </c>
      <c r="N305" s="19" t="s">
        <v>36</v>
      </c>
      <c r="O305" s="19" t="s">
        <v>284</v>
      </c>
      <c r="P305" s="19" t="s">
        <v>287</v>
      </c>
      <c r="Q305" s="19" t="s">
        <v>285</v>
      </c>
      <c r="R305" s="19" t="s">
        <v>249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0.8125</v>
      </c>
      <c r="C306" s="19" t="s">
        <v>21</v>
      </c>
      <c r="D306" s="19" t="s">
        <v>26</v>
      </c>
      <c r="E306" s="19" t="s">
        <v>21</v>
      </c>
      <c r="F306">
        <v>4</v>
      </c>
      <c r="G306">
        <v>3</v>
      </c>
      <c r="H306">
        <v>0.56379999999999997</v>
      </c>
      <c r="I306" s="19" t="s">
        <v>249</v>
      </c>
      <c r="J306" s="19" t="s">
        <v>21</v>
      </c>
      <c r="K306">
        <v>3</v>
      </c>
      <c r="L306">
        <v>2</v>
      </c>
      <c r="M306">
        <v>0.2</v>
      </c>
      <c r="N306" s="19" t="s">
        <v>21</v>
      </c>
      <c r="O306" s="19" t="s">
        <v>291</v>
      </c>
      <c r="P306" s="19" t="s">
        <v>285</v>
      </c>
      <c r="Q306" s="19" t="s">
        <v>285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0.79166666666666663</v>
      </c>
      <c r="C307" s="19" t="s">
        <v>28</v>
      </c>
      <c r="D307" s="19" t="s">
        <v>16</v>
      </c>
      <c r="E307" s="19" t="s">
        <v>28</v>
      </c>
      <c r="F307">
        <v>4</v>
      </c>
      <c r="G307">
        <v>3</v>
      </c>
      <c r="H307">
        <v>0.75800000000000001</v>
      </c>
      <c r="I307" s="19" t="s">
        <v>249</v>
      </c>
      <c r="J307" s="19" t="s">
        <v>28</v>
      </c>
      <c r="K307">
        <v>3</v>
      </c>
      <c r="L307">
        <v>2</v>
      </c>
      <c r="M307">
        <v>0.3</v>
      </c>
      <c r="N307" s="19" t="s">
        <v>28</v>
      </c>
      <c r="O307" s="19" t="s">
        <v>283</v>
      </c>
      <c r="P307" s="19" t="s">
        <v>291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0.83333333333333337</v>
      </c>
      <c r="C308" s="19" t="s">
        <v>29</v>
      </c>
      <c r="D308" s="19" t="s">
        <v>17</v>
      </c>
      <c r="E308" s="19" t="s">
        <v>29</v>
      </c>
      <c r="F308">
        <v>4</v>
      </c>
      <c r="G308">
        <v>3</v>
      </c>
      <c r="H308">
        <v>0.67030000000000001</v>
      </c>
      <c r="I308" s="19" t="s">
        <v>249</v>
      </c>
      <c r="J308" s="19" t="s">
        <v>17</v>
      </c>
      <c r="K308">
        <v>3</v>
      </c>
      <c r="L308">
        <v>2</v>
      </c>
      <c r="M308">
        <v>-0.42</v>
      </c>
      <c r="N308" s="19" t="s">
        <v>29</v>
      </c>
      <c r="O308" s="19" t="s">
        <v>289</v>
      </c>
      <c r="P308" s="19" t="s">
        <v>291</v>
      </c>
      <c r="Q308" s="19" t="s">
        <v>287</v>
      </c>
      <c r="R308" s="19" t="s">
        <v>248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0.91666666666666663</v>
      </c>
      <c r="C309" s="19" t="s">
        <v>31</v>
      </c>
      <c r="D309" s="19" t="s">
        <v>39</v>
      </c>
      <c r="E309" s="19" t="s">
        <v>39</v>
      </c>
      <c r="F309">
        <v>3</v>
      </c>
      <c r="G309">
        <v>7</v>
      </c>
      <c r="H309">
        <v>0.84099999999999997</v>
      </c>
      <c r="I309" s="19" t="s">
        <v>249</v>
      </c>
      <c r="J309" s="19" t="s">
        <v>39</v>
      </c>
      <c r="K309">
        <v>3</v>
      </c>
      <c r="L309">
        <v>2</v>
      </c>
      <c r="M309">
        <v>-0.84</v>
      </c>
      <c r="N309" s="19" t="s">
        <v>31</v>
      </c>
      <c r="O309" s="19" t="s">
        <v>291</v>
      </c>
      <c r="P309" s="19" t="s">
        <v>287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22</v>
      </c>
      <c r="D310" s="19" t="s">
        <v>18</v>
      </c>
      <c r="E310" s="19" t="s">
        <v>18</v>
      </c>
      <c r="F310">
        <v>3</v>
      </c>
      <c r="G310">
        <v>4</v>
      </c>
      <c r="H310">
        <v>0.74860000000000004</v>
      </c>
      <c r="I310" s="19" t="s">
        <v>249</v>
      </c>
      <c r="J310" s="19" t="s">
        <v>22</v>
      </c>
      <c r="K310">
        <v>3</v>
      </c>
      <c r="L310">
        <v>2</v>
      </c>
      <c r="M310">
        <v>0.37</v>
      </c>
      <c r="N310" s="19" t="s">
        <v>22</v>
      </c>
      <c r="O310" s="19" t="s">
        <v>291</v>
      </c>
      <c r="P310" s="19" t="s">
        <v>284</v>
      </c>
      <c r="Q310" s="19" t="s">
        <v>287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1566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0.875</v>
      </c>
      <c r="C315" s="19" t="s">
        <v>55</v>
      </c>
      <c r="D315" s="19" t="s">
        <v>39</v>
      </c>
      <c r="E315" s="19" t="s">
        <v>39</v>
      </c>
      <c r="F315">
        <v>3</v>
      </c>
      <c r="G315">
        <v>4</v>
      </c>
      <c r="H315">
        <v>0.56899999999999995</v>
      </c>
      <c r="I315" s="19" t="s">
        <v>249</v>
      </c>
      <c r="J315" s="19" t="s">
        <v>39</v>
      </c>
      <c r="K315">
        <v>3</v>
      </c>
      <c r="L315">
        <v>2</v>
      </c>
      <c r="M315">
        <v>-0.12</v>
      </c>
      <c r="N315" s="19" t="s">
        <v>60</v>
      </c>
      <c r="O315" s="19" t="s">
        <v>60</v>
      </c>
      <c r="P315" s="19" t="s">
        <v>60</v>
      </c>
      <c r="Q315" s="19" t="s">
        <v>60</v>
      </c>
      <c r="R315" s="19" t="s">
        <v>60</v>
      </c>
      <c r="S315" s="19" t="s">
        <v>60</v>
      </c>
      <c r="T315" s="19" t="s">
        <v>281</v>
      </c>
    </row>
    <row r="316" spans="1:20" x14ac:dyDescent="0.2">
      <c r="A316" s="1">
        <v>46037</v>
      </c>
      <c r="B316" s="2">
        <v>0.79166666666666663</v>
      </c>
      <c r="C316" s="19" t="s">
        <v>14</v>
      </c>
      <c r="D316" s="19" t="s">
        <v>27</v>
      </c>
      <c r="E316" s="19" t="s">
        <v>27</v>
      </c>
      <c r="F316">
        <v>4</v>
      </c>
      <c r="G316">
        <v>5</v>
      </c>
      <c r="H316">
        <v>0.52329999999999999</v>
      </c>
      <c r="I316" s="19" t="s">
        <v>249</v>
      </c>
      <c r="J316" s="19" t="s">
        <v>14</v>
      </c>
      <c r="K316">
        <v>3</v>
      </c>
      <c r="L316">
        <v>2</v>
      </c>
      <c r="M316">
        <v>0.22</v>
      </c>
      <c r="N316" s="19" t="s">
        <v>60</v>
      </c>
      <c r="O316" s="19" t="s">
        <v>60</v>
      </c>
      <c r="P316" s="19" t="s">
        <v>60</v>
      </c>
      <c r="Q316" s="19" t="s">
        <v>60</v>
      </c>
      <c r="R316" s="19" t="s">
        <v>60</v>
      </c>
      <c r="S316" s="19" t="s">
        <v>60</v>
      </c>
      <c r="T316" s="19" t="s">
        <v>281</v>
      </c>
    </row>
    <row r="317" spans="1:20" x14ac:dyDescent="0.2">
      <c r="A317" s="1">
        <v>46037</v>
      </c>
      <c r="B317" s="2">
        <v>0.83333333333333337</v>
      </c>
      <c r="C317" s="19" t="s">
        <v>34</v>
      </c>
      <c r="D317" s="19" t="s">
        <v>40</v>
      </c>
      <c r="E317" s="19" t="s">
        <v>40</v>
      </c>
      <c r="F317">
        <v>3</v>
      </c>
      <c r="G317">
        <v>4</v>
      </c>
      <c r="H317">
        <v>0.62229999999999996</v>
      </c>
      <c r="I317" s="19" t="s">
        <v>248</v>
      </c>
      <c r="J317" s="19" t="s">
        <v>34</v>
      </c>
      <c r="K317">
        <v>3</v>
      </c>
      <c r="L317">
        <v>2</v>
      </c>
      <c r="M317">
        <v>0.63</v>
      </c>
      <c r="N317" s="19" t="s">
        <v>60</v>
      </c>
      <c r="O317" s="19" t="s">
        <v>60</v>
      </c>
      <c r="P317" s="19" t="s">
        <v>60</v>
      </c>
      <c r="Q317" s="19" t="s">
        <v>60</v>
      </c>
      <c r="R317" s="19" t="s">
        <v>60</v>
      </c>
      <c r="S317" s="19" t="s">
        <v>60</v>
      </c>
      <c r="T317" s="19" t="s">
        <v>281</v>
      </c>
    </row>
    <row r="318" spans="1:20" x14ac:dyDescent="0.2">
      <c r="A318" s="1">
        <v>46037</v>
      </c>
      <c r="B318" s="2">
        <v>0.875</v>
      </c>
      <c r="C318" s="19" t="s">
        <v>17</v>
      </c>
      <c r="D318" s="19" t="s">
        <v>30</v>
      </c>
      <c r="E318" s="19" t="s">
        <v>30</v>
      </c>
      <c r="F318">
        <v>3</v>
      </c>
      <c r="G318">
        <v>4</v>
      </c>
      <c r="H318">
        <v>0.53639999999999999</v>
      </c>
      <c r="I318" s="19" t="s">
        <v>249</v>
      </c>
      <c r="J318" s="19" t="s">
        <v>30</v>
      </c>
      <c r="K318">
        <v>3</v>
      </c>
      <c r="L318">
        <v>2</v>
      </c>
      <c r="M318">
        <v>-0.12</v>
      </c>
      <c r="N318" s="19" t="s">
        <v>60</v>
      </c>
      <c r="O318" s="19" t="s">
        <v>60</v>
      </c>
      <c r="P318" s="19" t="s">
        <v>60</v>
      </c>
      <c r="Q318" s="19" t="s">
        <v>60</v>
      </c>
      <c r="R318" s="19" t="s">
        <v>60</v>
      </c>
      <c r="S318" s="19" t="s">
        <v>60</v>
      </c>
      <c r="T318" s="19" t="s">
        <v>281</v>
      </c>
    </row>
    <row r="319" spans="1:20" x14ac:dyDescent="0.2">
      <c r="A319" s="1">
        <v>46037</v>
      </c>
      <c r="B319" s="2">
        <v>0.79166666666666663</v>
      </c>
      <c r="C319" s="19" t="s">
        <v>21</v>
      </c>
      <c r="D319" s="19" t="s">
        <v>32</v>
      </c>
      <c r="E319" s="19" t="s">
        <v>21</v>
      </c>
      <c r="F319">
        <v>3</v>
      </c>
      <c r="G319">
        <v>2</v>
      </c>
      <c r="H319">
        <v>0.71240000000000003</v>
      </c>
      <c r="I319" s="19" t="s">
        <v>249</v>
      </c>
      <c r="J319" s="19" t="s">
        <v>21</v>
      </c>
      <c r="K319">
        <v>3</v>
      </c>
      <c r="L319">
        <v>2</v>
      </c>
      <c r="M319">
        <v>0.53</v>
      </c>
      <c r="N319" s="19" t="s">
        <v>60</v>
      </c>
      <c r="O319" s="19" t="s">
        <v>60</v>
      </c>
      <c r="P319" s="19" t="s">
        <v>60</v>
      </c>
      <c r="Q319" s="19" t="s">
        <v>60</v>
      </c>
      <c r="R319" s="19" t="s">
        <v>60</v>
      </c>
      <c r="S319" s="19" t="s">
        <v>60</v>
      </c>
      <c r="T319" s="19" t="s">
        <v>281</v>
      </c>
    </row>
    <row r="320" spans="1:20" x14ac:dyDescent="0.2">
      <c r="A320" s="1">
        <v>46037</v>
      </c>
      <c r="B320" s="2">
        <v>0.79166666666666663</v>
      </c>
      <c r="C320" s="19" t="s">
        <v>28</v>
      </c>
      <c r="D320" s="19" t="s">
        <v>38</v>
      </c>
      <c r="E320" s="19" t="s">
        <v>28</v>
      </c>
      <c r="F320">
        <v>4</v>
      </c>
      <c r="G320">
        <v>3</v>
      </c>
      <c r="H320">
        <v>0.62949999999999995</v>
      </c>
      <c r="I320" s="19" t="s">
        <v>249</v>
      </c>
      <c r="J320" s="19" t="s">
        <v>28</v>
      </c>
      <c r="K320">
        <v>3</v>
      </c>
      <c r="L320">
        <v>2</v>
      </c>
      <c r="M320">
        <v>0.72</v>
      </c>
      <c r="N320" s="19" t="s">
        <v>60</v>
      </c>
      <c r="O320" s="19" t="s">
        <v>60</v>
      </c>
      <c r="P320" s="19" t="s">
        <v>60</v>
      </c>
      <c r="Q320" s="19" t="s">
        <v>60</v>
      </c>
      <c r="R320" s="19" t="s">
        <v>60</v>
      </c>
      <c r="S320" s="19" t="s">
        <v>60</v>
      </c>
      <c r="T320" s="19" t="s">
        <v>281</v>
      </c>
    </row>
    <row r="321" spans="1:20" x14ac:dyDescent="0.2">
      <c r="A321" s="1">
        <v>46037</v>
      </c>
      <c r="B321" s="2">
        <v>0.79166666666666663</v>
      </c>
      <c r="C321" s="19" t="s">
        <v>23</v>
      </c>
      <c r="D321" s="19" t="s">
        <v>18</v>
      </c>
      <c r="E321" s="19" t="s">
        <v>23</v>
      </c>
      <c r="F321">
        <v>5</v>
      </c>
      <c r="G321">
        <v>4</v>
      </c>
      <c r="H321">
        <v>0.56359999999999999</v>
      </c>
      <c r="I321" s="19" t="s">
        <v>249</v>
      </c>
      <c r="J321" s="19" t="s">
        <v>23</v>
      </c>
      <c r="K321">
        <v>3</v>
      </c>
      <c r="L321">
        <v>2</v>
      </c>
      <c r="M321">
        <v>0.2</v>
      </c>
      <c r="N321" s="19" t="s">
        <v>60</v>
      </c>
      <c r="O321" s="19" t="s">
        <v>60</v>
      </c>
      <c r="P321" s="19" t="s">
        <v>60</v>
      </c>
      <c r="Q321" s="19" t="s">
        <v>60</v>
      </c>
      <c r="R321" s="19" t="s">
        <v>60</v>
      </c>
      <c r="S321" s="19" t="s">
        <v>60</v>
      </c>
      <c r="T321" s="19" t="s">
        <v>281</v>
      </c>
    </row>
    <row r="322" spans="1:20" x14ac:dyDescent="0.2">
      <c r="A322" s="1">
        <v>46037</v>
      </c>
      <c r="B322" s="2">
        <v>0.89583333333333337</v>
      </c>
      <c r="C322" s="19" t="s">
        <v>20</v>
      </c>
      <c r="D322" s="19" t="s">
        <v>19</v>
      </c>
      <c r="E322" s="19" t="s">
        <v>19</v>
      </c>
      <c r="F322">
        <v>3</v>
      </c>
      <c r="G322">
        <v>4</v>
      </c>
      <c r="H322">
        <v>0.51100000000000001</v>
      </c>
      <c r="I322" s="19" t="s">
        <v>249</v>
      </c>
      <c r="J322" s="19" t="s">
        <v>20</v>
      </c>
      <c r="K322">
        <v>3</v>
      </c>
      <c r="L322">
        <v>2</v>
      </c>
      <c r="M322">
        <v>0.23</v>
      </c>
      <c r="N322" s="19" t="s">
        <v>60</v>
      </c>
      <c r="O322" s="19" t="s">
        <v>60</v>
      </c>
      <c r="P322" s="19" t="s">
        <v>60</v>
      </c>
      <c r="Q322" s="19" t="s">
        <v>60</v>
      </c>
      <c r="R322" s="19" t="s">
        <v>60</v>
      </c>
      <c r="S322" s="19" t="s">
        <v>60</v>
      </c>
      <c r="T322" s="19" t="s">
        <v>281</v>
      </c>
    </row>
    <row r="323" spans="1:20" x14ac:dyDescent="0.2">
      <c r="A323" s="1">
        <v>46037</v>
      </c>
      <c r="B323" s="2">
        <v>0.85416666666666663</v>
      </c>
      <c r="C323" s="19" t="s">
        <v>10</v>
      </c>
      <c r="D323" s="19" t="s">
        <v>16</v>
      </c>
      <c r="E323" s="19" t="s">
        <v>10</v>
      </c>
      <c r="F323">
        <v>4</v>
      </c>
      <c r="G323">
        <v>3</v>
      </c>
      <c r="H323">
        <v>0.77349999999999997</v>
      </c>
      <c r="I323" s="19" t="s">
        <v>249</v>
      </c>
      <c r="J323" s="19" t="s">
        <v>10</v>
      </c>
      <c r="K323">
        <v>3</v>
      </c>
      <c r="L323">
        <v>2</v>
      </c>
      <c r="M323">
        <v>0.25</v>
      </c>
      <c r="N323" s="19" t="s">
        <v>60</v>
      </c>
      <c r="O323" s="19" t="s">
        <v>60</v>
      </c>
      <c r="P323" s="19" t="s">
        <v>60</v>
      </c>
      <c r="Q323" s="19" t="s">
        <v>60</v>
      </c>
      <c r="R323" s="19" t="s">
        <v>60</v>
      </c>
      <c r="S323" s="19" t="s">
        <v>60</v>
      </c>
      <c r="T323" s="19" t="s">
        <v>281</v>
      </c>
    </row>
    <row r="324" spans="1:20" x14ac:dyDescent="0.2">
      <c r="A324" s="1">
        <v>46037</v>
      </c>
      <c r="B324" s="2">
        <v>0.79166666666666663</v>
      </c>
      <c r="C324" s="19" t="s">
        <v>22</v>
      </c>
      <c r="D324" s="19" t="s">
        <v>33</v>
      </c>
      <c r="E324" s="19" t="s">
        <v>22</v>
      </c>
      <c r="F324">
        <v>4</v>
      </c>
      <c r="G324">
        <v>3</v>
      </c>
      <c r="H324">
        <v>0.53859999999999997</v>
      </c>
      <c r="I324" s="19" t="s">
        <v>249</v>
      </c>
      <c r="J324" s="19" t="s">
        <v>22</v>
      </c>
      <c r="K324">
        <v>3</v>
      </c>
      <c r="L324">
        <v>2</v>
      </c>
      <c r="M324">
        <v>0.84</v>
      </c>
      <c r="N324" s="19" t="s">
        <v>60</v>
      </c>
      <c r="O324" s="19" t="s">
        <v>60</v>
      </c>
      <c r="P324" s="19" t="s">
        <v>60</v>
      </c>
      <c r="Q324" s="19" t="s">
        <v>60</v>
      </c>
      <c r="R324" s="19" t="s">
        <v>60</v>
      </c>
      <c r="S324" s="19" t="s">
        <v>60</v>
      </c>
      <c r="T324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82"/>
  <sheetViews>
    <sheetView zoomScale="87" workbookViewId="0">
      <selection activeCell="K40" sqref="K4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t="s">
        <v>327</v>
      </c>
      <c r="C2">
        <v>29</v>
      </c>
      <c r="D2" t="s">
        <v>328</v>
      </c>
      <c r="E2" t="s">
        <v>322</v>
      </c>
      <c r="F2">
        <v>47</v>
      </c>
      <c r="G2">
        <v>30</v>
      </c>
      <c r="H2">
        <v>52</v>
      </c>
      <c r="I2">
        <v>82</v>
      </c>
      <c r="J2">
        <v>4</v>
      </c>
      <c r="K2">
        <v>16</v>
      </c>
      <c r="L2">
        <v>20</v>
      </c>
      <c r="M2">
        <v>9</v>
      </c>
      <c r="N2">
        <v>1</v>
      </c>
      <c r="O2">
        <v>1</v>
      </c>
      <c r="P2">
        <v>24</v>
      </c>
      <c r="Q2">
        <v>27</v>
      </c>
      <c r="R2">
        <v>1</v>
      </c>
      <c r="S2">
        <v>176</v>
      </c>
      <c r="T2">
        <v>17</v>
      </c>
      <c r="U2">
        <v>303</v>
      </c>
      <c r="V2" t="s">
        <v>2221</v>
      </c>
      <c r="W2" t="s">
        <v>2222</v>
      </c>
      <c r="X2">
        <v>242</v>
      </c>
      <c r="Y2">
        <v>276</v>
      </c>
      <c r="Z2">
        <v>46.7</v>
      </c>
      <c r="AA2">
        <v>18</v>
      </c>
      <c r="AB2">
        <v>20</v>
      </c>
      <c r="AC2">
        <v>15</v>
      </c>
      <c r="AD2">
        <v>71</v>
      </c>
      <c r="AE2" t="s">
        <v>60</v>
      </c>
    </row>
    <row r="3" spans="1:31" x14ac:dyDescent="0.2">
      <c r="A3">
        <v>2</v>
      </c>
      <c r="B3" t="s">
        <v>320</v>
      </c>
      <c r="C3">
        <v>30</v>
      </c>
      <c r="D3" t="s">
        <v>321</v>
      </c>
      <c r="E3" t="s">
        <v>322</v>
      </c>
      <c r="F3">
        <v>45</v>
      </c>
      <c r="G3">
        <v>36</v>
      </c>
      <c r="H3">
        <v>45</v>
      </c>
      <c r="I3">
        <v>81</v>
      </c>
      <c r="J3">
        <v>49</v>
      </c>
      <c r="K3">
        <v>16</v>
      </c>
      <c r="L3">
        <v>29</v>
      </c>
      <c r="M3">
        <v>7</v>
      </c>
      <c r="N3">
        <v>0</v>
      </c>
      <c r="O3">
        <v>5</v>
      </c>
      <c r="P3">
        <v>31</v>
      </c>
      <c r="Q3">
        <v>14</v>
      </c>
      <c r="R3">
        <v>0</v>
      </c>
      <c r="S3">
        <v>208</v>
      </c>
      <c r="T3">
        <v>17.3</v>
      </c>
      <c r="U3">
        <v>344</v>
      </c>
      <c r="V3" t="s">
        <v>2114</v>
      </c>
      <c r="W3" t="s">
        <v>1819</v>
      </c>
      <c r="X3">
        <v>428</v>
      </c>
      <c r="Y3">
        <v>416</v>
      </c>
      <c r="Z3">
        <v>50.7</v>
      </c>
      <c r="AA3">
        <v>25</v>
      </c>
      <c r="AB3">
        <v>39</v>
      </c>
      <c r="AC3">
        <v>13</v>
      </c>
      <c r="AD3">
        <v>90</v>
      </c>
      <c r="AE3" t="s">
        <v>60</v>
      </c>
    </row>
    <row r="4" spans="1:31" x14ac:dyDescent="0.2">
      <c r="A4">
        <v>3</v>
      </c>
      <c r="B4" t="s">
        <v>323</v>
      </c>
      <c r="C4">
        <v>19</v>
      </c>
      <c r="D4" t="s">
        <v>324</v>
      </c>
      <c r="E4" t="s">
        <v>325</v>
      </c>
      <c r="F4">
        <v>45</v>
      </c>
      <c r="G4">
        <v>24</v>
      </c>
      <c r="H4">
        <v>46</v>
      </c>
      <c r="I4">
        <v>70</v>
      </c>
      <c r="J4">
        <v>13</v>
      </c>
      <c r="K4">
        <v>28</v>
      </c>
      <c r="L4">
        <v>20</v>
      </c>
      <c r="M4">
        <v>4</v>
      </c>
      <c r="N4">
        <v>0</v>
      </c>
      <c r="O4">
        <v>4</v>
      </c>
      <c r="P4">
        <v>29</v>
      </c>
      <c r="Q4">
        <v>17</v>
      </c>
      <c r="R4">
        <v>0</v>
      </c>
      <c r="S4">
        <v>148</v>
      </c>
      <c r="T4">
        <v>16.2</v>
      </c>
      <c r="U4">
        <v>289</v>
      </c>
      <c r="V4" t="s">
        <v>2071</v>
      </c>
      <c r="W4" t="s">
        <v>1834</v>
      </c>
      <c r="X4">
        <v>343</v>
      </c>
      <c r="Y4">
        <v>355</v>
      </c>
      <c r="Z4">
        <v>49.1</v>
      </c>
      <c r="AA4">
        <v>27</v>
      </c>
      <c r="AB4">
        <v>26</v>
      </c>
      <c r="AC4">
        <v>26</v>
      </c>
      <c r="AD4">
        <v>70</v>
      </c>
      <c r="AE4" t="s">
        <v>60</v>
      </c>
    </row>
    <row r="5" spans="1:31" x14ac:dyDescent="0.2">
      <c r="A5">
        <v>4</v>
      </c>
      <c r="B5" t="s">
        <v>342</v>
      </c>
      <c r="C5">
        <v>30</v>
      </c>
      <c r="D5" t="s">
        <v>328</v>
      </c>
      <c r="E5" t="s">
        <v>322</v>
      </c>
      <c r="F5">
        <v>47</v>
      </c>
      <c r="G5">
        <v>25</v>
      </c>
      <c r="H5">
        <v>42</v>
      </c>
      <c r="I5">
        <v>67</v>
      </c>
      <c r="J5">
        <v>8</v>
      </c>
      <c r="K5">
        <v>20</v>
      </c>
      <c r="L5">
        <v>13</v>
      </c>
      <c r="M5">
        <v>11</v>
      </c>
      <c r="N5">
        <v>1</v>
      </c>
      <c r="O5">
        <v>2</v>
      </c>
      <c r="P5">
        <v>22</v>
      </c>
      <c r="Q5">
        <v>20</v>
      </c>
      <c r="R5">
        <v>0</v>
      </c>
      <c r="S5">
        <v>135</v>
      </c>
      <c r="T5">
        <v>18.5</v>
      </c>
      <c r="U5">
        <v>269</v>
      </c>
      <c r="V5" t="s">
        <v>2223</v>
      </c>
      <c r="W5" t="s">
        <v>2154</v>
      </c>
      <c r="X5">
        <v>439</v>
      </c>
      <c r="Y5">
        <v>337</v>
      </c>
      <c r="Z5">
        <v>56.6</v>
      </c>
      <c r="AA5">
        <v>11</v>
      </c>
      <c r="AB5">
        <v>20</v>
      </c>
      <c r="AC5">
        <v>18</v>
      </c>
      <c r="AD5">
        <v>75</v>
      </c>
      <c r="AE5" t="s">
        <v>60</v>
      </c>
    </row>
    <row r="6" spans="1:31" x14ac:dyDescent="0.2">
      <c r="A6">
        <v>5</v>
      </c>
      <c r="B6" t="s">
        <v>352</v>
      </c>
      <c r="C6">
        <v>32</v>
      </c>
      <c r="D6" t="s">
        <v>353</v>
      </c>
      <c r="E6" t="s">
        <v>335</v>
      </c>
      <c r="F6">
        <v>41</v>
      </c>
      <c r="G6">
        <v>23</v>
      </c>
      <c r="H6">
        <v>44</v>
      </c>
      <c r="I6">
        <v>67</v>
      </c>
      <c r="J6">
        <v>22</v>
      </c>
      <c r="K6">
        <v>22</v>
      </c>
      <c r="L6">
        <v>18</v>
      </c>
      <c r="M6">
        <v>5</v>
      </c>
      <c r="N6">
        <v>0</v>
      </c>
      <c r="O6">
        <v>4</v>
      </c>
      <c r="P6">
        <v>29</v>
      </c>
      <c r="Q6">
        <v>15</v>
      </c>
      <c r="R6">
        <v>0</v>
      </c>
      <c r="S6">
        <v>124</v>
      </c>
      <c r="T6">
        <v>18.5</v>
      </c>
      <c r="U6">
        <v>293</v>
      </c>
      <c r="V6" t="s">
        <v>2224</v>
      </c>
      <c r="W6" t="s">
        <v>1822</v>
      </c>
      <c r="X6">
        <v>0</v>
      </c>
      <c r="Y6">
        <v>2</v>
      </c>
      <c r="Z6">
        <v>0</v>
      </c>
      <c r="AA6">
        <v>14</v>
      </c>
      <c r="AB6">
        <v>15</v>
      </c>
      <c r="AC6">
        <v>12</v>
      </c>
      <c r="AD6">
        <v>68</v>
      </c>
      <c r="AE6" t="s">
        <v>60</v>
      </c>
    </row>
    <row r="7" spans="1:31" x14ac:dyDescent="0.2">
      <c r="A7">
        <v>6</v>
      </c>
      <c r="B7" t="s">
        <v>333</v>
      </c>
      <c r="C7">
        <v>29</v>
      </c>
      <c r="D7" t="s">
        <v>334</v>
      </c>
      <c r="E7" t="s">
        <v>335</v>
      </c>
      <c r="F7">
        <v>46</v>
      </c>
      <c r="G7">
        <v>18</v>
      </c>
      <c r="H7">
        <v>44</v>
      </c>
      <c r="I7">
        <v>62</v>
      </c>
      <c r="J7">
        <v>4</v>
      </c>
      <c r="K7">
        <v>79</v>
      </c>
      <c r="L7">
        <v>14</v>
      </c>
      <c r="M7">
        <v>4</v>
      </c>
      <c r="N7">
        <v>0</v>
      </c>
      <c r="O7">
        <v>1</v>
      </c>
      <c r="P7">
        <v>22</v>
      </c>
      <c r="Q7">
        <v>22</v>
      </c>
      <c r="R7">
        <v>0</v>
      </c>
      <c r="S7">
        <v>110</v>
      </c>
      <c r="T7">
        <v>16.399999999999999</v>
      </c>
      <c r="U7">
        <v>218</v>
      </c>
      <c r="V7" t="s">
        <v>2225</v>
      </c>
      <c r="W7" t="s">
        <v>1003</v>
      </c>
      <c r="X7">
        <v>28</v>
      </c>
      <c r="Y7">
        <v>26</v>
      </c>
      <c r="Z7">
        <v>51.9</v>
      </c>
      <c r="AA7">
        <v>24</v>
      </c>
      <c r="AB7">
        <v>34</v>
      </c>
      <c r="AC7">
        <v>16</v>
      </c>
      <c r="AD7">
        <v>54</v>
      </c>
      <c r="AE7" t="s">
        <v>60</v>
      </c>
    </row>
    <row r="8" spans="1:31" x14ac:dyDescent="0.2">
      <c r="A8">
        <v>7</v>
      </c>
      <c r="B8" t="s">
        <v>331</v>
      </c>
      <c r="C8">
        <v>27</v>
      </c>
      <c r="D8" t="s">
        <v>321</v>
      </c>
      <c r="E8" t="s">
        <v>322</v>
      </c>
      <c r="F8">
        <v>45</v>
      </c>
      <c r="G8">
        <v>21</v>
      </c>
      <c r="H8">
        <v>36</v>
      </c>
      <c r="I8">
        <v>57</v>
      </c>
      <c r="J8">
        <v>41</v>
      </c>
      <c r="K8">
        <v>26</v>
      </c>
      <c r="L8">
        <v>17</v>
      </c>
      <c r="M8">
        <v>4</v>
      </c>
      <c r="N8">
        <v>0</v>
      </c>
      <c r="O8">
        <v>0</v>
      </c>
      <c r="P8">
        <v>30</v>
      </c>
      <c r="Q8">
        <v>6</v>
      </c>
      <c r="R8">
        <v>0</v>
      </c>
      <c r="S8">
        <v>105</v>
      </c>
      <c r="T8">
        <v>20</v>
      </c>
      <c r="U8">
        <v>224</v>
      </c>
      <c r="V8" t="s">
        <v>2115</v>
      </c>
      <c r="W8" t="s">
        <v>1785</v>
      </c>
      <c r="X8">
        <v>9</v>
      </c>
      <c r="Y8">
        <v>9</v>
      </c>
      <c r="Z8">
        <v>50</v>
      </c>
      <c r="AA8">
        <v>14</v>
      </c>
      <c r="AB8">
        <v>47</v>
      </c>
      <c r="AC8">
        <v>12</v>
      </c>
      <c r="AD8">
        <v>75</v>
      </c>
      <c r="AE8" t="s">
        <v>60</v>
      </c>
    </row>
    <row r="9" spans="1:31" x14ac:dyDescent="0.2">
      <c r="A9">
        <v>8</v>
      </c>
      <c r="B9" t="s">
        <v>389</v>
      </c>
      <c r="C9">
        <v>29</v>
      </c>
      <c r="D9" t="s">
        <v>356</v>
      </c>
      <c r="E9" t="s">
        <v>335</v>
      </c>
      <c r="F9">
        <v>42</v>
      </c>
      <c r="G9">
        <v>19</v>
      </c>
      <c r="H9">
        <v>37</v>
      </c>
      <c r="I9">
        <v>56</v>
      </c>
      <c r="J9">
        <v>-3</v>
      </c>
      <c r="K9">
        <v>32</v>
      </c>
      <c r="L9">
        <v>11</v>
      </c>
      <c r="M9">
        <v>8</v>
      </c>
      <c r="N9">
        <v>0</v>
      </c>
      <c r="O9">
        <v>2</v>
      </c>
      <c r="P9">
        <v>25</v>
      </c>
      <c r="Q9">
        <v>12</v>
      </c>
      <c r="R9">
        <v>0</v>
      </c>
      <c r="S9">
        <v>148</v>
      </c>
      <c r="T9">
        <v>12.8</v>
      </c>
      <c r="U9">
        <v>328</v>
      </c>
      <c r="V9" t="s">
        <v>2226</v>
      </c>
      <c r="W9" t="s">
        <v>413</v>
      </c>
      <c r="X9">
        <v>1</v>
      </c>
      <c r="Y9">
        <v>1</v>
      </c>
      <c r="Z9">
        <v>50</v>
      </c>
      <c r="AA9">
        <v>16</v>
      </c>
      <c r="AB9">
        <v>51</v>
      </c>
      <c r="AC9">
        <v>15</v>
      </c>
      <c r="AD9">
        <v>72</v>
      </c>
      <c r="AE9" t="s">
        <v>60</v>
      </c>
    </row>
    <row r="10" spans="1:31" x14ac:dyDescent="0.2">
      <c r="A10">
        <v>9</v>
      </c>
      <c r="B10" t="s">
        <v>339</v>
      </c>
      <c r="C10">
        <v>26</v>
      </c>
      <c r="D10" t="s">
        <v>334</v>
      </c>
      <c r="E10" t="s">
        <v>340</v>
      </c>
      <c r="F10">
        <v>47</v>
      </c>
      <c r="G10">
        <v>27</v>
      </c>
      <c r="H10">
        <v>28</v>
      </c>
      <c r="I10">
        <v>55</v>
      </c>
      <c r="J10">
        <v>20</v>
      </c>
      <c r="K10">
        <v>14</v>
      </c>
      <c r="L10">
        <v>17</v>
      </c>
      <c r="M10">
        <v>10</v>
      </c>
      <c r="N10">
        <v>0</v>
      </c>
      <c r="O10">
        <v>4</v>
      </c>
      <c r="P10">
        <v>16</v>
      </c>
      <c r="Q10">
        <v>12</v>
      </c>
      <c r="R10">
        <v>0</v>
      </c>
      <c r="S10">
        <v>172</v>
      </c>
      <c r="T10">
        <v>15.7</v>
      </c>
      <c r="U10">
        <v>306</v>
      </c>
      <c r="V10" t="s">
        <v>2227</v>
      </c>
      <c r="W10" t="s">
        <v>2228</v>
      </c>
      <c r="X10">
        <v>0</v>
      </c>
      <c r="Y10">
        <v>2</v>
      </c>
      <c r="Z10">
        <v>0</v>
      </c>
      <c r="AA10">
        <v>19</v>
      </c>
      <c r="AB10">
        <v>27</v>
      </c>
      <c r="AC10">
        <v>12</v>
      </c>
      <c r="AD10">
        <v>67</v>
      </c>
      <c r="AE10" t="s">
        <v>60</v>
      </c>
    </row>
    <row r="11" spans="1:31" x14ac:dyDescent="0.2">
      <c r="A11">
        <v>10</v>
      </c>
      <c r="B11" t="s">
        <v>347</v>
      </c>
      <c r="C11">
        <v>29</v>
      </c>
      <c r="D11" t="s">
        <v>346</v>
      </c>
      <c r="E11" t="s">
        <v>340</v>
      </c>
      <c r="F11">
        <v>45</v>
      </c>
      <c r="G11">
        <v>22</v>
      </c>
      <c r="H11">
        <v>32</v>
      </c>
      <c r="I11">
        <v>54</v>
      </c>
      <c r="J11">
        <v>3</v>
      </c>
      <c r="K11">
        <v>10</v>
      </c>
      <c r="L11">
        <v>18</v>
      </c>
      <c r="M11">
        <v>2</v>
      </c>
      <c r="N11">
        <v>2</v>
      </c>
      <c r="O11">
        <v>1</v>
      </c>
      <c r="P11">
        <v>21</v>
      </c>
      <c r="Q11">
        <v>10</v>
      </c>
      <c r="R11">
        <v>1</v>
      </c>
      <c r="S11">
        <v>148</v>
      </c>
      <c r="T11">
        <v>14.9</v>
      </c>
      <c r="U11">
        <v>261</v>
      </c>
      <c r="V11" t="s">
        <v>2229</v>
      </c>
      <c r="W11" t="s">
        <v>1663</v>
      </c>
      <c r="X11">
        <v>0</v>
      </c>
      <c r="Y11">
        <v>0</v>
      </c>
      <c r="AA11">
        <v>7</v>
      </c>
      <c r="AB11">
        <v>10</v>
      </c>
      <c r="AC11">
        <v>9</v>
      </c>
      <c r="AD11">
        <v>37</v>
      </c>
      <c r="AE11" t="s">
        <v>60</v>
      </c>
    </row>
    <row r="12" spans="1:31" x14ac:dyDescent="0.2">
      <c r="A12">
        <v>11</v>
      </c>
      <c r="B12" t="s">
        <v>345</v>
      </c>
      <c r="C12">
        <v>32</v>
      </c>
      <c r="D12" t="s">
        <v>346</v>
      </c>
      <c r="E12" t="s">
        <v>322</v>
      </c>
      <c r="F12">
        <v>45</v>
      </c>
      <c r="G12">
        <v>22</v>
      </c>
      <c r="H12">
        <v>32</v>
      </c>
      <c r="I12">
        <v>54</v>
      </c>
      <c r="J12">
        <v>6</v>
      </c>
      <c r="K12">
        <v>22</v>
      </c>
      <c r="L12">
        <v>16</v>
      </c>
      <c r="M12">
        <v>6</v>
      </c>
      <c r="N12">
        <v>0</v>
      </c>
      <c r="O12">
        <v>2</v>
      </c>
      <c r="P12">
        <v>27</v>
      </c>
      <c r="Q12">
        <v>4</v>
      </c>
      <c r="R12">
        <v>1</v>
      </c>
      <c r="S12">
        <v>97</v>
      </c>
      <c r="T12">
        <v>22.7</v>
      </c>
      <c r="U12">
        <v>179</v>
      </c>
      <c r="V12" t="s">
        <v>2230</v>
      </c>
      <c r="W12" t="s">
        <v>1643</v>
      </c>
      <c r="X12">
        <v>331</v>
      </c>
      <c r="Y12">
        <v>377</v>
      </c>
      <c r="Z12">
        <v>46.8</v>
      </c>
      <c r="AA12">
        <v>20</v>
      </c>
      <c r="AB12">
        <v>20</v>
      </c>
      <c r="AC12">
        <v>14</v>
      </c>
      <c r="AD12">
        <v>61</v>
      </c>
      <c r="AE12" t="s">
        <v>60</v>
      </c>
    </row>
    <row r="13" spans="1:31" x14ac:dyDescent="0.2">
      <c r="A13">
        <v>12</v>
      </c>
      <c r="B13" t="s">
        <v>348</v>
      </c>
      <c r="C13">
        <v>27</v>
      </c>
      <c r="D13" t="s">
        <v>321</v>
      </c>
      <c r="E13" t="s">
        <v>349</v>
      </c>
      <c r="F13">
        <v>45</v>
      </c>
      <c r="G13">
        <v>14</v>
      </c>
      <c r="H13">
        <v>39</v>
      </c>
      <c r="I13">
        <v>53</v>
      </c>
      <c r="J13">
        <v>30</v>
      </c>
      <c r="K13">
        <v>20</v>
      </c>
      <c r="L13">
        <v>12</v>
      </c>
      <c r="M13">
        <v>2</v>
      </c>
      <c r="N13">
        <v>0</v>
      </c>
      <c r="O13">
        <v>4</v>
      </c>
      <c r="P13">
        <v>22</v>
      </c>
      <c r="Q13">
        <v>17</v>
      </c>
      <c r="R13">
        <v>0</v>
      </c>
      <c r="S13">
        <v>121</v>
      </c>
      <c r="T13">
        <v>11.6</v>
      </c>
      <c r="U13">
        <v>319</v>
      </c>
      <c r="V13" t="s">
        <v>2116</v>
      </c>
      <c r="W13" t="s">
        <v>1873</v>
      </c>
      <c r="X13">
        <v>0</v>
      </c>
      <c r="Y13">
        <v>0</v>
      </c>
      <c r="AA13">
        <v>77</v>
      </c>
      <c r="AB13">
        <v>22</v>
      </c>
      <c r="AC13">
        <v>25</v>
      </c>
      <c r="AD13">
        <v>45</v>
      </c>
      <c r="AE13" t="s">
        <v>60</v>
      </c>
    </row>
    <row r="14" spans="1:31" x14ac:dyDescent="0.2">
      <c r="A14">
        <v>13</v>
      </c>
      <c r="B14" t="s">
        <v>350</v>
      </c>
      <c r="C14">
        <v>22</v>
      </c>
      <c r="D14" t="s">
        <v>334</v>
      </c>
      <c r="E14" t="s">
        <v>322</v>
      </c>
      <c r="F14">
        <v>47</v>
      </c>
      <c r="G14">
        <v>25</v>
      </c>
      <c r="H14">
        <v>27</v>
      </c>
      <c r="I14">
        <v>52</v>
      </c>
      <c r="J14">
        <v>1</v>
      </c>
      <c r="K14">
        <v>12</v>
      </c>
      <c r="L14">
        <v>10</v>
      </c>
      <c r="M14">
        <v>15</v>
      </c>
      <c r="N14">
        <v>0</v>
      </c>
      <c r="O14">
        <v>3</v>
      </c>
      <c r="P14">
        <v>18</v>
      </c>
      <c r="Q14">
        <v>9</v>
      </c>
      <c r="R14">
        <v>0</v>
      </c>
      <c r="S14">
        <v>119</v>
      </c>
      <c r="T14">
        <v>21</v>
      </c>
      <c r="U14">
        <v>229</v>
      </c>
      <c r="V14" t="s">
        <v>2231</v>
      </c>
      <c r="W14" t="s">
        <v>326</v>
      </c>
      <c r="X14">
        <v>225</v>
      </c>
      <c r="Y14">
        <v>243</v>
      </c>
      <c r="Z14">
        <v>48.1</v>
      </c>
      <c r="AA14">
        <v>34</v>
      </c>
      <c r="AB14">
        <v>16</v>
      </c>
      <c r="AC14">
        <v>11</v>
      </c>
      <c r="AD14">
        <v>31</v>
      </c>
      <c r="AE14" t="s">
        <v>60</v>
      </c>
    </row>
    <row r="15" spans="1:31" x14ac:dyDescent="0.2">
      <c r="A15">
        <v>14</v>
      </c>
      <c r="B15" t="s">
        <v>357</v>
      </c>
      <c r="C15">
        <v>28</v>
      </c>
      <c r="D15" t="s">
        <v>358</v>
      </c>
      <c r="E15" t="s">
        <v>340</v>
      </c>
      <c r="F15">
        <v>47</v>
      </c>
      <c r="G15">
        <v>25</v>
      </c>
      <c r="H15">
        <v>27</v>
      </c>
      <c r="I15">
        <v>52</v>
      </c>
      <c r="J15">
        <v>5</v>
      </c>
      <c r="K15">
        <v>14</v>
      </c>
      <c r="L15">
        <v>16</v>
      </c>
      <c r="M15">
        <v>9</v>
      </c>
      <c r="N15">
        <v>0</v>
      </c>
      <c r="O15">
        <v>2</v>
      </c>
      <c r="P15">
        <v>20</v>
      </c>
      <c r="Q15">
        <v>7</v>
      </c>
      <c r="R15">
        <v>0</v>
      </c>
      <c r="S15">
        <v>166</v>
      </c>
      <c r="T15">
        <v>15.1</v>
      </c>
      <c r="U15">
        <v>311</v>
      </c>
      <c r="V15" t="s">
        <v>2117</v>
      </c>
      <c r="W15" t="s">
        <v>2118</v>
      </c>
      <c r="X15">
        <v>0</v>
      </c>
      <c r="Y15">
        <v>2</v>
      </c>
      <c r="Z15">
        <v>0</v>
      </c>
      <c r="AA15">
        <v>18</v>
      </c>
      <c r="AB15">
        <v>26</v>
      </c>
      <c r="AC15">
        <v>13</v>
      </c>
      <c r="AD15">
        <v>67</v>
      </c>
      <c r="AE15" t="s">
        <v>60</v>
      </c>
    </row>
    <row r="16" spans="1:31" x14ac:dyDescent="0.2">
      <c r="A16">
        <v>15</v>
      </c>
      <c r="B16" t="s">
        <v>343</v>
      </c>
      <c r="C16">
        <v>29</v>
      </c>
      <c r="D16" t="s">
        <v>344</v>
      </c>
      <c r="E16" t="s">
        <v>322</v>
      </c>
      <c r="F16">
        <v>38</v>
      </c>
      <c r="G16">
        <v>16</v>
      </c>
      <c r="H16">
        <v>35</v>
      </c>
      <c r="I16">
        <v>51</v>
      </c>
      <c r="J16">
        <v>8</v>
      </c>
      <c r="K16">
        <v>6</v>
      </c>
      <c r="L16">
        <v>16</v>
      </c>
      <c r="M16">
        <v>0</v>
      </c>
      <c r="N16">
        <v>0</v>
      </c>
      <c r="O16">
        <v>4</v>
      </c>
      <c r="P16">
        <v>16</v>
      </c>
      <c r="Q16">
        <v>19</v>
      </c>
      <c r="R16">
        <v>0</v>
      </c>
      <c r="S16">
        <v>143</v>
      </c>
      <c r="T16">
        <v>11.2</v>
      </c>
      <c r="U16">
        <v>242</v>
      </c>
      <c r="V16" t="s">
        <v>2705</v>
      </c>
      <c r="W16" t="s">
        <v>1921</v>
      </c>
      <c r="X16">
        <v>275</v>
      </c>
      <c r="Y16">
        <v>321</v>
      </c>
      <c r="Z16">
        <v>46.1</v>
      </c>
      <c r="AA16">
        <v>26</v>
      </c>
      <c r="AB16">
        <v>23</v>
      </c>
      <c r="AC16">
        <v>20</v>
      </c>
      <c r="AD16">
        <v>66</v>
      </c>
      <c r="AE16" t="s">
        <v>60</v>
      </c>
    </row>
    <row r="17" spans="1:31" x14ac:dyDescent="0.2">
      <c r="A17">
        <v>16</v>
      </c>
      <c r="B17" t="s">
        <v>361</v>
      </c>
      <c r="C17">
        <v>34</v>
      </c>
      <c r="D17" t="s">
        <v>362</v>
      </c>
      <c r="E17" t="s">
        <v>340</v>
      </c>
      <c r="F17">
        <v>47</v>
      </c>
      <c r="G17">
        <v>16</v>
      </c>
      <c r="H17">
        <v>35</v>
      </c>
      <c r="I17">
        <v>51</v>
      </c>
      <c r="J17">
        <v>-15</v>
      </c>
      <c r="K17">
        <v>14</v>
      </c>
      <c r="L17">
        <v>15</v>
      </c>
      <c r="M17">
        <v>1</v>
      </c>
      <c r="N17">
        <v>0</v>
      </c>
      <c r="O17">
        <v>3</v>
      </c>
      <c r="P17">
        <v>22</v>
      </c>
      <c r="Q17">
        <v>13</v>
      </c>
      <c r="R17">
        <v>0</v>
      </c>
      <c r="S17">
        <v>142</v>
      </c>
      <c r="T17">
        <v>11.3</v>
      </c>
      <c r="U17">
        <v>322</v>
      </c>
      <c r="V17" t="s">
        <v>2706</v>
      </c>
      <c r="W17" t="s">
        <v>1533</v>
      </c>
      <c r="X17">
        <v>0</v>
      </c>
      <c r="Y17">
        <v>0</v>
      </c>
      <c r="AA17">
        <v>9</v>
      </c>
      <c r="AB17">
        <v>7</v>
      </c>
      <c r="AC17">
        <v>11</v>
      </c>
      <c r="AD17">
        <v>60</v>
      </c>
      <c r="AE17" t="s">
        <v>60</v>
      </c>
    </row>
    <row r="18" spans="1:31" x14ac:dyDescent="0.2">
      <c r="A18">
        <v>17</v>
      </c>
      <c r="B18" t="s">
        <v>368</v>
      </c>
      <c r="C18">
        <v>24</v>
      </c>
      <c r="D18" t="s">
        <v>358</v>
      </c>
      <c r="E18" t="s">
        <v>340</v>
      </c>
      <c r="F18">
        <v>47</v>
      </c>
      <c r="G18">
        <v>27</v>
      </c>
      <c r="H18">
        <v>23</v>
      </c>
      <c r="I18">
        <v>50</v>
      </c>
      <c r="J18">
        <v>12</v>
      </c>
      <c r="K18">
        <v>20</v>
      </c>
      <c r="L18">
        <v>18</v>
      </c>
      <c r="M18">
        <v>7</v>
      </c>
      <c r="N18">
        <v>2</v>
      </c>
      <c r="O18">
        <v>3</v>
      </c>
      <c r="P18">
        <v>15</v>
      </c>
      <c r="Q18">
        <v>8</v>
      </c>
      <c r="R18">
        <v>0</v>
      </c>
      <c r="S18">
        <v>153</v>
      </c>
      <c r="T18">
        <v>17.600000000000001</v>
      </c>
      <c r="U18">
        <v>322</v>
      </c>
      <c r="V18" t="s">
        <v>2119</v>
      </c>
      <c r="W18" t="s">
        <v>332</v>
      </c>
      <c r="X18">
        <v>38</v>
      </c>
      <c r="Y18">
        <v>44</v>
      </c>
      <c r="Z18">
        <v>46.3</v>
      </c>
      <c r="AA18">
        <v>32</v>
      </c>
      <c r="AB18">
        <v>32</v>
      </c>
      <c r="AC18">
        <v>20</v>
      </c>
      <c r="AD18">
        <v>55</v>
      </c>
      <c r="AE18" t="s">
        <v>60</v>
      </c>
    </row>
    <row r="19" spans="1:31" x14ac:dyDescent="0.2">
      <c r="A19">
        <v>18</v>
      </c>
      <c r="B19" t="s">
        <v>363</v>
      </c>
      <c r="C19">
        <v>26</v>
      </c>
      <c r="D19" t="s">
        <v>364</v>
      </c>
      <c r="E19" t="s">
        <v>322</v>
      </c>
      <c r="F19">
        <v>47</v>
      </c>
      <c r="G19">
        <v>14</v>
      </c>
      <c r="H19">
        <v>36</v>
      </c>
      <c r="I19">
        <v>50</v>
      </c>
      <c r="J19">
        <v>17</v>
      </c>
      <c r="K19">
        <v>10</v>
      </c>
      <c r="L19">
        <v>6</v>
      </c>
      <c r="M19">
        <v>8</v>
      </c>
      <c r="N19">
        <v>0</v>
      </c>
      <c r="O19">
        <v>1</v>
      </c>
      <c r="P19">
        <v>21</v>
      </c>
      <c r="Q19">
        <v>15</v>
      </c>
      <c r="R19">
        <v>0</v>
      </c>
      <c r="S19">
        <v>101</v>
      </c>
      <c r="T19">
        <v>13.9</v>
      </c>
      <c r="U19">
        <v>219</v>
      </c>
      <c r="V19" t="s">
        <v>2232</v>
      </c>
      <c r="W19" t="s">
        <v>2233</v>
      </c>
      <c r="X19">
        <v>407</v>
      </c>
      <c r="Y19">
        <v>426</v>
      </c>
      <c r="Z19">
        <v>48.9</v>
      </c>
      <c r="AA19">
        <v>40</v>
      </c>
      <c r="AB19">
        <v>35</v>
      </c>
      <c r="AC19">
        <v>14</v>
      </c>
      <c r="AD19">
        <v>41</v>
      </c>
      <c r="AE19" t="s">
        <v>60</v>
      </c>
    </row>
    <row r="20" spans="1:31" x14ac:dyDescent="0.2">
      <c r="A20">
        <v>19</v>
      </c>
      <c r="B20" t="s">
        <v>381</v>
      </c>
      <c r="C20">
        <v>28</v>
      </c>
      <c r="D20" t="s">
        <v>382</v>
      </c>
      <c r="E20" t="s">
        <v>349</v>
      </c>
      <c r="F20">
        <v>42</v>
      </c>
      <c r="G20">
        <v>17</v>
      </c>
      <c r="H20">
        <v>33</v>
      </c>
      <c r="I20">
        <v>50</v>
      </c>
      <c r="J20">
        <v>5</v>
      </c>
      <c r="K20">
        <v>8</v>
      </c>
      <c r="L20">
        <v>15</v>
      </c>
      <c r="M20">
        <v>2</v>
      </c>
      <c r="N20">
        <v>0</v>
      </c>
      <c r="O20">
        <v>0</v>
      </c>
      <c r="P20">
        <v>22</v>
      </c>
      <c r="Q20">
        <v>10</v>
      </c>
      <c r="R20">
        <v>1</v>
      </c>
      <c r="S20">
        <v>155</v>
      </c>
      <c r="T20">
        <v>11</v>
      </c>
      <c r="U20">
        <v>324</v>
      </c>
      <c r="V20" t="s">
        <v>2234</v>
      </c>
      <c r="W20" t="s">
        <v>2235</v>
      </c>
      <c r="X20">
        <v>0</v>
      </c>
      <c r="Y20">
        <v>0</v>
      </c>
      <c r="AA20">
        <v>57</v>
      </c>
      <c r="AB20">
        <v>19</v>
      </c>
      <c r="AC20">
        <v>21</v>
      </c>
      <c r="AD20">
        <v>69</v>
      </c>
      <c r="AE20" t="s">
        <v>60</v>
      </c>
    </row>
    <row r="21" spans="1:31" x14ac:dyDescent="0.2">
      <c r="A21">
        <v>20</v>
      </c>
      <c r="B21" t="s">
        <v>376</v>
      </c>
      <c r="C21">
        <v>38</v>
      </c>
      <c r="D21" t="s">
        <v>377</v>
      </c>
      <c r="E21" t="s">
        <v>322</v>
      </c>
      <c r="F21">
        <v>45</v>
      </c>
      <c r="G21">
        <v>24</v>
      </c>
      <c r="H21">
        <v>25</v>
      </c>
      <c r="I21">
        <v>49</v>
      </c>
      <c r="J21">
        <v>0</v>
      </c>
      <c r="K21">
        <v>32</v>
      </c>
      <c r="L21">
        <v>15</v>
      </c>
      <c r="M21">
        <v>9</v>
      </c>
      <c r="N21">
        <v>0</v>
      </c>
      <c r="O21">
        <v>3</v>
      </c>
      <c r="P21">
        <v>17</v>
      </c>
      <c r="Q21">
        <v>8</v>
      </c>
      <c r="R21">
        <v>0</v>
      </c>
      <c r="S21">
        <v>107</v>
      </c>
      <c r="T21">
        <v>22.4</v>
      </c>
      <c r="U21">
        <v>192</v>
      </c>
      <c r="V21" t="s">
        <v>2236</v>
      </c>
      <c r="W21" t="s">
        <v>1732</v>
      </c>
      <c r="X21">
        <v>523</v>
      </c>
      <c r="Y21">
        <v>409</v>
      </c>
      <c r="Z21">
        <v>56.1</v>
      </c>
      <c r="AA21">
        <v>21</v>
      </c>
      <c r="AB21">
        <v>39</v>
      </c>
      <c r="AC21">
        <v>16</v>
      </c>
      <c r="AD21">
        <v>49</v>
      </c>
      <c r="AE21" t="s">
        <v>60</v>
      </c>
    </row>
    <row r="22" spans="1:31" x14ac:dyDescent="0.2">
      <c r="A22">
        <v>21</v>
      </c>
      <c r="B22" t="s">
        <v>379</v>
      </c>
      <c r="C22">
        <v>28</v>
      </c>
      <c r="D22" t="s">
        <v>372</v>
      </c>
      <c r="E22" t="s">
        <v>335</v>
      </c>
      <c r="F22">
        <v>48</v>
      </c>
      <c r="G22">
        <v>24</v>
      </c>
      <c r="H22">
        <v>25</v>
      </c>
      <c r="I22">
        <v>49</v>
      </c>
      <c r="J22">
        <v>5</v>
      </c>
      <c r="K22">
        <v>10</v>
      </c>
      <c r="L22">
        <v>14</v>
      </c>
      <c r="M22">
        <v>10</v>
      </c>
      <c r="N22">
        <v>0</v>
      </c>
      <c r="O22">
        <v>4</v>
      </c>
      <c r="P22">
        <v>20</v>
      </c>
      <c r="Q22">
        <v>5</v>
      </c>
      <c r="R22">
        <v>0</v>
      </c>
      <c r="S22">
        <v>164</v>
      </c>
      <c r="T22">
        <v>14.6</v>
      </c>
      <c r="U22">
        <v>327</v>
      </c>
      <c r="V22" t="s">
        <v>2237</v>
      </c>
      <c r="W22" t="s">
        <v>1661</v>
      </c>
      <c r="X22">
        <v>9</v>
      </c>
      <c r="Y22">
        <v>20</v>
      </c>
      <c r="Z22">
        <v>31</v>
      </c>
      <c r="AA22">
        <v>20</v>
      </c>
      <c r="AB22">
        <v>22</v>
      </c>
      <c r="AC22">
        <v>22</v>
      </c>
      <c r="AD22">
        <v>48</v>
      </c>
      <c r="AE22" t="s">
        <v>60</v>
      </c>
    </row>
    <row r="23" spans="1:31" x14ac:dyDescent="0.2">
      <c r="A23">
        <v>22</v>
      </c>
      <c r="B23" t="s">
        <v>375</v>
      </c>
      <c r="C23">
        <v>23</v>
      </c>
      <c r="D23" t="s">
        <v>372</v>
      </c>
      <c r="E23" t="s">
        <v>340</v>
      </c>
      <c r="F23">
        <v>46</v>
      </c>
      <c r="G23">
        <v>14</v>
      </c>
      <c r="H23">
        <v>35</v>
      </c>
      <c r="I23">
        <v>49</v>
      </c>
      <c r="J23">
        <v>4</v>
      </c>
      <c r="K23">
        <v>12</v>
      </c>
      <c r="L23">
        <v>10</v>
      </c>
      <c r="M23">
        <v>4</v>
      </c>
      <c r="N23">
        <v>0</v>
      </c>
      <c r="O23">
        <v>5</v>
      </c>
      <c r="P23">
        <v>19</v>
      </c>
      <c r="Q23">
        <v>16</v>
      </c>
      <c r="R23">
        <v>0</v>
      </c>
      <c r="S23">
        <v>95</v>
      </c>
      <c r="T23">
        <v>14.7</v>
      </c>
      <c r="U23">
        <v>200</v>
      </c>
      <c r="V23" t="s">
        <v>2238</v>
      </c>
      <c r="W23" t="s">
        <v>416</v>
      </c>
      <c r="X23">
        <v>1</v>
      </c>
      <c r="Y23">
        <v>0</v>
      </c>
      <c r="Z23">
        <v>100</v>
      </c>
      <c r="AA23">
        <v>22</v>
      </c>
      <c r="AB23">
        <v>22</v>
      </c>
      <c r="AC23">
        <v>20</v>
      </c>
      <c r="AD23">
        <v>49</v>
      </c>
      <c r="AE23" t="s">
        <v>60</v>
      </c>
    </row>
    <row r="24" spans="1:31" x14ac:dyDescent="0.2">
      <c r="A24">
        <v>23</v>
      </c>
      <c r="B24" t="s">
        <v>391</v>
      </c>
      <c r="C24">
        <v>31</v>
      </c>
      <c r="D24" t="s">
        <v>353</v>
      </c>
      <c r="E24" t="s">
        <v>322</v>
      </c>
      <c r="F24">
        <v>45</v>
      </c>
      <c r="G24">
        <v>20</v>
      </c>
      <c r="H24">
        <v>27</v>
      </c>
      <c r="I24">
        <v>47</v>
      </c>
      <c r="J24">
        <v>9</v>
      </c>
      <c r="K24">
        <v>19</v>
      </c>
      <c r="L24">
        <v>13</v>
      </c>
      <c r="M24">
        <v>5</v>
      </c>
      <c r="N24">
        <v>2</v>
      </c>
      <c r="O24">
        <v>4</v>
      </c>
      <c r="P24">
        <v>15</v>
      </c>
      <c r="Q24">
        <v>12</v>
      </c>
      <c r="R24">
        <v>0</v>
      </c>
      <c r="S24">
        <v>116</v>
      </c>
      <c r="T24">
        <v>17.2</v>
      </c>
      <c r="U24">
        <v>206</v>
      </c>
      <c r="V24" t="s">
        <v>2239</v>
      </c>
      <c r="W24" t="s">
        <v>2240</v>
      </c>
      <c r="X24">
        <v>87</v>
      </c>
      <c r="Y24">
        <v>97</v>
      </c>
      <c r="Z24">
        <v>47.3</v>
      </c>
      <c r="AA24">
        <v>27</v>
      </c>
      <c r="AB24">
        <v>20</v>
      </c>
      <c r="AC24">
        <v>17</v>
      </c>
      <c r="AD24">
        <v>37</v>
      </c>
      <c r="AE24" t="s">
        <v>60</v>
      </c>
    </row>
    <row r="25" spans="1:31" x14ac:dyDescent="0.2">
      <c r="A25">
        <v>24</v>
      </c>
      <c r="B25" t="s">
        <v>395</v>
      </c>
      <c r="C25">
        <v>28</v>
      </c>
      <c r="D25" t="s">
        <v>344</v>
      </c>
      <c r="E25" t="s">
        <v>335</v>
      </c>
      <c r="F25">
        <v>45</v>
      </c>
      <c r="G25">
        <v>11</v>
      </c>
      <c r="H25">
        <v>36</v>
      </c>
      <c r="I25">
        <v>47</v>
      </c>
      <c r="J25">
        <v>8</v>
      </c>
      <c r="K25">
        <v>12</v>
      </c>
      <c r="L25">
        <v>8</v>
      </c>
      <c r="M25">
        <v>3</v>
      </c>
      <c r="N25">
        <v>0</v>
      </c>
      <c r="O25">
        <v>0</v>
      </c>
      <c r="P25">
        <v>25</v>
      </c>
      <c r="Q25">
        <v>11</v>
      </c>
      <c r="R25">
        <v>0</v>
      </c>
      <c r="S25">
        <v>87</v>
      </c>
      <c r="T25">
        <v>12.6</v>
      </c>
      <c r="U25">
        <v>200</v>
      </c>
      <c r="V25" t="s">
        <v>2707</v>
      </c>
      <c r="W25" t="s">
        <v>629</v>
      </c>
      <c r="X25">
        <v>49</v>
      </c>
      <c r="Y25">
        <v>78</v>
      </c>
      <c r="Z25">
        <v>38.6</v>
      </c>
      <c r="AA25">
        <v>28</v>
      </c>
      <c r="AB25">
        <v>15</v>
      </c>
      <c r="AC25">
        <v>20</v>
      </c>
      <c r="AD25">
        <v>63</v>
      </c>
      <c r="AE25" t="s">
        <v>60</v>
      </c>
    </row>
    <row r="26" spans="1:31" x14ac:dyDescent="0.2">
      <c r="A26">
        <v>25</v>
      </c>
      <c r="B26" t="s">
        <v>426</v>
      </c>
      <c r="C26">
        <v>24</v>
      </c>
      <c r="D26" t="s">
        <v>418</v>
      </c>
      <c r="E26" t="s">
        <v>340</v>
      </c>
      <c r="F26">
        <v>46</v>
      </c>
      <c r="G26">
        <v>20</v>
      </c>
      <c r="H26">
        <v>27</v>
      </c>
      <c r="I26">
        <v>47</v>
      </c>
      <c r="J26">
        <v>3</v>
      </c>
      <c r="K26">
        <v>29</v>
      </c>
      <c r="L26">
        <v>13</v>
      </c>
      <c r="M26">
        <v>6</v>
      </c>
      <c r="N26">
        <v>1</v>
      </c>
      <c r="O26">
        <v>3</v>
      </c>
      <c r="P26">
        <v>17</v>
      </c>
      <c r="Q26">
        <v>10</v>
      </c>
      <c r="R26">
        <v>0</v>
      </c>
      <c r="S26">
        <v>115</v>
      </c>
      <c r="T26">
        <v>17.399999999999999</v>
      </c>
      <c r="U26">
        <v>210</v>
      </c>
      <c r="V26" t="s">
        <v>2708</v>
      </c>
      <c r="W26" t="s">
        <v>1751</v>
      </c>
      <c r="X26">
        <v>231</v>
      </c>
      <c r="Y26">
        <v>190</v>
      </c>
      <c r="Z26">
        <v>54.9</v>
      </c>
      <c r="AA26">
        <v>30</v>
      </c>
      <c r="AB26">
        <v>78</v>
      </c>
      <c r="AC26">
        <v>21</v>
      </c>
      <c r="AD26">
        <v>64</v>
      </c>
      <c r="AE26" t="s">
        <v>60</v>
      </c>
    </row>
    <row r="27" spans="1:31" x14ac:dyDescent="0.2">
      <c r="A27">
        <v>26</v>
      </c>
      <c r="B27" t="s">
        <v>329</v>
      </c>
      <c r="C27">
        <v>20</v>
      </c>
      <c r="D27" t="s">
        <v>330</v>
      </c>
      <c r="E27" t="s">
        <v>322</v>
      </c>
      <c r="F27">
        <v>33</v>
      </c>
      <c r="G27">
        <v>19</v>
      </c>
      <c r="H27">
        <v>27</v>
      </c>
      <c r="I27">
        <v>46</v>
      </c>
      <c r="J27">
        <v>9</v>
      </c>
      <c r="K27">
        <v>30</v>
      </c>
      <c r="L27">
        <v>14</v>
      </c>
      <c r="M27">
        <v>5</v>
      </c>
      <c r="N27">
        <v>0</v>
      </c>
      <c r="O27">
        <v>3</v>
      </c>
      <c r="P27">
        <v>18</v>
      </c>
      <c r="Q27">
        <v>9</v>
      </c>
      <c r="R27">
        <v>0</v>
      </c>
      <c r="S27">
        <v>110</v>
      </c>
      <c r="T27">
        <v>17.3</v>
      </c>
      <c r="U27">
        <v>200</v>
      </c>
      <c r="V27" t="s">
        <v>2027</v>
      </c>
      <c r="W27" t="s">
        <v>1663</v>
      </c>
      <c r="X27">
        <v>148</v>
      </c>
      <c r="Y27">
        <v>167</v>
      </c>
      <c r="Z27">
        <v>47</v>
      </c>
      <c r="AA27">
        <v>15</v>
      </c>
      <c r="AB27">
        <v>9</v>
      </c>
      <c r="AC27">
        <v>13</v>
      </c>
      <c r="AD27">
        <v>42</v>
      </c>
      <c r="AE27" t="s">
        <v>60</v>
      </c>
    </row>
    <row r="28" spans="1:31" x14ac:dyDescent="0.2">
      <c r="A28">
        <v>27</v>
      </c>
      <c r="B28" t="s">
        <v>394</v>
      </c>
      <c r="C28">
        <v>26</v>
      </c>
      <c r="D28" t="s">
        <v>328</v>
      </c>
      <c r="E28" t="s">
        <v>349</v>
      </c>
      <c r="F28">
        <v>47</v>
      </c>
      <c r="G28">
        <v>11</v>
      </c>
      <c r="H28">
        <v>35</v>
      </c>
      <c r="I28">
        <v>46</v>
      </c>
      <c r="J28">
        <v>3</v>
      </c>
      <c r="K28">
        <v>16</v>
      </c>
      <c r="L28">
        <v>5</v>
      </c>
      <c r="M28">
        <v>6</v>
      </c>
      <c r="N28">
        <v>0</v>
      </c>
      <c r="O28">
        <v>3</v>
      </c>
      <c r="P28">
        <v>23</v>
      </c>
      <c r="Q28">
        <v>11</v>
      </c>
      <c r="R28">
        <v>1</v>
      </c>
      <c r="S28">
        <v>117</v>
      </c>
      <c r="T28">
        <v>9.4</v>
      </c>
      <c r="U28">
        <v>253</v>
      </c>
      <c r="V28" t="s">
        <v>2241</v>
      </c>
      <c r="W28" t="s">
        <v>2242</v>
      </c>
      <c r="X28">
        <v>0</v>
      </c>
      <c r="Y28">
        <v>0</v>
      </c>
      <c r="AA28">
        <v>68</v>
      </c>
      <c r="AB28">
        <v>14</v>
      </c>
      <c r="AC28">
        <v>22</v>
      </c>
      <c r="AD28">
        <v>71</v>
      </c>
      <c r="AE28" t="s">
        <v>60</v>
      </c>
    </row>
    <row r="29" spans="1:31" x14ac:dyDescent="0.2">
      <c r="A29">
        <v>28</v>
      </c>
      <c r="B29" t="s">
        <v>373</v>
      </c>
      <c r="C29">
        <v>37</v>
      </c>
      <c r="D29" t="s">
        <v>374</v>
      </c>
      <c r="E29" t="s">
        <v>340</v>
      </c>
      <c r="F29">
        <v>41</v>
      </c>
      <c r="G29">
        <v>23</v>
      </c>
      <c r="H29">
        <v>23</v>
      </c>
      <c r="I29">
        <v>46</v>
      </c>
      <c r="J29">
        <v>-8</v>
      </c>
      <c r="K29">
        <v>32</v>
      </c>
      <c r="L29">
        <v>18</v>
      </c>
      <c r="M29">
        <v>5</v>
      </c>
      <c r="N29">
        <v>0</v>
      </c>
      <c r="O29">
        <v>2</v>
      </c>
      <c r="P29">
        <v>12</v>
      </c>
      <c r="Q29">
        <v>11</v>
      </c>
      <c r="R29">
        <v>0</v>
      </c>
      <c r="S29">
        <v>115</v>
      </c>
      <c r="T29">
        <v>20</v>
      </c>
      <c r="U29">
        <v>229</v>
      </c>
      <c r="V29" t="s">
        <v>1936</v>
      </c>
      <c r="W29" t="s">
        <v>1804</v>
      </c>
      <c r="X29">
        <v>1</v>
      </c>
      <c r="Y29">
        <v>7</v>
      </c>
      <c r="Z29">
        <v>12.5</v>
      </c>
      <c r="AA29">
        <v>16</v>
      </c>
      <c r="AB29">
        <v>33</v>
      </c>
      <c r="AC29">
        <v>13</v>
      </c>
      <c r="AD29">
        <v>43</v>
      </c>
      <c r="AE29" t="s">
        <v>60</v>
      </c>
    </row>
    <row r="30" spans="1:31" x14ac:dyDescent="0.2">
      <c r="A30">
        <v>29</v>
      </c>
      <c r="B30" t="s">
        <v>359</v>
      </c>
      <c r="C30">
        <v>29</v>
      </c>
      <c r="D30" t="s">
        <v>360</v>
      </c>
      <c r="E30" t="s">
        <v>322</v>
      </c>
      <c r="F30">
        <v>36</v>
      </c>
      <c r="G30">
        <v>16</v>
      </c>
      <c r="H30">
        <v>30</v>
      </c>
      <c r="I30">
        <v>46</v>
      </c>
      <c r="J30">
        <v>-1</v>
      </c>
      <c r="K30">
        <v>14</v>
      </c>
      <c r="L30">
        <v>13</v>
      </c>
      <c r="M30">
        <v>3</v>
      </c>
      <c r="N30">
        <v>0</v>
      </c>
      <c r="O30">
        <v>3</v>
      </c>
      <c r="P30">
        <v>24</v>
      </c>
      <c r="Q30">
        <v>6</v>
      </c>
      <c r="R30">
        <v>0</v>
      </c>
      <c r="S30">
        <v>74</v>
      </c>
      <c r="T30">
        <v>21.6</v>
      </c>
      <c r="U30">
        <v>162</v>
      </c>
      <c r="V30" t="s">
        <v>2243</v>
      </c>
      <c r="W30" t="s">
        <v>1441</v>
      </c>
      <c r="X30">
        <v>19</v>
      </c>
      <c r="Y30">
        <v>33</v>
      </c>
      <c r="Z30">
        <v>36.5</v>
      </c>
      <c r="AA30">
        <v>13</v>
      </c>
      <c r="AB30">
        <v>4</v>
      </c>
      <c r="AC30">
        <v>16</v>
      </c>
      <c r="AD30">
        <v>38</v>
      </c>
      <c r="AE30" t="s">
        <v>60</v>
      </c>
    </row>
    <row r="31" spans="1:31" x14ac:dyDescent="0.2">
      <c r="A31">
        <v>30</v>
      </c>
      <c r="B31" t="s">
        <v>397</v>
      </c>
      <c r="C31">
        <v>28</v>
      </c>
      <c r="D31" t="s">
        <v>398</v>
      </c>
      <c r="E31" t="s">
        <v>325</v>
      </c>
      <c r="F31">
        <v>47</v>
      </c>
      <c r="G31">
        <v>17</v>
      </c>
      <c r="H31">
        <v>28</v>
      </c>
      <c r="I31">
        <v>45</v>
      </c>
      <c r="J31">
        <v>3</v>
      </c>
      <c r="K31">
        <v>30</v>
      </c>
      <c r="L31">
        <v>12</v>
      </c>
      <c r="M31">
        <v>4</v>
      </c>
      <c r="N31">
        <v>1</v>
      </c>
      <c r="O31">
        <v>2</v>
      </c>
      <c r="P31">
        <v>17</v>
      </c>
      <c r="Q31">
        <v>9</v>
      </c>
      <c r="R31">
        <v>2</v>
      </c>
      <c r="S31">
        <v>111</v>
      </c>
      <c r="T31">
        <v>15.3</v>
      </c>
      <c r="U31">
        <v>241</v>
      </c>
      <c r="V31" t="s">
        <v>2227</v>
      </c>
      <c r="W31" t="s">
        <v>2228</v>
      </c>
      <c r="X31">
        <v>368</v>
      </c>
      <c r="Y31">
        <v>364</v>
      </c>
      <c r="Z31">
        <v>50.3</v>
      </c>
      <c r="AA31">
        <v>16</v>
      </c>
      <c r="AB31">
        <v>39</v>
      </c>
      <c r="AC31">
        <v>21</v>
      </c>
      <c r="AD31">
        <v>63</v>
      </c>
      <c r="AE31" t="s">
        <v>60</v>
      </c>
    </row>
    <row r="32" spans="1:31" x14ac:dyDescent="0.2">
      <c r="A32">
        <v>31</v>
      </c>
      <c r="B32" t="s">
        <v>450</v>
      </c>
      <c r="C32">
        <v>21</v>
      </c>
      <c r="D32" t="s">
        <v>364</v>
      </c>
      <c r="E32" t="s">
        <v>349</v>
      </c>
      <c r="F32">
        <v>47</v>
      </c>
      <c r="G32">
        <v>8</v>
      </c>
      <c r="H32">
        <v>37</v>
      </c>
      <c r="I32">
        <v>45</v>
      </c>
      <c r="J32">
        <v>16</v>
      </c>
      <c r="K32">
        <v>8</v>
      </c>
      <c r="L32">
        <v>7</v>
      </c>
      <c r="M32">
        <v>1</v>
      </c>
      <c r="N32">
        <v>0</v>
      </c>
      <c r="O32">
        <v>3</v>
      </c>
      <c r="P32">
        <v>27</v>
      </c>
      <c r="Q32">
        <v>10</v>
      </c>
      <c r="R32">
        <v>0</v>
      </c>
      <c r="S32">
        <v>77</v>
      </c>
      <c r="T32">
        <v>10.4</v>
      </c>
      <c r="U32">
        <v>178</v>
      </c>
      <c r="V32" t="s">
        <v>2245</v>
      </c>
      <c r="W32" t="s">
        <v>1795</v>
      </c>
      <c r="X32">
        <v>0</v>
      </c>
      <c r="Y32">
        <v>0</v>
      </c>
      <c r="AA32">
        <v>77</v>
      </c>
      <c r="AB32">
        <v>21</v>
      </c>
      <c r="AC32">
        <v>19</v>
      </c>
      <c r="AD32">
        <v>51</v>
      </c>
      <c r="AE32" t="s">
        <v>60</v>
      </c>
    </row>
    <row r="33" spans="1:31" x14ac:dyDescent="0.2">
      <c r="A33">
        <v>32</v>
      </c>
      <c r="B33" t="s">
        <v>396</v>
      </c>
      <c r="C33">
        <v>30</v>
      </c>
      <c r="D33" t="s">
        <v>374</v>
      </c>
      <c r="E33" t="s">
        <v>322</v>
      </c>
      <c r="F33">
        <v>45</v>
      </c>
      <c r="G33">
        <v>24</v>
      </c>
      <c r="H33">
        <v>21</v>
      </c>
      <c r="I33">
        <v>45</v>
      </c>
      <c r="J33">
        <v>-12</v>
      </c>
      <c r="K33">
        <v>6</v>
      </c>
      <c r="L33">
        <v>12</v>
      </c>
      <c r="M33">
        <v>9</v>
      </c>
      <c r="N33">
        <v>3</v>
      </c>
      <c r="O33">
        <v>5</v>
      </c>
      <c r="P33">
        <v>13</v>
      </c>
      <c r="Q33">
        <v>8</v>
      </c>
      <c r="R33">
        <v>0</v>
      </c>
      <c r="S33">
        <v>123</v>
      </c>
      <c r="T33">
        <v>19.5</v>
      </c>
      <c r="U33">
        <v>272</v>
      </c>
      <c r="V33" t="s">
        <v>2120</v>
      </c>
      <c r="W33" t="s">
        <v>1944</v>
      </c>
      <c r="X33">
        <v>39</v>
      </c>
      <c r="Y33">
        <v>70</v>
      </c>
      <c r="Z33">
        <v>35.799999999999997</v>
      </c>
      <c r="AA33">
        <v>28</v>
      </c>
      <c r="AB33">
        <v>45</v>
      </c>
      <c r="AC33">
        <v>12</v>
      </c>
      <c r="AD33">
        <v>31</v>
      </c>
      <c r="AE33" t="s">
        <v>60</v>
      </c>
    </row>
    <row r="34" spans="1:31" x14ac:dyDescent="0.2">
      <c r="A34">
        <v>33</v>
      </c>
      <c r="B34" t="s">
        <v>336</v>
      </c>
      <c r="C34">
        <v>21</v>
      </c>
      <c r="D34" t="s">
        <v>337</v>
      </c>
      <c r="E34" t="s">
        <v>322</v>
      </c>
      <c r="F34">
        <v>44</v>
      </c>
      <c r="G34">
        <v>18</v>
      </c>
      <c r="H34">
        <v>26</v>
      </c>
      <c r="I34">
        <v>44</v>
      </c>
      <c r="J34">
        <v>3</v>
      </c>
      <c r="K34">
        <v>29</v>
      </c>
      <c r="L34">
        <v>13</v>
      </c>
      <c r="M34">
        <v>3</v>
      </c>
      <c r="N34">
        <v>2</v>
      </c>
      <c r="O34">
        <v>3</v>
      </c>
      <c r="P34">
        <v>16</v>
      </c>
      <c r="Q34">
        <v>9</v>
      </c>
      <c r="R34">
        <v>1</v>
      </c>
      <c r="S34">
        <v>107</v>
      </c>
      <c r="T34">
        <v>16.8</v>
      </c>
      <c r="U34">
        <v>218</v>
      </c>
      <c r="V34" t="s">
        <v>1884</v>
      </c>
      <c r="W34" t="s">
        <v>1938</v>
      </c>
      <c r="X34">
        <v>315</v>
      </c>
      <c r="Y34">
        <v>378</v>
      </c>
      <c r="Z34">
        <v>45.5</v>
      </c>
      <c r="AA34">
        <v>15</v>
      </c>
      <c r="AB34">
        <v>8</v>
      </c>
      <c r="AC34">
        <v>19</v>
      </c>
      <c r="AD34">
        <v>52</v>
      </c>
      <c r="AE34" t="s">
        <v>60</v>
      </c>
    </row>
    <row r="35" spans="1:31" x14ac:dyDescent="0.2">
      <c r="A35">
        <v>34</v>
      </c>
      <c r="B35" t="s">
        <v>456</v>
      </c>
      <c r="C35">
        <v>28</v>
      </c>
      <c r="D35" t="s">
        <v>429</v>
      </c>
      <c r="E35" t="s">
        <v>322</v>
      </c>
      <c r="F35">
        <v>45</v>
      </c>
      <c r="G35">
        <v>22</v>
      </c>
      <c r="H35">
        <v>22</v>
      </c>
      <c r="I35">
        <v>44</v>
      </c>
      <c r="J35">
        <v>-11</v>
      </c>
      <c r="K35">
        <v>23</v>
      </c>
      <c r="L35">
        <v>19</v>
      </c>
      <c r="M35">
        <v>3</v>
      </c>
      <c r="N35">
        <v>0</v>
      </c>
      <c r="O35">
        <v>1</v>
      </c>
      <c r="P35">
        <v>13</v>
      </c>
      <c r="Q35">
        <v>9</v>
      </c>
      <c r="R35">
        <v>0</v>
      </c>
      <c r="S35">
        <v>156</v>
      </c>
      <c r="T35">
        <v>14.1</v>
      </c>
      <c r="U35">
        <v>310</v>
      </c>
      <c r="V35" t="s">
        <v>2709</v>
      </c>
      <c r="W35" t="s">
        <v>509</v>
      </c>
      <c r="X35">
        <v>221</v>
      </c>
      <c r="Y35">
        <v>239</v>
      </c>
      <c r="Z35">
        <v>48</v>
      </c>
      <c r="AA35">
        <v>27</v>
      </c>
      <c r="AB35">
        <v>47</v>
      </c>
      <c r="AC35">
        <v>17</v>
      </c>
      <c r="AD35">
        <v>39</v>
      </c>
      <c r="AE35" t="s">
        <v>60</v>
      </c>
    </row>
    <row r="36" spans="1:31" x14ac:dyDescent="0.2">
      <c r="A36">
        <v>35</v>
      </c>
      <c r="B36" t="s">
        <v>369</v>
      </c>
      <c r="C36">
        <v>25</v>
      </c>
      <c r="D36" t="s">
        <v>364</v>
      </c>
      <c r="E36" t="s">
        <v>335</v>
      </c>
      <c r="F36">
        <v>47</v>
      </c>
      <c r="G36">
        <v>21</v>
      </c>
      <c r="H36">
        <v>22</v>
      </c>
      <c r="I36">
        <v>43</v>
      </c>
      <c r="J36">
        <v>13</v>
      </c>
      <c r="K36">
        <v>10</v>
      </c>
      <c r="L36">
        <v>17</v>
      </c>
      <c r="M36">
        <v>4</v>
      </c>
      <c r="N36">
        <v>0</v>
      </c>
      <c r="O36">
        <v>5</v>
      </c>
      <c r="P36">
        <v>12</v>
      </c>
      <c r="Q36">
        <v>10</v>
      </c>
      <c r="R36">
        <v>0</v>
      </c>
      <c r="S36">
        <v>135</v>
      </c>
      <c r="T36">
        <v>15.6</v>
      </c>
      <c r="U36">
        <v>265</v>
      </c>
      <c r="V36" t="s">
        <v>2246</v>
      </c>
      <c r="W36" t="s">
        <v>1948</v>
      </c>
      <c r="X36">
        <v>4</v>
      </c>
      <c r="Y36">
        <v>9</v>
      </c>
      <c r="Z36">
        <v>30.8</v>
      </c>
      <c r="AA36">
        <v>12</v>
      </c>
      <c r="AB36">
        <v>35</v>
      </c>
      <c r="AC36">
        <v>17</v>
      </c>
      <c r="AD36">
        <v>27</v>
      </c>
      <c r="AE36" t="s">
        <v>60</v>
      </c>
    </row>
    <row r="37" spans="1:31" x14ac:dyDescent="0.2">
      <c r="A37">
        <v>36</v>
      </c>
      <c r="B37" t="s">
        <v>405</v>
      </c>
      <c r="C37">
        <v>27</v>
      </c>
      <c r="D37" t="s">
        <v>406</v>
      </c>
      <c r="E37" t="s">
        <v>322</v>
      </c>
      <c r="F37">
        <v>47</v>
      </c>
      <c r="G37">
        <v>13</v>
      </c>
      <c r="H37">
        <v>30</v>
      </c>
      <c r="I37">
        <v>43</v>
      </c>
      <c r="J37">
        <v>10</v>
      </c>
      <c r="K37">
        <v>14</v>
      </c>
      <c r="L37">
        <v>12</v>
      </c>
      <c r="M37">
        <v>1</v>
      </c>
      <c r="N37">
        <v>0</v>
      </c>
      <c r="O37">
        <v>3</v>
      </c>
      <c r="P37">
        <v>17</v>
      </c>
      <c r="Q37">
        <v>13</v>
      </c>
      <c r="R37">
        <v>0</v>
      </c>
      <c r="S37">
        <v>129</v>
      </c>
      <c r="T37">
        <v>10.1</v>
      </c>
      <c r="U37">
        <v>229</v>
      </c>
      <c r="V37" t="s">
        <v>2247</v>
      </c>
      <c r="W37" t="s">
        <v>1599</v>
      </c>
      <c r="X37">
        <v>12</v>
      </c>
      <c r="Y37">
        <v>13</v>
      </c>
      <c r="Z37">
        <v>48</v>
      </c>
      <c r="AA37">
        <v>18</v>
      </c>
      <c r="AB37">
        <v>8</v>
      </c>
      <c r="AC37">
        <v>14</v>
      </c>
      <c r="AD37">
        <v>54</v>
      </c>
      <c r="AE37" t="s">
        <v>60</v>
      </c>
    </row>
    <row r="38" spans="1:31" x14ac:dyDescent="0.2">
      <c r="A38">
        <v>37</v>
      </c>
      <c r="B38" t="s">
        <v>477</v>
      </c>
      <c r="C38">
        <v>33</v>
      </c>
      <c r="D38" t="s">
        <v>344</v>
      </c>
      <c r="E38" t="s">
        <v>335</v>
      </c>
      <c r="F38">
        <v>29</v>
      </c>
      <c r="G38">
        <v>16</v>
      </c>
      <c r="H38">
        <v>27</v>
      </c>
      <c r="I38">
        <v>43</v>
      </c>
      <c r="J38">
        <v>9</v>
      </c>
      <c r="K38">
        <v>7</v>
      </c>
      <c r="L38">
        <v>9</v>
      </c>
      <c r="M38">
        <v>7</v>
      </c>
      <c r="N38">
        <v>0</v>
      </c>
      <c r="O38">
        <v>3</v>
      </c>
      <c r="P38">
        <v>14</v>
      </c>
      <c r="Q38">
        <v>12</v>
      </c>
      <c r="R38">
        <v>1</v>
      </c>
      <c r="S38">
        <v>70</v>
      </c>
      <c r="T38">
        <v>22.9</v>
      </c>
      <c r="U38">
        <v>117</v>
      </c>
      <c r="V38" t="s">
        <v>2710</v>
      </c>
      <c r="W38" t="s">
        <v>1922</v>
      </c>
      <c r="X38">
        <v>1</v>
      </c>
      <c r="Y38">
        <v>5</v>
      </c>
      <c r="Z38">
        <v>16.7</v>
      </c>
      <c r="AA38">
        <v>21</v>
      </c>
      <c r="AB38">
        <v>15</v>
      </c>
      <c r="AC38">
        <v>16</v>
      </c>
      <c r="AD38">
        <v>34</v>
      </c>
      <c r="AE38" t="s">
        <v>60</v>
      </c>
    </row>
    <row r="39" spans="1:31" x14ac:dyDescent="0.2">
      <c r="A39">
        <v>38</v>
      </c>
      <c r="B39" t="s">
        <v>430</v>
      </c>
      <c r="C39">
        <v>32</v>
      </c>
      <c r="D39" t="s">
        <v>362</v>
      </c>
      <c r="E39" t="s">
        <v>322</v>
      </c>
      <c r="F39">
        <v>47</v>
      </c>
      <c r="G39">
        <v>18</v>
      </c>
      <c r="H39">
        <v>25</v>
      </c>
      <c r="I39">
        <v>43</v>
      </c>
      <c r="J39">
        <v>-15</v>
      </c>
      <c r="K39">
        <v>8</v>
      </c>
      <c r="L39">
        <v>8</v>
      </c>
      <c r="M39">
        <v>8</v>
      </c>
      <c r="N39">
        <v>2</v>
      </c>
      <c r="O39">
        <v>2</v>
      </c>
      <c r="P39">
        <v>15</v>
      </c>
      <c r="Q39">
        <v>10</v>
      </c>
      <c r="R39">
        <v>0</v>
      </c>
      <c r="S39">
        <v>129</v>
      </c>
      <c r="T39">
        <v>14</v>
      </c>
      <c r="U39">
        <v>247</v>
      </c>
      <c r="V39" t="s">
        <v>2711</v>
      </c>
      <c r="W39" t="s">
        <v>1529</v>
      </c>
      <c r="X39">
        <v>334</v>
      </c>
      <c r="Y39">
        <v>314</v>
      </c>
      <c r="Z39">
        <v>51.5</v>
      </c>
      <c r="AA39">
        <v>33</v>
      </c>
      <c r="AB39">
        <v>70</v>
      </c>
      <c r="AC39">
        <v>20</v>
      </c>
      <c r="AD39">
        <v>66</v>
      </c>
      <c r="AE39" t="s">
        <v>60</v>
      </c>
    </row>
    <row r="40" spans="1:31" x14ac:dyDescent="0.2">
      <c r="A40">
        <v>39</v>
      </c>
      <c r="B40" t="s">
        <v>417</v>
      </c>
      <c r="C40">
        <v>27</v>
      </c>
      <c r="D40" t="s">
        <v>418</v>
      </c>
      <c r="E40" t="s">
        <v>322</v>
      </c>
      <c r="F40">
        <v>43</v>
      </c>
      <c r="G40">
        <v>18</v>
      </c>
      <c r="H40">
        <v>24</v>
      </c>
      <c r="I40">
        <v>42</v>
      </c>
      <c r="J40">
        <v>-3</v>
      </c>
      <c r="K40">
        <v>19</v>
      </c>
      <c r="L40">
        <v>11</v>
      </c>
      <c r="M40">
        <v>7</v>
      </c>
      <c r="N40">
        <v>0</v>
      </c>
      <c r="O40">
        <v>3</v>
      </c>
      <c r="P40">
        <v>16</v>
      </c>
      <c r="Q40">
        <v>8</v>
      </c>
      <c r="R40">
        <v>0</v>
      </c>
      <c r="S40">
        <v>94</v>
      </c>
      <c r="T40">
        <v>19.100000000000001</v>
      </c>
      <c r="U40">
        <v>192</v>
      </c>
      <c r="V40" t="s">
        <v>2712</v>
      </c>
      <c r="W40" t="s">
        <v>1573</v>
      </c>
      <c r="X40">
        <v>8</v>
      </c>
      <c r="Y40">
        <v>7</v>
      </c>
      <c r="Z40">
        <v>53.3</v>
      </c>
      <c r="AA40">
        <v>15</v>
      </c>
      <c r="AB40">
        <v>63</v>
      </c>
      <c r="AC40">
        <v>16</v>
      </c>
      <c r="AD40">
        <v>35</v>
      </c>
      <c r="AE40" t="s">
        <v>60</v>
      </c>
    </row>
    <row r="41" spans="1:31" x14ac:dyDescent="0.2">
      <c r="A41">
        <v>40</v>
      </c>
      <c r="B41" t="s">
        <v>371</v>
      </c>
      <c r="C41">
        <v>29</v>
      </c>
      <c r="D41" t="s">
        <v>372</v>
      </c>
      <c r="E41" t="s">
        <v>322</v>
      </c>
      <c r="F41">
        <v>48</v>
      </c>
      <c r="G41">
        <v>23</v>
      </c>
      <c r="H41">
        <v>19</v>
      </c>
      <c r="I41">
        <v>42</v>
      </c>
      <c r="J41">
        <v>2</v>
      </c>
      <c r="K41">
        <v>32</v>
      </c>
      <c r="L41">
        <v>15</v>
      </c>
      <c r="M41">
        <v>8</v>
      </c>
      <c r="N41">
        <v>0</v>
      </c>
      <c r="O41">
        <v>5</v>
      </c>
      <c r="P41">
        <v>14</v>
      </c>
      <c r="Q41">
        <v>5</v>
      </c>
      <c r="R41">
        <v>0</v>
      </c>
      <c r="S41">
        <v>138</v>
      </c>
      <c r="T41">
        <v>16.7</v>
      </c>
      <c r="U41">
        <v>290</v>
      </c>
      <c r="V41" t="s">
        <v>2248</v>
      </c>
      <c r="W41" t="s">
        <v>2249</v>
      </c>
      <c r="X41">
        <v>520</v>
      </c>
      <c r="Y41">
        <v>461</v>
      </c>
      <c r="Z41">
        <v>53</v>
      </c>
      <c r="AA41">
        <v>27</v>
      </c>
      <c r="AB41">
        <v>22</v>
      </c>
      <c r="AC41">
        <v>12</v>
      </c>
      <c r="AD41">
        <v>43</v>
      </c>
      <c r="AE41" t="s">
        <v>60</v>
      </c>
    </row>
    <row r="42" spans="1:31" x14ac:dyDescent="0.2">
      <c r="A42">
        <v>41</v>
      </c>
      <c r="B42" t="s">
        <v>380</v>
      </c>
      <c r="C42">
        <v>28</v>
      </c>
      <c r="D42" t="s">
        <v>337</v>
      </c>
      <c r="E42" t="s">
        <v>322</v>
      </c>
      <c r="F42">
        <v>43</v>
      </c>
      <c r="G42">
        <v>13</v>
      </c>
      <c r="H42">
        <v>29</v>
      </c>
      <c r="I42">
        <v>42</v>
      </c>
      <c r="J42">
        <v>6</v>
      </c>
      <c r="K42">
        <v>12</v>
      </c>
      <c r="L42">
        <v>11</v>
      </c>
      <c r="M42">
        <v>0</v>
      </c>
      <c r="N42">
        <v>2</v>
      </c>
      <c r="O42">
        <v>1</v>
      </c>
      <c r="P42">
        <v>18</v>
      </c>
      <c r="Q42">
        <v>9</v>
      </c>
      <c r="R42">
        <v>2</v>
      </c>
      <c r="S42">
        <v>103</v>
      </c>
      <c r="T42">
        <v>12.6</v>
      </c>
      <c r="U42">
        <v>212</v>
      </c>
      <c r="V42" t="s">
        <v>1939</v>
      </c>
      <c r="W42" t="s">
        <v>370</v>
      </c>
      <c r="X42">
        <v>4</v>
      </c>
      <c r="Y42">
        <v>4</v>
      </c>
      <c r="Z42">
        <v>50</v>
      </c>
      <c r="AA42">
        <v>13</v>
      </c>
      <c r="AB42">
        <v>0</v>
      </c>
      <c r="AC42">
        <v>16</v>
      </c>
      <c r="AD42">
        <v>35</v>
      </c>
      <c r="AE42" t="s">
        <v>60</v>
      </c>
    </row>
    <row r="43" spans="1:31" x14ac:dyDescent="0.2">
      <c r="A43">
        <v>42</v>
      </c>
      <c r="B43" t="s">
        <v>366</v>
      </c>
      <c r="C43">
        <v>31</v>
      </c>
      <c r="D43" t="s">
        <v>367</v>
      </c>
      <c r="E43" t="s">
        <v>335</v>
      </c>
      <c r="F43">
        <v>41</v>
      </c>
      <c r="G43">
        <v>22</v>
      </c>
      <c r="H43">
        <v>20</v>
      </c>
      <c r="I43">
        <v>42</v>
      </c>
      <c r="J43">
        <v>20</v>
      </c>
      <c r="K43">
        <v>59</v>
      </c>
      <c r="L43">
        <v>15</v>
      </c>
      <c r="M43">
        <v>7</v>
      </c>
      <c r="N43">
        <v>0</v>
      </c>
      <c r="O43">
        <v>2</v>
      </c>
      <c r="P43">
        <v>18</v>
      </c>
      <c r="Q43">
        <v>2</v>
      </c>
      <c r="R43">
        <v>0</v>
      </c>
      <c r="S43">
        <v>97</v>
      </c>
      <c r="T43">
        <v>22.7</v>
      </c>
      <c r="U43">
        <v>181</v>
      </c>
      <c r="V43" t="s">
        <v>1886</v>
      </c>
      <c r="W43" t="s">
        <v>1791</v>
      </c>
      <c r="X43">
        <v>11</v>
      </c>
      <c r="Y43">
        <v>13</v>
      </c>
      <c r="Z43">
        <v>45.8</v>
      </c>
      <c r="AA43">
        <v>24</v>
      </c>
      <c r="AB43">
        <v>110</v>
      </c>
      <c r="AC43">
        <v>11</v>
      </c>
      <c r="AD43">
        <v>49</v>
      </c>
      <c r="AE43" t="s">
        <v>60</v>
      </c>
    </row>
    <row r="44" spans="1:31" x14ac:dyDescent="0.2">
      <c r="A44">
        <v>43</v>
      </c>
      <c r="B44" t="s">
        <v>407</v>
      </c>
      <c r="C44">
        <v>24</v>
      </c>
      <c r="D44" t="s">
        <v>408</v>
      </c>
      <c r="E44" t="s">
        <v>322</v>
      </c>
      <c r="F44">
        <v>45</v>
      </c>
      <c r="G44">
        <v>18</v>
      </c>
      <c r="H44">
        <v>24</v>
      </c>
      <c r="I44">
        <v>42</v>
      </c>
      <c r="J44">
        <v>-4</v>
      </c>
      <c r="K44">
        <v>34</v>
      </c>
      <c r="L44">
        <v>11</v>
      </c>
      <c r="M44">
        <v>7</v>
      </c>
      <c r="N44">
        <v>0</v>
      </c>
      <c r="O44">
        <v>2</v>
      </c>
      <c r="P44">
        <v>17</v>
      </c>
      <c r="Q44">
        <v>7</v>
      </c>
      <c r="R44">
        <v>0</v>
      </c>
      <c r="S44">
        <v>102</v>
      </c>
      <c r="T44">
        <v>17.600000000000001</v>
      </c>
      <c r="U44">
        <v>214</v>
      </c>
      <c r="V44" t="s">
        <v>2713</v>
      </c>
      <c r="W44" t="s">
        <v>2714</v>
      </c>
      <c r="X44">
        <v>56</v>
      </c>
      <c r="Y44">
        <v>93</v>
      </c>
      <c r="Z44">
        <v>37.6</v>
      </c>
      <c r="AA44">
        <v>12</v>
      </c>
      <c r="AB44">
        <v>15</v>
      </c>
      <c r="AC44">
        <v>13</v>
      </c>
      <c r="AD44">
        <v>42</v>
      </c>
      <c r="AE44" t="s">
        <v>60</v>
      </c>
    </row>
    <row r="45" spans="1:31" x14ac:dyDescent="0.2">
      <c r="A45">
        <v>44</v>
      </c>
      <c r="B45" t="s">
        <v>355</v>
      </c>
      <c r="C45">
        <v>27</v>
      </c>
      <c r="D45" t="s">
        <v>356</v>
      </c>
      <c r="E45" t="s">
        <v>322</v>
      </c>
      <c r="F45">
        <v>46</v>
      </c>
      <c r="G45">
        <v>25</v>
      </c>
      <c r="H45">
        <v>16</v>
      </c>
      <c r="I45">
        <v>41</v>
      </c>
      <c r="J45">
        <v>-6</v>
      </c>
      <c r="K45">
        <v>14</v>
      </c>
      <c r="L45">
        <v>18</v>
      </c>
      <c r="M45">
        <v>7</v>
      </c>
      <c r="N45">
        <v>0</v>
      </c>
      <c r="O45">
        <v>4</v>
      </c>
      <c r="P45">
        <v>11</v>
      </c>
      <c r="Q45">
        <v>5</v>
      </c>
      <c r="R45">
        <v>0</v>
      </c>
      <c r="S45">
        <v>108</v>
      </c>
      <c r="T45">
        <v>23.1</v>
      </c>
      <c r="U45">
        <v>202</v>
      </c>
      <c r="V45" t="s">
        <v>2250</v>
      </c>
      <c r="W45" t="s">
        <v>1494</v>
      </c>
      <c r="X45">
        <v>51</v>
      </c>
      <c r="Y45">
        <v>63</v>
      </c>
      <c r="Z45">
        <v>44.7</v>
      </c>
      <c r="AA45">
        <v>16</v>
      </c>
      <c r="AB45">
        <v>71</v>
      </c>
      <c r="AC45">
        <v>12</v>
      </c>
      <c r="AD45">
        <v>38</v>
      </c>
      <c r="AE45" t="s">
        <v>60</v>
      </c>
    </row>
    <row r="46" spans="1:31" x14ac:dyDescent="0.2">
      <c r="A46">
        <v>45</v>
      </c>
      <c r="B46" t="s">
        <v>383</v>
      </c>
      <c r="C46">
        <v>27</v>
      </c>
      <c r="D46" t="s">
        <v>353</v>
      </c>
      <c r="E46" t="s">
        <v>340</v>
      </c>
      <c r="F46">
        <v>40</v>
      </c>
      <c r="G46">
        <v>22</v>
      </c>
      <c r="H46">
        <v>19</v>
      </c>
      <c r="I46">
        <v>41</v>
      </c>
      <c r="J46">
        <v>25</v>
      </c>
      <c r="K46">
        <v>28</v>
      </c>
      <c r="L46">
        <v>18</v>
      </c>
      <c r="M46">
        <v>3</v>
      </c>
      <c r="N46">
        <v>1</v>
      </c>
      <c r="O46">
        <v>5</v>
      </c>
      <c r="P46">
        <v>16</v>
      </c>
      <c r="Q46">
        <v>3</v>
      </c>
      <c r="R46">
        <v>0</v>
      </c>
      <c r="S46">
        <v>117</v>
      </c>
      <c r="T46">
        <v>18.8</v>
      </c>
      <c r="U46">
        <v>263</v>
      </c>
      <c r="V46" t="s">
        <v>2251</v>
      </c>
      <c r="W46" t="s">
        <v>2252</v>
      </c>
      <c r="X46">
        <v>16</v>
      </c>
      <c r="Y46">
        <v>22</v>
      </c>
      <c r="Z46">
        <v>42.1</v>
      </c>
      <c r="AA46">
        <v>22</v>
      </c>
      <c r="AB46">
        <v>30</v>
      </c>
      <c r="AC46">
        <v>16</v>
      </c>
      <c r="AD46">
        <v>44</v>
      </c>
      <c r="AE46" t="s">
        <v>60</v>
      </c>
    </row>
    <row r="47" spans="1:31" x14ac:dyDescent="0.2">
      <c r="A47">
        <v>46</v>
      </c>
      <c r="B47" t="s">
        <v>414</v>
      </c>
      <c r="C47">
        <v>29</v>
      </c>
      <c r="D47" t="s">
        <v>406</v>
      </c>
      <c r="E47" t="s">
        <v>322</v>
      </c>
      <c r="F47">
        <v>47</v>
      </c>
      <c r="G47">
        <v>16</v>
      </c>
      <c r="H47">
        <v>25</v>
      </c>
      <c r="I47">
        <v>41</v>
      </c>
      <c r="J47">
        <v>8</v>
      </c>
      <c r="K47">
        <v>12</v>
      </c>
      <c r="L47">
        <v>12</v>
      </c>
      <c r="M47">
        <v>4</v>
      </c>
      <c r="N47">
        <v>0</v>
      </c>
      <c r="O47">
        <v>4</v>
      </c>
      <c r="P47">
        <v>20</v>
      </c>
      <c r="Q47">
        <v>5</v>
      </c>
      <c r="R47">
        <v>0</v>
      </c>
      <c r="S47">
        <v>116</v>
      </c>
      <c r="T47">
        <v>13.8</v>
      </c>
      <c r="U47">
        <v>232</v>
      </c>
      <c r="V47" t="s">
        <v>2253</v>
      </c>
      <c r="W47" t="s">
        <v>2254</v>
      </c>
      <c r="X47">
        <v>223</v>
      </c>
      <c r="Y47">
        <v>255</v>
      </c>
      <c r="Z47">
        <v>46.7</v>
      </c>
      <c r="AA47">
        <v>31</v>
      </c>
      <c r="AB47">
        <v>12</v>
      </c>
      <c r="AC47">
        <v>26</v>
      </c>
      <c r="AD47">
        <v>51</v>
      </c>
      <c r="AE47" t="s">
        <v>60</v>
      </c>
    </row>
    <row r="48" spans="1:31" x14ac:dyDescent="0.2">
      <c r="A48">
        <v>47</v>
      </c>
      <c r="B48" t="s">
        <v>415</v>
      </c>
      <c r="C48">
        <v>26</v>
      </c>
      <c r="D48" t="s">
        <v>346</v>
      </c>
      <c r="E48" t="s">
        <v>322</v>
      </c>
      <c r="F48">
        <v>45</v>
      </c>
      <c r="G48">
        <v>18</v>
      </c>
      <c r="H48">
        <v>23</v>
      </c>
      <c r="I48">
        <v>41</v>
      </c>
      <c r="J48">
        <v>1</v>
      </c>
      <c r="K48">
        <v>14</v>
      </c>
      <c r="L48">
        <v>12</v>
      </c>
      <c r="M48">
        <v>6</v>
      </c>
      <c r="N48">
        <v>0</v>
      </c>
      <c r="O48">
        <v>2</v>
      </c>
      <c r="P48">
        <v>17</v>
      </c>
      <c r="Q48">
        <v>6</v>
      </c>
      <c r="R48">
        <v>0</v>
      </c>
      <c r="S48">
        <v>93</v>
      </c>
      <c r="T48">
        <v>19.399999999999999</v>
      </c>
      <c r="U48">
        <v>180</v>
      </c>
      <c r="V48" t="s">
        <v>2255</v>
      </c>
      <c r="W48" t="s">
        <v>1868</v>
      </c>
      <c r="X48">
        <v>30</v>
      </c>
      <c r="Y48">
        <v>37</v>
      </c>
      <c r="Z48">
        <v>44.8</v>
      </c>
      <c r="AA48">
        <v>18</v>
      </c>
      <c r="AB48">
        <v>11</v>
      </c>
      <c r="AC48">
        <v>9</v>
      </c>
      <c r="AD48">
        <v>39</v>
      </c>
      <c r="AE48" t="s">
        <v>60</v>
      </c>
    </row>
    <row r="49" spans="1:31" x14ac:dyDescent="0.2">
      <c r="A49">
        <v>48</v>
      </c>
      <c r="B49" t="s">
        <v>354</v>
      </c>
      <c r="C49">
        <v>22</v>
      </c>
      <c r="D49" t="s">
        <v>337</v>
      </c>
      <c r="E49" t="s">
        <v>340</v>
      </c>
      <c r="F49">
        <v>45</v>
      </c>
      <c r="G49">
        <v>20</v>
      </c>
      <c r="H49">
        <v>20</v>
      </c>
      <c r="I49">
        <v>40</v>
      </c>
      <c r="J49">
        <v>3</v>
      </c>
      <c r="K49">
        <v>16</v>
      </c>
      <c r="L49">
        <v>15</v>
      </c>
      <c r="M49">
        <v>5</v>
      </c>
      <c r="N49">
        <v>0</v>
      </c>
      <c r="O49">
        <v>3</v>
      </c>
      <c r="P49">
        <v>16</v>
      </c>
      <c r="Q49">
        <v>4</v>
      </c>
      <c r="R49">
        <v>0</v>
      </c>
      <c r="S49">
        <v>169</v>
      </c>
      <c r="T49">
        <v>11.8</v>
      </c>
      <c r="U49">
        <v>332</v>
      </c>
      <c r="V49" t="s">
        <v>2029</v>
      </c>
      <c r="W49" t="s">
        <v>554</v>
      </c>
      <c r="X49">
        <v>33</v>
      </c>
      <c r="Y49">
        <v>42</v>
      </c>
      <c r="Z49">
        <v>44</v>
      </c>
      <c r="AA49">
        <v>12</v>
      </c>
      <c r="AB49">
        <v>32</v>
      </c>
      <c r="AC49">
        <v>12</v>
      </c>
      <c r="AD49">
        <v>44</v>
      </c>
      <c r="AE49" t="s">
        <v>60</v>
      </c>
    </row>
    <row r="50" spans="1:31" x14ac:dyDescent="0.2">
      <c r="A50">
        <v>49</v>
      </c>
      <c r="B50" t="s">
        <v>446</v>
      </c>
      <c r="C50">
        <v>22</v>
      </c>
      <c r="D50" t="s">
        <v>406</v>
      </c>
      <c r="E50" t="s">
        <v>335</v>
      </c>
      <c r="F50">
        <v>47</v>
      </c>
      <c r="G50">
        <v>23</v>
      </c>
      <c r="H50">
        <v>17</v>
      </c>
      <c r="I50">
        <v>40</v>
      </c>
      <c r="J50">
        <v>4</v>
      </c>
      <c r="K50">
        <v>20</v>
      </c>
      <c r="L50">
        <v>19</v>
      </c>
      <c r="M50">
        <v>4</v>
      </c>
      <c r="N50">
        <v>0</v>
      </c>
      <c r="O50">
        <v>6</v>
      </c>
      <c r="P50">
        <v>11</v>
      </c>
      <c r="Q50">
        <v>6</v>
      </c>
      <c r="R50">
        <v>0</v>
      </c>
      <c r="S50">
        <v>156</v>
      </c>
      <c r="T50">
        <v>14.7</v>
      </c>
      <c r="U50">
        <v>305</v>
      </c>
      <c r="V50" t="s">
        <v>2256</v>
      </c>
      <c r="W50" t="s">
        <v>1021</v>
      </c>
      <c r="X50">
        <v>21</v>
      </c>
      <c r="Y50">
        <v>29</v>
      </c>
      <c r="Z50">
        <v>42</v>
      </c>
      <c r="AA50">
        <v>16</v>
      </c>
      <c r="AB50">
        <v>40</v>
      </c>
      <c r="AC50">
        <v>10</v>
      </c>
      <c r="AD50">
        <v>39</v>
      </c>
      <c r="AE50" t="s">
        <v>60</v>
      </c>
    </row>
    <row r="51" spans="1:31" x14ac:dyDescent="0.2">
      <c r="A51">
        <v>50</v>
      </c>
      <c r="B51" t="s">
        <v>388</v>
      </c>
      <c r="C51">
        <v>40</v>
      </c>
      <c r="D51" t="s">
        <v>367</v>
      </c>
      <c r="E51" t="s">
        <v>340</v>
      </c>
      <c r="F51">
        <v>47</v>
      </c>
      <c r="G51">
        <v>20</v>
      </c>
      <c r="H51">
        <v>20</v>
      </c>
      <c r="I51">
        <v>40</v>
      </c>
      <c r="J51">
        <v>2</v>
      </c>
      <c r="K51">
        <v>14</v>
      </c>
      <c r="L51">
        <v>17</v>
      </c>
      <c r="M51">
        <v>3</v>
      </c>
      <c r="N51">
        <v>0</v>
      </c>
      <c r="O51">
        <v>4</v>
      </c>
      <c r="P51">
        <v>12</v>
      </c>
      <c r="Q51">
        <v>8</v>
      </c>
      <c r="R51">
        <v>0</v>
      </c>
      <c r="S51">
        <v>127</v>
      </c>
      <c r="T51">
        <v>15.7</v>
      </c>
      <c r="U51">
        <v>307</v>
      </c>
      <c r="V51" t="s">
        <v>2257</v>
      </c>
      <c r="W51" t="s">
        <v>1704</v>
      </c>
      <c r="X51">
        <v>2</v>
      </c>
      <c r="Y51">
        <v>0</v>
      </c>
      <c r="Z51">
        <v>100</v>
      </c>
      <c r="AA51">
        <v>9</v>
      </c>
      <c r="AB51">
        <v>82</v>
      </c>
      <c r="AC51">
        <v>6</v>
      </c>
      <c r="AD51">
        <v>43</v>
      </c>
      <c r="AE51" t="s">
        <v>60</v>
      </c>
    </row>
    <row r="52" spans="1:31" x14ac:dyDescent="0.2">
      <c r="A52">
        <v>51</v>
      </c>
      <c r="B52" t="s">
        <v>390</v>
      </c>
      <c r="C52">
        <v>35</v>
      </c>
      <c r="D52" t="s">
        <v>360</v>
      </c>
      <c r="E52" t="s">
        <v>322</v>
      </c>
      <c r="F52">
        <v>46</v>
      </c>
      <c r="G52">
        <v>16</v>
      </c>
      <c r="H52">
        <v>24</v>
      </c>
      <c r="I52">
        <v>40</v>
      </c>
      <c r="J52">
        <v>-6</v>
      </c>
      <c r="K52">
        <v>20</v>
      </c>
      <c r="L52">
        <v>14</v>
      </c>
      <c r="M52">
        <v>2</v>
      </c>
      <c r="N52">
        <v>0</v>
      </c>
      <c r="O52">
        <v>1</v>
      </c>
      <c r="P52">
        <v>21</v>
      </c>
      <c r="Q52">
        <v>3</v>
      </c>
      <c r="R52">
        <v>0</v>
      </c>
      <c r="S52">
        <v>114</v>
      </c>
      <c r="T52">
        <v>14</v>
      </c>
      <c r="U52">
        <v>225</v>
      </c>
      <c r="V52" t="s">
        <v>2258</v>
      </c>
      <c r="W52" t="s">
        <v>1567</v>
      </c>
      <c r="X52">
        <v>427</v>
      </c>
      <c r="Y52">
        <v>293</v>
      </c>
      <c r="Z52">
        <v>59.3</v>
      </c>
      <c r="AA52">
        <v>10</v>
      </c>
      <c r="AB52">
        <v>42</v>
      </c>
      <c r="AC52">
        <v>18</v>
      </c>
      <c r="AD52">
        <v>44</v>
      </c>
      <c r="AE52" t="s">
        <v>60</v>
      </c>
    </row>
    <row r="53" spans="1:31" x14ac:dyDescent="0.2">
      <c r="A53">
        <v>52</v>
      </c>
      <c r="B53" t="s">
        <v>445</v>
      </c>
      <c r="C53">
        <v>20</v>
      </c>
      <c r="D53" t="s">
        <v>364</v>
      </c>
      <c r="E53" t="s">
        <v>335</v>
      </c>
      <c r="F53">
        <v>47</v>
      </c>
      <c r="G53">
        <v>10</v>
      </c>
      <c r="H53">
        <v>29</v>
      </c>
      <c r="I53">
        <v>39</v>
      </c>
      <c r="J53">
        <v>9</v>
      </c>
      <c r="K53">
        <v>22</v>
      </c>
      <c r="L53">
        <v>8</v>
      </c>
      <c r="M53">
        <v>2</v>
      </c>
      <c r="N53">
        <v>0</v>
      </c>
      <c r="O53">
        <v>2</v>
      </c>
      <c r="P53">
        <v>21</v>
      </c>
      <c r="Q53">
        <v>8</v>
      </c>
      <c r="R53">
        <v>0</v>
      </c>
      <c r="S53">
        <v>64</v>
      </c>
      <c r="T53">
        <v>15.6</v>
      </c>
      <c r="U53">
        <v>150</v>
      </c>
      <c r="V53" t="s">
        <v>2259</v>
      </c>
      <c r="W53" t="s">
        <v>1545</v>
      </c>
      <c r="X53">
        <v>0</v>
      </c>
      <c r="Y53">
        <v>0</v>
      </c>
      <c r="AA53">
        <v>18</v>
      </c>
      <c r="AB53">
        <v>19</v>
      </c>
      <c r="AC53">
        <v>13</v>
      </c>
      <c r="AD53">
        <v>42</v>
      </c>
      <c r="AE53" t="s">
        <v>60</v>
      </c>
    </row>
    <row r="54" spans="1:31" x14ac:dyDescent="0.2">
      <c r="A54">
        <v>53</v>
      </c>
      <c r="B54" t="s">
        <v>447</v>
      </c>
      <c r="C54">
        <v>32</v>
      </c>
      <c r="D54" t="s">
        <v>344</v>
      </c>
      <c r="E54" t="s">
        <v>322</v>
      </c>
      <c r="F54">
        <v>45</v>
      </c>
      <c r="G54">
        <v>18</v>
      </c>
      <c r="H54">
        <v>21</v>
      </c>
      <c r="I54">
        <v>39</v>
      </c>
      <c r="J54">
        <v>-1</v>
      </c>
      <c r="K54">
        <v>23</v>
      </c>
      <c r="L54">
        <v>9</v>
      </c>
      <c r="M54">
        <v>9</v>
      </c>
      <c r="N54">
        <v>0</v>
      </c>
      <c r="O54">
        <v>3</v>
      </c>
      <c r="P54">
        <v>14</v>
      </c>
      <c r="Q54">
        <v>7</v>
      </c>
      <c r="R54">
        <v>0</v>
      </c>
      <c r="S54">
        <v>121</v>
      </c>
      <c r="T54">
        <v>14.9</v>
      </c>
      <c r="U54">
        <v>239</v>
      </c>
      <c r="V54" t="s">
        <v>2715</v>
      </c>
      <c r="W54" t="s">
        <v>1552</v>
      </c>
      <c r="X54">
        <v>409</v>
      </c>
      <c r="Y54">
        <v>302</v>
      </c>
      <c r="Z54">
        <v>57.5</v>
      </c>
      <c r="AA54">
        <v>20</v>
      </c>
      <c r="AB54">
        <v>55</v>
      </c>
      <c r="AC54">
        <v>11</v>
      </c>
      <c r="AD54">
        <v>30</v>
      </c>
      <c r="AE54" t="s">
        <v>60</v>
      </c>
    </row>
    <row r="55" spans="1:31" x14ac:dyDescent="0.2">
      <c r="A55">
        <v>54</v>
      </c>
      <c r="B55" t="s">
        <v>438</v>
      </c>
      <c r="C55">
        <v>28</v>
      </c>
      <c r="D55" t="s">
        <v>408</v>
      </c>
      <c r="E55" t="s">
        <v>335</v>
      </c>
      <c r="F55">
        <v>44</v>
      </c>
      <c r="G55">
        <v>14</v>
      </c>
      <c r="H55">
        <v>25</v>
      </c>
      <c r="I55">
        <v>39</v>
      </c>
      <c r="J55">
        <v>10</v>
      </c>
      <c r="K55">
        <v>43</v>
      </c>
      <c r="L55">
        <v>13</v>
      </c>
      <c r="M55">
        <v>1</v>
      </c>
      <c r="N55">
        <v>0</v>
      </c>
      <c r="O55">
        <v>1</v>
      </c>
      <c r="P55">
        <v>18</v>
      </c>
      <c r="Q55">
        <v>7</v>
      </c>
      <c r="R55">
        <v>0</v>
      </c>
      <c r="S55">
        <v>99</v>
      </c>
      <c r="T55">
        <v>14.1</v>
      </c>
      <c r="U55">
        <v>178</v>
      </c>
      <c r="V55" t="s">
        <v>2716</v>
      </c>
      <c r="W55" t="s">
        <v>2446</v>
      </c>
      <c r="X55">
        <v>10</v>
      </c>
      <c r="Y55">
        <v>27</v>
      </c>
      <c r="Z55">
        <v>27</v>
      </c>
      <c r="AA55">
        <v>23</v>
      </c>
      <c r="AB55">
        <v>58</v>
      </c>
      <c r="AC55">
        <v>10</v>
      </c>
      <c r="AD55">
        <v>66</v>
      </c>
      <c r="AE55" t="s">
        <v>60</v>
      </c>
    </row>
    <row r="56" spans="1:31" x14ac:dyDescent="0.2">
      <c r="A56">
        <v>55</v>
      </c>
      <c r="B56" t="s">
        <v>460</v>
      </c>
      <c r="C56">
        <v>34</v>
      </c>
      <c r="D56" t="s">
        <v>461</v>
      </c>
      <c r="E56" t="s">
        <v>322</v>
      </c>
      <c r="F56">
        <v>46</v>
      </c>
      <c r="G56">
        <v>13</v>
      </c>
      <c r="H56">
        <v>26</v>
      </c>
      <c r="I56">
        <v>39</v>
      </c>
      <c r="J56">
        <v>0</v>
      </c>
      <c r="K56">
        <v>8</v>
      </c>
      <c r="L56">
        <v>9</v>
      </c>
      <c r="M56">
        <v>2</v>
      </c>
      <c r="N56">
        <v>2</v>
      </c>
      <c r="O56">
        <v>5</v>
      </c>
      <c r="P56">
        <v>19</v>
      </c>
      <c r="Q56">
        <v>7</v>
      </c>
      <c r="R56">
        <v>0</v>
      </c>
      <c r="S56">
        <v>79</v>
      </c>
      <c r="T56">
        <v>16.5</v>
      </c>
      <c r="U56">
        <v>137</v>
      </c>
      <c r="V56" t="s">
        <v>2260</v>
      </c>
      <c r="W56" t="s">
        <v>1784</v>
      </c>
      <c r="X56">
        <v>435</v>
      </c>
      <c r="Y56">
        <v>341</v>
      </c>
      <c r="Z56">
        <v>56.1</v>
      </c>
      <c r="AA56">
        <v>36</v>
      </c>
      <c r="AB56">
        <v>9</v>
      </c>
      <c r="AC56">
        <v>29</v>
      </c>
      <c r="AD56">
        <v>29</v>
      </c>
      <c r="AE56" t="s">
        <v>60</v>
      </c>
    </row>
    <row r="57" spans="1:31" x14ac:dyDescent="0.2">
      <c r="A57">
        <v>56</v>
      </c>
      <c r="B57" t="s">
        <v>510</v>
      </c>
      <c r="C57">
        <v>29</v>
      </c>
      <c r="D57" t="s">
        <v>353</v>
      </c>
      <c r="E57" t="s">
        <v>349</v>
      </c>
      <c r="F57">
        <v>39</v>
      </c>
      <c r="G57">
        <v>12</v>
      </c>
      <c r="H57">
        <v>27</v>
      </c>
      <c r="I57">
        <v>39</v>
      </c>
      <c r="J57">
        <v>18</v>
      </c>
      <c r="K57">
        <v>21</v>
      </c>
      <c r="L57">
        <v>6</v>
      </c>
      <c r="M57">
        <v>6</v>
      </c>
      <c r="N57">
        <v>0</v>
      </c>
      <c r="O57">
        <v>3</v>
      </c>
      <c r="P57">
        <v>20</v>
      </c>
      <c r="Q57">
        <v>7</v>
      </c>
      <c r="R57">
        <v>0</v>
      </c>
      <c r="S57">
        <v>91</v>
      </c>
      <c r="T57">
        <v>13.2</v>
      </c>
      <c r="U57">
        <v>212</v>
      </c>
      <c r="V57" t="s">
        <v>2261</v>
      </c>
      <c r="W57" t="s">
        <v>2262</v>
      </c>
      <c r="X57">
        <v>0</v>
      </c>
      <c r="Y57">
        <v>0</v>
      </c>
      <c r="AA57">
        <v>34</v>
      </c>
      <c r="AB57">
        <v>37</v>
      </c>
      <c r="AC57">
        <v>7</v>
      </c>
      <c r="AD57">
        <v>34</v>
      </c>
      <c r="AE57" t="s">
        <v>60</v>
      </c>
    </row>
    <row r="58" spans="1:31" x14ac:dyDescent="0.2">
      <c r="A58">
        <v>57</v>
      </c>
      <c r="B58" t="s">
        <v>448</v>
      </c>
      <c r="C58">
        <v>26</v>
      </c>
      <c r="D58" t="s">
        <v>957</v>
      </c>
      <c r="E58" t="s">
        <v>349</v>
      </c>
      <c r="F58">
        <v>41</v>
      </c>
      <c r="G58">
        <v>3</v>
      </c>
      <c r="H58">
        <v>36</v>
      </c>
      <c r="I58">
        <v>39</v>
      </c>
      <c r="J58">
        <v>-5</v>
      </c>
      <c r="K58">
        <v>14</v>
      </c>
      <c r="L58">
        <v>1</v>
      </c>
      <c r="M58">
        <v>2</v>
      </c>
      <c r="N58">
        <v>0</v>
      </c>
      <c r="O58">
        <v>0</v>
      </c>
      <c r="P58">
        <v>20</v>
      </c>
      <c r="Q58">
        <v>16</v>
      </c>
      <c r="R58">
        <v>0</v>
      </c>
      <c r="S58">
        <v>116</v>
      </c>
      <c r="T58">
        <v>2.6</v>
      </c>
      <c r="U58">
        <v>283</v>
      </c>
      <c r="V58" t="s">
        <v>2121</v>
      </c>
      <c r="W58" t="s">
        <v>2122</v>
      </c>
      <c r="X58">
        <v>0</v>
      </c>
      <c r="Y58">
        <v>0</v>
      </c>
      <c r="AA58">
        <v>48</v>
      </c>
      <c r="AB58">
        <v>5</v>
      </c>
      <c r="AC58">
        <v>16</v>
      </c>
      <c r="AD58">
        <v>56</v>
      </c>
      <c r="AE58" t="s">
        <v>60</v>
      </c>
    </row>
    <row r="59" spans="1:31" x14ac:dyDescent="0.2">
      <c r="A59">
        <v>57</v>
      </c>
      <c r="B59" t="s">
        <v>448</v>
      </c>
      <c r="C59">
        <v>26</v>
      </c>
      <c r="D59" t="s">
        <v>449</v>
      </c>
      <c r="E59" t="s">
        <v>349</v>
      </c>
      <c r="F59">
        <v>26</v>
      </c>
      <c r="G59">
        <v>2</v>
      </c>
      <c r="H59">
        <v>21</v>
      </c>
      <c r="I59">
        <v>23</v>
      </c>
      <c r="J59">
        <v>-10</v>
      </c>
      <c r="K59">
        <v>12</v>
      </c>
      <c r="L59">
        <v>0</v>
      </c>
      <c r="M59">
        <v>2</v>
      </c>
      <c r="N59">
        <v>0</v>
      </c>
      <c r="O59">
        <v>0</v>
      </c>
      <c r="P59">
        <v>11</v>
      </c>
      <c r="Q59">
        <v>10</v>
      </c>
      <c r="R59">
        <v>0</v>
      </c>
      <c r="S59">
        <v>74</v>
      </c>
      <c r="T59">
        <v>2.7</v>
      </c>
      <c r="U59">
        <v>190</v>
      </c>
      <c r="V59" t="s">
        <v>1570</v>
      </c>
      <c r="W59" t="s">
        <v>1571</v>
      </c>
      <c r="X59">
        <v>0</v>
      </c>
      <c r="Y59">
        <v>0</v>
      </c>
      <c r="AA59">
        <v>32</v>
      </c>
      <c r="AB59">
        <v>1</v>
      </c>
      <c r="AC59">
        <v>10</v>
      </c>
      <c r="AD59">
        <v>41</v>
      </c>
      <c r="AE59" t="s">
        <v>60</v>
      </c>
    </row>
    <row r="60" spans="1:31" x14ac:dyDescent="0.2">
      <c r="A60">
        <v>57</v>
      </c>
      <c r="B60" t="s">
        <v>448</v>
      </c>
      <c r="C60">
        <v>26</v>
      </c>
      <c r="D60" t="s">
        <v>358</v>
      </c>
      <c r="E60" t="s">
        <v>349</v>
      </c>
      <c r="F60">
        <v>15</v>
      </c>
      <c r="G60">
        <v>1</v>
      </c>
      <c r="H60">
        <v>15</v>
      </c>
      <c r="I60">
        <v>16</v>
      </c>
      <c r="J60">
        <v>5</v>
      </c>
      <c r="K60">
        <v>2</v>
      </c>
      <c r="L60">
        <v>1</v>
      </c>
      <c r="M60">
        <v>0</v>
      </c>
      <c r="N60">
        <v>0</v>
      </c>
      <c r="O60">
        <v>0</v>
      </c>
      <c r="P60">
        <v>9</v>
      </c>
      <c r="Q60">
        <v>6</v>
      </c>
      <c r="R60">
        <v>0</v>
      </c>
      <c r="S60">
        <v>42</v>
      </c>
      <c r="T60">
        <v>2.4</v>
      </c>
      <c r="U60">
        <v>93</v>
      </c>
      <c r="V60" t="s">
        <v>2123</v>
      </c>
      <c r="W60" t="s">
        <v>2124</v>
      </c>
      <c r="X60">
        <v>0</v>
      </c>
      <c r="Y60">
        <v>0</v>
      </c>
      <c r="AA60">
        <v>16</v>
      </c>
      <c r="AB60">
        <v>4</v>
      </c>
      <c r="AC60">
        <v>6</v>
      </c>
      <c r="AD60">
        <v>15</v>
      </c>
      <c r="AE60" t="s">
        <v>60</v>
      </c>
    </row>
    <row r="61" spans="1:31" x14ac:dyDescent="0.2">
      <c r="A61">
        <v>58</v>
      </c>
      <c r="B61" t="s">
        <v>392</v>
      </c>
      <c r="C61">
        <v>23</v>
      </c>
      <c r="D61" t="s">
        <v>360</v>
      </c>
      <c r="E61" t="s">
        <v>340</v>
      </c>
      <c r="F61">
        <v>43</v>
      </c>
      <c r="G61">
        <v>12</v>
      </c>
      <c r="H61">
        <v>26</v>
      </c>
      <c r="I61">
        <v>38</v>
      </c>
      <c r="J61">
        <v>-3</v>
      </c>
      <c r="K61">
        <v>17</v>
      </c>
      <c r="L61">
        <v>8</v>
      </c>
      <c r="M61">
        <v>4</v>
      </c>
      <c r="N61">
        <v>0</v>
      </c>
      <c r="O61">
        <v>2</v>
      </c>
      <c r="P61">
        <v>26</v>
      </c>
      <c r="Q61">
        <v>0</v>
      </c>
      <c r="R61">
        <v>0</v>
      </c>
      <c r="S61">
        <v>88</v>
      </c>
      <c r="T61">
        <v>13.6</v>
      </c>
      <c r="U61">
        <v>147</v>
      </c>
      <c r="V61" t="s">
        <v>2263</v>
      </c>
      <c r="W61" t="s">
        <v>1122</v>
      </c>
      <c r="X61">
        <v>0</v>
      </c>
      <c r="Y61">
        <v>0</v>
      </c>
      <c r="AA61">
        <v>20</v>
      </c>
      <c r="AB61">
        <v>97</v>
      </c>
      <c r="AC61">
        <v>12</v>
      </c>
      <c r="AD61">
        <v>37</v>
      </c>
      <c r="AE61" t="s">
        <v>60</v>
      </c>
    </row>
    <row r="62" spans="1:31" x14ac:dyDescent="0.2">
      <c r="A62">
        <v>59</v>
      </c>
      <c r="B62" t="s">
        <v>422</v>
      </c>
      <c r="C62">
        <v>25</v>
      </c>
      <c r="D62" t="s">
        <v>382</v>
      </c>
      <c r="E62" t="s">
        <v>335</v>
      </c>
      <c r="F62">
        <v>42</v>
      </c>
      <c r="G62">
        <v>16</v>
      </c>
      <c r="H62">
        <v>22</v>
      </c>
      <c r="I62">
        <v>38</v>
      </c>
      <c r="J62">
        <v>2</v>
      </c>
      <c r="K62">
        <v>18</v>
      </c>
      <c r="L62">
        <v>12</v>
      </c>
      <c r="M62">
        <v>3</v>
      </c>
      <c r="N62">
        <v>1</v>
      </c>
      <c r="O62">
        <v>3</v>
      </c>
      <c r="P62">
        <v>11</v>
      </c>
      <c r="Q62">
        <v>11</v>
      </c>
      <c r="R62">
        <v>0</v>
      </c>
      <c r="S62">
        <v>132</v>
      </c>
      <c r="T62">
        <v>12.1</v>
      </c>
      <c r="U62">
        <v>272</v>
      </c>
      <c r="V62" t="s">
        <v>2264</v>
      </c>
      <c r="W62" t="s">
        <v>706</v>
      </c>
      <c r="X62">
        <v>1</v>
      </c>
      <c r="Y62">
        <v>2</v>
      </c>
      <c r="Z62">
        <v>33.299999999999997</v>
      </c>
      <c r="AA62">
        <v>26</v>
      </c>
      <c r="AB62">
        <v>35</v>
      </c>
      <c r="AC62">
        <v>25</v>
      </c>
      <c r="AD62">
        <v>59</v>
      </c>
      <c r="AE62" t="s">
        <v>60</v>
      </c>
    </row>
    <row r="63" spans="1:31" x14ac:dyDescent="0.2">
      <c r="A63">
        <v>60</v>
      </c>
      <c r="B63" t="s">
        <v>491</v>
      </c>
      <c r="C63">
        <v>34</v>
      </c>
      <c r="D63" t="s">
        <v>321</v>
      </c>
      <c r="E63" t="s">
        <v>322</v>
      </c>
      <c r="F63">
        <v>45</v>
      </c>
      <c r="G63">
        <v>22</v>
      </c>
      <c r="H63">
        <v>16</v>
      </c>
      <c r="I63">
        <v>38</v>
      </c>
      <c r="J63">
        <v>11</v>
      </c>
      <c r="K63">
        <v>16</v>
      </c>
      <c r="L63">
        <v>14</v>
      </c>
      <c r="M63">
        <v>8</v>
      </c>
      <c r="N63">
        <v>0</v>
      </c>
      <c r="O63">
        <v>5</v>
      </c>
      <c r="P63">
        <v>13</v>
      </c>
      <c r="Q63">
        <v>3</v>
      </c>
      <c r="R63">
        <v>0</v>
      </c>
      <c r="S63">
        <v>98</v>
      </c>
      <c r="T63">
        <v>22.4</v>
      </c>
      <c r="U63">
        <v>168</v>
      </c>
      <c r="V63" t="s">
        <v>2125</v>
      </c>
      <c r="W63" t="s">
        <v>1441</v>
      </c>
      <c r="X63">
        <v>408</v>
      </c>
      <c r="Y63">
        <v>402</v>
      </c>
      <c r="Z63">
        <v>50.4</v>
      </c>
      <c r="AA63">
        <v>36</v>
      </c>
      <c r="AB63">
        <v>22</v>
      </c>
      <c r="AC63">
        <v>13</v>
      </c>
      <c r="AD63">
        <v>34</v>
      </c>
      <c r="AE63" t="s">
        <v>60</v>
      </c>
    </row>
    <row r="64" spans="1:31" x14ac:dyDescent="0.2">
      <c r="A64">
        <v>61</v>
      </c>
      <c r="B64" t="s">
        <v>555</v>
      </c>
      <c r="C64">
        <v>21</v>
      </c>
      <c r="D64" t="s">
        <v>364</v>
      </c>
      <c r="E64" t="s">
        <v>340</v>
      </c>
      <c r="F64">
        <v>47</v>
      </c>
      <c r="G64">
        <v>17</v>
      </c>
      <c r="H64">
        <v>21</v>
      </c>
      <c r="I64">
        <v>38</v>
      </c>
      <c r="J64">
        <v>8</v>
      </c>
      <c r="K64">
        <v>42</v>
      </c>
      <c r="L64">
        <v>9</v>
      </c>
      <c r="M64">
        <v>8</v>
      </c>
      <c r="N64">
        <v>0</v>
      </c>
      <c r="O64">
        <v>2</v>
      </c>
      <c r="P64">
        <v>15</v>
      </c>
      <c r="Q64">
        <v>6</v>
      </c>
      <c r="R64">
        <v>0</v>
      </c>
      <c r="S64">
        <v>92</v>
      </c>
      <c r="T64">
        <v>18.5</v>
      </c>
      <c r="U64">
        <v>197</v>
      </c>
      <c r="V64" t="s">
        <v>2265</v>
      </c>
      <c r="W64" t="s">
        <v>1888</v>
      </c>
      <c r="X64">
        <v>12</v>
      </c>
      <c r="Y64">
        <v>26</v>
      </c>
      <c r="Z64">
        <v>31.6</v>
      </c>
      <c r="AA64">
        <v>45</v>
      </c>
      <c r="AB64">
        <v>70</v>
      </c>
      <c r="AC64">
        <v>7</v>
      </c>
      <c r="AD64">
        <v>34</v>
      </c>
      <c r="AE64" t="s">
        <v>60</v>
      </c>
    </row>
    <row r="65" spans="1:31" x14ac:dyDescent="0.2">
      <c r="A65">
        <v>62</v>
      </c>
      <c r="B65" t="s">
        <v>428</v>
      </c>
      <c r="C65">
        <v>29</v>
      </c>
      <c r="D65" t="s">
        <v>429</v>
      </c>
      <c r="E65" t="s">
        <v>335</v>
      </c>
      <c r="F65">
        <v>44</v>
      </c>
      <c r="G65">
        <v>15</v>
      </c>
      <c r="H65">
        <v>23</v>
      </c>
      <c r="I65">
        <v>38</v>
      </c>
      <c r="J65">
        <v>7</v>
      </c>
      <c r="K65">
        <v>43</v>
      </c>
      <c r="L65">
        <v>12</v>
      </c>
      <c r="M65">
        <v>2</v>
      </c>
      <c r="N65">
        <v>1</v>
      </c>
      <c r="O65">
        <v>1</v>
      </c>
      <c r="P65">
        <v>20</v>
      </c>
      <c r="Q65">
        <v>1</v>
      </c>
      <c r="R65">
        <v>2</v>
      </c>
      <c r="S65">
        <v>109</v>
      </c>
      <c r="T65">
        <v>13.8</v>
      </c>
      <c r="U65">
        <v>216</v>
      </c>
      <c r="V65" t="s">
        <v>2717</v>
      </c>
      <c r="W65" t="s">
        <v>370</v>
      </c>
      <c r="X65">
        <v>20</v>
      </c>
      <c r="Y65">
        <v>22</v>
      </c>
      <c r="Z65">
        <v>47.6</v>
      </c>
      <c r="AA65">
        <v>50</v>
      </c>
      <c r="AB65">
        <v>45</v>
      </c>
      <c r="AC65">
        <v>19</v>
      </c>
      <c r="AD65">
        <v>36</v>
      </c>
      <c r="AE65" t="s">
        <v>60</v>
      </c>
    </row>
    <row r="66" spans="1:31" x14ac:dyDescent="0.2">
      <c r="A66">
        <v>63</v>
      </c>
      <c r="B66" t="s">
        <v>444</v>
      </c>
      <c r="C66">
        <v>28</v>
      </c>
      <c r="D66" t="s">
        <v>385</v>
      </c>
      <c r="E66" t="s">
        <v>322</v>
      </c>
      <c r="F66">
        <v>45</v>
      </c>
      <c r="G66">
        <v>11</v>
      </c>
      <c r="H66">
        <v>26</v>
      </c>
      <c r="I66">
        <v>37</v>
      </c>
      <c r="J66">
        <v>12</v>
      </c>
      <c r="K66">
        <v>41</v>
      </c>
      <c r="L66">
        <v>10</v>
      </c>
      <c r="M66">
        <v>1</v>
      </c>
      <c r="N66">
        <v>0</v>
      </c>
      <c r="O66">
        <v>2</v>
      </c>
      <c r="P66">
        <v>18</v>
      </c>
      <c r="Q66">
        <v>8</v>
      </c>
      <c r="R66">
        <v>0</v>
      </c>
      <c r="S66">
        <v>102</v>
      </c>
      <c r="T66">
        <v>10.8</v>
      </c>
      <c r="U66">
        <v>204</v>
      </c>
      <c r="V66" t="s">
        <v>2266</v>
      </c>
      <c r="W66" t="s">
        <v>1834</v>
      </c>
      <c r="X66">
        <v>161</v>
      </c>
      <c r="Y66">
        <v>252</v>
      </c>
      <c r="Z66">
        <v>39</v>
      </c>
      <c r="AA66">
        <v>29</v>
      </c>
      <c r="AB66">
        <v>17</v>
      </c>
      <c r="AC66">
        <v>24</v>
      </c>
      <c r="AD66">
        <v>53</v>
      </c>
      <c r="AE66" t="s">
        <v>60</v>
      </c>
    </row>
    <row r="67" spans="1:31" x14ac:dyDescent="0.2">
      <c r="A67">
        <v>64</v>
      </c>
      <c r="B67" t="s">
        <v>409</v>
      </c>
      <c r="C67">
        <v>30</v>
      </c>
      <c r="D67" t="s">
        <v>330</v>
      </c>
      <c r="E67" t="s">
        <v>340</v>
      </c>
      <c r="F67">
        <v>43</v>
      </c>
      <c r="G67">
        <v>24</v>
      </c>
      <c r="H67">
        <v>13</v>
      </c>
      <c r="I67">
        <v>37</v>
      </c>
      <c r="J67">
        <v>-10</v>
      </c>
      <c r="K67">
        <v>32</v>
      </c>
      <c r="L67">
        <v>15</v>
      </c>
      <c r="M67">
        <v>9</v>
      </c>
      <c r="N67">
        <v>0</v>
      </c>
      <c r="O67">
        <v>3</v>
      </c>
      <c r="P67">
        <v>6</v>
      </c>
      <c r="Q67">
        <v>7</v>
      </c>
      <c r="R67">
        <v>0</v>
      </c>
      <c r="S67">
        <v>103</v>
      </c>
      <c r="T67">
        <v>23.3</v>
      </c>
      <c r="U67">
        <v>179</v>
      </c>
      <c r="V67" t="s">
        <v>1983</v>
      </c>
      <c r="W67" t="s">
        <v>1828</v>
      </c>
      <c r="X67">
        <v>40</v>
      </c>
      <c r="Y67">
        <v>38</v>
      </c>
      <c r="Z67">
        <v>51.3</v>
      </c>
      <c r="AA67">
        <v>13</v>
      </c>
      <c r="AB67">
        <v>33</v>
      </c>
      <c r="AC67">
        <v>10</v>
      </c>
      <c r="AD67">
        <v>37</v>
      </c>
      <c r="AE67" t="s">
        <v>60</v>
      </c>
    </row>
    <row r="68" spans="1:31" x14ac:dyDescent="0.2">
      <c r="A68">
        <v>65</v>
      </c>
      <c r="B68" t="s">
        <v>404</v>
      </c>
      <c r="C68">
        <v>27</v>
      </c>
      <c r="D68" t="s">
        <v>400</v>
      </c>
      <c r="E68" t="s">
        <v>322</v>
      </c>
      <c r="F68">
        <v>47</v>
      </c>
      <c r="G68">
        <v>15</v>
      </c>
      <c r="H68">
        <v>22</v>
      </c>
      <c r="I68">
        <v>37</v>
      </c>
      <c r="J68">
        <v>-3</v>
      </c>
      <c r="K68">
        <v>19</v>
      </c>
      <c r="L68">
        <v>10</v>
      </c>
      <c r="M68">
        <v>5</v>
      </c>
      <c r="N68">
        <v>0</v>
      </c>
      <c r="O68">
        <v>2</v>
      </c>
      <c r="P68">
        <v>15</v>
      </c>
      <c r="Q68">
        <v>7</v>
      </c>
      <c r="R68">
        <v>0</v>
      </c>
      <c r="S68">
        <v>125</v>
      </c>
      <c r="T68">
        <v>12</v>
      </c>
      <c r="U68">
        <v>238</v>
      </c>
      <c r="V68" t="s">
        <v>2718</v>
      </c>
      <c r="W68" t="s">
        <v>1643</v>
      </c>
      <c r="X68">
        <v>550</v>
      </c>
      <c r="Y68">
        <v>444</v>
      </c>
      <c r="Z68">
        <v>55.3</v>
      </c>
      <c r="AA68">
        <v>42</v>
      </c>
      <c r="AB68">
        <v>37</v>
      </c>
      <c r="AC68">
        <v>21</v>
      </c>
      <c r="AD68">
        <v>42</v>
      </c>
      <c r="AE68" t="s">
        <v>60</v>
      </c>
    </row>
    <row r="69" spans="1:31" x14ac:dyDescent="0.2">
      <c r="A69">
        <v>66</v>
      </c>
      <c r="B69" t="s">
        <v>490</v>
      </c>
      <c r="C69">
        <v>28</v>
      </c>
      <c r="D69" t="s">
        <v>360</v>
      </c>
      <c r="E69" t="s">
        <v>322</v>
      </c>
      <c r="F69">
        <v>40</v>
      </c>
      <c r="G69">
        <v>22</v>
      </c>
      <c r="H69">
        <v>15</v>
      </c>
      <c r="I69">
        <v>37</v>
      </c>
      <c r="J69">
        <v>7</v>
      </c>
      <c r="K69">
        <v>16</v>
      </c>
      <c r="L69">
        <v>18</v>
      </c>
      <c r="M69">
        <v>4</v>
      </c>
      <c r="N69">
        <v>0</v>
      </c>
      <c r="O69">
        <v>3</v>
      </c>
      <c r="P69">
        <v>11</v>
      </c>
      <c r="Q69">
        <v>4</v>
      </c>
      <c r="R69">
        <v>0</v>
      </c>
      <c r="S69">
        <v>154</v>
      </c>
      <c r="T69">
        <v>14.3</v>
      </c>
      <c r="U69">
        <v>271</v>
      </c>
      <c r="V69" t="s">
        <v>2267</v>
      </c>
      <c r="W69" t="s">
        <v>2244</v>
      </c>
      <c r="X69">
        <v>391</v>
      </c>
      <c r="Y69">
        <v>282</v>
      </c>
      <c r="Z69">
        <v>58.1</v>
      </c>
      <c r="AA69">
        <v>60</v>
      </c>
      <c r="AB69">
        <v>23</v>
      </c>
      <c r="AC69">
        <v>18</v>
      </c>
      <c r="AD69">
        <v>36</v>
      </c>
      <c r="AE69" t="s">
        <v>60</v>
      </c>
    </row>
    <row r="70" spans="1:31" x14ac:dyDescent="0.2">
      <c r="A70">
        <v>67</v>
      </c>
      <c r="B70" t="s">
        <v>423</v>
      </c>
      <c r="C70">
        <v>30</v>
      </c>
      <c r="D70" t="s">
        <v>346</v>
      </c>
      <c r="E70" t="s">
        <v>349</v>
      </c>
      <c r="F70">
        <v>45</v>
      </c>
      <c r="G70">
        <v>8</v>
      </c>
      <c r="H70">
        <v>29</v>
      </c>
      <c r="I70">
        <v>37</v>
      </c>
      <c r="J70">
        <v>12</v>
      </c>
      <c r="K70">
        <v>20</v>
      </c>
      <c r="L70">
        <v>7</v>
      </c>
      <c r="M70">
        <v>1</v>
      </c>
      <c r="N70">
        <v>0</v>
      </c>
      <c r="O70">
        <v>0</v>
      </c>
      <c r="P70">
        <v>21</v>
      </c>
      <c r="Q70">
        <v>8</v>
      </c>
      <c r="R70">
        <v>0</v>
      </c>
      <c r="S70">
        <v>80</v>
      </c>
      <c r="T70">
        <v>10</v>
      </c>
      <c r="U70">
        <v>176</v>
      </c>
      <c r="V70" t="s">
        <v>2268</v>
      </c>
      <c r="W70" t="s">
        <v>2269</v>
      </c>
      <c r="X70">
        <v>0</v>
      </c>
      <c r="Y70">
        <v>0</v>
      </c>
      <c r="AA70">
        <v>80</v>
      </c>
      <c r="AB70">
        <v>23</v>
      </c>
      <c r="AC70">
        <v>10</v>
      </c>
      <c r="AD70">
        <v>55</v>
      </c>
      <c r="AE70" t="s">
        <v>60</v>
      </c>
    </row>
    <row r="71" spans="1:31" x14ac:dyDescent="0.2">
      <c r="A71">
        <v>68</v>
      </c>
      <c r="B71" t="s">
        <v>452</v>
      </c>
      <c r="C71">
        <v>32</v>
      </c>
      <c r="D71" t="s">
        <v>328</v>
      </c>
      <c r="E71" t="s">
        <v>322</v>
      </c>
      <c r="F71">
        <v>38</v>
      </c>
      <c r="G71">
        <v>11</v>
      </c>
      <c r="H71">
        <v>26</v>
      </c>
      <c r="I71">
        <v>37</v>
      </c>
      <c r="J71">
        <v>-5</v>
      </c>
      <c r="K71">
        <v>17</v>
      </c>
      <c r="L71">
        <v>5</v>
      </c>
      <c r="M71">
        <v>6</v>
      </c>
      <c r="N71">
        <v>0</v>
      </c>
      <c r="O71">
        <v>1</v>
      </c>
      <c r="P71">
        <v>11</v>
      </c>
      <c r="Q71">
        <v>14</v>
      </c>
      <c r="R71">
        <v>1</v>
      </c>
      <c r="S71">
        <v>67</v>
      </c>
      <c r="T71">
        <v>16.399999999999999</v>
      </c>
      <c r="U71">
        <v>138</v>
      </c>
      <c r="V71" t="s">
        <v>2270</v>
      </c>
      <c r="W71" t="s">
        <v>1559</v>
      </c>
      <c r="X71">
        <v>73</v>
      </c>
      <c r="Y71">
        <v>85</v>
      </c>
      <c r="Z71">
        <v>46.2</v>
      </c>
      <c r="AA71">
        <v>19</v>
      </c>
      <c r="AB71">
        <v>14</v>
      </c>
      <c r="AC71">
        <v>6</v>
      </c>
      <c r="AD71">
        <v>21</v>
      </c>
      <c r="AE71" t="s">
        <v>60</v>
      </c>
    </row>
    <row r="72" spans="1:31" x14ac:dyDescent="0.2">
      <c r="A72">
        <v>69</v>
      </c>
      <c r="B72" t="s">
        <v>399</v>
      </c>
      <c r="C72">
        <v>27</v>
      </c>
      <c r="D72" t="s">
        <v>400</v>
      </c>
      <c r="E72" t="s">
        <v>58</v>
      </c>
      <c r="F72">
        <v>47</v>
      </c>
      <c r="G72">
        <v>11</v>
      </c>
      <c r="H72">
        <v>25</v>
      </c>
      <c r="I72">
        <v>36</v>
      </c>
      <c r="J72">
        <v>-10</v>
      </c>
      <c r="K72">
        <v>8</v>
      </c>
      <c r="L72">
        <v>7</v>
      </c>
      <c r="M72">
        <v>3</v>
      </c>
      <c r="N72">
        <v>1</v>
      </c>
      <c r="O72">
        <v>3</v>
      </c>
      <c r="P72">
        <v>16</v>
      </c>
      <c r="Q72">
        <v>9</v>
      </c>
      <c r="R72">
        <v>0</v>
      </c>
      <c r="S72">
        <v>110</v>
      </c>
      <c r="T72">
        <v>10</v>
      </c>
      <c r="U72">
        <v>218</v>
      </c>
      <c r="V72" t="s">
        <v>2719</v>
      </c>
      <c r="W72" t="s">
        <v>2720</v>
      </c>
      <c r="X72">
        <v>1</v>
      </c>
      <c r="Y72">
        <v>4</v>
      </c>
      <c r="Z72">
        <v>20</v>
      </c>
      <c r="AA72">
        <v>16</v>
      </c>
      <c r="AB72">
        <v>46</v>
      </c>
      <c r="AC72">
        <v>18</v>
      </c>
      <c r="AD72">
        <v>45</v>
      </c>
      <c r="AE72" t="s">
        <v>60</v>
      </c>
    </row>
    <row r="73" spans="1:31" x14ac:dyDescent="0.2">
      <c r="A73">
        <v>70</v>
      </c>
      <c r="B73" t="s">
        <v>403</v>
      </c>
      <c r="C73">
        <v>26</v>
      </c>
      <c r="D73" t="s">
        <v>334</v>
      </c>
      <c r="E73" t="s">
        <v>349</v>
      </c>
      <c r="F73">
        <v>46</v>
      </c>
      <c r="G73">
        <v>7</v>
      </c>
      <c r="H73">
        <v>29</v>
      </c>
      <c r="I73">
        <v>36</v>
      </c>
      <c r="J73">
        <v>9</v>
      </c>
      <c r="K73">
        <v>14</v>
      </c>
      <c r="L73">
        <v>5</v>
      </c>
      <c r="M73">
        <v>1</v>
      </c>
      <c r="N73">
        <v>1</v>
      </c>
      <c r="O73">
        <v>2</v>
      </c>
      <c r="P73">
        <v>16</v>
      </c>
      <c r="Q73">
        <v>13</v>
      </c>
      <c r="R73">
        <v>0</v>
      </c>
      <c r="S73">
        <v>93</v>
      </c>
      <c r="T73">
        <v>7.5</v>
      </c>
      <c r="U73">
        <v>200</v>
      </c>
      <c r="V73" t="s">
        <v>2126</v>
      </c>
      <c r="W73" t="s">
        <v>1773</v>
      </c>
      <c r="X73">
        <v>0</v>
      </c>
      <c r="Y73">
        <v>0</v>
      </c>
      <c r="AA73">
        <v>87</v>
      </c>
      <c r="AB73">
        <v>11</v>
      </c>
      <c r="AC73">
        <v>31</v>
      </c>
      <c r="AD73">
        <v>56</v>
      </c>
      <c r="AE73" t="s">
        <v>60</v>
      </c>
    </row>
    <row r="74" spans="1:31" x14ac:dyDescent="0.2">
      <c r="A74">
        <v>71</v>
      </c>
      <c r="B74" t="s">
        <v>411</v>
      </c>
      <c r="C74">
        <v>29</v>
      </c>
      <c r="D74" t="s">
        <v>334</v>
      </c>
      <c r="E74" t="s">
        <v>340</v>
      </c>
      <c r="F74">
        <v>42</v>
      </c>
      <c r="G74">
        <v>14</v>
      </c>
      <c r="H74">
        <v>22</v>
      </c>
      <c r="I74">
        <v>36</v>
      </c>
      <c r="J74">
        <v>16</v>
      </c>
      <c r="K74">
        <v>12</v>
      </c>
      <c r="L74">
        <v>9</v>
      </c>
      <c r="M74">
        <v>5</v>
      </c>
      <c r="N74">
        <v>0</v>
      </c>
      <c r="O74">
        <v>1</v>
      </c>
      <c r="P74">
        <v>12</v>
      </c>
      <c r="Q74">
        <v>10</v>
      </c>
      <c r="R74">
        <v>0</v>
      </c>
      <c r="S74">
        <v>103</v>
      </c>
      <c r="T74">
        <v>13.6</v>
      </c>
      <c r="U74">
        <v>168</v>
      </c>
      <c r="V74" t="s">
        <v>2271</v>
      </c>
      <c r="W74" t="s">
        <v>489</v>
      </c>
      <c r="X74">
        <v>338</v>
      </c>
      <c r="Y74">
        <v>240</v>
      </c>
      <c r="Z74">
        <v>58.5</v>
      </c>
      <c r="AA74">
        <v>11</v>
      </c>
      <c r="AB74">
        <v>45</v>
      </c>
      <c r="AC74">
        <v>3</v>
      </c>
      <c r="AD74">
        <v>34</v>
      </c>
      <c r="AE74" t="s">
        <v>60</v>
      </c>
    </row>
    <row r="75" spans="1:31" x14ac:dyDescent="0.2">
      <c r="A75">
        <v>72</v>
      </c>
      <c r="B75" t="s">
        <v>420</v>
      </c>
      <c r="C75">
        <v>29</v>
      </c>
      <c r="D75" t="s">
        <v>421</v>
      </c>
      <c r="E75" t="s">
        <v>340</v>
      </c>
      <c r="F75">
        <v>46</v>
      </c>
      <c r="G75">
        <v>15</v>
      </c>
      <c r="H75">
        <v>21</v>
      </c>
      <c r="I75">
        <v>36</v>
      </c>
      <c r="J75">
        <v>6</v>
      </c>
      <c r="K75">
        <v>42</v>
      </c>
      <c r="L75">
        <v>14</v>
      </c>
      <c r="M75">
        <v>1</v>
      </c>
      <c r="N75">
        <v>0</v>
      </c>
      <c r="O75">
        <v>5</v>
      </c>
      <c r="P75">
        <v>14</v>
      </c>
      <c r="Q75">
        <v>5</v>
      </c>
      <c r="R75">
        <v>2</v>
      </c>
      <c r="S75">
        <v>130</v>
      </c>
      <c r="T75">
        <v>11.5</v>
      </c>
      <c r="U75">
        <v>302</v>
      </c>
      <c r="V75" t="s">
        <v>2721</v>
      </c>
      <c r="W75" t="s">
        <v>378</v>
      </c>
      <c r="X75">
        <v>31</v>
      </c>
      <c r="Y75">
        <v>41</v>
      </c>
      <c r="Z75">
        <v>43.1</v>
      </c>
      <c r="AA75">
        <v>31</v>
      </c>
      <c r="AB75">
        <v>88</v>
      </c>
      <c r="AC75">
        <v>13</v>
      </c>
      <c r="AD75">
        <v>35</v>
      </c>
      <c r="AE75" t="s">
        <v>60</v>
      </c>
    </row>
    <row r="76" spans="1:31" x14ac:dyDescent="0.2">
      <c r="A76">
        <v>73</v>
      </c>
      <c r="B76" t="s">
        <v>463</v>
      </c>
      <c r="C76">
        <v>33</v>
      </c>
      <c r="D76" t="s">
        <v>377</v>
      </c>
      <c r="E76" t="s">
        <v>335</v>
      </c>
      <c r="F76">
        <v>41</v>
      </c>
      <c r="G76">
        <v>16</v>
      </c>
      <c r="H76">
        <v>20</v>
      </c>
      <c r="I76">
        <v>36</v>
      </c>
      <c r="J76">
        <v>-2</v>
      </c>
      <c r="K76">
        <v>16</v>
      </c>
      <c r="L76">
        <v>13</v>
      </c>
      <c r="M76">
        <v>3</v>
      </c>
      <c r="N76">
        <v>0</v>
      </c>
      <c r="O76">
        <v>4</v>
      </c>
      <c r="P76">
        <v>7</v>
      </c>
      <c r="Q76">
        <v>13</v>
      </c>
      <c r="R76">
        <v>0</v>
      </c>
      <c r="S76">
        <v>110</v>
      </c>
      <c r="T76">
        <v>14.5</v>
      </c>
      <c r="U76">
        <v>210</v>
      </c>
      <c r="V76" t="s">
        <v>2272</v>
      </c>
      <c r="W76" t="s">
        <v>1725</v>
      </c>
      <c r="X76">
        <v>0</v>
      </c>
      <c r="Y76">
        <v>4</v>
      </c>
      <c r="Z76">
        <v>0</v>
      </c>
      <c r="AA76">
        <v>46</v>
      </c>
      <c r="AB76">
        <v>12</v>
      </c>
      <c r="AC76">
        <v>6</v>
      </c>
      <c r="AD76">
        <v>40</v>
      </c>
      <c r="AE76" t="s">
        <v>60</v>
      </c>
    </row>
    <row r="77" spans="1:31" x14ac:dyDescent="0.2">
      <c r="A77">
        <v>74</v>
      </c>
      <c r="B77" t="s">
        <v>516</v>
      </c>
      <c r="C77">
        <v>29</v>
      </c>
      <c r="D77" t="s">
        <v>374</v>
      </c>
      <c r="E77" t="s">
        <v>322</v>
      </c>
      <c r="F77">
        <v>45</v>
      </c>
      <c r="G77">
        <v>16</v>
      </c>
      <c r="H77">
        <v>19</v>
      </c>
      <c r="I77">
        <v>35</v>
      </c>
      <c r="J77">
        <v>-3</v>
      </c>
      <c r="K77">
        <v>44</v>
      </c>
      <c r="L77">
        <v>15</v>
      </c>
      <c r="M77">
        <v>1</v>
      </c>
      <c r="N77">
        <v>0</v>
      </c>
      <c r="O77">
        <v>4</v>
      </c>
      <c r="P77">
        <v>12</v>
      </c>
      <c r="Q77">
        <v>7</v>
      </c>
      <c r="R77">
        <v>0</v>
      </c>
      <c r="S77">
        <v>115</v>
      </c>
      <c r="T77">
        <v>13.9</v>
      </c>
      <c r="U77">
        <v>254</v>
      </c>
      <c r="V77" t="s">
        <v>2127</v>
      </c>
      <c r="W77" t="s">
        <v>1662</v>
      </c>
      <c r="X77">
        <v>308</v>
      </c>
      <c r="Y77">
        <v>339</v>
      </c>
      <c r="Z77">
        <v>47.6</v>
      </c>
      <c r="AA77">
        <v>21</v>
      </c>
      <c r="AB77">
        <v>91</v>
      </c>
      <c r="AC77">
        <v>17</v>
      </c>
      <c r="AD77">
        <v>42</v>
      </c>
      <c r="AE77" t="s">
        <v>60</v>
      </c>
    </row>
    <row r="78" spans="1:31" x14ac:dyDescent="0.2">
      <c r="A78">
        <v>75</v>
      </c>
      <c r="B78" t="s">
        <v>432</v>
      </c>
      <c r="C78">
        <v>36</v>
      </c>
      <c r="D78" t="s">
        <v>367</v>
      </c>
      <c r="E78" t="s">
        <v>349</v>
      </c>
      <c r="F78">
        <v>43</v>
      </c>
      <c r="G78">
        <v>9</v>
      </c>
      <c r="H78">
        <v>26</v>
      </c>
      <c r="I78">
        <v>35</v>
      </c>
      <c r="J78">
        <v>11</v>
      </c>
      <c r="K78">
        <v>16</v>
      </c>
      <c r="L78">
        <v>9</v>
      </c>
      <c r="M78">
        <v>0</v>
      </c>
      <c r="N78">
        <v>0</v>
      </c>
      <c r="O78">
        <v>0</v>
      </c>
      <c r="P78">
        <v>19</v>
      </c>
      <c r="Q78">
        <v>7</v>
      </c>
      <c r="R78">
        <v>0</v>
      </c>
      <c r="S78">
        <v>91</v>
      </c>
      <c r="T78">
        <v>9.9</v>
      </c>
      <c r="U78">
        <v>212</v>
      </c>
      <c r="V78" t="s">
        <v>2273</v>
      </c>
      <c r="W78" t="s">
        <v>2274</v>
      </c>
      <c r="X78">
        <v>0</v>
      </c>
      <c r="Y78">
        <v>0</v>
      </c>
      <c r="AA78">
        <v>63</v>
      </c>
      <c r="AB78">
        <v>16</v>
      </c>
      <c r="AC78">
        <v>28</v>
      </c>
      <c r="AD78">
        <v>70</v>
      </c>
      <c r="AE78" t="s">
        <v>60</v>
      </c>
    </row>
    <row r="79" spans="1:31" x14ac:dyDescent="0.2">
      <c r="A79">
        <v>76</v>
      </c>
      <c r="B79" t="s">
        <v>441</v>
      </c>
      <c r="C79">
        <v>23</v>
      </c>
      <c r="D79" t="s">
        <v>418</v>
      </c>
      <c r="E79" t="s">
        <v>349</v>
      </c>
      <c r="F79">
        <v>46</v>
      </c>
      <c r="G79">
        <v>9</v>
      </c>
      <c r="H79">
        <v>26</v>
      </c>
      <c r="I79">
        <v>35</v>
      </c>
      <c r="J79">
        <v>5</v>
      </c>
      <c r="K79">
        <v>4</v>
      </c>
      <c r="L79">
        <v>7</v>
      </c>
      <c r="M79">
        <v>2</v>
      </c>
      <c r="N79">
        <v>0</v>
      </c>
      <c r="O79">
        <v>2</v>
      </c>
      <c r="P79">
        <v>16</v>
      </c>
      <c r="Q79">
        <v>10</v>
      </c>
      <c r="R79">
        <v>0</v>
      </c>
      <c r="S79">
        <v>98</v>
      </c>
      <c r="T79">
        <v>9.1999999999999993</v>
      </c>
      <c r="U79">
        <v>264</v>
      </c>
      <c r="V79" t="s">
        <v>2722</v>
      </c>
      <c r="W79" t="s">
        <v>2723</v>
      </c>
      <c r="X79">
        <v>0</v>
      </c>
      <c r="Y79">
        <v>0</v>
      </c>
      <c r="AA79">
        <v>92</v>
      </c>
      <c r="AB79">
        <v>18</v>
      </c>
      <c r="AC79">
        <v>24</v>
      </c>
      <c r="AD79">
        <v>52</v>
      </c>
      <c r="AE79" t="s">
        <v>60</v>
      </c>
    </row>
    <row r="80" spans="1:31" x14ac:dyDescent="0.2">
      <c r="A80">
        <v>77</v>
      </c>
      <c r="B80" t="s">
        <v>424</v>
      </c>
      <c r="C80">
        <v>20</v>
      </c>
      <c r="D80" t="s">
        <v>337</v>
      </c>
      <c r="E80" t="s">
        <v>325</v>
      </c>
      <c r="F80">
        <v>46</v>
      </c>
      <c r="G80">
        <v>15</v>
      </c>
      <c r="H80">
        <v>20</v>
      </c>
      <c r="I80">
        <v>35</v>
      </c>
      <c r="J80">
        <v>-4</v>
      </c>
      <c r="K80">
        <v>34</v>
      </c>
      <c r="L80">
        <v>13</v>
      </c>
      <c r="M80">
        <v>1</v>
      </c>
      <c r="N80">
        <v>1</v>
      </c>
      <c r="O80">
        <v>1</v>
      </c>
      <c r="P80">
        <v>16</v>
      </c>
      <c r="Q80">
        <v>4</v>
      </c>
      <c r="R80">
        <v>0</v>
      </c>
      <c r="S80">
        <v>92</v>
      </c>
      <c r="T80">
        <v>16.3</v>
      </c>
      <c r="U80">
        <v>185</v>
      </c>
      <c r="V80" t="s">
        <v>2275</v>
      </c>
      <c r="W80" t="s">
        <v>1711</v>
      </c>
      <c r="X80">
        <v>2</v>
      </c>
      <c r="Y80">
        <v>2</v>
      </c>
      <c r="Z80">
        <v>50</v>
      </c>
      <c r="AA80">
        <v>15</v>
      </c>
      <c r="AB80">
        <v>47</v>
      </c>
      <c r="AC80">
        <v>10</v>
      </c>
      <c r="AD80">
        <v>51</v>
      </c>
      <c r="AE80" t="s">
        <v>60</v>
      </c>
    </row>
    <row r="81" spans="1:31" x14ac:dyDescent="0.2">
      <c r="A81">
        <v>78</v>
      </c>
      <c r="B81" t="s">
        <v>442</v>
      </c>
      <c r="C81">
        <v>28</v>
      </c>
      <c r="D81" t="s">
        <v>367</v>
      </c>
      <c r="E81" t="s">
        <v>322</v>
      </c>
      <c r="F81">
        <v>45</v>
      </c>
      <c r="G81">
        <v>10</v>
      </c>
      <c r="H81">
        <v>25</v>
      </c>
      <c r="I81">
        <v>35</v>
      </c>
      <c r="J81">
        <v>10</v>
      </c>
      <c r="K81">
        <v>24</v>
      </c>
      <c r="L81">
        <v>8</v>
      </c>
      <c r="M81">
        <v>2</v>
      </c>
      <c r="N81">
        <v>0</v>
      </c>
      <c r="O81">
        <v>1</v>
      </c>
      <c r="P81">
        <v>17</v>
      </c>
      <c r="Q81">
        <v>8</v>
      </c>
      <c r="R81">
        <v>0</v>
      </c>
      <c r="S81">
        <v>84</v>
      </c>
      <c r="T81">
        <v>11.9</v>
      </c>
      <c r="U81">
        <v>144</v>
      </c>
      <c r="V81" t="s">
        <v>2276</v>
      </c>
      <c r="W81" t="s">
        <v>2277</v>
      </c>
      <c r="X81">
        <v>464</v>
      </c>
      <c r="Y81">
        <v>326</v>
      </c>
      <c r="Z81">
        <v>58.7</v>
      </c>
      <c r="AA81">
        <v>28</v>
      </c>
      <c r="AB81">
        <v>10</v>
      </c>
      <c r="AC81">
        <v>11</v>
      </c>
      <c r="AD81">
        <v>36</v>
      </c>
      <c r="AE81" t="s">
        <v>60</v>
      </c>
    </row>
    <row r="82" spans="1:31" x14ac:dyDescent="0.2">
      <c r="A82">
        <v>79</v>
      </c>
      <c r="B82" t="s">
        <v>574</v>
      </c>
      <c r="C82">
        <v>25</v>
      </c>
      <c r="D82" t="s">
        <v>398</v>
      </c>
      <c r="E82" t="s">
        <v>335</v>
      </c>
      <c r="F82">
        <v>47</v>
      </c>
      <c r="G82">
        <v>12</v>
      </c>
      <c r="H82">
        <v>23</v>
      </c>
      <c r="I82">
        <v>35</v>
      </c>
      <c r="J82">
        <v>-2</v>
      </c>
      <c r="K82">
        <v>32</v>
      </c>
      <c r="L82">
        <v>8</v>
      </c>
      <c r="M82">
        <v>4</v>
      </c>
      <c r="N82">
        <v>0</v>
      </c>
      <c r="O82">
        <v>1</v>
      </c>
      <c r="P82">
        <v>16</v>
      </c>
      <c r="Q82">
        <v>7</v>
      </c>
      <c r="R82">
        <v>0</v>
      </c>
      <c r="S82">
        <v>131</v>
      </c>
      <c r="T82">
        <v>9.1999999999999993</v>
      </c>
      <c r="U82">
        <v>278</v>
      </c>
      <c r="V82" t="s">
        <v>2278</v>
      </c>
      <c r="W82" t="s">
        <v>1770</v>
      </c>
      <c r="X82">
        <v>9</v>
      </c>
      <c r="Y82">
        <v>7</v>
      </c>
      <c r="Z82">
        <v>56.3</v>
      </c>
      <c r="AA82">
        <v>9</v>
      </c>
      <c r="AB82">
        <v>76</v>
      </c>
      <c r="AC82">
        <v>14</v>
      </c>
      <c r="AD82">
        <v>55</v>
      </c>
      <c r="AE82" t="s">
        <v>60</v>
      </c>
    </row>
    <row r="83" spans="1:31" x14ac:dyDescent="0.2">
      <c r="A83">
        <v>80</v>
      </c>
      <c r="B83" t="s">
        <v>520</v>
      </c>
      <c r="C83">
        <v>24</v>
      </c>
      <c r="D83" t="s">
        <v>418</v>
      </c>
      <c r="E83" t="s">
        <v>322</v>
      </c>
      <c r="F83">
        <v>46</v>
      </c>
      <c r="G83">
        <v>13</v>
      </c>
      <c r="H83">
        <v>21</v>
      </c>
      <c r="I83">
        <v>34</v>
      </c>
      <c r="J83">
        <v>-15</v>
      </c>
      <c r="K83">
        <v>36</v>
      </c>
      <c r="L83">
        <v>6</v>
      </c>
      <c r="M83">
        <v>7</v>
      </c>
      <c r="N83">
        <v>0</v>
      </c>
      <c r="O83">
        <v>0</v>
      </c>
      <c r="P83">
        <v>9</v>
      </c>
      <c r="Q83">
        <v>12</v>
      </c>
      <c r="R83">
        <v>0</v>
      </c>
      <c r="S83">
        <v>108</v>
      </c>
      <c r="T83">
        <v>12</v>
      </c>
      <c r="U83">
        <v>203</v>
      </c>
      <c r="V83" t="s">
        <v>2724</v>
      </c>
      <c r="W83" t="s">
        <v>1665</v>
      </c>
      <c r="X83">
        <v>278</v>
      </c>
      <c r="Y83">
        <v>241</v>
      </c>
      <c r="Z83">
        <v>53.6</v>
      </c>
      <c r="AA83">
        <v>16</v>
      </c>
      <c r="AB83">
        <v>126</v>
      </c>
      <c r="AC83">
        <v>10</v>
      </c>
      <c r="AD83">
        <v>31</v>
      </c>
      <c r="AE83" t="s">
        <v>60</v>
      </c>
    </row>
    <row r="84" spans="1:31" x14ac:dyDescent="0.2">
      <c r="A84">
        <v>81</v>
      </c>
      <c r="B84" t="s">
        <v>484</v>
      </c>
      <c r="C84">
        <v>29</v>
      </c>
      <c r="D84" t="s">
        <v>398</v>
      </c>
      <c r="E84" t="s">
        <v>340</v>
      </c>
      <c r="F84">
        <v>47</v>
      </c>
      <c r="G84">
        <v>11</v>
      </c>
      <c r="H84">
        <v>23</v>
      </c>
      <c r="I84">
        <v>34</v>
      </c>
      <c r="J84">
        <v>1</v>
      </c>
      <c r="K84">
        <v>10</v>
      </c>
      <c r="L84">
        <v>7</v>
      </c>
      <c r="M84">
        <v>4</v>
      </c>
      <c r="N84">
        <v>0</v>
      </c>
      <c r="O84">
        <v>3</v>
      </c>
      <c r="P84">
        <v>14</v>
      </c>
      <c r="Q84">
        <v>9</v>
      </c>
      <c r="R84">
        <v>0</v>
      </c>
      <c r="S84">
        <v>115</v>
      </c>
      <c r="T84">
        <v>9.6</v>
      </c>
      <c r="U84">
        <v>255</v>
      </c>
      <c r="V84" t="s">
        <v>2279</v>
      </c>
      <c r="W84" t="s">
        <v>593</v>
      </c>
      <c r="X84">
        <v>11</v>
      </c>
      <c r="Y84">
        <v>19</v>
      </c>
      <c r="Z84">
        <v>36.700000000000003</v>
      </c>
      <c r="AA84">
        <v>11</v>
      </c>
      <c r="AB84">
        <v>7</v>
      </c>
      <c r="AC84">
        <v>17</v>
      </c>
      <c r="AD84">
        <v>52</v>
      </c>
      <c r="AE84" t="s">
        <v>60</v>
      </c>
    </row>
    <row r="85" spans="1:31" x14ac:dyDescent="0.2">
      <c r="A85">
        <v>82</v>
      </c>
      <c r="B85" t="s">
        <v>412</v>
      </c>
      <c r="C85">
        <v>30</v>
      </c>
      <c r="D85" t="s">
        <v>321</v>
      </c>
      <c r="E85" t="s">
        <v>340</v>
      </c>
      <c r="F85">
        <v>45</v>
      </c>
      <c r="G85">
        <v>15</v>
      </c>
      <c r="H85">
        <v>19</v>
      </c>
      <c r="I85">
        <v>34</v>
      </c>
      <c r="J85">
        <v>33</v>
      </c>
      <c r="K85">
        <v>6</v>
      </c>
      <c r="L85">
        <v>14</v>
      </c>
      <c r="M85">
        <v>1</v>
      </c>
      <c r="N85">
        <v>0</v>
      </c>
      <c r="O85">
        <v>0</v>
      </c>
      <c r="P85">
        <v>18</v>
      </c>
      <c r="Q85">
        <v>1</v>
      </c>
      <c r="R85">
        <v>0</v>
      </c>
      <c r="S85">
        <v>111</v>
      </c>
      <c r="T85">
        <v>13.5</v>
      </c>
      <c r="U85">
        <v>201</v>
      </c>
      <c r="V85" t="s">
        <v>2128</v>
      </c>
      <c r="W85" t="s">
        <v>1887</v>
      </c>
      <c r="X85">
        <v>2</v>
      </c>
      <c r="Y85">
        <v>8</v>
      </c>
      <c r="Z85">
        <v>20</v>
      </c>
      <c r="AA85">
        <v>26</v>
      </c>
      <c r="AB85">
        <v>33</v>
      </c>
      <c r="AC85">
        <v>11</v>
      </c>
      <c r="AD85">
        <v>29</v>
      </c>
      <c r="AE85" t="s">
        <v>60</v>
      </c>
    </row>
    <row r="86" spans="1:31" x14ac:dyDescent="0.2">
      <c r="A86">
        <v>83</v>
      </c>
      <c r="B86" t="s">
        <v>465</v>
      </c>
      <c r="C86">
        <v>30</v>
      </c>
      <c r="D86" t="s">
        <v>374</v>
      </c>
      <c r="E86" t="s">
        <v>322</v>
      </c>
      <c r="F86">
        <v>44</v>
      </c>
      <c r="G86">
        <v>13</v>
      </c>
      <c r="H86">
        <v>21</v>
      </c>
      <c r="I86">
        <v>34</v>
      </c>
      <c r="J86">
        <v>-3</v>
      </c>
      <c r="K86">
        <v>18</v>
      </c>
      <c r="L86">
        <v>10</v>
      </c>
      <c r="M86">
        <v>3</v>
      </c>
      <c r="N86">
        <v>0</v>
      </c>
      <c r="O86">
        <v>2</v>
      </c>
      <c r="P86">
        <v>17</v>
      </c>
      <c r="Q86">
        <v>4</v>
      </c>
      <c r="R86">
        <v>0</v>
      </c>
      <c r="S86">
        <v>99</v>
      </c>
      <c r="T86">
        <v>13.1</v>
      </c>
      <c r="U86">
        <v>209</v>
      </c>
      <c r="V86" t="s">
        <v>2129</v>
      </c>
      <c r="W86" t="s">
        <v>1832</v>
      </c>
      <c r="X86">
        <v>21</v>
      </c>
      <c r="Y86">
        <v>34</v>
      </c>
      <c r="Z86">
        <v>38.200000000000003</v>
      </c>
      <c r="AA86">
        <v>14</v>
      </c>
      <c r="AB86">
        <v>46</v>
      </c>
      <c r="AC86">
        <v>15</v>
      </c>
      <c r="AD86">
        <v>35</v>
      </c>
      <c r="AE86" t="s">
        <v>60</v>
      </c>
    </row>
    <row r="87" spans="1:31" x14ac:dyDescent="0.2">
      <c r="A87">
        <v>84</v>
      </c>
      <c r="B87" t="s">
        <v>498</v>
      </c>
      <c r="C87">
        <v>25</v>
      </c>
      <c r="D87" t="s">
        <v>344</v>
      </c>
      <c r="E87" t="s">
        <v>340</v>
      </c>
      <c r="F87">
        <v>45</v>
      </c>
      <c r="G87">
        <v>17</v>
      </c>
      <c r="H87">
        <v>16</v>
      </c>
      <c r="I87">
        <v>33</v>
      </c>
      <c r="J87">
        <v>-9</v>
      </c>
      <c r="K87">
        <v>14</v>
      </c>
      <c r="L87">
        <v>6</v>
      </c>
      <c r="M87">
        <v>11</v>
      </c>
      <c r="N87">
        <v>0</v>
      </c>
      <c r="O87">
        <v>1</v>
      </c>
      <c r="P87">
        <v>8</v>
      </c>
      <c r="Q87">
        <v>8</v>
      </c>
      <c r="R87">
        <v>0</v>
      </c>
      <c r="S87">
        <v>116</v>
      </c>
      <c r="T87">
        <v>14.7</v>
      </c>
      <c r="U87">
        <v>252</v>
      </c>
      <c r="V87" t="s">
        <v>2725</v>
      </c>
      <c r="W87" t="s">
        <v>1557</v>
      </c>
      <c r="X87">
        <v>0</v>
      </c>
      <c r="Y87">
        <v>1</v>
      </c>
      <c r="Z87">
        <v>0</v>
      </c>
      <c r="AA87">
        <v>21</v>
      </c>
      <c r="AB87">
        <v>19</v>
      </c>
      <c r="AC87">
        <v>6</v>
      </c>
      <c r="AD87">
        <v>34</v>
      </c>
      <c r="AE87" t="s">
        <v>60</v>
      </c>
    </row>
    <row r="88" spans="1:31" x14ac:dyDescent="0.2">
      <c r="A88">
        <v>85</v>
      </c>
      <c r="B88" t="s">
        <v>486</v>
      </c>
      <c r="C88">
        <v>29</v>
      </c>
      <c r="D88" t="s">
        <v>421</v>
      </c>
      <c r="E88" t="s">
        <v>340</v>
      </c>
      <c r="F88">
        <v>46</v>
      </c>
      <c r="G88">
        <v>17</v>
      </c>
      <c r="H88">
        <v>16</v>
      </c>
      <c r="I88">
        <v>33</v>
      </c>
      <c r="J88">
        <v>-8</v>
      </c>
      <c r="K88">
        <v>28</v>
      </c>
      <c r="L88">
        <v>13</v>
      </c>
      <c r="M88">
        <v>4</v>
      </c>
      <c r="N88">
        <v>0</v>
      </c>
      <c r="O88">
        <v>2</v>
      </c>
      <c r="P88">
        <v>8</v>
      </c>
      <c r="Q88">
        <v>8</v>
      </c>
      <c r="R88">
        <v>0</v>
      </c>
      <c r="S88">
        <v>129</v>
      </c>
      <c r="T88">
        <v>13.2</v>
      </c>
      <c r="U88">
        <v>270</v>
      </c>
      <c r="V88" t="s">
        <v>2726</v>
      </c>
      <c r="W88" t="s">
        <v>2362</v>
      </c>
      <c r="X88">
        <v>4</v>
      </c>
      <c r="Y88">
        <v>13</v>
      </c>
      <c r="Z88">
        <v>23.5</v>
      </c>
      <c r="AA88">
        <v>19</v>
      </c>
      <c r="AB88">
        <v>28</v>
      </c>
      <c r="AC88">
        <v>17</v>
      </c>
      <c r="AD88">
        <v>65</v>
      </c>
      <c r="AE88" t="s">
        <v>60</v>
      </c>
    </row>
    <row r="89" spans="1:31" x14ac:dyDescent="0.2">
      <c r="A89">
        <v>86</v>
      </c>
      <c r="B89" t="s">
        <v>384</v>
      </c>
      <c r="C89">
        <v>30</v>
      </c>
      <c r="D89" t="s">
        <v>385</v>
      </c>
      <c r="E89" t="s">
        <v>322</v>
      </c>
      <c r="F89">
        <v>36</v>
      </c>
      <c r="G89">
        <v>21</v>
      </c>
      <c r="H89">
        <v>12</v>
      </c>
      <c r="I89">
        <v>33</v>
      </c>
      <c r="J89">
        <v>4</v>
      </c>
      <c r="K89">
        <v>32</v>
      </c>
      <c r="L89">
        <v>14</v>
      </c>
      <c r="M89">
        <v>6</v>
      </c>
      <c r="N89">
        <v>1</v>
      </c>
      <c r="O89">
        <v>3</v>
      </c>
      <c r="P89">
        <v>6</v>
      </c>
      <c r="Q89">
        <v>6</v>
      </c>
      <c r="R89">
        <v>0</v>
      </c>
      <c r="S89">
        <v>122</v>
      </c>
      <c r="T89">
        <v>17.2</v>
      </c>
      <c r="U89">
        <v>213</v>
      </c>
      <c r="V89" t="s">
        <v>1788</v>
      </c>
      <c r="W89" t="s">
        <v>1789</v>
      </c>
      <c r="X89">
        <v>377</v>
      </c>
      <c r="Y89">
        <v>277</v>
      </c>
      <c r="Z89">
        <v>57.6</v>
      </c>
      <c r="AA89">
        <v>19</v>
      </c>
      <c r="AB89">
        <v>26</v>
      </c>
      <c r="AC89">
        <v>8</v>
      </c>
      <c r="AD89">
        <v>42</v>
      </c>
      <c r="AE89" t="s">
        <v>60</v>
      </c>
    </row>
    <row r="90" spans="1:31" x14ac:dyDescent="0.2">
      <c r="A90">
        <v>87</v>
      </c>
      <c r="B90" t="s">
        <v>419</v>
      </c>
      <c r="C90">
        <v>23</v>
      </c>
      <c r="D90" t="s">
        <v>398</v>
      </c>
      <c r="E90" t="s">
        <v>322</v>
      </c>
      <c r="F90">
        <v>39</v>
      </c>
      <c r="G90">
        <v>21</v>
      </c>
      <c r="H90">
        <v>12</v>
      </c>
      <c r="I90">
        <v>33</v>
      </c>
      <c r="J90">
        <v>2</v>
      </c>
      <c r="K90">
        <v>6</v>
      </c>
      <c r="L90">
        <v>16</v>
      </c>
      <c r="M90">
        <v>2</v>
      </c>
      <c r="N90">
        <v>3</v>
      </c>
      <c r="O90">
        <v>4</v>
      </c>
      <c r="P90">
        <v>9</v>
      </c>
      <c r="Q90">
        <v>3</v>
      </c>
      <c r="R90">
        <v>0</v>
      </c>
      <c r="S90">
        <v>126</v>
      </c>
      <c r="T90">
        <v>16.7</v>
      </c>
      <c r="U90">
        <v>195</v>
      </c>
      <c r="V90" t="s">
        <v>2280</v>
      </c>
      <c r="W90" t="s">
        <v>1787</v>
      </c>
      <c r="X90">
        <v>20</v>
      </c>
      <c r="Y90">
        <v>34</v>
      </c>
      <c r="Z90">
        <v>37</v>
      </c>
      <c r="AA90">
        <v>14</v>
      </c>
      <c r="AB90">
        <v>56</v>
      </c>
      <c r="AC90">
        <v>21</v>
      </c>
      <c r="AD90">
        <v>38</v>
      </c>
      <c r="AE90" t="s">
        <v>60</v>
      </c>
    </row>
    <row r="91" spans="1:31" x14ac:dyDescent="0.2">
      <c r="A91">
        <v>88</v>
      </c>
      <c r="B91" t="s">
        <v>471</v>
      </c>
      <c r="C91">
        <v>35</v>
      </c>
      <c r="D91" t="s">
        <v>358</v>
      </c>
      <c r="E91" t="s">
        <v>322</v>
      </c>
      <c r="F91">
        <v>45</v>
      </c>
      <c r="G91">
        <v>12</v>
      </c>
      <c r="H91">
        <v>21</v>
      </c>
      <c r="I91">
        <v>33</v>
      </c>
      <c r="J91">
        <v>17</v>
      </c>
      <c r="K91">
        <v>8</v>
      </c>
      <c r="L91">
        <v>9</v>
      </c>
      <c r="M91">
        <v>3</v>
      </c>
      <c r="N91">
        <v>0</v>
      </c>
      <c r="O91">
        <v>4</v>
      </c>
      <c r="P91">
        <v>16</v>
      </c>
      <c r="Q91">
        <v>4</v>
      </c>
      <c r="R91">
        <v>1</v>
      </c>
      <c r="S91">
        <v>65</v>
      </c>
      <c r="T91">
        <v>18.5</v>
      </c>
      <c r="U91">
        <v>122</v>
      </c>
      <c r="V91" t="s">
        <v>2130</v>
      </c>
      <c r="W91" t="s">
        <v>1106</v>
      </c>
      <c r="X91">
        <v>5</v>
      </c>
      <c r="Y91">
        <v>7</v>
      </c>
      <c r="Z91">
        <v>41.7</v>
      </c>
      <c r="AA91">
        <v>11</v>
      </c>
      <c r="AB91">
        <v>21</v>
      </c>
      <c r="AC91">
        <v>13</v>
      </c>
      <c r="AD91">
        <v>36</v>
      </c>
      <c r="AE91" t="s">
        <v>60</v>
      </c>
    </row>
    <row r="92" spans="1:31" x14ac:dyDescent="0.2">
      <c r="A92">
        <v>89</v>
      </c>
      <c r="B92" t="s">
        <v>500</v>
      </c>
      <c r="C92">
        <v>35</v>
      </c>
      <c r="D92" t="s">
        <v>377</v>
      </c>
      <c r="E92" t="s">
        <v>349</v>
      </c>
      <c r="F92">
        <v>44</v>
      </c>
      <c r="G92">
        <v>4</v>
      </c>
      <c r="H92">
        <v>29</v>
      </c>
      <c r="I92">
        <v>33</v>
      </c>
      <c r="J92">
        <v>-1</v>
      </c>
      <c r="K92">
        <v>14</v>
      </c>
      <c r="L92">
        <v>2</v>
      </c>
      <c r="M92">
        <v>2</v>
      </c>
      <c r="N92">
        <v>0</v>
      </c>
      <c r="O92">
        <v>0</v>
      </c>
      <c r="P92">
        <v>18</v>
      </c>
      <c r="Q92">
        <v>11</v>
      </c>
      <c r="R92">
        <v>0</v>
      </c>
      <c r="S92">
        <v>94</v>
      </c>
      <c r="T92">
        <v>4.3</v>
      </c>
      <c r="U92">
        <v>263</v>
      </c>
      <c r="V92" t="s">
        <v>2072</v>
      </c>
      <c r="W92" t="s">
        <v>1923</v>
      </c>
      <c r="X92">
        <v>0</v>
      </c>
      <c r="Y92">
        <v>0</v>
      </c>
      <c r="AA92">
        <v>40</v>
      </c>
      <c r="AB92">
        <v>10</v>
      </c>
      <c r="AC92">
        <v>21</v>
      </c>
      <c r="AD92">
        <v>60</v>
      </c>
      <c r="AE92" t="s">
        <v>60</v>
      </c>
    </row>
    <row r="93" spans="1:31" x14ac:dyDescent="0.2">
      <c r="A93">
        <v>90</v>
      </c>
      <c r="B93" t="s">
        <v>451</v>
      </c>
      <c r="C93">
        <v>24</v>
      </c>
      <c r="D93" t="s">
        <v>374</v>
      </c>
      <c r="E93" t="s">
        <v>322</v>
      </c>
      <c r="F93">
        <v>45</v>
      </c>
      <c r="G93">
        <v>14</v>
      </c>
      <c r="H93">
        <v>19</v>
      </c>
      <c r="I93">
        <v>33</v>
      </c>
      <c r="J93">
        <v>-8</v>
      </c>
      <c r="K93">
        <v>22</v>
      </c>
      <c r="L93">
        <v>10</v>
      </c>
      <c r="M93">
        <v>3</v>
      </c>
      <c r="N93">
        <v>1</v>
      </c>
      <c r="O93">
        <v>3</v>
      </c>
      <c r="P93">
        <v>11</v>
      </c>
      <c r="Q93">
        <v>6</v>
      </c>
      <c r="R93">
        <v>2</v>
      </c>
      <c r="S93">
        <v>104</v>
      </c>
      <c r="T93">
        <v>13.5</v>
      </c>
      <c r="U93">
        <v>206</v>
      </c>
      <c r="V93" t="s">
        <v>2131</v>
      </c>
      <c r="W93" t="s">
        <v>1095</v>
      </c>
      <c r="X93">
        <v>427</v>
      </c>
      <c r="Y93">
        <v>392</v>
      </c>
      <c r="Z93">
        <v>52.1</v>
      </c>
      <c r="AA93">
        <v>29</v>
      </c>
      <c r="AB93">
        <v>51</v>
      </c>
      <c r="AC93">
        <v>8</v>
      </c>
      <c r="AD93">
        <v>49</v>
      </c>
      <c r="AE93" t="s">
        <v>60</v>
      </c>
    </row>
    <row r="94" spans="1:31" x14ac:dyDescent="0.2">
      <c r="A94">
        <v>91</v>
      </c>
      <c r="B94" t="s">
        <v>455</v>
      </c>
      <c r="C94">
        <v>24</v>
      </c>
      <c r="D94" t="s">
        <v>372</v>
      </c>
      <c r="E94" t="s">
        <v>349</v>
      </c>
      <c r="F94">
        <v>48</v>
      </c>
      <c r="G94">
        <v>7</v>
      </c>
      <c r="H94">
        <v>26</v>
      </c>
      <c r="I94">
        <v>33</v>
      </c>
      <c r="J94">
        <v>10</v>
      </c>
      <c r="K94">
        <v>41</v>
      </c>
      <c r="L94">
        <v>6</v>
      </c>
      <c r="M94">
        <v>1</v>
      </c>
      <c r="N94">
        <v>0</v>
      </c>
      <c r="O94">
        <v>1</v>
      </c>
      <c r="P94">
        <v>11</v>
      </c>
      <c r="Q94">
        <v>15</v>
      </c>
      <c r="R94">
        <v>0</v>
      </c>
      <c r="S94">
        <v>105</v>
      </c>
      <c r="T94">
        <v>6.7</v>
      </c>
      <c r="U94">
        <v>230</v>
      </c>
      <c r="V94" t="s">
        <v>2281</v>
      </c>
      <c r="W94" t="s">
        <v>2282</v>
      </c>
      <c r="X94">
        <v>0</v>
      </c>
      <c r="Y94">
        <v>0</v>
      </c>
      <c r="AA94">
        <v>107</v>
      </c>
      <c r="AB94">
        <v>75</v>
      </c>
      <c r="AC94">
        <v>15</v>
      </c>
      <c r="AD94">
        <v>54</v>
      </c>
      <c r="AE94" t="s">
        <v>60</v>
      </c>
    </row>
    <row r="95" spans="1:31" x14ac:dyDescent="0.2">
      <c r="A95">
        <v>92</v>
      </c>
      <c r="B95" t="s">
        <v>513</v>
      </c>
      <c r="C95">
        <v>26</v>
      </c>
      <c r="D95" t="s">
        <v>514</v>
      </c>
      <c r="E95" t="s">
        <v>322</v>
      </c>
      <c r="F95">
        <v>42</v>
      </c>
      <c r="G95">
        <v>11</v>
      </c>
      <c r="H95">
        <v>22</v>
      </c>
      <c r="I95">
        <v>33</v>
      </c>
      <c r="J95">
        <v>-3</v>
      </c>
      <c r="K95">
        <v>12</v>
      </c>
      <c r="L95">
        <v>6</v>
      </c>
      <c r="M95">
        <v>3</v>
      </c>
      <c r="N95">
        <v>2</v>
      </c>
      <c r="O95">
        <v>0</v>
      </c>
      <c r="P95">
        <v>16</v>
      </c>
      <c r="Q95">
        <v>6</v>
      </c>
      <c r="R95">
        <v>0</v>
      </c>
      <c r="S95">
        <v>60</v>
      </c>
      <c r="T95">
        <v>18.3</v>
      </c>
      <c r="U95">
        <v>121</v>
      </c>
      <c r="V95" t="s">
        <v>2030</v>
      </c>
      <c r="W95" t="s">
        <v>509</v>
      </c>
      <c r="X95">
        <v>379</v>
      </c>
      <c r="Y95">
        <v>346</v>
      </c>
      <c r="Z95">
        <v>52.3</v>
      </c>
      <c r="AA95">
        <v>23</v>
      </c>
      <c r="AB95">
        <v>7</v>
      </c>
      <c r="AC95">
        <v>22</v>
      </c>
      <c r="AD95">
        <v>58</v>
      </c>
      <c r="AE95" t="s">
        <v>60</v>
      </c>
    </row>
    <row r="96" spans="1:31" x14ac:dyDescent="0.2">
      <c r="A96">
        <v>93</v>
      </c>
      <c r="B96" t="s">
        <v>431</v>
      </c>
      <c r="C96">
        <v>30</v>
      </c>
      <c r="D96" t="s">
        <v>344</v>
      </c>
      <c r="E96" t="s">
        <v>322</v>
      </c>
      <c r="F96">
        <v>45</v>
      </c>
      <c r="G96">
        <v>12</v>
      </c>
      <c r="H96">
        <v>20</v>
      </c>
      <c r="I96">
        <v>32</v>
      </c>
      <c r="J96">
        <v>6</v>
      </c>
      <c r="K96">
        <v>6</v>
      </c>
      <c r="L96">
        <v>11</v>
      </c>
      <c r="M96">
        <v>1</v>
      </c>
      <c r="N96">
        <v>0</v>
      </c>
      <c r="O96">
        <v>1</v>
      </c>
      <c r="P96">
        <v>19</v>
      </c>
      <c r="Q96">
        <v>1</v>
      </c>
      <c r="R96">
        <v>0</v>
      </c>
      <c r="S96">
        <v>64</v>
      </c>
      <c r="T96">
        <v>18.8</v>
      </c>
      <c r="U96">
        <v>118</v>
      </c>
      <c r="V96" t="s">
        <v>2727</v>
      </c>
      <c r="W96" t="s">
        <v>1874</v>
      </c>
      <c r="X96">
        <v>7</v>
      </c>
      <c r="Y96">
        <v>25</v>
      </c>
      <c r="Z96">
        <v>21.9</v>
      </c>
      <c r="AA96">
        <v>22</v>
      </c>
      <c r="AB96">
        <v>69</v>
      </c>
      <c r="AC96">
        <v>10</v>
      </c>
      <c r="AD96">
        <v>50</v>
      </c>
      <c r="AE96" t="s">
        <v>60</v>
      </c>
    </row>
    <row r="97" spans="1:31" x14ac:dyDescent="0.2">
      <c r="A97">
        <v>94</v>
      </c>
      <c r="B97" t="s">
        <v>410</v>
      </c>
      <c r="C97">
        <v>27</v>
      </c>
      <c r="D97" t="s">
        <v>367</v>
      </c>
      <c r="E97" t="s">
        <v>349</v>
      </c>
      <c r="F97">
        <v>45</v>
      </c>
      <c r="G97">
        <v>15</v>
      </c>
      <c r="H97">
        <v>17</v>
      </c>
      <c r="I97">
        <v>32</v>
      </c>
      <c r="J97">
        <v>26</v>
      </c>
      <c r="K97">
        <v>37</v>
      </c>
      <c r="L97">
        <v>11</v>
      </c>
      <c r="M97">
        <v>4</v>
      </c>
      <c r="N97">
        <v>0</v>
      </c>
      <c r="O97">
        <v>4</v>
      </c>
      <c r="P97">
        <v>13</v>
      </c>
      <c r="Q97">
        <v>4</v>
      </c>
      <c r="R97">
        <v>0</v>
      </c>
      <c r="S97">
        <v>150</v>
      </c>
      <c r="T97">
        <v>10</v>
      </c>
      <c r="U97">
        <v>335</v>
      </c>
      <c r="V97" t="s">
        <v>2020</v>
      </c>
      <c r="W97" t="s">
        <v>1875</v>
      </c>
      <c r="X97">
        <v>0</v>
      </c>
      <c r="Y97">
        <v>0</v>
      </c>
      <c r="AA97">
        <v>57</v>
      </c>
      <c r="AB97">
        <v>39</v>
      </c>
      <c r="AC97">
        <v>19</v>
      </c>
      <c r="AD97">
        <v>60</v>
      </c>
      <c r="AE97" t="s">
        <v>60</v>
      </c>
    </row>
    <row r="98" spans="1:31" x14ac:dyDescent="0.2">
      <c r="A98">
        <v>95</v>
      </c>
      <c r="B98" t="s">
        <v>496</v>
      </c>
      <c r="C98">
        <v>25</v>
      </c>
      <c r="D98" t="s">
        <v>429</v>
      </c>
      <c r="E98" t="s">
        <v>349</v>
      </c>
      <c r="F98">
        <v>41</v>
      </c>
      <c r="G98">
        <v>6</v>
      </c>
      <c r="H98">
        <v>26</v>
      </c>
      <c r="I98">
        <v>32</v>
      </c>
      <c r="J98">
        <v>-13</v>
      </c>
      <c r="K98">
        <v>39</v>
      </c>
      <c r="L98">
        <v>2</v>
      </c>
      <c r="M98">
        <v>4</v>
      </c>
      <c r="N98">
        <v>0</v>
      </c>
      <c r="O98">
        <v>0</v>
      </c>
      <c r="P98">
        <v>16</v>
      </c>
      <c r="Q98">
        <v>10</v>
      </c>
      <c r="R98">
        <v>0</v>
      </c>
      <c r="S98">
        <v>110</v>
      </c>
      <c r="T98">
        <v>5.5</v>
      </c>
      <c r="U98">
        <v>245</v>
      </c>
      <c r="V98" t="s">
        <v>2728</v>
      </c>
      <c r="W98" t="s">
        <v>2729</v>
      </c>
      <c r="X98">
        <v>0</v>
      </c>
      <c r="Y98">
        <v>0</v>
      </c>
      <c r="AA98">
        <v>54</v>
      </c>
      <c r="AB98">
        <v>32</v>
      </c>
      <c r="AC98">
        <v>18</v>
      </c>
      <c r="AD98">
        <v>70</v>
      </c>
      <c r="AE98" t="s">
        <v>60</v>
      </c>
    </row>
    <row r="99" spans="1:31" x14ac:dyDescent="0.2">
      <c r="A99">
        <v>96</v>
      </c>
      <c r="B99" t="s">
        <v>482</v>
      </c>
      <c r="C99">
        <v>23</v>
      </c>
      <c r="D99" t="s">
        <v>429</v>
      </c>
      <c r="E99" t="s">
        <v>335</v>
      </c>
      <c r="F99">
        <v>45</v>
      </c>
      <c r="G99">
        <v>14</v>
      </c>
      <c r="H99">
        <v>18</v>
      </c>
      <c r="I99">
        <v>32</v>
      </c>
      <c r="J99">
        <v>-2</v>
      </c>
      <c r="K99">
        <v>23</v>
      </c>
      <c r="L99">
        <v>10</v>
      </c>
      <c r="M99">
        <v>4</v>
      </c>
      <c r="N99">
        <v>0</v>
      </c>
      <c r="O99">
        <v>1</v>
      </c>
      <c r="P99">
        <v>12</v>
      </c>
      <c r="Q99">
        <v>6</v>
      </c>
      <c r="R99">
        <v>0</v>
      </c>
      <c r="S99">
        <v>105</v>
      </c>
      <c r="T99">
        <v>13.3</v>
      </c>
      <c r="U99">
        <v>186</v>
      </c>
      <c r="V99" t="s">
        <v>2730</v>
      </c>
      <c r="W99" t="s">
        <v>2731</v>
      </c>
      <c r="X99">
        <v>4</v>
      </c>
      <c r="Y99">
        <v>7</v>
      </c>
      <c r="Z99">
        <v>36.4</v>
      </c>
      <c r="AA99">
        <v>16</v>
      </c>
      <c r="AB99">
        <v>42</v>
      </c>
      <c r="AC99">
        <v>34</v>
      </c>
      <c r="AD99">
        <v>38</v>
      </c>
      <c r="AE99" t="s">
        <v>60</v>
      </c>
    </row>
    <row r="100" spans="1:31" x14ac:dyDescent="0.2">
      <c r="A100">
        <v>97</v>
      </c>
      <c r="B100" t="s">
        <v>538</v>
      </c>
      <c r="C100">
        <v>29</v>
      </c>
      <c r="D100" t="s">
        <v>358</v>
      </c>
      <c r="E100" t="s">
        <v>322</v>
      </c>
      <c r="F100">
        <v>45</v>
      </c>
      <c r="G100">
        <v>11</v>
      </c>
      <c r="H100">
        <v>21</v>
      </c>
      <c r="I100">
        <v>32</v>
      </c>
      <c r="J100">
        <v>13</v>
      </c>
      <c r="K100">
        <v>20</v>
      </c>
      <c r="L100">
        <v>8</v>
      </c>
      <c r="M100">
        <v>3</v>
      </c>
      <c r="N100">
        <v>0</v>
      </c>
      <c r="O100">
        <v>2</v>
      </c>
      <c r="P100">
        <v>14</v>
      </c>
      <c r="Q100">
        <v>7</v>
      </c>
      <c r="R100">
        <v>0</v>
      </c>
      <c r="S100">
        <v>133</v>
      </c>
      <c r="T100">
        <v>8.3000000000000007</v>
      </c>
      <c r="U100">
        <v>218</v>
      </c>
      <c r="V100" t="s">
        <v>1982</v>
      </c>
      <c r="W100" t="s">
        <v>1157</v>
      </c>
      <c r="X100">
        <v>465</v>
      </c>
      <c r="Y100">
        <v>471</v>
      </c>
      <c r="Z100">
        <v>49.7</v>
      </c>
      <c r="AA100">
        <v>19</v>
      </c>
      <c r="AB100">
        <v>68</v>
      </c>
      <c r="AC100">
        <v>11</v>
      </c>
      <c r="AD100">
        <v>33</v>
      </c>
      <c r="AE100" t="s">
        <v>60</v>
      </c>
    </row>
    <row r="101" spans="1:31" x14ac:dyDescent="0.2">
      <c r="A101">
        <v>98</v>
      </c>
      <c r="B101" t="s">
        <v>487</v>
      </c>
      <c r="C101">
        <v>31</v>
      </c>
      <c r="D101" t="s">
        <v>461</v>
      </c>
      <c r="E101" t="s">
        <v>322</v>
      </c>
      <c r="F101">
        <v>46</v>
      </c>
      <c r="G101">
        <v>16</v>
      </c>
      <c r="H101">
        <v>16</v>
      </c>
      <c r="I101">
        <v>32</v>
      </c>
      <c r="J101">
        <v>-8</v>
      </c>
      <c r="K101">
        <v>24</v>
      </c>
      <c r="L101">
        <v>15</v>
      </c>
      <c r="M101">
        <v>1</v>
      </c>
      <c r="N101">
        <v>0</v>
      </c>
      <c r="O101">
        <v>1</v>
      </c>
      <c r="P101">
        <v>8</v>
      </c>
      <c r="Q101">
        <v>8</v>
      </c>
      <c r="R101">
        <v>0</v>
      </c>
      <c r="S101">
        <v>130</v>
      </c>
      <c r="T101">
        <v>12.3</v>
      </c>
      <c r="U101">
        <v>284</v>
      </c>
      <c r="V101" t="s">
        <v>2283</v>
      </c>
      <c r="W101" t="s">
        <v>1736</v>
      </c>
      <c r="X101">
        <v>7</v>
      </c>
      <c r="Y101">
        <v>13</v>
      </c>
      <c r="Z101">
        <v>35</v>
      </c>
      <c r="AA101">
        <v>15</v>
      </c>
      <c r="AB101">
        <v>91</v>
      </c>
      <c r="AC101">
        <v>32</v>
      </c>
      <c r="AD101">
        <v>66</v>
      </c>
      <c r="AE101" t="s">
        <v>60</v>
      </c>
    </row>
    <row r="102" spans="1:31" x14ac:dyDescent="0.2">
      <c r="A102">
        <v>99</v>
      </c>
      <c r="B102" t="s">
        <v>522</v>
      </c>
      <c r="C102">
        <v>38</v>
      </c>
      <c r="D102" t="s">
        <v>418</v>
      </c>
      <c r="E102" t="s">
        <v>322</v>
      </c>
      <c r="F102">
        <v>46</v>
      </c>
      <c r="G102">
        <v>9</v>
      </c>
      <c r="H102">
        <v>23</v>
      </c>
      <c r="I102">
        <v>32</v>
      </c>
      <c r="J102">
        <v>11</v>
      </c>
      <c r="K102">
        <v>16</v>
      </c>
      <c r="L102">
        <v>8</v>
      </c>
      <c r="M102">
        <v>1</v>
      </c>
      <c r="N102">
        <v>0</v>
      </c>
      <c r="O102">
        <v>1</v>
      </c>
      <c r="P102">
        <v>16</v>
      </c>
      <c r="Q102">
        <v>7</v>
      </c>
      <c r="R102">
        <v>0</v>
      </c>
      <c r="S102">
        <v>80</v>
      </c>
      <c r="T102">
        <v>11.3</v>
      </c>
      <c r="U102">
        <v>145</v>
      </c>
      <c r="V102" t="s">
        <v>2732</v>
      </c>
      <c r="W102" t="s">
        <v>883</v>
      </c>
      <c r="X102">
        <v>291</v>
      </c>
      <c r="Y102">
        <v>159</v>
      </c>
      <c r="Z102">
        <v>64.7</v>
      </c>
      <c r="AA102">
        <v>16</v>
      </c>
      <c r="AB102">
        <v>38</v>
      </c>
      <c r="AC102">
        <v>10</v>
      </c>
      <c r="AD102">
        <v>32</v>
      </c>
      <c r="AE102" t="s">
        <v>60</v>
      </c>
    </row>
    <row r="103" spans="1:31" x14ac:dyDescent="0.2">
      <c r="A103">
        <v>100</v>
      </c>
      <c r="B103" t="s">
        <v>457</v>
      </c>
      <c r="C103">
        <v>32</v>
      </c>
      <c r="D103" t="s">
        <v>398</v>
      </c>
      <c r="E103" t="s">
        <v>349</v>
      </c>
      <c r="F103">
        <v>35</v>
      </c>
      <c r="G103">
        <v>6</v>
      </c>
      <c r="H103">
        <v>26</v>
      </c>
      <c r="I103">
        <v>32</v>
      </c>
      <c r="J103">
        <v>10</v>
      </c>
      <c r="K103">
        <v>14</v>
      </c>
      <c r="L103">
        <v>2</v>
      </c>
      <c r="M103">
        <v>4</v>
      </c>
      <c r="N103">
        <v>0</v>
      </c>
      <c r="O103">
        <v>1</v>
      </c>
      <c r="P103">
        <v>20</v>
      </c>
      <c r="Q103">
        <v>6</v>
      </c>
      <c r="R103">
        <v>0</v>
      </c>
      <c r="S103">
        <v>73</v>
      </c>
      <c r="T103">
        <v>8.1999999999999993</v>
      </c>
      <c r="U103">
        <v>178</v>
      </c>
      <c r="V103" t="s">
        <v>2284</v>
      </c>
      <c r="W103" t="s">
        <v>1003</v>
      </c>
      <c r="X103">
        <v>0</v>
      </c>
      <c r="Y103">
        <v>0</v>
      </c>
      <c r="AA103">
        <v>42</v>
      </c>
      <c r="AB103">
        <v>13</v>
      </c>
      <c r="AC103">
        <v>11</v>
      </c>
      <c r="AD103">
        <v>37</v>
      </c>
      <c r="AE103" t="s">
        <v>60</v>
      </c>
    </row>
    <row r="104" spans="1:31" x14ac:dyDescent="0.2">
      <c r="A104">
        <v>101</v>
      </c>
      <c r="B104" t="s">
        <v>436</v>
      </c>
      <c r="C104">
        <v>35</v>
      </c>
      <c r="D104" t="s">
        <v>437</v>
      </c>
      <c r="E104" t="s">
        <v>322</v>
      </c>
      <c r="F104">
        <v>46</v>
      </c>
      <c r="G104">
        <v>8</v>
      </c>
      <c r="H104">
        <v>24</v>
      </c>
      <c r="I104">
        <v>32</v>
      </c>
      <c r="J104">
        <v>-18</v>
      </c>
      <c r="K104">
        <v>18</v>
      </c>
      <c r="L104">
        <v>6</v>
      </c>
      <c r="M104">
        <v>2</v>
      </c>
      <c r="N104">
        <v>0</v>
      </c>
      <c r="O104">
        <v>1</v>
      </c>
      <c r="P104">
        <v>14</v>
      </c>
      <c r="Q104">
        <v>10</v>
      </c>
      <c r="R104">
        <v>0</v>
      </c>
      <c r="S104">
        <v>134</v>
      </c>
      <c r="T104">
        <v>6</v>
      </c>
      <c r="U104">
        <v>282</v>
      </c>
      <c r="V104" t="s">
        <v>2285</v>
      </c>
      <c r="W104" t="s">
        <v>537</v>
      </c>
      <c r="X104">
        <v>320</v>
      </c>
      <c r="Y104">
        <v>320</v>
      </c>
      <c r="Z104">
        <v>50</v>
      </c>
      <c r="AA104">
        <v>18</v>
      </c>
      <c r="AB104">
        <v>29</v>
      </c>
      <c r="AC104">
        <v>12</v>
      </c>
      <c r="AD104">
        <v>49</v>
      </c>
      <c r="AE104" t="s">
        <v>60</v>
      </c>
    </row>
    <row r="105" spans="1:31" x14ac:dyDescent="0.2">
      <c r="A105">
        <v>102</v>
      </c>
      <c r="B105" t="s">
        <v>386</v>
      </c>
      <c r="C105">
        <v>39</v>
      </c>
      <c r="D105" t="s">
        <v>377</v>
      </c>
      <c r="E105" t="s">
        <v>322</v>
      </c>
      <c r="F105">
        <v>30</v>
      </c>
      <c r="G105">
        <v>10</v>
      </c>
      <c r="H105">
        <v>22</v>
      </c>
      <c r="I105">
        <v>32</v>
      </c>
      <c r="J105">
        <v>7</v>
      </c>
      <c r="K105">
        <v>26</v>
      </c>
      <c r="L105">
        <v>7</v>
      </c>
      <c r="M105">
        <v>3</v>
      </c>
      <c r="N105">
        <v>0</v>
      </c>
      <c r="O105">
        <v>1</v>
      </c>
      <c r="P105">
        <v>11</v>
      </c>
      <c r="Q105">
        <v>11</v>
      </c>
      <c r="R105">
        <v>0</v>
      </c>
      <c r="S105">
        <v>73</v>
      </c>
      <c r="T105">
        <v>13.7</v>
      </c>
      <c r="U105">
        <v>127</v>
      </c>
      <c r="V105" t="s">
        <v>2286</v>
      </c>
      <c r="W105" t="s">
        <v>2287</v>
      </c>
      <c r="X105">
        <v>95</v>
      </c>
      <c r="Y105">
        <v>114</v>
      </c>
      <c r="Z105">
        <v>45.5</v>
      </c>
      <c r="AA105">
        <v>9</v>
      </c>
      <c r="AB105">
        <v>11</v>
      </c>
      <c r="AC105">
        <v>13</v>
      </c>
      <c r="AD105">
        <v>40</v>
      </c>
      <c r="AE105" t="s">
        <v>60</v>
      </c>
    </row>
    <row r="106" spans="1:31" x14ac:dyDescent="0.2">
      <c r="A106">
        <v>103</v>
      </c>
      <c r="B106" t="s">
        <v>453</v>
      </c>
      <c r="C106">
        <v>24</v>
      </c>
      <c r="D106" t="s">
        <v>406</v>
      </c>
      <c r="E106" t="s">
        <v>335</v>
      </c>
      <c r="F106">
        <v>47</v>
      </c>
      <c r="G106">
        <v>16</v>
      </c>
      <c r="H106">
        <v>16</v>
      </c>
      <c r="I106">
        <v>32</v>
      </c>
      <c r="J106">
        <v>9</v>
      </c>
      <c r="K106">
        <v>20</v>
      </c>
      <c r="L106">
        <v>14</v>
      </c>
      <c r="M106">
        <v>2</v>
      </c>
      <c r="N106">
        <v>0</v>
      </c>
      <c r="O106">
        <v>2</v>
      </c>
      <c r="P106">
        <v>15</v>
      </c>
      <c r="Q106">
        <v>1</v>
      </c>
      <c r="R106">
        <v>0</v>
      </c>
      <c r="S106">
        <v>97</v>
      </c>
      <c r="T106">
        <v>16.5</v>
      </c>
      <c r="U106">
        <v>189</v>
      </c>
      <c r="V106" t="s">
        <v>2288</v>
      </c>
      <c r="W106" t="s">
        <v>2289</v>
      </c>
      <c r="X106">
        <v>5</v>
      </c>
      <c r="Y106">
        <v>10</v>
      </c>
      <c r="Z106">
        <v>33.299999999999997</v>
      </c>
      <c r="AA106">
        <v>14</v>
      </c>
      <c r="AB106">
        <v>12</v>
      </c>
      <c r="AC106">
        <v>13</v>
      </c>
      <c r="AD106">
        <v>48</v>
      </c>
      <c r="AE106" t="s">
        <v>60</v>
      </c>
    </row>
    <row r="107" spans="1:31" x14ac:dyDescent="0.2">
      <c r="A107">
        <v>104</v>
      </c>
      <c r="B107" t="s">
        <v>492</v>
      </c>
      <c r="C107">
        <v>27</v>
      </c>
      <c r="D107" t="s">
        <v>406</v>
      </c>
      <c r="E107" t="s">
        <v>349</v>
      </c>
      <c r="F107">
        <v>47</v>
      </c>
      <c r="G107">
        <v>7</v>
      </c>
      <c r="H107">
        <v>25</v>
      </c>
      <c r="I107">
        <v>32</v>
      </c>
      <c r="J107">
        <v>-6</v>
      </c>
      <c r="K107">
        <v>26</v>
      </c>
      <c r="L107">
        <v>4</v>
      </c>
      <c r="M107">
        <v>3</v>
      </c>
      <c r="N107">
        <v>0</v>
      </c>
      <c r="O107">
        <v>0</v>
      </c>
      <c r="P107">
        <v>15</v>
      </c>
      <c r="Q107">
        <v>9</v>
      </c>
      <c r="R107">
        <v>1</v>
      </c>
      <c r="S107">
        <v>99</v>
      </c>
      <c r="T107">
        <v>7.1</v>
      </c>
      <c r="U107">
        <v>217</v>
      </c>
      <c r="V107" t="s">
        <v>2290</v>
      </c>
      <c r="W107" t="s">
        <v>1890</v>
      </c>
      <c r="X107">
        <v>0</v>
      </c>
      <c r="Y107">
        <v>0</v>
      </c>
      <c r="AA107">
        <v>79</v>
      </c>
      <c r="AB107">
        <v>22</v>
      </c>
      <c r="AC107">
        <v>19</v>
      </c>
      <c r="AD107">
        <v>71</v>
      </c>
      <c r="AE107" t="s">
        <v>60</v>
      </c>
    </row>
    <row r="108" spans="1:31" x14ac:dyDescent="0.2">
      <c r="A108">
        <v>105</v>
      </c>
      <c r="B108" t="s">
        <v>515</v>
      </c>
      <c r="C108">
        <v>33</v>
      </c>
      <c r="D108" t="s">
        <v>324</v>
      </c>
      <c r="E108" t="s">
        <v>322</v>
      </c>
      <c r="F108">
        <v>45</v>
      </c>
      <c r="G108">
        <v>13</v>
      </c>
      <c r="H108">
        <v>19</v>
      </c>
      <c r="I108">
        <v>32</v>
      </c>
      <c r="J108">
        <v>-4</v>
      </c>
      <c r="K108">
        <v>6</v>
      </c>
      <c r="L108">
        <v>8</v>
      </c>
      <c r="M108">
        <v>5</v>
      </c>
      <c r="N108">
        <v>0</v>
      </c>
      <c r="O108">
        <v>1</v>
      </c>
      <c r="P108">
        <v>15</v>
      </c>
      <c r="Q108">
        <v>4</v>
      </c>
      <c r="R108">
        <v>0</v>
      </c>
      <c r="S108">
        <v>108</v>
      </c>
      <c r="T108">
        <v>12</v>
      </c>
      <c r="U108">
        <v>219</v>
      </c>
      <c r="V108" t="s">
        <v>2073</v>
      </c>
      <c r="W108" t="s">
        <v>1546</v>
      </c>
      <c r="X108">
        <v>4</v>
      </c>
      <c r="Y108">
        <v>11</v>
      </c>
      <c r="Z108">
        <v>26.7</v>
      </c>
      <c r="AA108">
        <v>22</v>
      </c>
      <c r="AB108">
        <v>32</v>
      </c>
      <c r="AC108">
        <v>12</v>
      </c>
      <c r="AD108">
        <v>32</v>
      </c>
      <c r="AE108" t="s">
        <v>60</v>
      </c>
    </row>
    <row r="109" spans="1:31" x14ac:dyDescent="0.2">
      <c r="A109">
        <v>106</v>
      </c>
      <c r="B109" t="s">
        <v>575</v>
      </c>
      <c r="C109">
        <v>31</v>
      </c>
      <c r="D109" t="s">
        <v>324</v>
      </c>
      <c r="E109" t="s">
        <v>322</v>
      </c>
      <c r="F109">
        <v>45</v>
      </c>
      <c r="G109">
        <v>10</v>
      </c>
      <c r="H109">
        <v>22</v>
      </c>
      <c r="I109">
        <v>32</v>
      </c>
      <c r="J109">
        <v>-12</v>
      </c>
      <c r="K109">
        <v>10</v>
      </c>
      <c r="L109">
        <v>5</v>
      </c>
      <c r="M109">
        <v>5</v>
      </c>
      <c r="N109">
        <v>0</v>
      </c>
      <c r="O109">
        <v>2</v>
      </c>
      <c r="P109">
        <v>18</v>
      </c>
      <c r="Q109">
        <v>4</v>
      </c>
      <c r="R109">
        <v>0</v>
      </c>
      <c r="S109">
        <v>55</v>
      </c>
      <c r="T109">
        <v>18.2</v>
      </c>
      <c r="U109">
        <v>99</v>
      </c>
      <c r="V109" t="s">
        <v>2074</v>
      </c>
      <c r="W109" t="s">
        <v>1885</v>
      </c>
      <c r="X109">
        <v>349</v>
      </c>
      <c r="Y109">
        <v>420</v>
      </c>
      <c r="Z109">
        <v>45.4</v>
      </c>
      <c r="AA109">
        <v>55</v>
      </c>
      <c r="AB109">
        <v>13</v>
      </c>
      <c r="AC109">
        <v>21</v>
      </c>
      <c r="AD109">
        <v>36</v>
      </c>
      <c r="AE109" t="s">
        <v>60</v>
      </c>
    </row>
    <row r="110" spans="1:31" x14ac:dyDescent="0.2">
      <c r="A110">
        <v>107</v>
      </c>
      <c r="B110" t="s">
        <v>466</v>
      </c>
      <c r="C110">
        <v>28</v>
      </c>
      <c r="D110" t="s">
        <v>356</v>
      </c>
      <c r="E110" t="s">
        <v>322</v>
      </c>
      <c r="F110">
        <v>46</v>
      </c>
      <c r="G110">
        <v>14</v>
      </c>
      <c r="H110">
        <v>18</v>
      </c>
      <c r="I110">
        <v>32</v>
      </c>
      <c r="J110">
        <v>-4</v>
      </c>
      <c r="K110">
        <v>24</v>
      </c>
      <c r="L110">
        <v>9</v>
      </c>
      <c r="M110">
        <v>5</v>
      </c>
      <c r="N110">
        <v>0</v>
      </c>
      <c r="O110">
        <v>3</v>
      </c>
      <c r="P110">
        <v>9</v>
      </c>
      <c r="Q110">
        <v>9</v>
      </c>
      <c r="R110">
        <v>0</v>
      </c>
      <c r="S110">
        <v>72</v>
      </c>
      <c r="T110">
        <v>19.399999999999999</v>
      </c>
      <c r="U110">
        <v>132</v>
      </c>
      <c r="V110" t="s">
        <v>2291</v>
      </c>
      <c r="W110" t="s">
        <v>2028</v>
      </c>
      <c r="X110">
        <v>296</v>
      </c>
      <c r="Y110">
        <v>258</v>
      </c>
      <c r="Z110">
        <v>53.4</v>
      </c>
      <c r="AA110">
        <v>17</v>
      </c>
      <c r="AB110">
        <v>40</v>
      </c>
      <c r="AC110">
        <v>12</v>
      </c>
      <c r="AD110">
        <v>33</v>
      </c>
      <c r="AE110" t="s">
        <v>60</v>
      </c>
    </row>
    <row r="111" spans="1:31" x14ac:dyDescent="0.2">
      <c r="A111">
        <v>108</v>
      </c>
      <c r="B111" t="s">
        <v>485</v>
      </c>
      <c r="C111">
        <v>23</v>
      </c>
      <c r="D111" t="s">
        <v>461</v>
      </c>
      <c r="E111" t="s">
        <v>335</v>
      </c>
      <c r="F111">
        <v>45</v>
      </c>
      <c r="G111">
        <v>6</v>
      </c>
      <c r="H111">
        <v>25</v>
      </c>
      <c r="I111">
        <v>31</v>
      </c>
      <c r="J111">
        <v>6</v>
      </c>
      <c r="K111">
        <v>10</v>
      </c>
      <c r="L111">
        <v>5</v>
      </c>
      <c r="M111">
        <v>1</v>
      </c>
      <c r="N111">
        <v>0</v>
      </c>
      <c r="O111">
        <v>0</v>
      </c>
      <c r="P111">
        <v>15</v>
      </c>
      <c r="Q111">
        <v>10</v>
      </c>
      <c r="R111">
        <v>0</v>
      </c>
      <c r="S111">
        <v>103</v>
      </c>
      <c r="T111">
        <v>5.8</v>
      </c>
      <c r="U111">
        <v>185</v>
      </c>
      <c r="V111" t="s">
        <v>2292</v>
      </c>
      <c r="W111" t="s">
        <v>2293</v>
      </c>
      <c r="X111">
        <v>0</v>
      </c>
      <c r="Y111">
        <v>1</v>
      </c>
      <c r="Z111">
        <v>0</v>
      </c>
      <c r="AA111">
        <v>13</v>
      </c>
      <c r="AB111">
        <v>8</v>
      </c>
      <c r="AC111">
        <v>13</v>
      </c>
      <c r="AD111">
        <v>39</v>
      </c>
      <c r="AE111" t="s">
        <v>60</v>
      </c>
    </row>
    <row r="112" spans="1:31" x14ac:dyDescent="0.2">
      <c r="A112">
        <v>109</v>
      </c>
      <c r="B112" t="s">
        <v>476</v>
      </c>
      <c r="C112">
        <v>25</v>
      </c>
      <c r="D112" t="s">
        <v>367</v>
      </c>
      <c r="E112" t="s">
        <v>322</v>
      </c>
      <c r="F112">
        <v>44</v>
      </c>
      <c r="G112">
        <v>16</v>
      </c>
      <c r="H112">
        <v>15</v>
      </c>
      <c r="I112">
        <v>31</v>
      </c>
      <c r="J112">
        <v>21</v>
      </c>
      <c r="K112">
        <v>16</v>
      </c>
      <c r="L112">
        <v>16</v>
      </c>
      <c r="M112">
        <v>0</v>
      </c>
      <c r="N112">
        <v>0</v>
      </c>
      <c r="O112">
        <v>3</v>
      </c>
      <c r="P112">
        <v>13</v>
      </c>
      <c r="Q112">
        <v>1</v>
      </c>
      <c r="R112">
        <v>1</v>
      </c>
      <c r="S112">
        <v>95</v>
      </c>
      <c r="T112">
        <v>16.8</v>
      </c>
      <c r="U112">
        <v>186</v>
      </c>
      <c r="V112" t="s">
        <v>2294</v>
      </c>
      <c r="W112" t="s">
        <v>1568</v>
      </c>
      <c r="X112">
        <v>10</v>
      </c>
      <c r="Y112">
        <v>19</v>
      </c>
      <c r="Z112">
        <v>34.5</v>
      </c>
      <c r="AA112">
        <v>26</v>
      </c>
      <c r="AB112">
        <v>20</v>
      </c>
      <c r="AC112">
        <v>14</v>
      </c>
      <c r="AD112">
        <v>53</v>
      </c>
      <c r="AE112" t="s">
        <v>60</v>
      </c>
    </row>
    <row r="113" spans="1:31" x14ac:dyDescent="0.2">
      <c r="A113">
        <v>110</v>
      </c>
      <c r="B113" t="s">
        <v>693</v>
      </c>
      <c r="C113">
        <v>35</v>
      </c>
      <c r="D113" t="s">
        <v>461</v>
      </c>
      <c r="E113" t="s">
        <v>322</v>
      </c>
      <c r="F113">
        <v>46</v>
      </c>
      <c r="G113">
        <v>20</v>
      </c>
      <c r="H113">
        <v>11</v>
      </c>
      <c r="I113">
        <v>31</v>
      </c>
      <c r="J113">
        <v>-9</v>
      </c>
      <c r="K113">
        <v>22</v>
      </c>
      <c r="L113">
        <v>15</v>
      </c>
      <c r="M113">
        <v>5</v>
      </c>
      <c r="N113">
        <v>0</v>
      </c>
      <c r="O113">
        <v>7</v>
      </c>
      <c r="P113">
        <v>7</v>
      </c>
      <c r="Q113">
        <v>4</v>
      </c>
      <c r="R113">
        <v>0</v>
      </c>
      <c r="S113">
        <v>110</v>
      </c>
      <c r="T113">
        <v>18.2</v>
      </c>
      <c r="U113">
        <v>220</v>
      </c>
      <c r="V113" t="s">
        <v>2295</v>
      </c>
      <c r="W113" t="s">
        <v>1679</v>
      </c>
      <c r="X113">
        <v>159</v>
      </c>
      <c r="Y113">
        <v>126</v>
      </c>
      <c r="Z113">
        <v>55.8</v>
      </c>
      <c r="AA113">
        <v>20</v>
      </c>
      <c r="AB113">
        <v>45</v>
      </c>
      <c r="AC113">
        <v>18</v>
      </c>
      <c r="AD113">
        <v>42</v>
      </c>
      <c r="AE113" t="s">
        <v>60</v>
      </c>
    </row>
    <row r="114" spans="1:31" x14ac:dyDescent="0.2">
      <c r="A114">
        <v>111</v>
      </c>
      <c r="B114" t="s">
        <v>536</v>
      </c>
      <c r="C114">
        <v>35</v>
      </c>
      <c r="D114" t="s">
        <v>532</v>
      </c>
      <c r="E114" t="s">
        <v>335</v>
      </c>
      <c r="F114">
        <v>43</v>
      </c>
      <c r="G114">
        <v>16</v>
      </c>
      <c r="H114">
        <v>14</v>
      </c>
      <c r="I114">
        <v>30</v>
      </c>
      <c r="J114">
        <v>9</v>
      </c>
      <c r="K114">
        <v>14</v>
      </c>
      <c r="L114">
        <v>12</v>
      </c>
      <c r="M114">
        <v>4</v>
      </c>
      <c r="N114">
        <v>0</v>
      </c>
      <c r="O114">
        <v>3</v>
      </c>
      <c r="P114">
        <v>5</v>
      </c>
      <c r="Q114">
        <v>9</v>
      </c>
      <c r="R114">
        <v>0</v>
      </c>
      <c r="S114">
        <v>101</v>
      </c>
      <c r="T114">
        <v>15.8</v>
      </c>
      <c r="U114">
        <v>188</v>
      </c>
      <c r="V114" t="s">
        <v>2733</v>
      </c>
      <c r="W114" t="s">
        <v>2734</v>
      </c>
      <c r="X114">
        <v>9</v>
      </c>
      <c r="Y114">
        <v>15</v>
      </c>
      <c r="Z114">
        <v>37.5</v>
      </c>
      <c r="AA114">
        <v>21</v>
      </c>
      <c r="AB114">
        <v>33</v>
      </c>
      <c r="AC114">
        <v>11</v>
      </c>
      <c r="AD114">
        <v>33</v>
      </c>
      <c r="AE114" t="s">
        <v>60</v>
      </c>
    </row>
    <row r="115" spans="1:31" x14ac:dyDescent="0.2">
      <c r="A115">
        <v>112</v>
      </c>
      <c r="B115" t="s">
        <v>470</v>
      </c>
      <c r="C115">
        <v>24</v>
      </c>
      <c r="D115" t="s">
        <v>400</v>
      </c>
      <c r="E115" t="s">
        <v>322</v>
      </c>
      <c r="F115">
        <v>29</v>
      </c>
      <c r="G115">
        <v>11</v>
      </c>
      <c r="H115">
        <v>19</v>
      </c>
      <c r="I115">
        <v>30</v>
      </c>
      <c r="J115">
        <v>0</v>
      </c>
      <c r="K115">
        <v>0</v>
      </c>
      <c r="L115">
        <v>10</v>
      </c>
      <c r="M115">
        <v>1</v>
      </c>
      <c r="N115">
        <v>0</v>
      </c>
      <c r="O115">
        <v>2</v>
      </c>
      <c r="P115">
        <v>11</v>
      </c>
      <c r="Q115">
        <v>8</v>
      </c>
      <c r="R115">
        <v>0</v>
      </c>
      <c r="S115">
        <v>105</v>
      </c>
      <c r="T115">
        <v>10.5</v>
      </c>
      <c r="U115">
        <v>201</v>
      </c>
      <c r="V115" t="s">
        <v>2735</v>
      </c>
      <c r="W115" t="s">
        <v>2736</v>
      </c>
      <c r="X115">
        <v>52</v>
      </c>
      <c r="Y115">
        <v>101</v>
      </c>
      <c r="Z115">
        <v>34</v>
      </c>
      <c r="AA115">
        <v>14</v>
      </c>
      <c r="AB115">
        <v>2</v>
      </c>
      <c r="AC115">
        <v>18</v>
      </c>
      <c r="AD115">
        <v>55</v>
      </c>
      <c r="AE115" t="s">
        <v>60</v>
      </c>
    </row>
    <row r="116" spans="1:31" x14ac:dyDescent="0.2">
      <c r="A116">
        <v>113</v>
      </c>
      <c r="B116" t="s">
        <v>526</v>
      </c>
      <c r="C116">
        <v>31</v>
      </c>
      <c r="D116" t="s">
        <v>356</v>
      </c>
      <c r="E116" t="s">
        <v>322</v>
      </c>
      <c r="F116">
        <v>37</v>
      </c>
      <c r="G116">
        <v>8</v>
      </c>
      <c r="H116">
        <v>22</v>
      </c>
      <c r="I116">
        <v>30</v>
      </c>
      <c r="J116">
        <v>0</v>
      </c>
      <c r="K116">
        <v>32</v>
      </c>
      <c r="L116">
        <v>3</v>
      </c>
      <c r="M116">
        <v>5</v>
      </c>
      <c r="N116">
        <v>0</v>
      </c>
      <c r="O116">
        <v>2</v>
      </c>
      <c r="P116">
        <v>12</v>
      </c>
      <c r="Q116">
        <v>10</v>
      </c>
      <c r="R116">
        <v>0</v>
      </c>
      <c r="S116">
        <v>60</v>
      </c>
      <c r="T116">
        <v>13.3</v>
      </c>
      <c r="U116">
        <v>128</v>
      </c>
      <c r="V116" t="s">
        <v>2296</v>
      </c>
      <c r="W116" t="s">
        <v>1304</v>
      </c>
      <c r="X116">
        <v>338</v>
      </c>
      <c r="Y116">
        <v>273</v>
      </c>
      <c r="Z116">
        <v>55.3</v>
      </c>
      <c r="AA116">
        <v>32</v>
      </c>
      <c r="AB116">
        <v>28</v>
      </c>
      <c r="AC116">
        <v>7</v>
      </c>
      <c r="AD116">
        <v>28</v>
      </c>
      <c r="AE116" t="s">
        <v>60</v>
      </c>
    </row>
    <row r="117" spans="1:31" x14ac:dyDescent="0.2">
      <c r="A117">
        <v>114</v>
      </c>
      <c r="B117" t="s">
        <v>686</v>
      </c>
      <c r="C117">
        <v>29</v>
      </c>
      <c r="D117" t="s">
        <v>353</v>
      </c>
      <c r="E117" t="s">
        <v>322</v>
      </c>
      <c r="F117">
        <v>37</v>
      </c>
      <c r="G117">
        <v>11</v>
      </c>
      <c r="H117">
        <v>19</v>
      </c>
      <c r="I117">
        <v>30</v>
      </c>
      <c r="J117">
        <v>4</v>
      </c>
      <c r="K117">
        <v>8</v>
      </c>
      <c r="L117">
        <v>8</v>
      </c>
      <c r="M117">
        <v>3</v>
      </c>
      <c r="N117">
        <v>0</v>
      </c>
      <c r="O117">
        <v>0</v>
      </c>
      <c r="P117">
        <v>15</v>
      </c>
      <c r="Q117">
        <v>4</v>
      </c>
      <c r="R117">
        <v>0</v>
      </c>
      <c r="S117">
        <v>82</v>
      </c>
      <c r="T117">
        <v>13.4</v>
      </c>
      <c r="U117">
        <v>143</v>
      </c>
      <c r="V117" t="s">
        <v>2132</v>
      </c>
      <c r="W117" t="s">
        <v>443</v>
      </c>
      <c r="X117">
        <v>173</v>
      </c>
      <c r="Y117">
        <v>204</v>
      </c>
      <c r="Z117">
        <v>45.9</v>
      </c>
      <c r="AA117">
        <v>13</v>
      </c>
      <c r="AB117">
        <v>4</v>
      </c>
      <c r="AC117">
        <v>5</v>
      </c>
      <c r="AD117">
        <v>22</v>
      </c>
      <c r="AE117" t="s">
        <v>60</v>
      </c>
    </row>
    <row r="118" spans="1:31" x14ac:dyDescent="0.2">
      <c r="A118">
        <v>115</v>
      </c>
      <c r="B118" t="s">
        <v>464</v>
      </c>
      <c r="C118">
        <v>18</v>
      </c>
      <c r="D118" t="s">
        <v>385</v>
      </c>
      <c r="E118" t="s">
        <v>349</v>
      </c>
      <c r="F118">
        <v>46</v>
      </c>
      <c r="G118">
        <v>13</v>
      </c>
      <c r="H118">
        <v>17</v>
      </c>
      <c r="I118">
        <v>30</v>
      </c>
      <c r="J118">
        <v>9</v>
      </c>
      <c r="K118">
        <v>24</v>
      </c>
      <c r="L118">
        <v>7</v>
      </c>
      <c r="M118">
        <v>6</v>
      </c>
      <c r="N118">
        <v>0</v>
      </c>
      <c r="O118">
        <v>3</v>
      </c>
      <c r="P118">
        <v>10</v>
      </c>
      <c r="Q118">
        <v>7</v>
      </c>
      <c r="R118">
        <v>0</v>
      </c>
      <c r="S118">
        <v>116</v>
      </c>
      <c r="T118">
        <v>11.2</v>
      </c>
      <c r="U118">
        <v>270</v>
      </c>
      <c r="V118" t="s">
        <v>2297</v>
      </c>
      <c r="W118" t="s">
        <v>2077</v>
      </c>
      <c r="X118">
        <v>0</v>
      </c>
      <c r="Y118">
        <v>0</v>
      </c>
      <c r="AA118">
        <v>63</v>
      </c>
      <c r="AB118">
        <v>20</v>
      </c>
      <c r="AC118">
        <v>24</v>
      </c>
      <c r="AD118">
        <v>54</v>
      </c>
      <c r="AE118" t="s">
        <v>60</v>
      </c>
    </row>
    <row r="119" spans="1:31" x14ac:dyDescent="0.2">
      <c r="A119">
        <v>116</v>
      </c>
      <c r="B119" t="s">
        <v>478</v>
      </c>
      <c r="C119">
        <v>25</v>
      </c>
      <c r="D119" t="s">
        <v>382</v>
      </c>
      <c r="E119" t="s">
        <v>340</v>
      </c>
      <c r="F119">
        <v>46</v>
      </c>
      <c r="G119">
        <v>16</v>
      </c>
      <c r="H119">
        <v>14</v>
      </c>
      <c r="I119">
        <v>30</v>
      </c>
      <c r="J119">
        <v>0</v>
      </c>
      <c r="K119">
        <v>51</v>
      </c>
      <c r="L119">
        <v>9</v>
      </c>
      <c r="M119">
        <v>7</v>
      </c>
      <c r="N119">
        <v>0</v>
      </c>
      <c r="O119">
        <v>1</v>
      </c>
      <c r="P119">
        <v>13</v>
      </c>
      <c r="Q119">
        <v>1</v>
      </c>
      <c r="R119">
        <v>0</v>
      </c>
      <c r="S119">
        <v>93</v>
      </c>
      <c r="T119">
        <v>17.2</v>
      </c>
      <c r="U119">
        <v>159</v>
      </c>
      <c r="V119" t="s">
        <v>2298</v>
      </c>
      <c r="W119" t="s">
        <v>1542</v>
      </c>
      <c r="X119">
        <v>4</v>
      </c>
      <c r="Y119">
        <v>17</v>
      </c>
      <c r="Z119">
        <v>19</v>
      </c>
      <c r="AA119">
        <v>21</v>
      </c>
      <c r="AB119">
        <v>72</v>
      </c>
      <c r="AC119">
        <v>6</v>
      </c>
      <c r="AD119">
        <v>36</v>
      </c>
      <c r="AE119" t="s">
        <v>60</v>
      </c>
    </row>
    <row r="120" spans="1:31" x14ac:dyDescent="0.2">
      <c r="A120">
        <v>117</v>
      </c>
      <c r="B120" t="s">
        <v>467</v>
      </c>
      <c r="C120">
        <v>29</v>
      </c>
      <c r="D120" t="s">
        <v>437</v>
      </c>
      <c r="E120" t="s">
        <v>349</v>
      </c>
      <c r="F120">
        <v>46</v>
      </c>
      <c r="G120">
        <v>10</v>
      </c>
      <c r="H120">
        <v>19</v>
      </c>
      <c r="I120">
        <v>29</v>
      </c>
      <c r="J120">
        <v>0</v>
      </c>
      <c r="K120">
        <v>53</v>
      </c>
      <c r="L120">
        <v>6</v>
      </c>
      <c r="M120">
        <v>4</v>
      </c>
      <c r="N120">
        <v>0</v>
      </c>
      <c r="O120">
        <v>0</v>
      </c>
      <c r="P120">
        <v>13</v>
      </c>
      <c r="Q120">
        <v>6</v>
      </c>
      <c r="R120">
        <v>0</v>
      </c>
      <c r="S120">
        <v>110</v>
      </c>
      <c r="T120">
        <v>9.1</v>
      </c>
      <c r="U120">
        <v>249</v>
      </c>
      <c r="V120" t="s">
        <v>2299</v>
      </c>
      <c r="W120" t="s">
        <v>2300</v>
      </c>
      <c r="X120">
        <v>0</v>
      </c>
      <c r="Y120">
        <v>0</v>
      </c>
      <c r="AA120">
        <v>87</v>
      </c>
      <c r="AB120">
        <v>28</v>
      </c>
      <c r="AC120">
        <v>17</v>
      </c>
      <c r="AD120">
        <v>64</v>
      </c>
      <c r="AE120" t="s">
        <v>60</v>
      </c>
    </row>
    <row r="121" spans="1:31" x14ac:dyDescent="0.2">
      <c r="A121">
        <v>118</v>
      </c>
      <c r="B121" t="s">
        <v>558</v>
      </c>
      <c r="C121">
        <v>36</v>
      </c>
      <c r="D121" t="s">
        <v>437</v>
      </c>
      <c r="E121" t="s">
        <v>322</v>
      </c>
      <c r="F121">
        <v>46</v>
      </c>
      <c r="G121">
        <v>11</v>
      </c>
      <c r="H121">
        <v>18</v>
      </c>
      <c r="I121">
        <v>29</v>
      </c>
      <c r="J121">
        <v>13</v>
      </c>
      <c r="K121">
        <v>10</v>
      </c>
      <c r="L121">
        <v>10</v>
      </c>
      <c r="M121">
        <v>1</v>
      </c>
      <c r="N121">
        <v>0</v>
      </c>
      <c r="O121">
        <v>1</v>
      </c>
      <c r="P121">
        <v>15</v>
      </c>
      <c r="Q121">
        <v>1</v>
      </c>
      <c r="R121">
        <v>2</v>
      </c>
      <c r="S121">
        <v>113</v>
      </c>
      <c r="T121">
        <v>9.6999999999999993</v>
      </c>
      <c r="U121">
        <v>195</v>
      </c>
      <c r="V121" t="s">
        <v>2301</v>
      </c>
      <c r="W121" t="s">
        <v>1552</v>
      </c>
      <c r="X121">
        <v>427</v>
      </c>
      <c r="Y121">
        <v>405</v>
      </c>
      <c r="Z121">
        <v>51.3</v>
      </c>
      <c r="AA121">
        <v>15</v>
      </c>
      <c r="AB121">
        <v>18</v>
      </c>
      <c r="AC121">
        <v>16</v>
      </c>
      <c r="AD121">
        <v>37</v>
      </c>
      <c r="AE121" t="s">
        <v>60</v>
      </c>
    </row>
    <row r="122" spans="1:31" x14ac:dyDescent="0.2">
      <c r="A122">
        <v>119</v>
      </c>
      <c r="B122" t="s">
        <v>531</v>
      </c>
      <c r="C122">
        <v>23</v>
      </c>
      <c r="D122" t="s">
        <v>532</v>
      </c>
      <c r="E122" t="s">
        <v>322</v>
      </c>
      <c r="F122">
        <v>45</v>
      </c>
      <c r="G122">
        <v>9</v>
      </c>
      <c r="H122">
        <v>20</v>
      </c>
      <c r="I122">
        <v>29</v>
      </c>
      <c r="J122">
        <v>0</v>
      </c>
      <c r="K122">
        <v>10</v>
      </c>
      <c r="L122">
        <v>5</v>
      </c>
      <c r="M122">
        <v>4</v>
      </c>
      <c r="N122">
        <v>0</v>
      </c>
      <c r="O122">
        <v>1</v>
      </c>
      <c r="P122">
        <v>15</v>
      </c>
      <c r="Q122">
        <v>5</v>
      </c>
      <c r="R122">
        <v>0</v>
      </c>
      <c r="S122">
        <v>84</v>
      </c>
      <c r="T122">
        <v>10.7</v>
      </c>
      <c r="U122">
        <v>185</v>
      </c>
      <c r="V122" t="s">
        <v>2737</v>
      </c>
      <c r="W122" t="s">
        <v>1695</v>
      </c>
      <c r="X122">
        <v>297</v>
      </c>
      <c r="Y122">
        <v>310</v>
      </c>
      <c r="Z122">
        <v>48.9</v>
      </c>
      <c r="AA122">
        <v>41</v>
      </c>
      <c r="AB122">
        <v>19</v>
      </c>
      <c r="AC122">
        <v>6</v>
      </c>
      <c r="AD122">
        <v>45</v>
      </c>
      <c r="AE122" t="s">
        <v>60</v>
      </c>
    </row>
    <row r="123" spans="1:31" x14ac:dyDescent="0.2">
      <c r="A123">
        <v>120</v>
      </c>
      <c r="B123" t="s">
        <v>495</v>
      </c>
      <c r="C123">
        <v>30</v>
      </c>
      <c r="D123" t="s">
        <v>330</v>
      </c>
      <c r="E123" t="s">
        <v>340</v>
      </c>
      <c r="F123">
        <v>41</v>
      </c>
      <c r="G123">
        <v>10</v>
      </c>
      <c r="H123">
        <v>19</v>
      </c>
      <c r="I123">
        <v>29</v>
      </c>
      <c r="J123">
        <v>-11</v>
      </c>
      <c r="K123">
        <v>12</v>
      </c>
      <c r="L123">
        <v>7</v>
      </c>
      <c r="M123">
        <v>3</v>
      </c>
      <c r="N123">
        <v>0</v>
      </c>
      <c r="O123">
        <v>1</v>
      </c>
      <c r="P123">
        <v>12</v>
      </c>
      <c r="Q123">
        <v>7</v>
      </c>
      <c r="R123">
        <v>0</v>
      </c>
      <c r="S123">
        <v>60</v>
      </c>
      <c r="T123">
        <v>16.7</v>
      </c>
      <c r="U123">
        <v>131</v>
      </c>
      <c r="V123" t="s">
        <v>2133</v>
      </c>
      <c r="W123" t="s">
        <v>489</v>
      </c>
      <c r="X123">
        <v>0</v>
      </c>
      <c r="Y123">
        <v>4</v>
      </c>
      <c r="Z123">
        <v>0</v>
      </c>
      <c r="AA123">
        <v>16</v>
      </c>
      <c r="AB123">
        <v>12</v>
      </c>
      <c r="AC123">
        <v>18</v>
      </c>
      <c r="AD123">
        <v>36</v>
      </c>
      <c r="AE123" t="s">
        <v>60</v>
      </c>
    </row>
    <row r="124" spans="1:31" x14ac:dyDescent="0.2">
      <c r="A124">
        <v>121</v>
      </c>
      <c r="B124" t="s">
        <v>480</v>
      </c>
      <c r="C124">
        <v>33</v>
      </c>
      <c r="D124" t="s">
        <v>382</v>
      </c>
      <c r="E124" t="s">
        <v>322</v>
      </c>
      <c r="F124">
        <v>46</v>
      </c>
      <c r="G124">
        <v>9</v>
      </c>
      <c r="H124">
        <v>20</v>
      </c>
      <c r="I124">
        <v>29</v>
      </c>
      <c r="J124">
        <v>-1</v>
      </c>
      <c r="K124">
        <v>6</v>
      </c>
      <c r="L124">
        <v>8</v>
      </c>
      <c r="M124">
        <v>1</v>
      </c>
      <c r="N124">
        <v>0</v>
      </c>
      <c r="O124">
        <v>0</v>
      </c>
      <c r="P124">
        <v>17</v>
      </c>
      <c r="Q124">
        <v>3</v>
      </c>
      <c r="R124">
        <v>0</v>
      </c>
      <c r="S124">
        <v>71</v>
      </c>
      <c r="T124">
        <v>12.7</v>
      </c>
      <c r="U124">
        <v>132</v>
      </c>
      <c r="V124" t="s">
        <v>2302</v>
      </c>
      <c r="W124" t="s">
        <v>1672</v>
      </c>
      <c r="X124">
        <v>350</v>
      </c>
      <c r="Y124">
        <v>338</v>
      </c>
      <c r="Z124">
        <v>50.9</v>
      </c>
      <c r="AA124">
        <v>28</v>
      </c>
      <c r="AB124">
        <v>64</v>
      </c>
      <c r="AC124">
        <v>20</v>
      </c>
      <c r="AD124">
        <v>30</v>
      </c>
      <c r="AE124" t="s">
        <v>60</v>
      </c>
    </row>
    <row r="125" spans="1:31" x14ac:dyDescent="0.2">
      <c r="A125">
        <v>122</v>
      </c>
      <c r="B125" t="s">
        <v>497</v>
      </c>
      <c r="C125">
        <v>26</v>
      </c>
      <c r="D125" t="s">
        <v>364</v>
      </c>
      <c r="E125" t="s">
        <v>349</v>
      </c>
      <c r="F125">
        <v>47</v>
      </c>
      <c r="G125">
        <v>9</v>
      </c>
      <c r="H125">
        <v>20</v>
      </c>
      <c r="I125">
        <v>29</v>
      </c>
      <c r="J125">
        <v>2</v>
      </c>
      <c r="K125">
        <v>24</v>
      </c>
      <c r="L125">
        <v>8</v>
      </c>
      <c r="M125">
        <v>1</v>
      </c>
      <c r="N125">
        <v>0</v>
      </c>
      <c r="O125">
        <v>1</v>
      </c>
      <c r="P125">
        <v>15</v>
      </c>
      <c r="Q125">
        <v>5</v>
      </c>
      <c r="R125">
        <v>0</v>
      </c>
      <c r="S125">
        <v>93</v>
      </c>
      <c r="T125">
        <v>9.6999999999999993</v>
      </c>
      <c r="U125">
        <v>203</v>
      </c>
      <c r="V125" t="s">
        <v>2303</v>
      </c>
      <c r="W125" t="s">
        <v>2304</v>
      </c>
      <c r="X125">
        <v>0</v>
      </c>
      <c r="Y125">
        <v>0</v>
      </c>
      <c r="AA125">
        <v>118</v>
      </c>
      <c r="AB125">
        <v>24</v>
      </c>
      <c r="AC125">
        <v>21</v>
      </c>
      <c r="AD125">
        <v>59</v>
      </c>
      <c r="AE125" t="s">
        <v>60</v>
      </c>
    </row>
    <row r="126" spans="1:31" x14ac:dyDescent="0.2">
      <c r="A126">
        <v>123</v>
      </c>
      <c r="B126" t="s">
        <v>521</v>
      </c>
      <c r="C126">
        <v>29</v>
      </c>
      <c r="D126" t="s">
        <v>408</v>
      </c>
      <c r="E126" t="s">
        <v>322</v>
      </c>
      <c r="F126">
        <v>44</v>
      </c>
      <c r="G126">
        <v>10</v>
      </c>
      <c r="H126">
        <v>19</v>
      </c>
      <c r="I126">
        <v>29</v>
      </c>
      <c r="J126">
        <v>6</v>
      </c>
      <c r="K126">
        <v>12</v>
      </c>
      <c r="L126">
        <v>10</v>
      </c>
      <c r="M126">
        <v>0</v>
      </c>
      <c r="N126">
        <v>0</v>
      </c>
      <c r="O126">
        <v>1</v>
      </c>
      <c r="P126">
        <v>18</v>
      </c>
      <c r="Q126">
        <v>1</v>
      </c>
      <c r="R126">
        <v>0</v>
      </c>
      <c r="S126">
        <v>86</v>
      </c>
      <c r="T126">
        <v>11.6</v>
      </c>
      <c r="U126">
        <v>143</v>
      </c>
      <c r="V126" t="s">
        <v>2738</v>
      </c>
      <c r="W126" t="s">
        <v>1679</v>
      </c>
      <c r="X126">
        <v>304</v>
      </c>
      <c r="Y126">
        <v>258</v>
      </c>
      <c r="Z126">
        <v>54.1</v>
      </c>
      <c r="AA126">
        <v>23</v>
      </c>
      <c r="AB126">
        <v>19</v>
      </c>
      <c r="AC126">
        <v>11</v>
      </c>
      <c r="AD126">
        <v>31</v>
      </c>
      <c r="AE126" t="s">
        <v>60</v>
      </c>
    </row>
    <row r="127" spans="1:31" x14ac:dyDescent="0.2">
      <c r="A127">
        <v>124</v>
      </c>
      <c r="B127" t="s">
        <v>499</v>
      </c>
      <c r="C127">
        <v>23</v>
      </c>
      <c r="D127" t="s">
        <v>324</v>
      </c>
      <c r="E127" t="s">
        <v>340</v>
      </c>
      <c r="F127">
        <v>41</v>
      </c>
      <c r="G127">
        <v>11</v>
      </c>
      <c r="H127">
        <v>18</v>
      </c>
      <c r="I127">
        <v>29</v>
      </c>
      <c r="J127">
        <v>-22</v>
      </c>
      <c r="K127">
        <v>24</v>
      </c>
      <c r="L127">
        <v>8</v>
      </c>
      <c r="M127">
        <v>3</v>
      </c>
      <c r="N127">
        <v>0</v>
      </c>
      <c r="O127">
        <v>1</v>
      </c>
      <c r="P127">
        <v>9</v>
      </c>
      <c r="Q127">
        <v>9</v>
      </c>
      <c r="R127">
        <v>0</v>
      </c>
      <c r="S127">
        <v>109</v>
      </c>
      <c r="T127">
        <v>10.1</v>
      </c>
      <c r="U127">
        <v>205</v>
      </c>
      <c r="V127" t="s">
        <v>2075</v>
      </c>
      <c r="W127" t="s">
        <v>1779</v>
      </c>
      <c r="X127">
        <v>0</v>
      </c>
      <c r="Y127">
        <v>9</v>
      </c>
      <c r="Z127">
        <v>0</v>
      </c>
      <c r="AA127">
        <v>29</v>
      </c>
      <c r="AB127">
        <v>31</v>
      </c>
      <c r="AC127">
        <v>10</v>
      </c>
      <c r="AD127">
        <v>40</v>
      </c>
      <c r="AE127" t="s">
        <v>60</v>
      </c>
    </row>
    <row r="128" spans="1:31" x14ac:dyDescent="0.2">
      <c r="A128">
        <v>125</v>
      </c>
      <c r="B128" t="s">
        <v>469</v>
      </c>
      <c r="C128">
        <v>21</v>
      </c>
      <c r="D128" t="s">
        <v>382</v>
      </c>
      <c r="E128" t="s">
        <v>322</v>
      </c>
      <c r="F128">
        <v>46</v>
      </c>
      <c r="G128">
        <v>12</v>
      </c>
      <c r="H128">
        <v>17</v>
      </c>
      <c r="I128">
        <v>29</v>
      </c>
      <c r="J128">
        <v>-13</v>
      </c>
      <c r="K128">
        <v>17</v>
      </c>
      <c r="L128">
        <v>9</v>
      </c>
      <c r="M128">
        <v>3</v>
      </c>
      <c r="N128">
        <v>0</v>
      </c>
      <c r="O128">
        <v>2</v>
      </c>
      <c r="P128">
        <v>14</v>
      </c>
      <c r="Q128">
        <v>3</v>
      </c>
      <c r="R128">
        <v>0</v>
      </c>
      <c r="S128">
        <v>125</v>
      </c>
      <c r="T128">
        <v>9.6</v>
      </c>
      <c r="U128">
        <v>271</v>
      </c>
      <c r="V128" t="s">
        <v>2305</v>
      </c>
      <c r="W128" t="s">
        <v>2306</v>
      </c>
      <c r="X128">
        <v>286</v>
      </c>
      <c r="Y128">
        <v>279</v>
      </c>
      <c r="Z128">
        <v>50.6</v>
      </c>
      <c r="AA128">
        <v>29</v>
      </c>
      <c r="AB128">
        <v>56</v>
      </c>
      <c r="AC128">
        <v>16</v>
      </c>
      <c r="AD128">
        <v>49</v>
      </c>
      <c r="AE128" t="s">
        <v>60</v>
      </c>
    </row>
    <row r="129" spans="1:31" x14ac:dyDescent="0.2">
      <c r="A129">
        <v>126</v>
      </c>
      <c r="B129" t="s">
        <v>546</v>
      </c>
      <c r="C129">
        <v>25</v>
      </c>
      <c r="D129" t="s">
        <v>337</v>
      </c>
      <c r="E129" t="s">
        <v>349</v>
      </c>
      <c r="F129">
        <v>46</v>
      </c>
      <c r="G129">
        <v>6</v>
      </c>
      <c r="H129">
        <v>23</v>
      </c>
      <c r="I129">
        <v>29</v>
      </c>
      <c r="J129">
        <v>-6</v>
      </c>
      <c r="K129">
        <v>8</v>
      </c>
      <c r="L129">
        <v>4</v>
      </c>
      <c r="M129">
        <v>1</v>
      </c>
      <c r="N129">
        <v>1</v>
      </c>
      <c r="O129">
        <v>0</v>
      </c>
      <c r="P129">
        <v>15</v>
      </c>
      <c r="Q129">
        <v>7</v>
      </c>
      <c r="R129">
        <v>1</v>
      </c>
      <c r="S129">
        <v>98</v>
      </c>
      <c r="T129">
        <v>6.1</v>
      </c>
      <c r="U129">
        <v>221</v>
      </c>
      <c r="V129" t="s">
        <v>2307</v>
      </c>
      <c r="W129" t="s">
        <v>2308</v>
      </c>
      <c r="X129">
        <v>0</v>
      </c>
      <c r="Y129">
        <v>0</v>
      </c>
      <c r="AA129">
        <v>81</v>
      </c>
      <c r="AB129">
        <v>39</v>
      </c>
      <c r="AC129">
        <v>29</v>
      </c>
      <c r="AD129">
        <v>67</v>
      </c>
      <c r="AE129" t="s">
        <v>60</v>
      </c>
    </row>
    <row r="130" spans="1:31" x14ac:dyDescent="0.2">
      <c r="A130">
        <v>127</v>
      </c>
      <c r="B130" t="s">
        <v>548</v>
      </c>
      <c r="C130">
        <v>31</v>
      </c>
      <c r="D130" t="s">
        <v>377</v>
      </c>
      <c r="E130" t="s">
        <v>335</v>
      </c>
      <c r="F130">
        <v>45</v>
      </c>
      <c r="G130">
        <v>14</v>
      </c>
      <c r="H130">
        <v>15</v>
      </c>
      <c r="I130">
        <v>29</v>
      </c>
      <c r="J130">
        <v>8</v>
      </c>
      <c r="K130">
        <v>15</v>
      </c>
      <c r="L130">
        <v>10</v>
      </c>
      <c r="M130">
        <v>4</v>
      </c>
      <c r="N130">
        <v>0</v>
      </c>
      <c r="O130">
        <v>0</v>
      </c>
      <c r="P130">
        <v>11</v>
      </c>
      <c r="Q130">
        <v>4</v>
      </c>
      <c r="R130">
        <v>0</v>
      </c>
      <c r="S130">
        <v>84</v>
      </c>
      <c r="T130">
        <v>16.7</v>
      </c>
      <c r="U130">
        <v>163</v>
      </c>
      <c r="V130" t="s">
        <v>2309</v>
      </c>
      <c r="W130" t="s">
        <v>2310</v>
      </c>
      <c r="X130">
        <v>2</v>
      </c>
      <c r="Y130">
        <v>16</v>
      </c>
      <c r="Z130">
        <v>11.1</v>
      </c>
      <c r="AA130">
        <v>24</v>
      </c>
      <c r="AB130">
        <v>25</v>
      </c>
      <c r="AC130">
        <v>7</v>
      </c>
      <c r="AD130">
        <v>47</v>
      </c>
      <c r="AE130" t="s">
        <v>60</v>
      </c>
    </row>
    <row r="131" spans="1:31" x14ac:dyDescent="0.2">
      <c r="A131">
        <v>128</v>
      </c>
      <c r="B131" t="s">
        <v>596</v>
      </c>
      <c r="C131">
        <v>26</v>
      </c>
      <c r="D131" t="s">
        <v>429</v>
      </c>
      <c r="E131" t="s">
        <v>322</v>
      </c>
      <c r="F131">
        <v>45</v>
      </c>
      <c r="G131">
        <v>10</v>
      </c>
      <c r="H131">
        <v>19</v>
      </c>
      <c r="I131">
        <v>29</v>
      </c>
      <c r="J131">
        <v>12</v>
      </c>
      <c r="K131">
        <v>2</v>
      </c>
      <c r="L131">
        <v>6</v>
      </c>
      <c r="M131">
        <v>0</v>
      </c>
      <c r="N131">
        <v>4</v>
      </c>
      <c r="O131">
        <v>1</v>
      </c>
      <c r="P131">
        <v>15</v>
      </c>
      <c r="Q131">
        <v>3</v>
      </c>
      <c r="R131">
        <v>1</v>
      </c>
      <c r="S131">
        <v>56</v>
      </c>
      <c r="T131">
        <v>17.899999999999999</v>
      </c>
      <c r="U131">
        <v>112</v>
      </c>
      <c r="V131" t="s">
        <v>2739</v>
      </c>
      <c r="W131" t="s">
        <v>2740</v>
      </c>
      <c r="X131">
        <v>322</v>
      </c>
      <c r="Y131">
        <v>389</v>
      </c>
      <c r="Z131">
        <v>45.3</v>
      </c>
      <c r="AA131">
        <v>18</v>
      </c>
      <c r="AB131">
        <v>10</v>
      </c>
      <c r="AC131">
        <v>17</v>
      </c>
      <c r="AD131">
        <v>47</v>
      </c>
      <c r="AE131" t="s">
        <v>60</v>
      </c>
    </row>
    <row r="132" spans="1:31" x14ac:dyDescent="0.2">
      <c r="A132">
        <v>129</v>
      </c>
      <c r="B132" t="s">
        <v>393</v>
      </c>
      <c r="C132">
        <v>20</v>
      </c>
      <c r="D132" t="s">
        <v>324</v>
      </c>
      <c r="E132" t="s">
        <v>322</v>
      </c>
      <c r="F132">
        <v>33</v>
      </c>
      <c r="G132">
        <v>12</v>
      </c>
      <c r="H132">
        <v>17</v>
      </c>
      <c r="I132">
        <v>29</v>
      </c>
      <c r="J132">
        <v>5</v>
      </c>
      <c r="K132">
        <v>12</v>
      </c>
      <c r="L132">
        <v>9</v>
      </c>
      <c r="M132">
        <v>3</v>
      </c>
      <c r="N132">
        <v>0</v>
      </c>
      <c r="O132">
        <v>3</v>
      </c>
      <c r="P132">
        <v>12</v>
      </c>
      <c r="Q132">
        <v>5</v>
      </c>
      <c r="R132">
        <v>0</v>
      </c>
      <c r="S132">
        <v>80</v>
      </c>
      <c r="T132">
        <v>15</v>
      </c>
      <c r="U132">
        <v>162</v>
      </c>
      <c r="V132" t="s">
        <v>1600</v>
      </c>
      <c r="W132" t="s">
        <v>887</v>
      </c>
      <c r="X132">
        <v>8</v>
      </c>
      <c r="Y132">
        <v>21</v>
      </c>
      <c r="Z132">
        <v>27.6</v>
      </c>
      <c r="AA132">
        <v>7</v>
      </c>
      <c r="AB132">
        <v>7</v>
      </c>
      <c r="AC132">
        <v>8</v>
      </c>
      <c r="AD132">
        <v>29</v>
      </c>
      <c r="AE132" t="s">
        <v>60</v>
      </c>
    </row>
    <row r="133" spans="1:31" x14ac:dyDescent="0.2">
      <c r="A133">
        <v>130</v>
      </c>
      <c r="B133" t="s">
        <v>518</v>
      </c>
      <c r="C133">
        <v>28</v>
      </c>
      <c r="D133" t="s">
        <v>353</v>
      </c>
      <c r="E133" t="s">
        <v>322</v>
      </c>
      <c r="F133">
        <v>41</v>
      </c>
      <c r="G133">
        <v>12</v>
      </c>
      <c r="H133">
        <v>16</v>
      </c>
      <c r="I133">
        <v>28</v>
      </c>
      <c r="J133">
        <v>26</v>
      </c>
      <c r="K133">
        <v>27</v>
      </c>
      <c r="L133">
        <v>10</v>
      </c>
      <c r="M133">
        <v>2</v>
      </c>
      <c r="N133">
        <v>0</v>
      </c>
      <c r="O133">
        <v>2</v>
      </c>
      <c r="P133">
        <v>13</v>
      </c>
      <c r="Q133">
        <v>1</v>
      </c>
      <c r="R133">
        <v>2</v>
      </c>
      <c r="S133">
        <v>75</v>
      </c>
      <c r="T133">
        <v>16</v>
      </c>
      <c r="U133">
        <v>144</v>
      </c>
      <c r="V133" t="s">
        <v>2311</v>
      </c>
      <c r="W133" t="s">
        <v>2312</v>
      </c>
      <c r="X133">
        <v>298</v>
      </c>
      <c r="Y133">
        <v>325</v>
      </c>
      <c r="Z133">
        <v>47.8</v>
      </c>
      <c r="AA133">
        <v>27</v>
      </c>
      <c r="AB133">
        <v>26</v>
      </c>
      <c r="AC133">
        <v>17</v>
      </c>
      <c r="AD133">
        <v>26</v>
      </c>
      <c r="AE133" t="s">
        <v>60</v>
      </c>
    </row>
    <row r="134" spans="1:31" x14ac:dyDescent="0.2">
      <c r="A134">
        <v>131</v>
      </c>
      <c r="B134" t="s">
        <v>635</v>
      </c>
      <c r="C134">
        <v>31</v>
      </c>
      <c r="D134" t="s">
        <v>372</v>
      </c>
      <c r="E134" t="s">
        <v>322</v>
      </c>
      <c r="F134">
        <v>48</v>
      </c>
      <c r="G134">
        <v>8</v>
      </c>
      <c r="H134">
        <v>20</v>
      </c>
      <c r="I134">
        <v>28</v>
      </c>
      <c r="J134">
        <v>1</v>
      </c>
      <c r="K134">
        <v>14</v>
      </c>
      <c r="L134">
        <v>7</v>
      </c>
      <c r="M134">
        <v>1</v>
      </c>
      <c r="N134">
        <v>0</v>
      </c>
      <c r="O134">
        <v>1</v>
      </c>
      <c r="P134">
        <v>15</v>
      </c>
      <c r="Q134">
        <v>5</v>
      </c>
      <c r="R134">
        <v>0</v>
      </c>
      <c r="S134">
        <v>70</v>
      </c>
      <c r="T134">
        <v>11.4</v>
      </c>
      <c r="U134">
        <v>125</v>
      </c>
      <c r="V134" t="s">
        <v>2313</v>
      </c>
      <c r="W134" t="s">
        <v>1013</v>
      </c>
      <c r="X134">
        <v>281</v>
      </c>
      <c r="Y134">
        <v>243</v>
      </c>
      <c r="Z134">
        <v>53.6</v>
      </c>
      <c r="AA134">
        <v>38</v>
      </c>
      <c r="AB134">
        <v>29</v>
      </c>
      <c r="AC134">
        <v>13</v>
      </c>
      <c r="AD134">
        <v>43</v>
      </c>
      <c r="AE134" t="s">
        <v>60</v>
      </c>
    </row>
    <row r="135" spans="1:31" x14ac:dyDescent="0.2">
      <c r="A135">
        <v>132</v>
      </c>
      <c r="B135" t="s">
        <v>468</v>
      </c>
      <c r="C135">
        <v>34</v>
      </c>
      <c r="D135" t="s">
        <v>360</v>
      </c>
      <c r="E135" t="s">
        <v>349</v>
      </c>
      <c r="F135">
        <v>46</v>
      </c>
      <c r="G135">
        <v>7</v>
      </c>
      <c r="H135">
        <v>21</v>
      </c>
      <c r="I135">
        <v>28</v>
      </c>
      <c r="J135">
        <v>3</v>
      </c>
      <c r="K135">
        <v>32</v>
      </c>
      <c r="L135">
        <v>7</v>
      </c>
      <c r="M135">
        <v>0</v>
      </c>
      <c r="N135">
        <v>0</v>
      </c>
      <c r="O135">
        <v>0</v>
      </c>
      <c r="P135">
        <v>18</v>
      </c>
      <c r="Q135">
        <v>3</v>
      </c>
      <c r="R135">
        <v>0</v>
      </c>
      <c r="S135">
        <v>66</v>
      </c>
      <c r="T135">
        <v>10.6</v>
      </c>
      <c r="U135">
        <v>162</v>
      </c>
      <c r="V135" t="s">
        <v>2314</v>
      </c>
      <c r="W135" t="s">
        <v>1727</v>
      </c>
      <c r="X135">
        <v>0</v>
      </c>
      <c r="Y135">
        <v>0</v>
      </c>
      <c r="AA135">
        <v>38</v>
      </c>
      <c r="AB135">
        <v>58</v>
      </c>
      <c r="AC135">
        <v>11</v>
      </c>
      <c r="AD135">
        <v>73</v>
      </c>
      <c r="AE135" t="s">
        <v>60</v>
      </c>
    </row>
    <row r="136" spans="1:31" x14ac:dyDescent="0.2">
      <c r="A136">
        <v>133</v>
      </c>
      <c r="B136" t="s">
        <v>561</v>
      </c>
      <c r="C136">
        <v>23</v>
      </c>
      <c r="D136" t="s">
        <v>358</v>
      </c>
      <c r="E136" t="s">
        <v>349</v>
      </c>
      <c r="F136">
        <v>47</v>
      </c>
      <c r="G136">
        <v>10</v>
      </c>
      <c r="H136">
        <v>18</v>
      </c>
      <c r="I136">
        <v>28</v>
      </c>
      <c r="J136">
        <v>11</v>
      </c>
      <c r="K136">
        <v>10</v>
      </c>
      <c r="L136">
        <v>9</v>
      </c>
      <c r="M136">
        <v>0</v>
      </c>
      <c r="N136">
        <v>1</v>
      </c>
      <c r="O136">
        <v>1</v>
      </c>
      <c r="P136">
        <v>10</v>
      </c>
      <c r="Q136">
        <v>8</v>
      </c>
      <c r="R136">
        <v>0</v>
      </c>
      <c r="S136">
        <v>103</v>
      </c>
      <c r="T136">
        <v>9.6999999999999993</v>
      </c>
      <c r="U136">
        <v>216</v>
      </c>
      <c r="V136" t="s">
        <v>2134</v>
      </c>
      <c r="W136" t="s">
        <v>1807</v>
      </c>
      <c r="X136">
        <v>0</v>
      </c>
      <c r="Y136">
        <v>0</v>
      </c>
      <c r="AA136">
        <v>106</v>
      </c>
      <c r="AB136">
        <v>16</v>
      </c>
      <c r="AC136">
        <v>27</v>
      </c>
      <c r="AD136">
        <v>62</v>
      </c>
      <c r="AE136" t="s">
        <v>60</v>
      </c>
    </row>
    <row r="137" spans="1:31" x14ac:dyDescent="0.2">
      <c r="A137">
        <v>134</v>
      </c>
      <c r="B137" t="s">
        <v>402</v>
      </c>
      <c r="C137">
        <v>27</v>
      </c>
      <c r="D137" t="s">
        <v>362</v>
      </c>
      <c r="E137" t="s">
        <v>349</v>
      </c>
      <c r="F137">
        <v>30</v>
      </c>
      <c r="G137">
        <v>4</v>
      </c>
      <c r="H137">
        <v>24</v>
      </c>
      <c r="I137">
        <v>28</v>
      </c>
      <c r="J137">
        <v>4</v>
      </c>
      <c r="K137">
        <v>12</v>
      </c>
      <c r="L137">
        <v>2</v>
      </c>
      <c r="M137">
        <v>2</v>
      </c>
      <c r="N137">
        <v>0</v>
      </c>
      <c r="O137">
        <v>1</v>
      </c>
      <c r="P137">
        <v>16</v>
      </c>
      <c r="Q137">
        <v>7</v>
      </c>
      <c r="R137">
        <v>1</v>
      </c>
      <c r="S137">
        <v>56</v>
      </c>
      <c r="T137">
        <v>7.1</v>
      </c>
      <c r="U137">
        <v>159</v>
      </c>
      <c r="V137" t="s">
        <v>1940</v>
      </c>
      <c r="W137" t="s">
        <v>1871</v>
      </c>
      <c r="X137">
        <v>0</v>
      </c>
      <c r="Y137">
        <v>0</v>
      </c>
      <c r="AA137">
        <v>45</v>
      </c>
      <c r="AB137">
        <v>15</v>
      </c>
      <c r="AC137">
        <v>20</v>
      </c>
      <c r="AD137">
        <v>37</v>
      </c>
      <c r="AE137" t="s">
        <v>60</v>
      </c>
    </row>
    <row r="138" spans="1:31" x14ac:dyDescent="0.2">
      <c r="A138">
        <v>135</v>
      </c>
      <c r="B138" t="s">
        <v>488</v>
      </c>
      <c r="C138">
        <v>37</v>
      </c>
      <c r="D138" t="s">
        <v>372</v>
      </c>
      <c r="E138" t="s">
        <v>335</v>
      </c>
      <c r="F138">
        <v>33</v>
      </c>
      <c r="G138">
        <v>8</v>
      </c>
      <c r="H138">
        <v>20</v>
      </c>
      <c r="I138">
        <v>28</v>
      </c>
      <c r="J138">
        <v>3</v>
      </c>
      <c r="K138">
        <v>10</v>
      </c>
      <c r="L138">
        <v>6</v>
      </c>
      <c r="M138">
        <v>2</v>
      </c>
      <c r="N138">
        <v>0</v>
      </c>
      <c r="O138">
        <v>2</v>
      </c>
      <c r="P138">
        <v>12</v>
      </c>
      <c r="Q138">
        <v>8</v>
      </c>
      <c r="R138">
        <v>0</v>
      </c>
      <c r="S138">
        <v>87</v>
      </c>
      <c r="T138">
        <v>9.1999999999999993</v>
      </c>
      <c r="U138">
        <v>154</v>
      </c>
      <c r="V138" t="s">
        <v>2315</v>
      </c>
      <c r="W138" t="s">
        <v>1994</v>
      </c>
      <c r="X138">
        <v>0</v>
      </c>
      <c r="Y138">
        <v>1</v>
      </c>
      <c r="Z138">
        <v>0</v>
      </c>
      <c r="AA138">
        <v>14</v>
      </c>
      <c r="AB138">
        <v>8</v>
      </c>
      <c r="AC138">
        <v>1</v>
      </c>
      <c r="AD138">
        <v>32</v>
      </c>
      <c r="AE138" t="s">
        <v>60</v>
      </c>
    </row>
    <row r="139" spans="1:31" x14ac:dyDescent="0.2">
      <c r="A139">
        <v>136</v>
      </c>
      <c r="B139" t="s">
        <v>501</v>
      </c>
      <c r="C139">
        <v>21</v>
      </c>
      <c r="D139" t="s">
        <v>367</v>
      </c>
      <c r="E139" t="s">
        <v>335</v>
      </c>
      <c r="F139">
        <v>40</v>
      </c>
      <c r="G139">
        <v>9</v>
      </c>
      <c r="H139">
        <v>19</v>
      </c>
      <c r="I139">
        <v>28</v>
      </c>
      <c r="J139">
        <v>9</v>
      </c>
      <c r="K139">
        <v>20</v>
      </c>
      <c r="L139">
        <v>8</v>
      </c>
      <c r="M139">
        <v>1</v>
      </c>
      <c r="N139">
        <v>0</v>
      </c>
      <c r="O139">
        <v>2</v>
      </c>
      <c r="P139">
        <v>12</v>
      </c>
      <c r="Q139">
        <v>7</v>
      </c>
      <c r="R139">
        <v>0</v>
      </c>
      <c r="S139">
        <v>78</v>
      </c>
      <c r="T139">
        <v>11.5</v>
      </c>
      <c r="U139">
        <v>173</v>
      </c>
      <c r="V139" t="s">
        <v>2316</v>
      </c>
      <c r="W139" t="s">
        <v>1806</v>
      </c>
      <c r="X139">
        <v>5</v>
      </c>
      <c r="Y139">
        <v>4</v>
      </c>
      <c r="Z139">
        <v>55.6</v>
      </c>
      <c r="AA139">
        <v>13</v>
      </c>
      <c r="AB139">
        <v>56</v>
      </c>
      <c r="AC139">
        <v>8</v>
      </c>
      <c r="AD139">
        <v>38</v>
      </c>
      <c r="AE139" t="s">
        <v>60</v>
      </c>
    </row>
    <row r="140" spans="1:31" x14ac:dyDescent="0.2">
      <c r="A140">
        <v>137</v>
      </c>
      <c r="B140" t="s">
        <v>567</v>
      </c>
      <c r="C140">
        <v>25</v>
      </c>
      <c r="D140" t="s">
        <v>367</v>
      </c>
      <c r="E140" t="s">
        <v>322</v>
      </c>
      <c r="F140">
        <v>47</v>
      </c>
      <c r="G140">
        <v>7</v>
      </c>
      <c r="H140">
        <v>21</v>
      </c>
      <c r="I140">
        <v>28</v>
      </c>
      <c r="J140">
        <v>8</v>
      </c>
      <c r="K140">
        <v>14</v>
      </c>
      <c r="L140">
        <v>6</v>
      </c>
      <c r="M140">
        <v>1</v>
      </c>
      <c r="N140">
        <v>0</v>
      </c>
      <c r="O140">
        <v>3</v>
      </c>
      <c r="P140">
        <v>20</v>
      </c>
      <c r="Q140">
        <v>1</v>
      </c>
      <c r="R140">
        <v>0</v>
      </c>
      <c r="S140">
        <v>95</v>
      </c>
      <c r="T140">
        <v>7.4</v>
      </c>
      <c r="U140">
        <v>165</v>
      </c>
      <c r="V140" t="s">
        <v>2317</v>
      </c>
      <c r="W140" t="s">
        <v>573</v>
      </c>
      <c r="X140">
        <v>189</v>
      </c>
      <c r="Y140">
        <v>258</v>
      </c>
      <c r="Z140">
        <v>42.3</v>
      </c>
      <c r="AA140">
        <v>27</v>
      </c>
      <c r="AB140">
        <v>26</v>
      </c>
      <c r="AC140">
        <v>17</v>
      </c>
      <c r="AD140">
        <v>31</v>
      </c>
      <c r="AE140" t="s">
        <v>60</v>
      </c>
    </row>
    <row r="141" spans="1:31" x14ac:dyDescent="0.2">
      <c r="A141">
        <v>138</v>
      </c>
      <c r="B141" t="s">
        <v>473</v>
      </c>
      <c r="C141">
        <v>23</v>
      </c>
      <c r="D141" t="s">
        <v>337</v>
      </c>
      <c r="E141" t="s">
        <v>322</v>
      </c>
      <c r="F141">
        <v>46</v>
      </c>
      <c r="G141">
        <v>11</v>
      </c>
      <c r="H141">
        <v>17</v>
      </c>
      <c r="I141">
        <v>28</v>
      </c>
      <c r="J141">
        <v>-10</v>
      </c>
      <c r="K141">
        <v>36</v>
      </c>
      <c r="L141">
        <v>7</v>
      </c>
      <c r="M141">
        <v>4</v>
      </c>
      <c r="N141">
        <v>0</v>
      </c>
      <c r="O141">
        <v>2</v>
      </c>
      <c r="P141">
        <v>15</v>
      </c>
      <c r="Q141">
        <v>2</v>
      </c>
      <c r="R141">
        <v>0</v>
      </c>
      <c r="S141">
        <v>94</v>
      </c>
      <c r="T141">
        <v>11.7</v>
      </c>
      <c r="U141">
        <v>210</v>
      </c>
      <c r="V141" t="s">
        <v>2318</v>
      </c>
      <c r="W141" t="s">
        <v>2319</v>
      </c>
      <c r="X141">
        <v>301</v>
      </c>
      <c r="Y141">
        <v>299</v>
      </c>
      <c r="Z141">
        <v>50.2</v>
      </c>
      <c r="AA141">
        <v>23</v>
      </c>
      <c r="AB141">
        <v>49</v>
      </c>
      <c r="AC141">
        <v>11</v>
      </c>
      <c r="AD141">
        <v>34</v>
      </c>
      <c r="AE141" t="s">
        <v>60</v>
      </c>
    </row>
    <row r="142" spans="1:31" x14ac:dyDescent="0.2">
      <c r="A142">
        <v>139</v>
      </c>
      <c r="B142" t="s">
        <v>459</v>
      </c>
      <c r="C142">
        <v>24</v>
      </c>
      <c r="D142" t="s">
        <v>400</v>
      </c>
      <c r="E142" t="s">
        <v>322</v>
      </c>
      <c r="F142">
        <v>47</v>
      </c>
      <c r="G142">
        <v>12</v>
      </c>
      <c r="H142">
        <v>16</v>
      </c>
      <c r="I142">
        <v>28</v>
      </c>
      <c r="J142">
        <v>5</v>
      </c>
      <c r="K142">
        <v>14</v>
      </c>
      <c r="L142">
        <v>7</v>
      </c>
      <c r="M142">
        <v>3</v>
      </c>
      <c r="N142">
        <v>2</v>
      </c>
      <c r="O142">
        <v>1</v>
      </c>
      <c r="P142">
        <v>13</v>
      </c>
      <c r="Q142">
        <v>3</v>
      </c>
      <c r="R142">
        <v>0</v>
      </c>
      <c r="S142">
        <v>96</v>
      </c>
      <c r="T142">
        <v>12.5</v>
      </c>
      <c r="U142">
        <v>194</v>
      </c>
      <c r="V142" t="s">
        <v>2741</v>
      </c>
      <c r="W142" t="s">
        <v>1880</v>
      </c>
      <c r="X142">
        <v>98</v>
      </c>
      <c r="Y142">
        <v>148</v>
      </c>
      <c r="Z142">
        <v>39.799999999999997</v>
      </c>
      <c r="AA142">
        <v>32</v>
      </c>
      <c r="AB142">
        <v>21</v>
      </c>
      <c r="AC142">
        <v>19</v>
      </c>
      <c r="AD142">
        <v>43</v>
      </c>
      <c r="AE142" t="s">
        <v>60</v>
      </c>
    </row>
    <row r="143" spans="1:31" x14ac:dyDescent="0.2">
      <c r="A143">
        <v>140</v>
      </c>
      <c r="B143" t="s">
        <v>454</v>
      </c>
      <c r="C143">
        <v>27</v>
      </c>
      <c r="D143" t="s">
        <v>449</v>
      </c>
      <c r="E143" t="s">
        <v>322</v>
      </c>
      <c r="F143">
        <v>38</v>
      </c>
      <c r="G143">
        <v>13</v>
      </c>
      <c r="H143">
        <v>15</v>
      </c>
      <c r="I143">
        <v>28</v>
      </c>
      <c r="J143">
        <v>-13</v>
      </c>
      <c r="K143">
        <v>14</v>
      </c>
      <c r="L143">
        <v>10</v>
      </c>
      <c r="M143">
        <v>2</v>
      </c>
      <c r="N143">
        <v>1</v>
      </c>
      <c r="O143">
        <v>0</v>
      </c>
      <c r="P143">
        <v>8</v>
      </c>
      <c r="Q143">
        <v>7</v>
      </c>
      <c r="R143">
        <v>0</v>
      </c>
      <c r="S143">
        <v>79</v>
      </c>
      <c r="T143">
        <v>16.5</v>
      </c>
      <c r="U143">
        <v>167</v>
      </c>
      <c r="V143" t="s">
        <v>2320</v>
      </c>
      <c r="W143" t="s">
        <v>1782</v>
      </c>
      <c r="X143">
        <v>365</v>
      </c>
      <c r="Y143">
        <v>427</v>
      </c>
      <c r="Z143">
        <v>46.1</v>
      </c>
      <c r="AA143">
        <v>61</v>
      </c>
      <c r="AB143">
        <v>32</v>
      </c>
      <c r="AC143">
        <v>20</v>
      </c>
      <c r="AD143">
        <v>36</v>
      </c>
      <c r="AE143" t="s">
        <v>60</v>
      </c>
    </row>
    <row r="144" spans="1:31" x14ac:dyDescent="0.2">
      <c r="A144">
        <v>141</v>
      </c>
      <c r="B144" t="s">
        <v>493</v>
      </c>
      <c r="C144">
        <v>26</v>
      </c>
      <c r="D144" t="s">
        <v>408</v>
      </c>
      <c r="E144" t="s">
        <v>335</v>
      </c>
      <c r="F144">
        <v>45</v>
      </c>
      <c r="G144">
        <v>15</v>
      </c>
      <c r="H144">
        <v>13</v>
      </c>
      <c r="I144">
        <v>28</v>
      </c>
      <c r="J144">
        <v>-4</v>
      </c>
      <c r="K144">
        <v>20</v>
      </c>
      <c r="L144">
        <v>12</v>
      </c>
      <c r="M144">
        <v>2</v>
      </c>
      <c r="N144">
        <v>1</v>
      </c>
      <c r="O144">
        <v>0</v>
      </c>
      <c r="P144">
        <v>12</v>
      </c>
      <c r="Q144">
        <v>1</v>
      </c>
      <c r="R144">
        <v>0</v>
      </c>
      <c r="S144">
        <v>113</v>
      </c>
      <c r="T144">
        <v>13.3</v>
      </c>
      <c r="U144">
        <v>222</v>
      </c>
      <c r="V144" t="s">
        <v>2742</v>
      </c>
      <c r="W144" t="s">
        <v>1724</v>
      </c>
      <c r="X144">
        <v>4</v>
      </c>
      <c r="Y144">
        <v>9</v>
      </c>
      <c r="Z144">
        <v>30.8</v>
      </c>
      <c r="AA144">
        <v>23</v>
      </c>
      <c r="AB144">
        <v>85</v>
      </c>
      <c r="AC144">
        <v>10</v>
      </c>
      <c r="AD144">
        <v>48</v>
      </c>
      <c r="AE144" t="s">
        <v>60</v>
      </c>
    </row>
    <row r="145" spans="1:31" x14ac:dyDescent="0.2">
      <c r="A145">
        <v>142</v>
      </c>
      <c r="B145" t="s">
        <v>479</v>
      </c>
      <c r="C145">
        <v>23</v>
      </c>
      <c r="D145" t="s">
        <v>421</v>
      </c>
      <c r="E145" t="s">
        <v>322</v>
      </c>
      <c r="F145">
        <v>45</v>
      </c>
      <c r="G145">
        <v>8</v>
      </c>
      <c r="H145">
        <v>19</v>
      </c>
      <c r="I145">
        <v>27</v>
      </c>
      <c r="J145">
        <v>0</v>
      </c>
      <c r="K145">
        <v>22</v>
      </c>
      <c r="L145">
        <v>5</v>
      </c>
      <c r="M145">
        <v>3</v>
      </c>
      <c r="N145">
        <v>0</v>
      </c>
      <c r="O145">
        <v>2</v>
      </c>
      <c r="P145">
        <v>13</v>
      </c>
      <c r="Q145">
        <v>5</v>
      </c>
      <c r="R145">
        <v>1</v>
      </c>
      <c r="S145">
        <v>99</v>
      </c>
      <c r="T145">
        <v>8.1</v>
      </c>
      <c r="U145">
        <v>192</v>
      </c>
      <c r="V145" t="s">
        <v>2743</v>
      </c>
      <c r="W145" t="s">
        <v>1782</v>
      </c>
      <c r="X145">
        <v>263</v>
      </c>
      <c r="Y145">
        <v>380</v>
      </c>
      <c r="Z145">
        <v>40.9</v>
      </c>
      <c r="AA145">
        <v>25</v>
      </c>
      <c r="AB145">
        <v>32</v>
      </c>
      <c r="AC145">
        <v>20</v>
      </c>
      <c r="AD145">
        <v>52</v>
      </c>
      <c r="AE145" t="s">
        <v>60</v>
      </c>
    </row>
    <row r="146" spans="1:31" x14ac:dyDescent="0.2">
      <c r="A146">
        <v>143</v>
      </c>
      <c r="B146" t="s">
        <v>580</v>
      </c>
      <c r="C146">
        <v>29</v>
      </c>
      <c r="D146" t="s">
        <v>532</v>
      </c>
      <c r="E146" t="s">
        <v>349</v>
      </c>
      <c r="F146">
        <v>44</v>
      </c>
      <c r="G146">
        <v>6</v>
      </c>
      <c r="H146">
        <v>21</v>
      </c>
      <c r="I146">
        <v>27</v>
      </c>
      <c r="J146">
        <v>-13</v>
      </c>
      <c r="K146">
        <v>32</v>
      </c>
      <c r="L146">
        <v>5</v>
      </c>
      <c r="M146">
        <v>1</v>
      </c>
      <c r="N146">
        <v>0</v>
      </c>
      <c r="O146">
        <v>1</v>
      </c>
      <c r="P146">
        <v>7</v>
      </c>
      <c r="Q146">
        <v>14</v>
      </c>
      <c r="R146">
        <v>0</v>
      </c>
      <c r="S146">
        <v>97</v>
      </c>
      <c r="T146">
        <v>6.2</v>
      </c>
      <c r="U146">
        <v>210</v>
      </c>
      <c r="V146" t="s">
        <v>2744</v>
      </c>
      <c r="W146" t="s">
        <v>2745</v>
      </c>
      <c r="X146">
        <v>0</v>
      </c>
      <c r="Y146">
        <v>0</v>
      </c>
      <c r="AA146">
        <v>49</v>
      </c>
      <c r="AB146">
        <v>11</v>
      </c>
      <c r="AC146">
        <v>15</v>
      </c>
      <c r="AD146">
        <v>57</v>
      </c>
      <c r="AE146" t="s">
        <v>60</v>
      </c>
    </row>
    <row r="147" spans="1:31" x14ac:dyDescent="0.2">
      <c r="A147">
        <v>144</v>
      </c>
      <c r="B147" t="s">
        <v>543</v>
      </c>
      <c r="C147">
        <v>28</v>
      </c>
      <c r="D147" t="s">
        <v>449</v>
      </c>
      <c r="E147" t="s">
        <v>349</v>
      </c>
      <c r="F147">
        <v>46</v>
      </c>
      <c r="G147">
        <v>3</v>
      </c>
      <c r="H147">
        <v>24</v>
      </c>
      <c r="I147">
        <v>27</v>
      </c>
      <c r="J147">
        <v>2</v>
      </c>
      <c r="K147">
        <v>14</v>
      </c>
      <c r="L147">
        <v>1</v>
      </c>
      <c r="M147">
        <v>2</v>
      </c>
      <c r="N147">
        <v>0</v>
      </c>
      <c r="O147">
        <v>0</v>
      </c>
      <c r="P147">
        <v>16</v>
      </c>
      <c r="Q147">
        <v>7</v>
      </c>
      <c r="R147">
        <v>1</v>
      </c>
      <c r="S147">
        <v>66</v>
      </c>
      <c r="T147">
        <v>4.5</v>
      </c>
      <c r="U147">
        <v>165</v>
      </c>
      <c r="V147" t="s">
        <v>2321</v>
      </c>
      <c r="W147" t="s">
        <v>2269</v>
      </c>
      <c r="X147">
        <v>0</v>
      </c>
      <c r="Y147">
        <v>0</v>
      </c>
      <c r="AA147">
        <v>62</v>
      </c>
      <c r="AB147">
        <v>73</v>
      </c>
      <c r="AC147">
        <v>17</v>
      </c>
      <c r="AD147">
        <v>50</v>
      </c>
      <c r="AE147" t="s">
        <v>60</v>
      </c>
    </row>
    <row r="148" spans="1:31" x14ac:dyDescent="0.2">
      <c r="A148">
        <v>145</v>
      </c>
      <c r="B148" t="s">
        <v>878</v>
      </c>
      <c r="C148">
        <v>33</v>
      </c>
      <c r="D148" t="s">
        <v>328</v>
      </c>
      <c r="E148" t="s">
        <v>340</v>
      </c>
      <c r="F148">
        <v>28</v>
      </c>
      <c r="G148">
        <v>16</v>
      </c>
      <c r="H148">
        <v>11</v>
      </c>
      <c r="I148">
        <v>27</v>
      </c>
      <c r="J148">
        <v>6</v>
      </c>
      <c r="K148">
        <v>12</v>
      </c>
      <c r="L148">
        <v>10</v>
      </c>
      <c r="M148">
        <v>6</v>
      </c>
      <c r="N148">
        <v>0</v>
      </c>
      <c r="O148">
        <v>1</v>
      </c>
      <c r="P148">
        <v>7</v>
      </c>
      <c r="Q148">
        <v>4</v>
      </c>
      <c r="R148">
        <v>0</v>
      </c>
      <c r="S148">
        <v>83</v>
      </c>
      <c r="T148">
        <v>19.3</v>
      </c>
      <c r="U148">
        <v>139</v>
      </c>
      <c r="V148" t="s">
        <v>2322</v>
      </c>
      <c r="W148" t="s">
        <v>1779</v>
      </c>
      <c r="X148">
        <v>0</v>
      </c>
      <c r="Y148">
        <v>1</v>
      </c>
      <c r="Z148">
        <v>0</v>
      </c>
      <c r="AA148">
        <v>6</v>
      </c>
      <c r="AB148">
        <v>32</v>
      </c>
      <c r="AC148">
        <v>4</v>
      </c>
      <c r="AD148">
        <v>13</v>
      </c>
      <c r="AE148" t="s">
        <v>60</v>
      </c>
    </row>
    <row r="149" spans="1:31" x14ac:dyDescent="0.2">
      <c r="A149">
        <v>146</v>
      </c>
      <c r="B149" t="s">
        <v>589</v>
      </c>
      <c r="C149">
        <v>22</v>
      </c>
      <c r="D149" t="s">
        <v>364</v>
      </c>
      <c r="E149" t="s">
        <v>322</v>
      </c>
      <c r="F149">
        <v>47</v>
      </c>
      <c r="G149">
        <v>16</v>
      </c>
      <c r="H149">
        <v>11</v>
      </c>
      <c r="I149">
        <v>27</v>
      </c>
      <c r="J149">
        <v>4</v>
      </c>
      <c r="K149">
        <v>12</v>
      </c>
      <c r="L149">
        <v>14</v>
      </c>
      <c r="M149">
        <v>1</v>
      </c>
      <c r="N149">
        <v>1</v>
      </c>
      <c r="O149">
        <v>1</v>
      </c>
      <c r="P149">
        <v>10</v>
      </c>
      <c r="Q149">
        <v>0</v>
      </c>
      <c r="R149">
        <v>1</v>
      </c>
      <c r="S149">
        <v>87</v>
      </c>
      <c r="T149">
        <v>18.399999999999999</v>
      </c>
      <c r="U149">
        <v>144</v>
      </c>
      <c r="V149" t="s">
        <v>2323</v>
      </c>
      <c r="W149" t="s">
        <v>2310</v>
      </c>
      <c r="X149">
        <v>211</v>
      </c>
      <c r="Y149">
        <v>238</v>
      </c>
      <c r="Z149">
        <v>47</v>
      </c>
      <c r="AA149">
        <v>48</v>
      </c>
      <c r="AB149">
        <v>19</v>
      </c>
      <c r="AC149">
        <v>7</v>
      </c>
      <c r="AD149">
        <v>17</v>
      </c>
      <c r="AE149" t="s">
        <v>60</v>
      </c>
    </row>
    <row r="150" spans="1:31" x14ac:dyDescent="0.2">
      <c r="A150">
        <v>147</v>
      </c>
      <c r="B150" t="s">
        <v>628</v>
      </c>
      <c r="C150">
        <v>31</v>
      </c>
      <c r="D150" t="s">
        <v>532</v>
      </c>
      <c r="E150" t="s">
        <v>322</v>
      </c>
      <c r="F150">
        <v>43</v>
      </c>
      <c r="G150">
        <v>11</v>
      </c>
      <c r="H150">
        <v>16</v>
      </c>
      <c r="I150">
        <v>27</v>
      </c>
      <c r="J150">
        <v>-6</v>
      </c>
      <c r="K150">
        <v>8</v>
      </c>
      <c r="L150">
        <v>6</v>
      </c>
      <c r="M150">
        <v>5</v>
      </c>
      <c r="N150">
        <v>0</v>
      </c>
      <c r="O150">
        <v>1</v>
      </c>
      <c r="P150">
        <v>10</v>
      </c>
      <c r="Q150">
        <v>5</v>
      </c>
      <c r="R150">
        <v>1</v>
      </c>
      <c r="S150">
        <v>62</v>
      </c>
      <c r="T150">
        <v>17.7</v>
      </c>
      <c r="U150">
        <v>98</v>
      </c>
      <c r="V150" t="s">
        <v>2746</v>
      </c>
      <c r="W150" t="s">
        <v>1702</v>
      </c>
      <c r="X150">
        <v>427</v>
      </c>
      <c r="Y150">
        <v>390</v>
      </c>
      <c r="Z150">
        <v>52.3</v>
      </c>
      <c r="AA150">
        <v>33</v>
      </c>
      <c r="AB150">
        <v>13</v>
      </c>
      <c r="AC150">
        <v>17</v>
      </c>
      <c r="AD150">
        <v>36</v>
      </c>
      <c r="AE150" t="s">
        <v>60</v>
      </c>
    </row>
    <row r="151" spans="1:31" x14ac:dyDescent="0.2">
      <c r="A151">
        <v>148</v>
      </c>
      <c r="B151" t="s">
        <v>605</v>
      </c>
      <c r="C151">
        <v>32</v>
      </c>
      <c r="D151" t="s">
        <v>362</v>
      </c>
      <c r="E151" t="s">
        <v>322</v>
      </c>
      <c r="F151">
        <v>34</v>
      </c>
      <c r="G151">
        <v>11</v>
      </c>
      <c r="H151">
        <v>16</v>
      </c>
      <c r="I151">
        <v>27</v>
      </c>
      <c r="J151">
        <v>-16</v>
      </c>
      <c r="K151">
        <v>24</v>
      </c>
      <c r="L151">
        <v>10</v>
      </c>
      <c r="M151">
        <v>1</v>
      </c>
      <c r="N151">
        <v>0</v>
      </c>
      <c r="O151">
        <v>1</v>
      </c>
      <c r="P151">
        <v>10</v>
      </c>
      <c r="Q151">
        <v>6</v>
      </c>
      <c r="R151">
        <v>0</v>
      </c>
      <c r="S151">
        <v>58</v>
      </c>
      <c r="T151">
        <v>19</v>
      </c>
      <c r="U151">
        <v>141</v>
      </c>
      <c r="V151" t="s">
        <v>2747</v>
      </c>
      <c r="W151" t="s">
        <v>2748</v>
      </c>
      <c r="X151">
        <v>313</v>
      </c>
      <c r="Y151">
        <v>252</v>
      </c>
      <c r="Z151">
        <v>55.4</v>
      </c>
      <c r="AA151">
        <v>27</v>
      </c>
      <c r="AB151">
        <v>114</v>
      </c>
      <c r="AC151">
        <v>13</v>
      </c>
      <c r="AD151">
        <v>43</v>
      </c>
      <c r="AE151" t="s">
        <v>60</v>
      </c>
    </row>
    <row r="152" spans="1:31" x14ac:dyDescent="0.2">
      <c r="A152">
        <v>149</v>
      </c>
      <c r="B152" t="s">
        <v>494</v>
      </c>
      <c r="C152">
        <v>22</v>
      </c>
      <c r="D152" t="s">
        <v>398</v>
      </c>
      <c r="E152" t="s">
        <v>335</v>
      </c>
      <c r="F152">
        <v>47</v>
      </c>
      <c r="G152">
        <v>14</v>
      </c>
      <c r="H152">
        <v>12</v>
      </c>
      <c r="I152">
        <v>26</v>
      </c>
      <c r="J152">
        <v>-2</v>
      </c>
      <c r="K152">
        <v>30</v>
      </c>
      <c r="L152">
        <v>11</v>
      </c>
      <c r="M152">
        <v>3</v>
      </c>
      <c r="N152">
        <v>0</v>
      </c>
      <c r="O152">
        <v>2</v>
      </c>
      <c r="P152">
        <v>7</v>
      </c>
      <c r="Q152">
        <v>5</v>
      </c>
      <c r="R152">
        <v>0</v>
      </c>
      <c r="S152">
        <v>98</v>
      </c>
      <c r="T152">
        <v>14.3</v>
      </c>
      <c r="U152">
        <v>188</v>
      </c>
      <c r="V152" t="s">
        <v>2324</v>
      </c>
      <c r="W152" t="s">
        <v>1560</v>
      </c>
      <c r="X152">
        <v>0</v>
      </c>
      <c r="Y152">
        <v>8</v>
      </c>
      <c r="Z152">
        <v>0</v>
      </c>
      <c r="AA152">
        <v>16</v>
      </c>
      <c r="AB152">
        <v>10</v>
      </c>
      <c r="AC152">
        <v>19</v>
      </c>
      <c r="AD152">
        <v>49</v>
      </c>
      <c r="AE152" t="s">
        <v>60</v>
      </c>
    </row>
    <row r="153" spans="1:31" x14ac:dyDescent="0.2">
      <c r="A153">
        <v>150</v>
      </c>
      <c r="B153" t="s">
        <v>517</v>
      </c>
      <c r="C153">
        <v>30</v>
      </c>
      <c r="D153" t="s">
        <v>461</v>
      </c>
      <c r="E153" t="s">
        <v>340</v>
      </c>
      <c r="F153">
        <v>46</v>
      </c>
      <c r="G153">
        <v>11</v>
      </c>
      <c r="H153">
        <v>15</v>
      </c>
      <c r="I153">
        <v>26</v>
      </c>
      <c r="J153">
        <v>-4</v>
      </c>
      <c r="K153">
        <v>10</v>
      </c>
      <c r="L153">
        <v>7</v>
      </c>
      <c r="M153">
        <v>4</v>
      </c>
      <c r="N153">
        <v>0</v>
      </c>
      <c r="O153">
        <v>0</v>
      </c>
      <c r="P153">
        <v>11</v>
      </c>
      <c r="Q153">
        <v>4</v>
      </c>
      <c r="R153">
        <v>0</v>
      </c>
      <c r="S153">
        <v>76</v>
      </c>
      <c r="T153">
        <v>14.5</v>
      </c>
      <c r="U153">
        <v>181</v>
      </c>
      <c r="V153" t="s">
        <v>2325</v>
      </c>
      <c r="W153" t="s">
        <v>777</v>
      </c>
      <c r="X153">
        <v>6</v>
      </c>
      <c r="Y153">
        <v>15</v>
      </c>
      <c r="Z153">
        <v>28.6</v>
      </c>
      <c r="AA153">
        <v>15</v>
      </c>
      <c r="AB153">
        <v>26</v>
      </c>
      <c r="AC153">
        <v>6</v>
      </c>
      <c r="AD153">
        <v>34</v>
      </c>
      <c r="AE153" t="s">
        <v>60</v>
      </c>
    </row>
    <row r="154" spans="1:31" x14ac:dyDescent="0.2">
      <c r="A154">
        <v>151</v>
      </c>
      <c r="B154" t="s">
        <v>563</v>
      </c>
      <c r="C154">
        <v>22</v>
      </c>
      <c r="D154" t="s">
        <v>400</v>
      </c>
      <c r="E154" t="s">
        <v>349</v>
      </c>
      <c r="F154">
        <v>47</v>
      </c>
      <c r="G154">
        <v>5</v>
      </c>
      <c r="H154">
        <v>21</v>
      </c>
      <c r="I154">
        <v>26</v>
      </c>
      <c r="J154">
        <v>-7</v>
      </c>
      <c r="K154">
        <v>24</v>
      </c>
      <c r="L154">
        <v>4</v>
      </c>
      <c r="M154">
        <v>1</v>
      </c>
      <c r="N154">
        <v>0</v>
      </c>
      <c r="O154">
        <v>1</v>
      </c>
      <c r="P154">
        <v>14</v>
      </c>
      <c r="Q154">
        <v>7</v>
      </c>
      <c r="R154">
        <v>0</v>
      </c>
      <c r="S154">
        <v>102</v>
      </c>
      <c r="T154">
        <v>4.9000000000000004</v>
      </c>
      <c r="U154">
        <v>278</v>
      </c>
      <c r="V154" t="s">
        <v>2749</v>
      </c>
      <c r="W154" t="s">
        <v>1709</v>
      </c>
      <c r="X154">
        <v>0</v>
      </c>
      <c r="Y154">
        <v>0</v>
      </c>
      <c r="AA154">
        <v>39</v>
      </c>
      <c r="AB154">
        <v>13</v>
      </c>
      <c r="AC154">
        <v>18</v>
      </c>
      <c r="AD154">
        <v>76</v>
      </c>
      <c r="AE154" t="s">
        <v>60</v>
      </c>
    </row>
    <row r="155" spans="1:31" x14ac:dyDescent="0.2">
      <c r="A155">
        <v>152</v>
      </c>
      <c r="B155" t="s">
        <v>525</v>
      </c>
      <c r="C155">
        <v>24</v>
      </c>
      <c r="D155" t="s">
        <v>362</v>
      </c>
      <c r="E155" t="s">
        <v>340</v>
      </c>
      <c r="F155">
        <v>48</v>
      </c>
      <c r="G155">
        <v>10</v>
      </c>
      <c r="H155">
        <v>16</v>
      </c>
      <c r="I155">
        <v>26</v>
      </c>
      <c r="J155">
        <v>-15</v>
      </c>
      <c r="K155">
        <v>10</v>
      </c>
      <c r="L155">
        <v>8</v>
      </c>
      <c r="M155">
        <v>2</v>
      </c>
      <c r="N155">
        <v>0</v>
      </c>
      <c r="O155">
        <v>2</v>
      </c>
      <c r="P155">
        <v>13</v>
      </c>
      <c r="Q155">
        <v>3</v>
      </c>
      <c r="R155">
        <v>0</v>
      </c>
      <c r="S155">
        <v>91</v>
      </c>
      <c r="T155">
        <v>11</v>
      </c>
      <c r="U155">
        <v>187</v>
      </c>
      <c r="V155" t="s">
        <v>2750</v>
      </c>
      <c r="W155" t="s">
        <v>1021</v>
      </c>
      <c r="X155">
        <v>5</v>
      </c>
      <c r="Y155">
        <v>21</v>
      </c>
      <c r="Z155">
        <v>19.2</v>
      </c>
      <c r="AA155">
        <v>33</v>
      </c>
      <c r="AB155">
        <v>65</v>
      </c>
      <c r="AC155">
        <v>14</v>
      </c>
      <c r="AD155">
        <v>27</v>
      </c>
      <c r="AE155" t="s">
        <v>60</v>
      </c>
    </row>
    <row r="156" spans="1:31" x14ac:dyDescent="0.2">
      <c r="A156">
        <v>153</v>
      </c>
      <c r="B156" t="s">
        <v>547</v>
      </c>
      <c r="C156">
        <v>35</v>
      </c>
      <c r="D156" t="s">
        <v>385</v>
      </c>
      <c r="E156" t="s">
        <v>340</v>
      </c>
      <c r="F156">
        <v>46</v>
      </c>
      <c r="G156">
        <v>10</v>
      </c>
      <c r="H156">
        <v>16</v>
      </c>
      <c r="I156">
        <v>26</v>
      </c>
      <c r="J156">
        <v>5</v>
      </c>
      <c r="K156">
        <v>25</v>
      </c>
      <c r="L156">
        <v>7</v>
      </c>
      <c r="M156">
        <v>3</v>
      </c>
      <c r="N156">
        <v>0</v>
      </c>
      <c r="O156">
        <v>3</v>
      </c>
      <c r="P156">
        <v>14</v>
      </c>
      <c r="Q156">
        <v>2</v>
      </c>
      <c r="R156">
        <v>0</v>
      </c>
      <c r="S156">
        <v>112</v>
      </c>
      <c r="T156">
        <v>8.9</v>
      </c>
      <c r="U156">
        <v>203</v>
      </c>
      <c r="V156" t="s">
        <v>2326</v>
      </c>
      <c r="W156" t="s">
        <v>1013</v>
      </c>
      <c r="X156">
        <v>43</v>
      </c>
      <c r="Y156">
        <v>37</v>
      </c>
      <c r="Z156">
        <v>53.8</v>
      </c>
      <c r="AA156">
        <v>24</v>
      </c>
      <c r="AB156">
        <v>39</v>
      </c>
      <c r="AC156">
        <v>8</v>
      </c>
      <c r="AD156">
        <v>25</v>
      </c>
      <c r="AE156" t="s">
        <v>60</v>
      </c>
    </row>
    <row r="157" spans="1:31" x14ac:dyDescent="0.2">
      <c r="A157">
        <v>154</v>
      </c>
      <c r="B157" t="s">
        <v>595</v>
      </c>
      <c r="C157">
        <v>28</v>
      </c>
      <c r="D157" t="s">
        <v>356</v>
      </c>
      <c r="E157" t="s">
        <v>349</v>
      </c>
      <c r="F157">
        <v>35</v>
      </c>
      <c r="G157">
        <v>2</v>
      </c>
      <c r="H157">
        <v>24</v>
      </c>
      <c r="I157">
        <v>26</v>
      </c>
      <c r="J157">
        <v>0</v>
      </c>
      <c r="K157">
        <v>36</v>
      </c>
      <c r="L157">
        <v>2</v>
      </c>
      <c r="M157">
        <v>0</v>
      </c>
      <c r="N157">
        <v>0</v>
      </c>
      <c r="O157">
        <v>0</v>
      </c>
      <c r="P157">
        <v>13</v>
      </c>
      <c r="Q157">
        <v>11</v>
      </c>
      <c r="R157">
        <v>0</v>
      </c>
      <c r="S157">
        <v>53</v>
      </c>
      <c r="T157">
        <v>3.8</v>
      </c>
      <c r="U157">
        <v>150</v>
      </c>
      <c r="V157" t="s">
        <v>2327</v>
      </c>
      <c r="W157" t="s">
        <v>2328</v>
      </c>
      <c r="X157">
        <v>0</v>
      </c>
      <c r="Y157">
        <v>0</v>
      </c>
      <c r="AA157">
        <v>68</v>
      </c>
      <c r="AB157">
        <v>42</v>
      </c>
      <c r="AC157">
        <v>20</v>
      </c>
      <c r="AD157">
        <v>36</v>
      </c>
      <c r="AE157" t="s">
        <v>60</v>
      </c>
    </row>
    <row r="158" spans="1:31" x14ac:dyDescent="0.2">
      <c r="A158">
        <v>155</v>
      </c>
      <c r="B158" t="s">
        <v>502</v>
      </c>
      <c r="C158">
        <v>32</v>
      </c>
      <c r="D158" t="s">
        <v>362</v>
      </c>
      <c r="E158" t="s">
        <v>322</v>
      </c>
      <c r="F158">
        <v>39</v>
      </c>
      <c r="G158">
        <v>11</v>
      </c>
      <c r="H158">
        <v>15</v>
      </c>
      <c r="I158">
        <v>26</v>
      </c>
      <c r="J158">
        <v>-17</v>
      </c>
      <c r="K158">
        <v>14</v>
      </c>
      <c r="L158">
        <v>7</v>
      </c>
      <c r="M158">
        <v>4</v>
      </c>
      <c r="N158">
        <v>0</v>
      </c>
      <c r="O158">
        <v>3</v>
      </c>
      <c r="P158">
        <v>13</v>
      </c>
      <c r="Q158">
        <v>2</v>
      </c>
      <c r="R158">
        <v>0</v>
      </c>
      <c r="S158">
        <v>86</v>
      </c>
      <c r="T158">
        <v>12.8</v>
      </c>
      <c r="U158">
        <v>165</v>
      </c>
      <c r="V158" t="s">
        <v>2751</v>
      </c>
      <c r="W158" t="s">
        <v>1543</v>
      </c>
      <c r="X158">
        <v>321</v>
      </c>
      <c r="Y158">
        <v>207</v>
      </c>
      <c r="Z158">
        <v>60.8</v>
      </c>
      <c r="AA158">
        <v>12</v>
      </c>
      <c r="AB158">
        <v>81</v>
      </c>
      <c r="AC158">
        <v>6</v>
      </c>
      <c r="AD158">
        <v>39</v>
      </c>
      <c r="AE158" t="s">
        <v>60</v>
      </c>
    </row>
    <row r="159" spans="1:31" x14ac:dyDescent="0.2">
      <c r="A159">
        <v>156</v>
      </c>
      <c r="B159" t="s">
        <v>598</v>
      </c>
      <c r="C159">
        <v>30</v>
      </c>
      <c r="D159" t="s">
        <v>321</v>
      </c>
      <c r="E159" t="s">
        <v>335</v>
      </c>
      <c r="F159">
        <v>37</v>
      </c>
      <c r="G159">
        <v>11</v>
      </c>
      <c r="H159">
        <v>15</v>
      </c>
      <c r="I159">
        <v>26</v>
      </c>
      <c r="J159">
        <v>6</v>
      </c>
      <c r="K159">
        <v>8</v>
      </c>
      <c r="L159">
        <v>10</v>
      </c>
      <c r="M159">
        <v>1</v>
      </c>
      <c r="N159">
        <v>0</v>
      </c>
      <c r="O159">
        <v>1</v>
      </c>
      <c r="P159">
        <v>13</v>
      </c>
      <c r="Q159">
        <v>2</v>
      </c>
      <c r="R159">
        <v>0</v>
      </c>
      <c r="S159">
        <v>92</v>
      </c>
      <c r="T159">
        <v>12</v>
      </c>
      <c r="U159">
        <v>175</v>
      </c>
      <c r="V159" t="s">
        <v>1942</v>
      </c>
      <c r="W159" t="s">
        <v>1888</v>
      </c>
      <c r="X159">
        <v>2</v>
      </c>
      <c r="Y159">
        <v>1</v>
      </c>
      <c r="Z159">
        <v>66.7</v>
      </c>
      <c r="AA159">
        <v>10</v>
      </c>
      <c r="AB159">
        <v>30</v>
      </c>
      <c r="AC159">
        <v>13</v>
      </c>
      <c r="AD159">
        <v>31</v>
      </c>
      <c r="AE159" t="s">
        <v>60</v>
      </c>
    </row>
    <row r="160" spans="1:31" x14ac:dyDescent="0.2">
      <c r="A160">
        <v>157</v>
      </c>
      <c r="B160" t="s">
        <v>462</v>
      </c>
      <c r="C160">
        <v>31</v>
      </c>
      <c r="D160" t="s">
        <v>360</v>
      </c>
      <c r="E160" t="s">
        <v>349</v>
      </c>
      <c r="F160">
        <v>45</v>
      </c>
      <c r="G160">
        <v>5</v>
      </c>
      <c r="H160">
        <v>21</v>
      </c>
      <c r="I160">
        <v>26</v>
      </c>
      <c r="J160">
        <v>-14</v>
      </c>
      <c r="K160">
        <v>12</v>
      </c>
      <c r="L160">
        <v>5</v>
      </c>
      <c r="M160">
        <v>0</v>
      </c>
      <c r="N160">
        <v>0</v>
      </c>
      <c r="O160">
        <v>2</v>
      </c>
      <c r="P160">
        <v>16</v>
      </c>
      <c r="Q160">
        <v>5</v>
      </c>
      <c r="R160">
        <v>0</v>
      </c>
      <c r="S160">
        <v>87</v>
      </c>
      <c r="T160">
        <v>5.7</v>
      </c>
      <c r="U160">
        <v>205</v>
      </c>
      <c r="V160" t="s">
        <v>2329</v>
      </c>
      <c r="W160" t="s">
        <v>2330</v>
      </c>
      <c r="X160">
        <v>0</v>
      </c>
      <c r="Y160">
        <v>0</v>
      </c>
      <c r="AA160">
        <v>61</v>
      </c>
      <c r="AB160">
        <v>19</v>
      </c>
      <c r="AC160">
        <v>13</v>
      </c>
      <c r="AD160">
        <v>62</v>
      </c>
      <c r="AE160" t="s">
        <v>60</v>
      </c>
    </row>
    <row r="161" spans="1:31" x14ac:dyDescent="0.2">
      <c r="A161">
        <v>158</v>
      </c>
      <c r="B161" t="s">
        <v>630</v>
      </c>
      <c r="C161">
        <v>26</v>
      </c>
      <c r="D161" t="s">
        <v>532</v>
      </c>
      <c r="E161" t="s">
        <v>335</v>
      </c>
      <c r="F161">
        <v>44</v>
      </c>
      <c r="G161">
        <v>8</v>
      </c>
      <c r="H161">
        <v>18</v>
      </c>
      <c r="I161">
        <v>26</v>
      </c>
      <c r="J161">
        <v>-7</v>
      </c>
      <c r="K161">
        <v>16</v>
      </c>
      <c r="L161">
        <v>5</v>
      </c>
      <c r="M161">
        <v>3</v>
      </c>
      <c r="N161">
        <v>0</v>
      </c>
      <c r="O161">
        <v>0</v>
      </c>
      <c r="P161">
        <v>12</v>
      </c>
      <c r="Q161">
        <v>6</v>
      </c>
      <c r="R161">
        <v>0</v>
      </c>
      <c r="S161">
        <v>75</v>
      </c>
      <c r="T161">
        <v>10.7</v>
      </c>
      <c r="U161">
        <v>169</v>
      </c>
      <c r="V161" t="s">
        <v>2752</v>
      </c>
      <c r="W161" t="s">
        <v>2402</v>
      </c>
      <c r="X161">
        <v>0</v>
      </c>
      <c r="Y161">
        <v>0</v>
      </c>
      <c r="AA161">
        <v>48</v>
      </c>
      <c r="AB161">
        <v>111</v>
      </c>
      <c r="AC161">
        <v>10</v>
      </c>
      <c r="AD161">
        <v>32</v>
      </c>
      <c r="AE161" t="s">
        <v>60</v>
      </c>
    </row>
    <row r="162" spans="1:31" x14ac:dyDescent="0.2">
      <c r="A162">
        <v>159</v>
      </c>
      <c r="B162" t="s">
        <v>611</v>
      </c>
      <c r="C162">
        <v>24</v>
      </c>
      <c r="D162" t="s">
        <v>429</v>
      </c>
      <c r="E162" t="s">
        <v>349</v>
      </c>
      <c r="F162">
        <v>45</v>
      </c>
      <c r="G162">
        <v>10</v>
      </c>
      <c r="H162">
        <v>15</v>
      </c>
      <c r="I162">
        <v>25</v>
      </c>
      <c r="J162">
        <v>7</v>
      </c>
      <c r="K162">
        <v>18</v>
      </c>
      <c r="L162">
        <v>9</v>
      </c>
      <c r="M162">
        <v>1</v>
      </c>
      <c r="N162">
        <v>0</v>
      </c>
      <c r="O162">
        <v>4</v>
      </c>
      <c r="P162">
        <v>13</v>
      </c>
      <c r="Q162">
        <v>2</v>
      </c>
      <c r="R162">
        <v>0</v>
      </c>
      <c r="S162">
        <v>59</v>
      </c>
      <c r="T162">
        <v>16.899999999999999</v>
      </c>
      <c r="U162">
        <v>136</v>
      </c>
      <c r="V162" t="s">
        <v>2753</v>
      </c>
      <c r="W162" t="s">
        <v>1781</v>
      </c>
      <c r="X162">
        <v>0</v>
      </c>
      <c r="Y162">
        <v>0</v>
      </c>
      <c r="AA162">
        <v>57</v>
      </c>
      <c r="AB162">
        <v>30</v>
      </c>
      <c r="AC162">
        <v>10</v>
      </c>
      <c r="AD162">
        <v>56</v>
      </c>
      <c r="AE162" t="s">
        <v>60</v>
      </c>
    </row>
    <row r="163" spans="1:31" x14ac:dyDescent="0.2">
      <c r="A163">
        <v>160</v>
      </c>
      <c r="B163" t="s">
        <v>559</v>
      </c>
      <c r="C163">
        <v>26</v>
      </c>
      <c r="D163" t="s">
        <v>408</v>
      </c>
      <c r="E163" t="s">
        <v>340</v>
      </c>
      <c r="F163">
        <v>45</v>
      </c>
      <c r="G163">
        <v>10</v>
      </c>
      <c r="H163">
        <v>15</v>
      </c>
      <c r="I163">
        <v>25</v>
      </c>
      <c r="J163">
        <v>15</v>
      </c>
      <c r="K163">
        <v>27</v>
      </c>
      <c r="L163">
        <v>8</v>
      </c>
      <c r="M163">
        <v>2</v>
      </c>
      <c r="N163">
        <v>0</v>
      </c>
      <c r="O163">
        <v>3</v>
      </c>
      <c r="P163">
        <v>11</v>
      </c>
      <c r="Q163">
        <v>4</v>
      </c>
      <c r="R163">
        <v>0</v>
      </c>
      <c r="S163">
        <v>75</v>
      </c>
      <c r="T163">
        <v>13.3</v>
      </c>
      <c r="U163">
        <v>121</v>
      </c>
      <c r="V163" t="s">
        <v>2754</v>
      </c>
      <c r="W163" t="s">
        <v>1929</v>
      </c>
      <c r="X163">
        <v>246</v>
      </c>
      <c r="Y163">
        <v>320</v>
      </c>
      <c r="Z163">
        <v>43.5</v>
      </c>
      <c r="AA163">
        <v>33</v>
      </c>
      <c r="AB163">
        <v>47</v>
      </c>
      <c r="AC163">
        <v>13</v>
      </c>
      <c r="AD163">
        <v>20</v>
      </c>
      <c r="AE163" t="s">
        <v>60</v>
      </c>
    </row>
    <row r="164" spans="1:31" x14ac:dyDescent="0.2">
      <c r="A164">
        <v>161</v>
      </c>
      <c r="B164" t="s">
        <v>534</v>
      </c>
      <c r="C164">
        <v>23</v>
      </c>
      <c r="D164" t="s">
        <v>437</v>
      </c>
      <c r="E164" t="s">
        <v>335</v>
      </c>
      <c r="F164">
        <v>45</v>
      </c>
      <c r="G164">
        <v>12</v>
      </c>
      <c r="H164">
        <v>13</v>
      </c>
      <c r="I164">
        <v>25</v>
      </c>
      <c r="J164">
        <v>-20</v>
      </c>
      <c r="K164">
        <v>16</v>
      </c>
      <c r="L164">
        <v>7</v>
      </c>
      <c r="M164">
        <v>5</v>
      </c>
      <c r="N164">
        <v>0</v>
      </c>
      <c r="O164">
        <v>3</v>
      </c>
      <c r="P164">
        <v>10</v>
      </c>
      <c r="Q164">
        <v>3</v>
      </c>
      <c r="R164">
        <v>0</v>
      </c>
      <c r="S164">
        <v>107</v>
      </c>
      <c r="T164">
        <v>11.2</v>
      </c>
      <c r="U164">
        <v>217</v>
      </c>
      <c r="V164" t="s">
        <v>2331</v>
      </c>
      <c r="W164" t="s">
        <v>1794</v>
      </c>
      <c r="X164">
        <v>41</v>
      </c>
      <c r="Y164">
        <v>68</v>
      </c>
      <c r="Z164">
        <v>37.6</v>
      </c>
      <c r="AA164">
        <v>15</v>
      </c>
      <c r="AB164">
        <v>9</v>
      </c>
      <c r="AC164">
        <v>11</v>
      </c>
      <c r="AD164">
        <v>31</v>
      </c>
      <c r="AE164" t="s">
        <v>60</v>
      </c>
    </row>
    <row r="165" spans="1:31" x14ac:dyDescent="0.2">
      <c r="A165">
        <v>162</v>
      </c>
      <c r="B165" t="s">
        <v>458</v>
      </c>
      <c r="C165">
        <v>34</v>
      </c>
      <c r="D165" t="s">
        <v>337</v>
      </c>
      <c r="E165" t="s">
        <v>340</v>
      </c>
      <c r="F165">
        <v>42</v>
      </c>
      <c r="G165">
        <v>15</v>
      </c>
      <c r="H165">
        <v>10</v>
      </c>
      <c r="I165">
        <v>25</v>
      </c>
      <c r="J165">
        <v>-6</v>
      </c>
      <c r="K165">
        <v>20</v>
      </c>
      <c r="L165">
        <v>9</v>
      </c>
      <c r="M165">
        <v>6</v>
      </c>
      <c r="N165">
        <v>0</v>
      </c>
      <c r="O165">
        <v>1</v>
      </c>
      <c r="P165">
        <v>7</v>
      </c>
      <c r="Q165">
        <v>3</v>
      </c>
      <c r="R165">
        <v>0</v>
      </c>
      <c r="S165">
        <v>80</v>
      </c>
      <c r="T165">
        <v>18.8</v>
      </c>
      <c r="U165">
        <v>168</v>
      </c>
      <c r="V165" t="s">
        <v>2332</v>
      </c>
      <c r="W165" t="s">
        <v>1798</v>
      </c>
      <c r="X165">
        <v>13</v>
      </c>
      <c r="Y165">
        <v>20</v>
      </c>
      <c r="Z165">
        <v>39.4</v>
      </c>
      <c r="AA165">
        <v>16</v>
      </c>
      <c r="AB165">
        <v>42</v>
      </c>
      <c r="AC165">
        <v>9</v>
      </c>
      <c r="AD165">
        <v>37</v>
      </c>
      <c r="AE165" t="s">
        <v>60</v>
      </c>
    </row>
    <row r="166" spans="1:31" x14ac:dyDescent="0.2">
      <c r="A166">
        <v>163</v>
      </c>
      <c r="B166" t="s">
        <v>439</v>
      </c>
      <c r="C166">
        <v>29</v>
      </c>
      <c r="D166" t="s">
        <v>400</v>
      </c>
      <c r="E166" t="s">
        <v>335</v>
      </c>
      <c r="F166">
        <v>42</v>
      </c>
      <c r="G166">
        <v>12</v>
      </c>
      <c r="H166">
        <v>13</v>
      </c>
      <c r="I166">
        <v>25</v>
      </c>
      <c r="J166">
        <v>-10</v>
      </c>
      <c r="K166">
        <v>12</v>
      </c>
      <c r="L166">
        <v>7</v>
      </c>
      <c r="M166">
        <v>5</v>
      </c>
      <c r="N166">
        <v>0</v>
      </c>
      <c r="O166">
        <v>2</v>
      </c>
      <c r="P166">
        <v>9</v>
      </c>
      <c r="Q166">
        <v>4</v>
      </c>
      <c r="R166">
        <v>0</v>
      </c>
      <c r="S166">
        <v>142</v>
      </c>
      <c r="T166">
        <v>8.5</v>
      </c>
      <c r="U166">
        <v>292</v>
      </c>
      <c r="V166" t="s">
        <v>2755</v>
      </c>
      <c r="W166" t="s">
        <v>2756</v>
      </c>
      <c r="X166">
        <v>31</v>
      </c>
      <c r="Y166">
        <v>39</v>
      </c>
      <c r="Z166">
        <v>44.3</v>
      </c>
      <c r="AA166">
        <v>31</v>
      </c>
      <c r="AB166">
        <v>75</v>
      </c>
      <c r="AC166">
        <v>12</v>
      </c>
      <c r="AD166">
        <v>42</v>
      </c>
      <c r="AE166" t="s">
        <v>60</v>
      </c>
    </row>
    <row r="167" spans="1:31" x14ac:dyDescent="0.2">
      <c r="A167">
        <v>164</v>
      </c>
      <c r="B167" t="s">
        <v>571</v>
      </c>
      <c r="C167">
        <v>24</v>
      </c>
      <c r="D167" t="s">
        <v>429</v>
      </c>
      <c r="E167" t="s">
        <v>335</v>
      </c>
      <c r="F167">
        <v>45</v>
      </c>
      <c r="G167">
        <v>10</v>
      </c>
      <c r="H167">
        <v>15</v>
      </c>
      <c r="I167">
        <v>25</v>
      </c>
      <c r="J167">
        <v>0</v>
      </c>
      <c r="K167">
        <v>10</v>
      </c>
      <c r="L167">
        <v>8</v>
      </c>
      <c r="M167">
        <v>2</v>
      </c>
      <c r="N167">
        <v>0</v>
      </c>
      <c r="O167">
        <v>4</v>
      </c>
      <c r="P167">
        <v>15</v>
      </c>
      <c r="Q167">
        <v>0</v>
      </c>
      <c r="R167">
        <v>0</v>
      </c>
      <c r="S167">
        <v>89</v>
      </c>
      <c r="T167">
        <v>11.2</v>
      </c>
      <c r="U167">
        <v>186</v>
      </c>
      <c r="V167" t="s">
        <v>2757</v>
      </c>
      <c r="W167" t="s">
        <v>1674</v>
      </c>
      <c r="X167">
        <v>3</v>
      </c>
      <c r="Y167">
        <v>9</v>
      </c>
      <c r="Z167">
        <v>25</v>
      </c>
      <c r="AA167">
        <v>19</v>
      </c>
      <c r="AB167">
        <v>23</v>
      </c>
      <c r="AC167">
        <v>9</v>
      </c>
      <c r="AD167">
        <v>47</v>
      </c>
      <c r="AE167" t="s">
        <v>60</v>
      </c>
    </row>
    <row r="168" spans="1:31" x14ac:dyDescent="0.2">
      <c r="A168">
        <v>165</v>
      </c>
      <c r="B168" t="s">
        <v>850</v>
      </c>
      <c r="C168">
        <v>26</v>
      </c>
      <c r="D168" t="s">
        <v>418</v>
      </c>
      <c r="E168" t="s">
        <v>340</v>
      </c>
      <c r="F168">
        <v>26</v>
      </c>
      <c r="G168">
        <v>9</v>
      </c>
      <c r="H168">
        <v>16</v>
      </c>
      <c r="I168">
        <v>25</v>
      </c>
      <c r="J168">
        <v>-4</v>
      </c>
      <c r="K168">
        <v>28</v>
      </c>
      <c r="L168">
        <v>7</v>
      </c>
      <c r="M168">
        <v>1</v>
      </c>
      <c r="N168">
        <v>1</v>
      </c>
      <c r="O168">
        <v>2</v>
      </c>
      <c r="P168">
        <v>9</v>
      </c>
      <c r="Q168">
        <v>7</v>
      </c>
      <c r="R168">
        <v>0</v>
      </c>
      <c r="S168">
        <v>108</v>
      </c>
      <c r="T168">
        <v>8.3000000000000007</v>
      </c>
      <c r="U168">
        <v>174</v>
      </c>
      <c r="V168" t="s">
        <v>2758</v>
      </c>
      <c r="W168" t="s">
        <v>616</v>
      </c>
      <c r="X168">
        <v>64</v>
      </c>
      <c r="Y168">
        <v>54</v>
      </c>
      <c r="Z168">
        <v>54.2</v>
      </c>
      <c r="AA168">
        <v>7</v>
      </c>
      <c r="AB168">
        <v>78</v>
      </c>
      <c r="AC168">
        <v>6</v>
      </c>
      <c r="AD168">
        <v>18</v>
      </c>
      <c r="AE168" t="s">
        <v>60</v>
      </c>
    </row>
    <row r="169" spans="1:31" x14ac:dyDescent="0.2">
      <c r="A169">
        <v>166</v>
      </c>
      <c r="B169" t="s">
        <v>576</v>
      </c>
      <c r="C169">
        <v>30</v>
      </c>
      <c r="D169" t="s">
        <v>514</v>
      </c>
      <c r="E169" t="s">
        <v>340</v>
      </c>
      <c r="F169">
        <v>47</v>
      </c>
      <c r="G169">
        <v>8</v>
      </c>
      <c r="H169">
        <v>16</v>
      </c>
      <c r="I169">
        <v>24</v>
      </c>
      <c r="J169">
        <v>-15</v>
      </c>
      <c r="K169">
        <v>16</v>
      </c>
      <c r="L169">
        <v>6</v>
      </c>
      <c r="M169">
        <v>2</v>
      </c>
      <c r="N169">
        <v>0</v>
      </c>
      <c r="O169">
        <v>1</v>
      </c>
      <c r="P169">
        <v>10</v>
      </c>
      <c r="Q169">
        <v>6</v>
      </c>
      <c r="R169">
        <v>0</v>
      </c>
      <c r="S169">
        <v>80</v>
      </c>
      <c r="T169">
        <v>10</v>
      </c>
      <c r="U169">
        <v>160</v>
      </c>
      <c r="V169" t="s">
        <v>2333</v>
      </c>
      <c r="W169" t="s">
        <v>624</v>
      </c>
      <c r="X169">
        <v>7</v>
      </c>
      <c r="Y169">
        <v>17</v>
      </c>
      <c r="Z169">
        <v>29.2</v>
      </c>
      <c r="AA169">
        <v>19</v>
      </c>
      <c r="AB169">
        <v>23</v>
      </c>
      <c r="AC169">
        <v>15</v>
      </c>
      <c r="AD169">
        <v>39</v>
      </c>
      <c r="AE169" t="s">
        <v>60</v>
      </c>
    </row>
    <row r="170" spans="1:31" x14ac:dyDescent="0.2">
      <c r="A170">
        <v>167</v>
      </c>
      <c r="B170" t="s">
        <v>519</v>
      </c>
      <c r="C170">
        <v>33</v>
      </c>
      <c r="D170" t="s">
        <v>408</v>
      </c>
      <c r="E170" t="s">
        <v>322</v>
      </c>
      <c r="F170">
        <v>44</v>
      </c>
      <c r="G170">
        <v>5</v>
      </c>
      <c r="H170">
        <v>19</v>
      </c>
      <c r="I170">
        <v>24</v>
      </c>
      <c r="J170">
        <v>-3</v>
      </c>
      <c r="K170">
        <v>18</v>
      </c>
      <c r="L170">
        <v>5</v>
      </c>
      <c r="M170">
        <v>0</v>
      </c>
      <c r="N170">
        <v>0</v>
      </c>
      <c r="O170">
        <v>1</v>
      </c>
      <c r="P170">
        <v>18</v>
      </c>
      <c r="Q170">
        <v>1</v>
      </c>
      <c r="R170">
        <v>0</v>
      </c>
      <c r="S170">
        <v>69</v>
      </c>
      <c r="T170">
        <v>7.2</v>
      </c>
      <c r="U170">
        <v>135</v>
      </c>
      <c r="V170" t="s">
        <v>2759</v>
      </c>
      <c r="W170" t="s">
        <v>1494</v>
      </c>
      <c r="X170">
        <v>398</v>
      </c>
      <c r="Y170">
        <v>331</v>
      </c>
      <c r="Z170">
        <v>54.6</v>
      </c>
      <c r="AA170">
        <v>27</v>
      </c>
      <c r="AB170">
        <v>44</v>
      </c>
      <c r="AC170">
        <v>18</v>
      </c>
      <c r="AD170">
        <v>40</v>
      </c>
      <c r="AE170" t="s">
        <v>60</v>
      </c>
    </row>
    <row r="171" spans="1:31" x14ac:dyDescent="0.2">
      <c r="A171">
        <v>168</v>
      </c>
      <c r="B171" t="s">
        <v>640</v>
      </c>
      <c r="C171">
        <v>23</v>
      </c>
      <c r="D171" t="s">
        <v>324</v>
      </c>
      <c r="E171" t="s">
        <v>325</v>
      </c>
      <c r="F171">
        <v>44</v>
      </c>
      <c r="G171">
        <v>12</v>
      </c>
      <c r="H171">
        <v>12</v>
      </c>
      <c r="I171">
        <v>24</v>
      </c>
      <c r="J171">
        <v>5</v>
      </c>
      <c r="K171">
        <v>2</v>
      </c>
      <c r="L171">
        <v>11</v>
      </c>
      <c r="M171">
        <v>0</v>
      </c>
      <c r="N171">
        <v>1</v>
      </c>
      <c r="O171">
        <v>1</v>
      </c>
      <c r="P171">
        <v>11</v>
      </c>
      <c r="Q171">
        <v>0</v>
      </c>
      <c r="R171">
        <v>1</v>
      </c>
      <c r="S171">
        <v>48</v>
      </c>
      <c r="T171">
        <v>25</v>
      </c>
      <c r="U171">
        <v>99</v>
      </c>
      <c r="V171" t="s">
        <v>2076</v>
      </c>
      <c r="W171" t="s">
        <v>1551</v>
      </c>
      <c r="X171">
        <v>3</v>
      </c>
      <c r="Y171">
        <v>11</v>
      </c>
      <c r="Z171">
        <v>21.4</v>
      </c>
      <c r="AA171">
        <v>32</v>
      </c>
      <c r="AB171">
        <v>46</v>
      </c>
      <c r="AC171">
        <v>15</v>
      </c>
      <c r="AD171">
        <v>23</v>
      </c>
      <c r="AE171" t="s">
        <v>60</v>
      </c>
    </row>
    <row r="172" spans="1:31" x14ac:dyDescent="0.2">
      <c r="A172">
        <v>169</v>
      </c>
      <c r="B172" t="s">
        <v>540</v>
      </c>
      <c r="C172">
        <v>34</v>
      </c>
      <c r="D172" t="s">
        <v>461</v>
      </c>
      <c r="E172" t="s">
        <v>340</v>
      </c>
      <c r="F172">
        <v>46</v>
      </c>
      <c r="G172">
        <v>8</v>
      </c>
      <c r="H172">
        <v>16</v>
      </c>
      <c r="I172">
        <v>24</v>
      </c>
      <c r="J172">
        <v>-8</v>
      </c>
      <c r="K172">
        <v>30</v>
      </c>
      <c r="L172">
        <v>6</v>
      </c>
      <c r="M172">
        <v>2</v>
      </c>
      <c r="N172">
        <v>0</v>
      </c>
      <c r="O172">
        <v>0</v>
      </c>
      <c r="P172">
        <v>8</v>
      </c>
      <c r="Q172">
        <v>7</v>
      </c>
      <c r="R172">
        <v>1</v>
      </c>
      <c r="S172">
        <v>77</v>
      </c>
      <c r="T172">
        <v>10.4</v>
      </c>
      <c r="U172">
        <v>150</v>
      </c>
      <c r="V172" t="s">
        <v>2334</v>
      </c>
      <c r="W172" t="s">
        <v>474</v>
      </c>
      <c r="X172">
        <v>280</v>
      </c>
      <c r="Y172">
        <v>266</v>
      </c>
      <c r="Z172">
        <v>51.3</v>
      </c>
      <c r="AA172">
        <v>27</v>
      </c>
      <c r="AB172">
        <v>55</v>
      </c>
      <c r="AC172">
        <v>12</v>
      </c>
      <c r="AD172">
        <v>30</v>
      </c>
      <c r="AE172" t="s">
        <v>60</v>
      </c>
    </row>
    <row r="173" spans="1:31" x14ac:dyDescent="0.2">
      <c r="A173">
        <v>170</v>
      </c>
      <c r="B173" t="s">
        <v>544</v>
      </c>
      <c r="C173">
        <v>31</v>
      </c>
      <c r="D173" t="s">
        <v>374</v>
      </c>
      <c r="E173" t="s">
        <v>349</v>
      </c>
      <c r="F173">
        <v>40</v>
      </c>
      <c r="G173">
        <v>6</v>
      </c>
      <c r="H173">
        <v>18</v>
      </c>
      <c r="I173">
        <v>24</v>
      </c>
      <c r="J173">
        <v>-2</v>
      </c>
      <c r="K173">
        <v>16</v>
      </c>
      <c r="L173">
        <v>1</v>
      </c>
      <c r="M173">
        <v>5</v>
      </c>
      <c r="N173">
        <v>0</v>
      </c>
      <c r="O173">
        <v>0</v>
      </c>
      <c r="P173">
        <v>10</v>
      </c>
      <c r="Q173">
        <v>8</v>
      </c>
      <c r="R173">
        <v>0</v>
      </c>
      <c r="S173">
        <v>78</v>
      </c>
      <c r="T173">
        <v>7.7</v>
      </c>
      <c r="U173">
        <v>194</v>
      </c>
      <c r="V173" t="s">
        <v>1872</v>
      </c>
      <c r="W173" t="s">
        <v>1815</v>
      </c>
      <c r="X173">
        <v>0</v>
      </c>
      <c r="Y173">
        <v>0</v>
      </c>
      <c r="AA173">
        <v>47</v>
      </c>
      <c r="AB173">
        <v>38</v>
      </c>
      <c r="AC173">
        <v>10</v>
      </c>
      <c r="AD173">
        <v>52</v>
      </c>
      <c r="AE173" t="s">
        <v>60</v>
      </c>
    </row>
    <row r="174" spans="1:31" x14ac:dyDescent="0.2">
      <c r="A174">
        <v>171</v>
      </c>
      <c r="B174" t="s">
        <v>597</v>
      </c>
      <c r="C174">
        <v>29</v>
      </c>
      <c r="D174" t="s">
        <v>360</v>
      </c>
      <c r="E174" t="s">
        <v>325</v>
      </c>
      <c r="F174">
        <v>45</v>
      </c>
      <c r="G174">
        <v>14</v>
      </c>
      <c r="H174">
        <v>10</v>
      </c>
      <c r="I174">
        <v>24</v>
      </c>
      <c r="J174">
        <v>4</v>
      </c>
      <c r="K174">
        <v>40</v>
      </c>
      <c r="L174">
        <v>12</v>
      </c>
      <c r="M174">
        <v>2</v>
      </c>
      <c r="N174">
        <v>0</v>
      </c>
      <c r="O174">
        <v>3</v>
      </c>
      <c r="P174">
        <v>9</v>
      </c>
      <c r="Q174">
        <v>1</v>
      </c>
      <c r="R174">
        <v>0</v>
      </c>
      <c r="S174">
        <v>90</v>
      </c>
      <c r="T174">
        <v>15.6</v>
      </c>
      <c r="U174">
        <v>167</v>
      </c>
      <c r="V174" t="s">
        <v>2335</v>
      </c>
      <c r="W174" t="s">
        <v>2336</v>
      </c>
      <c r="X174">
        <v>6</v>
      </c>
      <c r="Y174">
        <v>3</v>
      </c>
      <c r="Z174">
        <v>66.7</v>
      </c>
      <c r="AA174">
        <v>19</v>
      </c>
      <c r="AB174">
        <v>97</v>
      </c>
      <c r="AC174">
        <v>10</v>
      </c>
      <c r="AD174">
        <v>18</v>
      </c>
      <c r="AE174" t="s">
        <v>60</v>
      </c>
    </row>
    <row r="175" spans="1:31" x14ac:dyDescent="0.2">
      <c r="A175">
        <v>172</v>
      </c>
      <c r="B175" t="s">
        <v>508</v>
      </c>
      <c r="C175">
        <v>25</v>
      </c>
      <c r="D175" t="s">
        <v>418</v>
      </c>
      <c r="E175" t="s">
        <v>322</v>
      </c>
      <c r="F175">
        <v>36</v>
      </c>
      <c r="G175">
        <v>13</v>
      </c>
      <c r="H175">
        <v>11</v>
      </c>
      <c r="I175">
        <v>24</v>
      </c>
      <c r="J175">
        <v>2</v>
      </c>
      <c r="K175">
        <v>24</v>
      </c>
      <c r="L175">
        <v>12</v>
      </c>
      <c r="M175">
        <v>1</v>
      </c>
      <c r="N175">
        <v>0</v>
      </c>
      <c r="O175">
        <v>1</v>
      </c>
      <c r="P175">
        <v>10</v>
      </c>
      <c r="Q175">
        <v>0</v>
      </c>
      <c r="R175">
        <v>1</v>
      </c>
      <c r="S175">
        <v>80</v>
      </c>
      <c r="T175">
        <v>16.3</v>
      </c>
      <c r="U175">
        <v>162</v>
      </c>
      <c r="V175" t="s">
        <v>2760</v>
      </c>
      <c r="W175" t="s">
        <v>2411</v>
      </c>
      <c r="X175">
        <v>201</v>
      </c>
      <c r="Y175">
        <v>192</v>
      </c>
      <c r="Z175">
        <v>51.1</v>
      </c>
      <c r="AA175">
        <v>22</v>
      </c>
      <c r="AB175">
        <v>43</v>
      </c>
      <c r="AC175">
        <v>9</v>
      </c>
      <c r="AD175">
        <v>29</v>
      </c>
      <c r="AE175" t="s">
        <v>60</v>
      </c>
    </row>
    <row r="176" spans="1:31" x14ac:dyDescent="0.2">
      <c r="A176">
        <v>173</v>
      </c>
      <c r="B176" t="s">
        <v>607</v>
      </c>
      <c r="C176">
        <v>32</v>
      </c>
      <c r="D176" t="s">
        <v>356</v>
      </c>
      <c r="E176" t="s">
        <v>340</v>
      </c>
      <c r="F176">
        <v>35</v>
      </c>
      <c r="G176">
        <v>9</v>
      </c>
      <c r="H176">
        <v>14</v>
      </c>
      <c r="I176">
        <v>23</v>
      </c>
      <c r="J176">
        <v>7</v>
      </c>
      <c r="K176">
        <v>16</v>
      </c>
      <c r="L176">
        <v>7</v>
      </c>
      <c r="M176">
        <v>2</v>
      </c>
      <c r="N176">
        <v>0</v>
      </c>
      <c r="O176">
        <v>4</v>
      </c>
      <c r="P176">
        <v>11</v>
      </c>
      <c r="Q176">
        <v>3</v>
      </c>
      <c r="R176">
        <v>0</v>
      </c>
      <c r="S176">
        <v>94</v>
      </c>
      <c r="T176">
        <v>9.6</v>
      </c>
      <c r="U176">
        <v>185</v>
      </c>
      <c r="V176" t="s">
        <v>2337</v>
      </c>
      <c r="W176" t="s">
        <v>2338</v>
      </c>
      <c r="X176">
        <v>6</v>
      </c>
      <c r="Y176">
        <v>4</v>
      </c>
      <c r="Z176">
        <v>60</v>
      </c>
      <c r="AA176">
        <v>19</v>
      </c>
      <c r="AB176">
        <v>11</v>
      </c>
      <c r="AC176">
        <v>7</v>
      </c>
      <c r="AD176">
        <v>25</v>
      </c>
      <c r="AE176" t="s">
        <v>60</v>
      </c>
    </row>
    <row r="177" spans="1:31" x14ac:dyDescent="0.2">
      <c r="A177">
        <v>174</v>
      </c>
      <c r="B177" t="s">
        <v>577</v>
      </c>
      <c r="C177">
        <v>40</v>
      </c>
      <c r="D177" t="s">
        <v>321</v>
      </c>
      <c r="E177" t="s">
        <v>349</v>
      </c>
      <c r="F177">
        <v>45</v>
      </c>
      <c r="G177">
        <v>8</v>
      </c>
      <c r="H177">
        <v>15</v>
      </c>
      <c r="I177">
        <v>23</v>
      </c>
      <c r="J177">
        <v>26</v>
      </c>
      <c r="K177">
        <v>18</v>
      </c>
      <c r="L177">
        <v>8</v>
      </c>
      <c r="M177">
        <v>0</v>
      </c>
      <c r="N177">
        <v>0</v>
      </c>
      <c r="O177">
        <v>4</v>
      </c>
      <c r="P177">
        <v>14</v>
      </c>
      <c r="Q177">
        <v>1</v>
      </c>
      <c r="R177">
        <v>0</v>
      </c>
      <c r="S177">
        <v>100</v>
      </c>
      <c r="T177">
        <v>8</v>
      </c>
      <c r="U177">
        <v>230</v>
      </c>
      <c r="V177" t="s">
        <v>2135</v>
      </c>
      <c r="W177" t="s">
        <v>1790</v>
      </c>
      <c r="X177">
        <v>0</v>
      </c>
      <c r="Y177">
        <v>0</v>
      </c>
      <c r="AA177">
        <v>54</v>
      </c>
      <c r="AB177">
        <v>11</v>
      </c>
      <c r="AC177">
        <v>12</v>
      </c>
      <c r="AD177">
        <v>52</v>
      </c>
      <c r="AE177" t="s">
        <v>60</v>
      </c>
    </row>
    <row r="178" spans="1:31" x14ac:dyDescent="0.2">
      <c r="A178">
        <v>175</v>
      </c>
      <c r="B178" t="s">
        <v>578</v>
      </c>
      <c r="C178">
        <v>22</v>
      </c>
      <c r="D178" t="s">
        <v>421</v>
      </c>
      <c r="E178" t="s">
        <v>349</v>
      </c>
      <c r="F178">
        <v>46</v>
      </c>
      <c r="G178">
        <v>6</v>
      </c>
      <c r="H178">
        <v>17</v>
      </c>
      <c r="I178">
        <v>23</v>
      </c>
      <c r="J178">
        <v>9</v>
      </c>
      <c r="K178">
        <v>26</v>
      </c>
      <c r="L178">
        <v>5</v>
      </c>
      <c r="M178">
        <v>1</v>
      </c>
      <c r="N178">
        <v>0</v>
      </c>
      <c r="O178">
        <v>2</v>
      </c>
      <c r="P178">
        <v>12</v>
      </c>
      <c r="Q178">
        <v>5</v>
      </c>
      <c r="R178">
        <v>0</v>
      </c>
      <c r="S178">
        <v>92</v>
      </c>
      <c r="T178">
        <v>6.5</v>
      </c>
      <c r="U178">
        <v>174</v>
      </c>
      <c r="V178" t="s">
        <v>2761</v>
      </c>
      <c r="W178" t="s">
        <v>416</v>
      </c>
      <c r="X178">
        <v>0</v>
      </c>
      <c r="Y178">
        <v>0</v>
      </c>
      <c r="AA178">
        <v>82</v>
      </c>
      <c r="AB178">
        <v>22</v>
      </c>
      <c r="AC178">
        <v>15</v>
      </c>
      <c r="AD178">
        <v>52</v>
      </c>
      <c r="AE178" t="s">
        <v>60</v>
      </c>
    </row>
    <row r="179" spans="1:31" x14ac:dyDescent="0.2">
      <c r="A179">
        <v>176</v>
      </c>
      <c r="B179" t="s">
        <v>433</v>
      </c>
      <c r="C179">
        <v>21</v>
      </c>
      <c r="D179" t="s">
        <v>406</v>
      </c>
      <c r="E179" t="s">
        <v>322</v>
      </c>
      <c r="F179">
        <v>29</v>
      </c>
      <c r="G179">
        <v>14</v>
      </c>
      <c r="H179">
        <v>9</v>
      </c>
      <c r="I179">
        <v>23</v>
      </c>
      <c r="J179">
        <v>6</v>
      </c>
      <c r="K179">
        <v>22</v>
      </c>
      <c r="L179">
        <v>10</v>
      </c>
      <c r="M179">
        <v>3</v>
      </c>
      <c r="N179">
        <v>1</v>
      </c>
      <c r="O179">
        <v>1</v>
      </c>
      <c r="P179">
        <v>8</v>
      </c>
      <c r="Q179">
        <v>1</v>
      </c>
      <c r="R179">
        <v>0</v>
      </c>
      <c r="S179">
        <v>59</v>
      </c>
      <c r="T179">
        <v>23.7</v>
      </c>
      <c r="U179">
        <v>101</v>
      </c>
      <c r="V179" t="s">
        <v>434</v>
      </c>
      <c r="W179" t="s">
        <v>435</v>
      </c>
      <c r="X179">
        <v>133</v>
      </c>
      <c r="Y179">
        <v>189</v>
      </c>
      <c r="Z179">
        <v>41.3</v>
      </c>
      <c r="AA179">
        <v>13</v>
      </c>
      <c r="AB179">
        <v>34</v>
      </c>
      <c r="AC179">
        <v>11</v>
      </c>
      <c r="AD179">
        <v>37</v>
      </c>
      <c r="AE179" t="s">
        <v>60</v>
      </c>
    </row>
    <row r="180" spans="1:31" x14ac:dyDescent="0.2">
      <c r="A180">
        <v>177</v>
      </c>
      <c r="B180" t="s">
        <v>535</v>
      </c>
      <c r="C180">
        <v>23</v>
      </c>
      <c r="D180" t="s">
        <v>362</v>
      </c>
      <c r="E180" t="s">
        <v>340</v>
      </c>
      <c r="F180">
        <v>48</v>
      </c>
      <c r="G180">
        <v>10</v>
      </c>
      <c r="H180">
        <v>13</v>
      </c>
      <c r="I180">
        <v>23</v>
      </c>
      <c r="J180">
        <v>-17</v>
      </c>
      <c r="K180">
        <v>31</v>
      </c>
      <c r="L180">
        <v>6</v>
      </c>
      <c r="M180">
        <v>4</v>
      </c>
      <c r="N180">
        <v>0</v>
      </c>
      <c r="O180">
        <v>1</v>
      </c>
      <c r="P180">
        <v>9</v>
      </c>
      <c r="Q180">
        <v>4</v>
      </c>
      <c r="R180">
        <v>0</v>
      </c>
      <c r="S180">
        <v>91</v>
      </c>
      <c r="T180">
        <v>11</v>
      </c>
      <c r="U180">
        <v>192</v>
      </c>
      <c r="V180" t="s">
        <v>2762</v>
      </c>
      <c r="W180" t="s">
        <v>489</v>
      </c>
      <c r="X180">
        <v>29</v>
      </c>
      <c r="Y180">
        <v>26</v>
      </c>
      <c r="Z180">
        <v>52.7</v>
      </c>
      <c r="AA180">
        <v>52</v>
      </c>
      <c r="AB180">
        <v>170</v>
      </c>
      <c r="AC180">
        <v>8</v>
      </c>
      <c r="AD180">
        <v>29</v>
      </c>
      <c r="AE180" t="s">
        <v>60</v>
      </c>
    </row>
    <row r="181" spans="1:31" x14ac:dyDescent="0.2">
      <c r="A181">
        <v>178</v>
      </c>
      <c r="B181" t="s">
        <v>587</v>
      </c>
      <c r="C181">
        <v>34</v>
      </c>
      <c r="D181" t="s">
        <v>398</v>
      </c>
      <c r="E181" t="s">
        <v>340</v>
      </c>
      <c r="F181">
        <v>47</v>
      </c>
      <c r="G181">
        <v>9</v>
      </c>
      <c r="H181">
        <v>14</v>
      </c>
      <c r="I181">
        <v>23</v>
      </c>
      <c r="J181">
        <v>3</v>
      </c>
      <c r="K181">
        <v>16</v>
      </c>
      <c r="L181">
        <v>7</v>
      </c>
      <c r="M181">
        <v>2</v>
      </c>
      <c r="N181">
        <v>0</v>
      </c>
      <c r="O181">
        <v>1</v>
      </c>
      <c r="P181">
        <v>12</v>
      </c>
      <c r="Q181">
        <v>2</v>
      </c>
      <c r="R181">
        <v>0</v>
      </c>
      <c r="S181">
        <v>77</v>
      </c>
      <c r="T181">
        <v>11.7</v>
      </c>
      <c r="U181">
        <v>156</v>
      </c>
      <c r="V181" t="s">
        <v>2339</v>
      </c>
      <c r="W181" t="s">
        <v>2340</v>
      </c>
      <c r="X181">
        <v>15</v>
      </c>
      <c r="Y181">
        <v>22</v>
      </c>
      <c r="Z181">
        <v>40.5</v>
      </c>
      <c r="AA181">
        <v>19</v>
      </c>
      <c r="AB181">
        <v>27</v>
      </c>
      <c r="AC181">
        <v>13</v>
      </c>
      <c r="AD181">
        <v>38</v>
      </c>
      <c r="AE181" t="s">
        <v>60</v>
      </c>
    </row>
    <row r="182" spans="1:31" x14ac:dyDescent="0.2">
      <c r="A182">
        <v>179</v>
      </c>
      <c r="B182" t="s">
        <v>756</v>
      </c>
      <c r="C182">
        <v>24</v>
      </c>
      <c r="D182" t="s">
        <v>385</v>
      </c>
      <c r="E182" t="s">
        <v>335</v>
      </c>
      <c r="F182">
        <v>45</v>
      </c>
      <c r="G182">
        <v>12</v>
      </c>
      <c r="H182">
        <v>11</v>
      </c>
      <c r="I182">
        <v>23</v>
      </c>
      <c r="J182">
        <v>7</v>
      </c>
      <c r="K182">
        <v>12</v>
      </c>
      <c r="L182">
        <v>11</v>
      </c>
      <c r="M182">
        <v>0</v>
      </c>
      <c r="N182">
        <v>1</v>
      </c>
      <c r="O182">
        <v>2</v>
      </c>
      <c r="P182">
        <v>8</v>
      </c>
      <c r="Q182">
        <v>1</v>
      </c>
      <c r="R182">
        <v>2</v>
      </c>
      <c r="S182">
        <v>51</v>
      </c>
      <c r="T182">
        <v>23.5</v>
      </c>
      <c r="U182">
        <v>108</v>
      </c>
      <c r="V182" t="s">
        <v>2341</v>
      </c>
      <c r="W182" t="s">
        <v>2342</v>
      </c>
      <c r="X182">
        <v>2</v>
      </c>
      <c r="Y182">
        <v>10</v>
      </c>
      <c r="Z182">
        <v>16.7</v>
      </c>
      <c r="AA182">
        <v>33</v>
      </c>
      <c r="AB182">
        <v>9</v>
      </c>
      <c r="AC182">
        <v>15</v>
      </c>
      <c r="AD182">
        <v>31</v>
      </c>
      <c r="AE182" t="s">
        <v>60</v>
      </c>
    </row>
    <row r="183" spans="1:31" x14ac:dyDescent="0.2">
      <c r="A183">
        <v>180</v>
      </c>
      <c r="B183" t="s">
        <v>712</v>
      </c>
      <c r="C183">
        <v>32</v>
      </c>
      <c r="D183" t="s">
        <v>382</v>
      </c>
      <c r="E183" t="s">
        <v>322</v>
      </c>
      <c r="F183">
        <v>32</v>
      </c>
      <c r="G183">
        <v>8</v>
      </c>
      <c r="H183">
        <v>15</v>
      </c>
      <c r="I183">
        <v>23</v>
      </c>
      <c r="J183">
        <v>0</v>
      </c>
      <c r="K183">
        <v>24</v>
      </c>
      <c r="L183">
        <v>7</v>
      </c>
      <c r="M183">
        <v>1</v>
      </c>
      <c r="N183">
        <v>0</v>
      </c>
      <c r="O183">
        <v>2</v>
      </c>
      <c r="P183">
        <v>12</v>
      </c>
      <c r="Q183">
        <v>2</v>
      </c>
      <c r="R183">
        <v>1</v>
      </c>
      <c r="S183">
        <v>76</v>
      </c>
      <c r="T183">
        <v>10.5</v>
      </c>
      <c r="U183">
        <v>144</v>
      </c>
      <c r="V183" t="s">
        <v>2343</v>
      </c>
      <c r="W183" t="s">
        <v>2344</v>
      </c>
      <c r="X183">
        <v>78</v>
      </c>
      <c r="Y183">
        <v>68</v>
      </c>
      <c r="Z183">
        <v>53.4</v>
      </c>
      <c r="AA183">
        <v>32</v>
      </c>
      <c r="AB183">
        <v>73</v>
      </c>
      <c r="AC183">
        <v>5</v>
      </c>
      <c r="AD183">
        <v>26</v>
      </c>
      <c r="AE183" t="s">
        <v>60</v>
      </c>
    </row>
    <row r="184" spans="1:31" x14ac:dyDescent="0.2">
      <c r="A184">
        <v>181</v>
      </c>
      <c r="B184" t="s">
        <v>713</v>
      </c>
      <c r="C184">
        <v>35</v>
      </c>
      <c r="D184" t="s">
        <v>461</v>
      </c>
      <c r="E184" t="s">
        <v>349</v>
      </c>
      <c r="F184">
        <v>34</v>
      </c>
      <c r="G184">
        <v>8</v>
      </c>
      <c r="H184">
        <v>15</v>
      </c>
      <c r="I184">
        <v>23</v>
      </c>
      <c r="J184">
        <v>-8</v>
      </c>
      <c r="K184">
        <v>20</v>
      </c>
      <c r="L184">
        <v>5</v>
      </c>
      <c r="M184">
        <v>3</v>
      </c>
      <c r="N184">
        <v>0</v>
      </c>
      <c r="O184">
        <v>2</v>
      </c>
      <c r="P184">
        <v>10</v>
      </c>
      <c r="Q184">
        <v>5</v>
      </c>
      <c r="R184">
        <v>0</v>
      </c>
      <c r="S184">
        <v>88</v>
      </c>
      <c r="T184">
        <v>9.1</v>
      </c>
      <c r="U184">
        <v>192</v>
      </c>
      <c r="V184" t="s">
        <v>2345</v>
      </c>
      <c r="W184" t="s">
        <v>2346</v>
      </c>
      <c r="X184">
        <v>0</v>
      </c>
      <c r="Y184">
        <v>0</v>
      </c>
      <c r="AA184">
        <v>51</v>
      </c>
      <c r="AB184">
        <v>9</v>
      </c>
      <c r="AC184">
        <v>14</v>
      </c>
      <c r="AD184">
        <v>43</v>
      </c>
      <c r="AE184" t="s">
        <v>60</v>
      </c>
    </row>
    <row r="185" spans="1:31" x14ac:dyDescent="0.2">
      <c r="A185">
        <v>182</v>
      </c>
      <c r="B185" t="s">
        <v>619</v>
      </c>
      <c r="C185">
        <v>38</v>
      </c>
      <c r="D185" t="s">
        <v>377</v>
      </c>
      <c r="E185" t="s">
        <v>349</v>
      </c>
      <c r="F185">
        <v>45</v>
      </c>
      <c r="G185">
        <v>3</v>
      </c>
      <c r="H185">
        <v>20</v>
      </c>
      <c r="I185">
        <v>23</v>
      </c>
      <c r="J185">
        <v>2</v>
      </c>
      <c r="K185">
        <v>20</v>
      </c>
      <c r="L185">
        <v>2</v>
      </c>
      <c r="M185">
        <v>1</v>
      </c>
      <c r="N185">
        <v>0</v>
      </c>
      <c r="O185">
        <v>2</v>
      </c>
      <c r="P185">
        <v>14</v>
      </c>
      <c r="Q185">
        <v>6</v>
      </c>
      <c r="R185">
        <v>0</v>
      </c>
      <c r="S185">
        <v>74</v>
      </c>
      <c r="T185">
        <v>4.0999999999999996</v>
      </c>
      <c r="U185">
        <v>178</v>
      </c>
      <c r="V185" t="s">
        <v>2347</v>
      </c>
      <c r="W185" t="s">
        <v>2348</v>
      </c>
      <c r="X185">
        <v>0</v>
      </c>
      <c r="Y185">
        <v>0</v>
      </c>
      <c r="AA185">
        <v>58</v>
      </c>
      <c r="AB185">
        <v>61</v>
      </c>
      <c r="AC185">
        <v>14</v>
      </c>
      <c r="AD185">
        <v>62</v>
      </c>
      <c r="AE185" t="s">
        <v>60</v>
      </c>
    </row>
    <row r="186" spans="1:31" x14ac:dyDescent="0.2">
      <c r="A186">
        <v>183</v>
      </c>
      <c r="B186" t="s">
        <v>566</v>
      </c>
      <c r="C186">
        <v>27</v>
      </c>
      <c r="D186" t="s">
        <v>321</v>
      </c>
      <c r="E186" t="s">
        <v>349</v>
      </c>
      <c r="F186">
        <v>45</v>
      </c>
      <c r="G186">
        <v>3</v>
      </c>
      <c r="H186">
        <v>20</v>
      </c>
      <c r="I186">
        <v>23</v>
      </c>
      <c r="J186">
        <v>24</v>
      </c>
      <c r="K186">
        <v>12</v>
      </c>
      <c r="L186">
        <v>3</v>
      </c>
      <c r="M186">
        <v>0</v>
      </c>
      <c r="N186">
        <v>0</v>
      </c>
      <c r="O186">
        <v>1</v>
      </c>
      <c r="P186">
        <v>19</v>
      </c>
      <c r="Q186">
        <v>1</v>
      </c>
      <c r="R186">
        <v>0</v>
      </c>
      <c r="S186">
        <v>76</v>
      </c>
      <c r="T186">
        <v>3.9</v>
      </c>
      <c r="U186">
        <v>198</v>
      </c>
      <c r="V186" t="s">
        <v>1941</v>
      </c>
      <c r="W186" t="s">
        <v>1551</v>
      </c>
      <c r="X186">
        <v>0</v>
      </c>
      <c r="Y186">
        <v>0</v>
      </c>
      <c r="AA186">
        <v>50</v>
      </c>
      <c r="AB186">
        <v>24</v>
      </c>
      <c r="AC186">
        <v>12</v>
      </c>
      <c r="AD186">
        <v>38</v>
      </c>
      <c r="AE186" t="s">
        <v>60</v>
      </c>
    </row>
    <row r="187" spans="1:31" x14ac:dyDescent="0.2">
      <c r="A187">
        <v>184</v>
      </c>
      <c r="B187" t="s">
        <v>550</v>
      </c>
      <c r="C187">
        <v>21</v>
      </c>
      <c r="D187" t="s">
        <v>408</v>
      </c>
      <c r="E187" t="s">
        <v>335</v>
      </c>
      <c r="F187">
        <v>44</v>
      </c>
      <c r="G187">
        <v>9</v>
      </c>
      <c r="H187">
        <v>14</v>
      </c>
      <c r="I187">
        <v>23</v>
      </c>
      <c r="J187">
        <v>-7</v>
      </c>
      <c r="K187">
        <v>38</v>
      </c>
      <c r="L187">
        <v>8</v>
      </c>
      <c r="M187">
        <v>1</v>
      </c>
      <c r="N187">
        <v>0</v>
      </c>
      <c r="O187">
        <v>0</v>
      </c>
      <c r="P187">
        <v>10</v>
      </c>
      <c r="Q187">
        <v>4</v>
      </c>
      <c r="R187">
        <v>0</v>
      </c>
      <c r="S187">
        <v>85</v>
      </c>
      <c r="T187">
        <v>10.6</v>
      </c>
      <c r="U187">
        <v>171</v>
      </c>
      <c r="V187" t="s">
        <v>2763</v>
      </c>
      <c r="W187" t="s">
        <v>2584</v>
      </c>
      <c r="X187">
        <v>0</v>
      </c>
      <c r="Y187">
        <v>5</v>
      </c>
      <c r="Z187">
        <v>0</v>
      </c>
      <c r="AA187">
        <v>12</v>
      </c>
      <c r="AB187">
        <v>17</v>
      </c>
      <c r="AC187">
        <v>11</v>
      </c>
      <c r="AD187">
        <v>46</v>
      </c>
      <c r="AE187" t="s">
        <v>60</v>
      </c>
    </row>
    <row r="188" spans="1:31" x14ac:dyDescent="0.2">
      <c r="A188">
        <v>185</v>
      </c>
      <c r="B188" t="s">
        <v>621</v>
      </c>
      <c r="C188">
        <v>37</v>
      </c>
      <c r="D188" t="s">
        <v>418</v>
      </c>
      <c r="E188" t="s">
        <v>340</v>
      </c>
      <c r="F188">
        <v>46</v>
      </c>
      <c r="G188">
        <v>9</v>
      </c>
      <c r="H188">
        <v>14</v>
      </c>
      <c r="I188">
        <v>23</v>
      </c>
      <c r="J188">
        <v>2</v>
      </c>
      <c r="K188">
        <v>18</v>
      </c>
      <c r="L188">
        <v>6</v>
      </c>
      <c r="M188">
        <v>3</v>
      </c>
      <c r="N188">
        <v>0</v>
      </c>
      <c r="O188">
        <v>1</v>
      </c>
      <c r="P188">
        <v>10</v>
      </c>
      <c r="Q188">
        <v>4</v>
      </c>
      <c r="R188">
        <v>0</v>
      </c>
      <c r="S188">
        <v>66</v>
      </c>
      <c r="T188">
        <v>13.6</v>
      </c>
      <c r="U188">
        <v>121</v>
      </c>
      <c r="V188" t="s">
        <v>2764</v>
      </c>
      <c r="W188" t="s">
        <v>609</v>
      </c>
      <c r="X188">
        <v>3</v>
      </c>
      <c r="Y188">
        <v>5</v>
      </c>
      <c r="Z188">
        <v>37.5</v>
      </c>
      <c r="AA188">
        <v>18</v>
      </c>
      <c r="AB188">
        <v>61</v>
      </c>
      <c r="AC188">
        <v>9</v>
      </c>
      <c r="AD188">
        <v>27</v>
      </c>
      <c r="AE188" t="s">
        <v>60</v>
      </c>
    </row>
    <row r="189" spans="1:31" x14ac:dyDescent="0.2">
      <c r="A189">
        <v>186</v>
      </c>
      <c r="B189" t="s">
        <v>599</v>
      </c>
      <c r="C189">
        <v>40</v>
      </c>
      <c r="D189" t="s">
        <v>421</v>
      </c>
      <c r="E189" t="s">
        <v>335</v>
      </c>
      <c r="F189">
        <v>37</v>
      </c>
      <c r="G189">
        <v>10</v>
      </c>
      <c r="H189">
        <v>13</v>
      </c>
      <c r="I189">
        <v>23</v>
      </c>
      <c r="J189">
        <v>0</v>
      </c>
      <c r="K189">
        <v>36</v>
      </c>
      <c r="L189">
        <v>6</v>
      </c>
      <c r="M189">
        <v>4</v>
      </c>
      <c r="N189">
        <v>0</v>
      </c>
      <c r="O189">
        <v>0</v>
      </c>
      <c r="P189">
        <v>6</v>
      </c>
      <c r="Q189">
        <v>7</v>
      </c>
      <c r="R189">
        <v>0</v>
      </c>
      <c r="S189">
        <v>68</v>
      </c>
      <c r="T189">
        <v>14.7</v>
      </c>
      <c r="U189">
        <v>129</v>
      </c>
      <c r="V189" t="s">
        <v>2137</v>
      </c>
      <c r="W189" t="s">
        <v>1841</v>
      </c>
      <c r="X189">
        <v>5</v>
      </c>
      <c r="Y189">
        <v>13</v>
      </c>
      <c r="Z189">
        <v>27.8</v>
      </c>
      <c r="AA189">
        <v>10</v>
      </c>
      <c r="AB189">
        <v>14</v>
      </c>
      <c r="AC189">
        <v>3</v>
      </c>
      <c r="AD189">
        <v>26</v>
      </c>
      <c r="AE189" t="s">
        <v>60</v>
      </c>
    </row>
    <row r="190" spans="1:31" x14ac:dyDescent="0.2">
      <c r="A190">
        <v>187</v>
      </c>
      <c r="B190" t="s">
        <v>665</v>
      </c>
      <c r="C190">
        <v>25</v>
      </c>
      <c r="D190" t="s">
        <v>429</v>
      </c>
      <c r="E190" t="s">
        <v>349</v>
      </c>
      <c r="F190">
        <v>43</v>
      </c>
      <c r="G190">
        <v>8</v>
      </c>
      <c r="H190">
        <v>15</v>
      </c>
      <c r="I190">
        <v>23</v>
      </c>
      <c r="J190">
        <v>19</v>
      </c>
      <c r="K190">
        <v>10</v>
      </c>
      <c r="L190">
        <v>7</v>
      </c>
      <c r="M190">
        <v>0</v>
      </c>
      <c r="N190">
        <v>1</v>
      </c>
      <c r="O190">
        <v>2</v>
      </c>
      <c r="P190">
        <v>14</v>
      </c>
      <c r="Q190">
        <v>0</v>
      </c>
      <c r="R190">
        <v>1</v>
      </c>
      <c r="S190">
        <v>63</v>
      </c>
      <c r="T190">
        <v>12.7</v>
      </c>
      <c r="U190">
        <v>130</v>
      </c>
      <c r="V190" t="s">
        <v>2765</v>
      </c>
      <c r="W190" t="s">
        <v>1558</v>
      </c>
      <c r="X190">
        <v>0</v>
      </c>
      <c r="Y190">
        <v>0</v>
      </c>
      <c r="AA190">
        <v>92</v>
      </c>
      <c r="AB190">
        <v>68</v>
      </c>
      <c r="AC190">
        <v>6</v>
      </c>
      <c r="AD190">
        <v>34</v>
      </c>
      <c r="AE190" t="s">
        <v>60</v>
      </c>
    </row>
    <row r="191" spans="1:31" x14ac:dyDescent="0.2">
      <c r="A191">
        <v>188</v>
      </c>
      <c r="B191" t="s">
        <v>553</v>
      </c>
      <c r="C191">
        <v>30</v>
      </c>
      <c r="D191" t="s">
        <v>449</v>
      </c>
      <c r="E191" t="s">
        <v>335</v>
      </c>
      <c r="F191">
        <v>44</v>
      </c>
      <c r="G191">
        <v>17</v>
      </c>
      <c r="H191">
        <v>6</v>
      </c>
      <c r="I191">
        <v>23</v>
      </c>
      <c r="J191">
        <v>-12</v>
      </c>
      <c r="K191">
        <v>22</v>
      </c>
      <c r="L191">
        <v>10</v>
      </c>
      <c r="M191">
        <v>6</v>
      </c>
      <c r="N191">
        <v>1</v>
      </c>
      <c r="O191">
        <v>2</v>
      </c>
      <c r="P191">
        <v>2</v>
      </c>
      <c r="Q191">
        <v>4</v>
      </c>
      <c r="R191">
        <v>0</v>
      </c>
      <c r="S191">
        <v>109</v>
      </c>
      <c r="T191">
        <v>15.6</v>
      </c>
      <c r="U191">
        <v>231</v>
      </c>
      <c r="V191" t="s">
        <v>2031</v>
      </c>
      <c r="W191" t="s">
        <v>1672</v>
      </c>
      <c r="X191">
        <v>13</v>
      </c>
      <c r="Y191">
        <v>19</v>
      </c>
      <c r="Z191">
        <v>40.6</v>
      </c>
      <c r="AA191">
        <v>21</v>
      </c>
      <c r="AB191">
        <v>210</v>
      </c>
      <c r="AC191">
        <v>18</v>
      </c>
      <c r="AD191">
        <v>47</v>
      </c>
      <c r="AE191" t="s">
        <v>60</v>
      </c>
    </row>
    <row r="192" spans="1:31" x14ac:dyDescent="0.2">
      <c r="A192">
        <v>189</v>
      </c>
      <c r="B192" t="s">
        <v>512</v>
      </c>
      <c r="C192">
        <v>30</v>
      </c>
      <c r="D192" t="s">
        <v>344</v>
      </c>
      <c r="E192" t="s">
        <v>349</v>
      </c>
      <c r="F192">
        <v>34</v>
      </c>
      <c r="G192">
        <v>6</v>
      </c>
      <c r="H192">
        <v>17</v>
      </c>
      <c r="I192">
        <v>23</v>
      </c>
      <c r="J192">
        <v>10</v>
      </c>
      <c r="K192">
        <v>6</v>
      </c>
      <c r="L192">
        <v>5</v>
      </c>
      <c r="M192">
        <v>1</v>
      </c>
      <c r="N192">
        <v>0</v>
      </c>
      <c r="O192">
        <v>3</v>
      </c>
      <c r="P192">
        <v>14</v>
      </c>
      <c r="Q192">
        <v>3</v>
      </c>
      <c r="R192">
        <v>0</v>
      </c>
      <c r="S192">
        <v>80</v>
      </c>
      <c r="T192">
        <v>7.5</v>
      </c>
      <c r="U192">
        <v>173</v>
      </c>
      <c r="V192" t="s">
        <v>2766</v>
      </c>
      <c r="W192" t="s">
        <v>1707</v>
      </c>
      <c r="X192">
        <v>0</v>
      </c>
      <c r="Y192">
        <v>0</v>
      </c>
      <c r="AA192">
        <v>51</v>
      </c>
      <c r="AB192">
        <v>1</v>
      </c>
      <c r="AC192">
        <v>12</v>
      </c>
      <c r="AD192">
        <v>42</v>
      </c>
      <c r="AE192" t="s">
        <v>60</v>
      </c>
    </row>
    <row r="193" spans="1:31" x14ac:dyDescent="0.2">
      <c r="A193">
        <v>190</v>
      </c>
      <c r="B193" t="s">
        <v>636</v>
      </c>
      <c r="C193">
        <v>28</v>
      </c>
      <c r="D193" t="s">
        <v>406</v>
      </c>
      <c r="E193" t="s">
        <v>340</v>
      </c>
      <c r="F193">
        <v>47</v>
      </c>
      <c r="G193">
        <v>11</v>
      </c>
      <c r="H193">
        <v>11</v>
      </c>
      <c r="I193">
        <v>22</v>
      </c>
      <c r="J193">
        <v>12</v>
      </c>
      <c r="K193">
        <v>14</v>
      </c>
      <c r="L193">
        <v>10</v>
      </c>
      <c r="M193">
        <v>0</v>
      </c>
      <c r="N193">
        <v>1</v>
      </c>
      <c r="O193">
        <v>2</v>
      </c>
      <c r="P193">
        <v>11</v>
      </c>
      <c r="Q193">
        <v>0</v>
      </c>
      <c r="R193">
        <v>0</v>
      </c>
      <c r="S193">
        <v>75</v>
      </c>
      <c r="T193">
        <v>14.7</v>
      </c>
      <c r="U193">
        <v>159</v>
      </c>
      <c r="V193" t="s">
        <v>2349</v>
      </c>
      <c r="W193" t="s">
        <v>2350</v>
      </c>
      <c r="X193">
        <v>21</v>
      </c>
      <c r="Y193">
        <v>34</v>
      </c>
      <c r="Z193">
        <v>38.200000000000003</v>
      </c>
      <c r="AA193">
        <v>33</v>
      </c>
      <c r="AB193">
        <v>124</v>
      </c>
      <c r="AC193">
        <v>7</v>
      </c>
      <c r="AD193">
        <v>27</v>
      </c>
      <c r="AE193" t="s">
        <v>60</v>
      </c>
    </row>
    <row r="194" spans="1:31" x14ac:dyDescent="0.2">
      <c r="A194">
        <v>191</v>
      </c>
      <c r="B194" t="s">
        <v>612</v>
      </c>
      <c r="C194">
        <v>29</v>
      </c>
      <c r="D194" t="s">
        <v>449</v>
      </c>
      <c r="E194" t="s">
        <v>340</v>
      </c>
      <c r="F194">
        <v>45</v>
      </c>
      <c r="G194">
        <v>12</v>
      </c>
      <c r="H194">
        <v>10</v>
      </c>
      <c r="I194">
        <v>22</v>
      </c>
      <c r="J194">
        <v>-13</v>
      </c>
      <c r="K194">
        <v>4</v>
      </c>
      <c r="L194">
        <v>1</v>
      </c>
      <c r="M194">
        <v>11</v>
      </c>
      <c r="N194">
        <v>0</v>
      </c>
      <c r="O194">
        <v>0</v>
      </c>
      <c r="P194">
        <v>8</v>
      </c>
      <c r="Q194">
        <v>2</v>
      </c>
      <c r="R194">
        <v>0</v>
      </c>
      <c r="S194">
        <v>131</v>
      </c>
      <c r="T194">
        <v>9.1999999999999993</v>
      </c>
      <c r="U194">
        <v>226</v>
      </c>
      <c r="V194" t="s">
        <v>2351</v>
      </c>
      <c r="W194" t="s">
        <v>1679</v>
      </c>
      <c r="X194">
        <v>11</v>
      </c>
      <c r="Y194">
        <v>15</v>
      </c>
      <c r="Z194">
        <v>42.3</v>
      </c>
      <c r="AA194">
        <v>19</v>
      </c>
      <c r="AB194">
        <v>41</v>
      </c>
      <c r="AC194">
        <v>7</v>
      </c>
      <c r="AD194">
        <v>25</v>
      </c>
      <c r="AE194" t="s">
        <v>60</v>
      </c>
    </row>
    <row r="195" spans="1:31" x14ac:dyDescent="0.2">
      <c r="A195">
        <v>192</v>
      </c>
      <c r="B195" t="s">
        <v>583</v>
      </c>
      <c r="C195">
        <v>33</v>
      </c>
      <c r="D195" t="s">
        <v>514</v>
      </c>
      <c r="E195" t="s">
        <v>349</v>
      </c>
      <c r="F195">
        <v>47</v>
      </c>
      <c r="G195">
        <v>11</v>
      </c>
      <c r="H195">
        <v>11</v>
      </c>
      <c r="I195">
        <v>22</v>
      </c>
      <c r="J195">
        <v>-6</v>
      </c>
      <c r="K195">
        <v>28</v>
      </c>
      <c r="L195">
        <v>9</v>
      </c>
      <c r="M195">
        <v>2</v>
      </c>
      <c r="N195">
        <v>0</v>
      </c>
      <c r="O195">
        <v>3</v>
      </c>
      <c r="P195">
        <v>5</v>
      </c>
      <c r="Q195">
        <v>5</v>
      </c>
      <c r="R195">
        <v>1</v>
      </c>
      <c r="S195">
        <v>88</v>
      </c>
      <c r="T195">
        <v>12.5</v>
      </c>
      <c r="U195">
        <v>181</v>
      </c>
      <c r="V195" t="s">
        <v>2352</v>
      </c>
      <c r="W195" t="s">
        <v>2353</v>
      </c>
      <c r="X195">
        <v>0</v>
      </c>
      <c r="Y195">
        <v>0</v>
      </c>
      <c r="AA195">
        <v>89</v>
      </c>
      <c r="AB195">
        <v>40</v>
      </c>
      <c r="AC195">
        <v>15</v>
      </c>
      <c r="AD195">
        <v>42</v>
      </c>
      <c r="AE195" t="s">
        <v>60</v>
      </c>
    </row>
    <row r="196" spans="1:31" x14ac:dyDescent="0.2">
      <c r="A196">
        <v>193</v>
      </c>
      <c r="B196" t="s">
        <v>539</v>
      </c>
      <c r="C196">
        <v>26</v>
      </c>
      <c r="D196" t="s">
        <v>437</v>
      </c>
      <c r="E196" t="s">
        <v>322</v>
      </c>
      <c r="F196">
        <v>46</v>
      </c>
      <c r="G196">
        <v>9</v>
      </c>
      <c r="H196">
        <v>13</v>
      </c>
      <c r="I196">
        <v>22</v>
      </c>
      <c r="J196">
        <v>-10</v>
      </c>
      <c r="K196">
        <v>20</v>
      </c>
      <c r="L196">
        <v>6</v>
      </c>
      <c r="M196">
        <v>3</v>
      </c>
      <c r="N196">
        <v>0</v>
      </c>
      <c r="O196">
        <v>2</v>
      </c>
      <c r="P196">
        <v>7</v>
      </c>
      <c r="Q196">
        <v>6</v>
      </c>
      <c r="R196">
        <v>0</v>
      </c>
      <c r="S196">
        <v>85</v>
      </c>
      <c r="T196">
        <v>10.6</v>
      </c>
      <c r="U196">
        <v>146</v>
      </c>
      <c r="V196" t="s">
        <v>2354</v>
      </c>
      <c r="W196" t="s">
        <v>483</v>
      </c>
      <c r="X196">
        <v>316</v>
      </c>
      <c r="Y196">
        <v>265</v>
      </c>
      <c r="Z196">
        <v>54.4</v>
      </c>
      <c r="AA196">
        <v>21</v>
      </c>
      <c r="AB196">
        <v>27</v>
      </c>
      <c r="AC196">
        <v>10</v>
      </c>
      <c r="AD196">
        <v>29</v>
      </c>
      <c r="AE196" t="s">
        <v>60</v>
      </c>
    </row>
    <row r="197" spans="1:31" x14ac:dyDescent="0.2">
      <c r="A197">
        <v>194</v>
      </c>
      <c r="B197" t="s">
        <v>562</v>
      </c>
      <c r="C197">
        <v>29</v>
      </c>
      <c r="D197" t="s">
        <v>449</v>
      </c>
      <c r="E197" t="s">
        <v>335</v>
      </c>
      <c r="F197">
        <v>35</v>
      </c>
      <c r="G197">
        <v>7</v>
      </c>
      <c r="H197">
        <v>15</v>
      </c>
      <c r="I197">
        <v>22</v>
      </c>
      <c r="J197">
        <v>-13</v>
      </c>
      <c r="K197">
        <v>20</v>
      </c>
      <c r="L197">
        <v>5</v>
      </c>
      <c r="M197">
        <v>1</v>
      </c>
      <c r="N197">
        <v>1</v>
      </c>
      <c r="O197">
        <v>1</v>
      </c>
      <c r="P197">
        <v>7</v>
      </c>
      <c r="Q197">
        <v>8</v>
      </c>
      <c r="R197">
        <v>0</v>
      </c>
      <c r="S197">
        <v>80</v>
      </c>
      <c r="T197">
        <v>8.8000000000000007</v>
      </c>
      <c r="U197">
        <v>154</v>
      </c>
      <c r="V197" t="s">
        <v>2355</v>
      </c>
      <c r="W197" t="s">
        <v>2254</v>
      </c>
      <c r="X197">
        <v>6</v>
      </c>
      <c r="Y197">
        <v>15</v>
      </c>
      <c r="Z197">
        <v>28.6</v>
      </c>
      <c r="AA197">
        <v>18</v>
      </c>
      <c r="AB197">
        <v>24</v>
      </c>
      <c r="AC197">
        <v>14</v>
      </c>
      <c r="AD197">
        <v>46</v>
      </c>
      <c r="AE197" t="s">
        <v>60</v>
      </c>
    </row>
    <row r="198" spans="1:31" x14ac:dyDescent="0.2">
      <c r="A198">
        <v>195</v>
      </c>
      <c r="B198" t="s">
        <v>541</v>
      </c>
      <c r="C198">
        <v>24</v>
      </c>
      <c r="D198" t="s">
        <v>385</v>
      </c>
      <c r="E198" t="s">
        <v>340</v>
      </c>
      <c r="F198">
        <v>46</v>
      </c>
      <c r="G198">
        <v>14</v>
      </c>
      <c r="H198">
        <v>8</v>
      </c>
      <c r="I198">
        <v>22</v>
      </c>
      <c r="J198">
        <v>0</v>
      </c>
      <c r="K198">
        <v>12</v>
      </c>
      <c r="L198">
        <v>12</v>
      </c>
      <c r="M198">
        <v>2</v>
      </c>
      <c r="N198">
        <v>0</v>
      </c>
      <c r="O198">
        <v>0</v>
      </c>
      <c r="P198">
        <v>8</v>
      </c>
      <c r="Q198">
        <v>0</v>
      </c>
      <c r="R198">
        <v>0</v>
      </c>
      <c r="S198">
        <v>100</v>
      </c>
      <c r="T198">
        <v>14</v>
      </c>
      <c r="U198">
        <v>191</v>
      </c>
      <c r="V198" t="s">
        <v>2356</v>
      </c>
      <c r="W198" t="s">
        <v>529</v>
      </c>
      <c r="X198">
        <v>4</v>
      </c>
      <c r="Y198">
        <v>3</v>
      </c>
      <c r="Z198">
        <v>57.1</v>
      </c>
      <c r="AA198">
        <v>31</v>
      </c>
      <c r="AB198">
        <v>152</v>
      </c>
      <c r="AC198">
        <v>6</v>
      </c>
      <c r="AD198">
        <v>27</v>
      </c>
      <c r="AE198" t="s">
        <v>60</v>
      </c>
    </row>
    <row r="199" spans="1:31" x14ac:dyDescent="0.2">
      <c r="A199">
        <v>196</v>
      </c>
      <c r="B199" t="s">
        <v>647</v>
      </c>
      <c r="C199">
        <v>24</v>
      </c>
      <c r="D199" t="s">
        <v>421</v>
      </c>
      <c r="E199" t="s">
        <v>335</v>
      </c>
      <c r="F199">
        <v>46</v>
      </c>
      <c r="G199">
        <v>12</v>
      </c>
      <c r="H199">
        <v>10</v>
      </c>
      <c r="I199">
        <v>22</v>
      </c>
      <c r="J199">
        <v>2</v>
      </c>
      <c r="K199">
        <v>10</v>
      </c>
      <c r="L199">
        <v>10</v>
      </c>
      <c r="M199">
        <v>0</v>
      </c>
      <c r="N199">
        <v>2</v>
      </c>
      <c r="O199">
        <v>1</v>
      </c>
      <c r="P199">
        <v>9</v>
      </c>
      <c r="Q199">
        <v>1</v>
      </c>
      <c r="R199">
        <v>0</v>
      </c>
      <c r="S199">
        <v>110</v>
      </c>
      <c r="T199">
        <v>10.9</v>
      </c>
      <c r="U199">
        <v>233</v>
      </c>
      <c r="V199" t="s">
        <v>2767</v>
      </c>
      <c r="W199" t="s">
        <v>2365</v>
      </c>
      <c r="X199">
        <v>94</v>
      </c>
      <c r="Y199">
        <v>122</v>
      </c>
      <c r="Z199">
        <v>43.5</v>
      </c>
      <c r="AA199">
        <v>28</v>
      </c>
      <c r="AB199">
        <v>127</v>
      </c>
      <c r="AC199">
        <v>9</v>
      </c>
      <c r="AD199">
        <v>48</v>
      </c>
      <c r="AE199" t="s">
        <v>60</v>
      </c>
    </row>
    <row r="200" spans="1:31" x14ac:dyDescent="0.2">
      <c r="A200">
        <v>197</v>
      </c>
      <c r="B200" t="s">
        <v>591</v>
      </c>
      <c r="C200">
        <v>33</v>
      </c>
      <c r="D200" t="s">
        <v>321</v>
      </c>
      <c r="E200" t="s">
        <v>340</v>
      </c>
      <c r="F200">
        <v>41</v>
      </c>
      <c r="G200">
        <v>7</v>
      </c>
      <c r="H200">
        <v>15</v>
      </c>
      <c r="I200">
        <v>22</v>
      </c>
      <c r="J200">
        <v>18</v>
      </c>
      <c r="K200">
        <v>27</v>
      </c>
      <c r="L200">
        <v>6</v>
      </c>
      <c r="M200">
        <v>1</v>
      </c>
      <c r="N200">
        <v>0</v>
      </c>
      <c r="O200">
        <v>1</v>
      </c>
      <c r="P200">
        <v>13</v>
      </c>
      <c r="Q200">
        <v>2</v>
      </c>
      <c r="R200">
        <v>0</v>
      </c>
      <c r="S200">
        <v>87</v>
      </c>
      <c r="T200">
        <v>8</v>
      </c>
      <c r="U200">
        <v>168</v>
      </c>
      <c r="V200" t="s">
        <v>1924</v>
      </c>
      <c r="W200" t="s">
        <v>1415</v>
      </c>
      <c r="X200">
        <v>92</v>
      </c>
      <c r="Y200">
        <v>55</v>
      </c>
      <c r="Z200">
        <v>62.6</v>
      </c>
      <c r="AA200">
        <v>18</v>
      </c>
      <c r="AB200">
        <v>60</v>
      </c>
      <c r="AC200">
        <v>12</v>
      </c>
      <c r="AD200">
        <v>21</v>
      </c>
      <c r="AE200" t="s">
        <v>60</v>
      </c>
    </row>
    <row r="201" spans="1:31" x14ac:dyDescent="0.2">
      <c r="A201">
        <v>198</v>
      </c>
      <c r="B201" t="s">
        <v>551</v>
      </c>
      <c r="C201">
        <v>31</v>
      </c>
      <c r="D201" t="s">
        <v>382</v>
      </c>
      <c r="E201" t="s">
        <v>322</v>
      </c>
      <c r="F201">
        <v>42</v>
      </c>
      <c r="G201">
        <v>6</v>
      </c>
      <c r="H201">
        <v>16</v>
      </c>
      <c r="I201">
        <v>22</v>
      </c>
      <c r="J201">
        <v>-1</v>
      </c>
      <c r="K201">
        <v>8</v>
      </c>
      <c r="L201">
        <v>5</v>
      </c>
      <c r="M201">
        <v>1</v>
      </c>
      <c r="N201">
        <v>0</v>
      </c>
      <c r="O201">
        <v>2</v>
      </c>
      <c r="P201">
        <v>9</v>
      </c>
      <c r="Q201">
        <v>7</v>
      </c>
      <c r="R201">
        <v>0</v>
      </c>
      <c r="S201">
        <v>72</v>
      </c>
      <c r="T201">
        <v>8.3000000000000007</v>
      </c>
      <c r="U201">
        <v>128</v>
      </c>
      <c r="V201" t="s">
        <v>2357</v>
      </c>
      <c r="W201" t="s">
        <v>1792</v>
      </c>
      <c r="X201">
        <v>408</v>
      </c>
      <c r="Y201">
        <v>347</v>
      </c>
      <c r="Z201">
        <v>54</v>
      </c>
      <c r="AA201">
        <v>19</v>
      </c>
      <c r="AB201">
        <v>25</v>
      </c>
      <c r="AC201">
        <v>10</v>
      </c>
      <c r="AD201">
        <v>33</v>
      </c>
      <c r="AE201" t="s">
        <v>60</v>
      </c>
    </row>
    <row r="202" spans="1:31" x14ac:dyDescent="0.2">
      <c r="A202">
        <v>199</v>
      </c>
      <c r="B202" t="s">
        <v>552</v>
      </c>
      <c r="C202">
        <v>34</v>
      </c>
      <c r="D202" t="s">
        <v>324</v>
      </c>
      <c r="E202" t="s">
        <v>349</v>
      </c>
      <c r="F202">
        <v>45</v>
      </c>
      <c r="G202">
        <v>1</v>
      </c>
      <c r="H202">
        <v>21</v>
      </c>
      <c r="I202">
        <v>22</v>
      </c>
      <c r="J202">
        <v>-2</v>
      </c>
      <c r="K202">
        <v>28</v>
      </c>
      <c r="L202">
        <v>1</v>
      </c>
      <c r="M202">
        <v>0</v>
      </c>
      <c r="N202">
        <v>0</v>
      </c>
      <c r="O202">
        <v>0</v>
      </c>
      <c r="P202">
        <v>10</v>
      </c>
      <c r="Q202">
        <v>11</v>
      </c>
      <c r="R202">
        <v>0</v>
      </c>
      <c r="S202">
        <v>46</v>
      </c>
      <c r="T202">
        <v>2.2000000000000002</v>
      </c>
      <c r="U202">
        <v>119</v>
      </c>
      <c r="V202" t="s">
        <v>1783</v>
      </c>
      <c r="W202" t="s">
        <v>1799</v>
      </c>
      <c r="X202">
        <v>0</v>
      </c>
      <c r="Y202">
        <v>0</v>
      </c>
      <c r="AA202">
        <v>48</v>
      </c>
      <c r="AB202">
        <v>64</v>
      </c>
      <c r="AC202">
        <v>14</v>
      </c>
      <c r="AD202">
        <v>50</v>
      </c>
      <c r="AE202" t="s">
        <v>60</v>
      </c>
    </row>
    <row r="203" spans="1:31" x14ac:dyDescent="0.2">
      <c r="A203">
        <v>200</v>
      </c>
      <c r="B203" t="s">
        <v>664</v>
      </c>
      <c r="C203">
        <v>24</v>
      </c>
      <c r="D203" t="s">
        <v>360</v>
      </c>
      <c r="E203" t="s">
        <v>340</v>
      </c>
      <c r="F203">
        <v>43</v>
      </c>
      <c r="G203">
        <v>10</v>
      </c>
      <c r="H203">
        <v>12</v>
      </c>
      <c r="I203">
        <v>22</v>
      </c>
      <c r="J203">
        <v>0</v>
      </c>
      <c r="K203">
        <v>0</v>
      </c>
      <c r="L203">
        <v>8</v>
      </c>
      <c r="M203">
        <v>2</v>
      </c>
      <c r="N203">
        <v>0</v>
      </c>
      <c r="O203">
        <v>1</v>
      </c>
      <c r="P203">
        <v>10</v>
      </c>
      <c r="Q203">
        <v>2</v>
      </c>
      <c r="R203">
        <v>0</v>
      </c>
      <c r="S203">
        <v>72</v>
      </c>
      <c r="T203">
        <v>13.9</v>
      </c>
      <c r="U203">
        <v>124</v>
      </c>
      <c r="V203" t="s">
        <v>2138</v>
      </c>
      <c r="W203" t="s">
        <v>893</v>
      </c>
      <c r="X203">
        <v>6</v>
      </c>
      <c r="Y203">
        <v>5</v>
      </c>
      <c r="Z203">
        <v>54.5</v>
      </c>
      <c r="AA203">
        <v>22</v>
      </c>
      <c r="AB203">
        <v>47</v>
      </c>
      <c r="AC203">
        <v>13</v>
      </c>
      <c r="AD203">
        <v>39</v>
      </c>
      <c r="AE203" t="s">
        <v>60</v>
      </c>
    </row>
    <row r="204" spans="1:31" x14ac:dyDescent="0.2">
      <c r="A204">
        <v>201</v>
      </c>
      <c r="B204" t="s">
        <v>666</v>
      </c>
      <c r="C204">
        <v>22</v>
      </c>
      <c r="D204" t="s">
        <v>398</v>
      </c>
      <c r="E204" t="s">
        <v>322</v>
      </c>
      <c r="F204">
        <v>47</v>
      </c>
      <c r="G204">
        <v>10</v>
      </c>
      <c r="H204">
        <v>12</v>
      </c>
      <c r="I204">
        <v>22</v>
      </c>
      <c r="J204">
        <v>5</v>
      </c>
      <c r="K204">
        <v>23</v>
      </c>
      <c r="L204">
        <v>10</v>
      </c>
      <c r="M204">
        <v>0</v>
      </c>
      <c r="N204">
        <v>0</v>
      </c>
      <c r="O204">
        <v>1</v>
      </c>
      <c r="P204">
        <v>9</v>
      </c>
      <c r="Q204">
        <v>3</v>
      </c>
      <c r="R204">
        <v>0</v>
      </c>
      <c r="S204">
        <v>95</v>
      </c>
      <c r="T204">
        <v>10.5</v>
      </c>
      <c r="U204">
        <v>174</v>
      </c>
      <c r="V204" t="s">
        <v>2358</v>
      </c>
      <c r="W204" t="s">
        <v>2359</v>
      </c>
      <c r="X204">
        <v>241</v>
      </c>
      <c r="Y204">
        <v>314</v>
      </c>
      <c r="Z204">
        <v>43.4</v>
      </c>
      <c r="AA204">
        <v>13</v>
      </c>
      <c r="AB204">
        <v>20</v>
      </c>
      <c r="AC204">
        <v>15</v>
      </c>
      <c r="AD204">
        <v>28</v>
      </c>
      <c r="AE204" t="s">
        <v>60</v>
      </c>
    </row>
    <row r="205" spans="1:31" x14ac:dyDescent="0.2">
      <c r="A205">
        <v>202</v>
      </c>
      <c r="B205" t="s">
        <v>677</v>
      </c>
      <c r="C205">
        <v>20</v>
      </c>
      <c r="D205" t="s">
        <v>429</v>
      </c>
      <c r="E205" t="s">
        <v>340</v>
      </c>
      <c r="F205">
        <v>32</v>
      </c>
      <c r="G205">
        <v>5</v>
      </c>
      <c r="H205">
        <v>16</v>
      </c>
      <c r="I205">
        <v>21</v>
      </c>
      <c r="J205">
        <v>7</v>
      </c>
      <c r="K205">
        <v>16</v>
      </c>
      <c r="L205">
        <v>4</v>
      </c>
      <c r="M205">
        <v>1</v>
      </c>
      <c r="N205">
        <v>0</v>
      </c>
      <c r="O205">
        <v>3</v>
      </c>
      <c r="P205">
        <v>11</v>
      </c>
      <c r="Q205">
        <v>4</v>
      </c>
      <c r="R205">
        <v>1</v>
      </c>
      <c r="S205">
        <v>61</v>
      </c>
      <c r="T205">
        <v>8.1999999999999993</v>
      </c>
      <c r="U205">
        <v>100</v>
      </c>
      <c r="V205" t="s">
        <v>2768</v>
      </c>
      <c r="W205" t="s">
        <v>741</v>
      </c>
      <c r="X205">
        <v>4</v>
      </c>
      <c r="Y205">
        <v>5</v>
      </c>
      <c r="Z205">
        <v>44.4</v>
      </c>
      <c r="AA205">
        <v>12</v>
      </c>
      <c r="AB205">
        <v>15</v>
      </c>
      <c r="AC205">
        <v>11</v>
      </c>
      <c r="AD205">
        <v>24</v>
      </c>
      <c r="AE205" t="s">
        <v>60</v>
      </c>
    </row>
    <row r="206" spans="1:31" x14ac:dyDescent="0.2">
      <c r="A206">
        <v>203</v>
      </c>
      <c r="B206" t="s">
        <v>738</v>
      </c>
      <c r="C206">
        <v>30</v>
      </c>
      <c r="D206" t="s">
        <v>353</v>
      </c>
      <c r="E206" t="s">
        <v>335</v>
      </c>
      <c r="F206">
        <v>45</v>
      </c>
      <c r="G206">
        <v>6</v>
      </c>
      <c r="H206">
        <v>15</v>
      </c>
      <c r="I206">
        <v>21</v>
      </c>
      <c r="J206">
        <v>-7</v>
      </c>
      <c r="K206">
        <v>10</v>
      </c>
      <c r="L206">
        <v>1</v>
      </c>
      <c r="M206">
        <v>5</v>
      </c>
      <c r="N206">
        <v>0</v>
      </c>
      <c r="O206">
        <v>1</v>
      </c>
      <c r="P206">
        <v>10</v>
      </c>
      <c r="Q206">
        <v>5</v>
      </c>
      <c r="R206">
        <v>0</v>
      </c>
      <c r="S206">
        <v>70</v>
      </c>
      <c r="T206">
        <v>8.6</v>
      </c>
      <c r="U206">
        <v>164</v>
      </c>
      <c r="V206" t="s">
        <v>2360</v>
      </c>
      <c r="W206" t="s">
        <v>1826</v>
      </c>
      <c r="X206">
        <v>5</v>
      </c>
      <c r="Y206">
        <v>7</v>
      </c>
      <c r="Z206">
        <v>41.7</v>
      </c>
      <c r="AA206">
        <v>19</v>
      </c>
      <c r="AB206">
        <v>39</v>
      </c>
      <c r="AC206">
        <v>8</v>
      </c>
      <c r="AD206">
        <v>25</v>
      </c>
      <c r="AE206" t="s">
        <v>60</v>
      </c>
    </row>
    <row r="207" spans="1:31" x14ac:dyDescent="0.2">
      <c r="A207">
        <v>204</v>
      </c>
      <c r="B207" t="s">
        <v>533</v>
      </c>
      <c r="C207">
        <v>28</v>
      </c>
      <c r="D207" t="s">
        <v>449</v>
      </c>
      <c r="E207" t="s">
        <v>335</v>
      </c>
      <c r="F207">
        <v>44</v>
      </c>
      <c r="G207">
        <v>9</v>
      </c>
      <c r="H207">
        <v>12</v>
      </c>
      <c r="I207">
        <v>21</v>
      </c>
      <c r="J207">
        <v>-26</v>
      </c>
      <c r="K207">
        <v>6</v>
      </c>
      <c r="L207">
        <v>8</v>
      </c>
      <c r="M207">
        <v>1</v>
      </c>
      <c r="N207">
        <v>0</v>
      </c>
      <c r="O207">
        <v>2</v>
      </c>
      <c r="P207">
        <v>5</v>
      </c>
      <c r="Q207">
        <v>7</v>
      </c>
      <c r="R207">
        <v>0</v>
      </c>
      <c r="S207">
        <v>94</v>
      </c>
      <c r="T207">
        <v>9.6</v>
      </c>
      <c r="U207">
        <v>206</v>
      </c>
      <c r="V207" t="s">
        <v>2361</v>
      </c>
      <c r="W207" t="s">
        <v>2362</v>
      </c>
      <c r="X207">
        <v>44</v>
      </c>
      <c r="Y207">
        <v>58</v>
      </c>
      <c r="Z207">
        <v>43.1</v>
      </c>
      <c r="AA207">
        <v>19</v>
      </c>
      <c r="AB207">
        <v>24</v>
      </c>
      <c r="AC207">
        <v>8</v>
      </c>
      <c r="AD207">
        <v>30</v>
      </c>
      <c r="AE207" t="s">
        <v>60</v>
      </c>
    </row>
    <row r="208" spans="1:31" x14ac:dyDescent="0.2">
      <c r="A208">
        <v>205</v>
      </c>
      <c r="B208" t="s">
        <v>634</v>
      </c>
      <c r="C208">
        <v>34</v>
      </c>
      <c r="D208" t="s">
        <v>437</v>
      </c>
      <c r="E208" t="s">
        <v>322</v>
      </c>
      <c r="F208">
        <v>44</v>
      </c>
      <c r="G208">
        <v>13</v>
      </c>
      <c r="H208">
        <v>8</v>
      </c>
      <c r="I208">
        <v>21</v>
      </c>
      <c r="J208">
        <v>10</v>
      </c>
      <c r="K208">
        <v>29</v>
      </c>
      <c r="L208">
        <v>10</v>
      </c>
      <c r="M208">
        <v>0</v>
      </c>
      <c r="N208">
        <v>3</v>
      </c>
      <c r="O208">
        <v>3</v>
      </c>
      <c r="P208">
        <v>8</v>
      </c>
      <c r="Q208">
        <v>0</v>
      </c>
      <c r="R208">
        <v>0</v>
      </c>
      <c r="S208">
        <v>105</v>
      </c>
      <c r="T208">
        <v>12.4</v>
      </c>
      <c r="U208">
        <v>184</v>
      </c>
      <c r="V208" t="s">
        <v>1984</v>
      </c>
      <c r="W208" t="s">
        <v>1823</v>
      </c>
      <c r="X208">
        <v>12</v>
      </c>
      <c r="Y208">
        <v>15</v>
      </c>
      <c r="Z208">
        <v>44.4</v>
      </c>
      <c r="AA208">
        <v>29</v>
      </c>
      <c r="AB208">
        <v>110</v>
      </c>
      <c r="AC208">
        <v>15</v>
      </c>
      <c r="AD208">
        <v>41</v>
      </c>
      <c r="AE208" t="s">
        <v>60</v>
      </c>
    </row>
    <row r="209" spans="1:31" x14ac:dyDescent="0.2">
      <c r="A209">
        <v>206</v>
      </c>
      <c r="B209" t="s">
        <v>588</v>
      </c>
      <c r="C209">
        <v>32</v>
      </c>
      <c r="D209" t="s">
        <v>437</v>
      </c>
      <c r="E209" t="s">
        <v>340</v>
      </c>
      <c r="F209">
        <v>41</v>
      </c>
      <c r="G209">
        <v>8</v>
      </c>
      <c r="H209">
        <v>13</v>
      </c>
      <c r="I209">
        <v>21</v>
      </c>
      <c r="J209">
        <v>-6</v>
      </c>
      <c r="K209">
        <v>39</v>
      </c>
      <c r="L209">
        <v>6</v>
      </c>
      <c r="M209">
        <v>2</v>
      </c>
      <c r="N209">
        <v>0</v>
      </c>
      <c r="O209">
        <v>2</v>
      </c>
      <c r="P209">
        <v>10</v>
      </c>
      <c r="Q209">
        <v>3</v>
      </c>
      <c r="R209">
        <v>0</v>
      </c>
      <c r="S209">
        <v>65</v>
      </c>
      <c r="T209">
        <v>12.3</v>
      </c>
      <c r="U209">
        <v>128</v>
      </c>
      <c r="V209" t="s">
        <v>2363</v>
      </c>
      <c r="W209" t="s">
        <v>1880</v>
      </c>
      <c r="X209">
        <v>4</v>
      </c>
      <c r="Y209">
        <v>7</v>
      </c>
      <c r="Z209">
        <v>36.4</v>
      </c>
      <c r="AA209">
        <v>26</v>
      </c>
      <c r="AB209">
        <v>24</v>
      </c>
      <c r="AC209">
        <v>9</v>
      </c>
      <c r="AD209">
        <v>46</v>
      </c>
      <c r="AE209" t="s">
        <v>60</v>
      </c>
    </row>
    <row r="210" spans="1:31" x14ac:dyDescent="0.2">
      <c r="A210">
        <v>207</v>
      </c>
      <c r="B210" t="s">
        <v>564</v>
      </c>
      <c r="C210">
        <v>34</v>
      </c>
      <c r="D210" t="s">
        <v>449</v>
      </c>
      <c r="E210" t="s">
        <v>340</v>
      </c>
      <c r="F210">
        <v>45</v>
      </c>
      <c r="G210">
        <v>7</v>
      </c>
      <c r="H210">
        <v>14</v>
      </c>
      <c r="I210">
        <v>21</v>
      </c>
      <c r="J210">
        <v>-16</v>
      </c>
      <c r="K210">
        <v>55</v>
      </c>
      <c r="L210">
        <v>5</v>
      </c>
      <c r="M210">
        <v>2</v>
      </c>
      <c r="N210">
        <v>0</v>
      </c>
      <c r="O210">
        <v>1</v>
      </c>
      <c r="P210">
        <v>10</v>
      </c>
      <c r="Q210">
        <v>4</v>
      </c>
      <c r="R210">
        <v>0</v>
      </c>
      <c r="S210">
        <v>107</v>
      </c>
      <c r="T210">
        <v>6.5</v>
      </c>
      <c r="U210">
        <v>250</v>
      </c>
      <c r="V210" t="s">
        <v>2364</v>
      </c>
      <c r="W210" t="s">
        <v>2365</v>
      </c>
      <c r="X210">
        <v>14</v>
      </c>
      <c r="Y210">
        <v>25</v>
      </c>
      <c r="Z210">
        <v>35.9</v>
      </c>
      <c r="AA210">
        <v>16</v>
      </c>
      <c r="AB210">
        <v>75</v>
      </c>
      <c r="AC210">
        <v>10</v>
      </c>
      <c r="AD210">
        <v>47</v>
      </c>
      <c r="AE210" t="s">
        <v>60</v>
      </c>
    </row>
    <row r="211" spans="1:31" x14ac:dyDescent="0.2">
      <c r="A211">
        <v>208</v>
      </c>
      <c r="B211" t="s">
        <v>714</v>
      </c>
      <c r="C211">
        <v>26</v>
      </c>
      <c r="D211" t="s">
        <v>449</v>
      </c>
      <c r="E211" t="s">
        <v>322</v>
      </c>
      <c r="F211">
        <v>43</v>
      </c>
      <c r="G211">
        <v>10</v>
      </c>
      <c r="H211">
        <v>11</v>
      </c>
      <c r="I211">
        <v>21</v>
      </c>
      <c r="J211">
        <v>-5</v>
      </c>
      <c r="K211">
        <v>24</v>
      </c>
      <c r="L211">
        <v>8</v>
      </c>
      <c r="M211">
        <v>2</v>
      </c>
      <c r="N211">
        <v>0</v>
      </c>
      <c r="O211">
        <v>1</v>
      </c>
      <c r="P211">
        <v>11</v>
      </c>
      <c r="Q211">
        <v>0</v>
      </c>
      <c r="R211">
        <v>0</v>
      </c>
      <c r="S211">
        <v>60</v>
      </c>
      <c r="T211">
        <v>16.7</v>
      </c>
      <c r="U211">
        <v>115</v>
      </c>
      <c r="V211" t="s">
        <v>2366</v>
      </c>
      <c r="W211" t="s">
        <v>1772</v>
      </c>
      <c r="X211">
        <v>11</v>
      </c>
      <c r="Y211">
        <v>23</v>
      </c>
      <c r="Z211">
        <v>32.4</v>
      </c>
      <c r="AA211">
        <v>9</v>
      </c>
      <c r="AB211">
        <v>58</v>
      </c>
      <c r="AC211">
        <v>11</v>
      </c>
      <c r="AD211">
        <v>26</v>
      </c>
      <c r="AE211" t="s">
        <v>60</v>
      </c>
    </row>
    <row r="212" spans="1:31" x14ac:dyDescent="0.2">
      <c r="A212">
        <v>209</v>
      </c>
      <c r="B212" t="s">
        <v>590</v>
      </c>
      <c r="C212">
        <v>38</v>
      </c>
      <c r="D212" t="s">
        <v>421</v>
      </c>
      <c r="E212" t="s">
        <v>322</v>
      </c>
      <c r="F212">
        <v>37</v>
      </c>
      <c r="G212">
        <v>6</v>
      </c>
      <c r="H212">
        <v>15</v>
      </c>
      <c r="I212">
        <v>21</v>
      </c>
      <c r="J212">
        <v>12</v>
      </c>
      <c r="K212">
        <v>8</v>
      </c>
      <c r="L212">
        <v>3</v>
      </c>
      <c r="M212">
        <v>3</v>
      </c>
      <c r="N212">
        <v>0</v>
      </c>
      <c r="O212">
        <v>1</v>
      </c>
      <c r="P212">
        <v>11</v>
      </c>
      <c r="Q212">
        <v>4</v>
      </c>
      <c r="R212">
        <v>0</v>
      </c>
      <c r="S212">
        <v>49</v>
      </c>
      <c r="T212">
        <v>12.2</v>
      </c>
      <c r="U212">
        <v>108</v>
      </c>
      <c r="V212" t="s">
        <v>1945</v>
      </c>
      <c r="W212" t="s">
        <v>1507</v>
      </c>
      <c r="X212">
        <v>399</v>
      </c>
      <c r="Y212">
        <v>297</v>
      </c>
      <c r="Z212">
        <v>57.3</v>
      </c>
      <c r="AA212">
        <v>34</v>
      </c>
      <c r="AB212">
        <v>19</v>
      </c>
      <c r="AC212">
        <v>11</v>
      </c>
      <c r="AD212">
        <v>35</v>
      </c>
      <c r="AE212" t="s">
        <v>60</v>
      </c>
    </row>
    <row r="213" spans="1:31" x14ac:dyDescent="0.2">
      <c r="A213">
        <v>210</v>
      </c>
      <c r="B213" t="s">
        <v>592</v>
      </c>
      <c r="C213">
        <v>20</v>
      </c>
      <c r="D213" t="s">
        <v>330</v>
      </c>
      <c r="E213" t="s">
        <v>349</v>
      </c>
      <c r="F213">
        <v>44</v>
      </c>
      <c r="G213">
        <v>2</v>
      </c>
      <c r="H213">
        <v>19</v>
      </c>
      <c r="I213">
        <v>21</v>
      </c>
      <c r="J213">
        <v>-16</v>
      </c>
      <c r="K213">
        <v>28</v>
      </c>
      <c r="L213">
        <v>1</v>
      </c>
      <c r="M213">
        <v>1</v>
      </c>
      <c r="N213">
        <v>0</v>
      </c>
      <c r="O213">
        <v>0</v>
      </c>
      <c r="P213">
        <v>9</v>
      </c>
      <c r="Q213">
        <v>10</v>
      </c>
      <c r="R213">
        <v>0</v>
      </c>
      <c r="S213">
        <v>58</v>
      </c>
      <c r="T213">
        <v>3.4</v>
      </c>
      <c r="U213">
        <v>145</v>
      </c>
      <c r="V213" t="s">
        <v>2139</v>
      </c>
      <c r="W213" t="s">
        <v>440</v>
      </c>
      <c r="X213">
        <v>0</v>
      </c>
      <c r="Y213">
        <v>0</v>
      </c>
      <c r="AA213">
        <v>43</v>
      </c>
      <c r="AB213">
        <v>52</v>
      </c>
      <c r="AC213">
        <v>11</v>
      </c>
      <c r="AD213">
        <v>56</v>
      </c>
      <c r="AE213" t="s">
        <v>60</v>
      </c>
    </row>
    <row r="214" spans="1:31" x14ac:dyDescent="0.2">
      <c r="A214">
        <v>211</v>
      </c>
      <c r="B214" t="s">
        <v>594</v>
      </c>
      <c r="C214">
        <v>28</v>
      </c>
      <c r="D214" t="s">
        <v>406</v>
      </c>
      <c r="E214" t="s">
        <v>349</v>
      </c>
      <c r="F214">
        <v>47</v>
      </c>
      <c r="G214">
        <v>3</v>
      </c>
      <c r="H214">
        <v>18</v>
      </c>
      <c r="I214">
        <v>21</v>
      </c>
      <c r="J214">
        <v>25</v>
      </c>
      <c r="K214">
        <v>8</v>
      </c>
      <c r="L214">
        <v>2</v>
      </c>
      <c r="M214">
        <v>0</v>
      </c>
      <c r="N214">
        <v>1</v>
      </c>
      <c r="O214">
        <v>1</v>
      </c>
      <c r="P214">
        <v>18</v>
      </c>
      <c r="Q214">
        <v>0</v>
      </c>
      <c r="R214">
        <v>0</v>
      </c>
      <c r="S214">
        <v>38</v>
      </c>
      <c r="T214">
        <v>7.9</v>
      </c>
      <c r="U214">
        <v>113</v>
      </c>
      <c r="V214" t="s">
        <v>2367</v>
      </c>
      <c r="W214" t="s">
        <v>427</v>
      </c>
      <c r="X214">
        <v>0</v>
      </c>
      <c r="Y214">
        <v>0</v>
      </c>
      <c r="AA214">
        <v>45</v>
      </c>
      <c r="AB214">
        <v>16</v>
      </c>
      <c r="AC214">
        <v>12</v>
      </c>
      <c r="AD214">
        <v>60</v>
      </c>
      <c r="AE214" t="s">
        <v>60</v>
      </c>
    </row>
    <row r="215" spans="1:31" x14ac:dyDescent="0.2">
      <c r="A215">
        <v>212</v>
      </c>
      <c r="B215" t="s">
        <v>649</v>
      </c>
      <c r="C215">
        <v>21</v>
      </c>
      <c r="D215" t="s">
        <v>382</v>
      </c>
      <c r="E215" t="s">
        <v>349</v>
      </c>
      <c r="F215">
        <v>44</v>
      </c>
      <c r="G215">
        <v>8</v>
      </c>
      <c r="H215">
        <v>13</v>
      </c>
      <c r="I215">
        <v>21</v>
      </c>
      <c r="J215">
        <v>5</v>
      </c>
      <c r="K215">
        <v>4</v>
      </c>
      <c r="L215">
        <v>7</v>
      </c>
      <c r="M215">
        <v>1</v>
      </c>
      <c r="N215">
        <v>0</v>
      </c>
      <c r="O215">
        <v>0</v>
      </c>
      <c r="P215">
        <v>12</v>
      </c>
      <c r="Q215">
        <v>1</v>
      </c>
      <c r="R215">
        <v>0</v>
      </c>
      <c r="S215">
        <v>52</v>
      </c>
      <c r="T215">
        <v>15.4</v>
      </c>
      <c r="U215">
        <v>131</v>
      </c>
      <c r="V215" t="s">
        <v>2078</v>
      </c>
      <c r="W215" t="s">
        <v>1901</v>
      </c>
      <c r="X215">
        <v>0</v>
      </c>
      <c r="Y215">
        <v>0</v>
      </c>
      <c r="AA215">
        <v>63</v>
      </c>
      <c r="AB215">
        <v>19</v>
      </c>
      <c r="AC215">
        <v>11</v>
      </c>
      <c r="AD215">
        <v>47</v>
      </c>
      <c r="AE215" t="s">
        <v>60</v>
      </c>
    </row>
    <row r="216" spans="1:31" x14ac:dyDescent="0.2">
      <c r="A216">
        <v>213</v>
      </c>
      <c r="B216" t="s">
        <v>549</v>
      </c>
      <c r="C216">
        <v>31</v>
      </c>
      <c r="D216" t="s">
        <v>364</v>
      </c>
      <c r="E216" t="s">
        <v>349</v>
      </c>
      <c r="F216">
        <v>44</v>
      </c>
      <c r="G216">
        <v>5</v>
      </c>
      <c r="H216">
        <v>16</v>
      </c>
      <c r="I216">
        <v>21</v>
      </c>
      <c r="J216">
        <v>8</v>
      </c>
      <c r="K216">
        <v>18</v>
      </c>
      <c r="L216">
        <v>5</v>
      </c>
      <c r="M216">
        <v>0</v>
      </c>
      <c r="N216">
        <v>0</v>
      </c>
      <c r="O216">
        <v>2</v>
      </c>
      <c r="P216">
        <v>16</v>
      </c>
      <c r="Q216">
        <v>0</v>
      </c>
      <c r="R216">
        <v>0</v>
      </c>
      <c r="S216">
        <v>59</v>
      </c>
      <c r="T216">
        <v>8.5</v>
      </c>
      <c r="U216">
        <v>153</v>
      </c>
      <c r="V216" t="s">
        <v>2368</v>
      </c>
      <c r="W216" t="s">
        <v>1873</v>
      </c>
      <c r="X216">
        <v>0</v>
      </c>
      <c r="Y216">
        <v>0</v>
      </c>
      <c r="AA216">
        <v>95</v>
      </c>
      <c r="AB216">
        <v>29</v>
      </c>
      <c r="AC216">
        <v>18</v>
      </c>
      <c r="AD216">
        <v>51</v>
      </c>
      <c r="AE216" t="s">
        <v>60</v>
      </c>
    </row>
    <row r="217" spans="1:31" x14ac:dyDescent="0.2">
      <c r="A217">
        <v>214</v>
      </c>
      <c r="B217" t="s">
        <v>650</v>
      </c>
      <c r="C217">
        <v>26</v>
      </c>
      <c r="D217" t="s">
        <v>398</v>
      </c>
      <c r="E217" t="s">
        <v>349</v>
      </c>
      <c r="F217">
        <v>39</v>
      </c>
      <c r="G217">
        <v>4</v>
      </c>
      <c r="H217">
        <v>17</v>
      </c>
      <c r="I217">
        <v>21</v>
      </c>
      <c r="J217">
        <v>1</v>
      </c>
      <c r="K217">
        <v>36</v>
      </c>
      <c r="L217">
        <v>3</v>
      </c>
      <c r="M217">
        <v>1</v>
      </c>
      <c r="N217">
        <v>0</v>
      </c>
      <c r="O217">
        <v>1</v>
      </c>
      <c r="P217">
        <v>13</v>
      </c>
      <c r="Q217">
        <v>2</v>
      </c>
      <c r="R217">
        <v>2</v>
      </c>
      <c r="S217">
        <v>66</v>
      </c>
      <c r="T217">
        <v>6.1</v>
      </c>
      <c r="U217">
        <v>185</v>
      </c>
      <c r="V217" t="s">
        <v>2369</v>
      </c>
      <c r="W217" t="s">
        <v>2370</v>
      </c>
      <c r="X217">
        <v>0</v>
      </c>
      <c r="Y217">
        <v>1</v>
      </c>
      <c r="Z217">
        <v>0</v>
      </c>
      <c r="AA217">
        <v>39</v>
      </c>
      <c r="AB217">
        <v>52</v>
      </c>
      <c r="AC217">
        <v>30</v>
      </c>
      <c r="AD217">
        <v>51</v>
      </c>
      <c r="AE217" t="s">
        <v>60</v>
      </c>
    </row>
    <row r="218" spans="1:31" x14ac:dyDescent="0.2">
      <c r="A218">
        <v>215</v>
      </c>
      <c r="B218" t="s">
        <v>763</v>
      </c>
      <c r="C218">
        <v>21</v>
      </c>
      <c r="D218" t="s">
        <v>356</v>
      </c>
      <c r="E218" t="s">
        <v>322</v>
      </c>
      <c r="F218">
        <v>47</v>
      </c>
      <c r="G218">
        <v>11</v>
      </c>
      <c r="H218">
        <v>10</v>
      </c>
      <c r="I218">
        <v>21</v>
      </c>
      <c r="J218">
        <v>14</v>
      </c>
      <c r="K218">
        <v>14</v>
      </c>
      <c r="L218">
        <v>10</v>
      </c>
      <c r="M218">
        <v>1</v>
      </c>
      <c r="N218">
        <v>0</v>
      </c>
      <c r="O218">
        <v>2</v>
      </c>
      <c r="P218">
        <v>9</v>
      </c>
      <c r="Q218">
        <v>0</v>
      </c>
      <c r="R218">
        <v>1</v>
      </c>
      <c r="S218">
        <v>64</v>
      </c>
      <c r="T218">
        <v>17.2</v>
      </c>
      <c r="U218">
        <v>130</v>
      </c>
      <c r="V218" t="s">
        <v>2371</v>
      </c>
      <c r="W218" t="s">
        <v>1109</v>
      </c>
      <c r="X218">
        <v>212</v>
      </c>
      <c r="Y218">
        <v>226</v>
      </c>
      <c r="Z218">
        <v>48.4</v>
      </c>
      <c r="AA218">
        <v>32</v>
      </c>
      <c r="AB218">
        <v>93</v>
      </c>
      <c r="AC218">
        <v>16</v>
      </c>
      <c r="AD218">
        <v>20</v>
      </c>
      <c r="AE218" t="s">
        <v>60</v>
      </c>
    </row>
    <row r="219" spans="1:31" x14ac:dyDescent="0.2">
      <c r="A219">
        <v>216</v>
      </c>
      <c r="B219" t="s">
        <v>475</v>
      </c>
      <c r="C219">
        <v>22</v>
      </c>
      <c r="D219" t="s">
        <v>330</v>
      </c>
      <c r="E219" t="s">
        <v>322</v>
      </c>
      <c r="F219">
        <v>33</v>
      </c>
      <c r="G219">
        <v>6</v>
      </c>
      <c r="H219">
        <v>15</v>
      </c>
      <c r="I219">
        <v>21</v>
      </c>
      <c r="J219">
        <v>-7</v>
      </c>
      <c r="K219">
        <v>20</v>
      </c>
      <c r="L219">
        <v>4</v>
      </c>
      <c r="M219">
        <v>1</v>
      </c>
      <c r="N219">
        <v>1</v>
      </c>
      <c r="O219">
        <v>1</v>
      </c>
      <c r="P219">
        <v>10</v>
      </c>
      <c r="Q219">
        <v>5</v>
      </c>
      <c r="R219">
        <v>0</v>
      </c>
      <c r="S219">
        <v>66</v>
      </c>
      <c r="T219">
        <v>9.1</v>
      </c>
      <c r="U219">
        <v>135</v>
      </c>
      <c r="V219" t="s">
        <v>1668</v>
      </c>
      <c r="W219" t="s">
        <v>1664</v>
      </c>
      <c r="X219">
        <v>178</v>
      </c>
      <c r="Y219">
        <v>235</v>
      </c>
      <c r="Z219">
        <v>43.1</v>
      </c>
      <c r="AA219">
        <v>25</v>
      </c>
      <c r="AB219">
        <v>20</v>
      </c>
      <c r="AC219">
        <v>11</v>
      </c>
      <c r="AD219">
        <v>36</v>
      </c>
      <c r="AE219" t="s">
        <v>60</v>
      </c>
    </row>
    <row r="220" spans="1:31" x14ac:dyDescent="0.2">
      <c r="A220">
        <v>217</v>
      </c>
      <c r="B220" t="s">
        <v>620</v>
      </c>
      <c r="C220">
        <v>28</v>
      </c>
      <c r="D220" t="s">
        <v>377</v>
      </c>
      <c r="E220" t="s">
        <v>322</v>
      </c>
      <c r="F220">
        <v>45</v>
      </c>
      <c r="G220">
        <v>8</v>
      </c>
      <c r="H220">
        <v>13</v>
      </c>
      <c r="I220">
        <v>21</v>
      </c>
      <c r="J220">
        <v>-2</v>
      </c>
      <c r="K220">
        <v>16</v>
      </c>
      <c r="L220">
        <v>5</v>
      </c>
      <c r="M220">
        <v>3</v>
      </c>
      <c r="N220">
        <v>0</v>
      </c>
      <c r="O220">
        <v>1</v>
      </c>
      <c r="P220">
        <v>11</v>
      </c>
      <c r="Q220">
        <v>2</v>
      </c>
      <c r="R220">
        <v>0</v>
      </c>
      <c r="S220">
        <v>68</v>
      </c>
      <c r="T220">
        <v>11.8</v>
      </c>
      <c r="U220">
        <v>129</v>
      </c>
      <c r="V220" t="s">
        <v>2372</v>
      </c>
      <c r="W220" t="s">
        <v>2373</v>
      </c>
      <c r="X220">
        <v>62</v>
      </c>
      <c r="Y220">
        <v>87</v>
      </c>
      <c r="Z220">
        <v>41.6</v>
      </c>
      <c r="AA220">
        <v>18</v>
      </c>
      <c r="AB220">
        <v>9</v>
      </c>
      <c r="AC220">
        <v>18</v>
      </c>
      <c r="AD220">
        <v>30</v>
      </c>
      <c r="AE220" t="s">
        <v>60</v>
      </c>
    </row>
    <row r="221" spans="1:31" x14ac:dyDescent="0.2">
      <c r="A221">
        <v>218</v>
      </c>
      <c r="B221" t="s">
        <v>503</v>
      </c>
      <c r="C221">
        <v>30</v>
      </c>
      <c r="D221" t="s">
        <v>321</v>
      </c>
      <c r="E221" t="s">
        <v>335</v>
      </c>
      <c r="F221">
        <v>45</v>
      </c>
      <c r="G221">
        <v>8</v>
      </c>
      <c r="H221">
        <v>13</v>
      </c>
      <c r="I221">
        <v>21</v>
      </c>
      <c r="J221">
        <v>3</v>
      </c>
      <c r="K221">
        <v>6</v>
      </c>
      <c r="L221">
        <v>6</v>
      </c>
      <c r="M221">
        <v>2</v>
      </c>
      <c r="N221">
        <v>0</v>
      </c>
      <c r="O221">
        <v>2</v>
      </c>
      <c r="P221">
        <v>9</v>
      </c>
      <c r="Q221">
        <v>4</v>
      </c>
      <c r="R221">
        <v>0</v>
      </c>
      <c r="S221">
        <v>84</v>
      </c>
      <c r="T221">
        <v>9.5</v>
      </c>
      <c r="U221">
        <v>155</v>
      </c>
      <c r="V221" t="s">
        <v>2140</v>
      </c>
      <c r="W221" t="s">
        <v>1537</v>
      </c>
      <c r="X221">
        <v>3</v>
      </c>
      <c r="Y221">
        <v>5</v>
      </c>
      <c r="Z221">
        <v>37.5</v>
      </c>
      <c r="AA221">
        <v>10</v>
      </c>
      <c r="AB221">
        <v>7</v>
      </c>
      <c r="AC221">
        <v>9</v>
      </c>
      <c r="AD221">
        <v>34</v>
      </c>
      <c r="AE221" t="s">
        <v>60</v>
      </c>
    </row>
    <row r="222" spans="1:31" x14ac:dyDescent="0.2">
      <c r="A222">
        <v>219</v>
      </c>
      <c r="B222" t="s">
        <v>602</v>
      </c>
      <c r="C222">
        <v>32</v>
      </c>
      <c r="D222" t="s">
        <v>374</v>
      </c>
      <c r="E222" t="s">
        <v>322</v>
      </c>
      <c r="F222">
        <v>45</v>
      </c>
      <c r="G222">
        <v>9</v>
      </c>
      <c r="H222">
        <v>12</v>
      </c>
      <c r="I222">
        <v>21</v>
      </c>
      <c r="J222">
        <v>-7</v>
      </c>
      <c r="K222">
        <v>24</v>
      </c>
      <c r="L222">
        <v>8</v>
      </c>
      <c r="M222">
        <v>1</v>
      </c>
      <c r="N222">
        <v>0</v>
      </c>
      <c r="O222">
        <v>0</v>
      </c>
      <c r="P222">
        <v>10</v>
      </c>
      <c r="Q222">
        <v>2</v>
      </c>
      <c r="R222">
        <v>0</v>
      </c>
      <c r="S222">
        <v>102</v>
      </c>
      <c r="T222">
        <v>8.8000000000000007</v>
      </c>
      <c r="U222">
        <v>204</v>
      </c>
      <c r="V222" t="s">
        <v>2141</v>
      </c>
      <c r="W222" t="s">
        <v>523</v>
      </c>
      <c r="X222">
        <v>245</v>
      </c>
      <c r="Y222">
        <v>281</v>
      </c>
      <c r="Z222">
        <v>46.6</v>
      </c>
      <c r="AA222">
        <v>17</v>
      </c>
      <c r="AB222">
        <v>46</v>
      </c>
      <c r="AC222">
        <v>18</v>
      </c>
      <c r="AD222">
        <v>33</v>
      </c>
      <c r="AE222" t="s">
        <v>60</v>
      </c>
    </row>
    <row r="223" spans="1:31" x14ac:dyDescent="0.2">
      <c r="A223">
        <v>220</v>
      </c>
      <c r="B223" t="s">
        <v>530</v>
      </c>
      <c r="C223">
        <v>31</v>
      </c>
      <c r="D223" t="s">
        <v>330</v>
      </c>
      <c r="E223" t="s">
        <v>325</v>
      </c>
      <c r="F223">
        <v>45</v>
      </c>
      <c r="G223">
        <v>9</v>
      </c>
      <c r="H223">
        <v>12</v>
      </c>
      <c r="I223">
        <v>21</v>
      </c>
      <c r="J223">
        <v>-12</v>
      </c>
      <c r="K223">
        <v>4</v>
      </c>
      <c r="L223">
        <v>5</v>
      </c>
      <c r="M223">
        <v>4</v>
      </c>
      <c r="N223">
        <v>0</v>
      </c>
      <c r="O223">
        <v>1</v>
      </c>
      <c r="P223">
        <v>5</v>
      </c>
      <c r="Q223">
        <v>7</v>
      </c>
      <c r="R223">
        <v>0</v>
      </c>
      <c r="S223">
        <v>54</v>
      </c>
      <c r="T223">
        <v>16.7</v>
      </c>
      <c r="U223">
        <v>116</v>
      </c>
      <c r="V223" t="s">
        <v>2142</v>
      </c>
      <c r="W223" t="s">
        <v>1568</v>
      </c>
      <c r="X223">
        <v>36</v>
      </c>
      <c r="Y223">
        <v>41</v>
      </c>
      <c r="Z223">
        <v>46.8</v>
      </c>
      <c r="AA223">
        <v>27</v>
      </c>
      <c r="AB223">
        <v>17</v>
      </c>
      <c r="AC223">
        <v>17</v>
      </c>
      <c r="AD223">
        <v>42</v>
      </c>
      <c r="AE223" t="s">
        <v>60</v>
      </c>
    </row>
    <row r="224" spans="1:31" x14ac:dyDescent="0.2">
      <c r="A224">
        <v>221</v>
      </c>
      <c r="B224" t="s">
        <v>672</v>
      </c>
      <c r="C224">
        <v>38</v>
      </c>
      <c r="D224" t="s">
        <v>358</v>
      </c>
      <c r="E224" t="s">
        <v>340</v>
      </c>
      <c r="F224">
        <v>27</v>
      </c>
      <c r="G224">
        <v>5</v>
      </c>
      <c r="H224">
        <v>16</v>
      </c>
      <c r="I224">
        <v>21</v>
      </c>
      <c r="J224">
        <v>-5</v>
      </c>
      <c r="K224">
        <v>6</v>
      </c>
      <c r="L224">
        <v>3</v>
      </c>
      <c r="M224">
        <v>2</v>
      </c>
      <c r="N224">
        <v>0</v>
      </c>
      <c r="O224">
        <v>1</v>
      </c>
      <c r="P224">
        <v>12</v>
      </c>
      <c r="Q224">
        <v>4</v>
      </c>
      <c r="R224">
        <v>0</v>
      </c>
      <c r="S224">
        <v>52</v>
      </c>
      <c r="T224">
        <v>9.6</v>
      </c>
      <c r="U224">
        <v>108</v>
      </c>
      <c r="V224" t="s">
        <v>2143</v>
      </c>
      <c r="W224" t="s">
        <v>1540</v>
      </c>
      <c r="X224">
        <v>11</v>
      </c>
      <c r="Y224">
        <v>13</v>
      </c>
      <c r="Z224">
        <v>45.8</v>
      </c>
      <c r="AA224">
        <v>14</v>
      </c>
      <c r="AB224">
        <v>11</v>
      </c>
      <c r="AC224">
        <v>7</v>
      </c>
      <c r="AD224">
        <v>30</v>
      </c>
      <c r="AE224" t="s">
        <v>60</v>
      </c>
    </row>
    <row r="225" spans="1:31" x14ac:dyDescent="0.2">
      <c r="A225">
        <v>222</v>
      </c>
      <c r="B225" t="s">
        <v>632</v>
      </c>
      <c r="C225">
        <v>27</v>
      </c>
      <c r="D225" t="s">
        <v>377</v>
      </c>
      <c r="E225" t="s">
        <v>325</v>
      </c>
      <c r="F225">
        <v>31</v>
      </c>
      <c r="G225">
        <v>12</v>
      </c>
      <c r="H225">
        <v>8</v>
      </c>
      <c r="I225">
        <v>20</v>
      </c>
      <c r="J225">
        <v>1</v>
      </c>
      <c r="K225">
        <v>10</v>
      </c>
      <c r="L225">
        <v>10</v>
      </c>
      <c r="M225">
        <v>2</v>
      </c>
      <c r="N225">
        <v>0</v>
      </c>
      <c r="O225">
        <v>3</v>
      </c>
      <c r="P225">
        <v>7</v>
      </c>
      <c r="Q225">
        <v>1</v>
      </c>
      <c r="R225">
        <v>0</v>
      </c>
      <c r="S225">
        <v>56</v>
      </c>
      <c r="T225">
        <v>21.4</v>
      </c>
      <c r="U225">
        <v>95</v>
      </c>
      <c r="V225" t="s">
        <v>2375</v>
      </c>
      <c r="W225" t="s">
        <v>1802</v>
      </c>
      <c r="X225">
        <v>0</v>
      </c>
      <c r="Y225">
        <v>2</v>
      </c>
      <c r="Z225">
        <v>0</v>
      </c>
      <c r="AA225">
        <v>20</v>
      </c>
      <c r="AB225">
        <v>42</v>
      </c>
      <c r="AC225">
        <v>9</v>
      </c>
      <c r="AD225">
        <v>20</v>
      </c>
      <c r="AE225" t="s">
        <v>60</v>
      </c>
    </row>
    <row r="226" spans="1:31" x14ac:dyDescent="0.2">
      <c r="A226">
        <v>223</v>
      </c>
      <c r="B226" t="s">
        <v>633</v>
      </c>
      <c r="C226">
        <v>24</v>
      </c>
      <c r="D226" t="s">
        <v>408</v>
      </c>
      <c r="E226" t="s">
        <v>335</v>
      </c>
      <c r="F226">
        <v>41</v>
      </c>
      <c r="G226">
        <v>11</v>
      </c>
      <c r="H226">
        <v>9</v>
      </c>
      <c r="I226">
        <v>20</v>
      </c>
      <c r="J226">
        <v>-1</v>
      </c>
      <c r="K226">
        <v>20</v>
      </c>
      <c r="L226">
        <v>9</v>
      </c>
      <c r="M226">
        <v>2</v>
      </c>
      <c r="N226">
        <v>0</v>
      </c>
      <c r="O226">
        <v>3</v>
      </c>
      <c r="P226">
        <v>7</v>
      </c>
      <c r="Q226">
        <v>2</v>
      </c>
      <c r="R226">
        <v>0</v>
      </c>
      <c r="S226">
        <v>71</v>
      </c>
      <c r="T226">
        <v>15.5</v>
      </c>
      <c r="U226">
        <v>120</v>
      </c>
      <c r="V226" t="s">
        <v>1946</v>
      </c>
      <c r="W226" t="s">
        <v>1407</v>
      </c>
      <c r="X226">
        <v>12</v>
      </c>
      <c r="Y226">
        <v>26</v>
      </c>
      <c r="Z226">
        <v>31.6</v>
      </c>
      <c r="AA226">
        <v>23</v>
      </c>
      <c r="AB226">
        <v>52</v>
      </c>
      <c r="AC226">
        <v>5</v>
      </c>
      <c r="AD226">
        <v>19</v>
      </c>
      <c r="AE226" t="s">
        <v>60</v>
      </c>
    </row>
    <row r="227" spans="1:31" x14ac:dyDescent="0.2">
      <c r="A227">
        <v>224</v>
      </c>
      <c r="B227" t="s">
        <v>579</v>
      </c>
      <c r="C227">
        <v>29</v>
      </c>
      <c r="D227" t="s">
        <v>321</v>
      </c>
      <c r="E227" t="s">
        <v>322</v>
      </c>
      <c r="F227">
        <v>45</v>
      </c>
      <c r="G227">
        <v>5</v>
      </c>
      <c r="H227">
        <v>15</v>
      </c>
      <c r="I227">
        <v>20</v>
      </c>
      <c r="J227">
        <v>13</v>
      </c>
      <c r="K227">
        <v>9</v>
      </c>
      <c r="L227">
        <v>5</v>
      </c>
      <c r="M227">
        <v>0</v>
      </c>
      <c r="N227">
        <v>0</v>
      </c>
      <c r="O227">
        <v>2</v>
      </c>
      <c r="P227">
        <v>15</v>
      </c>
      <c r="Q227">
        <v>0</v>
      </c>
      <c r="R227">
        <v>0</v>
      </c>
      <c r="S227">
        <v>100</v>
      </c>
      <c r="T227">
        <v>5</v>
      </c>
      <c r="U227">
        <v>181</v>
      </c>
      <c r="V227" t="s">
        <v>2144</v>
      </c>
      <c r="W227" t="s">
        <v>1710</v>
      </c>
      <c r="X227">
        <v>35</v>
      </c>
      <c r="Y227">
        <v>40</v>
      </c>
      <c r="Z227">
        <v>46.7</v>
      </c>
      <c r="AA227">
        <v>19</v>
      </c>
      <c r="AB227">
        <v>98</v>
      </c>
      <c r="AC227">
        <v>9</v>
      </c>
      <c r="AD227">
        <v>36</v>
      </c>
      <c r="AE227" t="s">
        <v>60</v>
      </c>
    </row>
    <row r="228" spans="1:31" x14ac:dyDescent="0.2">
      <c r="A228">
        <v>225</v>
      </c>
      <c r="B228" t="s">
        <v>680</v>
      </c>
      <c r="C228">
        <v>30</v>
      </c>
      <c r="D228" t="s">
        <v>360</v>
      </c>
      <c r="E228" t="s">
        <v>340</v>
      </c>
      <c r="F228">
        <v>44</v>
      </c>
      <c r="G228">
        <v>5</v>
      </c>
      <c r="H228">
        <v>15</v>
      </c>
      <c r="I228">
        <v>20</v>
      </c>
      <c r="J228">
        <v>-13</v>
      </c>
      <c r="K228">
        <v>32</v>
      </c>
      <c r="L228">
        <v>5</v>
      </c>
      <c r="M228">
        <v>0</v>
      </c>
      <c r="N228">
        <v>0</v>
      </c>
      <c r="O228">
        <v>2</v>
      </c>
      <c r="P228">
        <v>11</v>
      </c>
      <c r="Q228">
        <v>4</v>
      </c>
      <c r="R228">
        <v>0</v>
      </c>
      <c r="S228">
        <v>68</v>
      </c>
      <c r="T228">
        <v>7.4</v>
      </c>
      <c r="U228">
        <v>127</v>
      </c>
      <c r="V228" t="s">
        <v>2376</v>
      </c>
      <c r="W228" t="s">
        <v>2377</v>
      </c>
      <c r="X228">
        <v>101</v>
      </c>
      <c r="Y228">
        <v>94</v>
      </c>
      <c r="Z228">
        <v>51.8</v>
      </c>
      <c r="AA228">
        <v>20</v>
      </c>
      <c r="AB228">
        <v>24</v>
      </c>
      <c r="AC228">
        <v>11</v>
      </c>
      <c r="AD228">
        <v>54</v>
      </c>
      <c r="AE228" t="s">
        <v>60</v>
      </c>
    </row>
    <row r="229" spans="1:31" x14ac:dyDescent="0.2">
      <c r="A229">
        <v>226</v>
      </c>
      <c r="B229" t="s">
        <v>560</v>
      </c>
      <c r="C229">
        <v>30</v>
      </c>
      <c r="D229" t="s">
        <v>385</v>
      </c>
      <c r="E229" t="s">
        <v>340</v>
      </c>
      <c r="F229">
        <v>40</v>
      </c>
      <c r="G229">
        <v>3</v>
      </c>
      <c r="H229">
        <v>17</v>
      </c>
      <c r="I229">
        <v>20</v>
      </c>
      <c r="J229">
        <v>2</v>
      </c>
      <c r="K229">
        <v>17</v>
      </c>
      <c r="L229">
        <v>3</v>
      </c>
      <c r="M229">
        <v>0</v>
      </c>
      <c r="N229">
        <v>0</v>
      </c>
      <c r="O229">
        <v>0</v>
      </c>
      <c r="P229">
        <v>13</v>
      </c>
      <c r="Q229">
        <v>4</v>
      </c>
      <c r="R229">
        <v>0</v>
      </c>
      <c r="S229">
        <v>52</v>
      </c>
      <c r="T229">
        <v>5.8</v>
      </c>
      <c r="U229">
        <v>108</v>
      </c>
      <c r="V229" t="s">
        <v>2378</v>
      </c>
      <c r="W229" t="s">
        <v>2312</v>
      </c>
      <c r="X229">
        <v>75</v>
      </c>
      <c r="Y229">
        <v>67</v>
      </c>
      <c r="Z229">
        <v>52.8</v>
      </c>
      <c r="AA229">
        <v>14</v>
      </c>
      <c r="AB229">
        <v>10</v>
      </c>
      <c r="AC229">
        <v>8</v>
      </c>
      <c r="AD229">
        <v>25</v>
      </c>
      <c r="AE229" t="s">
        <v>60</v>
      </c>
    </row>
    <row r="230" spans="1:31" x14ac:dyDescent="0.2">
      <c r="A230">
        <v>227</v>
      </c>
      <c r="B230" t="s">
        <v>829</v>
      </c>
      <c r="C230">
        <v>23</v>
      </c>
      <c r="D230" t="s">
        <v>356</v>
      </c>
      <c r="E230" t="s">
        <v>322</v>
      </c>
      <c r="F230">
        <v>42</v>
      </c>
      <c r="G230">
        <v>9</v>
      </c>
      <c r="H230">
        <v>11</v>
      </c>
      <c r="I230">
        <v>20</v>
      </c>
      <c r="J230">
        <v>4</v>
      </c>
      <c r="K230">
        <v>10</v>
      </c>
      <c r="L230">
        <v>9</v>
      </c>
      <c r="M230">
        <v>0</v>
      </c>
      <c r="N230">
        <v>0</v>
      </c>
      <c r="O230">
        <v>1</v>
      </c>
      <c r="P230">
        <v>10</v>
      </c>
      <c r="Q230">
        <v>1</v>
      </c>
      <c r="R230">
        <v>0</v>
      </c>
      <c r="S230">
        <v>44</v>
      </c>
      <c r="T230">
        <v>20.5</v>
      </c>
      <c r="U230">
        <v>83</v>
      </c>
      <c r="V230" t="s">
        <v>2379</v>
      </c>
      <c r="W230" t="s">
        <v>885</v>
      </c>
      <c r="X230">
        <v>35</v>
      </c>
      <c r="Y230">
        <v>38</v>
      </c>
      <c r="Z230">
        <v>47.9</v>
      </c>
      <c r="AA230">
        <v>20</v>
      </c>
      <c r="AB230">
        <v>20</v>
      </c>
      <c r="AC230">
        <v>13</v>
      </c>
      <c r="AD230">
        <v>28</v>
      </c>
      <c r="AE230" t="s">
        <v>60</v>
      </c>
    </row>
    <row r="231" spans="1:31" x14ac:dyDescent="0.2">
      <c r="A231">
        <v>228</v>
      </c>
      <c r="B231" t="s">
        <v>716</v>
      </c>
      <c r="C231">
        <v>31</v>
      </c>
      <c r="D231" t="s">
        <v>334</v>
      </c>
      <c r="E231" t="s">
        <v>349</v>
      </c>
      <c r="F231">
        <v>47</v>
      </c>
      <c r="G231">
        <v>4</v>
      </c>
      <c r="H231">
        <v>16</v>
      </c>
      <c r="I231">
        <v>20</v>
      </c>
      <c r="J231">
        <v>23</v>
      </c>
      <c r="K231">
        <v>12</v>
      </c>
      <c r="L231">
        <v>4</v>
      </c>
      <c r="M231">
        <v>0</v>
      </c>
      <c r="N231">
        <v>0</v>
      </c>
      <c r="O231">
        <v>0</v>
      </c>
      <c r="P231">
        <v>14</v>
      </c>
      <c r="Q231">
        <v>0</v>
      </c>
      <c r="R231">
        <v>2</v>
      </c>
      <c r="S231">
        <v>42</v>
      </c>
      <c r="T231">
        <v>9.5</v>
      </c>
      <c r="U231">
        <v>105</v>
      </c>
      <c r="V231" t="s">
        <v>2380</v>
      </c>
      <c r="W231" t="s">
        <v>2381</v>
      </c>
      <c r="X231">
        <v>0</v>
      </c>
      <c r="Y231">
        <v>0</v>
      </c>
      <c r="AA231">
        <v>99</v>
      </c>
      <c r="AB231">
        <v>20</v>
      </c>
      <c r="AC231">
        <v>22</v>
      </c>
      <c r="AD231">
        <v>74</v>
      </c>
      <c r="AE231" t="s">
        <v>60</v>
      </c>
    </row>
    <row r="232" spans="1:31" x14ac:dyDescent="0.2">
      <c r="A232">
        <v>229</v>
      </c>
      <c r="B232" t="s">
        <v>651</v>
      </c>
      <c r="C232">
        <v>27</v>
      </c>
      <c r="D232" t="s">
        <v>356</v>
      </c>
      <c r="E232" t="s">
        <v>322</v>
      </c>
      <c r="F232">
        <v>37</v>
      </c>
      <c r="G232">
        <v>10</v>
      </c>
      <c r="H232">
        <v>10</v>
      </c>
      <c r="I232">
        <v>20</v>
      </c>
      <c r="J232">
        <v>-1</v>
      </c>
      <c r="K232">
        <v>4</v>
      </c>
      <c r="L232">
        <v>9</v>
      </c>
      <c r="M232">
        <v>1</v>
      </c>
      <c r="N232">
        <v>0</v>
      </c>
      <c r="O232">
        <v>0</v>
      </c>
      <c r="P232">
        <v>8</v>
      </c>
      <c r="Q232">
        <v>2</v>
      </c>
      <c r="R232">
        <v>0</v>
      </c>
      <c r="S232">
        <v>44</v>
      </c>
      <c r="T232">
        <v>22.7</v>
      </c>
      <c r="U232">
        <v>84</v>
      </c>
      <c r="V232" t="s">
        <v>2382</v>
      </c>
      <c r="W232" t="s">
        <v>2383</v>
      </c>
      <c r="X232">
        <v>77</v>
      </c>
      <c r="Y232">
        <v>61</v>
      </c>
      <c r="Z232">
        <v>55.8</v>
      </c>
      <c r="AA232">
        <v>13</v>
      </c>
      <c r="AB232">
        <v>10</v>
      </c>
      <c r="AC232">
        <v>4</v>
      </c>
      <c r="AD232">
        <v>42</v>
      </c>
      <c r="AE232" t="s">
        <v>60</v>
      </c>
    </row>
    <row r="233" spans="1:31" x14ac:dyDescent="0.2">
      <c r="A233">
        <v>230</v>
      </c>
      <c r="B233" t="s">
        <v>662</v>
      </c>
      <c r="C233">
        <v>24</v>
      </c>
      <c r="D233" t="s">
        <v>328</v>
      </c>
      <c r="E233" t="s">
        <v>335</v>
      </c>
      <c r="F233">
        <v>47</v>
      </c>
      <c r="G233">
        <v>10</v>
      </c>
      <c r="H233">
        <v>10</v>
      </c>
      <c r="I233">
        <v>20</v>
      </c>
      <c r="J233">
        <v>9</v>
      </c>
      <c r="K233">
        <v>25</v>
      </c>
      <c r="L233">
        <v>10</v>
      </c>
      <c r="M233">
        <v>0</v>
      </c>
      <c r="N233">
        <v>0</v>
      </c>
      <c r="O233">
        <v>4</v>
      </c>
      <c r="P233">
        <v>10</v>
      </c>
      <c r="Q233">
        <v>0</v>
      </c>
      <c r="R233">
        <v>0</v>
      </c>
      <c r="S233">
        <v>67</v>
      </c>
      <c r="T233">
        <v>14.9</v>
      </c>
      <c r="U233">
        <v>113</v>
      </c>
      <c r="V233" t="s">
        <v>2384</v>
      </c>
      <c r="W233" t="s">
        <v>1542</v>
      </c>
      <c r="X233">
        <v>12</v>
      </c>
      <c r="Y233">
        <v>28</v>
      </c>
      <c r="Z233">
        <v>30</v>
      </c>
      <c r="AA233">
        <v>25</v>
      </c>
      <c r="AB233">
        <v>140</v>
      </c>
      <c r="AC233">
        <v>7</v>
      </c>
      <c r="AD233">
        <v>28</v>
      </c>
      <c r="AE233" t="s">
        <v>60</v>
      </c>
    </row>
    <row r="234" spans="1:31" x14ac:dyDescent="0.2">
      <c r="A234">
        <v>231</v>
      </c>
      <c r="B234" t="s">
        <v>601</v>
      </c>
      <c r="C234">
        <v>31</v>
      </c>
      <c r="D234" t="s">
        <v>385</v>
      </c>
      <c r="E234" t="s">
        <v>349</v>
      </c>
      <c r="F234">
        <v>46</v>
      </c>
      <c r="G234">
        <v>1</v>
      </c>
      <c r="H234">
        <v>19</v>
      </c>
      <c r="I234">
        <v>20</v>
      </c>
      <c r="J234">
        <v>9</v>
      </c>
      <c r="K234">
        <v>6</v>
      </c>
      <c r="L234">
        <v>1</v>
      </c>
      <c r="M234">
        <v>0</v>
      </c>
      <c r="N234">
        <v>0</v>
      </c>
      <c r="O234">
        <v>0</v>
      </c>
      <c r="P234">
        <v>17</v>
      </c>
      <c r="Q234">
        <v>1</v>
      </c>
      <c r="R234">
        <v>1</v>
      </c>
      <c r="S234">
        <v>56</v>
      </c>
      <c r="T234">
        <v>1.8</v>
      </c>
      <c r="U234">
        <v>134</v>
      </c>
      <c r="V234" t="s">
        <v>2385</v>
      </c>
      <c r="W234" t="s">
        <v>1921</v>
      </c>
      <c r="X234">
        <v>0</v>
      </c>
      <c r="Y234">
        <v>0</v>
      </c>
      <c r="AA234">
        <v>88</v>
      </c>
      <c r="AB234">
        <v>33</v>
      </c>
      <c r="AC234">
        <v>20</v>
      </c>
      <c r="AD234">
        <v>55</v>
      </c>
      <c r="AE234" t="s">
        <v>60</v>
      </c>
    </row>
    <row r="235" spans="1:31" x14ac:dyDescent="0.2">
      <c r="A235">
        <v>232</v>
      </c>
      <c r="B235" t="s">
        <v>511</v>
      </c>
      <c r="C235">
        <v>29</v>
      </c>
      <c r="D235" t="s">
        <v>328</v>
      </c>
      <c r="E235" t="s">
        <v>322</v>
      </c>
      <c r="F235">
        <v>34</v>
      </c>
      <c r="G235">
        <v>12</v>
      </c>
      <c r="H235">
        <v>8</v>
      </c>
      <c r="I235">
        <v>20</v>
      </c>
      <c r="J235">
        <v>-6</v>
      </c>
      <c r="K235">
        <v>10</v>
      </c>
      <c r="L235">
        <v>9</v>
      </c>
      <c r="M235">
        <v>3</v>
      </c>
      <c r="N235">
        <v>0</v>
      </c>
      <c r="O235">
        <v>3</v>
      </c>
      <c r="P235">
        <v>6</v>
      </c>
      <c r="Q235">
        <v>2</v>
      </c>
      <c r="R235">
        <v>0</v>
      </c>
      <c r="S235">
        <v>74</v>
      </c>
      <c r="T235">
        <v>16.2</v>
      </c>
      <c r="U235">
        <v>130</v>
      </c>
      <c r="V235" t="s">
        <v>2386</v>
      </c>
      <c r="W235" t="s">
        <v>948</v>
      </c>
      <c r="X235">
        <v>50</v>
      </c>
      <c r="Y235">
        <v>42</v>
      </c>
      <c r="Z235">
        <v>54.3</v>
      </c>
      <c r="AA235">
        <v>13</v>
      </c>
      <c r="AB235">
        <v>15</v>
      </c>
      <c r="AC235">
        <v>8</v>
      </c>
      <c r="AD235">
        <v>35</v>
      </c>
      <c r="AE235" t="s">
        <v>60</v>
      </c>
    </row>
    <row r="236" spans="1:31" x14ac:dyDescent="0.2">
      <c r="A236">
        <v>233</v>
      </c>
      <c r="B236" t="s">
        <v>626</v>
      </c>
      <c r="C236">
        <v>22</v>
      </c>
      <c r="D236" t="s">
        <v>382</v>
      </c>
      <c r="E236" t="s">
        <v>322</v>
      </c>
      <c r="F236">
        <v>45</v>
      </c>
      <c r="G236">
        <v>5</v>
      </c>
      <c r="H236">
        <v>15</v>
      </c>
      <c r="I236">
        <v>20</v>
      </c>
      <c r="J236">
        <v>-3</v>
      </c>
      <c r="K236">
        <v>18</v>
      </c>
      <c r="L236">
        <v>5</v>
      </c>
      <c r="M236">
        <v>0</v>
      </c>
      <c r="N236">
        <v>0</v>
      </c>
      <c r="O236">
        <v>1</v>
      </c>
      <c r="P236">
        <v>14</v>
      </c>
      <c r="Q236">
        <v>1</v>
      </c>
      <c r="R236">
        <v>0</v>
      </c>
      <c r="S236">
        <v>83</v>
      </c>
      <c r="T236">
        <v>6</v>
      </c>
      <c r="U236">
        <v>145</v>
      </c>
      <c r="V236" t="s">
        <v>2387</v>
      </c>
      <c r="W236" t="s">
        <v>1667</v>
      </c>
      <c r="X236">
        <v>37</v>
      </c>
      <c r="Y236">
        <v>57</v>
      </c>
      <c r="Z236">
        <v>39.4</v>
      </c>
      <c r="AA236">
        <v>21</v>
      </c>
      <c r="AB236">
        <v>54</v>
      </c>
      <c r="AC236">
        <v>19</v>
      </c>
      <c r="AD236">
        <v>42</v>
      </c>
      <c r="AE236" t="s">
        <v>60</v>
      </c>
    </row>
    <row r="237" spans="1:31" x14ac:dyDescent="0.2">
      <c r="A237">
        <v>234</v>
      </c>
      <c r="B237" t="s">
        <v>729</v>
      </c>
      <c r="C237">
        <v>34</v>
      </c>
      <c r="D237" t="s">
        <v>358</v>
      </c>
      <c r="E237" t="s">
        <v>335</v>
      </c>
      <c r="F237">
        <v>40</v>
      </c>
      <c r="G237">
        <v>8</v>
      </c>
      <c r="H237">
        <v>12</v>
      </c>
      <c r="I237">
        <v>20</v>
      </c>
      <c r="J237">
        <v>-6</v>
      </c>
      <c r="K237">
        <v>6</v>
      </c>
      <c r="L237">
        <v>7</v>
      </c>
      <c r="M237">
        <v>1</v>
      </c>
      <c r="N237">
        <v>0</v>
      </c>
      <c r="O237">
        <v>1</v>
      </c>
      <c r="P237">
        <v>6</v>
      </c>
      <c r="Q237">
        <v>6</v>
      </c>
      <c r="R237">
        <v>0</v>
      </c>
      <c r="S237">
        <v>71</v>
      </c>
      <c r="T237">
        <v>11.3</v>
      </c>
      <c r="U237">
        <v>145</v>
      </c>
      <c r="V237" t="s">
        <v>2145</v>
      </c>
      <c r="W237" t="s">
        <v>1838</v>
      </c>
      <c r="X237">
        <v>5</v>
      </c>
      <c r="Y237">
        <v>4</v>
      </c>
      <c r="Z237">
        <v>55.6</v>
      </c>
      <c r="AA237">
        <v>16</v>
      </c>
      <c r="AB237">
        <v>32</v>
      </c>
      <c r="AC237">
        <v>8</v>
      </c>
      <c r="AD237">
        <v>32</v>
      </c>
      <c r="AE237" t="s">
        <v>60</v>
      </c>
    </row>
    <row r="238" spans="1:31" x14ac:dyDescent="0.2">
      <c r="A238">
        <v>235</v>
      </c>
      <c r="B238" t="s">
        <v>734</v>
      </c>
      <c r="C238">
        <v>26</v>
      </c>
      <c r="D238" t="s">
        <v>418</v>
      </c>
      <c r="E238" t="s">
        <v>58</v>
      </c>
      <c r="F238">
        <v>46</v>
      </c>
      <c r="G238">
        <v>11</v>
      </c>
      <c r="H238">
        <v>9</v>
      </c>
      <c r="I238">
        <v>20</v>
      </c>
      <c r="J238">
        <v>-5</v>
      </c>
      <c r="K238">
        <v>10</v>
      </c>
      <c r="L238">
        <v>7</v>
      </c>
      <c r="M238">
        <v>4</v>
      </c>
      <c r="N238">
        <v>0</v>
      </c>
      <c r="O238">
        <v>2</v>
      </c>
      <c r="P238">
        <v>8</v>
      </c>
      <c r="Q238">
        <v>1</v>
      </c>
      <c r="R238">
        <v>0</v>
      </c>
      <c r="S238">
        <v>80</v>
      </c>
      <c r="T238">
        <v>13.8</v>
      </c>
      <c r="U238">
        <v>162</v>
      </c>
      <c r="V238" t="s">
        <v>2769</v>
      </c>
      <c r="W238" t="s">
        <v>1897</v>
      </c>
      <c r="X238">
        <v>2</v>
      </c>
      <c r="Y238">
        <v>5</v>
      </c>
      <c r="Z238">
        <v>28.6</v>
      </c>
      <c r="AA238">
        <v>21</v>
      </c>
      <c r="AB238">
        <v>86</v>
      </c>
      <c r="AC238">
        <v>9</v>
      </c>
      <c r="AD238">
        <v>24</v>
      </c>
      <c r="AE238" t="s">
        <v>60</v>
      </c>
    </row>
    <row r="239" spans="1:31" x14ac:dyDescent="0.2">
      <c r="A239">
        <v>236</v>
      </c>
      <c r="B239" t="s">
        <v>557</v>
      </c>
      <c r="C239">
        <v>34</v>
      </c>
      <c r="D239" t="s">
        <v>429</v>
      </c>
      <c r="E239" t="s">
        <v>340</v>
      </c>
      <c r="F239">
        <v>26</v>
      </c>
      <c r="G239">
        <v>10</v>
      </c>
      <c r="H239">
        <v>10</v>
      </c>
      <c r="I239">
        <v>20</v>
      </c>
      <c r="J239">
        <v>-9</v>
      </c>
      <c r="K239">
        <v>10</v>
      </c>
      <c r="L239">
        <v>4</v>
      </c>
      <c r="M239">
        <v>6</v>
      </c>
      <c r="N239">
        <v>0</v>
      </c>
      <c r="O239">
        <v>2</v>
      </c>
      <c r="P239">
        <v>6</v>
      </c>
      <c r="Q239">
        <v>4</v>
      </c>
      <c r="R239">
        <v>0</v>
      </c>
      <c r="S239">
        <v>56</v>
      </c>
      <c r="T239">
        <v>17.899999999999999</v>
      </c>
      <c r="U239">
        <v>97</v>
      </c>
      <c r="V239" t="s">
        <v>2770</v>
      </c>
      <c r="W239" t="s">
        <v>1737</v>
      </c>
      <c r="X239">
        <v>20</v>
      </c>
      <c r="Y239">
        <v>40</v>
      </c>
      <c r="Z239">
        <v>33.299999999999997</v>
      </c>
      <c r="AA239">
        <v>4</v>
      </c>
      <c r="AB239">
        <v>26</v>
      </c>
      <c r="AC239">
        <v>3</v>
      </c>
      <c r="AD239">
        <v>24</v>
      </c>
      <c r="AE239" t="s">
        <v>60</v>
      </c>
    </row>
    <row r="240" spans="1:31" x14ac:dyDescent="0.2">
      <c r="A240">
        <v>237</v>
      </c>
      <c r="B240" t="s">
        <v>684</v>
      </c>
      <c r="C240">
        <v>30</v>
      </c>
      <c r="D240" t="s">
        <v>957</v>
      </c>
      <c r="E240" t="s">
        <v>325</v>
      </c>
      <c r="F240">
        <v>36</v>
      </c>
      <c r="G240">
        <v>9</v>
      </c>
      <c r="H240">
        <v>11</v>
      </c>
      <c r="I240">
        <v>20</v>
      </c>
      <c r="J240">
        <v>0</v>
      </c>
      <c r="K240">
        <v>36</v>
      </c>
      <c r="L240">
        <v>7</v>
      </c>
      <c r="M240">
        <v>2</v>
      </c>
      <c r="N240">
        <v>0</v>
      </c>
      <c r="O240">
        <v>2</v>
      </c>
      <c r="P240">
        <v>8</v>
      </c>
      <c r="Q240">
        <v>3</v>
      </c>
      <c r="R240">
        <v>0</v>
      </c>
      <c r="S240">
        <v>61</v>
      </c>
      <c r="T240">
        <v>14.8</v>
      </c>
      <c r="U240">
        <v>139</v>
      </c>
      <c r="V240" t="s">
        <v>1926</v>
      </c>
      <c r="W240" t="s">
        <v>573</v>
      </c>
      <c r="X240">
        <v>14</v>
      </c>
      <c r="Y240">
        <v>24</v>
      </c>
      <c r="Z240">
        <v>36.799999999999997</v>
      </c>
      <c r="AA240">
        <v>12</v>
      </c>
      <c r="AB240">
        <v>43</v>
      </c>
      <c r="AC240">
        <v>13</v>
      </c>
      <c r="AD240">
        <v>47</v>
      </c>
      <c r="AE240" t="s">
        <v>60</v>
      </c>
    </row>
    <row r="241" spans="1:31" x14ac:dyDescent="0.2">
      <c r="A241">
        <v>237</v>
      </c>
      <c r="B241" t="s">
        <v>684</v>
      </c>
      <c r="C241">
        <v>30</v>
      </c>
      <c r="D241" t="s">
        <v>532</v>
      </c>
      <c r="E241" t="s">
        <v>325</v>
      </c>
      <c r="F241">
        <v>29</v>
      </c>
      <c r="G241">
        <v>4</v>
      </c>
      <c r="H241">
        <v>9</v>
      </c>
      <c r="I241">
        <v>13</v>
      </c>
      <c r="J241">
        <v>-4</v>
      </c>
      <c r="K241">
        <v>26</v>
      </c>
      <c r="L241">
        <v>4</v>
      </c>
      <c r="M241">
        <v>0</v>
      </c>
      <c r="N241">
        <v>0</v>
      </c>
      <c r="O241">
        <v>1</v>
      </c>
      <c r="P241">
        <v>6</v>
      </c>
      <c r="Q241">
        <v>3</v>
      </c>
      <c r="R241">
        <v>0</v>
      </c>
      <c r="S241">
        <v>46</v>
      </c>
      <c r="T241">
        <v>8.6999999999999993</v>
      </c>
      <c r="U241">
        <v>109</v>
      </c>
      <c r="V241" t="s">
        <v>1644</v>
      </c>
      <c r="W241" t="s">
        <v>932</v>
      </c>
      <c r="X241">
        <v>10</v>
      </c>
      <c r="Y241">
        <v>21</v>
      </c>
      <c r="Z241">
        <v>32.299999999999997</v>
      </c>
      <c r="AA241">
        <v>10</v>
      </c>
      <c r="AB241">
        <v>38</v>
      </c>
      <c r="AC241">
        <v>9</v>
      </c>
      <c r="AD241">
        <v>39</v>
      </c>
      <c r="AE241" t="s">
        <v>60</v>
      </c>
    </row>
    <row r="242" spans="1:31" x14ac:dyDescent="0.2">
      <c r="A242">
        <v>237</v>
      </c>
      <c r="B242" t="s">
        <v>684</v>
      </c>
      <c r="C242">
        <v>30</v>
      </c>
      <c r="D242" t="s">
        <v>382</v>
      </c>
      <c r="E242" t="s">
        <v>325</v>
      </c>
      <c r="F242">
        <v>7</v>
      </c>
      <c r="G242">
        <v>5</v>
      </c>
      <c r="H242">
        <v>2</v>
      </c>
      <c r="I242">
        <v>7</v>
      </c>
      <c r="J242">
        <v>4</v>
      </c>
      <c r="K242">
        <v>10</v>
      </c>
      <c r="L242">
        <v>3</v>
      </c>
      <c r="M242">
        <v>2</v>
      </c>
      <c r="N242">
        <v>0</v>
      </c>
      <c r="O242">
        <v>1</v>
      </c>
      <c r="P242">
        <v>2</v>
      </c>
      <c r="Q242">
        <v>0</v>
      </c>
      <c r="R242">
        <v>0</v>
      </c>
      <c r="S242">
        <v>15</v>
      </c>
      <c r="T242">
        <v>33.299999999999997</v>
      </c>
      <c r="U242">
        <v>30</v>
      </c>
      <c r="V242" t="s">
        <v>1927</v>
      </c>
      <c r="W242" t="s">
        <v>1662</v>
      </c>
      <c r="X242">
        <v>4</v>
      </c>
      <c r="Y242">
        <v>3</v>
      </c>
      <c r="Z242">
        <v>57.1</v>
      </c>
      <c r="AA242">
        <v>2</v>
      </c>
      <c r="AB242">
        <v>5</v>
      </c>
      <c r="AC242">
        <v>4</v>
      </c>
      <c r="AD242">
        <v>8</v>
      </c>
      <c r="AE242" t="s">
        <v>60</v>
      </c>
    </row>
    <row r="243" spans="1:31" x14ac:dyDescent="0.2">
      <c r="A243">
        <v>238</v>
      </c>
      <c r="B243" t="s">
        <v>631</v>
      </c>
      <c r="C243">
        <v>27</v>
      </c>
      <c r="D243" t="s">
        <v>461</v>
      </c>
      <c r="E243" t="s">
        <v>349</v>
      </c>
      <c r="F243">
        <v>36</v>
      </c>
      <c r="G243">
        <v>5</v>
      </c>
      <c r="H243">
        <v>14</v>
      </c>
      <c r="I243">
        <v>19</v>
      </c>
      <c r="J243">
        <v>-2</v>
      </c>
      <c r="K243">
        <v>10</v>
      </c>
      <c r="L243">
        <v>2</v>
      </c>
      <c r="M243">
        <v>3</v>
      </c>
      <c r="N243">
        <v>0</v>
      </c>
      <c r="O243">
        <v>0</v>
      </c>
      <c r="P243">
        <v>10</v>
      </c>
      <c r="Q243">
        <v>4</v>
      </c>
      <c r="R243">
        <v>0</v>
      </c>
      <c r="S243">
        <v>47</v>
      </c>
      <c r="T243">
        <v>10.6</v>
      </c>
      <c r="U243">
        <v>132</v>
      </c>
      <c r="V243" t="s">
        <v>2388</v>
      </c>
      <c r="W243" t="s">
        <v>1804</v>
      </c>
      <c r="X243">
        <v>0</v>
      </c>
      <c r="Y243">
        <v>2</v>
      </c>
      <c r="Z243">
        <v>0</v>
      </c>
      <c r="AA243">
        <v>39</v>
      </c>
      <c r="AB243">
        <v>32</v>
      </c>
      <c r="AC243">
        <v>13</v>
      </c>
      <c r="AD243">
        <v>36</v>
      </c>
      <c r="AE243" t="s">
        <v>60</v>
      </c>
    </row>
    <row r="244" spans="1:31" x14ac:dyDescent="0.2">
      <c r="A244">
        <v>239</v>
      </c>
      <c r="B244" t="s">
        <v>679</v>
      </c>
      <c r="C244">
        <v>30</v>
      </c>
      <c r="D244" t="s">
        <v>385</v>
      </c>
      <c r="E244" t="s">
        <v>349</v>
      </c>
      <c r="F244">
        <v>46</v>
      </c>
      <c r="G244">
        <v>2</v>
      </c>
      <c r="H244">
        <v>17</v>
      </c>
      <c r="I244">
        <v>19</v>
      </c>
      <c r="J244">
        <v>-2</v>
      </c>
      <c r="K244">
        <v>33</v>
      </c>
      <c r="L244">
        <v>2</v>
      </c>
      <c r="M244">
        <v>0</v>
      </c>
      <c r="N244">
        <v>0</v>
      </c>
      <c r="O244">
        <v>0</v>
      </c>
      <c r="P244">
        <v>14</v>
      </c>
      <c r="Q244">
        <v>3</v>
      </c>
      <c r="R244">
        <v>0</v>
      </c>
      <c r="S244">
        <v>81</v>
      </c>
      <c r="T244">
        <v>2.5</v>
      </c>
      <c r="U244">
        <v>183</v>
      </c>
      <c r="V244" t="s">
        <v>2183</v>
      </c>
      <c r="W244" t="s">
        <v>1568</v>
      </c>
      <c r="X244">
        <v>0</v>
      </c>
      <c r="Y244">
        <v>0</v>
      </c>
      <c r="AA244">
        <v>37</v>
      </c>
      <c r="AB244">
        <v>17</v>
      </c>
      <c r="AC244">
        <v>9</v>
      </c>
      <c r="AD244">
        <v>67</v>
      </c>
      <c r="AE244" t="s">
        <v>60</v>
      </c>
    </row>
    <row r="245" spans="1:31" x14ac:dyDescent="0.2">
      <c r="A245">
        <v>240</v>
      </c>
      <c r="B245" t="s">
        <v>748</v>
      </c>
      <c r="C245">
        <v>30</v>
      </c>
      <c r="D245" t="s">
        <v>385</v>
      </c>
      <c r="E245" t="s">
        <v>340</v>
      </c>
      <c r="F245">
        <v>43</v>
      </c>
      <c r="G245">
        <v>8</v>
      </c>
      <c r="H245">
        <v>11</v>
      </c>
      <c r="I245">
        <v>19</v>
      </c>
      <c r="J245">
        <v>5</v>
      </c>
      <c r="K245">
        <v>8</v>
      </c>
      <c r="L245">
        <v>7</v>
      </c>
      <c r="M245">
        <v>1</v>
      </c>
      <c r="N245">
        <v>0</v>
      </c>
      <c r="O245">
        <v>1</v>
      </c>
      <c r="P245">
        <v>10</v>
      </c>
      <c r="Q245">
        <v>1</v>
      </c>
      <c r="R245">
        <v>0</v>
      </c>
      <c r="S245">
        <v>53</v>
      </c>
      <c r="T245">
        <v>15.1</v>
      </c>
      <c r="U245">
        <v>104</v>
      </c>
      <c r="V245" t="s">
        <v>2389</v>
      </c>
      <c r="W245" t="s">
        <v>1693</v>
      </c>
      <c r="X245">
        <v>4</v>
      </c>
      <c r="Y245">
        <v>5</v>
      </c>
      <c r="Z245">
        <v>44.4</v>
      </c>
      <c r="AA245">
        <v>25</v>
      </c>
      <c r="AB245">
        <v>3</v>
      </c>
      <c r="AC245">
        <v>4</v>
      </c>
      <c r="AD245">
        <v>15</v>
      </c>
      <c r="AE245" t="s">
        <v>60</v>
      </c>
    </row>
    <row r="246" spans="1:31" x14ac:dyDescent="0.2">
      <c r="A246">
        <v>241</v>
      </c>
      <c r="B246" t="s">
        <v>581</v>
      </c>
      <c r="C246">
        <v>35</v>
      </c>
      <c r="D246" t="s">
        <v>328</v>
      </c>
      <c r="E246" t="s">
        <v>349</v>
      </c>
      <c r="F246">
        <v>47</v>
      </c>
      <c r="G246">
        <v>3</v>
      </c>
      <c r="H246">
        <v>16</v>
      </c>
      <c r="I246">
        <v>19</v>
      </c>
      <c r="J246">
        <v>8</v>
      </c>
      <c r="K246">
        <v>18</v>
      </c>
      <c r="L246">
        <v>3</v>
      </c>
      <c r="M246">
        <v>0</v>
      </c>
      <c r="N246">
        <v>0</v>
      </c>
      <c r="O246">
        <v>1</v>
      </c>
      <c r="P246">
        <v>14</v>
      </c>
      <c r="Q246">
        <v>2</v>
      </c>
      <c r="R246">
        <v>0</v>
      </c>
      <c r="S246">
        <v>83</v>
      </c>
      <c r="T246">
        <v>3.6</v>
      </c>
      <c r="U246">
        <v>193</v>
      </c>
      <c r="V246" t="s">
        <v>2390</v>
      </c>
      <c r="W246" t="s">
        <v>2391</v>
      </c>
      <c r="X246">
        <v>0</v>
      </c>
      <c r="Y246">
        <v>0</v>
      </c>
      <c r="AA246">
        <v>76</v>
      </c>
      <c r="AB246">
        <v>46</v>
      </c>
      <c r="AC246">
        <v>19</v>
      </c>
      <c r="AD246">
        <v>63</v>
      </c>
      <c r="AE246" t="s">
        <v>60</v>
      </c>
    </row>
    <row r="247" spans="1:31" x14ac:dyDescent="0.2">
      <c r="A247">
        <v>242</v>
      </c>
      <c r="B247" t="s">
        <v>582</v>
      </c>
      <c r="C247">
        <v>25</v>
      </c>
      <c r="D247" t="s">
        <v>437</v>
      </c>
      <c r="E247" t="s">
        <v>340</v>
      </c>
      <c r="F247">
        <v>46</v>
      </c>
      <c r="G247">
        <v>10</v>
      </c>
      <c r="H247">
        <v>9</v>
      </c>
      <c r="I247">
        <v>19</v>
      </c>
      <c r="J247">
        <v>-9</v>
      </c>
      <c r="K247">
        <v>13</v>
      </c>
      <c r="L247">
        <v>6</v>
      </c>
      <c r="M247">
        <v>1</v>
      </c>
      <c r="N247">
        <v>3</v>
      </c>
      <c r="O247">
        <v>0</v>
      </c>
      <c r="P247">
        <v>7</v>
      </c>
      <c r="Q247">
        <v>2</v>
      </c>
      <c r="R247">
        <v>0</v>
      </c>
      <c r="S247">
        <v>88</v>
      </c>
      <c r="T247">
        <v>11.4</v>
      </c>
      <c r="U247">
        <v>157</v>
      </c>
      <c r="V247" t="s">
        <v>2392</v>
      </c>
      <c r="W247" t="s">
        <v>2365</v>
      </c>
      <c r="X247">
        <v>18</v>
      </c>
      <c r="Y247">
        <v>21</v>
      </c>
      <c r="Z247">
        <v>46.2</v>
      </c>
      <c r="AA247">
        <v>33</v>
      </c>
      <c r="AB247">
        <v>35</v>
      </c>
      <c r="AC247">
        <v>12</v>
      </c>
      <c r="AD247">
        <v>39</v>
      </c>
      <c r="AE247" t="s">
        <v>60</v>
      </c>
    </row>
    <row r="248" spans="1:31" x14ac:dyDescent="0.2">
      <c r="A248">
        <v>243</v>
      </c>
      <c r="B248" t="s">
        <v>584</v>
      </c>
      <c r="C248">
        <v>20</v>
      </c>
      <c r="D248" t="s">
        <v>372</v>
      </c>
      <c r="E248" t="s">
        <v>322</v>
      </c>
      <c r="F248">
        <v>48</v>
      </c>
      <c r="G248">
        <v>9</v>
      </c>
      <c r="H248">
        <v>10</v>
      </c>
      <c r="I248">
        <v>19</v>
      </c>
      <c r="J248">
        <v>-6</v>
      </c>
      <c r="K248">
        <v>6</v>
      </c>
      <c r="L248">
        <v>5</v>
      </c>
      <c r="M248">
        <v>4</v>
      </c>
      <c r="N248">
        <v>0</v>
      </c>
      <c r="O248">
        <v>1</v>
      </c>
      <c r="P248">
        <v>6</v>
      </c>
      <c r="Q248">
        <v>4</v>
      </c>
      <c r="R248">
        <v>0</v>
      </c>
      <c r="S248">
        <v>80</v>
      </c>
      <c r="T248">
        <v>11.3</v>
      </c>
      <c r="U248">
        <v>129</v>
      </c>
      <c r="V248" t="s">
        <v>2393</v>
      </c>
      <c r="W248" t="s">
        <v>585</v>
      </c>
      <c r="X248">
        <v>13</v>
      </c>
      <c r="Y248">
        <v>22</v>
      </c>
      <c r="Z248">
        <v>37.1</v>
      </c>
      <c r="AA248">
        <v>30</v>
      </c>
      <c r="AB248">
        <v>72</v>
      </c>
      <c r="AC248">
        <v>15</v>
      </c>
      <c r="AD248">
        <v>48</v>
      </c>
      <c r="AE248" t="s">
        <v>60</v>
      </c>
    </row>
    <row r="249" spans="1:31" x14ac:dyDescent="0.2">
      <c r="A249">
        <v>244</v>
      </c>
      <c r="B249" t="s">
        <v>751</v>
      </c>
      <c r="C249">
        <v>33</v>
      </c>
      <c r="D249" t="s">
        <v>337</v>
      </c>
      <c r="E249" t="s">
        <v>322</v>
      </c>
      <c r="F249">
        <v>28</v>
      </c>
      <c r="G249">
        <v>8</v>
      </c>
      <c r="H249">
        <v>11</v>
      </c>
      <c r="I249">
        <v>19</v>
      </c>
      <c r="J249">
        <v>-8</v>
      </c>
      <c r="K249">
        <v>12</v>
      </c>
      <c r="L249">
        <v>7</v>
      </c>
      <c r="M249">
        <v>1</v>
      </c>
      <c r="N249">
        <v>0</v>
      </c>
      <c r="O249">
        <v>0</v>
      </c>
      <c r="P249">
        <v>10</v>
      </c>
      <c r="Q249">
        <v>1</v>
      </c>
      <c r="R249">
        <v>0</v>
      </c>
      <c r="S249">
        <v>58</v>
      </c>
      <c r="T249">
        <v>13.8</v>
      </c>
      <c r="U249">
        <v>114</v>
      </c>
      <c r="V249" t="s">
        <v>2394</v>
      </c>
      <c r="W249" t="s">
        <v>1573</v>
      </c>
      <c r="X249">
        <v>178</v>
      </c>
      <c r="Y249">
        <v>175</v>
      </c>
      <c r="Z249">
        <v>50.4</v>
      </c>
      <c r="AA249">
        <v>15</v>
      </c>
      <c r="AB249">
        <v>18</v>
      </c>
      <c r="AC249">
        <v>9</v>
      </c>
      <c r="AD249">
        <v>23</v>
      </c>
      <c r="AE249" t="s">
        <v>60</v>
      </c>
    </row>
    <row r="250" spans="1:31" x14ac:dyDescent="0.2">
      <c r="A250">
        <v>245</v>
      </c>
      <c r="B250" t="s">
        <v>783</v>
      </c>
      <c r="C250">
        <v>23</v>
      </c>
      <c r="D250" t="s">
        <v>418</v>
      </c>
      <c r="E250" t="s">
        <v>322</v>
      </c>
      <c r="F250">
        <v>41</v>
      </c>
      <c r="G250">
        <v>6</v>
      </c>
      <c r="H250">
        <v>13</v>
      </c>
      <c r="I250">
        <v>19</v>
      </c>
      <c r="J250">
        <v>1</v>
      </c>
      <c r="K250">
        <v>55</v>
      </c>
      <c r="L250">
        <v>5</v>
      </c>
      <c r="M250">
        <v>1</v>
      </c>
      <c r="N250">
        <v>0</v>
      </c>
      <c r="O250">
        <v>0</v>
      </c>
      <c r="P250">
        <v>11</v>
      </c>
      <c r="Q250">
        <v>2</v>
      </c>
      <c r="R250">
        <v>0</v>
      </c>
      <c r="S250">
        <v>75</v>
      </c>
      <c r="T250">
        <v>8</v>
      </c>
      <c r="U250">
        <v>129</v>
      </c>
      <c r="V250" t="s">
        <v>2771</v>
      </c>
      <c r="W250" t="s">
        <v>1929</v>
      </c>
      <c r="X250">
        <v>163</v>
      </c>
      <c r="Y250">
        <v>153</v>
      </c>
      <c r="Z250">
        <v>51.6</v>
      </c>
      <c r="AA250">
        <v>27</v>
      </c>
      <c r="AB250">
        <v>51</v>
      </c>
      <c r="AC250">
        <v>10</v>
      </c>
      <c r="AD250">
        <v>26</v>
      </c>
      <c r="AE250" t="s">
        <v>60</v>
      </c>
    </row>
    <row r="251" spans="1:31" x14ac:dyDescent="0.2">
      <c r="A251">
        <v>246</v>
      </c>
      <c r="B251" t="s">
        <v>785</v>
      </c>
      <c r="C251">
        <v>31</v>
      </c>
      <c r="D251" t="s">
        <v>358</v>
      </c>
      <c r="E251" t="s">
        <v>335</v>
      </c>
      <c r="F251">
        <v>43</v>
      </c>
      <c r="G251">
        <v>12</v>
      </c>
      <c r="H251">
        <v>7</v>
      </c>
      <c r="I251">
        <v>19</v>
      </c>
      <c r="J251">
        <v>-5</v>
      </c>
      <c r="K251">
        <v>21</v>
      </c>
      <c r="L251">
        <v>7</v>
      </c>
      <c r="M251">
        <v>5</v>
      </c>
      <c r="N251">
        <v>0</v>
      </c>
      <c r="O251">
        <v>3</v>
      </c>
      <c r="P251">
        <v>7</v>
      </c>
      <c r="Q251">
        <v>0</v>
      </c>
      <c r="R251">
        <v>0</v>
      </c>
      <c r="S251">
        <v>82</v>
      </c>
      <c r="T251">
        <v>14.6</v>
      </c>
      <c r="U251">
        <v>183</v>
      </c>
      <c r="V251" t="s">
        <v>2146</v>
      </c>
      <c r="W251" t="s">
        <v>1530</v>
      </c>
      <c r="X251">
        <v>226</v>
      </c>
      <c r="Y251">
        <v>302</v>
      </c>
      <c r="Z251">
        <v>42.8</v>
      </c>
      <c r="AA251">
        <v>51</v>
      </c>
      <c r="AB251">
        <v>38</v>
      </c>
      <c r="AC251">
        <v>13</v>
      </c>
      <c r="AD251">
        <v>33</v>
      </c>
      <c r="AE251" t="s">
        <v>60</v>
      </c>
    </row>
    <row r="252" spans="1:31" x14ac:dyDescent="0.2">
      <c r="A252">
        <v>247</v>
      </c>
      <c r="B252" t="s">
        <v>715</v>
      </c>
      <c r="C252">
        <v>18</v>
      </c>
      <c r="D252" t="s">
        <v>377</v>
      </c>
      <c r="E252" t="s">
        <v>322</v>
      </c>
      <c r="F252">
        <v>42</v>
      </c>
      <c r="G252">
        <v>8</v>
      </c>
      <c r="H252">
        <v>11</v>
      </c>
      <c r="I252">
        <v>19</v>
      </c>
      <c r="J252">
        <v>-11</v>
      </c>
      <c r="K252">
        <v>10</v>
      </c>
      <c r="L252">
        <v>4</v>
      </c>
      <c r="M252">
        <v>4</v>
      </c>
      <c r="N252">
        <v>0</v>
      </c>
      <c r="O252">
        <v>0</v>
      </c>
      <c r="P252">
        <v>6</v>
      </c>
      <c r="Q252">
        <v>5</v>
      </c>
      <c r="R252">
        <v>0</v>
      </c>
      <c r="S252">
        <v>87</v>
      </c>
      <c r="T252">
        <v>9.1999999999999993</v>
      </c>
      <c r="U252">
        <v>152</v>
      </c>
      <c r="V252" t="s">
        <v>2395</v>
      </c>
      <c r="W252" t="s">
        <v>1549</v>
      </c>
      <c r="X252">
        <v>152</v>
      </c>
      <c r="Y252">
        <v>161</v>
      </c>
      <c r="Z252">
        <v>48.6</v>
      </c>
      <c r="AA252">
        <v>39</v>
      </c>
      <c r="AB252">
        <v>17</v>
      </c>
      <c r="AC252">
        <v>10</v>
      </c>
      <c r="AD252">
        <v>42</v>
      </c>
      <c r="AE252" t="s">
        <v>60</v>
      </c>
    </row>
    <row r="253" spans="1:31" x14ac:dyDescent="0.2">
      <c r="A253">
        <v>248</v>
      </c>
      <c r="B253" t="s">
        <v>545</v>
      </c>
      <c r="C253">
        <v>27</v>
      </c>
      <c r="D253" t="s">
        <v>514</v>
      </c>
      <c r="E253" t="s">
        <v>322</v>
      </c>
      <c r="F253">
        <v>37</v>
      </c>
      <c r="G253">
        <v>8</v>
      </c>
      <c r="H253">
        <v>11</v>
      </c>
      <c r="I253">
        <v>19</v>
      </c>
      <c r="J253">
        <v>-9</v>
      </c>
      <c r="K253">
        <v>2</v>
      </c>
      <c r="L253">
        <v>7</v>
      </c>
      <c r="M253">
        <v>1</v>
      </c>
      <c r="N253">
        <v>0</v>
      </c>
      <c r="O253">
        <v>0</v>
      </c>
      <c r="P253">
        <v>6</v>
      </c>
      <c r="Q253">
        <v>5</v>
      </c>
      <c r="R253">
        <v>0</v>
      </c>
      <c r="S253">
        <v>90</v>
      </c>
      <c r="T253">
        <v>8.9</v>
      </c>
      <c r="U253">
        <v>193</v>
      </c>
      <c r="V253" t="s">
        <v>2396</v>
      </c>
      <c r="W253" t="s">
        <v>1581</v>
      </c>
      <c r="X253">
        <v>2</v>
      </c>
      <c r="Y253">
        <v>4</v>
      </c>
      <c r="Z253">
        <v>33.299999999999997</v>
      </c>
      <c r="AA253">
        <v>16</v>
      </c>
      <c r="AB253">
        <v>8</v>
      </c>
      <c r="AC253">
        <v>13</v>
      </c>
      <c r="AD253">
        <v>21</v>
      </c>
      <c r="AE253" t="s">
        <v>60</v>
      </c>
    </row>
    <row r="254" spans="1:31" x14ac:dyDescent="0.2">
      <c r="A254">
        <v>249</v>
      </c>
      <c r="B254" t="s">
        <v>648</v>
      </c>
      <c r="C254">
        <v>25</v>
      </c>
      <c r="D254" t="s">
        <v>356</v>
      </c>
      <c r="E254" t="s">
        <v>349</v>
      </c>
      <c r="F254">
        <v>42</v>
      </c>
      <c r="G254">
        <v>4</v>
      </c>
      <c r="H254">
        <v>15</v>
      </c>
      <c r="I254">
        <v>19</v>
      </c>
      <c r="J254">
        <v>6</v>
      </c>
      <c r="K254">
        <v>10</v>
      </c>
      <c r="L254">
        <v>3</v>
      </c>
      <c r="M254">
        <v>1</v>
      </c>
      <c r="N254">
        <v>0</v>
      </c>
      <c r="O254">
        <v>0</v>
      </c>
      <c r="P254">
        <v>12</v>
      </c>
      <c r="Q254">
        <v>3</v>
      </c>
      <c r="R254">
        <v>0</v>
      </c>
      <c r="S254">
        <v>39</v>
      </c>
      <c r="T254">
        <v>10.3</v>
      </c>
      <c r="U254">
        <v>118</v>
      </c>
      <c r="V254" t="s">
        <v>2397</v>
      </c>
      <c r="W254" t="s">
        <v>425</v>
      </c>
      <c r="X254">
        <v>0</v>
      </c>
      <c r="Y254">
        <v>0</v>
      </c>
      <c r="AA254">
        <v>56</v>
      </c>
      <c r="AB254">
        <v>23</v>
      </c>
      <c r="AC254">
        <v>12</v>
      </c>
      <c r="AD254">
        <v>53</v>
      </c>
      <c r="AE254" t="s">
        <v>60</v>
      </c>
    </row>
    <row r="255" spans="1:31" x14ac:dyDescent="0.2">
      <c r="A255">
        <v>250</v>
      </c>
      <c r="B255" t="s">
        <v>683</v>
      </c>
      <c r="C255">
        <v>27</v>
      </c>
      <c r="D255" t="s">
        <v>374</v>
      </c>
      <c r="E255" t="s">
        <v>322</v>
      </c>
      <c r="F255">
        <v>37</v>
      </c>
      <c r="G255">
        <v>4</v>
      </c>
      <c r="H255">
        <v>15</v>
      </c>
      <c r="I255">
        <v>19</v>
      </c>
      <c r="J255">
        <v>0</v>
      </c>
      <c r="K255">
        <v>12</v>
      </c>
      <c r="L255">
        <v>3</v>
      </c>
      <c r="M255">
        <v>1</v>
      </c>
      <c r="N255">
        <v>0</v>
      </c>
      <c r="O255">
        <v>0</v>
      </c>
      <c r="P255">
        <v>14</v>
      </c>
      <c r="Q255">
        <v>0</v>
      </c>
      <c r="R255">
        <v>1</v>
      </c>
      <c r="S255">
        <v>57</v>
      </c>
      <c r="T255">
        <v>7</v>
      </c>
      <c r="U255">
        <v>109</v>
      </c>
      <c r="V255" t="s">
        <v>2147</v>
      </c>
      <c r="W255" t="s">
        <v>1803</v>
      </c>
      <c r="X255">
        <v>14</v>
      </c>
      <c r="Y255">
        <v>18</v>
      </c>
      <c r="Z255">
        <v>43.8</v>
      </c>
      <c r="AA255">
        <v>30</v>
      </c>
      <c r="AB255">
        <v>78</v>
      </c>
      <c r="AC255">
        <v>12</v>
      </c>
      <c r="AD255">
        <v>24</v>
      </c>
      <c r="AE255" t="s">
        <v>60</v>
      </c>
    </row>
    <row r="256" spans="1:31" x14ac:dyDescent="0.2">
      <c r="A256">
        <v>251</v>
      </c>
      <c r="B256" t="s">
        <v>886</v>
      </c>
      <c r="C256">
        <v>34</v>
      </c>
      <c r="D256" t="s">
        <v>321</v>
      </c>
      <c r="E256" t="s">
        <v>349</v>
      </c>
      <c r="F256">
        <v>45</v>
      </c>
      <c r="G256">
        <v>4</v>
      </c>
      <c r="H256">
        <v>15</v>
      </c>
      <c r="I256">
        <v>19</v>
      </c>
      <c r="J256">
        <v>32</v>
      </c>
      <c r="K256">
        <v>58</v>
      </c>
      <c r="L256">
        <v>4</v>
      </c>
      <c r="M256">
        <v>0</v>
      </c>
      <c r="N256">
        <v>0</v>
      </c>
      <c r="O256">
        <v>1</v>
      </c>
      <c r="P256">
        <v>15</v>
      </c>
      <c r="Q256">
        <v>0</v>
      </c>
      <c r="R256">
        <v>0</v>
      </c>
      <c r="S256">
        <v>64</v>
      </c>
      <c r="T256">
        <v>6.3</v>
      </c>
      <c r="U256">
        <v>137</v>
      </c>
      <c r="V256" t="s">
        <v>2148</v>
      </c>
      <c r="W256" t="s">
        <v>1704</v>
      </c>
      <c r="X256">
        <v>0</v>
      </c>
      <c r="Y256">
        <v>0</v>
      </c>
      <c r="AA256">
        <v>62</v>
      </c>
      <c r="AB256">
        <v>109</v>
      </c>
      <c r="AC256">
        <v>16</v>
      </c>
      <c r="AD256">
        <v>45</v>
      </c>
      <c r="AE256" t="s">
        <v>60</v>
      </c>
    </row>
    <row r="257" spans="1:31" x14ac:dyDescent="0.2">
      <c r="A257">
        <v>252</v>
      </c>
      <c r="B257" t="s">
        <v>654</v>
      </c>
      <c r="C257">
        <v>23</v>
      </c>
      <c r="D257" t="s">
        <v>514</v>
      </c>
      <c r="E257" t="s">
        <v>340</v>
      </c>
      <c r="F257">
        <v>35</v>
      </c>
      <c r="G257">
        <v>11</v>
      </c>
      <c r="H257">
        <v>8</v>
      </c>
      <c r="I257">
        <v>19</v>
      </c>
      <c r="J257">
        <v>-13</v>
      </c>
      <c r="K257">
        <v>18</v>
      </c>
      <c r="L257">
        <v>10</v>
      </c>
      <c r="M257">
        <v>1</v>
      </c>
      <c r="N257">
        <v>0</v>
      </c>
      <c r="O257">
        <v>2</v>
      </c>
      <c r="P257">
        <v>6</v>
      </c>
      <c r="Q257">
        <v>2</v>
      </c>
      <c r="R257">
        <v>0</v>
      </c>
      <c r="S257">
        <v>49</v>
      </c>
      <c r="T257">
        <v>22.4</v>
      </c>
      <c r="U257">
        <v>92</v>
      </c>
      <c r="V257" t="s">
        <v>2398</v>
      </c>
      <c r="W257" t="s">
        <v>1544</v>
      </c>
      <c r="X257">
        <v>2</v>
      </c>
      <c r="Y257">
        <v>7</v>
      </c>
      <c r="Z257">
        <v>22.2</v>
      </c>
      <c r="AA257">
        <v>19</v>
      </c>
      <c r="AB257">
        <v>95</v>
      </c>
      <c r="AC257">
        <v>5</v>
      </c>
      <c r="AD257">
        <v>23</v>
      </c>
      <c r="AE257" t="s">
        <v>60</v>
      </c>
    </row>
    <row r="258" spans="1:31" x14ac:dyDescent="0.2">
      <c r="A258">
        <v>253</v>
      </c>
      <c r="B258" t="s">
        <v>689</v>
      </c>
      <c r="C258">
        <v>29</v>
      </c>
      <c r="D258" t="s">
        <v>408</v>
      </c>
      <c r="E258" t="s">
        <v>349</v>
      </c>
      <c r="F258">
        <v>45</v>
      </c>
      <c r="G258">
        <v>5</v>
      </c>
      <c r="H258">
        <v>14</v>
      </c>
      <c r="I258">
        <v>19</v>
      </c>
      <c r="J258">
        <v>3</v>
      </c>
      <c r="K258">
        <v>14</v>
      </c>
      <c r="L258">
        <v>4</v>
      </c>
      <c r="M258">
        <v>1</v>
      </c>
      <c r="N258">
        <v>0</v>
      </c>
      <c r="O258">
        <v>1</v>
      </c>
      <c r="P258">
        <v>11</v>
      </c>
      <c r="Q258">
        <v>2</v>
      </c>
      <c r="R258">
        <v>1</v>
      </c>
      <c r="S258">
        <v>58</v>
      </c>
      <c r="T258">
        <v>8.6</v>
      </c>
      <c r="U258">
        <v>151</v>
      </c>
      <c r="V258" t="s">
        <v>2772</v>
      </c>
      <c r="W258" t="s">
        <v>2773</v>
      </c>
      <c r="X258">
        <v>0</v>
      </c>
      <c r="Y258">
        <v>0</v>
      </c>
      <c r="AA258">
        <v>85</v>
      </c>
      <c r="AB258">
        <v>26</v>
      </c>
      <c r="AC258">
        <v>18</v>
      </c>
      <c r="AD258">
        <v>62</v>
      </c>
      <c r="AE258" t="s">
        <v>60</v>
      </c>
    </row>
    <row r="259" spans="1:31" x14ac:dyDescent="0.2">
      <c r="A259">
        <v>254</v>
      </c>
      <c r="B259" t="s">
        <v>625</v>
      </c>
      <c r="C259">
        <v>34</v>
      </c>
      <c r="D259" t="s">
        <v>514</v>
      </c>
      <c r="E259" t="s">
        <v>322</v>
      </c>
      <c r="F259">
        <v>47</v>
      </c>
      <c r="G259">
        <v>9</v>
      </c>
      <c r="H259">
        <v>10</v>
      </c>
      <c r="I259">
        <v>19</v>
      </c>
      <c r="J259">
        <v>-23</v>
      </c>
      <c r="K259">
        <v>41</v>
      </c>
      <c r="L259">
        <v>7</v>
      </c>
      <c r="M259">
        <v>2</v>
      </c>
      <c r="N259">
        <v>0</v>
      </c>
      <c r="O259">
        <v>2</v>
      </c>
      <c r="P259">
        <v>8</v>
      </c>
      <c r="Q259">
        <v>2</v>
      </c>
      <c r="R259">
        <v>0</v>
      </c>
      <c r="S259">
        <v>64</v>
      </c>
      <c r="T259">
        <v>14.1</v>
      </c>
      <c r="U259">
        <v>136</v>
      </c>
      <c r="V259" t="s">
        <v>2399</v>
      </c>
      <c r="W259" t="s">
        <v>1929</v>
      </c>
      <c r="X259">
        <v>280</v>
      </c>
      <c r="Y259">
        <v>233</v>
      </c>
      <c r="Z259">
        <v>54.6</v>
      </c>
      <c r="AA259">
        <v>19</v>
      </c>
      <c r="AB259">
        <v>103</v>
      </c>
      <c r="AC259">
        <v>12</v>
      </c>
      <c r="AD259">
        <v>35</v>
      </c>
      <c r="AE259" t="s">
        <v>60</v>
      </c>
    </row>
    <row r="260" spans="1:31" x14ac:dyDescent="0.2">
      <c r="A260">
        <v>255</v>
      </c>
      <c r="B260" t="s">
        <v>848</v>
      </c>
      <c r="C260">
        <v>23</v>
      </c>
      <c r="D260" t="s">
        <v>367</v>
      </c>
      <c r="E260" t="s">
        <v>335</v>
      </c>
      <c r="F260">
        <v>45</v>
      </c>
      <c r="G260">
        <v>9</v>
      </c>
      <c r="H260">
        <v>10</v>
      </c>
      <c r="I260">
        <v>19</v>
      </c>
      <c r="J260">
        <v>15</v>
      </c>
      <c r="K260">
        <v>19</v>
      </c>
      <c r="L260">
        <v>8</v>
      </c>
      <c r="M260">
        <v>1</v>
      </c>
      <c r="N260">
        <v>0</v>
      </c>
      <c r="O260">
        <v>0</v>
      </c>
      <c r="P260">
        <v>10</v>
      </c>
      <c r="Q260">
        <v>0</v>
      </c>
      <c r="R260">
        <v>0</v>
      </c>
      <c r="S260">
        <v>59</v>
      </c>
      <c r="T260">
        <v>15.3</v>
      </c>
      <c r="U260">
        <v>125</v>
      </c>
      <c r="V260" t="s">
        <v>2079</v>
      </c>
      <c r="W260" t="s">
        <v>1671</v>
      </c>
      <c r="X260">
        <v>175</v>
      </c>
      <c r="Y260">
        <v>193</v>
      </c>
      <c r="Z260">
        <v>47.6</v>
      </c>
      <c r="AA260">
        <v>19</v>
      </c>
      <c r="AB260">
        <v>55</v>
      </c>
      <c r="AC260">
        <v>9</v>
      </c>
      <c r="AD260">
        <v>29</v>
      </c>
      <c r="AE260" t="s">
        <v>60</v>
      </c>
    </row>
    <row r="261" spans="1:31" x14ac:dyDescent="0.2">
      <c r="A261">
        <v>256</v>
      </c>
      <c r="B261" t="s">
        <v>692</v>
      </c>
      <c r="C261">
        <v>37</v>
      </c>
      <c r="D261" t="s">
        <v>398</v>
      </c>
      <c r="E261" t="s">
        <v>322</v>
      </c>
      <c r="F261">
        <v>44</v>
      </c>
      <c r="G261">
        <v>10</v>
      </c>
      <c r="H261">
        <v>9</v>
      </c>
      <c r="I261">
        <v>19</v>
      </c>
      <c r="J261">
        <v>1</v>
      </c>
      <c r="K261">
        <v>25</v>
      </c>
      <c r="L261">
        <v>8</v>
      </c>
      <c r="M261">
        <v>2</v>
      </c>
      <c r="N261">
        <v>0</v>
      </c>
      <c r="O261">
        <v>0</v>
      </c>
      <c r="P261">
        <v>9</v>
      </c>
      <c r="Q261">
        <v>0</v>
      </c>
      <c r="R261">
        <v>0</v>
      </c>
      <c r="S261">
        <v>55</v>
      </c>
      <c r="T261">
        <v>18.2</v>
      </c>
      <c r="U261">
        <v>121</v>
      </c>
      <c r="V261" t="s">
        <v>2400</v>
      </c>
      <c r="W261" t="s">
        <v>1572</v>
      </c>
      <c r="X261">
        <v>488</v>
      </c>
      <c r="Y261">
        <v>381</v>
      </c>
      <c r="Z261">
        <v>56.2</v>
      </c>
      <c r="AA261">
        <v>24</v>
      </c>
      <c r="AB261">
        <v>79</v>
      </c>
      <c r="AC261">
        <v>9</v>
      </c>
      <c r="AD261">
        <v>30</v>
      </c>
      <c r="AE261" t="s">
        <v>60</v>
      </c>
    </row>
    <row r="262" spans="1:31" x14ac:dyDescent="0.2">
      <c r="A262">
        <v>257</v>
      </c>
      <c r="B262" t="s">
        <v>727</v>
      </c>
      <c r="C262">
        <v>27</v>
      </c>
      <c r="D262" t="s">
        <v>334</v>
      </c>
      <c r="E262" t="s">
        <v>322</v>
      </c>
      <c r="F262">
        <v>47</v>
      </c>
      <c r="G262">
        <v>7</v>
      </c>
      <c r="H262">
        <v>12</v>
      </c>
      <c r="I262">
        <v>19</v>
      </c>
      <c r="J262">
        <v>-2</v>
      </c>
      <c r="K262">
        <v>20</v>
      </c>
      <c r="L262">
        <v>6</v>
      </c>
      <c r="M262">
        <v>1</v>
      </c>
      <c r="N262">
        <v>0</v>
      </c>
      <c r="O262">
        <v>5</v>
      </c>
      <c r="P262">
        <v>10</v>
      </c>
      <c r="Q262">
        <v>2</v>
      </c>
      <c r="R262">
        <v>0</v>
      </c>
      <c r="S262">
        <v>49</v>
      </c>
      <c r="T262">
        <v>14.3</v>
      </c>
      <c r="U262">
        <v>97</v>
      </c>
      <c r="V262" t="s">
        <v>2401</v>
      </c>
      <c r="W262" t="s">
        <v>2402</v>
      </c>
      <c r="X262">
        <v>112</v>
      </c>
      <c r="Y262">
        <v>107</v>
      </c>
      <c r="Z262">
        <v>51.1</v>
      </c>
      <c r="AA262">
        <v>20</v>
      </c>
      <c r="AB262">
        <v>48</v>
      </c>
      <c r="AC262">
        <v>12</v>
      </c>
      <c r="AD262">
        <v>28</v>
      </c>
      <c r="AE262" t="s">
        <v>60</v>
      </c>
    </row>
    <row r="263" spans="1:31" x14ac:dyDescent="0.2">
      <c r="A263">
        <v>258</v>
      </c>
      <c r="B263" t="s">
        <v>606</v>
      </c>
      <c r="C263">
        <v>31</v>
      </c>
      <c r="D263" t="s">
        <v>337</v>
      </c>
      <c r="E263" t="s">
        <v>349</v>
      </c>
      <c r="F263">
        <v>45</v>
      </c>
      <c r="G263">
        <v>8</v>
      </c>
      <c r="H263">
        <v>11</v>
      </c>
      <c r="I263">
        <v>19</v>
      </c>
      <c r="J263">
        <v>1</v>
      </c>
      <c r="K263">
        <v>15</v>
      </c>
      <c r="L263">
        <v>8</v>
      </c>
      <c r="M263">
        <v>0</v>
      </c>
      <c r="N263">
        <v>0</v>
      </c>
      <c r="O263">
        <v>1</v>
      </c>
      <c r="P263">
        <v>10</v>
      </c>
      <c r="Q263">
        <v>0</v>
      </c>
      <c r="R263">
        <v>1</v>
      </c>
      <c r="S263">
        <v>87</v>
      </c>
      <c r="T263">
        <v>9.1999999999999993</v>
      </c>
      <c r="U263">
        <v>180</v>
      </c>
      <c r="V263" t="s">
        <v>2403</v>
      </c>
      <c r="W263" t="s">
        <v>1781</v>
      </c>
      <c r="X263">
        <v>0</v>
      </c>
      <c r="Y263">
        <v>0</v>
      </c>
      <c r="AA263">
        <v>81</v>
      </c>
      <c r="AB263">
        <v>86</v>
      </c>
      <c r="AC263">
        <v>14</v>
      </c>
      <c r="AD263">
        <v>51</v>
      </c>
      <c r="AE263" t="s">
        <v>60</v>
      </c>
    </row>
    <row r="264" spans="1:31" x14ac:dyDescent="0.2">
      <c r="A264">
        <v>259</v>
      </c>
      <c r="B264" t="s">
        <v>851</v>
      </c>
      <c r="C264">
        <v>36</v>
      </c>
      <c r="D264" t="s">
        <v>372</v>
      </c>
      <c r="E264" t="s">
        <v>340</v>
      </c>
      <c r="F264">
        <v>39</v>
      </c>
      <c r="G264">
        <v>12</v>
      </c>
      <c r="H264">
        <v>7</v>
      </c>
      <c r="I264">
        <v>19</v>
      </c>
      <c r="J264">
        <v>-9</v>
      </c>
      <c r="K264">
        <v>10</v>
      </c>
      <c r="L264">
        <v>7</v>
      </c>
      <c r="M264">
        <v>5</v>
      </c>
      <c r="N264">
        <v>0</v>
      </c>
      <c r="O264">
        <v>1</v>
      </c>
      <c r="P264">
        <v>5</v>
      </c>
      <c r="Q264">
        <v>2</v>
      </c>
      <c r="R264">
        <v>0</v>
      </c>
      <c r="S264">
        <v>69</v>
      </c>
      <c r="T264">
        <v>17.399999999999999</v>
      </c>
      <c r="U264">
        <v>128</v>
      </c>
      <c r="V264" t="s">
        <v>1562</v>
      </c>
      <c r="W264" t="s">
        <v>2404</v>
      </c>
      <c r="X264">
        <v>2</v>
      </c>
      <c r="Y264">
        <v>3</v>
      </c>
      <c r="Z264">
        <v>40</v>
      </c>
      <c r="AA264">
        <v>22</v>
      </c>
      <c r="AB264">
        <v>8</v>
      </c>
      <c r="AC264">
        <v>6</v>
      </c>
      <c r="AD264">
        <v>22</v>
      </c>
      <c r="AE264" t="s">
        <v>60</v>
      </c>
    </row>
    <row r="265" spans="1:31" x14ac:dyDescent="0.2">
      <c r="A265">
        <v>260</v>
      </c>
      <c r="B265" t="s">
        <v>608</v>
      </c>
      <c r="C265">
        <v>22</v>
      </c>
      <c r="D265" t="s">
        <v>364</v>
      </c>
      <c r="E265" t="s">
        <v>322</v>
      </c>
      <c r="F265">
        <v>47</v>
      </c>
      <c r="G265">
        <v>10</v>
      </c>
      <c r="H265">
        <v>8</v>
      </c>
      <c r="I265">
        <v>18</v>
      </c>
      <c r="J265">
        <v>-9</v>
      </c>
      <c r="K265">
        <v>14</v>
      </c>
      <c r="L265">
        <v>7</v>
      </c>
      <c r="M265">
        <v>3</v>
      </c>
      <c r="N265">
        <v>0</v>
      </c>
      <c r="O265">
        <v>2</v>
      </c>
      <c r="P265">
        <v>6</v>
      </c>
      <c r="Q265">
        <v>2</v>
      </c>
      <c r="R265">
        <v>0</v>
      </c>
      <c r="S265">
        <v>67</v>
      </c>
      <c r="T265">
        <v>14.9</v>
      </c>
      <c r="U265">
        <v>143</v>
      </c>
      <c r="V265" t="s">
        <v>2405</v>
      </c>
      <c r="W265" t="s">
        <v>2406</v>
      </c>
      <c r="X265">
        <v>17</v>
      </c>
      <c r="Y265">
        <v>17</v>
      </c>
      <c r="Z265">
        <v>50</v>
      </c>
      <c r="AA265">
        <v>23</v>
      </c>
      <c r="AB265">
        <v>90</v>
      </c>
      <c r="AC265">
        <v>10</v>
      </c>
      <c r="AD265">
        <v>34</v>
      </c>
      <c r="AE265" t="s">
        <v>60</v>
      </c>
    </row>
    <row r="266" spans="1:31" x14ac:dyDescent="0.2">
      <c r="A266">
        <v>261</v>
      </c>
      <c r="B266" t="s">
        <v>613</v>
      </c>
      <c r="C266">
        <v>29</v>
      </c>
      <c r="D266" t="s">
        <v>330</v>
      </c>
      <c r="E266" t="s">
        <v>322</v>
      </c>
      <c r="F266">
        <v>46</v>
      </c>
      <c r="G266">
        <v>10</v>
      </c>
      <c r="H266">
        <v>8</v>
      </c>
      <c r="I266">
        <v>18</v>
      </c>
      <c r="J266">
        <v>-13</v>
      </c>
      <c r="K266">
        <v>28</v>
      </c>
      <c r="L266">
        <v>9</v>
      </c>
      <c r="M266">
        <v>1</v>
      </c>
      <c r="N266">
        <v>0</v>
      </c>
      <c r="O266">
        <v>2</v>
      </c>
      <c r="P266">
        <v>7</v>
      </c>
      <c r="Q266">
        <v>1</v>
      </c>
      <c r="R266">
        <v>0</v>
      </c>
      <c r="S266">
        <v>78</v>
      </c>
      <c r="T266">
        <v>12.8</v>
      </c>
      <c r="U266">
        <v>172</v>
      </c>
      <c r="V266" t="s">
        <v>2149</v>
      </c>
      <c r="W266" t="s">
        <v>1367</v>
      </c>
      <c r="X266">
        <v>103</v>
      </c>
      <c r="Y266">
        <v>99</v>
      </c>
      <c r="Z266">
        <v>51</v>
      </c>
      <c r="AA266">
        <v>11</v>
      </c>
      <c r="AB266">
        <v>56</v>
      </c>
      <c r="AC266">
        <v>13</v>
      </c>
      <c r="AD266">
        <v>35</v>
      </c>
      <c r="AE266" t="s">
        <v>60</v>
      </c>
    </row>
    <row r="267" spans="1:31" x14ac:dyDescent="0.2">
      <c r="A267">
        <v>262</v>
      </c>
      <c r="B267" t="s">
        <v>681</v>
      </c>
      <c r="C267">
        <v>23</v>
      </c>
      <c r="D267" t="s">
        <v>408</v>
      </c>
      <c r="E267" t="s">
        <v>349</v>
      </c>
      <c r="F267">
        <v>42</v>
      </c>
      <c r="G267">
        <v>3</v>
      </c>
      <c r="H267">
        <v>15</v>
      </c>
      <c r="I267">
        <v>18</v>
      </c>
      <c r="J267">
        <v>-1</v>
      </c>
      <c r="K267">
        <v>22</v>
      </c>
      <c r="L267">
        <v>3</v>
      </c>
      <c r="M267">
        <v>0</v>
      </c>
      <c r="N267">
        <v>0</v>
      </c>
      <c r="O267">
        <v>1</v>
      </c>
      <c r="P267">
        <v>13</v>
      </c>
      <c r="Q267">
        <v>2</v>
      </c>
      <c r="R267">
        <v>0</v>
      </c>
      <c r="S267">
        <v>46</v>
      </c>
      <c r="T267">
        <v>6.5</v>
      </c>
      <c r="U267">
        <v>138</v>
      </c>
      <c r="V267" t="s">
        <v>2774</v>
      </c>
      <c r="W267" t="s">
        <v>1843</v>
      </c>
      <c r="X267">
        <v>0</v>
      </c>
      <c r="Y267">
        <v>0</v>
      </c>
      <c r="AA267">
        <v>43</v>
      </c>
      <c r="AB267">
        <v>10</v>
      </c>
      <c r="AC267">
        <v>8</v>
      </c>
      <c r="AD267">
        <v>26</v>
      </c>
      <c r="AE267" t="s">
        <v>60</v>
      </c>
    </row>
    <row r="268" spans="1:31" x14ac:dyDescent="0.2">
      <c r="A268">
        <v>263</v>
      </c>
      <c r="B268" t="s">
        <v>821</v>
      </c>
      <c r="C268">
        <v>29</v>
      </c>
      <c r="D268" t="s">
        <v>374</v>
      </c>
      <c r="E268" t="s">
        <v>349</v>
      </c>
      <c r="F268">
        <v>44</v>
      </c>
      <c r="G268">
        <v>3</v>
      </c>
      <c r="H268">
        <v>15</v>
      </c>
      <c r="I268">
        <v>18</v>
      </c>
      <c r="J268">
        <v>-9</v>
      </c>
      <c r="K268">
        <v>33</v>
      </c>
      <c r="L268">
        <v>2</v>
      </c>
      <c r="M268">
        <v>1</v>
      </c>
      <c r="N268">
        <v>0</v>
      </c>
      <c r="O268">
        <v>3</v>
      </c>
      <c r="P268">
        <v>12</v>
      </c>
      <c r="Q268">
        <v>2</v>
      </c>
      <c r="R268">
        <v>1</v>
      </c>
      <c r="S268">
        <v>62</v>
      </c>
      <c r="T268">
        <v>4.8</v>
      </c>
      <c r="U268">
        <v>154</v>
      </c>
      <c r="V268" t="s">
        <v>2150</v>
      </c>
      <c r="W268" t="s">
        <v>2151</v>
      </c>
      <c r="X268">
        <v>0</v>
      </c>
      <c r="Y268">
        <v>0</v>
      </c>
      <c r="AA268">
        <v>73</v>
      </c>
      <c r="AB268">
        <v>53</v>
      </c>
      <c r="AC268">
        <v>12</v>
      </c>
      <c r="AD268">
        <v>40</v>
      </c>
      <c r="AE268" t="s">
        <v>60</v>
      </c>
    </row>
    <row r="269" spans="1:31" x14ac:dyDescent="0.2">
      <c r="A269">
        <v>264</v>
      </c>
      <c r="B269" t="s">
        <v>707</v>
      </c>
      <c r="C269">
        <v>27</v>
      </c>
      <c r="D269" t="s">
        <v>367</v>
      </c>
      <c r="E269" t="s">
        <v>325</v>
      </c>
      <c r="F269">
        <v>36</v>
      </c>
      <c r="G269">
        <v>10</v>
      </c>
      <c r="H269">
        <v>8</v>
      </c>
      <c r="I269">
        <v>18</v>
      </c>
      <c r="J269">
        <v>6</v>
      </c>
      <c r="K269">
        <v>10</v>
      </c>
      <c r="L269">
        <v>8</v>
      </c>
      <c r="M269">
        <v>2</v>
      </c>
      <c r="N269">
        <v>0</v>
      </c>
      <c r="O269">
        <v>0</v>
      </c>
      <c r="P269">
        <v>7</v>
      </c>
      <c r="Q269">
        <v>1</v>
      </c>
      <c r="R269">
        <v>0</v>
      </c>
      <c r="S269">
        <v>62</v>
      </c>
      <c r="T269">
        <v>16.100000000000001</v>
      </c>
      <c r="U269">
        <v>107</v>
      </c>
      <c r="V269" t="s">
        <v>2407</v>
      </c>
      <c r="W269" t="s">
        <v>2408</v>
      </c>
      <c r="X269">
        <v>1</v>
      </c>
      <c r="Y269">
        <v>3</v>
      </c>
      <c r="Z269">
        <v>25</v>
      </c>
      <c r="AA269">
        <v>22</v>
      </c>
      <c r="AB269">
        <v>32</v>
      </c>
      <c r="AC269">
        <v>5</v>
      </c>
      <c r="AD269">
        <v>13</v>
      </c>
      <c r="AE269" t="s">
        <v>60</v>
      </c>
    </row>
    <row r="270" spans="1:31" x14ac:dyDescent="0.2">
      <c r="A270">
        <v>265</v>
      </c>
      <c r="B270" t="s">
        <v>618</v>
      </c>
      <c r="C270">
        <v>24</v>
      </c>
      <c r="D270" t="s">
        <v>400</v>
      </c>
      <c r="E270" t="s">
        <v>335</v>
      </c>
      <c r="F270">
        <v>43</v>
      </c>
      <c r="G270">
        <v>8</v>
      </c>
      <c r="H270">
        <v>10</v>
      </c>
      <c r="I270">
        <v>18</v>
      </c>
      <c r="J270">
        <v>-7</v>
      </c>
      <c r="K270">
        <v>16</v>
      </c>
      <c r="L270">
        <v>6</v>
      </c>
      <c r="M270">
        <v>2</v>
      </c>
      <c r="N270">
        <v>0</v>
      </c>
      <c r="O270">
        <v>0</v>
      </c>
      <c r="P270">
        <v>9</v>
      </c>
      <c r="Q270">
        <v>1</v>
      </c>
      <c r="R270">
        <v>0</v>
      </c>
      <c r="S270">
        <v>96</v>
      </c>
      <c r="T270">
        <v>8.3000000000000007</v>
      </c>
      <c r="U270">
        <v>179</v>
      </c>
      <c r="V270" t="s">
        <v>2775</v>
      </c>
      <c r="W270" t="s">
        <v>1805</v>
      </c>
      <c r="X270">
        <v>4</v>
      </c>
      <c r="Y270">
        <v>5</v>
      </c>
      <c r="Z270">
        <v>44.4</v>
      </c>
      <c r="AA270">
        <v>12</v>
      </c>
      <c r="AB270">
        <v>41</v>
      </c>
      <c r="AC270">
        <v>15</v>
      </c>
      <c r="AD270">
        <v>26</v>
      </c>
      <c r="AE270" t="s">
        <v>60</v>
      </c>
    </row>
    <row r="271" spans="1:31" x14ac:dyDescent="0.2">
      <c r="A271">
        <v>266</v>
      </c>
      <c r="B271" t="s">
        <v>914</v>
      </c>
      <c r="C271">
        <v>29</v>
      </c>
      <c r="D271" t="s">
        <v>344</v>
      </c>
      <c r="E271" t="s">
        <v>349</v>
      </c>
      <c r="F271">
        <v>35</v>
      </c>
      <c r="G271">
        <v>2</v>
      </c>
      <c r="H271">
        <v>16</v>
      </c>
      <c r="I271">
        <v>18</v>
      </c>
      <c r="J271">
        <v>-5</v>
      </c>
      <c r="K271">
        <v>6</v>
      </c>
      <c r="L271">
        <v>2</v>
      </c>
      <c r="M271">
        <v>0</v>
      </c>
      <c r="N271">
        <v>0</v>
      </c>
      <c r="O271">
        <v>0</v>
      </c>
      <c r="P271">
        <v>10</v>
      </c>
      <c r="Q271">
        <v>6</v>
      </c>
      <c r="R271">
        <v>0</v>
      </c>
      <c r="S271">
        <v>82</v>
      </c>
      <c r="T271">
        <v>2.4</v>
      </c>
      <c r="U271">
        <v>177</v>
      </c>
      <c r="V271" t="s">
        <v>2776</v>
      </c>
      <c r="W271" t="s">
        <v>2777</v>
      </c>
      <c r="X271">
        <v>0</v>
      </c>
      <c r="Y271">
        <v>0</v>
      </c>
      <c r="AA271">
        <v>53</v>
      </c>
      <c r="AB271">
        <v>21</v>
      </c>
      <c r="AC271">
        <v>20</v>
      </c>
      <c r="AD271">
        <v>48</v>
      </c>
      <c r="AE271" t="s">
        <v>60</v>
      </c>
    </row>
    <row r="272" spans="1:31" x14ac:dyDescent="0.2">
      <c r="A272">
        <v>267</v>
      </c>
      <c r="B272" t="s">
        <v>644</v>
      </c>
      <c r="C272">
        <v>28</v>
      </c>
      <c r="D272" t="s">
        <v>356</v>
      </c>
      <c r="E272" t="s">
        <v>325</v>
      </c>
      <c r="F272">
        <v>43</v>
      </c>
      <c r="G272">
        <v>4</v>
      </c>
      <c r="H272">
        <v>14</v>
      </c>
      <c r="I272">
        <v>18</v>
      </c>
      <c r="J272">
        <v>0</v>
      </c>
      <c r="K272">
        <v>39</v>
      </c>
      <c r="L272">
        <v>4</v>
      </c>
      <c r="M272">
        <v>0</v>
      </c>
      <c r="N272">
        <v>0</v>
      </c>
      <c r="O272">
        <v>1</v>
      </c>
      <c r="P272">
        <v>13</v>
      </c>
      <c r="Q272">
        <v>1</v>
      </c>
      <c r="R272">
        <v>0</v>
      </c>
      <c r="S272">
        <v>52</v>
      </c>
      <c r="T272">
        <v>7.7</v>
      </c>
      <c r="U272">
        <v>117</v>
      </c>
      <c r="V272" t="s">
        <v>2409</v>
      </c>
      <c r="W272" t="s">
        <v>1541</v>
      </c>
      <c r="X272">
        <v>7</v>
      </c>
      <c r="Y272">
        <v>6</v>
      </c>
      <c r="Z272">
        <v>53.8</v>
      </c>
      <c r="AA272">
        <v>35</v>
      </c>
      <c r="AB272">
        <v>133</v>
      </c>
      <c r="AC272">
        <v>3</v>
      </c>
      <c r="AD272">
        <v>31</v>
      </c>
      <c r="AE272" t="s">
        <v>60</v>
      </c>
    </row>
    <row r="273" spans="1:31" x14ac:dyDescent="0.2">
      <c r="A273">
        <v>268</v>
      </c>
      <c r="B273" t="s">
        <v>791</v>
      </c>
      <c r="C273">
        <v>29</v>
      </c>
      <c r="D273" t="s">
        <v>421</v>
      </c>
      <c r="E273" t="s">
        <v>325</v>
      </c>
      <c r="F273">
        <v>41</v>
      </c>
      <c r="G273">
        <v>9</v>
      </c>
      <c r="H273">
        <v>9</v>
      </c>
      <c r="I273">
        <v>18</v>
      </c>
      <c r="J273">
        <v>-3</v>
      </c>
      <c r="K273">
        <v>14</v>
      </c>
      <c r="L273">
        <v>4</v>
      </c>
      <c r="M273">
        <v>5</v>
      </c>
      <c r="N273">
        <v>0</v>
      </c>
      <c r="O273">
        <v>1</v>
      </c>
      <c r="P273">
        <v>5</v>
      </c>
      <c r="Q273">
        <v>4</v>
      </c>
      <c r="R273">
        <v>0</v>
      </c>
      <c r="S273">
        <v>53</v>
      </c>
      <c r="T273">
        <v>17</v>
      </c>
      <c r="U273">
        <v>134</v>
      </c>
      <c r="V273" t="s">
        <v>2778</v>
      </c>
      <c r="W273" t="s">
        <v>2310</v>
      </c>
      <c r="X273">
        <v>0</v>
      </c>
      <c r="Y273">
        <v>0</v>
      </c>
      <c r="AA273">
        <v>10</v>
      </c>
      <c r="AB273">
        <v>18</v>
      </c>
      <c r="AC273">
        <v>7</v>
      </c>
      <c r="AD273">
        <v>41</v>
      </c>
      <c r="AE273" t="s">
        <v>60</v>
      </c>
    </row>
    <row r="274" spans="1:31" x14ac:dyDescent="0.2">
      <c r="A274">
        <v>269</v>
      </c>
      <c r="B274" t="s">
        <v>889</v>
      </c>
      <c r="C274">
        <v>29</v>
      </c>
      <c r="D274" t="s">
        <v>532</v>
      </c>
      <c r="E274" t="s">
        <v>322</v>
      </c>
      <c r="F274">
        <v>21</v>
      </c>
      <c r="G274">
        <v>10</v>
      </c>
      <c r="H274">
        <v>8</v>
      </c>
      <c r="I274">
        <v>18</v>
      </c>
      <c r="J274">
        <v>3</v>
      </c>
      <c r="K274">
        <v>5</v>
      </c>
      <c r="L274">
        <v>6</v>
      </c>
      <c r="M274">
        <v>4</v>
      </c>
      <c r="N274">
        <v>0</v>
      </c>
      <c r="O274">
        <v>1</v>
      </c>
      <c r="P274">
        <v>5</v>
      </c>
      <c r="Q274">
        <v>3</v>
      </c>
      <c r="R274">
        <v>0</v>
      </c>
      <c r="S274">
        <v>52</v>
      </c>
      <c r="T274">
        <v>19.2</v>
      </c>
      <c r="U274">
        <v>104</v>
      </c>
      <c r="V274" t="s">
        <v>2779</v>
      </c>
      <c r="W274" t="s">
        <v>593</v>
      </c>
      <c r="X274">
        <v>4</v>
      </c>
      <c r="Y274">
        <v>8</v>
      </c>
      <c r="Z274">
        <v>33.299999999999997</v>
      </c>
      <c r="AA274">
        <v>15</v>
      </c>
      <c r="AB274">
        <v>16</v>
      </c>
      <c r="AC274">
        <v>5</v>
      </c>
      <c r="AD274">
        <v>20</v>
      </c>
      <c r="AE274" t="s">
        <v>60</v>
      </c>
    </row>
    <row r="275" spans="1:31" x14ac:dyDescent="0.2">
      <c r="A275">
        <v>270</v>
      </c>
      <c r="B275" t="s">
        <v>569</v>
      </c>
      <c r="C275">
        <v>21</v>
      </c>
      <c r="D275" t="s">
        <v>400</v>
      </c>
      <c r="E275" t="s">
        <v>349</v>
      </c>
      <c r="F275">
        <v>34</v>
      </c>
      <c r="G275">
        <v>7</v>
      </c>
      <c r="H275">
        <v>11</v>
      </c>
      <c r="I275">
        <v>18</v>
      </c>
      <c r="J275">
        <v>2</v>
      </c>
      <c r="K275">
        <v>16</v>
      </c>
      <c r="L275">
        <v>7</v>
      </c>
      <c r="M275">
        <v>0</v>
      </c>
      <c r="N275">
        <v>0</v>
      </c>
      <c r="O275">
        <v>2</v>
      </c>
      <c r="P275">
        <v>10</v>
      </c>
      <c r="Q275">
        <v>1</v>
      </c>
      <c r="R275">
        <v>0</v>
      </c>
      <c r="S275">
        <v>58</v>
      </c>
      <c r="T275">
        <v>12.1</v>
      </c>
      <c r="U275">
        <v>143</v>
      </c>
      <c r="V275" t="s">
        <v>2780</v>
      </c>
      <c r="W275" t="s">
        <v>1702</v>
      </c>
      <c r="X275">
        <v>0</v>
      </c>
      <c r="Y275">
        <v>0</v>
      </c>
      <c r="AA275">
        <v>49</v>
      </c>
      <c r="AB275">
        <v>9</v>
      </c>
      <c r="AC275">
        <v>10</v>
      </c>
      <c r="AD275">
        <v>33</v>
      </c>
      <c r="AE275" t="s">
        <v>60</v>
      </c>
    </row>
    <row r="276" spans="1:31" x14ac:dyDescent="0.2">
      <c r="A276">
        <v>271</v>
      </c>
      <c r="B276" t="s">
        <v>764</v>
      </c>
      <c r="C276">
        <v>24</v>
      </c>
      <c r="D276" t="s">
        <v>398</v>
      </c>
      <c r="E276" t="s">
        <v>349</v>
      </c>
      <c r="F276">
        <v>46</v>
      </c>
      <c r="G276">
        <v>5</v>
      </c>
      <c r="H276">
        <v>13</v>
      </c>
      <c r="I276">
        <v>18</v>
      </c>
      <c r="J276">
        <v>10</v>
      </c>
      <c r="K276">
        <v>14</v>
      </c>
      <c r="L276">
        <v>4</v>
      </c>
      <c r="M276">
        <v>1</v>
      </c>
      <c r="N276">
        <v>0</v>
      </c>
      <c r="O276">
        <v>0</v>
      </c>
      <c r="P276">
        <v>9</v>
      </c>
      <c r="Q276">
        <v>4</v>
      </c>
      <c r="R276">
        <v>0</v>
      </c>
      <c r="S276">
        <v>69</v>
      </c>
      <c r="T276">
        <v>7.2</v>
      </c>
      <c r="U276">
        <v>189</v>
      </c>
      <c r="V276" t="s">
        <v>2410</v>
      </c>
      <c r="W276" t="s">
        <v>2411</v>
      </c>
      <c r="X276">
        <v>0</v>
      </c>
      <c r="Y276">
        <v>0</v>
      </c>
      <c r="AA276">
        <v>57</v>
      </c>
      <c r="AB276">
        <v>86</v>
      </c>
      <c r="AC276">
        <v>15</v>
      </c>
      <c r="AD276">
        <v>53</v>
      </c>
      <c r="AE276" t="s">
        <v>60</v>
      </c>
    </row>
    <row r="277" spans="1:31" x14ac:dyDescent="0.2">
      <c r="A277">
        <v>272</v>
      </c>
      <c r="B277" t="s">
        <v>505</v>
      </c>
      <c r="C277">
        <v>34</v>
      </c>
      <c r="D277" t="s">
        <v>385</v>
      </c>
      <c r="E277" t="s">
        <v>335</v>
      </c>
      <c r="F277">
        <v>25</v>
      </c>
      <c r="G277">
        <v>6</v>
      </c>
      <c r="H277">
        <v>12</v>
      </c>
      <c r="I277">
        <v>18</v>
      </c>
      <c r="J277">
        <v>-2</v>
      </c>
      <c r="K277">
        <v>8</v>
      </c>
      <c r="L277">
        <v>4</v>
      </c>
      <c r="M277">
        <v>1</v>
      </c>
      <c r="N277">
        <v>1</v>
      </c>
      <c r="O277">
        <v>1</v>
      </c>
      <c r="P277">
        <v>8</v>
      </c>
      <c r="Q277">
        <v>4</v>
      </c>
      <c r="R277">
        <v>0</v>
      </c>
      <c r="S277">
        <v>71</v>
      </c>
      <c r="T277">
        <v>8.5</v>
      </c>
      <c r="U277">
        <v>126</v>
      </c>
      <c r="V277" t="s">
        <v>506</v>
      </c>
      <c r="W277" t="s">
        <v>507</v>
      </c>
      <c r="X277">
        <v>2</v>
      </c>
      <c r="Y277">
        <v>2</v>
      </c>
      <c r="Z277">
        <v>50</v>
      </c>
      <c r="AA277">
        <v>9</v>
      </c>
      <c r="AB277">
        <v>19</v>
      </c>
      <c r="AC277">
        <v>8</v>
      </c>
      <c r="AD277">
        <v>18</v>
      </c>
      <c r="AE277" t="s">
        <v>60</v>
      </c>
    </row>
    <row r="278" spans="1:31" x14ac:dyDescent="0.2">
      <c r="A278">
        <v>273</v>
      </c>
      <c r="B278" t="s">
        <v>687</v>
      </c>
      <c r="C278">
        <v>29</v>
      </c>
      <c r="D278" t="s">
        <v>382</v>
      </c>
      <c r="E278" t="s">
        <v>349</v>
      </c>
      <c r="F278">
        <v>46</v>
      </c>
      <c r="G278">
        <v>5</v>
      </c>
      <c r="H278">
        <v>13</v>
      </c>
      <c r="I278">
        <v>18</v>
      </c>
      <c r="J278">
        <v>8</v>
      </c>
      <c r="K278">
        <v>20</v>
      </c>
      <c r="L278">
        <v>5</v>
      </c>
      <c r="M278">
        <v>0</v>
      </c>
      <c r="N278">
        <v>0</v>
      </c>
      <c r="O278">
        <v>0</v>
      </c>
      <c r="P278">
        <v>11</v>
      </c>
      <c r="Q278">
        <v>2</v>
      </c>
      <c r="R278">
        <v>0</v>
      </c>
      <c r="S278">
        <v>95</v>
      </c>
      <c r="T278">
        <v>5.3</v>
      </c>
      <c r="U278">
        <v>207</v>
      </c>
      <c r="V278" t="s">
        <v>2412</v>
      </c>
      <c r="W278" t="s">
        <v>2080</v>
      </c>
      <c r="X278">
        <v>0</v>
      </c>
      <c r="Y278">
        <v>0</v>
      </c>
      <c r="AA278">
        <v>81</v>
      </c>
      <c r="AB278">
        <v>22</v>
      </c>
      <c r="AC278">
        <v>14</v>
      </c>
      <c r="AD278">
        <v>77</v>
      </c>
      <c r="AE278" t="s">
        <v>60</v>
      </c>
    </row>
    <row r="279" spans="1:31" x14ac:dyDescent="0.2">
      <c r="A279">
        <v>274</v>
      </c>
      <c r="B279" t="s">
        <v>603</v>
      </c>
      <c r="C279">
        <v>23</v>
      </c>
      <c r="D279" t="s">
        <v>374</v>
      </c>
      <c r="E279" t="s">
        <v>335</v>
      </c>
      <c r="F279">
        <v>43</v>
      </c>
      <c r="G279">
        <v>4</v>
      </c>
      <c r="H279">
        <v>14</v>
      </c>
      <c r="I279">
        <v>18</v>
      </c>
      <c r="J279">
        <v>-5</v>
      </c>
      <c r="K279">
        <v>14</v>
      </c>
      <c r="L279">
        <v>2</v>
      </c>
      <c r="M279">
        <v>2</v>
      </c>
      <c r="N279">
        <v>0</v>
      </c>
      <c r="O279">
        <v>0</v>
      </c>
      <c r="P279">
        <v>9</v>
      </c>
      <c r="Q279">
        <v>5</v>
      </c>
      <c r="R279">
        <v>0</v>
      </c>
      <c r="S279">
        <v>99</v>
      </c>
      <c r="T279">
        <v>4</v>
      </c>
      <c r="U279">
        <v>193</v>
      </c>
      <c r="V279" t="s">
        <v>2152</v>
      </c>
      <c r="W279" t="s">
        <v>1956</v>
      </c>
      <c r="X279">
        <v>0</v>
      </c>
      <c r="Y279">
        <v>0</v>
      </c>
      <c r="AA279">
        <v>16</v>
      </c>
      <c r="AB279">
        <v>85</v>
      </c>
      <c r="AC279">
        <v>6</v>
      </c>
      <c r="AD279">
        <v>26</v>
      </c>
      <c r="AE279" t="s">
        <v>60</v>
      </c>
    </row>
    <row r="280" spans="1:31" x14ac:dyDescent="0.2">
      <c r="A280">
        <v>275</v>
      </c>
      <c r="B280" t="s">
        <v>670</v>
      </c>
      <c r="C280">
        <v>25</v>
      </c>
      <c r="D280" t="s">
        <v>408</v>
      </c>
      <c r="E280" t="s">
        <v>349</v>
      </c>
      <c r="F280">
        <v>38</v>
      </c>
      <c r="G280">
        <v>3</v>
      </c>
      <c r="H280">
        <v>15</v>
      </c>
      <c r="I280">
        <v>18</v>
      </c>
      <c r="J280">
        <v>2</v>
      </c>
      <c r="K280">
        <v>16</v>
      </c>
      <c r="L280">
        <v>2</v>
      </c>
      <c r="M280">
        <v>1</v>
      </c>
      <c r="N280">
        <v>0</v>
      </c>
      <c r="O280">
        <v>1</v>
      </c>
      <c r="P280">
        <v>9</v>
      </c>
      <c r="Q280">
        <v>6</v>
      </c>
      <c r="R280">
        <v>0</v>
      </c>
      <c r="S280">
        <v>49</v>
      </c>
      <c r="T280">
        <v>6.1</v>
      </c>
      <c r="U280">
        <v>107</v>
      </c>
      <c r="V280" t="s">
        <v>2781</v>
      </c>
      <c r="W280" t="s">
        <v>2222</v>
      </c>
      <c r="X280">
        <v>0</v>
      </c>
      <c r="Y280">
        <v>0</v>
      </c>
      <c r="AA280">
        <v>73</v>
      </c>
      <c r="AB280">
        <v>4</v>
      </c>
      <c r="AC280">
        <v>8</v>
      </c>
      <c r="AD280">
        <v>38</v>
      </c>
      <c r="AE280" t="s">
        <v>60</v>
      </c>
    </row>
    <row r="281" spans="1:31" x14ac:dyDescent="0.2">
      <c r="A281">
        <v>276</v>
      </c>
      <c r="B281" t="s">
        <v>610</v>
      </c>
      <c r="C281">
        <v>20</v>
      </c>
      <c r="D281" t="s">
        <v>957</v>
      </c>
      <c r="E281" t="s">
        <v>349</v>
      </c>
      <c r="F281">
        <v>45</v>
      </c>
      <c r="G281">
        <v>4</v>
      </c>
      <c r="H281">
        <v>14</v>
      </c>
      <c r="I281">
        <v>18</v>
      </c>
      <c r="J281">
        <v>-16</v>
      </c>
      <c r="K281">
        <v>14</v>
      </c>
      <c r="L281">
        <v>1</v>
      </c>
      <c r="M281">
        <v>3</v>
      </c>
      <c r="N281">
        <v>0</v>
      </c>
      <c r="O281">
        <v>1</v>
      </c>
      <c r="P281">
        <v>6</v>
      </c>
      <c r="Q281">
        <v>8</v>
      </c>
      <c r="R281">
        <v>0</v>
      </c>
      <c r="S281">
        <v>43</v>
      </c>
      <c r="T281">
        <v>9.3000000000000007</v>
      </c>
      <c r="U281">
        <v>131</v>
      </c>
      <c r="V281" t="s">
        <v>2413</v>
      </c>
      <c r="W281" t="s">
        <v>2414</v>
      </c>
      <c r="X281">
        <v>0</v>
      </c>
      <c r="Y281">
        <v>0</v>
      </c>
      <c r="AA281">
        <v>25</v>
      </c>
      <c r="AB281">
        <v>13</v>
      </c>
      <c r="AC281">
        <v>10</v>
      </c>
      <c r="AD281">
        <v>46</v>
      </c>
      <c r="AE281" t="s">
        <v>60</v>
      </c>
    </row>
    <row r="282" spans="1:31" x14ac:dyDescent="0.2">
      <c r="A282">
        <v>276</v>
      </c>
      <c r="B282" t="s">
        <v>610</v>
      </c>
      <c r="C282">
        <v>20</v>
      </c>
      <c r="D282" t="s">
        <v>358</v>
      </c>
      <c r="E282" t="s">
        <v>349</v>
      </c>
      <c r="F282">
        <v>31</v>
      </c>
      <c r="G282">
        <v>3</v>
      </c>
      <c r="H282">
        <v>11</v>
      </c>
      <c r="I282">
        <v>14</v>
      </c>
      <c r="J282">
        <v>-9</v>
      </c>
      <c r="K282">
        <v>8</v>
      </c>
      <c r="L282">
        <v>1</v>
      </c>
      <c r="M282">
        <v>2</v>
      </c>
      <c r="N282">
        <v>0</v>
      </c>
      <c r="O282">
        <v>0</v>
      </c>
      <c r="P282">
        <v>5</v>
      </c>
      <c r="Q282">
        <v>6</v>
      </c>
      <c r="R282">
        <v>0</v>
      </c>
      <c r="S282">
        <v>31</v>
      </c>
      <c r="T282">
        <v>9.6999999999999993</v>
      </c>
      <c r="U282">
        <v>84</v>
      </c>
      <c r="V282" t="s">
        <v>1575</v>
      </c>
      <c r="W282" t="s">
        <v>1569</v>
      </c>
      <c r="X282">
        <v>0</v>
      </c>
      <c r="Y282">
        <v>0</v>
      </c>
      <c r="AA282">
        <v>15</v>
      </c>
      <c r="AB282">
        <v>9</v>
      </c>
      <c r="AC282">
        <v>5</v>
      </c>
      <c r="AD282">
        <v>32</v>
      </c>
      <c r="AE282" t="s">
        <v>60</v>
      </c>
    </row>
    <row r="283" spans="1:31" x14ac:dyDescent="0.2">
      <c r="A283">
        <v>276</v>
      </c>
      <c r="B283" t="s">
        <v>610</v>
      </c>
      <c r="C283">
        <v>20</v>
      </c>
      <c r="D283" t="s">
        <v>449</v>
      </c>
      <c r="E283" t="s">
        <v>349</v>
      </c>
      <c r="F283">
        <v>14</v>
      </c>
      <c r="G283">
        <v>1</v>
      </c>
      <c r="H283">
        <v>3</v>
      </c>
      <c r="I283">
        <v>4</v>
      </c>
      <c r="J283">
        <v>-7</v>
      </c>
      <c r="K283">
        <v>6</v>
      </c>
      <c r="L283">
        <v>0</v>
      </c>
      <c r="M283">
        <v>1</v>
      </c>
      <c r="N283">
        <v>0</v>
      </c>
      <c r="O283">
        <v>1</v>
      </c>
      <c r="P283">
        <v>1</v>
      </c>
      <c r="Q283">
        <v>2</v>
      </c>
      <c r="R283">
        <v>0</v>
      </c>
      <c r="S283">
        <v>12</v>
      </c>
      <c r="T283">
        <v>8.3000000000000007</v>
      </c>
      <c r="U283">
        <v>47</v>
      </c>
      <c r="V283" t="s">
        <v>2415</v>
      </c>
      <c r="W283" t="s">
        <v>1529</v>
      </c>
      <c r="X283">
        <v>0</v>
      </c>
      <c r="Y283">
        <v>0</v>
      </c>
      <c r="AA283">
        <v>10</v>
      </c>
      <c r="AB283">
        <v>4</v>
      </c>
      <c r="AC283">
        <v>5</v>
      </c>
      <c r="AD283">
        <v>14</v>
      </c>
      <c r="AE283" t="s">
        <v>60</v>
      </c>
    </row>
    <row r="284" spans="1:31" x14ac:dyDescent="0.2">
      <c r="A284">
        <v>277</v>
      </c>
      <c r="B284" t="s">
        <v>673</v>
      </c>
      <c r="C284">
        <v>29</v>
      </c>
      <c r="D284" t="s">
        <v>418</v>
      </c>
      <c r="E284" t="s">
        <v>322</v>
      </c>
      <c r="F284">
        <v>46</v>
      </c>
      <c r="G284">
        <v>7</v>
      </c>
      <c r="H284">
        <v>10</v>
      </c>
      <c r="I284">
        <v>17</v>
      </c>
      <c r="J284">
        <v>4</v>
      </c>
      <c r="K284">
        <v>12</v>
      </c>
      <c r="L284">
        <v>7</v>
      </c>
      <c r="M284">
        <v>0</v>
      </c>
      <c r="N284">
        <v>0</v>
      </c>
      <c r="O284">
        <v>1</v>
      </c>
      <c r="P284">
        <v>10</v>
      </c>
      <c r="Q284">
        <v>0</v>
      </c>
      <c r="R284">
        <v>0</v>
      </c>
      <c r="S284">
        <v>57</v>
      </c>
      <c r="T284">
        <v>12.3</v>
      </c>
      <c r="U284">
        <v>113</v>
      </c>
      <c r="V284" t="s">
        <v>2782</v>
      </c>
      <c r="W284" t="s">
        <v>1542</v>
      </c>
      <c r="X284">
        <v>3</v>
      </c>
      <c r="Y284">
        <v>6</v>
      </c>
      <c r="Z284">
        <v>33.299999999999997</v>
      </c>
      <c r="AA284">
        <v>25</v>
      </c>
      <c r="AB284">
        <v>67</v>
      </c>
      <c r="AC284">
        <v>17</v>
      </c>
      <c r="AD284">
        <v>30</v>
      </c>
      <c r="AE284" t="s">
        <v>60</v>
      </c>
    </row>
    <row r="285" spans="1:31" x14ac:dyDescent="0.2">
      <c r="A285">
        <v>278</v>
      </c>
      <c r="B285" t="s">
        <v>743</v>
      </c>
      <c r="C285">
        <v>32</v>
      </c>
      <c r="D285" t="s">
        <v>400</v>
      </c>
      <c r="E285" t="s">
        <v>335</v>
      </c>
      <c r="F285">
        <v>40</v>
      </c>
      <c r="G285">
        <v>9</v>
      </c>
      <c r="H285">
        <v>8</v>
      </c>
      <c r="I285">
        <v>17</v>
      </c>
      <c r="J285">
        <v>-2</v>
      </c>
      <c r="K285">
        <v>8</v>
      </c>
      <c r="L285">
        <v>8</v>
      </c>
      <c r="M285">
        <v>0</v>
      </c>
      <c r="N285">
        <v>1</v>
      </c>
      <c r="O285">
        <v>1</v>
      </c>
      <c r="P285">
        <v>8</v>
      </c>
      <c r="Q285">
        <v>0</v>
      </c>
      <c r="R285">
        <v>0</v>
      </c>
      <c r="S285">
        <v>54</v>
      </c>
      <c r="T285">
        <v>16.7</v>
      </c>
      <c r="U285">
        <v>91</v>
      </c>
      <c r="V285" t="s">
        <v>2783</v>
      </c>
      <c r="W285" t="s">
        <v>1797</v>
      </c>
      <c r="X285">
        <v>5</v>
      </c>
      <c r="Y285">
        <v>10</v>
      </c>
      <c r="Z285">
        <v>33.299999999999997</v>
      </c>
      <c r="AA285">
        <v>24</v>
      </c>
      <c r="AB285">
        <v>17</v>
      </c>
      <c r="AC285">
        <v>10</v>
      </c>
      <c r="AD285">
        <v>29</v>
      </c>
      <c r="AE285" t="s">
        <v>60</v>
      </c>
    </row>
    <row r="286" spans="1:31" x14ac:dyDescent="0.2">
      <c r="A286">
        <v>279</v>
      </c>
      <c r="B286" t="s">
        <v>696</v>
      </c>
      <c r="C286">
        <v>29</v>
      </c>
      <c r="D286" t="s">
        <v>406</v>
      </c>
      <c r="E286" t="s">
        <v>325</v>
      </c>
      <c r="F286">
        <v>45</v>
      </c>
      <c r="G286">
        <v>9</v>
      </c>
      <c r="H286">
        <v>8</v>
      </c>
      <c r="I286">
        <v>17</v>
      </c>
      <c r="J286">
        <v>1</v>
      </c>
      <c r="K286">
        <v>18</v>
      </c>
      <c r="L286">
        <v>8</v>
      </c>
      <c r="M286">
        <v>1</v>
      </c>
      <c r="N286">
        <v>0</v>
      </c>
      <c r="O286">
        <v>0</v>
      </c>
      <c r="P286">
        <v>8</v>
      </c>
      <c r="Q286">
        <v>0</v>
      </c>
      <c r="R286">
        <v>0</v>
      </c>
      <c r="S286">
        <v>92</v>
      </c>
      <c r="T286">
        <v>9.8000000000000007</v>
      </c>
      <c r="U286">
        <v>190</v>
      </c>
      <c r="V286" t="s">
        <v>2416</v>
      </c>
      <c r="W286" t="s">
        <v>918</v>
      </c>
      <c r="X286">
        <v>6</v>
      </c>
      <c r="Y286">
        <v>7</v>
      </c>
      <c r="Z286">
        <v>46.2</v>
      </c>
      <c r="AA286">
        <v>12</v>
      </c>
      <c r="AB286">
        <v>72</v>
      </c>
      <c r="AC286">
        <v>9</v>
      </c>
      <c r="AD286">
        <v>25</v>
      </c>
      <c r="AE286" t="s">
        <v>60</v>
      </c>
    </row>
    <row r="287" spans="1:31" x14ac:dyDescent="0.2">
      <c r="A287">
        <v>280</v>
      </c>
      <c r="B287" t="s">
        <v>586</v>
      </c>
      <c r="C287">
        <v>29</v>
      </c>
      <c r="D287" t="s">
        <v>374</v>
      </c>
      <c r="E287" t="s">
        <v>349</v>
      </c>
      <c r="F287">
        <v>45</v>
      </c>
      <c r="G287">
        <v>2</v>
      </c>
      <c r="H287">
        <v>15</v>
      </c>
      <c r="I287">
        <v>17</v>
      </c>
      <c r="J287">
        <v>-4</v>
      </c>
      <c r="K287">
        <v>20</v>
      </c>
      <c r="L287">
        <v>2</v>
      </c>
      <c r="M287">
        <v>0</v>
      </c>
      <c r="N287">
        <v>0</v>
      </c>
      <c r="O287">
        <v>1</v>
      </c>
      <c r="P287">
        <v>14</v>
      </c>
      <c r="Q287">
        <v>1</v>
      </c>
      <c r="R287">
        <v>0</v>
      </c>
      <c r="S287">
        <v>54</v>
      </c>
      <c r="T287">
        <v>3.7</v>
      </c>
      <c r="U287">
        <v>134</v>
      </c>
      <c r="V287" t="s">
        <v>2153</v>
      </c>
      <c r="W287" t="s">
        <v>2154</v>
      </c>
      <c r="X287">
        <v>0</v>
      </c>
      <c r="Y287">
        <v>0</v>
      </c>
      <c r="AA287">
        <v>49</v>
      </c>
      <c r="AB287">
        <v>37</v>
      </c>
      <c r="AC287">
        <v>17</v>
      </c>
      <c r="AD287">
        <v>31</v>
      </c>
      <c r="AE287" t="s">
        <v>60</v>
      </c>
    </row>
    <row r="288" spans="1:31" x14ac:dyDescent="0.2">
      <c r="A288">
        <v>281</v>
      </c>
      <c r="B288" t="s">
        <v>709</v>
      </c>
      <c r="C288">
        <v>29</v>
      </c>
      <c r="D288" t="s">
        <v>324</v>
      </c>
      <c r="E288" t="s">
        <v>322</v>
      </c>
      <c r="F288">
        <v>36</v>
      </c>
      <c r="G288">
        <v>10</v>
      </c>
      <c r="H288">
        <v>7</v>
      </c>
      <c r="I288">
        <v>17</v>
      </c>
      <c r="J288">
        <v>-8</v>
      </c>
      <c r="K288">
        <v>14</v>
      </c>
      <c r="L288">
        <v>7</v>
      </c>
      <c r="M288">
        <v>3</v>
      </c>
      <c r="N288">
        <v>0</v>
      </c>
      <c r="O288">
        <v>2</v>
      </c>
      <c r="P288">
        <v>4</v>
      </c>
      <c r="Q288">
        <v>3</v>
      </c>
      <c r="R288">
        <v>0</v>
      </c>
      <c r="S288">
        <v>58</v>
      </c>
      <c r="T288">
        <v>17.2</v>
      </c>
      <c r="U288">
        <v>108</v>
      </c>
      <c r="V288" t="s">
        <v>2081</v>
      </c>
      <c r="W288" t="s">
        <v>802</v>
      </c>
      <c r="X288">
        <v>66</v>
      </c>
      <c r="Y288">
        <v>76</v>
      </c>
      <c r="Z288">
        <v>46.5</v>
      </c>
      <c r="AA288">
        <v>13</v>
      </c>
      <c r="AB288">
        <v>37</v>
      </c>
      <c r="AC288">
        <v>9</v>
      </c>
      <c r="AD288">
        <v>10</v>
      </c>
      <c r="AE288" t="s">
        <v>60</v>
      </c>
    </row>
    <row r="289" spans="1:31" x14ac:dyDescent="0.2">
      <c r="A289">
        <v>282</v>
      </c>
      <c r="B289" t="s">
        <v>710</v>
      </c>
      <c r="C289">
        <v>34</v>
      </c>
      <c r="D289" t="s">
        <v>353</v>
      </c>
      <c r="E289" t="s">
        <v>322</v>
      </c>
      <c r="F289">
        <v>45</v>
      </c>
      <c r="G289">
        <v>6</v>
      </c>
      <c r="H289">
        <v>11</v>
      </c>
      <c r="I289">
        <v>17</v>
      </c>
      <c r="J289">
        <v>5</v>
      </c>
      <c r="K289">
        <v>39</v>
      </c>
      <c r="L289">
        <v>6</v>
      </c>
      <c r="M289">
        <v>0</v>
      </c>
      <c r="N289">
        <v>0</v>
      </c>
      <c r="O289">
        <v>1</v>
      </c>
      <c r="P289">
        <v>11</v>
      </c>
      <c r="Q289">
        <v>0</v>
      </c>
      <c r="R289">
        <v>0</v>
      </c>
      <c r="S289">
        <v>64</v>
      </c>
      <c r="T289">
        <v>9.4</v>
      </c>
      <c r="U289">
        <v>119</v>
      </c>
      <c r="V289" t="s">
        <v>2417</v>
      </c>
      <c r="W289" t="s">
        <v>2402</v>
      </c>
      <c r="X289">
        <v>203</v>
      </c>
      <c r="Y289">
        <v>258</v>
      </c>
      <c r="Z289">
        <v>44</v>
      </c>
      <c r="AA289">
        <v>24</v>
      </c>
      <c r="AB289">
        <v>59</v>
      </c>
      <c r="AC289">
        <v>12</v>
      </c>
      <c r="AD289">
        <v>41</v>
      </c>
      <c r="AE289" t="s">
        <v>60</v>
      </c>
    </row>
    <row r="290" spans="1:31" x14ac:dyDescent="0.2">
      <c r="A290">
        <v>283</v>
      </c>
      <c r="B290" t="s">
        <v>752</v>
      </c>
      <c r="C290">
        <v>22</v>
      </c>
      <c r="D290" t="s">
        <v>330</v>
      </c>
      <c r="E290" t="s">
        <v>322</v>
      </c>
      <c r="F290">
        <v>46</v>
      </c>
      <c r="G290">
        <v>5</v>
      </c>
      <c r="H290">
        <v>12</v>
      </c>
      <c r="I290">
        <v>17</v>
      </c>
      <c r="J290">
        <v>2</v>
      </c>
      <c r="K290">
        <v>10</v>
      </c>
      <c r="L290">
        <v>4</v>
      </c>
      <c r="M290">
        <v>1</v>
      </c>
      <c r="N290">
        <v>0</v>
      </c>
      <c r="O290">
        <v>0</v>
      </c>
      <c r="P290">
        <v>9</v>
      </c>
      <c r="Q290">
        <v>3</v>
      </c>
      <c r="R290">
        <v>0</v>
      </c>
      <c r="S290">
        <v>62</v>
      </c>
      <c r="T290">
        <v>8.1</v>
      </c>
      <c r="U290">
        <v>117</v>
      </c>
      <c r="V290" t="s">
        <v>1869</v>
      </c>
      <c r="W290" t="s">
        <v>474</v>
      </c>
      <c r="X290">
        <v>226</v>
      </c>
      <c r="Y290">
        <v>265</v>
      </c>
      <c r="Z290">
        <v>46</v>
      </c>
      <c r="AA290">
        <v>21</v>
      </c>
      <c r="AB290">
        <v>28</v>
      </c>
      <c r="AC290">
        <v>15</v>
      </c>
      <c r="AD290">
        <v>33</v>
      </c>
      <c r="AE290" t="s">
        <v>60</v>
      </c>
    </row>
    <row r="291" spans="1:31" x14ac:dyDescent="0.2">
      <c r="A291">
        <v>284</v>
      </c>
      <c r="B291" t="s">
        <v>641</v>
      </c>
      <c r="C291">
        <v>29</v>
      </c>
      <c r="D291" t="s">
        <v>374</v>
      </c>
      <c r="E291" t="s">
        <v>340</v>
      </c>
      <c r="F291">
        <v>45</v>
      </c>
      <c r="G291">
        <v>9</v>
      </c>
      <c r="H291">
        <v>8</v>
      </c>
      <c r="I291">
        <v>17</v>
      </c>
      <c r="J291">
        <v>6</v>
      </c>
      <c r="K291">
        <v>59</v>
      </c>
      <c r="L291">
        <v>9</v>
      </c>
      <c r="M291">
        <v>0</v>
      </c>
      <c r="N291">
        <v>0</v>
      </c>
      <c r="O291">
        <v>1</v>
      </c>
      <c r="P291">
        <v>8</v>
      </c>
      <c r="Q291">
        <v>0</v>
      </c>
      <c r="R291">
        <v>0</v>
      </c>
      <c r="S291">
        <v>57</v>
      </c>
      <c r="T291">
        <v>15.8</v>
      </c>
      <c r="U291">
        <v>103</v>
      </c>
      <c r="V291" t="s">
        <v>2155</v>
      </c>
      <c r="W291" t="s">
        <v>853</v>
      </c>
      <c r="X291">
        <v>3</v>
      </c>
      <c r="Y291">
        <v>7</v>
      </c>
      <c r="Z291">
        <v>30</v>
      </c>
      <c r="AA291">
        <v>15</v>
      </c>
      <c r="AB291">
        <v>113</v>
      </c>
      <c r="AC291">
        <v>5</v>
      </c>
      <c r="AD291">
        <v>30</v>
      </c>
      <c r="AE291" t="s">
        <v>60</v>
      </c>
    </row>
    <row r="292" spans="1:31" x14ac:dyDescent="0.2">
      <c r="A292">
        <v>285</v>
      </c>
      <c r="B292" t="s">
        <v>524</v>
      </c>
      <c r="C292">
        <v>24</v>
      </c>
      <c r="D292" t="s">
        <v>514</v>
      </c>
      <c r="E292" t="s">
        <v>322</v>
      </c>
      <c r="F292">
        <v>33</v>
      </c>
      <c r="G292">
        <v>8</v>
      </c>
      <c r="H292">
        <v>9</v>
      </c>
      <c r="I292">
        <v>17</v>
      </c>
      <c r="J292">
        <v>-11</v>
      </c>
      <c r="K292">
        <v>11</v>
      </c>
      <c r="L292">
        <v>7</v>
      </c>
      <c r="M292">
        <v>1</v>
      </c>
      <c r="N292">
        <v>0</v>
      </c>
      <c r="O292">
        <v>1</v>
      </c>
      <c r="P292">
        <v>7</v>
      </c>
      <c r="Q292">
        <v>2</v>
      </c>
      <c r="R292">
        <v>0</v>
      </c>
      <c r="S292">
        <v>76</v>
      </c>
      <c r="T292">
        <v>10.5</v>
      </c>
      <c r="U292">
        <v>147</v>
      </c>
      <c r="V292" t="s">
        <v>1598</v>
      </c>
      <c r="W292" t="s">
        <v>1567</v>
      </c>
      <c r="X292">
        <v>11</v>
      </c>
      <c r="Y292">
        <v>10</v>
      </c>
      <c r="Z292">
        <v>52.4</v>
      </c>
      <c r="AA292">
        <v>26</v>
      </c>
      <c r="AB292">
        <v>91</v>
      </c>
      <c r="AC292">
        <v>4</v>
      </c>
      <c r="AD292">
        <v>20</v>
      </c>
      <c r="AE292" t="s">
        <v>60</v>
      </c>
    </row>
    <row r="293" spans="1:31" x14ac:dyDescent="0.2">
      <c r="A293">
        <v>286</v>
      </c>
      <c r="B293" t="s">
        <v>758</v>
      </c>
      <c r="C293">
        <v>32</v>
      </c>
      <c r="D293" t="s">
        <v>346</v>
      </c>
      <c r="E293" t="s">
        <v>322</v>
      </c>
      <c r="F293">
        <v>45</v>
      </c>
      <c r="G293">
        <v>8</v>
      </c>
      <c r="H293">
        <v>9</v>
      </c>
      <c r="I293">
        <v>17</v>
      </c>
      <c r="J293">
        <v>1</v>
      </c>
      <c r="K293">
        <v>6</v>
      </c>
      <c r="L293">
        <v>6</v>
      </c>
      <c r="M293">
        <v>2</v>
      </c>
      <c r="N293">
        <v>0</v>
      </c>
      <c r="O293">
        <v>1</v>
      </c>
      <c r="P293">
        <v>6</v>
      </c>
      <c r="Q293">
        <v>2</v>
      </c>
      <c r="R293">
        <v>1</v>
      </c>
      <c r="S293">
        <v>62</v>
      </c>
      <c r="T293">
        <v>12.9</v>
      </c>
      <c r="U293">
        <v>111</v>
      </c>
      <c r="V293" t="s">
        <v>2418</v>
      </c>
      <c r="W293" t="s">
        <v>968</v>
      </c>
      <c r="X293">
        <v>11</v>
      </c>
      <c r="Y293">
        <v>15</v>
      </c>
      <c r="Z293">
        <v>42.3</v>
      </c>
      <c r="AA293">
        <v>31</v>
      </c>
      <c r="AB293">
        <v>62</v>
      </c>
      <c r="AC293">
        <v>8</v>
      </c>
      <c r="AD293">
        <v>13</v>
      </c>
      <c r="AE293" t="s">
        <v>60</v>
      </c>
    </row>
    <row r="294" spans="1:31" x14ac:dyDescent="0.2">
      <c r="A294">
        <v>287</v>
      </c>
      <c r="B294" t="s">
        <v>762</v>
      </c>
      <c r="C294">
        <v>25</v>
      </c>
      <c r="D294" t="s">
        <v>360</v>
      </c>
      <c r="E294" t="s">
        <v>340</v>
      </c>
      <c r="F294">
        <v>35</v>
      </c>
      <c r="G294">
        <v>7</v>
      </c>
      <c r="H294">
        <v>10</v>
      </c>
      <c r="I294">
        <v>17</v>
      </c>
      <c r="J294">
        <v>-5</v>
      </c>
      <c r="K294">
        <v>8</v>
      </c>
      <c r="L294">
        <v>6</v>
      </c>
      <c r="M294">
        <v>1</v>
      </c>
      <c r="N294">
        <v>0</v>
      </c>
      <c r="O294">
        <v>2</v>
      </c>
      <c r="P294">
        <v>7</v>
      </c>
      <c r="Q294">
        <v>3</v>
      </c>
      <c r="R294">
        <v>0</v>
      </c>
      <c r="S294">
        <v>35</v>
      </c>
      <c r="T294">
        <v>20</v>
      </c>
      <c r="U294">
        <v>76</v>
      </c>
      <c r="V294" t="s">
        <v>2419</v>
      </c>
      <c r="W294" t="s">
        <v>1655</v>
      </c>
      <c r="X294">
        <v>3</v>
      </c>
      <c r="Y294">
        <v>3</v>
      </c>
      <c r="Z294">
        <v>50</v>
      </c>
      <c r="AA294">
        <v>11</v>
      </c>
      <c r="AB294">
        <v>6</v>
      </c>
      <c r="AC294">
        <v>5</v>
      </c>
      <c r="AD294">
        <v>28</v>
      </c>
      <c r="AE294" t="s">
        <v>60</v>
      </c>
    </row>
    <row r="295" spans="1:31" x14ac:dyDescent="0.2">
      <c r="A295">
        <v>288</v>
      </c>
      <c r="B295" t="s">
        <v>570</v>
      </c>
      <c r="C295">
        <v>33</v>
      </c>
      <c r="D295" t="s">
        <v>346</v>
      </c>
      <c r="E295" t="s">
        <v>335</v>
      </c>
      <c r="F295">
        <v>44</v>
      </c>
      <c r="G295">
        <v>6</v>
      </c>
      <c r="H295">
        <v>11</v>
      </c>
      <c r="I295">
        <v>17</v>
      </c>
      <c r="J295">
        <v>-4</v>
      </c>
      <c r="K295">
        <v>12</v>
      </c>
      <c r="L295">
        <v>5</v>
      </c>
      <c r="M295">
        <v>1</v>
      </c>
      <c r="N295">
        <v>0</v>
      </c>
      <c r="O295">
        <v>1</v>
      </c>
      <c r="P295">
        <v>7</v>
      </c>
      <c r="Q295">
        <v>4</v>
      </c>
      <c r="R295">
        <v>0</v>
      </c>
      <c r="S295">
        <v>64</v>
      </c>
      <c r="T295">
        <v>9.4</v>
      </c>
      <c r="U295">
        <v>117</v>
      </c>
      <c r="V295" t="s">
        <v>2420</v>
      </c>
      <c r="W295" t="s">
        <v>873</v>
      </c>
      <c r="X295">
        <v>3</v>
      </c>
      <c r="Y295">
        <v>3</v>
      </c>
      <c r="Z295">
        <v>50</v>
      </c>
      <c r="AA295">
        <v>15</v>
      </c>
      <c r="AB295">
        <v>59</v>
      </c>
      <c r="AC295">
        <v>6</v>
      </c>
      <c r="AD295">
        <v>32</v>
      </c>
      <c r="AE295" t="s">
        <v>60</v>
      </c>
    </row>
    <row r="296" spans="1:31" x14ac:dyDescent="0.2">
      <c r="A296">
        <v>289</v>
      </c>
      <c r="B296" t="s">
        <v>939</v>
      </c>
      <c r="C296">
        <v>26</v>
      </c>
      <c r="D296" t="s">
        <v>429</v>
      </c>
      <c r="E296" t="s">
        <v>322</v>
      </c>
      <c r="F296">
        <v>19</v>
      </c>
      <c r="G296">
        <v>6</v>
      </c>
      <c r="H296">
        <v>11</v>
      </c>
      <c r="I296">
        <v>17</v>
      </c>
      <c r="J296">
        <v>0</v>
      </c>
      <c r="K296">
        <v>6</v>
      </c>
      <c r="L296">
        <v>5</v>
      </c>
      <c r="M296">
        <v>1</v>
      </c>
      <c r="N296">
        <v>0</v>
      </c>
      <c r="O296">
        <v>1</v>
      </c>
      <c r="P296">
        <v>6</v>
      </c>
      <c r="Q296">
        <v>5</v>
      </c>
      <c r="R296">
        <v>0</v>
      </c>
      <c r="S296">
        <v>27</v>
      </c>
      <c r="T296">
        <v>22.2</v>
      </c>
      <c r="U296">
        <v>61</v>
      </c>
      <c r="V296" t="s">
        <v>2784</v>
      </c>
      <c r="W296" t="s">
        <v>1106</v>
      </c>
      <c r="X296">
        <v>121</v>
      </c>
      <c r="Y296">
        <v>125</v>
      </c>
      <c r="Z296">
        <v>49.2</v>
      </c>
      <c r="AA296">
        <v>11</v>
      </c>
      <c r="AB296">
        <v>6</v>
      </c>
      <c r="AC296">
        <v>3</v>
      </c>
      <c r="AD296">
        <v>9</v>
      </c>
      <c r="AE296" t="s">
        <v>60</v>
      </c>
    </row>
    <row r="297" spans="1:31" x14ac:dyDescent="0.2">
      <c r="A297">
        <v>290</v>
      </c>
      <c r="B297" t="s">
        <v>658</v>
      </c>
      <c r="C297">
        <v>27</v>
      </c>
      <c r="D297" t="s">
        <v>449</v>
      </c>
      <c r="E297" t="s">
        <v>325</v>
      </c>
      <c r="F297">
        <v>46</v>
      </c>
      <c r="G297">
        <v>10</v>
      </c>
      <c r="H297">
        <v>7</v>
      </c>
      <c r="I297">
        <v>17</v>
      </c>
      <c r="J297">
        <v>1</v>
      </c>
      <c r="K297">
        <v>20</v>
      </c>
      <c r="L297">
        <v>8</v>
      </c>
      <c r="M297">
        <v>0</v>
      </c>
      <c r="N297">
        <v>2</v>
      </c>
      <c r="O297">
        <v>1</v>
      </c>
      <c r="P297">
        <v>7</v>
      </c>
      <c r="Q297">
        <v>0</v>
      </c>
      <c r="R297">
        <v>0</v>
      </c>
      <c r="S297">
        <v>60</v>
      </c>
      <c r="T297">
        <v>16.7</v>
      </c>
      <c r="U297">
        <v>135</v>
      </c>
      <c r="V297" t="s">
        <v>2421</v>
      </c>
      <c r="W297" t="s">
        <v>1841</v>
      </c>
      <c r="X297">
        <v>45</v>
      </c>
      <c r="Y297">
        <v>40</v>
      </c>
      <c r="Z297">
        <v>52.9</v>
      </c>
      <c r="AA297">
        <v>17</v>
      </c>
      <c r="AB297">
        <v>35</v>
      </c>
      <c r="AC297">
        <v>7</v>
      </c>
      <c r="AD297">
        <v>38</v>
      </c>
      <c r="AE297" t="s">
        <v>60</v>
      </c>
    </row>
    <row r="298" spans="1:31" x14ac:dyDescent="0.2">
      <c r="A298">
        <v>291</v>
      </c>
      <c r="B298" t="s">
        <v>660</v>
      </c>
      <c r="C298">
        <v>33</v>
      </c>
      <c r="D298" t="s">
        <v>385</v>
      </c>
      <c r="E298" t="s">
        <v>322</v>
      </c>
      <c r="F298">
        <v>38</v>
      </c>
      <c r="G298">
        <v>7</v>
      </c>
      <c r="H298">
        <v>10</v>
      </c>
      <c r="I298">
        <v>17</v>
      </c>
      <c r="J298">
        <v>0</v>
      </c>
      <c r="K298">
        <v>2</v>
      </c>
      <c r="L298">
        <v>5</v>
      </c>
      <c r="M298">
        <v>0</v>
      </c>
      <c r="N298">
        <v>2</v>
      </c>
      <c r="O298">
        <v>2</v>
      </c>
      <c r="P298">
        <v>8</v>
      </c>
      <c r="Q298">
        <v>0</v>
      </c>
      <c r="R298">
        <v>2</v>
      </c>
      <c r="S298">
        <v>38</v>
      </c>
      <c r="T298">
        <v>18.399999999999999</v>
      </c>
      <c r="U298">
        <v>74</v>
      </c>
      <c r="V298" t="s">
        <v>2422</v>
      </c>
      <c r="W298" t="s">
        <v>1013</v>
      </c>
      <c r="X298">
        <v>335</v>
      </c>
      <c r="Y298">
        <v>235</v>
      </c>
      <c r="Z298">
        <v>58.8</v>
      </c>
      <c r="AA298">
        <v>38</v>
      </c>
      <c r="AB298">
        <v>52</v>
      </c>
      <c r="AC298">
        <v>10</v>
      </c>
      <c r="AD298">
        <v>27</v>
      </c>
      <c r="AE298" t="s">
        <v>60</v>
      </c>
    </row>
    <row r="299" spans="1:31" x14ac:dyDescent="0.2">
      <c r="A299">
        <v>292</v>
      </c>
      <c r="B299" t="s">
        <v>800</v>
      </c>
      <c r="C299">
        <v>32</v>
      </c>
      <c r="D299" t="s">
        <v>377</v>
      </c>
      <c r="E299" t="s">
        <v>335</v>
      </c>
      <c r="F299">
        <v>25</v>
      </c>
      <c r="G299">
        <v>6</v>
      </c>
      <c r="H299">
        <v>11</v>
      </c>
      <c r="I299">
        <v>17</v>
      </c>
      <c r="J299">
        <v>1</v>
      </c>
      <c r="K299">
        <v>2</v>
      </c>
      <c r="L299">
        <v>4</v>
      </c>
      <c r="M299">
        <v>2</v>
      </c>
      <c r="N299">
        <v>0</v>
      </c>
      <c r="O299">
        <v>0</v>
      </c>
      <c r="P299">
        <v>7</v>
      </c>
      <c r="Q299">
        <v>3</v>
      </c>
      <c r="R299">
        <v>1</v>
      </c>
      <c r="S299">
        <v>73</v>
      </c>
      <c r="T299">
        <v>8.1999999999999993</v>
      </c>
      <c r="U299">
        <v>123</v>
      </c>
      <c r="V299" t="s">
        <v>2423</v>
      </c>
      <c r="W299" t="s">
        <v>1922</v>
      </c>
      <c r="X299">
        <v>2</v>
      </c>
      <c r="Y299">
        <v>18</v>
      </c>
      <c r="Z299">
        <v>10</v>
      </c>
      <c r="AA299">
        <v>25</v>
      </c>
      <c r="AB299">
        <v>34</v>
      </c>
      <c r="AC299">
        <v>14</v>
      </c>
      <c r="AD299">
        <v>19</v>
      </c>
      <c r="AE299" t="s">
        <v>60</v>
      </c>
    </row>
    <row r="300" spans="1:31" x14ac:dyDescent="0.2">
      <c r="A300">
        <v>293</v>
      </c>
      <c r="B300" t="s">
        <v>723</v>
      </c>
      <c r="C300">
        <v>28</v>
      </c>
      <c r="D300" t="s">
        <v>360</v>
      </c>
      <c r="E300" t="s">
        <v>322</v>
      </c>
      <c r="F300">
        <v>43</v>
      </c>
      <c r="G300">
        <v>4</v>
      </c>
      <c r="H300">
        <v>13</v>
      </c>
      <c r="I300">
        <v>17</v>
      </c>
      <c r="J300">
        <v>6</v>
      </c>
      <c r="K300">
        <v>6</v>
      </c>
      <c r="L300">
        <v>3</v>
      </c>
      <c r="M300">
        <v>1</v>
      </c>
      <c r="N300">
        <v>0</v>
      </c>
      <c r="O300">
        <v>0</v>
      </c>
      <c r="P300">
        <v>12</v>
      </c>
      <c r="Q300">
        <v>0</v>
      </c>
      <c r="R300">
        <v>1</v>
      </c>
      <c r="S300">
        <v>45</v>
      </c>
      <c r="T300">
        <v>8.9</v>
      </c>
      <c r="U300">
        <v>87</v>
      </c>
      <c r="V300" t="s">
        <v>2424</v>
      </c>
      <c r="W300" t="s">
        <v>1353</v>
      </c>
      <c r="X300">
        <v>256</v>
      </c>
      <c r="Y300">
        <v>227</v>
      </c>
      <c r="Z300">
        <v>53</v>
      </c>
      <c r="AA300">
        <v>19</v>
      </c>
      <c r="AB300">
        <v>48</v>
      </c>
      <c r="AC300">
        <v>16</v>
      </c>
      <c r="AD300">
        <v>36</v>
      </c>
      <c r="AE300" t="s">
        <v>60</v>
      </c>
    </row>
    <row r="301" spans="1:31" x14ac:dyDescent="0.2">
      <c r="A301">
        <v>294</v>
      </c>
      <c r="B301" t="s">
        <v>805</v>
      </c>
      <c r="C301">
        <v>20</v>
      </c>
      <c r="D301" t="s">
        <v>372</v>
      </c>
      <c r="E301" t="s">
        <v>349</v>
      </c>
      <c r="F301">
        <v>48</v>
      </c>
      <c r="G301">
        <v>5</v>
      </c>
      <c r="H301">
        <v>12</v>
      </c>
      <c r="I301">
        <v>17</v>
      </c>
      <c r="J301">
        <v>-16</v>
      </c>
      <c r="K301">
        <v>16</v>
      </c>
      <c r="L301">
        <v>5</v>
      </c>
      <c r="M301">
        <v>0</v>
      </c>
      <c r="N301">
        <v>0</v>
      </c>
      <c r="O301">
        <v>1</v>
      </c>
      <c r="P301">
        <v>6</v>
      </c>
      <c r="Q301">
        <v>6</v>
      </c>
      <c r="R301">
        <v>0</v>
      </c>
      <c r="S301">
        <v>49</v>
      </c>
      <c r="T301">
        <v>10.199999999999999</v>
      </c>
      <c r="U301">
        <v>149</v>
      </c>
      <c r="V301" t="s">
        <v>2425</v>
      </c>
      <c r="W301" t="s">
        <v>2028</v>
      </c>
      <c r="X301">
        <v>0</v>
      </c>
      <c r="Y301">
        <v>0</v>
      </c>
      <c r="AA301">
        <v>46</v>
      </c>
      <c r="AB301">
        <v>12</v>
      </c>
      <c r="AC301">
        <v>6</v>
      </c>
      <c r="AD301">
        <v>47</v>
      </c>
      <c r="AE301" t="s">
        <v>60</v>
      </c>
    </row>
    <row r="302" spans="1:31" x14ac:dyDescent="0.2">
      <c r="A302">
        <v>295</v>
      </c>
      <c r="B302" t="s">
        <v>527</v>
      </c>
      <c r="C302">
        <v>34</v>
      </c>
      <c r="D302" t="s">
        <v>334</v>
      </c>
      <c r="E302" t="s">
        <v>322</v>
      </c>
      <c r="F302">
        <v>27</v>
      </c>
      <c r="G302">
        <v>7</v>
      </c>
      <c r="H302">
        <v>10</v>
      </c>
      <c r="I302">
        <v>17</v>
      </c>
      <c r="J302">
        <v>10</v>
      </c>
      <c r="K302">
        <v>2</v>
      </c>
      <c r="L302">
        <v>6</v>
      </c>
      <c r="M302">
        <v>1</v>
      </c>
      <c r="N302">
        <v>0</v>
      </c>
      <c r="O302">
        <v>2</v>
      </c>
      <c r="P302">
        <v>7</v>
      </c>
      <c r="Q302">
        <v>3</v>
      </c>
      <c r="R302">
        <v>0</v>
      </c>
      <c r="S302">
        <v>31</v>
      </c>
      <c r="T302">
        <v>22.6</v>
      </c>
      <c r="U302">
        <v>69</v>
      </c>
      <c r="V302" t="s">
        <v>528</v>
      </c>
      <c r="W302" t="s">
        <v>529</v>
      </c>
      <c r="X302">
        <v>126</v>
      </c>
      <c r="Y302">
        <v>109</v>
      </c>
      <c r="Z302">
        <v>53.6</v>
      </c>
      <c r="AA302">
        <v>6</v>
      </c>
      <c r="AB302">
        <v>18</v>
      </c>
      <c r="AC302">
        <v>3</v>
      </c>
      <c r="AD302">
        <v>21</v>
      </c>
      <c r="AE302" t="s">
        <v>60</v>
      </c>
    </row>
    <row r="303" spans="1:31" x14ac:dyDescent="0.2">
      <c r="A303">
        <v>296</v>
      </c>
      <c r="B303" t="s">
        <v>767</v>
      </c>
      <c r="C303">
        <v>31</v>
      </c>
      <c r="D303" t="s">
        <v>382</v>
      </c>
      <c r="E303" t="s">
        <v>349</v>
      </c>
      <c r="F303">
        <v>45</v>
      </c>
      <c r="G303">
        <v>3</v>
      </c>
      <c r="H303">
        <v>14</v>
      </c>
      <c r="I303">
        <v>17</v>
      </c>
      <c r="J303">
        <v>1</v>
      </c>
      <c r="K303">
        <v>26</v>
      </c>
      <c r="L303">
        <v>2</v>
      </c>
      <c r="M303">
        <v>1</v>
      </c>
      <c r="N303">
        <v>0</v>
      </c>
      <c r="O303">
        <v>1</v>
      </c>
      <c r="P303">
        <v>11</v>
      </c>
      <c r="Q303">
        <v>3</v>
      </c>
      <c r="R303">
        <v>0</v>
      </c>
      <c r="S303">
        <v>59</v>
      </c>
      <c r="T303">
        <v>5.0999999999999996</v>
      </c>
      <c r="U303">
        <v>161</v>
      </c>
      <c r="V303" t="s">
        <v>2082</v>
      </c>
      <c r="W303" t="s">
        <v>1784</v>
      </c>
      <c r="X303">
        <v>0</v>
      </c>
      <c r="Y303">
        <v>0</v>
      </c>
      <c r="AA303">
        <v>48</v>
      </c>
      <c r="AB303">
        <v>31</v>
      </c>
      <c r="AC303">
        <v>14</v>
      </c>
      <c r="AD303">
        <v>55</v>
      </c>
      <c r="AE303" t="s">
        <v>60</v>
      </c>
    </row>
    <row r="304" spans="1:31" x14ac:dyDescent="0.2">
      <c r="A304">
        <v>297</v>
      </c>
      <c r="B304" t="s">
        <v>904</v>
      </c>
      <c r="C304">
        <v>24</v>
      </c>
      <c r="D304" t="s">
        <v>437</v>
      </c>
      <c r="E304" t="s">
        <v>322</v>
      </c>
      <c r="F304">
        <v>44</v>
      </c>
      <c r="G304">
        <v>8</v>
      </c>
      <c r="H304">
        <v>9</v>
      </c>
      <c r="I304">
        <v>17</v>
      </c>
      <c r="J304">
        <v>-4</v>
      </c>
      <c r="K304">
        <v>12</v>
      </c>
      <c r="L304">
        <v>6</v>
      </c>
      <c r="M304">
        <v>2</v>
      </c>
      <c r="N304">
        <v>0</v>
      </c>
      <c r="O304">
        <v>1</v>
      </c>
      <c r="P304">
        <v>6</v>
      </c>
      <c r="Q304">
        <v>3</v>
      </c>
      <c r="R304">
        <v>0</v>
      </c>
      <c r="S304">
        <v>66</v>
      </c>
      <c r="T304">
        <v>12.1</v>
      </c>
      <c r="U304">
        <v>115</v>
      </c>
      <c r="V304" t="s">
        <v>2426</v>
      </c>
      <c r="W304" t="s">
        <v>1853</v>
      </c>
      <c r="X304">
        <v>49</v>
      </c>
      <c r="Y304">
        <v>70</v>
      </c>
      <c r="Z304">
        <v>41.2</v>
      </c>
      <c r="AA304">
        <v>11</v>
      </c>
      <c r="AB304">
        <v>29</v>
      </c>
      <c r="AC304">
        <v>7</v>
      </c>
      <c r="AD304">
        <v>25</v>
      </c>
      <c r="AE304" t="s">
        <v>60</v>
      </c>
    </row>
    <row r="305" spans="1:31" x14ac:dyDescent="0.2">
      <c r="A305">
        <v>298</v>
      </c>
      <c r="B305" t="s">
        <v>671</v>
      </c>
      <c r="C305">
        <v>22</v>
      </c>
      <c r="D305" t="s">
        <v>337</v>
      </c>
      <c r="E305" t="s">
        <v>349</v>
      </c>
      <c r="F305">
        <v>45</v>
      </c>
      <c r="G305">
        <v>6</v>
      </c>
      <c r="H305">
        <v>11</v>
      </c>
      <c r="I305">
        <v>17</v>
      </c>
      <c r="J305">
        <v>4</v>
      </c>
      <c r="K305">
        <v>22</v>
      </c>
      <c r="L305">
        <v>5</v>
      </c>
      <c r="M305">
        <v>1</v>
      </c>
      <c r="N305">
        <v>0</v>
      </c>
      <c r="O305">
        <v>1</v>
      </c>
      <c r="P305">
        <v>9</v>
      </c>
      <c r="Q305">
        <v>2</v>
      </c>
      <c r="R305">
        <v>0</v>
      </c>
      <c r="S305">
        <v>78</v>
      </c>
      <c r="T305">
        <v>7.7</v>
      </c>
      <c r="U305">
        <v>205</v>
      </c>
      <c r="V305" t="s">
        <v>2427</v>
      </c>
      <c r="W305" t="s">
        <v>1528</v>
      </c>
      <c r="X305">
        <v>0</v>
      </c>
      <c r="Y305">
        <v>0</v>
      </c>
      <c r="AA305">
        <v>47</v>
      </c>
      <c r="AB305">
        <v>22</v>
      </c>
      <c r="AC305">
        <v>14</v>
      </c>
      <c r="AD305">
        <v>38</v>
      </c>
      <c r="AE305" t="s">
        <v>60</v>
      </c>
    </row>
    <row r="306" spans="1:31" x14ac:dyDescent="0.2">
      <c r="A306">
        <v>299</v>
      </c>
      <c r="B306" t="s">
        <v>1101</v>
      </c>
      <c r="C306">
        <v>26</v>
      </c>
      <c r="D306" t="s">
        <v>957</v>
      </c>
      <c r="E306" t="s">
        <v>322</v>
      </c>
      <c r="F306">
        <v>33</v>
      </c>
      <c r="G306">
        <v>7</v>
      </c>
      <c r="H306">
        <v>10</v>
      </c>
      <c r="I306">
        <v>17</v>
      </c>
      <c r="J306">
        <v>7</v>
      </c>
      <c r="K306">
        <v>10</v>
      </c>
      <c r="L306">
        <v>7</v>
      </c>
      <c r="M306">
        <v>0</v>
      </c>
      <c r="N306">
        <v>0</v>
      </c>
      <c r="O306">
        <v>1</v>
      </c>
      <c r="P306">
        <v>10</v>
      </c>
      <c r="Q306">
        <v>0</v>
      </c>
      <c r="R306">
        <v>0</v>
      </c>
      <c r="S306">
        <v>50</v>
      </c>
      <c r="T306">
        <v>14</v>
      </c>
      <c r="U306">
        <v>95</v>
      </c>
      <c r="V306" t="s">
        <v>2428</v>
      </c>
      <c r="W306" t="s">
        <v>1716</v>
      </c>
      <c r="X306">
        <v>3</v>
      </c>
      <c r="Y306">
        <v>13</v>
      </c>
      <c r="Z306">
        <v>18.8</v>
      </c>
      <c r="AA306">
        <v>9</v>
      </c>
      <c r="AB306">
        <v>32</v>
      </c>
      <c r="AC306">
        <v>5</v>
      </c>
      <c r="AD306">
        <v>15</v>
      </c>
      <c r="AE306" t="s">
        <v>60</v>
      </c>
    </row>
    <row r="307" spans="1:31" x14ac:dyDescent="0.2">
      <c r="A307">
        <v>299</v>
      </c>
      <c r="B307" t="s">
        <v>1101</v>
      </c>
      <c r="C307">
        <v>26</v>
      </c>
      <c r="D307" t="s">
        <v>514</v>
      </c>
      <c r="E307" t="s">
        <v>322</v>
      </c>
      <c r="F307">
        <v>8</v>
      </c>
      <c r="G307">
        <v>0</v>
      </c>
      <c r="H307">
        <v>1</v>
      </c>
      <c r="I307">
        <v>1</v>
      </c>
      <c r="J307">
        <v>0</v>
      </c>
      <c r="K307">
        <v>2</v>
      </c>
      <c r="L307">
        <v>0</v>
      </c>
      <c r="M307">
        <v>0</v>
      </c>
      <c r="N307">
        <v>0</v>
      </c>
      <c r="O307">
        <v>0</v>
      </c>
      <c r="P307">
        <v>1</v>
      </c>
      <c r="Q307">
        <v>0</v>
      </c>
      <c r="R307">
        <v>0</v>
      </c>
      <c r="S307">
        <v>7</v>
      </c>
      <c r="T307">
        <v>0</v>
      </c>
      <c r="U307">
        <v>13</v>
      </c>
      <c r="V307" t="s">
        <v>1102</v>
      </c>
      <c r="W307" t="s">
        <v>1103</v>
      </c>
      <c r="X307">
        <v>1</v>
      </c>
      <c r="Y307">
        <v>0</v>
      </c>
      <c r="Z307">
        <v>100</v>
      </c>
      <c r="AA307">
        <v>1</v>
      </c>
      <c r="AB307">
        <v>9</v>
      </c>
      <c r="AC307">
        <v>1</v>
      </c>
      <c r="AD307">
        <v>2</v>
      </c>
      <c r="AE307" t="s">
        <v>60</v>
      </c>
    </row>
    <row r="308" spans="1:31" x14ac:dyDescent="0.2">
      <c r="A308">
        <v>299</v>
      </c>
      <c r="B308" t="s">
        <v>1101</v>
      </c>
      <c r="C308">
        <v>26</v>
      </c>
      <c r="D308" t="s">
        <v>364</v>
      </c>
      <c r="E308" t="s">
        <v>322</v>
      </c>
      <c r="F308">
        <v>25</v>
      </c>
      <c r="G308">
        <v>7</v>
      </c>
      <c r="H308">
        <v>9</v>
      </c>
      <c r="I308">
        <v>16</v>
      </c>
      <c r="J308">
        <v>7</v>
      </c>
      <c r="K308">
        <v>8</v>
      </c>
      <c r="L308">
        <v>7</v>
      </c>
      <c r="M308">
        <v>0</v>
      </c>
      <c r="N308">
        <v>0</v>
      </c>
      <c r="O308">
        <v>1</v>
      </c>
      <c r="P308">
        <v>9</v>
      </c>
      <c r="Q308">
        <v>0</v>
      </c>
      <c r="R308">
        <v>0</v>
      </c>
      <c r="S308">
        <v>43</v>
      </c>
      <c r="T308">
        <v>16.3</v>
      </c>
      <c r="U308">
        <v>82</v>
      </c>
      <c r="V308" t="s">
        <v>2041</v>
      </c>
      <c r="W308" t="s">
        <v>1839</v>
      </c>
      <c r="X308">
        <v>2</v>
      </c>
      <c r="Y308">
        <v>13</v>
      </c>
      <c r="Z308">
        <v>13.3</v>
      </c>
      <c r="AA308">
        <v>8</v>
      </c>
      <c r="AB308">
        <v>23</v>
      </c>
      <c r="AC308">
        <v>4</v>
      </c>
      <c r="AD308">
        <v>13</v>
      </c>
      <c r="AE308" t="s">
        <v>60</v>
      </c>
    </row>
    <row r="309" spans="1:31" x14ac:dyDescent="0.2">
      <c r="A309">
        <v>300</v>
      </c>
      <c r="B309" t="s">
        <v>675</v>
      </c>
      <c r="C309">
        <v>32</v>
      </c>
      <c r="D309" t="s">
        <v>421</v>
      </c>
      <c r="E309" t="s">
        <v>335</v>
      </c>
      <c r="F309">
        <v>41</v>
      </c>
      <c r="G309">
        <v>9</v>
      </c>
      <c r="H309">
        <v>7</v>
      </c>
      <c r="I309">
        <v>16</v>
      </c>
      <c r="J309">
        <v>5</v>
      </c>
      <c r="K309">
        <v>22</v>
      </c>
      <c r="L309">
        <v>4</v>
      </c>
      <c r="M309">
        <v>1</v>
      </c>
      <c r="N309">
        <v>4</v>
      </c>
      <c r="O309">
        <v>0</v>
      </c>
      <c r="P309">
        <v>6</v>
      </c>
      <c r="Q309">
        <v>0</v>
      </c>
      <c r="R309">
        <v>1</v>
      </c>
      <c r="S309">
        <v>51</v>
      </c>
      <c r="T309">
        <v>17.600000000000001</v>
      </c>
      <c r="U309">
        <v>108</v>
      </c>
      <c r="V309" t="s">
        <v>1902</v>
      </c>
      <c r="W309" t="s">
        <v>1534</v>
      </c>
      <c r="X309">
        <v>11</v>
      </c>
      <c r="Y309">
        <v>19</v>
      </c>
      <c r="Z309">
        <v>36.700000000000003</v>
      </c>
      <c r="AA309">
        <v>24</v>
      </c>
      <c r="AB309">
        <v>38</v>
      </c>
      <c r="AC309">
        <v>22</v>
      </c>
      <c r="AD309">
        <v>33</v>
      </c>
      <c r="AE309" t="s">
        <v>60</v>
      </c>
    </row>
    <row r="310" spans="1:31" x14ac:dyDescent="0.2">
      <c r="A310">
        <v>301</v>
      </c>
      <c r="B310" t="s">
        <v>676</v>
      </c>
      <c r="C310">
        <v>28</v>
      </c>
      <c r="D310" t="s">
        <v>367</v>
      </c>
      <c r="E310" t="s">
        <v>340</v>
      </c>
      <c r="F310">
        <v>47</v>
      </c>
      <c r="G310">
        <v>9</v>
      </c>
      <c r="H310">
        <v>7</v>
      </c>
      <c r="I310">
        <v>16</v>
      </c>
      <c r="J310">
        <v>6</v>
      </c>
      <c r="K310">
        <v>18</v>
      </c>
      <c r="L310">
        <v>9</v>
      </c>
      <c r="M310">
        <v>0</v>
      </c>
      <c r="N310">
        <v>0</v>
      </c>
      <c r="O310">
        <v>3</v>
      </c>
      <c r="P310">
        <v>7</v>
      </c>
      <c r="Q310">
        <v>0</v>
      </c>
      <c r="R310">
        <v>0</v>
      </c>
      <c r="S310">
        <v>99</v>
      </c>
      <c r="T310">
        <v>9.1</v>
      </c>
      <c r="U310">
        <v>168</v>
      </c>
      <c r="V310" t="s">
        <v>2429</v>
      </c>
      <c r="W310" t="s">
        <v>1733</v>
      </c>
      <c r="X310">
        <v>13</v>
      </c>
      <c r="Y310">
        <v>14</v>
      </c>
      <c r="Z310">
        <v>48.1</v>
      </c>
      <c r="AA310">
        <v>22</v>
      </c>
      <c r="AB310">
        <v>61</v>
      </c>
      <c r="AC310">
        <v>8</v>
      </c>
      <c r="AD310">
        <v>23</v>
      </c>
      <c r="AE310" t="s">
        <v>60</v>
      </c>
    </row>
    <row r="311" spans="1:31" x14ac:dyDescent="0.2">
      <c r="A311">
        <v>302</v>
      </c>
      <c r="B311" t="s">
        <v>697</v>
      </c>
      <c r="C311">
        <v>29</v>
      </c>
      <c r="D311" t="s">
        <v>418</v>
      </c>
      <c r="E311" t="s">
        <v>349</v>
      </c>
      <c r="F311">
        <v>31</v>
      </c>
      <c r="G311">
        <v>5</v>
      </c>
      <c r="H311">
        <v>11</v>
      </c>
      <c r="I311">
        <v>16</v>
      </c>
      <c r="J311">
        <v>0</v>
      </c>
      <c r="K311">
        <v>12</v>
      </c>
      <c r="L311">
        <v>3</v>
      </c>
      <c r="M311">
        <v>2</v>
      </c>
      <c r="N311">
        <v>0</v>
      </c>
      <c r="O311">
        <v>0</v>
      </c>
      <c r="P311">
        <v>6</v>
      </c>
      <c r="Q311">
        <v>4</v>
      </c>
      <c r="R311">
        <v>1</v>
      </c>
      <c r="S311">
        <v>50</v>
      </c>
      <c r="T311">
        <v>10</v>
      </c>
      <c r="U311">
        <v>142</v>
      </c>
      <c r="V311" t="s">
        <v>2785</v>
      </c>
      <c r="W311" t="s">
        <v>718</v>
      </c>
      <c r="X311">
        <v>0</v>
      </c>
      <c r="Y311">
        <v>0</v>
      </c>
      <c r="AA311">
        <v>59</v>
      </c>
      <c r="AB311">
        <v>23</v>
      </c>
      <c r="AC311">
        <v>12</v>
      </c>
      <c r="AD311">
        <v>26</v>
      </c>
      <c r="AE311" t="s">
        <v>60</v>
      </c>
    </row>
    <row r="312" spans="1:31" x14ac:dyDescent="0.2">
      <c r="A312">
        <v>303</v>
      </c>
      <c r="B312" t="s">
        <v>698</v>
      </c>
      <c r="C312">
        <v>30</v>
      </c>
      <c r="D312" t="s">
        <v>372</v>
      </c>
      <c r="E312" t="s">
        <v>340</v>
      </c>
      <c r="F312">
        <v>48</v>
      </c>
      <c r="G312">
        <v>5</v>
      </c>
      <c r="H312">
        <v>11</v>
      </c>
      <c r="I312">
        <v>16</v>
      </c>
      <c r="J312">
        <v>-4</v>
      </c>
      <c r="K312">
        <v>17</v>
      </c>
      <c r="L312">
        <v>5</v>
      </c>
      <c r="M312">
        <v>0</v>
      </c>
      <c r="N312">
        <v>0</v>
      </c>
      <c r="O312">
        <v>0</v>
      </c>
      <c r="P312">
        <v>11</v>
      </c>
      <c r="Q312">
        <v>0</v>
      </c>
      <c r="R312">
        <v>0</v>
      </c>
      <c r="S312">
        <v>52</v>
      </c>
      <c r="T312">
        <v>9.6</v>
      </c>
      <c r="U312">
        <v>99</v>
      </c>
      <c r="V312" t="s">
        <v>2430</v>
      </c>
      <c r="W312" t="s">
        <v>2359</v>
      </c>
      <c r="X312">
        <v>293</v>
      </c>
      <c r="Y312">
        <v>291</v>
      </c>
      <c r="Z312">
        <v>50.2</v>
      </c>
      <c r="AA312">
        <v>33</v>
      </c>
      <c r="AB312">
        <v>16</v>
      </c>
      <c r="AC312">
        <v>6</v>
      </c>
      <c r="AD312">
        <v>24</v>
      </c>
      <c r="AE312" t="s">
        <v>60</v>
      </c>
    </row>
    <row r="313" spans="1:31" x14ac:dyDescent="0.2">
      <c r="A313">
        <v>304</v>
      </c>
      <c r="B313" t="s">
        <v>781</v>
      </c>
      <c r="C313">
        <v>27</v>
      </c>
      <c r="D313" t="s">
        <v>353</v>
      </c>
      <c r="E313" t="s">
        <v>349</v>
      </c>
      <c r="F313">
        <v>38</v>
      </c>
      <c r="G313">
        <v>3</v>
      </c>
      <c r="H313">
        <v>13</v>
      </c>
      <c r="I313">
        <v>16</v>
      </c>
      <c r="J313">
        <v>1</v>
      </c>
      <c r="K313">
        <v>55</v>
      </c>
      <c r="L313">
        <v>3</v>
      </c>
      <c r="M313">
        <v>0</v>
      </c>
      <c r="N313">
        <v>0</v>
      </c>
      <c r="O313">
        <v>2</v>
      </c>
      <c r="P313">
        <v>11</v>
      </c>
      <c r="Q313">
        <v>2</v>
      </c>
      <c r="R313">
        <v>0</v>
      </c>
      <c r="S313">
        <v>45</v>
      </c>
      <c r="T313">
        <v>6.7</v>
      </c>
      <c r="U313">
        <v>106</v>
      </c>
      <c r="V313" t="s">
        <v>2431</v>
      </c>
      <c r="W313" t="s">
        <v>1599</v>
      </c>
      <c r="X313">
        <v>0</v>
      </c>
      <c r="Y313">
        <v>0</v>
      </c>
      <c r="AA313">
        <v>42</v>
      </c>
      <c r="AB313">
        <v>43</v>
      </c>
      <c r="AC313">
        <v>12</v>
      </c>
      <c r="AD313">
        <v>30</v>
      </c>
      <c r="AE313" t="s">
        <v>60</v>
      </c>
    </row>
    <row r="314" spans="1:31" x14ac:dyDescent="0.2">
      <c r="A314">
        <v>305</v>
      </c>
      <c r="B314" t="s">
        <v>637</v>
      </c>
      <c r="C314">
        <v>32</v>
      </c>
      <c r="D314" t="s">
        <v>346</v>
      </c>
      <c r="E314" t="s">
        <v>349</v>
      </c>
      <c r="F314">
        <v>45</v>
      </c>
      <c r="G314">
        <v>3</v>
      </c>
      <c r="H314">
        <v>13</v>
      </c>
      <c r="I314">
        <v>16</v>
      </c>
      <c r="J314">
        <v>12</v>
      </c>
      <c r="K314">
        <v>32</v>
      </c>
      <c r="L314">
        <v>3</v>
      </c>
      <c r="M314">
        <v>0</v>
      </c>
      <c r="N314">
        <v>0</v>
      </c>
      <c r="O314">
        <v>0</v>
      </c>
      <c r="P314">
        <v>12</v>
      </c>
      <c r="Q314">
        <v>0</v>
      </c>
      <c r="R314">
        <v>1</v>
      </c>
      <c r="S314">
        <v>34</v>
      </c>
      <c r="T314">
        <v>8.8000000000000007</v>
      </c>
      <c r="U314">
        <v>95</v>
      </c>
      <c r="V314" t="s">
        <v>2432</v>
      </c>
      <c r="W314" t="s">
        <v>1266</v>
      </c>
      <c r="X314">
        <v>0</v>
      </c>
      <c r="Y314">
        <v>0</v>
      </c>
      <c r="AA314">
        <v>65</v>
      </c>
      <c r="AB314">
        <v>69</v>
      </c>
      <c r="AC314">
        <v>15</v>
      </c>
      <c r="AD314">
        <v>46</v>
      </c>
      <c r="AE314" t="s">
        <v>60</v>
      </c>
    </row>
    <row r="315" spans="1:31" x14ac:dyDescent="0.2">
      <c r="A315">
        <v>306</v>
      </c>
      <c r="B315" t="s">
        <v>746</v>
      </c>
      <c r="C315">
        <v>26</v>
      </c>
      <c r="D315" t="s">
        <v>377</v>
      </c>
      <c r="E315" t="s">
        <v>322</v>
      </c>
      <c r="F315">
        <v>45</v>
      </c>
      <c r="G315">
        <v>8</v>
      </c>
      <c r="H315">
        <v>8</v>
      </c>
      <c r="I315">
        <v>16</v>
      </c>
      <c r="J315">
        <v>0</v>
      </c>
      <c r="K315">
        <v>10</v>
      </c>
      <c r="L315">
        <v>8</v>
      </c>
      <c r="M315">
        <v>0</v>
      </c>
      <c r="N315">
        <v>0</v>
      </c>
      <c r="O315">
        <v>2</v>
      </c>
      <c r="P315">
        <v>8</v>
      </c>
      <c r="Q315">
        <v>0</v>
      </c>
      <c r="R315">
        <v>0</v>
      </c>
      <c r="S315">
        <v>68</v>
      </c>
      <c r="T315">
        <v>11.8</v>
      </c>
      <c r="U315">
        <v>144</v>
      </c>
      <c r="V315" t="s">
        <v>2433</v>
      </c>
      <c r="W315" t="s">
        <v>1730</v>
      </c>
      <c r="X315">
        <v>12</v>
      </c>
      <c r="Y315">
        <v>11</v>
      </c>
      <c r="Z315">
        <v>52.2</v>
      </c>
      <c r="AA315">
        <v>21</v>
      </c>
      <c r="AB315">
        <v>79</v>
      </c>
      <c r="AC315">
        <v>5</v>
      </c>
      <c r="AD315">
        <v>21</v>
      </c>
      <c r="AE315" t="s">
        <v>60</v>
      </c>
    </row>
    <row r="316" spans="1:31" x14ac:dyDescent="0.2">
      <c r="A316">
        <v>307</v>
      </c>
      <c r="B316" t="s">
        <v>682</v>
      </c>
      <c r="C316">
        <v>32</v>
      </c>
      <c r="D316" t="s">
        <v>421</v>
      </c>
      <c r="E316" t="s">
        <v>349</v>
      </c>
      <c r="F316">
        <v>46</v>
      </c>
      <c r="G316">
        <v>2</v>
      </c>
      <c r="H316">
        <v>14</v>
      </c>
      <c r="I316">
        <v>16</v>
      </c>
      <c r="J316">
        <v>9</v>
      </c>
      <c r="K316">
        <v>17</v>
      </c>
      <c r="L316">
        <v>2</v>
      </c>
      <c r="M316">
        <v>0</v>
      </c>
      <c r="N316">
        <v>0</v>
      </c>
      <c r="O316">
        <v>0</v>
      </c>
      <c r="P316">
        <v>11</v>
      </c>
      <c r="Q316">
        <v>2</v>
      </c>
      <c r="R316">
        <v>1</v>
      </c>
      <c r="S316">
        <v>63</v>
      </c>
      <c r="T316">
        <v>3.2</v>
      </c>
      <c r="U316">
        <v>143</v>
      </c>
      <c r="V316" t="s">
        <v>2786</v>
      </c>
      <c r="W316" t="s">
        <v>1540</v>
      </c>
      <c r="X316">
        <v>0</v>
      </c>
      <c r="Y316">
        <v>0</v>
      </c>
      <c r="AA316">
        <v>42</v>
      </c>
      <c r="AB316">
        <v>57</v>
      </c>
      <c r="AC316">
        <v>6</v>
      </c>
      <c r="AD316">
        <v>46</v>
      </c>
      <c r="AE316" t="s">
        <v>60</v>
      </c>
    </row>
    <row r="317" spans="1:31" x14ac:dyDescent="0.2">
      <c r="A317">
        <v>308</v>
      </c>
      <c r="B317" t="s">
        <v>750</v>
      </c>
      <c r="C317">
        <v>22</v>
      </c>
      <c r="D317" t="s">
        <v>372</v>
      </c>
      <c r="E317" t="s">
        <v>349</v>
      </c>
      <c r="F317">
        <v>45</v>
      </c>
      <c r="G317">
        <v>5</v>
      </c>
      <c r="H317">
        <v>11</v>
      </c>
      <c r="I317">
        <v>16</v>
      </c>
      <c r="J317">
        <v>6</v>
      </c>
      <c r="K317">
        <v>54</v>
      </c>
      <c r="L317">
        <v>5</v>
      </c>
      <c r="M317">
        <v>0</v>
      </c>
      <c r="N317">
        <v>0</v>
      </c>
      <c r="O317">
        <v>2</v>
      </c>
      <c r="P317">
        <v>9</v>
      </c>
      <c r="Q317">
        <v>1</v>
      </c>
      <c r="R317">
        <v>1</v>
      </c>
      <c r="S317">
        <v>54</v>
      </c>
      <c r="T317">
        <v>9.3000000000000007</v>
      </c>
      <c r="U317">
        <v>129</v>
      </c>
      <c r="V317" t="s">
        <v>2434</v>
      </c>
      <c r="W317" t="s">
        <v>2435</v>
      </c>
      <c r="X317">
        <v>0</v>
      </c>
      <c r="Y317">
        <v>0</v>
      </c>
      <c r="AA317">
        <v>99</v>
      </c>
      <c r="AB317">
        <v>59</v>
      </c>
      <c r="AC317">
        <v>16</v>
      </c>
      <c r="AD317">
        <v>53</v>
      </c>
      <c r="AE317" t="s">
        <v>60</v>
      </c>
    </row>
    <row r="318" spans="1:31" x14ac:dyDescent="0.2">
      <c r="A318">
        <v>309</v>
      </c>
      <c r="B318" t="s">
        <v>704</v>
      </c>
      <c r="C318">
        <v>32</v>
      </c>
      <c r="D318" t="s">
        <v>334</v>
      </c>
      <c r="E318" t="s">
        <v>322</v>
      </c>
      <c r="F318">
        <v>46</v>
      </c>
      <c r="G318">
        <v>2</v>
      </c>
      <c r="H318">
        <v>14</v>
      </c>
      <c r="I318">
        <v>16</v>
      </c>
      <c r="J318">
        <v>8</v>
      </c>
      <c r="K318">
        <v>14</v>
      </c>
      <c r="L318">
        <v>1</v>
      </c>
      <c r="M318">
        <v>0</v>
      </c>
      <c r="N318">
        <v>1</v>
      </c>
      <c r="O318">
        <v>0</v>
      </c>
      <c r="P318">
        <v>12</v>
      </c>
      <c r="Q318">
        <v>0</v>
      </c>
      <c r="R318">
        <v>2</v>
      </c>
      <c r="S318">
        <v>28</v>
      </c>
      <c r="T318">
        <v>7.1</v>
      </c>
      <c r="U318">
        <v>63</v>
      </c>
      <c r="V318" t="s">
        <v>2436</v>
      </c>
      <c r="W318" t="s">
        <v>2437</v>
      </c>
      <c r="X318">
        <v>190</v>
      </c>
      <c r="Y318">
        <v>155</v>
      </c>
      <c r="Z318">
        <v>55.1</v>
      </c>
      <c r="AA318">
        <v>35</v>
      </c>
      <c r="AB318">
        <v>59</v>
      </c>
      <c r="AC318">
        <v>13</v>
      </c>
      <c r="AD318">
        <v>17</v>
      </c>
      <c r="AE318" t="s">
        <v>60</v>
      </c>
    </row>
    <row r="319" spans="1:31" x14ac:dyDescent="0.2">
      <c r="A319">
        <v>310</v>
      </c>
      <c r="B319" t="s">
        <v>705</v>
      </c>
      <c r="C319">
        <v>26</v>
      </c>
      <c r="D319" t="s">
        <v>367</v>
      </c>
      <c r="E319" t="s">
        <v>349</v>
      </c>
      <c r="F319">
        <v>47</v>
      </c>
      <c r="G319">
        <v>3</v>
      </c>
      <c r="H319">
        <v>13</v>
      </c>
      <c r="I319">
        <v>16</v>
      </c>
      <c r="J319">
        <v>14</v>
      </c>
      <c r="K319">
        <v>23</v>
      </c>
      <c r="L319">
        <v>3</v>
      </c>
      <c r="M319">
        <v>0</v>
      </c>
      <c r="N319">
        <v>0</v>
      </c>
      <c r="O319">
        <v>0</v>
      </c>
      <c r="P319">
        <v>13</v>
      </c>
      <c r="Q319">
        <v>0</v>
      </c>
      <c r="R319">
        <v>0</v>
      </c>
      <c r="S319">
        <v>53</v>
      </c>
      <c r="T319">
        <v>5.7</v>
      </c>
      <c r="U319">
        <v>117</v>
      </c>
      <c r="V319" t="s">
        <v>2438</v>
      </c>
      <c r="W319" t="s">
        <v>509</v>
      </c>
      <c r="X319">
        <v>0</v>
      </c>
      <c r="Y319">
        <v>0</v>
      </c>
      <c r="AA319">
        <v>93</v>
      </c>
      <c r="AB319">
        <v>55</v>
      </c>
      <c r="AC319">
        <v>9</v>
      </c>
      <c r="AD319">
        <v>30</v>
      </c>
      <c r="AE319" t="s">
        <v>60</v>
      </c>
    </row>
    <row r="320" spans="1:31" x14ac:dyDescent="0.2">
      <c r="A320">
        <v>311</v>
      </c>
      <c r="B320" t="s">
        <v>711</v>
      </c>
      <c r="C320">
        <v>24</v>
      </c>
      <c r="D320" t="s">
        <v>334</v>
      </c>
      <c r="E320" t="s">
        <v>349</v>
      </c>
      <c r="F320">
        <v>35</v>
      </c>
      <c r="G320">
        <v>2</v>
      </c>
      <c r="H320">
        <v>14</v>
      </c>
      <c r="I320">
        <v>16</v>
      </c>
      <c r="J320">
        <v>-4</v>
      </c>
      <c r="K320">
        <v>10</v>
      </c>
      <c r="L320">
        <v>2</v>
      </c>
      <c r="M320">
        <v>0</v>
      </c>
      <c r="N320">
        <v>0</v>
      </c>
      <c r="O320">
        <v>1</v>
      </c>
      <c r="P320">
        <v>11</v>
      </c>
      <c r="Q320">
        <v>3</v>
      </c>
      <c r="R320">
        <v>0</v>
      </c>
      <c r="S320">
        <v>51</v>
      </c>
      <c r="T320">
        <v>3.9</v>
      </c>
      <c r="U320">
        <v>136</v>
      </c>
      <c r="V320" t="s">
        <v>2439</v>
      </c>
      <c r="W320" t="s">
        <v>2034</v>
      </c>
      <c r="X320">
        <v>0</v>
      </c>
      <c r="Y320">
        <v>0</v>
      </c>
      <c r="AA320">
        <v>77</v>
      </c>
      <c r="AB320">
        <v>23</v>
      </c>
      <c r="AC320">
        <v>18</v>
      </c>
      <c r="AD320">
        <v>45</v>
      </c>
      <c r="AE320" t="s">
        <v>60</v>
      </c>
    </row>
    <row r="321" spans="1:31" x14ac:dyDescent="0.2">
      <c r="A321">
        <v>312</v>
      </c>
      <c r="B321" t="s">
        <v>646</v>
      </c>
      <c r="C321">
        <v>26</v>
      </c>
      <c r="D321" t="s">
        <v>321</v>
      </c>
      <c r="E321" t="s">
        <v>325</v>
      </c>
      <c r="F321">
        <v>45</v>
      </c>
      <c r="G321">
        <v>8</v>
      </c>
      <c r="H321">
        <v>8</v>
      </c>
      <c r="I321">
        <v>16</v>
      </c>
      <c r="J321">
        <v>11</v>
      </c>
      <c r="K321">
        <v>14</v>
      </c>
      <c r="L321">
        <v>7</v>
      </c>
      <c r="M321">
        <v>0</v>
      </c>
      <c r="N321">
        <v>1</v>
      </c>
      <c r="O321">
        <v>2</v>
      </c>
      <c r="P321">
        <v>8</v>
      </c>
      <c r="Q321">
        <v>0</v>
      </c>
      <c r="R321">
        <v>0</v>
      </c>
      <c r="S321">
        <v>60</v>
      </c>
      <c r="T321">
        <v>13.3</v>
      </c>
      <c r="U321">
        <v>109</v>
      </c>
      <c r="V321" t="s">
        <v>2156</v>
      </c>
      <c r="W321" t="s">
        <v>1928</v>
      </c>
      <c r="X321">
        <v>38</v>
      </c>
      <c r="Y321">
        <v>62</v>
      </c>
      <c r="Z321">
        <v>38</v>
      </c>
      <c r="AA321">
        <v>31</v>
      </c>
      <c r="AB321">
        <v>91</v>
      </c>
      <c r="AC321">
        <v>9</v>
      </c>
      <c r="AD321">
        <v>24</v>
      </c>
      <c r="AE321" t="s">
        <v>60</v>
      </c>
    </row>
    <row r="322" spans="1:31" x14ac:dyDescent="0.2">
      <c r="A322">
        <v>313</v>
      </c>
      <c r="B322" t="s">
        <v>761</v>
      </c>
      <c r="C322">
        <v>33</v>
      </c>
      <c r="D322" t="s">
        <v>324</v>
      </c>
      <c r="E322" t="s">
        <v>349</v>
      </c>
      <c r="F322">
        <v>32</v>
      </c>
      <c r="G322">
        <v>9</v>
      </c>
      <c r="H322">
        <v>7</v>
      </c>
      <c r="I322">
        <v>16</v>
      </c>
      <c r="J322">
        <v>-1</v>
      </c>
      <c r="K322">
        <v>16</v>
      </c>
      <c r="L322">
        <v>5</v>
      </c>
      <c r="M322">
        <v>4</v>
      </c>
      <c r="N322">
        <v>0</v>
      </c>
      <c r="O322">
        <v>2</v>
      </c>
      <c r="P322">
        <v>4</v>
      </c>
      <c r="Q322">
        <v>3</v>
      </c>
      <c r="R322">
        <v>0</v>
      </c>
      <c r="S322">
        <v>49</v>
      </c>
      <c r="T322">
        <v>18.399999999999999</v>
      </c>
      <c r="U322">
        <v>132</v>
      </c>
      <c r="V322" t="s">
        <v>2083</v>
      </c>
      <c r="W322" t="s">
        <v>1799</v>
      </c>
      <c r="X322">
        <v>0</v>
      </c>
      <c r="Y322">
        <v>0</v>
      </c>
      <c r="AA322">
        <v>42</v>
      </c>
      <c r="AB322">
        <v>25</v>
      </c>
      <c r="AC322">
        <v>8</v>
      </c>
      <c r="AD322">
        <v>45</v>
      </c>
      <c r="AE322" t="s">
        <v>60</v>
      </c>
    </row>
    <row r="323" spans="1:31" x14ac:dyDescent="0.2">
      <c r="A323">
        <v>314</v>
      </c>
      <c r="B323" t="s">
        <v>830</v>
      </c>
      <c r="C323">
        <v>25</v>
      </c>
      <c r="D323" t="s">
        <v>429</v>
      </c>
      <c r="E323" t="s">
        <v>322</v>
      </c>
      <c r="F323">
        <v>45</v>
      </c>
      <c r="G323">
        <v>3</v>
      </c>
      <c r="H323">
        <v>13</v>
      </c>
      <c r="I323">
        <v>16</v>
      </c>
      <c r="J323">
        <v>-2</v>
      </c>
      <c r="K323">
        <v>44</v>
      </c>
      <c r="L323">
        <v>3</v>
      </c>
      <c r="M323">
        <v>0</v>
      </c>
      <c r="N323">
        <v>0</v>
      </c>
      <c r="O323">
        <v>1</v>
      </c>
      <c r="P323">
        <v>12</v>
      </c>
      <c r="Q323">
        <v>1</v>
      </c>
      <c r="R323">
        <v>0</v>
      </c>
      <c r="S323">
        <v>52</v>
      </c>
      <c r="T323">
        <v>5.8</v>
      </c>
      <c r="U323">
        <v>101</v>
      </c>
      <c r="V323" t="s">
        <v>2787</v>
      </c>
      <c r="W323" t="s">
        <v>1846</v>
      </c>
      <c r="X323">
        <v>137</v>
      </c>
      <c r="Y323">
        <v>162</v>
      </c>
      <c r="Z323">
        <v>45.8</v>
      </c>
      <c r="AA323">
        <v>27</v>
      </c>
      <c r="AB323">
        <v>109</v>
      </c>
      <c r="AC323">
        <v>15</v>
      </c>
      <c r="AD323">
        <v>35</v>
      </c>
      <c r="AE323" t="s">
        <v>60</v>
      </c>
    </row>
    <row r="324" spans="1:31" x14ac:dyDescent="0.2">
      <c r="A324">
        <v>315</v>
      </c>
      <c r="B324" t="s">
        <v>685</v>
      </c>
      <c r="C324">
        <v>32</v>
      </c>
      <c r="D324" t="s">
        <v>360</v>
      </c>
      <c r="E324" t="s">
        <v>349</v>
      </c>
      <c r="F324">
        <v>44</v>
      </c>
      <c r="G324">
        <v>3</v>
      </c>
      <c r="H324">
        <v>13</v>
      </c>
      <c r="I324">
        <v>16</v>
      </c>
      <c r="J324">
        <v>23</v>
      </c>
      <c r="K324">
        <v>27</v>
      </c>
      <c r="L324">
        <v>3</v>
      </c>
      <c r="M324">
        <v>0</v>
      </c>
      <c r="N324">
        <v>0</v>
      </c>
      <c r="O324">
        <v>0</v>
      </c>
      <c r="P324">
        <v>13</v>
      </c>
      <c r="Q324">
        <v>0</v>
      </c>
      <c r="R324">
        <v>0</v>
      </c>
      <c r="S324">
        <v>32</v>
      </c>
      <c r="T324">
        <v>9.4</v>
      </c>
      <c r="U324">
        <v>87</v>
      </c>
      <c r="V324" t="s">
        <v>2440</v>
      </c>
      <c r="W324" t="s">
        <v>2441</v>
      </c>
      <c r="X324">
        <v>0</v>
      </c>
      <c r="Y324">
        <v>0</v>
      </c>
      <c r="AA324">
        <v>114</v>
      </c>
      <c r="AB324">
        <v>60</v>
      </c>
      <c r="AC324">
        <v>13</v>
      </c>
      <c r="AD324">
        <v>53</v>
      </c>
      <c r="AE324" t="s">
        <v>60</v>
      </c>
    </row>
    <row r="325" spans="1:31" x14ac:dyDescent="0.2">
      <c r="A325">
        <v>316</v>
      </c>
      <c r="B325" t="s">
        <v>568</v>
      </c>
      <c r="C325">
        <v>31</v>
      </c>
      <c r="D325" t="s">
        <v>532</v>
      </c>
      <c r="E325" t="s">
        <v>349</v>
      </c>
      <c r="F325">
        <v>27</v>
      </c>
      <c r="G325">
        <v>6</v>
      </c>
      <c r="H325">
        <v>10</v>
      </c>
      <c r="I325">
        <v>16</v>
      </c>
      <c r="J325">
        <v>-4</v>
      </c>
      <c r="K325">
        <v>21</v>
      </c>
      <c r="L325">
        <v>5</v>
      </c>
      <c r="M325">
        <v>1</v>
      </c>
      <c r="N325">
        <v>0</v>
      </c>
      <c r="O325">
        <v>1</v>
      </c>
      <c r="P325">
        <v>7</v>
      </c>
      <c r="Q325">
        <v>3</v>
      </c>
      <c r="R325">
        <v>0</v>
      </c>
      <c r="S325">
        <v>68</v>
      </c>
      <c r="T325">
        <v>8.8000000000000007</v>
      </c>
      <c r="U325">
        <v>164</v>
      </c>
      <c r="V325" t="s">
        <v>1628</v>
      </c>
      <c r="W325" t="s">
        <v>775</v>
      </c>
      <c r="X325">
        <v>0</v>
      </c>
      <c r="Y325">
        <v>0</v>
      </c>
      <c r="AA325">
        <v>35</v>
      </c>
      <c r="AB325">
        <v>34</v>
      </c>
      <c r="AC325">
        <v>14</v>
      </c>
      <c r="AD325">
        <v>37</v>
      </c>
      <c r="AE325" t="s">
        <v>60</v>
      </c>
    </row>
    <row r="326" spans="1:31" x14ac:dyDescent="0.2">
      <c r="A326">
        <v>317</v>
      </c>
      <c r="B326" t="s">
        <v>721</v>
      </c>
      <c r="C326">
        <v>30</v>
      </c>
      <c r="D326" t="s">
        <v>328</v>
      </c>
      <c r="E326" t="s">
        <v>349</v>
      </c>
      <c r="F326">
        <v>47</v>
      </c>
      <c r="G326">
        <v>6</v>
      </c>
      <c r="H326">
        <v>10</v>
      </c>
      <c r="I326">
        <v>16</v>
      </c>
      <c r="J326">
        <v>-12</v>
      </c>
      <c r="K326">
        <v>81</v>
      </c>
      <c r="L326">
        <v>6</v>
      </c>
      <c r="M326">
        <v>0</v>
      </c>
      <c r="N326">
        <v>0</v>
      </c>
      <c r="O326">
        <v>0</v>
      </c>
      <c r="P326">
        <v>8</v>
      </c>
      <c r="Q326">
        <v>0</v>
      </c>
      <c r="R326">
        <v>2</v>
      </c>
      <c r="S326">
        <v>99</v>
      </c>
      <c r="T326">
        <v>6.1</v>
      </c>
      <c r="U326">
        <v>212</v>
      </c>
      <c r="V326" t="s">
        <v>2442</v>
      </c>
      <c r="W326" t="s">
        <v>1727</v>
      </c>
      <c r="X326">
        <v>0</v>
      </c>
      <c r="Y326">
        <v>0</v>
      </c>
      <c r="AA326">
        <v>111</v>
      </c>
      <c r="AB326">
        <v>65</v>
      </c>
      <c r="AC326">
        <v>14</v>
      </c>
      <c r="AD326">
        <v>50</v>
      </c>
      <c r="AE326" t="s">
        <v>60</v>
      </c>
    </row>
    <row r="327" spans="1:31" x14ac:dyDescent="0.2">
      <c r="A327">
        <v>318</v>
      </c>
      <c r="B327" t="s">
        <v>842</v>
      </c>
      <c r="C327">
        <v>25</v>
      </c>
      <c r="D327" t="s">
        <v>367</v>
      </c>
      <c r="E327" t="s">
        <v>349</v>
      </c>
      <c r="F327">
        <v>41</v>
      </c>
      <c r="G327">
        <v>2</v>
      </c>
      <c r="H327">
        <v>14</v>
      </c>
      <c r="I327">
        <v>16</v>
      </c>
      <c r="J327">
        <v>10</v>
      </c>
      <c r="K327">
        <v>8</v>
      </c>
      <c r="L327">
        <v>2</v>
      </c>
      <c r="M327">
        <v>0</v>
      </c>
      <c r="N327">
        <v>0</v>
      </c>
      <c r="O327">
        <v>0</v>
      </c>
      <c r="P327">
        <v>14</v>
      </c>
      <c r="Q327">
        <v>0</v>
      </c>
      <c r="R327">
        <v>0</v>
      </c>
      <c r="S327">
        <v>49</v>
      </c>
      <c r="T327">
        <v>4.0999999999999996</v>
      </c>
      <c r="U327">
        <v>107</v>
      </c>
      <c r="V327" t="s">
        <v>2443</v>
      </c>
      <c r="W327" t="s">
        <v>2252</v>
      </c>
      <c r="X327">
        <v>0</v>
      </c>
      <c r="Y327">
        <v>0</v>
      </c>
      <c r="AA327">
        <v>71</v>
      </c>
      <c r="AB327">
        <v>51</v>
      </c>
      <c r="AC327">
        <v>14</v>
      </c>
      <c r="AD327">
        <v>51</v>
      </c>
      <c r="AE327" t="s">
        <v>60</v>
      </c>
    </row>
    <row r="328" spans="1:31" x14ac:dyDescent="0.2">
      <c r="A328">
        <v>319</v>
      </c>
      <c r="B328" t="s">
        <v>806</v>
      </c>
      <c r="C328">
        <v>27</v>
      </c>
      <c r="D328" t="s">
        <v>437</v>
      </c>
      <c r="E328" t="s">
        <v>322</v>
      </c>
      <c r="F328">
        <v>42</v>
      </c>
      <c r="G328">
        <v>8</v>
      </c>
      <c r="H328">
        <v>8</v>
      </c>
      <c r="I328">
        <v>16</v>
      </c>
      <c r="J328">
        <v>-13</v>
      </c>
      <c r="K328">
        <v>4</v>
      </c>
      <c r="L328">
        <v>6</v>
      </c>
      <c r="M328">
        <v>2</v>
      </c>
      <c r="N328">
        <v>0</v>
      </c>
      <c r="O328">
        <v>1</v>
      </c>
      <c r="P328">
        <v>6</v>
      </c>
      <c r="Q328">
        <v>2</v>
      </c>
      <c r="R328">
        <v>0</v>
      </c>
      <c r="S328">
        <v>76</v>
      </c>
      <c r="T328">
        <v>10.5</v>
      </c>
      <c r="U328">
        <v>156</v>
      </c>
      <c r="V328" t="s">
        <v>2444</v>
      </c>
      <c r="W328" t="s">
        <v>1182</v>
      </c>
      <c r="X328">
        <v>18</v>
      </c>
      <c r="Y328">
        <v>41</v>
      </c>
      <c r="Z328">
        <v>30.5</v>
      </c>
      <c r="AA328">
        <v>14</v>
      </c>
      <c r="AB328">
        <v>9</v>
      </c>
      <c r="AC328">
        <v>8</v>
      </c>
      <c r="AD328">
        <v>30</v>
      </c>
      <c r="AE328" t="s">
        <v>60</v>
      </c>
    </row>
    <row r="329" spans="1:31" x14ac:dyDescent="0.2">
      <c r="A329">
        <v>320</v>
      </c>
      <c r="B329" t="s">
        <v>725</v>
      </c>
      <c r="C329">
        <v>28</v>
      </c>
      <c r="D329" t="s">
        <v>377</v>
      </c>
      <c r="E329" t="s">
        <v>349</v>
      </c>
      <c r="F329">
        <v>45</v>
      </c>
      <c r="G329">
        <v>2</v>
      </c>
      <c r="H329">
        <v>14</v>
      </c>
      <c r="I329">
        <v>16</v>
      </c>
      <c r="J329">
        <v>15</v>
      </c>
      <c r="K329">
        <v>18</v>
      </c>
      <c r="L329">
        <v>2</v>
      </c>
      <c r="M329">
        <v>0</v>
      </c>
      <c r="N329">
        <v>0</v>
      </c>
      <c r="O329">
        <v>0</v>
      </c>
      <c r="P329">
        <v>14</v>
      </c>
      <c r="Q329">
        <v>0</v>
      </c>
      <c r="R329">
        <v>0</v>
      </c>
      <c r="S329">
        <v>37</v>
      </c>
      <c r="T329">
        <v>5.4</v>
      </c>
      <c r="U329">
        <v>105</v>
      </c>
      <c r="V329" t="s">
        <v>2445</v>
      </c>
      <c r="W329" t="s">
        <v>2446</v>
      </c>
      <c r="X329">
        <v>0</v>
      </c>
      <c r="Y329">
        <v>0</v>
      </c>
      <c r="AA329">
        <v>54</v>
      </c>
      <c r="AB329">
        <v>24</v>
      </c>
      <c r="AC329">
        <v>11</v>
      </c>
      <c r="AD329">
        <v>29</v>
      </c>
      <c r="AE329" t="s">
        <v>60</v>
      </c>
    </row>
    <row r="330" spans="1:31" x14ac:dyDescent="0.2">
      <c r="A330">
        <v>321</v>
      </c>
      <c r="B330" t="s">
        <v>771</v>
      </c>
      <c r="C330">
        <v>37</v>
      </c>
      <c r="D330" t="s">
        <v>346</v>
      </c>
      <c r="E330" t="s">
        <v>322</v>
      </c>
      <c r="F330">
        <v>45</v>
      </c>
      <c r="G330">
        <v>6</v>
      </c>
      <c r="H330">
        <v>10</v>
      </c>
      <c r="I330">
        <v>16</v>
      </c>
      <c r="J330">
        <v>-11</v>
      </c>
      <c r="K330">
        <v>22</v>
      </c>
      <c r="L330">
        <v>4</v>
      </c>
      <c r="M330">
        <v>2</v>
      </c>
      <c r="N330">
        <v>0</v>
      </c>
      <c r="O330">
        <v>0</v>
      </c>
      <c r="P330">
        <v>8</v>
      </c>
      <c r="Q330">
        <v>2</v>
      </c>
      <c r="R330">
        <v>0</v>
      </c>
      <c r="S330">
        <v>63</v>
      </c>
      <c r="T330">
        <v>9.5</v>
      </c>
      <c r="U330">
        <v>111</v>
      </c>
      <c r="V330" t="s">
        <v>2447</v>
      </c>
      <c r="W330" t="s">
        <v>652</v>
      </c>
      <c r="X330">
        <v>368</v>
      </c>
      <c r="Y330">
        <v>215</v>
      </c>
      <c r="Z330">
        <v>63.1</v>
      </c>
      <c r="AA330">
        <v>23</v>
      </c>
      <c r="AB330">
        <v>12</v>
      </c>
      <c r="AC330">
        <v>12</v>
      </c>
      <c r="AD330">
        <v>32</v>
      </c>
      <c r="AE330" t="s">
        <v>60</v>
      </c>
    </row>
    <row r="331" spans="1:31" x14ac:dyDescent="0.2">
      <c r="A331">
        <v>322</v>
      </c>
      <c r="B331" t="s">
        <v>955</v>
      </c>
      <c r="C331">
        <v>32</v>
      </c>
      <c r="D331" t="s">
        <v>437</v>
      </c>
      <c r="E331" t="s">
        <v>349</v>
      </c>
      <c r="F331">
        <v>46</v>
      </c>
      <c r="G331">
        <v>3</v>
      </c>
      <c r="H331">
        <v>13</v>
      </c>
      <c r="I331">
        <v>16</v>
      </c>
      <c r="J331">
        <v>-23</v>
      </c>
      <c r="K331">
        <v>59</v>
      </c>
      <c r="L331">
        <v>3</v>
      </c>
      <c r="M331">
        <v>0</v>
      </c>
      <c r="N331">
        <v>0</v>
      </c>
      <c r="O331">
        <v>0</v>
      </c>
      <c r="P331">
        <v>9</v>
      </c>
      <c r="Q331">
        <v>3</v>
      </c>
      <c r="R331">
        <v>1</v>
      </c>
      <c r="S331">
        <v>105</v>
      </c>
      <c r="T331">
        <v>2.9</v>
      </c>
      <c r="U331">
        <v>251</v>
      </c>
      <c r="V331" t="s">
        <v>2448</v>
      </c>
      <c r="W331" t="s">
        <v>2449</v>
      </c>
      <c r="X331">
        <v>0</v>
      </c>
      <c r="Y331">
        <v>0</v>
      </c>
      <c r="AA331">
        <v>96</v>
      </c>
      <c r="AB331">
        <v>113</v>
      </c>
      <c r="AC331">
        <v>17</v>
      </c>
      <c r="AD331">
        <v>73</v>
      </c>
      <c r="AE331" t="s">
        <v>60</v>
      </c>
    </row>
    <row r="332" spans="1:31" x14ac:dyDescent="0.2">
      <c r="A332">
        <v>323</v>
      </c>
      <c r="B332" t="s">
        <v>669</v>
      </c>
      <c r="C332">
        <v>22</v>
      </c>
      <c r="D332" t="s">
        <v>532</v>
      </c>
      <c r="E332" t="s">
        <v>322</v>
      </c>
      <c r="F332">
        <v>45</v>
      </c>
      <c r="G332">
        <v>7</v>
      </c>
      <c r="H332">
        <v>9</v>
      </c>
      <c r="I332">
        <v>16</v>
      </c>
      <c r="J332">
        <v>1</v>
      </c>
      <c r="K332">
        <v>4</v>
      </c>
      <c r="L332">
        <v>6</v>
      </c>
      <c r="M332">
        <v>1</v>
      </c>
      <c r="N332">
        <v>0</v>
      </c>
      <c r="O332">
        <v>2</v>
      </c>
      <c r="P332">
        <v>7</v>
      </c>
      <c r="Q332">
        <v>2</v>
      </c>
      <c r="R332">
        <v>0</v>
      </c>
      <c r="S332">
        <v>69</v>
      </c>
      <c r="T332">
        <v>10.1</v>
      </c>
      <c r="U332">
        <v>121</v>
      </c>
      <c r="V332" t="s">
        <v>2735</v>
      </c>
      <c r="W332" t="s">
        <v>2788</v>
      </c>
      <c r="X332">
        <v>119</v>
      </c>
      <c r="Y332">
        <v>196</v>
      </c>
      <c r="Z332">
        <v>37.799999999999997</v>
      </c>
      <c r="AA332">
        <v>33</v>
      </c>
      <c r="AB332">
        <v>36</v>
      </c>
      <c r="AC332">
        <v>8</v>
      </c>
      <c r="AD332">
        <v>45</v>
      </c>
      <c r="AE332" t="s">
        <v>60</v>
      </c>
    </row>
    <row r="333" spans="1:31" x14ac:dyDescent="0.2">
      <c r="A333">
        <v>324</v>
      </c>
      <c r="B333" t="s">
        <v>854</v>
      </c>
      <c r="C333">
        <v>22</v>
      </c>
      <c r="D333" t="s">
        <v>358</v>
      </c>
      <c r="E333" t="s">
        <v>335</v>
      </c>
      <c r="F333">
        <v>40</v>
      </c>
      <c r="G333">
        <v>6</v>
      </c>
      <c r="H333">
        <v>10</v>
      </c>
      <c r="I333">
        <v>16</v>
      </c>
      <c r="J333">
        <v>-2</v>
      </c>
      <c r="K333">
        <v>12</v>
      </c>
      <c r="L333">
        <v>6</v>
      </c>
      <c r="M333">
        <v>0</v>
      </c>
      <c r="N333">
        <v>0</v>
      </c>
      <c r="O333">
        <v>2</v>
      </c>
      <c r="P333">
        <v>9</v>
      </c>
      <c r="Q333">
        <v>1</v>
      </c>
      <c r="R333">
        <v>0</v>
      </c>
      <c r="S333">
        <v>47</v>
      </c>
      <c r="T333">
        <v>12.8</v>
      </c>
      <c r="U333">
        <v>96</v>
      </c>
      <c r="V333" t="s">
        <v>2157</v>
      </c>
      <c r="W333" t="s">
        <v>749</v>
      </c>
      <c r="X333">
        <v>156</v>
      </c>
      <c r="Y333">
        <v>244</v>
      </c>
      <c r="Z333">
        <v>39</v>
      </c>
      <c r="AA333">
        <v>27</v>
      </c>
      <c r="AB333">
        <v>25</v>
      </c>
      <c r="AC333">
        <v>12</v>
      </c>
      <c r="AD333">
        <v>25</v>
      </c>
      <c r="AE333" t="s">
        <v>60</v>
      </c>
    </row>
    <row r="334" spans="1:31" x14ac:dyDescent="0.2">
      <c r="A334">
        <v>325</v>
      </c>
      <c r="B334" t="s">
        <v>739</v>
      </c>
      <c r="C334">
        <v>24</v>
      </c>
      <c r="D334" t="s">
        <v>334</v>
      </c>
      <c r="E334" t="s">
        <v>322</v>
      </c>
      <c r="F334">
        <v>47</v>
      </c>
      <c r="G334">
        <v>7</v>
      </c>
      <c r="H334">
        <v>8</v>
      </c>
      <c r="I334">
        <v>15</v>
      </c>
      <c r="J334">
        <v>-6</v>
      </c>
      <c r="K334">
        <v>4</v>
      </c>
      <c r="L334">
        <v>7</v>
      </c>
      <c r="M334">
        <v>0</v>
      </c>
      <c r="N334">
        <v>0</v>
      </c>
      <c r="O334">
        <v>0</v>
      </c>
      <c r="P334">
        <v>6</v>
      </c>
      <c r="Q334">
        <v>2</v>
      </c>
      <c r="R334">
        <v>0</v>
      </c>
      <c r="S334">
        <v>77</v>
      </c>
      <c r="T334">
        <v>9.1</v>
      </c>
      <c r="U334">
        <v>125</v>
      </c>
      <c r="V334" t="s">
        <v>2450</v>
      </c>
      <c r="W334" t="s">
        <v>2451</v>
      </c>
      <c r="X334">
        <v>59</v>
      </c>
      <c r="Y334">
        <v>75</v>
      </c>
      <c r="Z334">
        <v>44</v>
      </c>
      <c r="AA334">
        <v>12</v>
      </c>
      <c r="AB334">
        <v>27</v>
      </c>
      <c r="AC334">
        <v>8</v>
      </c>
      <c r="AD334">
        <v>25</v>
      </c>
      <c r="AE334" t="s">
        <v>60</v>
      </c>
    </row>
    <row r="335" spans="1:31" x14ac:dyDescent="0.2">
      <c r="A335">
        <v>326</v>
      </c>
      <c r="B335" t="s">
        <v>740</v>
      </c>
      <c r="C335">
        <v>22</v>
      </c>
      <c r="D335" t="s">
        <v>344</v>
      </c>
      <c r="E335" t="s">
        <v>325</v>
      </c>
      <c r="F335">
        <v>29</v>
      </c>
      <c r="G335">
        <v>6</v>
      </c>
      <c r="H335">
        <v>9</v>
      </c>
      <c r="I335">
        <v>15</v>
      </c>
      <c r="J335">
        <v>-10</v>
      </c>
      <c r="K335">
        <v>4</v>
      </c>
      <c r="L335">
        <v>4</v>
      </c>
      <c r="M335">
        <v>2</v>
      </c>
      <c r="N335">
        <v>0</v>
      </c>
      <c r="O335">
        <v>1</v>
      </c>
      <c r="P335">
        <v>9</v>
      </c>
      <c r="Q335">
        <v>0</v>
      </c>
      <c r="R335">
        <v>0</v>
      </c>
      <c r="S335">
        <v>44</v>
      </c>
      <c r="T335">
        <v>13.6</v>
      </c>
      <c r="U335">
        <v>88</v>
      </c>
      <c r="V335" t="s">
        <v>2789</v>
      </c>
      <c r="W335" t="s">
        <v>1891</v>
      </c>
      <c r="X335">
        <v>3</v>
      </c>
      <c r="Y335">
        <v>5</v>
      </c>
      <c r="Z335">
        <v>37.5</v>
      </c>
      <c r="AA335">
        <v>13</v>
      </c>
      <c r="AB335">
        <v>5</v>
      </c>
      <c r="AC335">
        <v>6</v>
      </c>
      <c r="AD335">
        <v>12</v>
      </c>
      <c r="AE335" t="s">
        <v>60</v>
      </c>
    </row>
    <row r="336" spans="1:31" x14ac:dyDescent="0.2">
      <c r="A336">
        <v>327</v>
      </c>
      <c r="B336" t="s">
        <v>695</v>
      </c>
      <c r="C336">
        <v>24</v>
      </c>
      <c r="D336" t="s">
        <v>514</v>
      </c>
      <c r="E336" t="s">
        <v>349</v>
      </c>
      <c r="F336">
        <v>46</v>
      </c>
      <c r="G336">
        <v>2</v>
      </c>
      <c r="H336">
        <v>13</v>
      </c>
      <c r="I336">
        <v>15</v>
      </c>
      <c r="J336">
        <v>1</v>
      </c>
      <c r="K336">
        <v>6</v>
      </c>
      <c r="L336">
        <v>2</v>
      </c>
      <c r="M336">
        <v>0</v>
      </c>
      <c r="N336">
        <v>0</v>
      </c>
      <c r="O336">
        <v>0</v>
      </c>
      <c r="P336">
        <v>13</v>
      </c>
      <c r="Q336">
        <v>0</v>
      </c>
      <c r="R336">
        <v>0</v>
      </c>
      <c r="S336">
        <v>58</v>
      </c>
      <c r="T336">
        <v>3.4</v>
      </c>
      <c r="U336">
        <v>155</v>
      </c>
      <c r="V336" t="s">
        <v>2033</v>
      </c>
      <c r="W336" t="s">
        <v>2034</v>
      </c>
      <c r="X336">
        <v>0</v>
      </c>
      <c r="Y336">
        <v>0</v>
      </c>
      <c r="AA336">
        <v>71</v>
      </c>
      <c r="AB336">
        <v>17</v>
      </c>
      <c r="AC336">
        <v>12</v>
      </c>
      <c r="AD336">
        <v>63</v>
      </c>
      <c r="AE336" t="s">
        <v>60</v>
      </c>
    </row>
    <row r="337" spans="1:31" x14ac:dyDescent="0.2">
      <c r="A337">
        <v>328</v>
      </c>
      <c r="B337" t="s">
        <v>742</v>
      </c>
      <c r="C337">
        <v>32</v>
      </c>
      <c r="D337" t="s">
        <v>358</v>
      </c>
      <c r="E337" t="s">
        <v>349</v>
      </c>
      <c r="F337">
        <v>42</v>
      </c>
      <c r="G337">
        <v>3</v>
      </c>
      <c r="H337">
        <v>12</v>
      </c>
      <c r="I337">
        <v>15</v>
      </c>
      <c r="J337">
        <v>13</v>
      </c>
      <c r="K337">
        <v>8</v>
      </c>
      <c r="L337">
        <v>3</v>
      </c>
      <c r="M337">
        <v>0</v>
      </c>
      <c r="N337">
        <v>0</v>
      </c>
      <c r="O337">
        <v>1</v>
      </c>
      <c r="P337">
        <v>11</v>
      </c>
      <c r="Q337">
        <v>1</v>
      </c>
      <c r="R337">
        <v>0</v>
      </c>
      <c r="S337">
        <v>43</v>
      </c>
      <c r="T337">
        <v>7</v>
      </c>
      <c r="U337">
        <v>111</v>
      </c>
      <c r="V337" t="s">
        <v>2158</v>
      </c>
      <c r="W337" t="s">
        <v>1954</v>
      </c>
      <c r="X337">
        <v>0</v>
      </c>
      <c r="Y337">
        <v>0</v>
      </c>
      <c r="AA337">
        <v>91</v>
      </c>
      <c r="AB337">
        <v>8</v>
      </c>
      <c r="AC337">
        <v>9</v>
      </c>
      <c r="AD337">
        <v>30</v>
      </c>
      <c r="AE337" t="s">
        <v>60</v>
      </c>
    </row>
    <row r="338" spans="1:31" x14ac:dyDescent="0.2">
      <c r="A338">
        <v>329</v>
      </c>
      <c r="B338" t="s">
        <v>678</v>
      </c>
      <c r="C338">
        <v>36</v>
      </c>
      <c r="D338" t="s">
        <v>406</v>
      </c>
      <c r="E338" t="s">
        <v>349</v>
      </c>
      <c r="F338">
        <v>47</v>
      </c>
      <c r="G338">
        <v>2</v>
      </c>
      <c r="H338">
        <v>13</v>
      </c>
      <c r="I338">
        <v>15</v>
      </c>
      <c r="J338">
        <v>16</v>
      </c>
      <c r="K338">
        <v>24</v>
      </c>
      <c r="L338">
        <v>2</v>
      </c>
      <c r="M338">
        <v>0</v>
      </c>
      <c r="N338">
        <v>0</v>
      </c>
      <c r="O338">
        <v>0</v>
      </c>
      <c r="P338">
        <v>13</v>
      </c>
      <c r="Q338">
        <v>0</v>
      </c>
      <c r="R338">
        <v>0</v>
      </c>
      <c r="S338">
        <v>34</v>
      </c>
      <c r="T338">
        <v>5.9</v>
      </c>
      <c r="U338">
        <v>100</v>
      </c>
      <c r="V338" t="s">
        <v>2452</v>
      </c>
      <c r="W338" t="s">
        <v>1925</v>
      </c>
      <c r="X338">
        <v>0</v>
      </c>
      <c r="Y338">
        <v>0</v>
      </c>
      <c r="AA338">
        <v>95</v>
      </c>
      <c r="AB338">
        <v>49</v>
      </c>
      <c r="AC338">
        <v>7</v>
      </c>
      <c r="AD338">
        <v>50</v>
      </c>
      <c r="AE338" t="s">
        <v>60</v>
      </c>
    </row>
    <row r="339" spans="1:31" x14ac:dyDescent="0.2">
      <c r="A339">
        <v>330</v>
      </c>
      <c r="B339" t="s">
        <v>702</v>
      </c>
      <c r="C339">
        <v>25</v>
      </c>
      <c r="D339" t="s">
        <v>321</v>
      </c>
      <c r="E339" t="s">
        <v>322</v>
      </c>
      <c r="F339">
        <v>45</v>
      </c>
      <c r="G339">
        <v>7</v>
      </c>
      <c r="H339">
        <v>8</v>
      </c>
      <c r="I339">
        <v>15</v>
      </c>
      <c r="J339">
        <v>12</v>
      </c>
      <c r="K339">
        <v>16</v>
      </c>
      <c r="L339">
        <v>7</v>
      </c>
      <c r="M339">
        <v>0</v>
      </c>
      <c r="N339">
        <v>0</v>
      </c>
      <c r="O339">
        <v>0</v>
      </c>
      <c r="P339">
        <v>8</v>
      </c>
      <c r="Q339">
        <v>0</v>
      </c>
      <c r="R339">
        <v>0</v>
      </c>
      <c r="S339">
        <v>51</v>
      </c>
      <c r="T339">
        <v>13.7</v>
      </c>
      <c r="U339">
        <v>107</v>
      </c>
      <c r="V339" t="s">
        <v>2159</v>
      </c>
      <c r="W339" t="s">
        <v>2160</v>
      </c>
      <c r="X339">
        <v>313</v>
      </c>
      <c r="Y339">
        <v>225</v>
      </c>
      <c r="Z339">
        <v>58.2</v>
      </c>
      <c r="AA339">
        <v>41</v>
      </c>
      <c r="AB339">
        <v>18</v>
      </c>
      <c r="AC339">
        <v>10</v>
      </c>
      <c r="AD339">
        <v>20</v>
      </c>
      <c r="AE339" t="s">
        <v>60</v>
      </c>
    </row>
    <row r="340" spans="1:31" x14ac:dyDescent="0.2">
      <c r="A340">
        <v>331</v>
      </c>
      <c r="B340" t="s">
        <v>639</v>
      </c>
      <c r="C340">
        <v>34</v>
      </c>
      <c r="D340" t="s">
        <v>514</v>
      </c>
      <c r="E340" t="s">
        <v>349</v>
      </c>
      <c r="F340">
        <v>47</v>
      </c>
      <c r="G340">
        <v>1</v>
      </c>
      <c r="H340">
        <v>14</v>
      </c>
      <c r="I340">
        <v>15</v>
      </c>
      <c r="J340">
        <v>-19</v>
      </c>
      <c r="K340">
        <v>12</v>
      </c>
      <c r="L340">
        <v>1</v>
      </c>
      <c r="M340">
        <v>0</v>
      </c>
      <c r="N340">
        <v>0</v>
      </c>
      <c r="O340">
        <v>0</v>
      </c>
      <c r="P340">
        <v>5</v>
      </c>
      <c r="Q340">
        <v>8</v>
      </c>
      <c r="R340">
        <v>1</v>
      </c>
      <c r="S340">
        <v>63</v>
      </c>
      <c r="T340">
        <v>1.6</v>
      </c>
      <c r="U340">
        <v>153</v>
      </c>
      <c r="V340" t="s">
        <v>2453</v>
      </c>
      <c r="W340" t="s">
        <v>1739</v>
      </c>
      <c r="X340">
        <v>0</v>
      </c>
      <c r="Y340">
        <v>0</v>
      </c>
      <c r="AA340">
        <v>44</v>
      </c>
      <c r="AB340">
        <v>6</v>
      </c>
      <c r="AC340">
        <v>11</v>
      </c>
      <c r="AD340">
        <v>40</v>
      </c>
      <c r="AE340" t="s">
        <v>60</v>
      </c>
    </row>
    <row r="341" spans="1:31" x14ac:dyDescent="0.2">
      <c r="A341">
        <v>332</v>
      </c>
      <c r="B341" t="s">
        <v>708</v>
      </c>
      <c r="C341">
        <v>33</v>
      </c>
      <c r="D341" t="s">
        <v>364</v>
      </c>
      <c r="E341" t="s">
        <v>335</v>
      </c>
      <c r="F341">
        <v>47</v>
      </c>
      <c r="G341">
        <v>4</v>
      </c>
      <c r="H341">
        <v>11</v>
      </c>
      <c r="I341">
        <v>15</v>
      </c>
      <c r="J341">
        <v>-3</v>
      </c>
      <c r="K341">
        <v>22</v>
      </c>
      <c r="L341">
        <v>3</v>
      </c>
      <c r="M341">
        <v>1</v>
      </c>
      <c r="N341">
        <v>0</v>
      </c>
      <c r="O341">
        <v>0</v>
      </c>
      <c r="P341">
        <v>9</v>
      </c>
      <c r="Q341">
        <v>2</v>
      </c>
      <c r="R341">
        <v>0</v>
      </c>
      <c r="S341">
        <v>82</v>
      </c>
      <c r="T341">
        <v>4.9000000000000004</v>
      </c>
      <c r="U341">
        <v>157</v>
      </c>
      <c r="V341" t="s">
        <v>2182</v>
      </c>
      <c r="W341" t="s">
        <v>1738</v>
      </c>
      <c r="X341">
        <v>5</v>
      </c>
      <c r="Y341">
        <v>4</v>
      </c>
      <c r="Z341">
        <v>55.6</v>
      </c>
      <c r="AA341">
        <v>8</v>
      </c>
      <c r="AB341">
        <v>50</v>
      </c>
      <c r="AC341">
        <v>8</v>
      </c>
      <c r="AD341">
        <v>23</v>
      </c>
      <c r="AE341" t="s">
        <v>60</v>
      </c>
    </row>
    <row r="342" spans="1:31" x14ac:dyDescent="0.2">
      <c r="A342">
        <v>333</v>
      </c>
      <c r="B342" t="s">
        <v>617</v>
      </c>
      <c r="C342">
        <v>30</v>
      </c>
      <c r="D342" t="s">
        <v>362</v>
      </c>
      <c r="E342" t="s">
        <v>349</v>
      </c>
      <c r="F342">
        <v>48</v>
      </c>
      <c r="G342">
        <v>7</v>
      </c>
      <c r="H342">
        <v>8</v>
      </c>
      <c r="I342">
        <v>15</v>
      </c>
      <c r="J342">
        <v>-9</v>
      </c>
      <c r="K342">
        <v>24</v>
      </c>
      <c r="L342">
        <v>6</v>
      </c>
      <c r="M342">
        <v>1</v>
      </c>
      <c r="N342">
        <v>0</v>
      </c>
      <c r="O342">
        <v>1</v>
      </c>
      <c r="P342">
        <v>8</v>
      </c>
      <c r="Q342">
        <v>0</v>
      </c>
      <c r="R342">
        <v>0</v>
      </c>
      <c r="S342">
        <v>71</v>
      </c>
      <c r="T342">
        <v>9.9</v>
      </c>
      <c r="U342">
        <v>192</v>
      </c>
      <c r="V342" t="s">
        <v>2790</v>
      </c>
      <c r="W342" t="s">
        <v>2161</v>
      </c>
      <c r="X342">
        <v>0</v>
      </c>
      <c r="Y342">
        <v>0</v>
      </c>
      <c r="AA342">
        <v>75</v>
      </c>
      <c r="AB342">
        <v>27</v>
      </c>
      <c r="AC342">
        <v>13</v>
      </c>
      <c r="AD342">
        <v>58</v>
      </c>
      <c r="AE342" t="s">
        <v>60</v>
      </c>
    </row>
    <row r="343" spans="1:31" x14ac:dyDescent="0.2">
      <c r="A343">
        <v>334</v>
      </c>
      <c r="B343" t="s">
        <v>823</v>
      </c>
      <c r="C343">
        <v>25</v>
      </c>
      <c r="D343" t="s">
        <v>353</v>
      </c>
      <c r="E343" t="s">
        <v>322</v>
      </c>
      <c r="F343">
        <v>41</v>
      </c>
      <c r="G343">
        <v>6</v>
      </c>
      <c r="H343">
        <v>9</v>
      </c>
      <c r="I343">
        <v>15</v>
      </c>
      <c r="J343">
        <v>15</v>
      </c>
      <c r="K343">
        <v>27</v>
      </c>
      <c r="L343">
        <v>6</v>
      </c>
      <c r="M343">
        <v>0</v>
      </c>
      <c r="N343">
        <v>0</v>
      </c>
      <c r="O343">
        <v>1</v>
      </c>
      <c r="P343">
        <v>8</v>
      </c>
      <c r="Q343">
        <v>1</v>
      </c>
      <c r="R343">
        <v>0</v>
      </c>
      <c r="S343">
        <v>36</v>
      </c>
      <c r="T343">
        <v>16.7</v>
      </c>
      <c r="U343">
        <v>74</v>
      </c>
      <c r="V343" t="s">
        <v>2454</v>
      </c>
      <c r="W343" t="s">
        <v>1554</v>
      </c>
      <c r="X343">
        <v>6</v>
      </c>
      <c r="Y343">
        <v>12</v>
      </c>
      <c r="Z343">
        <v>33.299999999999997</v>
      </c>
      <c r="AA343">
        <v>17</v>
      </c>
      <c r="AB343">
        <v>39</v>
      </c>
      <c r="AC343">
        <v>11</v>
      </c>
      <c r="AD343">
        <v>35</v>
      </c>
      <c r="AE343" t="s">
        <v>60</v>
      </c>
    </row>
    <row r="344" spans="1:31" x14ac:dyDescent="0.2">
      <c r="A344">
        <v>335</v>
      </c>
      <c r="B344" t="s">
        <v>757</v>
      </c>
      <c r="C344">
        <v>27</v>
      </c>
      <c r="D344" t="s">
        <v>344</v>
      </c>
      <c r="E344" t="s">
        <v>322</v>
      </c>
      <c r="F344">
        <v>39</v>
      </c>
      <c r="G344">
        <v>9</v>
      </c>
      <c r="H344">
        <v>6</v>
      </c>
      <c r="I344">
        <v>15</v>
      </c>
      <c r="J344">
        <v>-4</v>
      </c>
      <c r="K344">
        <v>20</v>
      </c>
      <c r="L344">
        <v>9</v>
      </c>
      <c r="M344">
        <v>0</v>
      </c>
      <c r="N344">
        <v>0</v>
      </c>
      <c r="O344">
        <v>0</v>
      </c>
      <c r="P344">
        <v>6</v>
      </c>
      <c r="Q344">
        <v>0</v>
      </c>
      <c r="R344">
        <v>0</v>
      </c>
      <c r="S344">
        <v>46</v>
      </c>
      <c r="T344">
        <v>19.600000000000001</v>
      </c>
      <c r="U344">
        <v>81</v>
      </c>
      <c r="V344" t="s">
        <v>2035</v>
      </c>
      <c r="W344" t="s">
        <v>1829</v>
      </c>
      <c r="X344">
        <v>199</v>
      </c>
      <c r="Y344">
        <v>194</v>
      </c>
      <c r="Z344">
        <v>50.6</v>
      </c>
      <c r="AA344">
        <v>9</v>
      </c>
      <c r="AB344">
        <v>66</v>
      </c>
      <c r="AC344">
        <v>8</v>
      </c>
      <c r="AD344">
        <v>34</v>
      </c>
      <c r="AE344" t="s">
        <v>60</v>
      </c>
    </row>
    <row r="345" spans="1:31" x14ac:dyDescent="0.2">
      <c r="A345">
        <v>336</v>
      </c>
      <c r="B345" t="s">
        <v>1067</v>
      </c>
      <c r="C345">
        <v>24</v>
      </c>
      <c r="D345" t="s">
        <v>532</v>
      </c>
      <c r="E345" t="s">
        <v>335</v>
      </c>
      <c r="F345">
        <v>29</v>
      </c>
      <c r="G345">
        <v>4</v>
      </c>
      <c r="H345">
        <v>11</v>
      </c>
      <c r="I345">
        <v>15</v>
      </c>
      <c r="J345">
        <v>4</v>
      </c>
      <c r="K345">
        <v>6</v>
      </c>
      <c r="L345">
        <v>3</v>
      </c>
      <c r="M345">
        <v>1</v>
      </c>
      <c r="N345">
        <v>0</v>
      </c>
      <c r="O345">
        <v>1</v>
      </c>
      <c r="P345">
        <v>8</v>
      </c>
      <c r="Q345">
        <v>3</v>
      </c>
      <c r="R345">
        <v>0</v>
      </c>
      <c r="S345">
        <v>46</v>
      </c>
      <c r="T345">
        <v>8.6999999999999993</v>
      </c>
      <c r="U345">
        <v>79</v>
      </c>
      <c r="V345" t="s">
        <v>2791</v>
      </c>
      <c r="W345" t="s">
        <v>2792</v>
      </c>
      <c r="X345">
        <v>12</v>
      </c>
      <c r="Y345">
        <v>9</v>
      </c>
      <c r="Z345">
        <v>57.1</v>
      </c>
      <c r="AA345">
        <v>4</v>
      </c>
      <c r="AB345">
        <v>17</v>
      </c>
      <c r="AC345">
        <v>7</v>
      </c>
      <c r="AD345">
        <v>19</v>
      </c>
      <c r="AE345" t="s">
        <v>60</v>
      </c>
    </row>
    <row r="346" spans="1:31" x14ac:dyDescent="0.2">
      <c r="A346">
        <v>337</v>
      </c>
      <c r="B346" t="s">
        <v>565</v>
      </c>
      <c r="C346">
        <v>26</v>
      </c>
      <c r="D346" t="s">
        <v>324</v>
      </c>
      <c r="E346" t="s">
        <v>322</v>
      </c>
      <c r="F346">
        <v>31</v>
      </c>
      <c r="G346">
        <v>6</v>
      </c>
      <c r="H346">
        <v>9</v>
      </c>
      <c r="I346">
        <v>15</v>
      </c>
      <c r="J346">
        <v>0</v>
      </c>
      <c r="K346">
        <v>8</v>
      </c>
      <c r="L346">
        <v>6</v>
      </c>
      <c r="M346">
        <v>0</v>
      </c>
      <c r="N346">
        <v>0</v>
      </c>
      <c r="O346">
        <v>1</v>
      </c>
      <c r="P346">
        <v>8</v>
      </c>
      <c r="Q346">
        <v>1</v>
      </c>
      <c r="R346">
        <v>0</v>
      </c>
      <c r="S346">
        <v>49</v>
      </c>
      <c r="T346">
        <v>12.2</v>
      </c>
      <c r="U346">
        <v>92</v>
      </c>
      <c r="V346" t="s">
        <v>1601</v>
      </c>
      <c r="W346" t="s">
        <v>1581</v>
      </c>
      <c r="X346">
        <v>24</v>
      </c>
      <c r="Y346">
        <v>27</v>
      </c>
      <c r="Z346">
        <v>47.1</v>
      </c>
      <c r="AA346">
        <v>8</v>
      </c>
      <c r="AB346">
        <v>30</v>
      </c>
      <c r="AC346">
        <v>5</v>
      </c>
      <c r="AD346">
        <v>27</v>
      </c>
      <c r="AE346" t="s">
        <v>60</v>
      </c>
    </row>
    <row r="347" spans="1:31" x14ac:dyDescent="0.2">
      <c r="A347">
        <v>338</v>
      </c>
      <c r="B347" t="s">
        <v>794</v>
      </c>
      <c r="C347">
        <v>26</v>
      </c>
      <c r="D347" t="s">
        <v>406</v>
      </c>
      <c r="E347" t="s">
        <v>322</v>
      </c>
      <c r="F347">
        <v>47</v>
      </c>
      <c r="G347">
        <v>6</v>
      </c>
      <c r="H347">
        <v>9</v>
      </c>
      <c r="I347">
        <v>15</v>
      </c>
      <c r="J347">
        <v>0</v>
      </c>
      <c r="K347">
        <v>45</v>
      </c>
      <c r="L347">
        <v>6</v>
      </c>
      <c r="M347">
        <v>0</v>
      </c>
      <c r="N347">
        <v>0</v>
      </c>
      <c r="O347">
        <v>1</v>
      </c>
      <c r="P347">
        <v>9</v>
      </c>
      <c r="Q347">
        <v>0</v>
      </c>
      <c r="R347">
        <v>0</v>
      </c>
      <c r="S347">
        <v>68</v>
      </c>
      <c r="T347">
        <v>8.8000000000000007</v>
      </c>
      <c r="U347">
        <v>138</v>
      </c>
      <c r="V347" t="s">
        <v>2455</v>
      </c>
      <c r="W347" t="s">
        <v>1016</v>
      </c>
      <c r="X347">
        <v>235</v>
      </c>
      <c r="Y347">
        <v>238</v>
      </c>
      <c r="Z347">
        <v>49.7</v>
      </c>
      <c r="AA347">
        <v>33</v>
      </c>
      <c r="AB347">
        <v>159</v>
      </c>
      <c r="AC347">
        <v>8</v>
      </c>
      <c r="AD347">
        <v>27</v>
      </c>
      <c r="AE347" t="s">
        <v>60</v>
      </c>
    </row>
    <row r="348" spans="1:31" x14ac:dyDescent="0.2">
      <c r="A348">
        <v>339</v>
      </c>
      <c r="B348" t="s">
        <v>835</v>
      </c>
      <c r="C348">
        <v>25</v>
      </c>
      <c r="D348" t="s">
        <v>353</v>
      </c>
      <c r="E348" t="s">
        <v>349</v>
      </c>
      <c r="F348">
        <v>43</v>
      </c>
      <c r="G348">
        <v>5</v>
      </c>
      <c r="H348">
        <v>10</v>
      </c>
      <c r="I348">
        <v>15</v>
      </c>
      <c r="J348">
        <v>37</v>
      </c>
      <c r="K348">
        <v>28</v>
      </c>
      <c r="L348">
        <v>5</v>
      </c>
      <c r="M348">
        <v>0</v>
      </c>
      <c r="N348">
        <v>0</v>
      </c>
      <c r="O348">
        <v>0</v>
      </c>
      <c r="P348">
        <v>9</v>
      </c>
      <c r="Q348">
        <v>0</v>
      </c>
      <c r="R348">
        <v>1</v>
      </c>
      <c r="S348">
        <v>61</v>
      </c>
      <c r="T348">
        <v>8.1999999999999993</v>
      </c>
      <c r="U348">
        <v>140</v>
      </c>
      <c r="V348" t="s">
        <v>2456</v>
      </c>
      <c r="W348" t="s">
        <v>2457</v>
      </c>
      <c r="X348">
        <v>0</v>
      </c>
      <c r="Y348">
        <v>0</v>
      </c>
      <c r="AA348">
        <v>52</v>
      </c>
      <c r="AB348">
        <v>36</v>
      </c>
      <c r="AC348">
        <v>14</v>
      </c>
      <c r="AD348">
        <v>45</v>
      </c>
      <c r="AE348" t="s">
        <v>60</v>
      </c>
    </row>
    <row r="349" spans="1:31" x14ac:dyDescent="0.2">
      <c r="A349">
        <v>340</v>
      </c>
      <c r="B349" t="s">
        <v>897</v>
      </c>
      <c r="C349">
        <v>27</v>
      </c>
      <c r="D349" t="s">
        <v>337</v>
      </c>
      <c r="E349" t="s">
        <v>322</v>
      </c>
      <c r="F349">
        <v>39</v>
      </c>
      <c r="G349">
        <v>3</v>
      </c>
      <c r="H349">
        <v>12</v>
      </c>
      <c r="I349">
        <v>15</v>
      </c>
      <c r="J349">
        <v>1</v>
      </c>
      <c r="K349">
        <v>4</v>
      </c>
      <c r="L349">
        <v>3</v>
      </c>
      <c r="M349">
        <v>0</v>
      </c>
      <c r="N349">
        <v>0</v>
      </c>
      <c r="O349">
        <v>0</v>
      </c>
      <c r="P349">
        <v>10</v>
      </c>
      <c r="Q349">
        <v>0</v>
      </c>
      <c r="R349">
        <v>2</v>
      </c>
      <c r="S349">
        <v>40</v>
      </c>
      <c r="T349">
        <v>7.5</v>
      </c>
      <c r="U349">
        <v>79</v>
      </c>
      <c r="V349" t="s">
        <v>2458</v>
      </c>
      <c r="W349" t="s">
        <v>1680</v>
      </c>
      <c r="X349">
        <v>204</v>
      </c>
      <c r="Y349">
        <v>255</v>
      </c>
      <c r="Z349">
        <v>44.4</v>
      </c>
      <c r="AA349">
        <v>45</v>
      </c>
      <c r="AB349">
        <v>17</v>
      </c>
      <c r="AC349">
        <v>7</v>
      </c>
      <c r="AD349">
        <v>23</v>
      </c>
      <c r="AE349" t="s">
        <v>60</v>
      </c>
    </row>
    <row r="350" spans="1:31" x14ac:dyDescent="0.2">
      <c r="A350">
        <v>341</v>
      </c>
      <c r="B350" t="s">
        <v>572</v>
      </c>
      <c r="C350">
        <v>33</v>
      </c>
      <c r="D350" t="s">
        <v>532</v>
      </c>
      <c r="E350" t="s">
        <v>322</v>
      </c>
      <c r="F350">
        <v>26</v>
      </c>
      <c r="G350">
        <v>8</v>
      </c>
      <c r="H350">
        <v>7</v>
      </c>
      <c r="I350">
        <v>15</v>
      </c>
      <c r="J350">
        <v>4</v>
      </c>
      <c r="K350">
        <v>8</v>
      </c>
      <c r="L350">
        <v>5</v>
      </c>
      <c r="M350">
        <v>2</v>
      </c>
      <c r="N350">
        <v>1</v>
      </c>
      <c r="O350">
        <v>2</v>
      </c>
      <c r="P350">
        <v>6</v>
      </c>
      <c r="Q350">
        <v>1</v>
      </c>
      <c r="R350">
        <v>0</v>
      </c>
      <c r="S350">
        <v>50</v>
      </c>
      <c r="T350">
        <v>16</v>
      </c>
      <c r="U350">
        <v>96</v>
      </c>
      <c r="V350" t="s">
        <v>2793</v>
      </c>
      <c r="W350" t="s">
        <v>1223</v>
      </c>
      <c r="X350">
        <v>13</v>
      </c>
      <c r="Y350">
        <v>8</v>
      </c>
      <c r="Z350">
        <v>61.9</v>
      </c>
      <c r="AA350">
        <v>24</v>
      </c>
      <c r="AB350">
        <v>25</v>
      </c>
      <c r="AC350">
        <v>16</v>
      </c>
      <c r="AD350">
        <v>31</v>
      </c>
      <c r="AE350" t="s">
        <v>60</v>
      </c>
    </row>
    <row r="351" spans="1:31" x14ac:dyDescent="0.2">
      <c r="A351">
        <v>342</v>
      </c>
      <c r="B351" t="s">
        <v>768</v>
      </c>
      <c r="C351">
        <v>25</v>
      </c>
      <c r="D351" t="s">
        <v>385</v>
      </c>
      <c r="E351" t="s">
        <v>325</v>
      </c>
      <c r="F351">
        <v>33</v>
      </c>
      <c r="G351">
        <v>4</v>
      </c>
      <c r="H351">
        <v>11</v>
      </c>
      <c r="I351">
        <v>15</v>
      </c>
      <c r="J351">
        <v>-2</v>
      </c>
      <c r="K351">
        <v>2</v>
      </c>
      <c r="L351">
        <v>4</v>
      </c>
      <c r="M351">
        <v>0</v>
      </c>
      <c r="N351">
        <v>0</v>
      </c>
      <c r="O351">
        <v>0</v>
      </c>
      <c r="P351">
        <v>6</v>
      </c>
      <c r="Q351">
        <v>5</v>
      </c>
      <c r="R351">
        <v>0</v>
      </c>
      <c r="S351">
        <v>39</v>
      </c>
      <c r="T351">
        <v>10.3</v>
      </c>
      <c r="U351">
        <v>88</v>
      </c>
      <c r="V351" t="s">
        <v>2459</v>
      </c>
      <c r="W351" t="s">
        <v>1947</v>
      </c>
      <c r="X351">
        <v>0</v>
      </c>
      <c r="Y351">
        <v>2</v>
      </c>
      <c r="Z351">
        <v>0</v>
      </c>
      <c r="AA351">
        <v>10</v>
      </c>
      <c r="AB351">
        <v>21</v>
      </c>
      <c r="AC351">
        <v>10</v>
      </c>
      <c r="AD351">
        <v>27</v>
      </c>
      <c r="AE351" t="s">
        <v>60</v>
      </c>
    </row>
    <row r="352" spans="1:31" x14ac:dyDescent="0.2">
      <c r="A352">
        <v>343</v>
      </c>
      <c r="B352" t="s">
        <v>691</v>
      </c>
      <c r="C352">
        <v>21</v>
      </c>
      <c r="D352" t="s">
        <v>514</v>
      </c>
      <c r="E352" t="s">
        <v>335</v>
      </c>
      <c r="F352">
        <v>35</v>
      </c>
      <c r="G352">
        <v>7</v>
      </c>
      <c r="H352">
        <v>8</v>
      </c>
      <c r="I352">
        <v>15</v>
      </c>
      <c r="J352">
        <v>-7</v>
      </c>
      <c r="K352">
        <v>8</v>
      </c>
      <c r="L352">
        <v>4</v>
      </c>
      <c r="M352">
        <v>3</v>
      </c>
      <c r="N352">
        <v>0</v>
      </c>
      <c r="O352">
        <v>2</v>
      </c>
      <c r="P352">
        <v>6</v>
      </c>
      <c r="Q352">
        <v>2</v>
      </c>
      <c r="R352">
        <v>0</v>
      </c>
      <c r="S352">
        <v>72</v>
      </c>
      <c r="T352">
        <v>9.6999999999999993</v>
      </c>
      <c r="U352">
        <v>153</v>
      </c>
      <c r="V352" t="s">
        <v>2460</v>
      </c>
      <c r="W352" t="s">
        <v>1809</v>
      </c>
      <c r="X352">
        <v>2</v>
      </c>
      <c r="Y352">
        <v>1</v>
      </c>
      <c r="Z352">
        <v>66.7</v>
      </c>
      <c r="AA352">
        <v>21</v>
      </c>
      <c r="AB352">
        <v>40</v>
      </c>
      <c r="AC352">
        <v>11</v>
      </c>
      <c r="AD352">
        <v>20</v>
      </c>
      <c r="AE352" t="s">
        <v>60</v>
      </c>
    </row>
    <row r="353" spans="1:31" x14ac:dyDescent="0.2">
      <c r="A353">
        <v>344</v>
      </c>
      <c r="B353" t="s">
        <v>726</v>
      </c>
      <c r="C353">
        <v>24</v>
      </c>
      <c r="D353" t="s">
        <v>418</v>
      </c>
      <c r="E353" t="s">
        <v>349</v>
      </c>
      <c r="F353">
        <v>37</v>
      </c>
      <c r="G353">
        <v>3</v>
      </c>
      <c r="H353">
        <v>12</v>
      </c>
      <c r="I353">
        <v>15</v>
      </c>
      <c r="J353">
        <v>9</v>
      </c>
      <c r="K353">
        <v>8</v>
      </c>
      <c r="L353">
        <v>3</v>
      </c>
      <c r="M353">
        <v>0</v>
      </c>
      <c r="N353">
        <v>0</v>
      </c>
      <c r="O353">
        <v>1</v>
      </c>
      <c r="P353">
        <v>12</v>
      </c>
      <c r="Q353">
        <v>0</v>
      </c>
      <c r="R353">
        <v>0</v>
      </c>
      <c r="S353">
        <v>52</v>
      </c>
      <c r="T353">
        <v>5.8</v>
      </c>
      <c r="U353">
        <v>135</v>
      </c>
      <c r="V353" t="s">
        <v>2794</v>
      </c>
      <c r="W353" t="s">
        <v>435</v>
      </c>
      <c r="X353">
        <v>0</v>
      </c>
      <c r="Y353">
        <v>0</v>
      </c>
      <c r="AA353">
        <v>25</v>
      </c>
      <c r="AB353">
        <v>25</v>
      </c>
      <c r="AC353">
        <v>10</v>
      </c>
      <c r="AD353">
        <v>29</v>
      </c>
      <c r="AE353" t="s">
        <v>60</v>
      </c>
    </row>
    <row r="354" spans="1:31" x14ac:dyDescent="0.2">
      <c r="A354">
        <v>345</v>
      </c>
      <c r="B354" t="s">
        <v>667</v>
      </c>
      <c r="C354">
        <v>20</v>
      </c>
      <c r="D354" t="s">
        <v>461</v>
      </c>
      <c r="E354" t="s">
        <v>335</v>
      </c>
      <c r="F354">
        <v>37</v>
      </c>
      <c r="G354">
        <v>8</v>
      </c>
      <c r="H354">
        <v>7</v>
      </c>
      <c r="I354">
        <v>15</v>
      </c>
      <c r="J354">
        <v>0</v>
      </c>
      <c r="K354">
        <v>2</v>
      </c>
      <c r="L354">
        <v>6</v>
      </c>
      <c r="M354">
        <v>2</v>
      </c>
      <c r="N354">
        <v>0</v>
      </c>
      <c r="O354">
        <v>0</v>
      </c>
      <c r="P354">
        <v>4</v>
      </c>
      <c r="Q354">
        <v>3</v>
      </c>
      <c r="R354">
        <v>0</v>
      </c>
      <c r="S354">
        <v>60</v>
      </c>
      <c r="T354">
        <v>13.3</v>
      </c>
      <c r="U354">
        <v>108</v>
      </c>
      <c r="V354" t="s">
        <v>2461</v>
      </c>
      <c r="W354" t="s">
        <v>893</v>
      </c>
      <c r="X354">
        <v>6</v>
      </c>
      <c r="Y354">
        <v>13</v>
      </c>
      <c r="Z354">
        <v>31.6</v>
      </c>
      <c r="AA354">
        <v>15</v>
      </c>
      <c r="AB354">
        <v>25</v>
      </c>
      <c r="AC354">
        <v>2</v>
      </c>
      <c r="AD354">
        <v>23</v>
      </c>
      <c r="AE354" t="s">
        <v>60</v>
      </c>
    </row>
    <row r="355" spans="1:31" x14ac:dyDescent="0.2">
      <c r="A355">
        <v>346</v>
      </c>
      <c r="B355" t="s">
        <v>733</v>
      </c>
      <c r="C355">
        <v>28</v>
      </c>
      <c r="D355" t="s">
        <v>377</v>
      </c>
      <c r="E355" t="s">
        <v>349</v>
      </c>
      <c r="F355">
        <v>45</v>
      </c>
      <c r="G355">
        <v>2</v>
      </c>
      <c r="H355">
        <v>13</v>
      </c>
      <c r="I355">
        <v>15</v>
      </c>
      <c r="J355">
        <v>1</v>
      </c>
      <c r="K355">
        <v>32</v>
      </c>
      <c r="L355">
        <v>2</v>
      </c>
      <c r="M355">
        <v>0</v>
      </c>
      <c r="N355">
        <v>0</v>
      </c>
      <c r="O355">
        <v>1</v>
      </c>
      <c r="P355">
        <v>12</v>
      </c>
      <c r="Q355">
        <v>0</v>
      </c>
      <c r="R355">
        <v>1</v>
      </c>
      <c r="S355">
        <v>43</v>
      </c>
      <c r="T355">
        <v>4.7</v>
      </c>
      <c r="U355">
        <v>96</v>
      </c>
      <c r="V355" t="s">
        <v>2462</v>
      </c>
      <c r="W355" t="s">
        <v>2463</v>
      </c>
      <c r="X355">
        <v>0</v>
      </c>
      <c r="Y355">
        <v>0</v>
      </c>
      <c r="AA355">
        <v>71</v>
      </c>
      <c r="AB355">
        <v>86</v>
      </c>
      <c r="AC355">
        <v>20</v>
      </c>
      <c r="AD355">
        <v>69</v>
      </c>
      <c r="AE355" t="s">
        <v>60</v>
      </c>
    </row>
    <row r="356" spans="1:31" x14ac:dyDescent="0.2">
      <c r="A356">
        <v>347</v>
      </c>
      <c r="B356" t="s">
        <v>774</v>
      </c>
      <c r="C356">
        <v>30</v>
      </c>
      <c r="D356" t="s">
        <v>356</v>
      </c>
      <c r="E356" t="s">
        <v>349</v>
      </c>
      <c r="F356">
        <v>47</v>
      </c>
      <c r="G356">
        <v>1</v>
      </c>
      <c r="H356">
        <v>14</v>
      </c>
      <c r="I356">
        <v>15</v>
      </c>
      <c r="J356">
        <v>16</v>
      </c>
      <c r="K356">
        <v>113</v>
      </c>
      <c r="L356">
        <v>1</v>
      </c>
      <c r="M356">
        <v>0</v>
      </c>
      <c r="N356">
        <v>0</v>
      </c>
      <c r="O356">
        <v>0</v>
      </c>
      <c r="P356">
        <v>14</v>
      </c>
      <c r="Q356">
        <v>0</v>
      </c>
      <c r="R356">
        <v>0</v>
      </c>
      <c r="S356">
        <v>59</v>
      </c>
      <c r="T356">
        <v>1.7</v>
      </c>
      <c r="U356">
        <v>151</v>
      </c>
      <c r="V356" t="s">
        <v>2464</v>
      </c>
      <c r="W356" t="s">
        <v>1814</v>
      </c>
      <c r="X356">
        <v>0</v>
      </c>
      <c r="Y356">
        <v>0</v>
      </c>
      <c r="AA356">
        <v>73</v>
      </c>
      <c r="AB356">
        <v>119</v>
      </c>
      <c r="AC356">
        <v>26</v>
      </c>
      <c r="AD356">
        <v>55</v>
      </c>
      <c r="AE356" t="s">
        <v>60</v>
      </c>
    </row>
    <row r="357" spans="1:31" x14ac:dyDescent="0.2">
      <c r="A357">
        <v>348</v>
      </c>
      <c r="B357" t="s">
        <v>694</v>
      </c>
      <c r="C357">
        <v>30</v>
      </c>
      <c r="D357" t="s">
        <v>418</v>
      </c>
      <c r="E357" t="s">
        <v>349</v>
      </c>
      <c r="F357">
        <v>45</v>
      </c>
      <c r="G357">
        <v>4</v>
      </c>
      <c r="H357">
        <v>11</v>
      </c>
      <c r="I357">
        <v>15</v>
      </c>
      <c r="J357">
        <v>7</v>
      </c>
      <c r="K357">
        <v>32</v>
      </c>
      <c r="L357">
        <v>4</v>
      </c>
      <c r="M357">
        <v>0</v>
      </c>
      <c r="N357">
        <v>0</v>
      </c>
      <c r="O357">
        <v>0</v>
      </c>
      <c r="P357">
        <v>11</v>
      </c>
      <c r="Q357">
        <v>0</v>
      </c>
      <c r="R357">
        <v>0</v>
      </c>
      <c r="S357">
        <v>53</v>
      </c>
      <c r="T357">
        <v>7.5</v>
      </c>
      <c r="U357">
        <v>127</v>
      </c>
      <c r="V357" t="s">
        <v>2795</v>
      </c>
      <c r="W357" t="s">
        <v>338</v>
      </c>
      <c r="X357">
        <v>0</v>
      </c>
      <c r="Y357">
        <v>0</v>
      </c>
      <c r="AA357">
        <v>67</v>
      </c>
      <c r="AB357">
        <v>48</v>
      </c>
      <c r="AC357">
        <v>14</v>
      </c>
      <c r="AD357">
        <v>46</v>
      </c>
      <c r="AE357" t="s">
        <v>60</v>
      </c>
    </row>
    <row r="358" spans="1:31" x14ac:dyDescent="0.2">
      <c r="A358">
        <v>349</v>
      </c>
      <c r="B358" t="s">
        <v>622</v>
      </c>
      <c r="C358">
        <v>24</v>
      </c>
      <c r="D358" t="s">
        <v>957</v>
      </c>
      <c r="E358" t="s">
        <v>322</v>
      </c>
      <c r="F358">
        <v>25</v>
      </c>
      <c r="G358">
        <v>5</v>
      </c>
      <c r="H358">
        <v>10</v>
      </c>
      <c r="I358">
        <v>15</v>
      </c>
      <c r="J358">
        <v>-11</v>
      </c>
      <c r="K358">
        <v>4</v>
      </c>
      <c r="L358">
        <v>5</v>
      </c>
      <c r="M358">
        <v>0</v>
      </c>
      <c r="N358">
        <v>0</v>
      </c>
      <c r="O358">
        <v>0</v>
      </c>
      <c r="P358">
        <v>5</v>
      </c>
      <c r="Q358">
        <v>5</v>
      </c>
      <c r="R358">
        <v>0</v>
      </c>
      <c r="S358">
        <v>36</v>
      </c>
      <c r="T358">
        <v>13.9</v>
      </c>
      <c r="U358">
        <v>76</v>
      </c>
      <c r="V358" t="s">
        <v>1812</v>
      </c>
      <c r="W358" t="s">
        <v>1662</v>
      </c>
      <c r="X358">
        <v>169</v>
      </c>
      <c r="Y358">
        <v>173</v>
      </c>
      <c r="Z358">
        <v>49.4</v>
      </c>
      <c r="AA358">
        <v>20</v>
      </c>
      <c r="AB358">
        <v>16</v>
      </c>
      <c r="AC358">
        <v>6</v>
      </c>
      <c r="AD358">
        <v>21</v>
      </c>
      <c r="AE358" t="s">
        <v>60</v>
      </c>
    </row>
    <row r="359" spans="1:31" x14ac:dyDescent="0.2">
      <c r="A359">
        <v>349</v>
      </c>
      <c r="B359" t="s">
        <v>622</v>
      </c>
      <c r="C359">
        <v>24</v>
      </c>
      <c r="D359" t="s">
        <v>358</v>
      </c>
      <c r="E359" t="s">
        <v>322</v>
      </c>
      <c r="F359">
        <v>17</v>
      </c>
      <c r="G359">
        <v>4</v>
      </c>
      <c r="H359">
        <v>9</v>
      </c>
      <c r="I359">
        <v>13</v>
      </c>
      <c r="J359">
        <v>-6</v>
      </c>
      <c r="K359">
        <v>2</v>
      </c>
      <c r="L359">
        <v>4</v>
      </c>
      <c r="M359">
        <v>0</v>
      </c>
      <c r="N359">
        <v>0</v>
      </c>
      <c r="O359">
        <v>0</v>
      </c>
      <c r="P359">
        <v>4</v>
      </c>
      <c r="Q359">
        <v>5</v>
      </c>
      <c r="R359">
        <v>0</v>
      </c>
      <c r="S359">
        <v>27</v>
      </c>
      <c r="T359">
        <v>14.8</v>
      </c>
      <c r="U359">
        <v>55</v>
      </c>
      <c r="V359" t="s">
        <v>623</v>
      </c>
      <c r="W359" t="s">
        <v>624</v>
      </c>
      <c r="X359">
        <v>107</v>
      </c>
      <c r="Y359">
        <v>113</v>
      </c>
      <c r="Z359">
        <v>48.6</v>
      </c>
      <c r="AA359">
        <v>8</v>
      </c>
      <c r="AB359">
        <v>11</v>
      </c>
      <c r="AC359">
        <v>5</v>
      </c>
      <c r="AD359">
        <v>13</v>
      </c>
      <c r="AE359" t="s">
        <v>60</v>
      </c>
    </row>
    <row r="360" spans="1:31" x14ac:dyDescent="0.2">
      <c r="A360">
        <v>349</v>
      </c>
      <c r="B360" t="s">
        <v>622</v>
      </c>
      <c r="C360">
        <v>24</v>
      </c>
      <c r="D360" t="s">
        <v>449</v>
      </c>
      <c r="E360" t="s">
        <v>322</v>
      </c>
      <c r="F360">
        <v>8</v>
      </c>
      <c r="G360">
        <v>1</v>
      </c>
      <c r="H360">
        <v>1</v>
      </c>
      <c r="I360">
        <v>2</v>
      </c>
      <c r="J360">
        <v>-5</v>
      </c>
      <c r="K360">
        <v>2</v>
      </c>
      <c r="L360">
        <v>1</v>
      </c>
      <c r="M360">
        <v>0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9</v>
      </c>
      <c r="T360">
        <v>11.1</v>
      </c>
      <c r="U360">
        <v>21</v>
      </c>
      <c r="V360" t="s">
        <v>1813</v>
      </c>
      <c r="W360" t="s">
        <v>1670</v>
      </c>
      <c r="X360">
        <v>62</v>
      </c>
      <c r="Y360">
        <v>60</v>
      </c>
      <c r="Z360">
        <v>50.8</v>
      </c>
      <c r="AA360">
        <v>12</v>
      </c>
      <c r="AB360">
        <v>5</v>
      </c>
      <c r="AC360">
        <v>1</v>
      </c>
      <c r="AD360">
        <v>8</v>
      </c>
      <c r="AE360" t="s">
        <v>60</v>
      </c>
    </row>
    <row r="361" spans="1:31" x14ac:dyDescent="0.2">
      <c r="A361">
        <v>350</v>
      </c>
      <c r="B361" t="s">
        <v>776</v>
      </c>
      <c r="C361">
        <v>31</v>
      </c>
      <c r="D361" t="s">
        <v>364</v>
      </c>
      <c r="E361" t="s">
        <v>335</v>
      </c>
      <c r="F361">
        <v>41</v>
      </c>
      <c r="G361">
        <v>10</v>
      </c>
      <c r="H361">
        <v>4</v>
      </c>
      <c r="I361">
        <v>14</v>
      </c>
      <c r="J361">
        <v>-8</v>
      </c>
      <c r="K361">
        <v>48</v>
      </c>
      <c r="L361">
        <v>8</v>
      </c>
      <c r="M361">
        <v>0</v>
      </c>
      <c r="N361">
        <v>2</v>
      </c>
      <c r="O361">
        <v>0</v>
      </c>
      <c r="P361">
        <v>3</v>
      </c>
      <c r="Q361">
        <v>0</v>
      </c>
      <c r="R361">
        <v>1</v>
      </c>
      <c r="S361">
        <v>54</v>
      </c>
      <c r="T361">
        <v>18.5</v>
      </c>
      <c r="U361">
        <v>94</v>
      </c>
      <c r="V361" t="s">
        <v>2465</v>
      </c>
      <c r="W361" t="s">
        <v>1115</v>
      </c>
      <c r="X361">
        <v>18</v>
      </c>
      <c r="Y361">
        <v>9</v>
      </c>
      <c r="Z361">
        <v>66.7</v>
      </c>
      <c r="AA361">
        <v>28</v>
      </c>
      <c r="AB361">
        <v>76</v>
      </c>
      <c r="AC361">
        <v>5</v>
      </c>
      <c r="AD361">
        <v>27</v>
      </c>
      <c r="AE361" t="s">
        <v>60</v>
      </c>
    </row>
    <row r="362" spans="1:31" x14ac:dyDescent="0.2">
      <c r="A362">
        <v>351</v>
      </c>
      <c r="B362" t="s">
        <v>812</v>
      </c>
      <c r="C362">
        <v>27</v>
      </c>
      <c r="D362" t="s">
        <v>346</v>
      </c>
      <c r="E362" t="s">
        <v>322</v>
      </c>
      <c r="F362">
        <v>36</v>
      </c>
      <c r="G362">
        <v>7</v>
      </c>
      <c r="H362">
        <v>7</v>
      </c>
      <c r="I362">
        <v>14</v>
      </c>
      <c r="J362">
        <v>6</v>
      </c>
      <c r="K362">
        <v>18</v>
      </c>
      <c r="L362">
        <v>5</v>
      </c>
      <c r="M362">
        <v>0</v>
      </c>
      <c r="N362">
        <v>2</v>
      </c>
      <c r="O362">
        <v>2</v>
      </c>
      <c r="P362">
        <v>7</v>
      </c>
      <c r="Q362">
        <v>0</v>
      </c>
      <c r="R362">
        <v>0</v>
      </c>
      <c r="S362">
        <v>58</v>
      </c>
      <c r="T362">
        <v>12.1</v>
      </c>
      <c r="U362">
        <v>97</v>
      </c>
      <c r="V362" t="s">
        <v>1986</v>
      </c>
      <c r="W362" t="s">
        <v>1738</v>
      </c>
      <c r="X362">
        <v>149</v>
      </c>
      <c r="Y362">
        <v>151</v>
      </c>
      <c r="Z362">
        <v>49.7</v>
      </c>
      <c r="AA362">
        <v>21</v>
      </c>
      <c r="AB362">
        <v>83</v>
      </c>
      <c r="AC362">
        <v>11</v>
      </c>
      <c r="AD362">
        <v>20</v>
      </c>
      <c r="AE362" t="s">
        <v>60</v>
      </c>
    </row>
    <row r="363" spans="1:31" x14ac:dyDescent="0.2">
      <c r="A363">
        <v>352</v>
      </c>
      <c r="B363" t="s">
        <v>736</v>
      </c>
      <c r="C363">
        <v>36</v>
      </c>
      <c r="D363" t="s">
        <v>334</v>
      </c>
      <c r="E363" t="s">
        <v>340</v>
      </c>
      <c r="F363">
        <v>25</v>
      </c>
      <c r="G363">
        <v>7</v>
      </c>
      <c r="H363">
        <v>7</v>
      </c>
      <c r="I363">
        <v>14</v>
      </c>
      <c r="J363">
        <v>5</v>
      </c>
      <c r="K363">
        <v>19</v>
      </c>
      <c r="L363">
        <v>7</v>
      </c>
      <c r="M363">
        <v>0</v>
      </c>
      <c r="N363">
        <v>0</v>
      </c>
      <c r="O363">
        <v>0</v>
      </c>
      <c r="P363">
        <v>7</v>
      </c>
      <c r="Q363">
        <v>0</v>
      </c>
      <c r="R363">
        <v>0</v>
      </c>
      <c r="S363">
        <v>36</v>
      </c>
      <c r="T363">
        <v>19.399999999999999</v>
      </c>
      <c r="U363">
        <v>53</v>
      </c>
      <c r="V363" t="s">
        <v>2466</v>
      </c>
      <c r="W363" t="s">
        <v>2467</v>
      </c>
      <c r="X363">
        <v>30</v>
      </c>
      <c r="Y363">
        <v>30</v>
      </c>
      <c r="Z363">
        <v>50</v>
      </c>
      <c r="AA363">
        <v>9</v>
      </c>
      <c r="AB363">
        <v>36</v>
      </c>
      <c r="AC363">
        <v>3</v>
      </c>
      <c r="AD363">
        <v>16</v>
      </c>
      <c r="AE363" t="s">
        <v>60</v>
      </c>
    </row>
    <row r="364" spans="1:31" x14ac:dyDescent="0.2">
      <c r="A364">
        <v>353</v>
      </c>
      <c r="B364" t="s">
        <v>778</v>
      </c>
      <c r="C364">
        <v>29</v>
      </c>
      <c r="D364" t="s">
        <v>364</v>
      </c>
      <c r="E364" t="s">
        <v>349</v>
      </c>
      <c r="F364">
        <v>47</v>
      </c>
      <c r="G364">
        <v>3</v>
      </c>
      <c r="H364">
        <v>11</v>
      </c>
      <c r="I364">
        <v>14</v>
      </c>
      <c r="J364">
        <v>-3</v>
      </c>
      <c r="K364">
        <v>20</v>
      </c>
      <c r="L364">
        <v>3</v>
      </c>
      <c r="M364">
        <v>0</v>
      </c>
      <c r="N364">
        <v>0</v>
      </c>
      <c r="O364">
        <v>0</v>
      </c>
      <c r="P364">
        <v>11</v>
      </c>
      <c r="Q364">
        <v>0</v>
      </c>
      <c r="R364">
        <v>0</v>
      </c>
      <c r="S364">
        <v>34</v>
      </c>
      <c r="T364">
        <v>8.8000000000000007</v>
      </c>
      <c r="U364">
        <v>97</v>
      </c>
      <c r="V364" t="s">
        <v>2468</v>
      </c>
      <c r="W364" t="s">
        <v>2469</v>
      </c>
      <c r="X364">
        <v>0</v>
      </c>
      <c r="Y364">
        <v>0</v>
      </c>
      <c r="AA364">
        <v>105</v>
      </c>
      <c r="AB364">
        <v>20</v>
      </c>
      <c r="AC364">
        <v>21</v>
      </c>
      <c r="AD364">
        <v>41</v>
      </c>
      <c r="AE364" t="s">
        <v>60</v>
      </c>
    </row>
    <row r="365" spans="1:31" x14ac:dyDescent="0.2">
      <c r="A365">
        <v>354</v>
      </c>
      <c r="B365" t="s">
        <v>780</v>
      </c>
      <c r="C365">
        <v>20</v>
      </c>
      <c r="D365" t="s">
        <v>360</v>
      </c>
      <c r="E365" t="s">
        <v>335</v>
      </c>
      <c r="F365">
        <v>35</v>
      </c>
      <c r="G365">
        <v>7</v>
      </c>
      <c r="H365">
        <v>7</v>
      </c>
      <c r="I365">
        <v>14</v>
      </c>
      <c r="J365">
        <v>5</v>
      </c>
      <c r="K365">
        <v>8</v>
      </c>
      <c r="L365">
        <v>7</v>
      </c>
      <c r="M365">
        <v>0</v>
      </c>
      <c r="N365">
        <v>0</v>
      </c>
      <c r="O365">
        <v>1</v>
      </c>
      <c r="P365">
        <v>7</v>
      </c>
      <c r="Q365">
        <v>0</v>
      </c>
      <c r="R365">
        <v>0</v>
      </c>
      <c r="S365">
        <v>57</v>
      </c>
      <c r="T365">
        <v>12.3</v>
      </c>
      <c r="U365">
        <v>104</v>
      </c>
      <c r="V365" t="s">
        <v>2470</v>
      </c>
      <c r="W365" t="s">
        <v>990</v>
      </c>
      <c r="X365">
        <v>2</v>
      </c>
      <c r="Y365">
        <v>4</v>
      </c>
      <c r="Z365">
        <v>33.299999999999997</v>
      </c>
      <c r="AA365">
        <v>18</v>
      </c>
      <c r="AB365">
        <v>40</v>
      </c>
      <c r="AC365">
        <v>5</v>
      </c>
      <c r="AD365">
        <v>36</v>
      </c>
      <c r="AE365" t="s">
        <v>60</v>
      </c>
    </row>
    <row r="366" spans="1:31" x14ac:dyDescent="0.2">
      <c r="A366">
        <v>355</v>
      </c>
      <c r="B366" t="s">
        <v>700</v>
      </c>
      <c r="C366">
        <v>24</v>
      </c>
      <c r="D366" t="s">
        <v>330</v>
      </c>
      <c r="E366" t="s">
        <v>349</v>
      </c>
      <c r="F366">
        <v>43</v>
      </c>
      <c r="G366">
        <v>4</v>
      </c>
      <c r="H366">
        <v>10</v>
      </c>
      <c r="I366">
        <v>14</v>
      </c>
      <c r="J366">
        <v>-1</v>
      </c>
      <c r="K366">
        <v>37</v>
      </c>
      <c r="L366">
        <v>3</v>
      </c>
      <c r="M366">
        <v>0</v>
      </c>
      <c r="N366">
        <v>1</v>
      </c>
      <c r="O366">
        <v>1</v>
      </c>
      <c r="P366">
        <v>9</v>
      </c>
      <c r="Q366">
        <v>0</v>
      </c>
      <c r="R366">
        <v>1</v>
      </c>
      <c r="S366">
        <v>62</v>
      </c>
      <c r="T366">
        <v>6.5</v>
      </c>
      <c r="U366">
        <v>130</v>
      </c>
      <c r="V366" t="s">
        <v>2162</v>
      </c>
      <c r="W366" t="s">
        <v>2021</v>
      </c>
      <c r="X366">
        <v>0</v>
      </c>
      <c r="Y366">
        <v>0</v>
      </c>
      <c r="AA366">
        <v>36</v>
      </c>
      <c r="AB366">
        <v>64</v>
      </c>
      <c r="AC366">
        <v>9</v>
      </c>
      <c r="AD366">
        <v>33</v>
      </c>
      <c r="AE366" t="s">
        <v>60</v>
      </c>
    </row>
    <row r="367" spans="1:31" x14ac:dyDescent="0.2">
      <c r="A367">
        <v>356</v>
      </c>
      <c r="B367" t="s">
        <v>638</v>
      </c>
      <c r="C367">
        <v>29</v>
      </c>
      <c r="D367" t="s">
        <v>356</v>
      </c>
      <c r="E367" t="s">
        <v>322</v>
      </c>
      <c r="F367">
        <v>40</v>
      </c>
      <c r="G367">
        <v>6</v>
      </c>
      <c r="H367">
        <v>8</v>
      </c>
      <c r="I367">
        <v>14</v>
      </c>
      <c r="J367">
        <v>-6</v>
      </c>
      <c r="K367">
        <v>21</v>
      </c>
      <c r="L367">
        <v>5</v>
      </c>
      <c r="M367">
        <v>1</v>
      </c>
      <c r="N367">
        <v>0</v>
      </c>
      <c r="O367">
        <v>1</v>
      </c>
      <c r="P367">
        <v>5</v>
      </c>
      <c r="Q367">
        <v>3</v>
      </c>
      <c r="R367">
        <v>0</v>
      </c>
      <c r="S367">
        <v>78</v>
      </c>
      <c r="T367">
        <v>7.7</v>
      </c>
      <c r="U367">
        <v>133</v>
      </c>
      <c r="V367" t="s">
        <v>2084</v>
      </c>
      <c r="W367" t="s">
        <v>1991</v>
      </c>
      <c r="X367">
        <v>1</v>
      </c>
      <c r="Y367">
        <v>3</v>
      </c>
      <c r="Z367">
        <v>25</v>
      </c>
      <c r="AA367">
        <v>12</v>
      </c>
      <c r="AB367">
        <v>29</v>
      </c>
      <c r="AC367">
        <v>2</v>
      </c>
      <c r="AD367">
        <v>26</v>
      </c>
      <c r="AE367" t="s">
        <v>60</v>
      </c>
    </row>
    <row r="368" spans="1:31" x14ac:dyDescent="0.2">
      <c r="A368">
        <v>357</v>
      </c>
      <c r="B368" t="s">
        <v>876</v>
      </c>
      <c r="C368">
        <v>26</v>
      </c>
      <c r="D368" t="s">
        <v>353</v>
      </c>
      <c r="E368" t="s">
        <v>335</v>
      </c>
      <c r="F368">
        <v>38</v>
      </c>
      <c r="G368">
        <v>7</v>
      </c>
      <c r="H368">
        <v>7</v>
      </c>
      <c r="I368">
        <v>14</v>
      </c>
      <c r="J368">
        <v>9</v>
      </c>
      <c r="K368">
        <v>12</v>
      </c>
      <c r="L368">
        <v>7</v>
      </c>
      <c r="M368">
        <v>0</v>
      </c>
      <c r="N368">
        <v>0</v>
      </c>
      <c r="O368">
        <v>2</v>
      </c>
      <c r="P368">
        <v>7</v>
      </c>
      <c r="Q368">
        <v>0</v>
      </c>
      <c r="R368">
        <v>0</v>
      </c>
      <c r="S368">
        <v>50</v>
      </c>
      <c r="T368">
        <v>14</v>
      </c>
      <c r="U368">
        <v>106</v>
      </c>
      <c r="V368" t="s">
        <v>2471</v>
      </c>
      <c r="W368" t="s">
        <v>2472</v>
      </c>
      <c r="X368">
        <v>16</v>
      </c>
      <c r="Y368">
        <v>27</v>
      </c>
      <c r="Z368">
        <v>37.200000000000003</v>
      </c>
      <c r="AA368">
        <v>18</v>
      </c>
      <c r="AB368">
        <v>38</v>
      </c>
      <c r="AC368">
        <v>7</v>
      </c>
      <c r="AD368">
        <v>23</v>
      </c>
      <c r="AE368" t="s">
        <v>60</v>
      </c>
    </row>
    <row r="369" spans="1:31" x14ac:dyDescent="0.2">
      <c r="A369">
        <v>358</v>
      </c>
      <c r="B369" t="s">
        <v>786</v>
      </c>
      <c r="C369">
        <v>24</v>
      </c>
      <c r="D369" t="s">
        <v>334</v>
      </c>
      <c r="E369" t="s">
        <v>325</v>
      </c>
      <c r="F369">
        <v>46</v>
      </c>
      <c r="G369">
        <v>7</v>
      </c>
      <c r="H369">
        <v>7</v>
      </c>
      <c r="I369">
        <v>14</v>
      </c>
      <c r="J369">
        <v>-4</v>
      </c>
      <c r="K369">
        <v>21</v>
      </c>
      <c r="L369">
        <v>6</v>
      </c>
      <c r="M369">
        <v>1</v>
      </c>
      <c r="N369">
        <v>0</v>
      </c>
      <c r="O369">
        <v>1</v>
      </c>
      <c r="P369">
        <v>7</v>
      </c>
      <c r="Q369">
        <v>0</v>
      </c>
      <c r="R369">
        <v>0</v>
      </c>
      <c r="S369">
        <v>45</v>
      </c>
      <c r="T369">
        <v>15.6</v>
      </c>
      <c r="U369">
        <v>78</v>
      </c>
      <c r="V369" t="s">
        <v>2473</v>
      </c>
      <c r="W369" t="s">
        <v>2474</v>
      </c>
      <c r="X369">
        <v>56</v>
      </c>
      <c r="Y369">
        <v>44</v>
      </c>
      <c r="Z369">
        <v>56</v>
      </c>
      <c r="AA369">
        <v>19</v>
      </c>
      <c r="AB369">
        <v>73</v>
      </c>
      <c r="AC369">
        <v>13</v>
      </c>
      <c r="AD369">
        <v>13</v>
      </c>
      <c r="AE369" t="s">
        <v>60</v>
      </c>
    </row>
    <row r="370" spans="1:31" x14ac:dyDescent="0.2">
      <c r="A370">
        <v>359</v>
      </c>
      <c r="B370" t="s">
        <v>759</v>
      </c>
      <c r="C370">
        <v>26</v>
      </c>
      <c r="D370" t="s">
        <v>356</v>
      </c>
      <c r="E370" t="s">
        <v>322</v>
      </c>
      <c r="F370">
        <v>47</v>
      </c>
      <c r="G370">
        <v>7</v>
      </c>
      <c r="H370">
        <v>7</v>
      </c>
      <c r="I370">
        <v>14</v>
      </c>
      <c r="J370">
        <v>4</v>
      </c>
      <c r="K370">
        <v>99</v>
      </c>
      <c r="L370">
        <v>7</v>
      </c>
      <c r="M370">
        <v>0</v>
      </c>
      <c r="N370">
        <v>0</v>
      </c>
      <c r="O370">
        <v>2</v>
      </c>
      <c r="P370">
        <v>6</v>
      </c>
      <c r="Q370">
        <v>1</v>
      </c>
      <c r="R370">
        <v>0</v>
      </c>
      <c r="S370">
        <v>62</v>
      </c>
      <c r="T370">
        <v>11.3</v>
      </c>
      <c r="U370">
        <v>131</v>
      </c>
      <c r="V370" t="s">
        <v>2136</v>
      </c>
      <c r="W370" t="s">
        <v>2475</v>
      </c>
      <c r="X370">
        <v>205</v>
      </c>
      <c r="Y370">
        <v>139</v>
      </c>
      <c r="Z370">
        <v>59.6</v>
      </c>
      <c r="AA370">
        <v>41</v>
      </c>
      <c r="AB370">
        <v>124</v>
      </c>
      <c r="AC370">
        <v>18</v>
      </c>
      <c r="AD370">
        <v>26</v>
      </c>
      <c r="AE370" t="s">
        <v>60</v>
      </c>
    </row>
    <row r="371" spans="1:31" x14ac:dyDescent="0.2">
      <c r="A371">
        <v>360</v>
      </c>
      <c r="B371" t="s">
        <v>884</v>
      </c>
      <c r="C371">
        <v>33</v>
      </c>
      <c r="D371" t="s">
        <v>356</v>
      </c>
      <c r="E371" t="s">
        <v>322</v>
      </c>
      <c r="F371">
        <v>47</v>
      </c>
      <c r="G371">
        <v>4</v>
      </c>
      <c r="H371">
        <v>10</v>
      </c>
      <c r="I371">
        <v>14</v>
      </c>
      <c r="J371">
        <v>0</v>
      </c>
      <c r="K371">
        <v>39</v>
      </c>
      <c r="L371">
        <v>4</v>
      </c>
      <c r="M371">
        <v>0</v>
      </c>
      <c r="N371">
        <v>0</v>
      </c>
      <c r="O371">
        <v>0</v>
      </c>
      <c r="P371">
        <v>10</v>
      </c>
      <c r="Q371">
        <v>0</v>
      </c>
      <c r="R371">
        <v>0</v>
      </c>
      <c r="S371">
        <v>66</v>
      </c>
      <c r="T371">
        <v>6.1</v>
      </c>
      <c r="U371">
        <v>121</v>
      </c>
      <c r="V371" t="s">
        <v>2476</v>
      </c>
      <c r="W371" t="s">
        <v>1655</v>
      </c>
      <c r="X371">
        <v>214</v>
      </c>
      <c r="Y371">
        <v>237</v>
      </c>
      <c r="Z371">
        <v>47.5</v>
      </c>
      <c r="AA371">
        <v>29</v>
      </c>
      <c r="AB371">
        <v>53</v>
      </c>
      <c r="AC371">
        <v>13</v>
      </c>
      <c r="AD371">
        <v>36</v>
      </c>
      <c r="AE371" t="s">
        <v>60</v>
      </c>
    </row>
    <row r="372" spans="1:31" x14ac:dyDescent="0.2">
      <c r="A372">
        <v>361</v>
      </c>
      <c r="B372" t="s">
        <v>717</v>
      </c>
      <c r="C372">
        <v>32</v>
      </c>
      <c r="D372" t="s">
        <v>356</v>
      </c>
      <c r="E372" t="s">
        <v>349</v>
      </c>
      <c r="F372">
        <v>34</v>
      </c>
      <c r="G372">
        <v>3</v>
      </c>
      <c r="H372">
        <v>11</v>
      </c>
      <c r="I372">
        <v>14</v>
      </c>
      <c r="J372">
        <v>-7</v>
      </c>
      <c r="K372">
        <v>36</v>
      </c>
      <c r="L372">
        <v>2</v>
      </c>
      <c r="M372">
        <v>1</v>
      </c>
      <c r="N372">
        <v>0</v>
      </c>
      <c r="O372">
        <v>2</v>
      </c>
      <c r="P372">
        <v>8</v>
      </c>
      <c r="Q372">
        <v>3</v>
      </c>
      <c r="R372">
        <v>0</v>
      </c>
      <c r="S372">
        <v>60</v>
      </c>
      <c r="T372">
        <v>5</v>
      </c>
      <c r="U372">
        <v>138</v>
      </c>
      <c r="V372" t="s">
        <v>1892</v>
      </c>
      <c r="W372" t="s">
        <v>1781</v>
      </c>
      <c r="X372">
        <v>0</v>
      </c>
      <c r="Y372">
        <v>0</v>
      </c>
      <c r="AA372">
        <v>59</v>
      </c>
      <c r="AB372">
        <v>4</v>
      </c>
      <c r="AC372">
        <v>11</v>
      </c>
      <c r="AD372">
        <v>38</v>
      </c>
      <c r="AE372" t="s">
        <v>60</v>
      </c>
    </row>
    <row r="373" spans="1:31" x14ac:dyDescent="0.2">
      <c r="A373">
        <v>362</v>
      </c>
      <c r="B373" t="s">
        <v>720</v>
      </c>
      <c r="C373">
        <v>33</v>
      </c>
      <c r="D373" t="s">
        <v>398</v>
      </c>
      <c r="E373" t="s">
        <v>340</v>
      </c>
      <c r="F373">
        <v>44</v>
      </c>
      <c r="G373">
        <v>7</v>
      </c>
      <c r="H373">
        <v>7</v>
      </c>
      <c r="I373">
        <v>14</v>
      </c>
      <c r="J373">
        <v>4</v>
      </c>
      <c r="K373">
        <v>17</v>
      </c>
      <c r="L373">
        <v>6</v>
      </c>
      <c r="M373">
        <v>0</v>
      </c>
      <c r="N373">
        <v>1</v>
      </c>
      <c r="O373">
        <v>2</v>
      </c>
      <c r="P373">
        <v>7</v>
      </c>
      <c r="Q373">
        <v>0</v>
      </c>
      <c r="R373">
        <v>0</v>
      </c>
      <c r="S373">
        <v>60</v>
      </c>
      <c r="T373">
        <v>11.7</v>
      </c>
      <c r="U373">
        <v>137</v>
      </c>
      <c r="V373" t="s">
        <v>2477</v>
      </c>
      <c r="W373" t="s">
        <v>1735</v>
      </c>
      <c r="X373">
        <v>22</v>
      </c>
      <c r="Y373">
        <v>25</v>
      </c>
      <c r="Z373">
        <v>46.8</v>
      </c>
      <c r="AA373">
        <v>31</v>
      </c>
      <c r="AB373">
        <v>75</v>
      </c>
      <c r="AC373">
        <v>10</v>
      </c>
      <c r="AD373">
        <v>26</v>
      </c>
      <c r="AE373" t="s">
        <v>60</v>
      </c>
    </row>
    <row r="374" spans="1:31" x14ac:dyDescent="0.2">
      <c r="A374">
        <v>363</v>
      </c>
      <c r="B374" t="s">
        <v>833</v>
      </c>
      <c r="C374">
        <v>31</v>
      </c>
      <c r="D374" t="s">
        <v>330</v>
      </c>
      <c r="E374" t="s">
        <v>325</v>
      </c>
      <c r="F374">
        <v>41</v>
      </c>
      <c r="G374">
        <v>8</v>
      </c>
      <c r="H374">
        <v>6</v>
      </c>
      <c r="I374">
        <v>14</v>
      </c>
      <c r="J374">
        <v>-4</v>
      </c>
      <c r="K374">
        <v>12</v>
      </c>
      <c r="L374">
        <v>8</v>
      </c>
      <c r="M374">
        <v>0</v>
      </c>
      <c r="N374">
        <v>0</v>
      </c>
      <c r="O374">
        <v>2</v>
      </c>
      <c r="P374">
        <v>5</v>
      </c>
      <c r="Q374">
        <v>0</v>
      </c>
      <c r="R374">
        <v>1</v>
      </c>
      <c r="S374">
        <v>68</v>
      </c>
      <c r="T374">
        <v>11.8</v>
      </c>
      <c r="U374">
        <v>118</v>
      </c>
      <c r="V374" t="s">
        <v>1870</v>
      </c>
      <c r="W374" t="s">
        <v>1793</v>
      </c>
      <c r="X374">
        <v>1</v>
      </c>
      <c r="Y374">
        <v>6</v>
      </c>
      <c r="Z374">
        <v>14.3</v>
      </c>
      <c r="AA374">
        <v>13</v>
      </c>
      <c r="AB374">
        <v>23</v>
      </c>
      <c r="AC374">
        <v>12</v>
      </c>
      <c r="AD374">
        <v>35</v>
      </c>
      <c r="AE374" t="s">
        <v>60</v>
      </c>
    </row>
    <row r="375" spans="1:31" x14ac:dyDescent="0.2">
      <c r="A375">
        <v>364</v>
      </c>
      <c r="B375" t="s">
        <v>795</v>
      </c>
      <c r="C375">
        <v>21</v>
      </c>
      <c r="D375" t="s">
        <v>330</v>
      </c>
      <c r="E375" t="s">
        <v>322</v>
      </c>
      <c r="F375">
        <v>34</v>
      </c>
      <c r="G375">
        <v>5</v>
      </c>
      <c r="H375">
        <v>9</v>
      </c>
      <c r="I375">
        <v>14</v>
      </c>
      <c r="J375">
        <v>-11</v>
      </c>
      <c r="K375">
        <v>6</v>
      </c>
      <c r="L375">
        <v>3</v>
      </c>
      <c r="M375">
        <v>2</v>
      </c>
      <c r="N375">
        <v>0</v>
      </c>
      <c r="O375">
        <v>0</v>
      </c>
      <c r="P375">
        <v>6</v>
      </c>
      <c r="Q375">
        <v>3</v>
      </c>
      <c r="R375">
        <v>0</v>
      </c>
      <c r="S375">
        <v>42</v>
      </c>
      <c r="T375">
        <v>11.9</v>
      </c>
      <c r="U375">
        <v>74</v>
      </c>
      <c r="V375" t="s">
        <v>2163</v>
      </c>
      <c r="W375" t="s">
        <v>1990</v>
      </c>
      <c r="X375">
        <v>50</v>
      </c>
      <c r="Y375">
        <v>47</v>
      </c>
      <c r="Z375">
        <v>51.5</v>
      </c>
      <c r="AA375">
        <v>10</v>
      </c>
      <c r="AB375">
        <v>19</v>
      </c>
      <c r="AC375">
        <v>12</v>
      </c>
      <c r="AD375">
        <v>29</v>
      </c>
      <c r="AE375" t="s">
        <v>60</v>
      </c>
    </row>
    <row r="376" spans="1:31" x14ac:dyDescent="0.2">
      <c r="A376">
        <v>365</v>
      </c>
      <c r="B376" t="s">
        <v>1012</v>
      </c>
      <c r="C376">
        <v>24</v>
      </c>
      <c r="D376" t="s">
        <v>346</v>
      </c>
      <c r="E376" t="s">
        <v>322</v>
      </c>
      <c r="F376">
        <v>31</v>
      </c>
      <c r="G376">
        <v>3</v>
      </c>
      <c r="H376">
        <v>11</v>
      </c>
      <c r="I376">
        <v>14</v>
      </c>
      <c r="J376">
        <v>-7</v>
      </c>
      <c r="K376">
        <v>8</v>
      </c>
      <c r="L376">
        <v>2</v>
      </c>
      <c r="M376">
        <v>1</v>
      </c>
      <c r="N376">
        <v>0</v>
      </c>
      <c r="O376">
        <v>1</v>
      </c>
      <c r="P376">
        <v>9</v>
      </c>
      <c r="Q376">
        <v>2</v>
      </c>
      <c r="R376">
        <v>0</v>
      </c>
      <c r="S376">
        <v>55</v>
      </c>
      <c r="T376">
        <v>5.5</v>
      </c>
      <c r="U376">
        <v>122</v>
      </c>
      <c r="V376" t="s">
        <v>2478</v>
      </c>
      <c r="W376" t="s">
        <v>1835</v>
      </c>
      <c r="X376">
        <v>3</v>
      </c>
      <c r="Y376">
        <v>3</v>
      </c>
      <c r="Z376">
        <v>50</v>
      </c>
      <c r="AA376">
        <v>13</v>
      </c>
      <c r="AB376">
        <v>26</v>
      </c>
      <c r="AC376">
        <v>10</v>
      </c>
      <c r="AD376">
        <v>28</v>
      </c>
      <c r="AE376" t="s">
        <v>60</v>
      </c>
    </row>
    <row r="377" spans="1:31" x14ac:dyDescent="0.2">
      <c r="A377">
        <v>366</v>
      </c>
      <c r="B377" t="s">
        <v>837</v>
      </c>
      <c r="C377">
        <v>23</v>
      </c>
      <c r="D377" t="s">
        <v>429</v>
      </c>
      <c r="E377" t="s">
        <v>349</v>
      </c>
      <c r="F377">
        <v>44</v>
      </c>
      <c r="G377">
        <v>3</v>
      </c>
      <c r="H377">
        <v>11</v>
      </c>
      <c r="I377">
        <v>14</v>
      </c>
      <c r="J377">
        <v>0</v>
      </c>
      <c r="K377">
        <v>4</v>
      </c>
      <c r="L377">
        <v>3</v>
      </c>
      <c r="M377">
        <v>0</v>
      </c>
      <c r="N377">
        <v>0</v>
      </c>
      <c r="O377">
        <v>0</v>
      </c>
      <c r="P377">
        <v>9</v>
      </c>
      <c r="Q377">
        <v>0</v>
      </c>
      <c r="R377">
        <v>2</v>
      </c>
      <c r="S377">
        <v>62</v>
      </c>
      <c r="T377">
        <v>4.8</v>
      </c>
      <c r="U377">
        <v>144</v>
      </c>
      <c r="V377" t="s">
        <v>2796</v>
      </c>
      <c r="W377" t="s">
        <v>2797</v>
      </c>
      <c r="X377">
        <v>0</v>
      </c>
      <c r="Y377">
        <v>0</v>
      </c>
      <c r="AA377">
        <v>39</v>
      </c>
      <c r="AB377">
        <v>20</v>
      </c>
      <c r="AC377">
        <v>13</v>
      </c>
      <c r="AD377">
        <v>45</v>
      </c>
      <c r="AE377" t="s">
        <v>60</v>
      </c>
    </row>
    <row r="378" spans="1:31" x14ac:dyDescent="0.2">
      <c r="A378">
        <v>367</v>
      </c>
      <c r="B378" t="s">
        <v>801</v>
      </c>
      <c r="C378">
        <v>26</v>
      </c>
      <c r="D378" t="s">
        <v>372</v>
      </c>
      <c r="E378" t="s">
        <v>322</v>
      </c>
      <c r="F378">
        <v>43</v>
      </c>
      <c r="G378">
        <v>6</v>
      </c>
      <c r="H378">
        <v>8</v>
      </c>
      <c r="I378">
        <v>14</v>
      </c>
      <c r="J378">
        <v>-3</v>
      </c>
      <c r="K378">
        <v>6</v>
      </c>
      <c r="L378">
        <v>5</v>
      </c>
      <c r="M378">
        <v>0</v>
      </c>
      <c r="N378">
        <v>1</v>
      </c>
      <c r="O378">
        <v>0</v>
      </c>
      <c r="P378">
        <v>8</v>
      </c>
      <c r="Q378">
        <v>0</v>
      </c>
      <c r="R378">
        <v>0</v>
      </c>
      <c r="S378">
        <v>51</v>
      </c>
      <c r="T378">
        <v>11.8</v>
      </c>
      <c r="U378">
        <v>102</v>
      </c>
      <c r="V378" t="s">
        <v>2479</v>
      </c>
      <c r="W378" t="s">
        <v>2480</v>
      </c>
      <c r="X378">
        <v>87</v>
      </c>
      <c r="Y378">
        <v>81</v>
      </c>
      <c r="Z378">
        <v>51.8</v>
      </c>
      <c r="AA378">
        <v>34</v>
      </c>
      <c r="AB378">
        <v>45</v>
      </c>
      <c r="AC378">
        <v>5</v>
      </c>
      <c r="AD378">
        <v>23</v>
      </c>
      <c r="AE378" t="s">
        <v>60</v>
      </c>
    </row>
    <row r="379" spans="1:31" x14ac:dyDescent="0.2">
      <c r="A379">
        <v>368</v>
      </c>
      <c r="B379" t="s">
        <v>839</v>
      </c>
      <c r="C379">
        <v>30</v>
      </c>
      <c r="D379" t="s">
        <v>398</v>
      </c>
      <c r="E379" t="s">
        <v>340</v>
      </c>
      <c r="F379">
        <v>41</v>
      </c>
      <c r="G379">
        <v>9</v>
      </c>
      <c r="H379">
        <v>5</v>
      </c>
      <c r="I379">
        <v>14</v>
      </c>
      <c r="J379">
        <v>5</v>
      </c>
      <c r="K379">
        <v>2</v>
      </c>
      <c r="L379">
        <v>9</v>
      </c>
      <c r="M379">
        <v>0</v>
      </c>
      <c r="N379">
        <v>0</v>
      </c>
      <c r="O379">
        <v>2</v>
      </c>
      <c r="P379">
        <v>4</v>
      </c>
      <c r="Q379">
        <v>0</v>
      </c>
      <c r="R379">
        <v>1</v>
      </c>
      <c r="S379">
        <v>55</v>
      </c>
      <c r="T379">
        <v>16.399999999999999</v>
      </c>
      <c r="U379">
        <v>116</v>
      </c>
      <c r="V379" t="s">
        <v>2481</v>
      </c>
      <c r="W379" t="s">
        <v>2482</v>
      </c>
      <c r="X379">
        <v>1</v>
      </c>
      <c r="Y379">
        <v>12</v>
      </c>
      <c r="Z379">
        <v>7.7</v>
      </c>
      <c r="AA379">
        <v>5</v>
      </c>
      <c r="AB379">
        <v>57</v>
      </c>
      <c r="AC379">
        <v>6</v>
      </c>
      <c r="AD379">
        <v>16</v>
      </c>
      <c r="AE379" t="s">
        <v>60</v>
      </c>
    </row>
    <row r="380" spans="1:31" x14ac:dyDescent="0.2">
      <c r="A380">
        <v>369</v>
      </c>
      <c r="B380" t="s">
        <v>722</v>
      </c>
      <c r="C380">
        <v>30</v>
      </c>
      <c r="D380" t="s">
        <v>367</v>
      </c>
      <c r="E380" t="s">
        <v>349</v>
      </c>
      <c r="F380">
        <v>47</v>
      </c>
      <c r="G380">
        <v>1</v>
      </c>
      <c r="H380">
        <v>13</v>
      </c>
      <c r="I380">
        <v>14</v>
      </c>
      <c r="J380">
        <v>17</v>
      </c>
      <c r="K380">
        <v>6</v>
      </c>
      <c r="L380">
        <v>1</v>
      </c>
      <c r="M380">
        <v>0</v>
      </c>
      <c r="N380">
        <v>0</v>
      </c>
      <c r="O380">
        <v>0</v>
      </c>
      <c r="P380">
        <v>13</v>
      </c>
      <c r="Q380">
        <v>0</v>
      </c>
      <c r="R380">
        <v>0</v>
      </c>
      <c r="S380">
        <v>61</v>
      </c>
      <c r="T380">
        <v>1.6</v>
      </c>
      <c r="U380">
        <v>139</v>
      </c>
      <c r="V380" t="s">
        <v>2483</v>
      </c>
      <c r="W380" t="s">
        <v>2484</v>
      </c>
      <c r="X380">
        <v>0</v>
      </c>
      <c r="Y380">
        <v>0</v>
      </c>
      <c r="AA380">
        <v>93</v>
      </c>
      <c r="AB380">
        <v>62</v>
      </c>
      <c r="AC380">
        <v>8</v>
      </c>
      <c r="AD380">
        <v>40</v>
      </c>
      <c r="AE380" t="s">
        <v>60</v>
      </c>
    </row>
    <row r="381" spans="1:31" x14ac:dyDescent="0.2">
      <c r="A381">
        <v>370</v>
      </c>
      <c r="B381" t="s">
        <v>724</v>
      </c>
      <c r="C381">
        <v>22</v>
      </c>
      <c r="D381" t="s">
        <v>328</v>
      </c>
      <c r="E381" t="s">
        <v>322</v>
      </c>
      <c r="F381">
        <v>47</v>
      </c>
      <c r="G381">
        <v>7</v>
      </c>
      <c r="H381">
        <v>7</v>
      </c>
      <c r="I381">
        <v>14</v>
      </c>
      <c r="J381">
        <v>-3</v>
      </c>
      <c r="K381">
        <v>14</v>
      </c>
      <c r="L381">
        <v>4</v>
      </c>
      <c r="M381">
        <v>2</v>
      </c>
      <c r="N381">
        <v>1</v>
      </c>
      <c r="O381">
        <v>1</v>
      </c>
      <c r="P381">
        <v>5</v>
      </c>
      <c r="Q381">
        <v>2</v>
      </c>
      <c r="R381">
        <v>0</v>
      </c>
      <c r="S381">
        <v>60</v>
      </c>
      <c r="T381">
        <v>11.7</v>
      </c>
      <c r="U381">
        <v>109</v>
      </c>
      <c r="V381" t="s">
        <v>2485</v>
      </c>
      <c r="W381" t="s">
        <v>990</v>
      </c>
      <c r="X381">
        <v>23</v>
      </c>
      <c r="Y381">
        <v>24</v>
      </c>
      <c r="Z381">
        <v>48.9</v>
      </c>
      <c r="AA381">
        <v>23</v>
      </c>
      <c r="AB381">
        <v>8</v>
      </c>
      <c r="AC381">
        <v>18</v>
      </c>
      <c r="AD381">
        <v>38</v>
      </c>
      <c r="AE381" t="s">
        <v>60</v>
      </c>
    </row>
    <row r="382" spans="1:31" x14ac:dyDescent="0.2">
      <c r="A382">
        <v>371</v>
      </c>
      <c r="B382" t="s">
        <v>690</v>
      </c>
      <c r="C382">
        <v>34</v>
      </c>
      <c r="D382" t="s">
        <v>406</v>
      </c>
      <c r="E382" t="s">
        <v>349</v>
      </c>
      <c r="F382">
        <v>47</v>
      </c>
      <c r="G382">
        <v>2</v>
      </c>
      <c r="H382">
        <v>12</v>
      </c>
      <c r="I382">
        <v>14</v>
      </c>
      <c r="J382">
        <v>20</v>
      </c>
      <c r="K382">
        <v>8</v>
      </c>
      <c r="L382">
        <v>2</v>
      </c>
      <c r="M382">
        <v>0</v>
      </c>
      <c r="N382">
        <v>0</v>
      </c>
      <c r="O382">
        <v>0</v>
      </c>
      <c r="P382">
        <v>12</v>
      </c>
      <c r="Q382">
        <v>0</v>
      </c>
      <c r="R382">
        <v>0</v>
      </c>
      <c r="S382">
        <v>48</v>
      </c>
      <c r="T382">
        <v>4.2</v>
      </c>
      <c r="U382">
        <v>133</v>
      </c>
      <c r="V382" t="s">
        <v>2486</v>
      </c>
      <c r="W382" t="s">
        <v>1003</v>
      </c>
      <c r="X382">
        <v>0</v>
      </c>
      <c r="Y382">
        <v>0</v>
      </c>
      <c r="AA382">
        <v>52</v>
      </c>
      <c r="AB382">
        <v>45</v>
      </c>
      <c r="AC382">
        <v>10</v>
      </c>
      <c r="AD382">
        <v>44</v>
      </c>
      <c r="AE382" t="s">
        <v>60</v>
      </c>
    </row>
    <row r="383" spans="1:31" x14ac:dyDescent="0.2">
      <c r="A383">
        <v>372</v>
      </c>
      <c r="B383" t="s">
        <v>847</v>
      </c>
      <c r="C383">
        <v>31</v>
      </c>
      <c r="D383" t="s">
        <v>461</v>
      </c>
      <c r="E383" t="s">
        <v>349</v>
      </c>
      <c r="F383">
        <v>46</v>
      </c>
      <c r="G383">
        <v>1</v>
      </c>
      <c r="H383">
        <v>13</v>
      </c>
      <c r="I383">
        <v>14</v>
      </c>
      <c r="J383">
        <v>-12</v>
      </c>
      <c r="K383">
        <v>20</v>
      </c>
      <c r="L383">
        <v>1</v>
      </c>
      <c r="M383">
        <v>0</v>
      </c>
      <c r="N383">
        <v>0</v>
      </c>
      <c r="O383">
        <v>0</v>
      </c>
      <c r="P383">
        <v>11</v>
      </c>
      <c r="Q383">
        <v>2</v>
      </c>
      <c r="R383">
        <v>0</v>
      </c>
      <c r="S383">
        <v>70</v>
      </c>
      <c r="T383">
        <v>1.4</v>
      </c>
      <c r="U383">
        <v>175</v>
      </c>
      <c r="V383" t="s">
        <v>2487</v>
      </c>
      <c r="W383" t="s">
        <v>2348</v>
      </c>
      <c r="X383">
        <v>0</v>
      </c>
      <c r="Y383">
        <v>0</v>
      </c>
      <c r="AA383">
        <v>46</v>
      </c>
      <c r="AB383">
        <v>36</v>
      </c>
      <c r="AC383">
        <v>13</v>
      </c>
      <c r="AD383">
        <v>63</v>
      </c>
      <c r="AE383" t="s">
        <v>60</v>
      </c>
    </row>
    <row r="384" spans="1:31" x14ac:dyDescent="0.2">
      <c r="A384">
        <v>373</v>
      </c>
      <c r="B384" t="s">
        <v>769</v>
      </c>
      <c r="C384">
        <v>27</v>
      </c>
      <c r="D384" t="s">
        <v>346</v>
      </c>
      <c r="E384" t="s">
        <v>349</v>
      </c>
      <c r="F384">
        <v>44</v>
      </c>
      <c r="G384">
        <v>7</v>
      </c>
      <c r="H384">
        <v>7</v>
      </c>
      <c r="I384">
        <v>14</v>
      </c>
      <c r="J384">
        <v>2</v>
      </c>
      <c r="K384">
        <v>89</v>
      </c>
      <c r="L384">
        <v>7</v>
      </c>
      <c r="M384">
        <v>0</v>
      </c>
      <c r="N384">
        <v>0</v>
      </c>
      <c r="O384">
        <v>1</v>
      </c>
      <c r="P384">
        <v>7</v>
      </c>
      <c r="Q384">
        <v>0</v>
      </c>
      <c r="R384">
        <v>0</v>
      </c>
      <c r="S384">
        <v>46</v>
      </c>
      <c r="T384">
        <v>15.2</v>
      </c>
      <c r="U384">
        <v>139</v>
      </c>
      <c r="V384" t="s">
        <v>2488</v>
      </c>
      <c r="W384" t="s">
        <v>2489</v>
      </c>
      <c r="X384">
        <v>0</v>
      </c>
      <c r="Y384">
        <v>0</v>
      </c>
      <c r="AA384">
        <v>50</v>
      </c>
      <c r="AB384">
        <v>73</v>
      </c>
      <c r="AC384">
        <v>9</v>
      </c>
      <c r="AD384">
        <v>34</v>
      </c>
      <c r="AE384" t="s">
        <v>60</v>
      </c>
    </row>
    <row r="385" spans="1:31" x14ac:dyDescent="0.2">
      <c r="A385">
        <v>374</v>
      </c>
      <c r="B385" t="s">
        <v>807</v>
      </c>
      <c r="C385">
        <v>26</v>
      </c>
      <c r="D385" t="s">
        <v>356</v>
      </c>
      <c r="E385" t="s">
        <v>325</v>
      </c>
      <c r="F385">
        <v>30</v>
      </c>
      <c r="G385">
        <v>8</v>
      </c>
      <c r="H385">
        <v>6</v>
      </c>
      <c r="I385">
        <v>14</v>
      </c>
      <c r="J385">
        <v>6</v>
      </c>
      <c r="K385">
        <v>25</v>
      </c>
      <c r="L385">
        <v>6</v>
      </c>
      <c r="M385">
        <v>1</v>
      </c>
      <c r="N385">
        <v>1</v>
      </c>
      <c r="O385">
        <v>0</v>
      </c>
      <c r="P385">
        <v>4</v>
      </c>
      <c r="Q385">
        <v>2</v>
      </c>
      <c r="R385">
        <v>0</v>
      </c>
      <c r="S385">
        <v>42</v>
      </c>
      <c r="T385">
        <v>19</v>
      </c>
      <c r="U385">
        <v>84</v>
      </c>
      <c r="V385" t="s">
        <v>2490</v>
      </c>
      <c r="W385" t="s">
        <v>2404</v>
      </c>
      <c r="X385">
        <v>3</v>
      </c>
      <c r="Y385">
        <v>4</v>
      </c>
      <c r="Z385">
        <v>42.9</v>
      </c>
      <c r="AA385">
        <v>21</v>
      </c>
      <c r="AB385">
        <v>106</v>
      </c>
      <c r="AC385">
        <v>8</v>
      </c>
      <c r="AD385">
        <v>17</v>
      </c>
      <c r="AE385" t="s">
        <v>60</v>
      </c>
    </row>
    <row r="386" spans="1:31" x14ac:dyDescent="0.2">
      <c r="A386">
        <v>375</v>
      </c>
      <c r="B386" t="s">
        <v>604</v>
      </c>
      <c r="C386">
        <v>29</v>
      </c>
      <c r="D386" t="s">
        <v>514</v>
      </c>
      <c r="E386" t="s">
        <v>325</v>
      </c>
      <c r="F386">
        <v>37</v>
      </c>
      <c r="G386">
        <v>7</v>
      </c>
      <c r="H386">
        <v>7</v>
      </c>
      <c r="I386">
        <v>14</v>
      </c>
      <c r="J386">
        <v>-3</v>
      </c>
      <c r="K386">
        <v>12</v>
      </c>
      <c r="L386">
        <v>6</v>
      </c>
      <c r="M386">
        <v>1</v>
      </c>
      <c r="N386">
        <v>0</v>
      </c>
      <c r="O386">
        <v>2</v>
      </c>
      <c r="P386">
        <v>5</v>
      </c>
      <c r="Q386">
        <v>1</v>
      </c>
      <c r="R386">
        <v>1</v>
      </c>
      <c r="S386">
        <v>62</v>
      </c>
      <c r="T386">
        <v>11.3</v>
      </c>
      <c r="U386">
        <v>114</v>
      </c>
      <c r="V386" t="s">
        <v>1754</v>
      </c>
      <c r="W386" t="s">
        <v>1681</v>
      </c>
      <c r="X386">
        <v>149</v>
      </c>
      <c r="Y386">
        <v>167</v>
      </c>
      <c r="Z386">
        <v>47.2</v>
      </c>
      <c r="AA386">
        <v>13</v>
      </c>
      <c r="AB386">
        <v>29</v>
      </c>
      <c r="AC386">
        <v>9</v>
      </c>
      <c r="AD386">
        <v>19</v>
      </c>
      <c r="AE386" t="s">
        <v>60</v>
      </c>
    </row>
    <row r="387" spans="1:31" x14ac:dyDescent="0.2">
      <c r="A387">
        <v>376</v>
      </c>
      <c r="B387" t="s">
        <v>808</v>
      </c>
      <c r="C387">
        <v>29</v>
      </c>
      <c r="D387" t="s">
        <v>358</v>
      </c>
      <c r="E387" t="s">
        <v>322</v>
      </c>
      <c r="F387">
        <v>47</v>
      </c>
      <c r="G387">
        <v>3</v>
      </c>
      <c r="H387">
        <v>11</v>
      </c>
      <c r="I387">
        <v>14</v>
      </c>
      <c r="J387">
        <v>9</v>
      </c>
      <c r="K387">
        <v>23</v>
      </c>
      <c r="L387">
        <v>3</v>
      </c>
      <c r="M387">
        <v>0</v>
      </c>
      <c r="N387">
        <v>0</v>
      </c>
      <c r="O387">
        <v>1</v>
      </c>
      <c r="P387">
        <v>11</v>
      </c>
      <c r="Q387">
        <v>0</v>
      </c>
      <c r="R387">
        <v>0</v>
      </c>
      <c r="S387">
        <v>54</v>
      </c>
      <c r="T387">
        <v>5.6</v>
      </c>
      <c r="U387">
        <v>114</v>
      </c>
      <c r="V387" t="s">
        <v>2164</v>
      </c>
      <c r="W387" t="s">
        <v>1712</v>
      </c>
      <c r="X387">
        <v>29</v>
      </c>
      <c r="Y387">
        <v>50</v>
      </c>
      <c r="Z387">
        <v>36.700000000000003</v>
      </c>
      <c r="AA387">
        <v>25</v>
      </c>
      <c r="AB387">
        <v>226</v>
      </c>
      <c r="AC387">
        <v>14</v>
      </c>
      <c r="AD387">
        <v>35</v>
      </c>
      <c r="AE387" t="s">
        <v>60</v>
      </c>
    </row>
    <row r="388" spans="1:31" x14ac:dyDescent="0.2">
      <c r="A388">
        <v>377</v>
      </c>
      <c r="B388" t="s">
        <v>814</v>
      </c>
      <c r="C388">
        <v>34</v>
      </c>
      <c r="D388" t="s">
        <v>385</v>
      </c>
      <c r="E388" t="s">
        <v>322</v>
      </c>
      <c r="F388">
        <v>46</v>
      </c>
      <c r="G388">
        <v>6</v>
      </c>
      <c r="H388">
        <v>7</v>
      </c>
      <c r="I388">
        <v>13</v>
      </c>
      <c r="J388">
        <v>0</v>
      </c>
      <c r="K388">
        <v>10</v>
      </c>
      <c r="L388">
        <v>5</v>
      </c>
      <c r="M388">
        <v>0</v>
      </c>
      <c r="N388">
        <v>1</v>
      </c>
      <c r="O388">
        <v>0</v>
      </c>
      <c r="P388">
        <v>7</v>
      </c>
      <c r="Q388">
        <v>0</v>
      </c>
      <c r="R388">
        <v>0</v>
      </c>
      <c r="S388">
        <v>33</v>
      </c>
      <c r="T388">
        <v>18.2</v>
      </c>
      <c r="U388">
        <v>66</v>
      </c>
      <c r="V388" t="s">
        <v>2492</v>
      </c>
      <c r="W388" t="s">
        <v>2036</v>
      </c>
      <c r="X388">
        <v>177</v>
      </c>
      <c r="Y388">
        <v>179</v>
      </c>
      <c r="Z388">
        <v>49.7</v>
      </c>
      <c r="AA388">
        <v>35</v>
      </c>
      <c r="AB388">
        <v>98</v>
      </c>
      <c r="AC388">
        <v>8</v>
      </c>
      <c r="AD388">
        <v>28</v>
      </c>
      <c r="AE388" t="s">
        <v>60</v>
      </c>
    </row>
    <row r="389" spans="1:31" x14ac:dyDescent="0.2">
      <c r="A389">
        <v>378</v>
      </c>
      <c r="B389" t="s">
        <v>701</v>
      </c>
      <c r="C389">
        <v>36</v>
      </c>
      <c r="D389" t="s">
        <v>421</v>
      </c>
      <c r="E389" t="s">
        <v>349</v>
      </c>
      <c r="F389">
        <v>39</v>
      </c>
      <c r="G389">
        <v>3</v>
      </c>
      <c r="H389">
        <v>10</v>
      </c>
      <c r="I389">
        <v>13</v>
      </c>
      <c r="J389">
        <v>3</v>
      </c>
      <c r="K389">
        <v>22</v>
      </c>
      <c r="L389">
        <v>3</v>
      </c>
      <c r="M389">
        <v>0</v>
      </c>
      <c r="N389">
        <v>0</v>
      </c>
      <c r="O389">
        <v>0</v>
      </c>
      <c r="P389">
        <v>8</v>
      </c>
      <c r="Q389">
        <v>1</v>
      </c>
      <c r="R389">
        <v>1</v>
      </c>
      <c r="S389">
        <v>61</v>
      </c>
      <c r="T389">
        <v>4.9000000000000004</v>
      </c>
      <c r="U389">
        <v>154</v>
      </c>
      <c r="V389" t="s">
        <v>2798</v>
      </c>
      <c r="W389" t="s">
        <v>2034</v>
      </c>
      <c r="X389">
        <v>0</v>
      </c>
      <c r="Y389">
        <v>0</v>
      </c>
      <c r="AA389">
        <v>46</v>
      </c>
      <c r="AB389">
        <v>18</v>
      </c>
      <c r="AC389">
        <v>11</v>
      </c>
      <c r="AD389">
        <v>49</v>
      </c>
      <c r="AE389" t="s">
        <v>60</v>
      </c>
    </row>
    <row r="390" spans="1:31" x14ac:dyDescent="0.2">
      <c r="A390">
        <v>379</v>
      </c>
      <c r="B390" t="s">
        <v>1116</v>
      </c>
      <c r="C390">
        <v>27</v>
      </c>
      <c r="D390" t="s">
        <v>406</v>
      </c>
      <c r="E390" t="s">
        <v>349</v>
      </c>
      <c r="F390">
        <v>26</v>
      </c>
      <c r="G390">
        <v>3</v>
      </c>
      <c r="H390">
        <v>10</v>
      </c>
      <c r="I390">
        <v>13</v>
      </c>
      <c r="J390">
        <v>-8</v>
      </c>
      <c r="K390">
        <v>24</v>
      </c>
      <c r="L390">
        <v>3</v>
      </c>
      <c r="M390">
        <v>0</v>
      </c>
      <c r="N390">
        <v>0</v>
      </c>
      <c r="O390">
        <v>2</v>
      </c>
      <c r="P390">
        <v>8</v>
      </c>
      <c r="Q390">
        <v>2</v>
      </c>
      <c r="R390">
        <v>0</v>
      </c>
      <c r="S390">
        <v>48</v>
      </c>
      <c r="T390">
        <v>6.3</v>
      </c>
      <c r="U390">
        <v>118</v>
      </c>
      <c r="V390" t="s">
        <v>2493</v>
      </c>
      <c r="W390" t="s">
        <v>351</v>
      </c>
      <c r="X390">
        <v>0</v>
      </c>
      <c r="Y390">
        <v>0</v>
      </c>
      <c r="AA390">
        <v>49</v>
      </c>
      <c r="AB390">
        <v>15</v>
      </c>
      <c r="AC390">
        <v>5</v>
      </c>
      <c r="AD390">
        <v>31</v>
      </c>
      <c r="AE390" t="s">
        <v>60</v>
      </c>
    </row>
    <row r="391" spans="1:31" x14ac:dyDescent="0.2">
      <c r="A391">
        <v>380</v>
      </c>
      <c r="B391" t="s">
        <v>614</v>
      </c>
      <c r="C391">
        <v>24</v>
      </c>
      <c r="D391" t="s">
        <v>408</v>
      </c>
      <c r="E391" t="s">
        <v>335</v>
      </c>
      <c r="F391">
        <v>21</v>
      </c>
      <c r="G391">
        <v>10</v>
      </c>
      <c r="H391">
        <v>3</v>
      </c>
      <c r="I391">
        <v>13</v>
      </c>
      <c r="J391">
        <v>7</v>
      </c>
      <c r="K391">
        <v>18</v>
      </c>
      <c r="L391">
        <v>7</v>
      </c>
      <c r="M391">
        <v>3</v>
      </c>
      <c r="N391">
        <v>0</v>
      </c>
      <c r="O391">
        <v>2</v>
      </c>
      <c r="P391">
        <v>3</v>
      </c>
      <c r="Q391">
        <v>0</v>
      </c>
      <c r="R391">
        <v>0</v>
      </c>
      <c r="S391">
        <v>41</v>
      </c>
      <c r="T391">
        <v>24.4</v>
      </c>
      <c r="U391">
        <v>75</v>
      </c>
      <c r="V391" t="s">
        <v>615</v>
      </c>
      <c r="W391" t="s">
        <v>616</v>
      </c>
      <c r="X391">
        <v>1</v>
      </c>
      <c r="Y391">
        <v>1</v>
      </c>
      <c r="Z391">
        <v>50</v>
      </c>
      <c r="AA391">
        <v>18</v>
      </c>
      <c r="AB391">
        <v>20</v>
      </c>
      <c r="AC391">
        <v>8</v>
      </c>
      <c r="AD391">
        <v>11</v>
      </c>
      <c r="AE391" t="s">
        <v>60</v>
      </c>
    </row>
    <row r="392" spans="1:31" x14ac:dyDescent="0.2">
      <c r="A392">
        <v>381</v>
      </c>
      <c r="B392" t="s">
        <v>784</v>
      </c>
      <c r="C392">
        <v>32</v>
      </c>
      <c r="D392" t="s">
        <v>400</v>
      </c>
      <c r="E392" t="s">
        <v>349</v>
      </c>
      <c r="F392">
        <v>42</v>
      </c>
      <c r="G392">
        <v>5</v>
      </c>
      <c r="H392">
        <v>8</v>
      </c>
      <c r="I392">
        <v>13</v>
      </c>
      <c r="J392">
        <v>-3</v>
      </c>
      <c r="K392">
        <v>32</v>
      </c>
      <c r="L392">
        <v>3</v>
      </c>
      <c r="M392">
        <v>2</v>
      </c>
      <c r="N392">
        <v>0</v>
      </c>
      <c r="O392">
        <v>1</v>
      </c>
      <c r="P392">
        <v>5</v>
      </c>
      <c r="Q392">
        <v>3</v>
      </c>
      <c r="R392">
        <v>0</v>
      </c>
      <c r="S392">
        <v>112</v>
      </c>
      <c r="T392">
        <v>4.5</v>
      </c>
      <c r="U392">
        <v>250</v>
      </c>
      <c r="V392" t="s">
        <v>2799</v>
      </c>
      <c r="W392" t="s">
        <v>1799</v>
      </c>
      <c r="X392">
        <v>0</v>
      </c>
      <c r="Y392">
        <v>0</v>
      </c>
      <c r="AA392">
        <v>41</v>
      </c>
      <c r="AB392">
        <v>45</v>
      </c>
      <c r="AC392">
        <v>7</v>
      </c>
      <c r="AD392">
        <v>65</v>
      </c>
      <c r="AE392" t="s">
        <v>60</v>
      </c>
    </row>
    <row r="393" spans="1:31" x14ac:dyDescent="0.2">
      <c r="A393">
        <v>382</v>
      </c>
      <c r="B393" t="s">
        <v>915</v>
      </c>
      <c r="C393">
        <v>25</v>
      </c>
      <c r="D393" t="s">
        <v>406</v>
      </c>
      <c r="E393" t="s">
        <v>322</v>
      </c>
      <c r="F393">
        <v>42</v>
      </c>
      <c r="G393">
        <v>4</v>
      </c>
      <c r="H393">
        <v>9</v>
      </c>
      <c r="I393">
        <v>13</v>
      </c>
      <c r="J393">
        <v>4</v>
      </c>
      <c r="K393">
        <v>30</v>
      </c>
      <c r="L393">
        <v>2</v>
      </c>
      <c r="M393">
        <v>2</v>
      </c>
      <c r="N393">
        <v>0</v>
      </c>
      <c r="O393">
        <v>0</v>
      </c>
      <c r="P393">
        <v>8</v>
      </c>
      <c r="Q393">
        <v>1</v>
      </c>
      <c r="R393">
        <v>0</v>
      </c>
      <c r="S393">
        <v>68</v>
      </c>
      <c r="T393">
        <v>5.9</v>
      </c>
      <c r="U393">
        <v>118</v>
      </c>
      <c r="V393" t="s">
        <v>2494</v>
      </c>
      <c r="W393" t="s">
        <v>1155</v>
      </c>
      <c r="X393">
        <v>246</v>
      </c>
      <c r="Y393">
        <v>230</v>
      </c>
      <c r="Z393">
        <v>51.7</v>
      </c>
      <c r="AA393">
        <v>19</v>
      </c>
      <c r="AB393">
        <v>14</v>
      </c>
      <c r="AC393">
        <v>11</v>
      </c>
      <c r="AD393">
        <v>26</v>
      </c>
      <c r="AE393" t="s">
        <v>60</v>
      </c>
    </row>
    <row r="394" spans="1:31" x14ac:dyDescent="0.2">
      <c r="A394">
        <v>383</v>
      </c>
      <c r="B394" t="s">
        <v>787</v>
      </c>
      <c r="C394">
        <v>32</v>
      </c>
      <c r="D394" t="s">
        <v>344</v>
      </c>
      <c r="E394" t="s">
        <v>349</v>
      </c>
      <c r="F394">
        <v>38</v>
      </c>
      <c r="G394">
        <v>6</v>
      </c>
      <c r="H394">
        <v>7</v>
      </c>
      <c r="I394">
        <v>13</v>
      </c>
      <c r="J394">
        <v>1</v>
      </c>
      <c r="K394">
        <v>15</v>
      </c>
      <c r="L394">
        <v>6</v>
      </c>
      <c r="M394">
        <v>0</v>
      </c>
      <c r="N394">
        <v>0</v>
      </c>
      <c r="O394">
        <v>1</v>
      </c>
      <c r="P394">
        <v>7</v>
      </c>
      <c r="Q394">
        <v>0</v>
      </c>
      <c r="R394">
        <v>0</v>
      </c>
      <c r="S394">
        <v>54</v>
      </c>
      <c r="T394">
        <v>11.1</v>
      </c>
      <c r="U394">
        <v>104</v>
      </c>
      <c r="V394" t="s">
        <v>2800</v>
      </c>
      <c r="W394" t="s">
        <v>1687</v>
      </c>
      <c r="X394">
        <v>0</v>
      </c>
      <c r="Y394">
        <v>0</v>
      </c>
      <c r="AA394">
        <v>39</v>
      </c>
      <c r="AB394">
        <v>18</v>
      </c>
      <c r="AC394">
        <v>12</v>
      </c>
      <c r="AD394">
        <v>31</v>
      </c>
      <c r="AE394" t="s">
        <v>60</v>
      </c>
    </row>
    <row r="395" spans="1:31" x14ac:dyDescent="0.2">
      <c r="A395">
        <v>384</v>
      </c>
      <c r="B395" t="s">
        <v>760</v>
      </c>
      <c r="C395">
        <v>36</v>
      </c>
      <c r="D395" t="s">
        <v>337</v>
      </c>
      <c r="E395" t="s">
        <v>322</v>
      </c>
      <c r="F395">
        <v>46</v>
      </c>
      <c r="G395">
        <v>4</v>
      </c>
      <c r="H395">
        <v>9</v>
      </c>
      <c r="I395">
        <v>13</v>
      </c>
      <c r="J395">
        <v>1</v>
      </c>
      <c r="K395">
        <v>30</v>
      </c>
      <c r="L395">
        <v>3</v>
      </c>
      <c r="M395">
        <v>1</v>
      </c>
      <c r="N395">
        <v>0</v>
      </c>
      <c r="O395">
        <v>0</v>
      </c>
      <c r="P395">
        <v>8</v>
      </c>
      <c r="Q395">
        <v>1</v>
      </c>
      <c r="R395">
        <v>0</v>
      </c>
      <c r="S395">
        <v>81</v>
      </c>
      <c r="T395">
        <v>4.9000000000000004</v>
      </c>
      <c r="U395">
        <v>143</v>
      </c>
      <c r="V395" t="s">
        <v>2495</v>
      </c>
      <c r="W395" t="s">
        <v>483</v>
      </c>
      <c r="X395">
        <v>27</v>
      </c>
      <c r="Y395">
        <v>49</v>
      </c>
      <c r="Z395">
        <v>35.5</v>
      </c>
      <c r="AA395">
        <v>20</v>
      </c>
      <c r="AB395">
        <v>43</v>
      </c>
      <c r="AC395">
        <v>15</v>
      </c>
      <c r="AD395">
        <v>34</v>
      </c>
      <c r="AE395" t="s">
        <v>60</v>
      </c>
    </row>
    <row r="396" spans="1:31" x14ac:dyDescent="0.2">
      <c r="A396">
        <v>385</v>
      </c>
      <c r="B396" t="s">
        <v>792</v>
      </c>
      <c r="C396">
        <v>22</v>
      </c>
      <c r="D396" t="s">
        <v>362</v>
      </c>
      <c r="E396" t="s">
        <v>322</v>
      </c>
      <c r="F396">
        <v>45</v>
      </c>
      <c r="G396">
        <v>6</v>
      </c>
      <c r="H396">
        <v>7</v>
      </c>
      <c r="I396">
        <v>13</v>
      </c>
      <c r="J396">
        <v>-2</v>
      </c>
      <c r="K396">
        <v>22</v>
      </c>
      <c r="L396">
        <v>4</v>
      </c>
      <c r="M396">
        <v>2</v>
      </c>
      <c r="N396">
        <v>0</v>
      </c>
      <c r="O396">
        <v>1</v>
      </c>
      <c r="P396">
        <v>5</v>
      </c>
      <c r="Q396">
        <v>2</v>
      </c>
      <c r="R396">
        <v>0</v>
      </c>
      <c r="S396">
        <v>46</v>
      </c>
      <c r="T396">
        <v>13</v>
      </c>
      <c r="U396">
        <v>94</v>
      </c>
      <c r="V396" t="s">
        <v>2801</v>
      </c>
      <c r="W396" t="s">
        <v>1877</v>
      </c>
      <c r="X396">
        <v>193</v>
      </c>
      <c r="Y396">
        <v>180</v>
      </c>
      <c r="Z396">
        <v>51.7</v>
      </c>
      <c r="AA396">
        <v>31</v>
      </c>
      <c r="AB396">
        <v>57</v>
      </c>
      <c r="AC396">
        <v>7</v>
      </c>
      <c r="AD396">
        <v>21</v>
      </c>
      <c r="AE396" t="s">
        <v>60</v>
      </c>
    </row>
    <row r="397" spans="1:31" x14ac:dyDescent="0.2">
      <c r="A397">
        <v>386</v>
      </c>
      <c r="B397" t="s">
        <v>653</v>
      </c>
      <c r="C397">
        <v>30</v>
      </c>
      <c r="D397" t="s">
        <v>421</v>
      </c>
      <c r="E397" t="s">
        <v>340</v>
      </c>
      <c r="F397">
        <v>37</v>
      </c>
      <c r="G397">
        <v>5</v>
      </c>
      <c r="H397">
        <v>8</v>
      </c>
      <c r="I397">
        <v>13</v>
      </c>
      <c r="J397">
        <v>0</v>
      </c>
      <c r="K397">
        <v>6</v>
      </c>
      <c r="L397">
        <v>4</v>
      </c>
      <c r="M397">
        <v>0</v>
      </c>
      <c r="N397">
        <v>1</v>
      </c>
      <c r="O397">
        <v>1</v>
      </c>
      <c r="P397">
        <v>7</v>
      </c>
      <c r="Q397">
        <v>0</v>
      </c>
      <c r="R397">
        <v>1</v>
      </c>
      <c r="S397">
        <v>67</v>
      </c>
      <c r="T397">
        <v>7.5</v>
      </c>
      <c r="U397">
        <v>135</v>
      </c>
      <c r="V397" t="s">
        <v>1817</v>
      </c>
      <c r="W397" t="s">
        <v>1818</v>
      </c>
      <c r="X397">
        <v>3</v>
      </c>
      <c r="Y397">
        <v>12</v>
      </c>
      <c r="Z397">
        <v>20</v>
      </c>
      <c r="AA397">
        <v>22</v>
      </c>
      <c r="AB397">
        <v>22</v>
      </c>
      <c r="AC397">
        <v>16</v>
      </c>
      <c r="AD397">
        <v>30</v>
      </c>
      <c r="AE397" t="s">
        <v>60</v>
      </c>
    </row>
    <row r="398" spans="1:31" x14ac:dyDescent="0.2">
      <c r="A398">
        <v>387</v>
      </c>
      <c r="B398" t="s">
        <v>894</v>
      </c>
      <c r="C398">
        <v>21</v>
      </c>
      <c r="D398" t="s">
        <v>429</v>
      </c>
      <c r="E398" t="s">
        <v>322</v>
      </c>
      <c r="F398">
        <v>33</v>
      </c>
      <c r="G398">
        <v>7</v>
      </c>
      <c r="H398">
        <v>6</v>
      </c>
      <c r="I398">
        <v>13</v>
      </c>
      <c r="J398">
        <v>8</v>
      </c>
      <c r="K398">
        <v>4</v>
      </c>
      <c r="L398">
        <v>6</v>
      </c>
      <c r="M398">
        <v>1</v>
      </c>
      <c r="N398">
        <v>0</v>
      </c>
      <c r="O398">
        <v>0</v>
      </c>
      <c r="P398">
        <v>6</v>
      </c>
      <c r="Q398">
        <v>0</v>
      </c>
      <c r="R398">
        <v>0</v>
      </c>
      <c r="S398">
        <v>34</v>
      </c>
      <c r="T398">
        <v>20.6</v>
      </c>
      <c r="U398">
        <v>63</v>
      </c>
      <c r="V398" t="s">
        <v>2802</v>
      </c>
      <c r="W398" t="s">
        <v>1816</v>
      </c>
      <c r="X398">
        <v>50</v>
      </c>
      <c r="Y398">
        <v>123</v>
      </c>
      <c r="Z398">
        <v>28.9</v>
      </c>
      <c r="AA398">
        <v>19</v>
      </c>
      <c r="AB398">
        <v>2</v>
      </c>
      <c r="AC398">
        <v>10</v>
      </c>
      <c r="AD398">
        <v>17</v>
      </c>
      <c r="AE398" t="s">
        <v>60</v>
      </c>
    </row>
    <row r="399" spans="1:31" x14ac:dyDescent="0.2">
      <c r="A399">
        <v>388</v>
      </c>
      <c r="B399" t="s">
        <v>846</v>
      </c>
      <c r="C399">
        <v>33</v>
      </c>
      <c r="D399" t="s">
        <v>324</v>
      </c>
      <c r="E399" t="s">
        <v>340</v>
      </c>
      <c r="F399">
        <v>32</v>
      </c>
      <c r="G399">
        <v>6</v>
      </c>
      <c r="H399">
        <v>7</v>
      </c>
      <c r="I399">
        <v>13</v>
      </c>
      <c r="J399">
        <v>-8</v>
      </c>
      <c r="K399">
        <v>14</v>
      </c>
      <c r="L399">
        <v>4</v>
      </c>
      <c r="M399">
        <v>2</v>
      </c>
      <c r="N399">
        <v>0</v>
      </c>
      <c r="O399">
        <v>0</v>
      </c>
      <c r="P399">
        <v>5</v>
      </c>
      <c r="Q399">
        <v>2</v>
      </c>
      <c r="R399">
        <v>0</v>
      </c>
      <c r="S399">
        <v>56</v>
      </c>
      <c r="T399">
        <v>10.7</v>
      </c>
      <c r="U399">
        <v>117</v>
      </c>
      <c r="V399" t="s">
        <v>2085</v>
      </c>
      <c r="W399" t="s">
        <v>993</v>
      </c>
      <c r="X399">
        <v>3</v>
      </c>
      <c r="Y399">
        <v>8</v>
      </c>
      <c r="Z399">
        <v>27.3</v>
      </c>
      <c r="AA399">
        <v>11</v>
      </c>
      <c r="AB399">
        <v>17</v>
      </c>
      <c r="AC399">
        <v>10</v>
      </c>
      <c r="AD399">
        <v>27</v>
      </c>
      <c r="AE399" t="s">
        <v>60</v>
      </c>
    </row>
    <row r="400" spans="1:31" x14ac:dyDescent="0.2">
      <c r="A400">
        <v>389</v>
      </c>
      <c r="B400" t="s">
        <v>899</v>
      </c>
      <c r="C400">
        <v>34</v>
      </c>
      <c r="D400" t="s">
        <v>344</v>
      </c>
      <c r="E400" t="s">
        <v>335</v>
      </c>
      <c r="F400">
        <v>41</v>
      </c>
      <c r="G400">
        <v>8</v>
      </c>
      <c r="H400">
        <v>5</v>
      </c>
      <c r="I400">
        <v>13</v>
      </c>
      <c r="J400">
        <v>-7</v>
      </c>
      <c r="K400">
        <v>2</v>
      </c>
      <c r="L400">
        <v>7</v>
      </c>
      <c r="M400">
        <v>1</v>
      </c>
      <c r="N400">
        <v>0</v>
      </c>
      <c r="O400">
        <v>1</v>
      </c>
      <c r="P400">
        <v>5</v>
      </c>
      <c r="Q400">
        <v>0</v>
      </c>
      <c r="R400">
        <v>0</v>
      </c>
      <c r="S400">
        <v>46</v>
      </c>
      <c r="T400">
        <v>17.399999999999999</v>
      </c>
      <c r="U400">
        <v>92</v>
      </c>
      <c r="V400" t="s">
        <v>2803</v>
      </c>
      <c r="W400" t="s">
        <v>1811</v>
      </c>
      <c r="X400">
        <v>11</v>
      </c>
      <c r="Y400">
        <v>13</v>
      </c>
      <c r="Z400">
        <v>45.8</v>
      </c>
      <c r="AA400">
        <v>8</v>
      </c>
      <c r="AB400">
        <v>13</v>
      </c>
      <c r="AC400">
        <v>7</v>
      </c>
      <c r="AD400">
        <v>41</v>
      </c>
      <c r="AE400" t="s">
        <v>60</v>
      </c>
    </row>
    <row r="401" spans="1:31" x14ac:dyDescent="0.2">
      <c r="A401">
        <v>390</v>
      </c>
      <c r="B401" t="s">
        <v>1019</v>
      </c>
      <c r="C401">
        <v>36</v>
      </c>
      <c r="D401" t="s">
        <v>358</v>
      </c>
      <c r="E401" t="s">
        <v>349</v>
      </c>
      <c r="F401">
        <v>47</v>
      </c>
      <c r="G401">
        <v>4</v>
      </c>
      <c r="H401">
        <v>9</v>
      </c>
      <c r="I401">
        <v>13</v>
      </c>
      <c r="J401">
        <v>1</v>
      </c>
      <c r="K401">
        <v>8</v>
      </c>
      <c r="L401">
        <v>2</v>
      </c>
      <c r="M401">
        <v>2</v>
      </c>
      <c r="N401">
        <v>0</v>
      </c>
      <c r="O401">
        <v>1</v>
      </c>
      <c r="P401">
        <v>6</v>
      </c>
      <c r="Q401">
        <v>3</v>
      </c>
      <c r="R401">
        <v>0</v>
      </c>
      <c r="S401">
        <v>54</v>
      </c>
      <c r="T401">
        <v>7.4</v>
      </c>
      <c r="U401">
        <v>133</v>
      </c>
      <c r="V401" t="s">
        <v>2165</v>
      </c>
      <c r="W401" t="s">
        <v>326</v>
      </c>
      <c r="X401">
        <v>0</v>
      </c>
      <c r="Y401">
        <v>0</v>
      </c>
      <c r="AA401">
        <v>95</v>
      </c>
      <c r="AB401">
        <v>57</v>
      </c>
      <c r="AC401">
        <v>10</v>
      </c>
      <c r="AD401">
        <v>36</v>
      </c>
      <c r="AE401" t="s">
        <v>60</v>
      </c>
    </row>
    <row r="402" spans="1:31" x14ac:dyDescent="0.2">
      <c r="A402">
        <v>391</v>
      </c>
      <c r="B402" t="s">
        <v>728</v>
      </c>
      <c r="C402">
        <v>31</v>
      </c>
      <c r="D402" t="s">
        <v>514</v>
      </c>
      <c r="E402" t="s">
        <v>322</v>
      </c>
      <c r="F402">
        <v>37</v>
      </c>
      <c r="G402">
        <v>3</v>
      </c>
      <c r="H402">
        <v>10</v>
      </c>
      <c r="I402">
        <v>13</v>
      </c>
      <c r="J402">
        <v>-13</v>
      </c>
      <c r="K402">
        <v>14</v>
      </c>
      <c r="L402">
        <v>3</v>
      </c>
      <c r="M402">
        <v>0</v>
      </c>
      <c r="N402">
        <v>0</v>
      </c>
      <c r="O402">
        <v>0</v>
      </c>
      <c r="P402">
        <v>9</v>
      </c>
      <c r="Q402">
        <v>1</v>
      </c>
      <c r="R402">
        <v>0</v>
      </c>
      <c r="S402">
        <v>31</v>
      </c>
      <c r="T402">
        <v>9.6999999999999993</v>
      </c>
      <c r="U402">
        <v>56</v>
      </c>
      <c r="V402" t="s">
        <v>2496</v>
      </c>
      <c r="W402" t="s">
        <v>1877</v>
      </c>
      <c r="X402">
        <v>155</v>
      </c>
      <c r="Y402">
        <v>167</v>
      </c>
      <c r="Z402">
        <v>48.1</v>
      </c>
      <c r="AA402">
        <v>23</v>
      </c>
      <c r="AB402">
        <v>44</v>
      </c>
      <c r="AC402">
        <v>8</v>
      </c>
      <c r="AD402">
        <v>15</v>
      </c>
      <c r="AE402" t="s">
        <v>60</v>
      </c>
    </row>
    <row r="403" spans="1:31" x14ac:dyDescent="0.2">
      <c r="A403">
        <v>392</v>
      </c>
      <c r="B403" t="s">
        <v>730</v>
      </c>
      <c r="C403">
        <v>31</v>
      </c>
      <c r="D403" t="s">
        <v>321</v>
      </c>
      <c r="E403" t="s">
        <v>349</v>
      </c>
      <c r="F403">
        <v>40</v>
      </c>
      <c r="G403">
        <v>1</v>
      </c>
      <c r="H403">
        <v>12</v>
      </c>
      <c r="I403">
        <v>13</v>
      </c>
      <c r="J403">
        <v>26</v>
      </c>
      <c r="K403">
        <v>18</v>
      </c>
      <c r="L403">
        <v>1</v>
      </c>
      <c r="M403">
        <v>0</v>
      </c>
      <c r="N403">
        <v>0</v>
      </c>
      <c r="O403">
        <v>0</v>
      </c>
      <c r="P403">
        <v>12</v>
      </c>
      <c r="Q403">
        <v>0</v>
      </c>
      <c r="R403">
        <v>0</v>
      </c>
      <c r="S403">
        <v>68</v>
      </c>
      <c r="T403">
        <v>1.5</v>
      </c>
      <c r="U403">
        <v>150</v>
      </c>
      <c r="V403" t="s">
        <v>1894</v>
      </c>
      <c r="W403" t="s">
        <v>1895</v>
      </c>
      <c r="X403">
        <v>0</v>
      </c>
      <c r="Y403">
        <v>0</v>
      </c>
      <c r="AA403">
        <v>58</v>
      </c>
      <c r="AB403">
        <v>14</v>
      </c>
      <c r="AC403">
        <v>14</v>
      </c>
      <c r="AD403">
        <v>44</v>
      </c>
      <c r="AE403" t="s">
        <v>60</v>
      </c>
    </row>
    <row r="404" spans="1:31" x14ac:dyDescent="0.2">
      <c r="A404">
        <v>393</v>
      </c>
      <c r="B404" t="s">
        <v>816</v>
      </c>
      <c r="C404">
        <v>32</v>
      </c>
      <c r="D404" t="s">
        <v>418</v>
      </c>
      <c r="E404" t="s">
        <v>322</v>
      </c>
      <c r="F404">
        <v>45</v>
      </c>
      <c r="G404">
        <v>6</v>
      </c>
      <c r="H404">
        <v>6</v>
      </c>
      <c r="I404">
        <v>12</v>
      </c>
      <c r="J404">
        <v>2</v>
      </c>
      <c r="K404">
        <v>51</v>
      </c>
      <c r="L404">
        <v>6</v>
      </c>
      <c r="M404">
        <v>0</v>
      </c>
      <c r="N404">
        <v>0</v>
      </c>
      <c r="O404">
        <v>1</v>
      </c>
      <c r="P404">
        <v>6</v>
      </c>
      <c r="Q404">
        <v>0</v>
      </c>
      <c r="R404">
        <v>0</v>
      </c>
      <c r="S404">
        <v>35</v>
      </c>
      <c r="T404">
        <v>17.100000000000001</v>
      </c>
      <c r="U404">
        <v>69</v>
      </c>
      <c r="V404" t="s">
        <v>2804</v>
      </c>
      <c r="W404" t="s">
        <v>2646</v>
      </c>
      <c r="X404">
        <v>10</v>
      </c>
      <c r="Y404">
        <v>12</v>
      </c>
      <c r="Z404">
        <v>45.5</v>
      </c>
      <c r="AA404">
        <v>19</v>
      </c>
      <c r="AB404">
        <v>85</v>
      </c>
      <c r="AC404">
        <v>7</v>
      </c>
      <c r="AD404">
        <v>28</v>
      </c>
      <c r="AE404" t="s">
        <v>60</v>
      </c>
    </row>
    <row r="405" spans="1:31" x14ac:dyDescent="0.2">
      <c r="A405">
        <v>394</v>
      </c>
      <c r="B405" t="s">
        <v>747</v>
      </c>
      <c r="C405">
        <v>35</v>
      </c>
      <c r="D405" t="s">
        <v>400</v>
      </c>
      <c r="E405" t="s">
        <v>349</v>
      </c>
      <c r="F405">
        <v>47</v>
      </c>
      <c r="G405">
        <v>3</v>
      </c>
      <c r="H405">
        <v>9</v>
      </c>
      <c r="I405">
        <v>12</v>
      </c>
      <c r="J405">
        <v>-8</v>
      </c>
      <c r="K405">
        <v>37</v>
      </c>
      <c r="L405">
        <v>3</v>
      </c>
      <c r="M405">
        <v>0</v>
      </c>
      <c r="N405">
        <v>0</v>
      </c>
      <c r="O405">
        <v>2</v>
      </c>
      <c r="P405">
        <v>8</v>
      </c>
      <c r="Q405">
        <v>0</v>
      </c>
      <c r="R405">
        <v>1</v>
      </c>
      <c r="S405">
        <v>36</v>
      </c>
      <c r="T405">
        <v>8.3000000000000007</v>
      </c>
      <c r="U405">
        <v>79</v>
      </c>
      <c r="V405" t="s">
        <v>2805</v>
      </c>
      <c r="W405" t="s">
        <v>1661</v>
      </c>
      <c r="X405">
        <v>0</v>
      </c>
      <c r="Y405">
        <v>0</v>
      </c>
      <c r="AA405">
        <v>66</v>
      </c>
      <c r="AB405">
        <v>115</v>
      </c>
      <c r="AC405">
        <v>9</v>
      </c>
      <c r="AD405">
        <v>25</v>
      </c>
      <c r="AE405" t="s">
        <v>60</v>
      </c>
    </row>
    <row r="406" spans="1:31" x14ac:dyDescent="0.2">
      <c r="A406">
        <v>395</v>
      </c>
      <c r="B406" t="s">
        <v>1058</v>
      </c>
      <c r="C406">
        <v>32</v>
      </c>
      <c r="D406" t="s">
        <v>532</v>
      </c>
      <c r="E406" t="s">
        <v>322</v>
      </c>
      <c r="F406">
        <v>32</v>
      </c>
      <c r="G406">
        <v>4</v>
      </c>
      <c r="H406">
        <v>8</v>
      </c>
      <c r="I406">
        <v>12</v>
      </c>
      <c r="J406">
        <v>4</v>
      </c>
      <c r="K406">
        <v>7</v>
      </c>
      <c r="L406">
        <v>3</v>
      </c>
      <c r="M406">
        <v>1</v>
      </c>
      <c r="N406">
        <v>0</v>
      </c>
      <c r="O406">
        <v>0</v>
      </c>
      <c r="P406">
        <v>7</v>
      </c>
      <c r="Q406">
        <v>1</v>
      </c>
      <c r="R406">
        <v>0</v>
      </c>
      <c r="S406">
        <v>35</v>
      </c>
      <c r="T406">
        <v>11.4</v>
      </c>
      <c r="U406">
        <v>81</v>
      </c>
      <c r="V406" t="s">
        <v>2806</v>
      </c>
      <c r="W406" t="s">
        <v>472</v>
      </c>
      <c r="X406">
        <v>142</v>
      </c>
      <c r="Y406">
        <v>198</v>
      </c>
      <c r="Z406">
        <v>41.8</v>
      </c>
      <c r="AA406">
        <v>26</v>
      </c>
      <c r="AB406">
        <v>13</v>
      </c>
      <c r="AC406">
        <v>16</v>
      </c>
      <c r="AD406">
        <v>22</v>
      </c>
      <c r="AE406" t="s">
        <v>60</v>
      </c>
    </row>
    <row r="407" spans="1:31" x14ac:dyDescent="0.2">
      <c r="A407">
        <v>396</v>
      </c>
      <c r="B407" t="s">
        <v>980</v>
      </c>
      <c r="C407">
        <v>26</v>
      </c>
      <c r="D407" t="s">
        <v>400</v>
      </c>
      <c r="E407" t="s">
        <v>322</v>
      </c>
      <c r="F407">
        <v>36</v>
      </c>
      <c r="G407">
        <v>10</v>
      </c>
      <c r="H407">
        <v>2</v>
      </c>
      <c r="I407">
        <v>12</v>
      </c>
      <c r="J407">
        <v>0</v>
      </c>
      <c r="K407">
        <v>21</v>
      </c>
      <c r="L407">
        <v>9</v>
      </c>
      <c r="M407">
        <v>1</v>
      </c>
      <c r="N407">
        <v>0</v>
      </c>
      <c r="O407">
        <v>1</v>
      </c>
      <c r="P407">
        <v>2</v>
      </c>
      <c r="Q407">
        <v>0</v>
      </c>
      <c r="R407">
        <v>0</v>
      </c>
      <c r="S407">
        <v>58</v>
      </c>
      <c r="T407">
        <v>17.2</v>
      </c>
      <c r="U407">
        <v>97</v>
      </c>
      <c r="V407" t="s">
        <v>2807</v>
      </c>
      <c r="W407" t="s">
        <v>504</v>
      </c>
      <c r="X407">
        <v>227</v>
      </c>
      <c r="Y407">
        <v>207</v>
      </c>
      <c r="Z407">
        <v>52.3</v>
      </c>
      <c r="AA407">
        <v>16</v>
      </c>
      <c r="AB407">
        <v>28</v>
      </c>
      <c r="AC407">
        <v>1</v>
      </c>
      <c r="AD407">
        <v>19</v>
      </c>
      <c r="AE407" t="s">
        <v>60</v>
      </c>
    </row>
    <row r="408" spans="1:31" x14ac:dyDescent="0.2">
      <c r="A408">
        <v>397</v>
      </c>
      <c r="B408" t="s">
        <v>643</v>
      </c>
      <c r="C408">
        <v>35</v>
      </c>
      <c r="D408" t="s">
        <v>353</v>
      </c>
      <c r="E408" t="s">
        <v>349</v>
      </c>
      <c r="F408">
        <v>18</v>
      </c>
      <c r="G408">
        <v>0</v>
      </c>
      <c r="H408">
        <v>12</v>
      </c>
      <c r="I408">
        <v>12</v>
      </c>
      <c r="J408">
        <v>0</v>
      </c>
      <c r="K408">
        <v>6</v>
      </c>
      <c r="L408">
        <v>0</v>
      </c>
      <c r="M408">
        <v>0</v>
      </c>
      <c r="N408">
        <v>0</v>
      </c>
      <c r="O408">
        <v>0</v>
      </c>
      <c r="P408">
        <v>6</v>
      </c>
      <c r="Q408">
        <v>6</v>
      </c>
      <c r="R408">
        <v>0</v>
      </c>
      <c r="S408">
        <v>25</v>
      </c>
      <c r="T408">
        <v>0</v>
      </c>
      <c r="U408">
        <v>78</v>
      </c>
      <c r="V408" t="s">
        <v>1547</v>
      </c>
      <c r="W408" t="s">
        <v>1548</v>
      </c>
      <c r="X408">
        <v>0</v>
      </c>
      <c r="Y408">
        <v>0</v>
      </c>
      <c r="AA408">
        <v>29</v>
      </c>
      <c r="AB408">
        <v>8</v>
      </c>
      <c r="AC408">
        <v>5</v>
      </c>
      <c r="AD408">
        <v>28</v>
      </c>
      <c r="AE408" t="s">
        <v>60</v>
      </c>
    </row>
    <row r="409" spans="1:31" x14ac:dyDescent="0.2">
      <c r="A409">
        <v>398</v>
      </c>
      <c r="B409" t="s">
        <v>880</v>
      </c>
      <c r="C409">
        <v>35</v>
      </c>
      <c r="D409" t="s">
        <v>418</v>
      </c>
      <c r="E409" t="s">
        <v>349</v>
      </c>
      <c r="F409">
        <v>44</v>
      </c>
      <c r="G409">
        <v>3</v>
      </c>
      <c r="H409">
        <v>9</v>
      </c>
      <c r="I409">
        <v>12</v>
      </c>
      <c r="J409">
        <v>-12</v>
      </c>
      <c r="K409">
        <v>22</v>
      </c>
      <c r="L409">
        <v>3</v>
      </c>
      <c r="M409">
        <v>0</v>
      </c>
      <c r="N409">
        <v>0</v>
      </c>
      <c r="O409">
        <v>0</v>
      </c>
      <c r="P409">
        <v>9</v>
      </c>
      <c r="Q409">
        <v>0</v>
      </c>
      <c r="R409">
        <v>0</v>
      </c>
      <c r="S409">
        <v>30</v>
      </c>
      <c r="T409">
        <v>10</v>
      </c>
      <c r="U409">
        <v>91</v>
      </c>
      <c r="V409" t="s">
        <v>2808</v>
      </c>
      <c r="W409" t="s">
        <v>2289</v>
      </c>
      <c r="X409">
        <v>0</v>
      </c>
      <c r="Y409">
        <v>0</v>
      </c>
      <c r="AA409">
        <v>43</v>
      </c>
      <c r="AB409">
        <v>27</v>
      </c>
      <c r="AC409">
        <v>10</v>
      </c>
      <c r="AD409">
        <v>40</v>
      </c>
      <c r="AE409" t="s">
        <v>60</v>
      </c>
    </row>
    <row r="410" spans="1:31" x14ac:dyDescent="0.2">
      <c r="A410">
        <v>399</v>
      </c>
      <c r="B410" t="s">
        <v>881</v>
      </c>
      <c r="C410">
        <v>23</v>
      </c>
      <c r="D410" t="s">
        <v>382</v>
      </c>
      <c r="E410" t="s">
        <v>322</v>
      </c>
      <c r="F410">
        <v>45</v>
      </c>
      <c r="G410">
        <v>4</v>
      </c>
      <c r="H410">
        <v>8</v>
      </c>
      <c r="I410">
        <v>12</v>
      </c>
      <c r="J410">
        <v>-11</v>
      </c>
      <c r="K410">
        <v>8</v>
      </c>
      <c r="L410">
        <v>4</v>
      </c>
      <c r="M410">
        <v>0</v>
      </c>
      <c r="N410">
        <v>0</v>
      </c>
      <c r="O410">
        <v>0</v>
      </c>
      <c r="P410">
        <v>8</v>
      </c>
      <c r="Q410">
        <v>0</v>
      </c>
      <c r="R410">
        <v>0</v>
      </c>
      <c r="S410">
        <v>70</v>
      </c>
      <c r="T410">
        <v>5.7</v>
      </c>
      <c r="U410">
        <v>139</v>
      </c>
      <c r="V410" t="s">
        <v>2497</v>
      </c>
      <c r="W410" t="s">
        <v>1541</v>
      </c>
      <c r="X410">
        <v>0</v>
      </c>
      <c r="Y410">
        <v>1</v>
      </c>
      <c r="Z410">
        <v>0</v>
      </c>
      <c r="AA410">
        <v>25</v>
      </c>
      <c r="AB410">
        <v>7</v>
      </c>
      <c r="AC410">
        <v>8</v>
      </c>
      <c r="AD410">
        <v>28</v>
      </c>
      <c r="AE410" t="s">
        <v>60</v>
      </c>
    </row>
    <row r="411" spans="1:31" x14ac:dyDescent="0.2">
      <c r="A411">
        <v>400</v>
      </c>
      <c r="B411" t="s">
        <v>825</v>
      </c>
      <c r="C411">
        <v>31</v>
      </c>
      <c r="D411" t="s">
        <v>337</v>
      </c>
      <c r="E411" t="s">
        <v>340</v>
      </c>
      <c r="F411">
        <v>44</v>
      </c>
      <c r="G411">
        <v>2</v>
      </c>
      <c r="H411">
        <v>10</v>
      </c>
      <c r="I411">
        <v>12</v>
      </c>
      <c r="J411">
        <v>-3</v>
      </c>
      <c r="K411">
        <v>82</v>
      </c>
      <c r="L411">
        <v>2</v>
      </c>
      <c r="M411">
        <v>0</v>
      </c>
      <c r="N411">
        <v>0</v>
      </c>
      <c r="O411">
        <v>0</v>
      </c>
      <c r="P411">
        <v>10</v>
      </c>
      <c r="Q411">
        <v>0</v>
      </c>
      <c r="R411">
        <v>0</v>
      </c>
      <c r="S411">
        <v>26</v>
      </c>
      <c r="T411">
        <v>7.7</v>
      </c>
      <c r="U411">
        <v>57</v>
      </c>
      <c r="V411" t="s">
        <v>2498</v>
      </c>
      <c r="W411" t="s">
        <v>1714</v>
      </c>
      <c r="X411">
        <v>2</v>
      </c>
      <c r="Y411">
        <v>3</v>
      </c>
      <c r="Z411">
        <v>40</v>
      </c>
      <c r="AA411">
        <v>12</v>
      </c>
      <c r="AB411">
        <v>134</v>
      </c>
      <c r="AC411">
        <v>4</v>
      </c>
      <c r="AD411">
        <v>25</v>
      </c>
      <c r="AE411" t="s">
        <v>60</v>
      </c>
    </row>
    <row r="412" spans="1:31" x14ac:dyDescent="0.2">
      <c r="A412">
        <v>401</v>
      </c>
      <c r="B412" t="s">
        <v>832</v>
      </c>
      <c r="C412">
        <v>29</v>
      </c>
      <c r="D412" t="s">
        <v>360</v>
      </c>
      <c r="E412" t="s">
        <v>322</v>
      </c>
      <c r="F412">
        <v>39</v>
      </c>
      <c r="G412">
        <v>4</v>
      </c>
      <c r="H412">
        <v>8</v>
      </c>
      <c r="I412">
        <v>12</v>
      </c>
      <c r="J412">
        <v>2</v>
      </c>
      <c r="K412">
        <v>10</v>
      </c>
      <c r="L412">
        <v>3</v>
      </c>
      <c r="M412">
        <v>0</v>
      </c>
      <c r="N412">
        <v>1</v>
      </c>
      <c r="O412">
        <v>0</v>
      </c>
      <c r="P412">
        <v>8</v>
      </c>
      <c r="Q412">
        <v>0</v>
      </c>
      <c r="R412">
        <v>0</v>
      </c>
      <c r="S412">
        <v>38</v>
      </c>
      <c r="T412">
        <v>10.5</v>
      </c>
      <c r="U412">
        <v>61</v>
      </c>
      <c r="V412" t="s">
        <v>2499</v>
      </c>
      <c r="W412" t="s">
        <v>2500</v>
      </c>
      <c r="X412">
        <v>35</v>
      </c>
      <c r="Y412">
        <v>32</v>
      </c>
      <c r="Z412">
        <v>52.2</v>
      </c>
      <c r="AA412">
        <v>25</v>
      </c>
      <c r="AB412">
        <v>81</v>
      </c>
      <c r="AC412">
        <v>9</v>
      </c>
      <c r="AD412">
        <v>19</v>
      </c>
      <c r="AE412" t="s">
        <v>60</v>
      </c>
    </row>
    <row r="413" spans="1:31" x14ac:dyDescent="0.2">
      <c r="A413">
        <v>402</v>
      </c>
      <c r="B413" t="s">
        <v>655</v>
      </c>
      <c r="C413">
        <v>25</v>
      </c>
      <c r="D413" t="s">
        <v>364</v>
      </c>
      <c r="E413" t="s">
        <v>322</v>
      </c>
      <c r="F413">
        <v>17</v>
      </c>
      <c r="G413">
        <v>6</v>
      </c>
      <c r="H413">
        <v>6</v>
      </c>
      <c r="I413">
        <v>12</v>
      </c>
      <c r="J413">
        <v>7</v>
      </c>
      <c r="K413">
        <v>8</v>
      </c>
      <c r="L413">
        <v>5</v>
      </c>
      <c r="M413">
        <v>1</v>
      </c>
      <c r="N413">
        <v>0</v>
      </c>
      <c r="O413">
        <v>2</v>
      </c>
      <c r="P413">
        <v>6</v>
      </c>
      <c r="Q413">
        <v>0</v>
      </c>
      <c r="R413">
        <v>0</v>
      </c>
      <c r="S413">
        <v>24</v>
      </c>
      <c r="T413">
        <v>25</v>
      </c>
      <c r="U413">
        <v>41</v>
      </c>
      <c r="V413" t="s">
        <v>656</v>
      </c>
      <c r="W413" t="s">
        <v>657</v>
      </c>
      <c r="X413">
        <v>37</v>
      </c>
      <c r="Y413">
        <v>52</v>
      </c>
      <c r="Z413">
        <v>41.6</v>
      </c>
      <c r="AA413">
        <v>5</v>
      </c>
      <c r="AB413">
        <v>26</v>
      </c>
      <c r="AC413">
        <v>1</v>
      </c>
      <c r="AD413">
        <v>4</v>
      </c>
      <c r="AE413" t="s">
        <v>60</v>
      </c>
    </row>
    <row r="414" spans="1:31" x14ac:dyDescent="0.2">
      <c r="A414">
        <v>403</v>
      </c>
      <c r="B414" t="s">
        <v>766</v>
      </c>
      <c r="C414">
        <v>32</v>
      </c>
      <c r="D414" t="s">
        <v>514</v>
      </c>
      <c r="E414" t="s">
        <v>349</v>
      </c>
      <c r="F414">
        <v>47</v>
      </c>
      <c r="G414">
        <v>0</v>
      </c>
      <c r="H414">
        <v>12</v>
      </c>
      <c r="I414">
        <v>12</v>
      </c>
      <c r="J414">
        <v>-6</v>
      </c>
      <c r="K414">
        <v>16</v>
      </c>
      <c r="L414">
        <v>0</v>
      </c>
      <c r="M414">
        <v>0</v>
      </c>
      <c r="N414">
        <v>0</v>
      </c>
      <c r="O414">
        <v>0</v>
      </c>
      <c r="P414">
        <v>12</v>
      </c>
      <c r="Q414">
        <v>0</v>
      </c>
      <c r="R414">
        <v>0</v>
      </c>
      <c r="S414">
        <v>53</v>
      </c>
      <c r="T414">
        <v>0</v>
      </c>
      <c r="U414">
        <v>127</v>
      </c>
      <c r="V414" t="s">
        <v>2501</v>
      </c>
      <c r="W414" t="s">
        <v>2502</v>
      </c>
      <c r="X414">
        <v>0</v>
      </c>
      <c r="Y414">
        <v>0</v>
      </c>
      <c r="AA414">
        <v>116</v>
      </c>
      <c r="AB414">
        <v>51</v>
      </c>
      <c r="AC414">
        <v>20</v>
      </c>
      <c r="AD414">
        <v>57</v>
      </c>
      <c r="AE414" t="s">
        <v>60</v>
      </c>
    </row>
    <row r="415" spans="1:31" x14ac:dyDescent="0.2">
      <c r="A415">
        <v>404</v>
      </c>
      <c r="B415" t="s">
        <v>688</v>
      </c>
      <c r="C415">
        <v>23</v>
      </c>
      <c r="D415" t="s">
        <v>449</v>
      </c>
      <c r="E415" t="s">
        <v>322</v>
      </c>
      <c r="F415">
        <v>38</v>
      </c>
      <c r="G415">
        <v>3</v>
      </c>
      <c r="H415">
        <v>9</v>
      </c>
      <c r="I415">
        <v>12</v>
      </c>
      <c r="J415">
        <v>3</v>
      </c>
      <c r="K415">
        <v>18</v>
      </c>
      <c r="L415">
        <v>3</v>
      </c>
      <c r="M415">
        <v>0</v>
      </c>
      <c r="N415">
        <v>0</v>
      </c>
      <c r="O415">
        <v>1</v>
      </c>
      <c r="P415">
        <v>9</v>
      </c>
      <c r="Q415">
        <v>0</v>
      </c>
      <c r="R415">
        <v>0</v>
      </c>
      <c r="S415">
        <v>37</v>
      </c>
      <c r="T415">
        <v>8.1</v>
      </c>
      <c r="U415">
        <v>90</v>
      </c>
      <c r="V415" t="s">
        <v>2503</v>
      </c>
      <c r="W415" t="s">
        <v>1928</v>
      </c>
      <c r="X415">
        <v>255</v>
      </c>
      <c r="Y415">
        <v>170</v>
      </c>
      <c r="Z415">
        <v>60</v>
      </c>
      <c r="AA415">
        <v>8</v>
      </c>
      <c r="AB415">
        <v>90</v>
      </c>
      <c r="AC415">
        <v>6</v>
      </c>
      <c r="AD415">
        <v>23</v>
      </c>
      <c r="AE415" t="s">
        <v>60</v>
      </c>
    </row>
    <row r="416" spans="1:31" x14ac:dyDescent="0.2">
      <c r="A416">
        <v>405</v>
      </c>
      <c r="B416" t="s">
        <v>773</v>
      </c>
      <c r="C416">
        <v>31</v>
      </c>
      <c r="D416" t="s">
        <v>398</v>
      </c>
      <c r="E416" t="s">
        <v>349</v>
      </c>
      <c r="F416">
        <v>47</v>
      </c>
      <c r="G416">
        <v>4</v>
      </c>
      <c r="H416">
        <v>8</v>
      </c>
      <c r="I416">
        <v>12</v>
      </c>
      <c r="J416">
        <v>-5</v>
      </c>
      <c r="K416">
        <v>28</v>
      </c>
      <c r="L416">
        <v>4</v>
      </c>
      <c r="M416">
        <v>0</v>
      </c>
      <c r="N416">
        <v>0</v>
      </c>
      <c r="O416">
        <v>0</v>
      </c>
      <c r="P416">
        <v>6</v>
      </c>
      <c r="Q416">
        <v>1</v>
      </c>
      <c r="R416">
        <v>1</v>
      </c>
      <c r="S416">
        <v>107</v>
      </c>
      <c r="T416">
        <v>3.7</v>
      </c>
      <c r="U416">
        <v>286</v>
      </c>
      <c r="V416" t="s">
        <v>2504</v>
      </c>
      <c r="W416" t="s">
        <v>1889</v>
      </c>
      <c r="X416">
        <v>0</v>
      </c>
      <c r="Y416">
        <v>0</v>
      </c>
      <c r="AA416">
        <v>73</v>
      </c>
      <c r="AB416">
        <v>72</v>
      </c>
      <c r="AC416">
        <v>20</v>
      </c>
      <c r="AD416">
        <v>51</v>
      </c>
      <c r="AE416" t="s">
        <v>60</v>
      </c>
    </row>
    <row r="417" spans="1:31" x14ac:dyDescent="0.2">
      <c r="A417">
        <v>406</v>
      </c>
      <c r="B417" t="s">
        <v>809</v>
      </c>
      <c r="C417">
        <v>20</v>
      </c>
      <c r="D417" t="s">
        <v>449</v>
      </c>
      <c r="E417" t="s">
        <v>349</v>
      </c>
      <c r="F417">
        <v>35</v>
      </c>
      <c r="G417">
        <v>2</v>
      </c>
      <c r="H417">
        <v>10</v>
      </c>
      <c r="I417">
        <v>12</v>
      </c>
      <c r="J417">
        <v>-9</v>
      </c>
      <c r="K417">
        <v>8</v>
      </c>
      <c r="L417">
        <v>2</v>
      </c>
      <c r="M417">
        <v>0</v>
      </c>
      <c r="N417">
        <v>0</v>
      </c>
      <c r="O417">
        <v>0</v>
      </c>
      <c r="P417">
        <v>7</v>
      </c>
      <c r="Q417">
        <v>3</v>
      </c>
      <c r="R417">
        <v>0</v>
      </c>
      <c r="S417">
        <v>30</v>
      </c>
      <c r="T417">
        <v>6.7</v>
      </c>
      <c r="U417">
        <v>83</v>
      </c>
      <c r="V417" t="s">
        <v>2166</v>
      </c>
      <c r="W417" t="s">
        <v>745</v>
      </c>
      <c r="X417">
        <v>0</v>
      </c>
      <c r="Y417">
        <v>0</v>
      </c>
      <c r="AA417">
        <v>30</v>
      </c>
      <c r="AB417">
        <v>7</v>
      </c>
      <c r="AC417">
        <v>4</v>
      </c>
      <c r="AD417">
        <v>25</v>
      </c>
      <c r="AE417" t="s">
        <v>60</v>
      </c>
    </row>
    <row r="418" spans="1:31" x14ac:dyDescent="0.2">
      <c r="A418">
        <v>407</v>
      </c>
      <c r="B418" t="s">
        <v>668</v>
      </c>
      <c r="C418">
        <v>30</v>
      </c>
      <c r="D418" t="s">
        <v>382</v>
      </c>
      <c r="E418" t="s">
        <v>340</v>
      </c>
      <c r="F418">
        <v>32</v>
      </c>
      <c r="G418">
        <v>8</v>
      </c>
      <c r="H418">
        <v>4</v>
      </c>
      <c r="I418">
        <v>12</v>
      </c>
      <c r="J418">
        <v>-6</v>
      </c>
      <c r="K418">
        <v>16</v>
      </c>
      <c r="L418">
        <v>8</v>
      </c>
      <c r="M418">
        <v>0</v>
      </c>
      <c r="N418">
        <v>0</v>
      </c>
      <c r="O418">
        <v>1</v>
      </c>
      <c r="P418">
        <v>3</v>
      </c>
      <c r="Q418">
        <v>0</v>
      </c>
      <c r="R418">
        <v>1</v>
      </c>
      <c r="S418">
        <v>51</v>
      </c>
      <c r="T418">
        <v>15.7</v>
      </c>
      <c r="U418">
        <v>89</v>
      </c>
      <c r="V418" t="s">
        <v>1821</v>
      </c>
      <c r="W418" t="s">
        <v>1712</v>
      </c>
      <c r="X418">
        <v>1</v>
      </c>
      <c r="Y418">
        <v>7</v>
      </c>
      <c r="Z418">
        <v>12.5</v>
      </c>
      <c r="AA418">
        <v>8</v>
      </c>
      <c r="AB418">
        <v>39</v>
      </c>
      <c r="AC418">
        <v>4</v>
      </c>
      <c r="AD418">
        <v>23</v>
      </c>
      <c r="AE418" t="s">
        <v>60</v>
      </c>
    </row>
    <row r="419" spans="1:31" x14ac:dyDescent="0.2">
      <c r="A419">
        <v>408</v>
      </c>
      <c r="B419" t="s">
        <v>735</v>
      </c>
      <c r="C419">
        <v>30</v>
      </c>
      <c r="D419" t="s">
        <v>372</v>
      </c>
      <c r="E419" t="s">
        <v>322</v>
      </c>
      <c r="F419">
        <v>38</v>
      </c>
      <c r="G419">
        <v>5</v>
      </c>
      <c r="H419">
        <v>6</v>
      </c>
      <c r="I419">
        <v>11</v>
      </c>
      <c r="J419">
        <v>-1</v>
      </c>
      <c r="K419">
        <v>26</v>
      </c>
      <c r="L419">
        <v>5</v>
      </c>
      <c r="M419">
        <v>0</v>
      </c>
      <c r="N419">
        <v>0</v>
      </c>
      <c r="O419">
        <v>2</v>
      </c>
      <c r="P419">
        <v>6</v>
      </c>
      <c r="Q419">
        <v>0</v>
      </c>
      <c r="R419">
        <v>0</v>
      </c>
      <c r="S419">
        <v>39</v>
      </c>
      <c r="T419">
        <v>12.8</v>
      </c>
      <c r="U419">
        <v>66</v>
      </c>
      <c r="V419" t="s">
        <v>2505</v>
      </c>
      <c r="W419" t="s">
        <v>1606</v>
      </c>
      <c r="X419">
        <v>2</v>
      </c>
      <c r="Y419">
        <v>9</v>
      </c>
      <c r="Z419">
        <v>18.2</v>
      </c>
      <c r="AA419">
        <v>18</v>
      </c>
      <c r="AB419">
        <v>50</v>
      </c>
      <c r="AC419">
        <v>0</v>
      </c>
      <c r="AD419">
        <v>17</v>
      </c>
      <c r="AE419" t="s">
        <v>60</v>
      </c>
    </row>
    <row r="420" spans="1:31" x14ac:dyDescent="0.2">
      <c r="A420">
        <v>409</v>
      </c>
      <c r="B420" t="s">
        <v>813</v>
      </c>
      <c r="C420">
        <v>21</v>
      </c>
      <c r="D420" t="s">
        <v>321</v>
      </c>
      <c r="E420" t="s">
        <v>322</v>
      </c>
      <c r="F420">
        <v>32</v>
      </c>
      <c r="G420">
        <v>5</v>
      </c>
      <c r="H420">
        <v>6</v>
      </c>
      <c r="I420">
        <v>11</v>
      </c>
      <c r="J420">
        <v>8</v>
      </c>
      <c r="K420">
        <v>8</v>
      </c>
      <c r="L420">
        <v>5</v>
      </c>
      <c r="M420">
        <v>0</v>
      </c>
      <c r="N420">
        <v>0</v>
      </c>
      <c r="O420">
        <v>3</v>
      </c>
      <c r="P420">
        <v>6</v>
      </c>
      <c r="Q420">
        <v>0</v>
      </c>
      <c r="R420">
        <v>0</v>
      </c>
      <c r="S420">
        <v>37</v>
      </c>
      <c r="T420">
        <v>13.5</v>
      </c>
      <c r="U420">
        <v>68</v>
      </c>
      <c r="V420" t="s">
        <v>2167</v>
      </c>
      <c r="W420" t="s">
        <v>1006</v>
      </c>
      <c r="X420">
        <v>12</v>
      </c>
      <c r="Y420">
        <v>16</v>
      </c>
      <c r="Z420">
        <v>42.9</v>
      </c>
      <c r="AA420">
        <v>10</v>
      </c>
      <c r="AB420">
        <v>25</v>
      </c>
      <c r="AC420">
        <v>4</v>
      </c>
      <c r="AD420">
        <v>10</v>
      </c>
      <c r="AE420" t="s">
        <v>60</v>
      </c>
    </row>
    <row r="421" spans="1:31" x14ac:dyDescent="0.2">
      <c r="A421">
        <v>410</v>
      </c>
      <c r="B421" t="s">
        <v>744</v>
      </c>
      <c r="C421">
        <v>25</v>
      </c>
      <c r="D421" t="s">
        <v>324</v>
      </c>
      <c r="E421" t="s">
        <v>322</v>
      </c>
      <c r="F421">
        <v>42</v>
      </c>
      <c r="G421">
        <v>2</v>
      </c>
      <c r="H421">
        <v>9</v>
      </c>
      <c r="I421">
        <v>11</v>
      </c>
      <c r="J421">
        <v>-15</v>
      </c>
      <c r="K421">
        <v>18</v>
      </c>
      <c r="L421">
        <v>1</v>
      </c>
      <c r="M421">
        <v>0</v>
      </c>
      <c r="N421">
        <v>1</v>
      </c>
      <c r="O421">
        <v>0</v>
      </c>
      <c r="P421">
        <v>8</v>
      </c>
      <c r="Q421">
        <v>0</v>
      </c>
      <c r="R421">
        <v>1</v>
      </c>
      <c r="S421">
        <v>44</v>
      </c>
      <c r="T421">
        <v>4.5</v>
      </c>
      <c r="U421">
        <v>86</v>
      </c>
      <c r="V421" t="s">
        <v>1951</v>
      </c>
      <c r="W421" t="s">
        <v>1603</v>
      </c>
      <c r="X421">
        <v>267</v>
      </c>
      <c r="Y421">
        <v>244</v>
      </c>
      <c r="Z421">
        <v>52.3</v>
      </c>
      <c r="AA421">
        <v>36</v>
      </c>
      <c r="AB421">
        <v>117</v>
      </c>
      <c r="AC421">
        <v>7</v>
      </c>
      <c r="AD421">
        <v>24</v>
      </c>
      <c r="AE421" t="s">
        <v>60</v>
      </c>
    </row>
    <row r="422" spans="1:31" x14ac:dyDescent="0.2">
      <c r="A422">
        <v>411</v>
      </c>
      <c r="B422" t="s">
        <v>913</v>
      </c>
      <c r="C422">
        <v>35</v>
      </c>
      <c r="D422" t="s">
        <v>367</v>
      </c>
      <c r="E422" t="s">
        <v>322</v>
      </c>
      <c r="F422">
        <v>39</v>
      </c>
      <c r="G422">
        <v>2</v>
      </c>
      <c r="H422">
        <v>9</v>
      </c>
      <c r="I422">
        <v>11</v>
      </c>
      <c r="J422">
        <v>1</v>
      </c>
      <c r="K422">
        <v>45</v>
      </c>
      <c r="L422">
        <v>2</v>
      </c>
      <c r="M422">
        <v>0</v>
      </c>
      <c r="N422">
        <v>0</v>
      </c>
      <c r="O422">
        <v>0</v>
      </c>
      <c r="P422">
        <v>9</v>
      </c>
      <c r="Q422">
        <v>0</v>
      </c>
      <c r="R422">
        <v>0</v>
      </c>
      <c r="S422">
        <v>37</v>
      </c>
      <c r="T422">
        <v>5.4</v>
      </c>
      <c r="U422">
        <v>71</v>
      </c>
      <c r="V422" t="s">
        <v>2506</v>
      </c>
      <c r="W422" t="s">
        <v>1542</v>
      </c>
      <c r="X422">
        <v>258</v>
      </c>
      <c r="Y422">
        <v>278</v>
      </c>
      <c r="Z422">
        <v>48.1</v>
      </c>
      <c r="AA422">
        <v>29</v>
      </c>
      <c r="AB422">
        <v>66</v>
      </c>
      <c r="AC422">
        <v>11</v>
      </c>
      <c r="AD422">
        <v>24</v>
      </c>
      <c r="AE422" t="s">
        <v>60</v>
      </c>
    </row>
    <row r="423" spans="1:31" x14ac:dyDescent="0.2">
      <c r="A423">
        <v>412</v>
      </c>
      <c r="B423" t="s">
        <v>1114</v>
      </c>
      <c r="C423">
        <v>35</v>
      </c>
      <c r="D423" t="s">
        <v>334</v>
      </c>
      <c r="E423" t="s">
        <v>322</v>
      </c>
      <c r="F423">
        <v>22</v>
      </c>
      <c r="G423">
        <v>4</v>
      </c>
      <c r="H423">
        <v>7</v>
      </c>
      <c r="I423">
        <v>11</v>
      </c>
      <c r="J423">
        <v>-4</v>
      </c>
      <c r="K423">
        <v>2</v>
      </c>
      <c r="L423">
        <v>3</v>
      </c>
      <c r="M423">
        <v>1</v>
      </c>
      <c r="N423">
        <v>0</v>
      </c>
      <c r="O423">
        <v>1</v>
      </c>
      <c r="P423">
        <v>7</v>
      </c>
      <c r="Q423">
        <v>0</v>
      </c>
      <c r="R423">
        <v>0</v>
      </c>
      <c r="S423">
        <v>31</v>
      </c>
      <c r="T423">
        <v>12.9</v>
      </c>
      <c r="U423">
        <v>61</v>
      </c>
      <c r="V423" t="s">
        <v>2507</v>
      </c>
      <c r="W423" t="s">
        <v>674</v>
      </c>
      <c r="X423">
        <v>72</v>
      </c>
      <c r="Y423">
        <v>68</v>
      </c>
      <c r="Z423">
        <v>51.4</v>
      </c>
      <c r="AA423">
        <v>10</v>
      </c>
      <c r="AB423">
        <v>6</v>
      </c>
      <c r="AC423">
        <v>4</v>
      </c>
      <c r="AD423">
        <v>18</v>
      </c>
      <c r="AE423" t="s">
        <v>60</v>
      </c>
    </row>
    <row r="424" spans="1:31" x14ac:dyDescent="0.2">
      <c r="A424">
        <v>413</v>
      </c>
      <c r="B424" t="s">
        <v>822</v>
      </c>
      <c r="C424">
        <v>27</v>
      </c>
      <c r="D424" t="s">
        <v>324</v>
      </c>
      <c r="E424" t="s">
        <v>349</v>
      </c>
      <c r="F424">
        <v>45</v>
      </c>
      <c r="G424">
        <v>3</v>
      </c>
      <c r="H424">
        <v>8</v>
      </c>
      <c r="I424">
        <v>11</v>
      </c>
      <c r="J424">
        <v>-7</v>
      </c>
      <c r="K424">
        <v>12</v>
      </c>
      <c r="L424">
        <v>3</v>
      </c>
      <c r="M424">
        <v>0</v>
      </c>
      <c r="N424">
        <v>0</v>
      </c>
      <c r="O424">
        <v>0</v>
      </c>
      <c r="P424">
        <v>8</v>
      </c>
      <c r="Q424">
        <v>0</v>
      </c>
      <c r="R424">
        <v>0</v>
      </c>
      <c r="S424">
        <v>51</v>
      </c>
      <c r="T424">
        <v>5.9</v>
      </c>
      <c r="U424">
        <v>118</v>
      </c>
      <c r="V424" t="s">
        <v>2086</v>
      </c>
      <c r="W424" t="s">
        <v>1727</v>
      </c>
      <c r="X424">
        <v>0</v>
      </c>
      <c r="Y424">
        <v>0</v>
      </c>
      <c r="AA424">
        <v>86</v>
      </c>
      <c r="AB424">
        <v>80</v>
      </c>
      <c r="AC424">
        <v>17</v>
      </c>
      <c r="AD424">
        <v>53</v>
      </c>
      <c r="AE424" t="s">
        <v>60</v>
      </c>
    </row>
    <row r="425" spans="1:31" x14ac:dyDescent="0.2">
      <c r="A425">
        <v>414</v>
      </c>
      <c r="B425" t="s">
        <v>1120</v>
      </c>
      <c r="C425">
        <v>27</v>
      </c>
      <c r="D425" t="s">
        <v>321</v>
      </c>
      <c r="E425" t="s">
        <v>349</v>
      </c>
      <c r="F425">
        <v>30</v>
      </c>
      <c r="G425">
        <v>3</v>
      </c>
      <c r="H425">
        <v>8</v>
      </c>
      <c r="I425">
        <v>11</v>
      </c>
      <c r="J425">
        <v>13</v>
      </c>
      <c r="K425">
        <v>13</v>
      </c>
      <c r="L425">
        <v>3</v>
      </c>
      <c r="M425">
        <v>0</v>
      </c>
      <c r="N425">
        <v>0</v>
      </c>
      <c r="O425">
        <v>1</v>
      </c>
      <c r="P425">
        <v>8</v>
      </c>
      <c r="Q425">
        <v>0</v>
      </c>
      <c r="R425">
        <v>0</v>
      </c>
      <c r="S425">
        <v>26</v>
      </c>
      <c r="T425">
        <v>11.5</v>
      </c>
      <c r="U425">
        <v>89</v>
      </c>
      <c r="V425" t="s">
        <v>1876</v>
      </c>
      <c r="W425" t="s">
        <v>1557</v>
      </c>
      <c r="X425">
        <v>0</v>
      </c>
      <c r="Y425">
        <v>0</v>
      </c>
      <c r="AA425">
        <v>30</v>
      </c>
      <c r="AB425">
        <v>10</v>
      </c>
      <c r="AC425">
        <v>5</v>
      </c>
      <c r="AD425">
        <v>26</v>
      </c>
      <c r="AE425" t="s">
        <v>60</v>
      </c>
    </row>
    <row r="426" spans="1:31" x14ac:dyDescent="0.2">
      <c r="A426">
        <v>415</v>
      </c>
      <c r="B426" t="s">
        <v>874</v>
      </c>
      <c r="C426">
        <v>32</v>
      </c>
      <c r="D426" t="s">
        <v>353</v>
      </c>
      <c r="E426" t="s">
        <v>322</v>
      </c>
      <c r="F426">
        <v>38</v>
      </c>
      <c r="G426">
        <v>6</v>
      </c>
      <c r="H426">
        <v>5</v>
      </c>
      <c r="I426">
        <v>11</v>
      </c>
      <c r="J426">
        <v>1</v>
      </c>
      <c r="K426">
        <v>12</v>
      </c>
      <c r="L426">
        <v>6</v>
      </c>
      <c r="M426">
        <v>0</v>
      </c>
      <c r="N426">
        <v>0</v>
      </c>
      <c r="O426">
        <v>0</v>
      </c>
      <c r="P426">
        <v>5</v>
      </c>
      <c r="Q426">
        <v>0</v>
      </c>
      <c r="R426">
        <v>0</v>
      </c>
      <c r="S426">
        <v>50</v>
      </c>
      <c r="T426">
        <v>12</v>
      </c>
      <c r="U426">
        <v>88</v>
      </c>
      <c r="V426" t="s">
        <v>2508</v>
      </c>
      <c r="W426" t="s">
        <v>2509</v>
      </c>
      <c r="X426">
        <v>37</v>
      </c>
      <c r="Y426">
        <v>63</v>
      </c>
      <c r="Z426">
        <v>37</v>
      </c>
      <c r="AA426">
        <v>21</v>
      </c>
      <c r="AB426">
        <v>101</v>
      </c>
      <c r="AC426">
        <v>2</v>
      </c>
      <c r="AD426">
        <v>20</v>
      </c>
      <c r="AE426" t="s">
        <v>60</v>
      </c>
    </row>
    <row r="427" spans="1:31" x14ac:dyDescent="0.2">
      <c r="A427">
        <v>416</v>
      </c>
      <c r="B427" t="s">
        <v>984</v>
      </c>
      <c r="C427">
        <v>32</v>
      </c>
      <c r="D427" t="s">
        <v>330</v>
      </c>
      <c r="E427" t="s">
        <v>349</v>
      </c>
      <c r="F427">
        <v>46</v>
      </c>
      <c r="G427">
        <v>0</v>
      </c>
      <c r="H427">
        <v>11</v>
      </c>
      <c r="I427">
        <v>11</v>
      </c>
      <c r="J427">
        <v>1</v>
      </c>
      <c r="K427">
        <v>18</v>
      </c>
      <c r="L427">
        <v>0</v>
      </c>
      <c r="M427">
        <v>0</v>
      </c>
      <c r="N427">
        <v>0</v>
      </c>
      <c r="O427">
        <v>0</v>
      </c>
      <c r="P427">
        <v>7</v>
      </c>
      <c r="Q427">
        <v>3</v>
      </c>
      <c r="R427">
        <v>1</v>
      </c>
      <c r="S427">
        <v>49</v>
      </c>
      <c r="T427">
        <v>0</v>
      </c>
      <c r="U427">
        <v>116</v>
      </c>
      <c r="V427" t="s">
        <v>2168</v>
      </c>
      <c r="W427" t="s">
        <v>1994</v>
      </c>
      <c r="X427">
        <v>0</v>
      </c>
      <c r="Y427">
        <v>0</v>
      </c>
      <c r="AA427">
        <v>35</v>
      </c>
      <c r="AB427">
        <v>21</v>
      </c>
      <c r="AC427">
        <v>16</v>
      </c>
      <c r="AD427">
        <v>29</v>
      </c>
      <c r="AE427" t="s">
        <v>60</v>
      </c>
    </row>
    <row r="428" spans="1:31" x14ac:dyDescent="0.2">
      <c r="A428">
        <v>417</v>
      </c>
      <c r="B428" t="s">
        <v>824</v>
      </c>
      <c r="C428">
        <v>27</v>
      </c>
      <c r="D428" t="s">
        <v>461</v>
      </c>
      <c r="E428" t="s">
        <v>349</v>
      </c>
      <c r="F428">
        <v>37</v>
      </c>
      <c r="G428">
        <v>2</v>
      </c>
      <c r="H428">
        <v>9</v>
      </c>
      <c r="I428">
        <v>11</v>
      </c>
      <c r="J428">
        <v>-6</v>
      </c>
      <c r="K428">
        <v>34</v>
      </c>
      <c r="L428">
        <v>2</v>
      </c>
      <c r="M428">
        <v>0</v>
      </c>
      <c r="N428">
        <v>0</v>
      </c>
      <c r="O428">
        <v>1</v>
      </c>
      <c r="P428">
        <v>8</v>
      </c>
      <c r="Q428">
        <v>0</v>
      </c>
      <c r="R428">
        <v>1</v>
      </c>
      <c r="S428">
        <v>26</v>
      </c>
      <c r="T428">
        <v>7.7</v>
      </c>
      <c r="U428">
        <v>83</v>
      </c>
      <c r="V428" t="s">
        <v>2087</v>
      </c>
      <c r="W428" t="s">
        <v>1270</v>
      </c>
      <c r="X428">
        <v>0</v>
      </c>
      <c r="Y428">
        <v>0</v>
      </c>
      <c r="AA428">
        <v>34</v>
      </c>
      <c r="AB428">
        <v>51</v>
      </c>
      <c r="AC428">
        <v>10</v>
      </c>
      <c r="AD428">
        <v>29</v>
      </c>
      <c r="AE428" t="s">
        <v>60</v>
      </c>
    </row>
    <row r="429" spans="1:31" x14ac:dyDescent="0.2">
      <c r="A429">
        <v>418</v>
      </c>
      <c r="B429" t="s">
        <v>1071</v>
      </c>
      <c r="C429">
        <v>25</v>
      </c>
      <c r="D429" t="s">
        <v>344</v>
      </c>
      <c r="E429" t="s">
        <v>349</v>
      </c>
      <c r="F429">
        <v>45</v>
      </c>
      <c r="G429">
        <v>3</v>
      </c>
      <c r="H429">
        <v>8</v>
      </c>
      <c r="I429">
        <v>11</v>
      </c>
      <c r="J429">
        <v>8</v>
      </c>
      <c r="K429">
        <v>16</v>
      </c>
      <c r="L429">
        <v>3</v>
      </c>
      <c r="M429">
        <v>0</v>
      </c>
      <c r="N429">
        <v>0</v>
      </c>
      <c r="O429">
        <v>0</v>
      </c>
      <c r="P429">
        <v>8</v>
      </c>
      <c r="Q429">
        <v>0</v>
      </c>
      <c r="R429">
        <v>0</v>
      </c>
      <c r="S429">
        <v>42</v>
      </c>
      <c r="T429">
        <v>7.1</v>
      </c>
      <c r="U429">
        <v>102</v>
      </c>
      <c r="V429" t="s">
        <v>2809</v>
      </c>
      <c r="W429" t="s">
        <v>2810</v>
      </c>
      <c r="X429">
        <v>0</v>
      </c>
      <c r="Y429">
        <v>0</v>
      </c>
      <c r="AA429">
        <v>67</v>
      </c>
      <c r="AB429">
        <v>71</v>
      </c>
      <c r="AC429">
        <v>7</v>
      </c>
      <c r="AD429">
        <v>56</v>
      </c>
      <c r="AE429" t="s">
        <v>60</v>
      </c>
    </row>
    <row r="430" spans="1:31" x14ac:dyDescent="0.2">
      <c r="A430">
        <v>419</v>
      </c>
      <c r="B430" t="s">
        <v>831</v>
      </c>
      <c r="C430">
        <v>33</v>
      </c>
      <c r="D430" t="s">
        <v>532</v>
      </c>
      <c r="E430" t="s">
        <v>349</v>
      </c>
      <c r="F430">
        <v>45</v>
      </c>
      <c r="G430">
        <v>4</v>
      </c>
      <c r="H430">
        <v>7</v>
      </c>
      <c r="I430">
        <v>11</v>
      </c>
      <c r="J430">
        <v>1</v>
      </c>
      <c r="K430">
        <v>26</v>
      </c>
      <c r="L430">
        <v>4</v>
      </c>
      <c r="M430">
        <v>0</v>
      </c>
      <c r="N430">
        <v>0</v>
      </c>
      <c r="O430">
        <v>1</v>
      </c>
      <c r="P430">
        <v>7</v>
      </c>
      <c r="Q430">
        <v>0</v>
      </c>
      <c r="R430">
        <v>0</v>
      </c>
      <c r="S430">
        <v>50</v>
      </c>
      <c r="T430">
        <v>8</v>
      </c>
      <c r="U430">
        <v>102</v>
      </c>
      <c r="V430" t="s">
        <v>2811</v>
      </c>
      <c r="W430" t="s">
        <v>1602</v>
      </c>
      <c r="X430">
        <v>0</v>
      </c>
      <c r="Y430">
        <v>0</v>
      </c>
      <c r="AA430">
        <v>100</v>
      </c>
      <c r="AB430">
        <v>64</v>
      </c>
      <c r="AC430">
        <v>9</v>
      </c>
      <c r="AD430">
        <v>26</v>
      </c>
      <c r="AE430" t="s">
        <v>60</v>
      </c>
    </row>
    <row r="431" spans="1:31" x14ac:dyDescent="0.2">
      <c r="A431">
        <v>420</v>
      </c>
      <c r="B431" t="s">
        <v>1076</v>
      </c>
      <c r="C431">
        <v>32</v>
      </c>
      <c r="D431" t="s">
        <v>346</v>
      </c>
      <c r="E431" t="s">
        <v>340</v>
      </c>
      <c r="F431">
        <v>33</v>
      </c>
      <c r="G431">
        <v>4</v>
      </c>
      <c r="H431">
        <v>7</v>
      </c>
      <c r="I431">
        <v>11</v>
      </c>
      <c r="J431">
        <v>3</v>
      </c>
      <c r="K431">
        <v>15</v>
      </c>
      <c r="L431">
        <v>3</v>
      </c>
      <c r="M431">
        <v>0</v>
      </c>
      <c r="N431">
        <v>1</v>
      </c>
      <c r="O431">
        <v>1</v>
      </c>
      <c r="P431">
        <v>7</v>
      </c>
      <c r="Q431">
        <v>0</v>
      </c>
      <c r="R431">
        <v>0</v>
      </c>
      <c r="S431">
        <v>34</v>
      </c>
      <c r="T431">
        <v>11.8</v>
      </c>
      <c r="U431">
        <v>80</v>
      </c>
      <c r="V431" t="s">
        <v>2510</v>
      </c>
      <c r="W431" t="s">
        <v>1897</v>
      </c>
      <c r="X431">
        <v>217</v>
      </c>
      <c r="Y431">
        <v>193</v>
      </c>
      <c r="Z431">
        <v>52.9</v>
      </c>
      <c r="AA431">
        <v>25</v>
      </c>
      <c r="AB431">
        <v>68</v>
      </c>
      <c r="AC431">
        <v>5</v>
      </c>
      <c r="AD431">
        <v>20</v>
      </c>
      <c r="AE431" t="s">
        <v>60</v>
      </c>
    </row>
    <row r="432" spans="1:31" x14ac:dyDescent="0.2">
      <c r="A432">
        <v>421</v>
      </c>
      <c r="B432" t="s">
        <v>719</v>
      </c>
      <c r="C432">
        <v>29</v>
      </c>
      <c r="D432" t="s">
        <v>328</v>
      </c>
      <c r="E432" t="s">
        <v>340</v>
      </c>
      <c r="F432">
        <v>42</v>
      </c>
      <c r="G432">
        <v>5</v>
      </c>
      <c r="H432">
        <v>6</v>
      </c>
      <c r="I432">
        <v>11</v>
      </c>
      <c r="J432">
        <v>-18</v>
      </c>
      <c r="K432">
        <v>34</v>
      </c>
      <c r="L432">
        <v>5</v>
      </c>
      <c r="M432">
        <v>0</v>
      </c>
      <c r="N432">
        <v>0</v>
      </c>
      <c r="O432">
        <v>1</v>
      </c>
      <c r="P432">
        <v>6</v>
      </c>
      <c r="Q432">
        <v>0</v>
      </c>
      <c r="R432">
        <v>0</v>
      </c>
      <c r="S432">
        <v>41</v>
      </c>
      <c r="T432">
        <v>12.2</v>
      </c>
      <c r="U432">
        <v>90</v>
      </c>
      <c r="V432" t="s">
        <v>2511</v>
      </c>
      <c r="W432" t="s">
        <v>1899</v>
      </c>
      <c r="X432">
        <v>2</v>
      </c>
      <c r="Y432">
        <v>4</v>
      </c>
      <c r="Z432">
        <v>33.299999999999997</v>
      </c>
      <c r="AA432">
        <v>16</v>
      </c>
      <c r="AB432">
        <v>38</v>
      </c>
      <c r="AC432">
        <v>6</v>
      </c>
      <c r="AD432">
        <v>28</v>
      </c>
      <c r="AE432" t="s">
        <v>60</v>
      </c>
    </row>
    <row r="433" spans="1:31" x14ac:dyDescent="0.2">
      <c r="A433">
        <v>422</v>
      </c>
      <c r="B433" t="s">
        <v>834</v>
      </c>
      <c r="C433">
        <v>22</v>
      </c>
      <c r="D433" t="s">
        <v>337</v>
      </c>
      <c r="E433" t="s">
        <v>349</v>
      </c>
      <c r="F433">
        <v>41</v>
      </c>
      <c r="G433">
        <v>5</v>
      </c>
      <c r="H433">
        <v>6</v>
      </c>
      <c r="I433">
        <v>11</v>
      </c>
      <c r="J433">
        <v>-4</v>
      </c>
      <c r="K433">
        <v>4</v>
      </c>
      <c r="L433">
        <v>5</v>
      </c>
      <c r="M433">
        <v>0</v>
      </c>
      <c r="N433">
        <v>0</v>
      </c>
      <c r="O433">
        <v>2</v>
      </c>
      <c r="P433">
        <v>5</v>
      </c>
      <c r="Q433">
        <v>1</v>
      </c>
      <c r="R433">
        <v>0</v>
      </c>
      <c r="S433">
        <v>44</v>
      </c>
      <c r="T433">
        <v>11.4</v>
      </c>
      <c r="U433">
        <v>118</v>
      </c>
      <c r="V433" t="s">
        <v>1972</v>
      </c>
      <c r="W433" t="s">
        <v>489</v>
      </c>
      <c r="X433">
        <v>0</v>
      </c>
      <c r="Y433">
        <v>0</v>
      </c>
      <c r="AA433">
        <v>63</v>
      </c>
      <c r="AB433">
        <v>22</v>
      </c>
      <c r="AC433">
        <v>10</v>
      </c>
      <c r="AD433">
        <v>35</v>
      </c>
      <c r="AE433" t="s">
        <v>60</v>
      </c>
    </row>
    <row r="434" spans="1:31" x14ac:dyDescent="0.2">
      <c r="A434">
        <v>423</v>
      </c>
      <c r="B434" t="s">
        <v>765</v>
      </c>
      <c r="C434">
        <v>28</v>
      </c>
      <c r="D434" t="s">
        <v>382</v>
      </c>
      <c r="E434" t="s">
        <v>325</v>
      </c>
      <c r="F434">
        <v>33</v>
      </c>
      <c r="G434">
        <v>4</v>
      </c>
      <c r="H434">
        <v>7</v>
      </c>
      <c r="I434">
        <v>11</v>
      </c>
      <c r="J434">
        <v>3</v>
      </c>
      <c r="K434">
        <v>60</v>
      </c>
      <c r="L434">
        <v>4</v>
      </c>
      <c r="M434">
        <v>0</v>
      </c>
      <c r="N434">
        <v>0</v>
      </c>
      <c r="O434">
        <v>1</v>
      </c>
      <c r="P434">
        <v>7</v>
      </c>
      <c r="Q434">
        <v>0</v>
      </c>
      <c r="R434">
        <v>0</v>
      </c>
      <c r="S434">
        <v>39</v>
      </c>
      <c r="T434">
        <v>10.3</v>
      </c>
      <c r="U434">
        <v>91</v>
      </c>
      <c r="V434" t="s">
        <v>2512</v>
      </c>
      <c r="W434" t="s">
        <v>936</v>
      </c>
      <c r="X434">
        <v>1</v>
      </c>
      <c r="Y434">
        <v>2</v>
      </c>
      <c r="Z434">
        <v>33.299999999999997</v>
      </c>
      <c r="AA434">
        <v>23</v>
      </c>
      <c r="AB434">
        <v>120</v>
      </c>
      <c r="AC434">
        <v>7</v>
      </c>
      <c r="AD434">
        <v>15</v>
      </c>
      <c r="AE434" t="s">
        <v>60</v>
      </c>
    </row>
    <row r="435" spans="1:31" x14ac:dyDescent="0.2">
      <c r="A435">
        <v>424</v>
      </c>
      <c r="B435" t="s">
        <v>895</v>
      </c>
      <c r="C435">
        <v>30</v>
      </c>
      <c r="D435" t="s">
        <v>353</v>
      </c>
      <c r="E435" t="s">
        <v>340</v>
      </c>
      <c r="F435">
        <v>26</v>
      </c>
      <c r="G435">
        <v>5</v>
      </c>
      <c r="H435">
        <v>6</v>
      </c>
      <c r="I435">
        <v>11</v>
      </c>
      <c r="J435">
        <v>-4</v>
      </c>
      <c r="K435">
        <v>13</v>
      </c>
      <c r="L435">
        <v>5</v>
      </c>
      <c r="M435">
        <v>0</v>
      </c>
      <c r="N435">
        <v>0</v>
      </c>
      <c r="O435">
        <v>1</v>
      </c>
      <c r="P435">
        <v>5</v>
      </c>
      <c r="Q435">
        <v>1</v>
      </c>
      <c r="R435">
        <v>0</v>
      </c>
      <c r="S435">
        <v>38</v>
      </c>
      <c r="T435">
        <v>13.2</v>
      </c>
      <c r="U435">
        <v>75</v>
      </c>
      <c r="V435" t="s">
        <v>2513</v>
      </c>
      <c r="W435" t="s">
        <v>2514</v>
      </c>
      <c r="X435">
        <v>148</v>
      </c>
      <c r="Y435">
        <v>131</v>
      </c>
      <c r="Z435">
        <v>53</v>
      </c>
      <c r="AA435">
        <v>12</v>
      </c>
      <c r="AB435">
        <v>37</v>
      </c>
      <c r="AC435">
        <v>5</v>
      </c>
      <c r="AD435">
        <v>16</v>
      </c>
      <c r="AE435" t="s">
        <v>60</v>
      </c>
    </row>
    <row r="436" spans="1:31" x14ac:dyDescent="0.2">
      <c r="A436">
        <v>425</v>
      </c>
      <c r="B436" t="s">
        <v>838</v>
      </c>
      <c r="C436">
        <v>27</v>
      </c>
      <c r="D436" t="s">
        <v>362</v>
      </c>
      <c r="E436" t="s">
        <v>335</v>
      </c>
      <c r="F436">
        <v>45</v>
      </c>
      <c r="G436">
        <v>7</v>
      </c>
      <c r="H436">
        <v>4</v>
      </c>
      <c r="I436">
        <v>11</v>
      </c>
      <c r="J436">
        <v>3</v>
      </c>
      <c r="K436">
        <v>6</v>
      </c>
      <c r="L436">
        <v>6</v>
      </c>
      <c r="M436">
        <v>0</v>
      </c>
      <c r="N436">
        <v>1</v>
      </c>
      <c r="O436">
        <v>0</v>
      </c>
      <c r="P436">
        <v>4</v>
      </c>
      <c r="Q436">
        <v>0</v>
      </c>
      <c r="R436">
        <v>0</v>
      </c>
      <c r="S436">
        <v>38</v>
      </c>
      <c r="T436">
        <v>18.399999999999999</v>
      </c>
      <c r="U436">
        <v>70</v>
      </c>
      <c r="V436" t="s">
        <v>2812</v>
      </c>
      <c r="W436" t="s">
        <v>1554</v>
      </c>
      <c r="X436">
        <v>1</v>
      </c>
      <c r="Y436">
        <v>11</v>
      </c>
      <c r="Z436">
        <v>8.3000000000000007</v>
      </c>
      <c r="AA436">
        <v>22</v>
      </c>
      <c r="AB436">
        <v>40</v>
      </c>
      <c r="AC436">
        <v>10</v>
      </c>
      <c r="AD436">
        <v>16</v>
      </c>
      <c r="AE436" t="s">
        <v>60</v>
      </c>
    </row>
    <row r="437" spans="1:31" x14ac:dyDescent="0.2">
      <c r="A437">
        <v>426</v>
      </c>
      <c r="B437" t="s">
        <v>949</v>
      </c>
      <c r="C437">
        <v>21</v>
      </c>
      <c r="D437" t="s">
        <v>385</v>
      </c>
      <c r="E437" t="s">
        <v>322</v>
      </c>
      <c r="F437">
        <v>35</v>
      </c>
      <c r="G437">
        <v>7</v>
      </c>
      <c r="H437">
        <v>4</v>
      </c>
      <c r="I437">
        <v>11</v>
      </c>
      <c r="J437">
        <v>-1</v>
      </c>
      <c r="K437">
        <v>14</v>
      </c>
      <c r="L437">
        <v>6</v>
      </c>
      <c r="M437">
        <v>1</v>
      </c>
      <c r="N437">
        <v>0</v>
      </c>
      <c r="O437">
        <v>2</v>
      </c>
      <c r="P437">
        <v>4</v>
      </c>
      <c r="Q437">
        <v>0</v>
      </c>
      <c r="R437">
        <v>0</v>
      </c>
      <c r="S437">
        <v>42</v>
      </c>
      <c r="T437">
        <v>16.7</v>
      </c>
      <c r="U437">
        <v>72</v>
      </c>
      <c r="V437" t="s">
        <v>2515</v>
      </c>
      <c r="W437" t="s">
        <v>2186</v>
      </c>
      <c r="X437">
        <v>93</v>
      </c>
      <c r="Y437">
        <v>153</v>
      </c>
      <c r="Z437">
        <v>37.799999999999997</v>
      </c>
      <c r="AA437">
        <v>18</v>
      </c>
      <c r="AB437">
        <v>7</v>
      </c>
      <c r="AC437">
        <v>2</v>
      </c>
      <c r="AD437">
        <v>27</v>
      </c>
      <c r="AE437" t="s">
        <v>60</v>
      </c>
    </row>
    <row r="438" spans="1:31" x14ac:dyDescent="0.2">
      <c r="A438">
        <v>427</v>
      </c>
      <c r="B438" t="s">
        <v>843</v>
      </c>
      <c r="C438">
        <v>25</v>
      </c>
      <c r="D438" t="s">
        <v>449</v>
      </c>
      <c r="E438" t="s">
        <v>325</v>
      </c>
      <c r="F438">
        <v>43</v>
      </c>
      <c r="G438">
        <v>9</v>
      </c>
      <c r="H438">
        <v>2</v>
      </c>
      <c r="I438">
        <v>11</v>
      </c>
      <c r="J438">
        <v>-5</v>
      </c>
      <c r="K438">
        <v>12</v>
      </c>
      <c r="L438">
        <v>9</v>
      </c>
      <c r="M438">
        <v>0</v>
      </c>
      <c r="N438">
        <v>0</v>
      </c>
      <c r="O438">
        <v>0</v>
      </c>
      <c r="P438">
        <v>1</v>
      </c>
      <c r="Q438">
        <v>1</v>
      </c>
      <c r="R438">
        <v>0</v>
      </c>
      <c r="S438">
        <v>45</v>
      </c>
      <c r="T438">
        <v>20</v>
      </c>
      <c r="U438">
        <v>78</v>
      </c>
      <c r="V438" t="s">
        <v>2516</v>
      </c>
      <c r="W438" t="s">
        <v>1758</v>
      </c>
      <c r="X438">
        <v>110</v>
      </c>
      <c r="Y438">
        <v>151</v>
      </c>
      <c r="Z438">
        <v>42.1</v>
      </c>
      <c r="AA438">
        <v>25</v>
      </c>
      <c r="AB438">
        <v>18</v>
      </c>
      <c r="AC438">
        <v>5</v>
      </c>
      <c r="AD438">
        <v>20</v>
      </c>
      <c r="AE438" t="s">
        <v>60</v>
      </c>
    </row>
    <row r="439" spans="1:31" x14ac:dyDescent="0.2">
      <c r="A439">
        <v>428</v>
      </c>
      <c r="B439" t="s">
        <v>903</v>
      </c>
      <c r="C439">
        <v>24</v>
      </c>
      <c r="D439" t="s">
        <v>421</v>
      </c>
      <c r="E439" t="s">
        <v>322</v>
      </c>
      <c r="F439">
        <v>45</v>
      </c>
      <c r="G439">
        <v>3</v>
      </c>
      <c r="H439">
        <v>8</v>
      </c>
      <c r="I439">
        <v>11</v>
      </c>
      <c r="J439">
        <v>-5</v>
      </c>
      <c r="K439">
        <v>17</v>
      </c>
      <c r="L439">
        <v>3</v>
      </c>
      <c r="M439">
        <v>0</v>
      </c>
      <c r="N439">
        <v>0</v>
      </c>
      <c r="O439">
        <v>0</v>
      </c>
      <c r="P439">
        <v>8</v>
      </c>
      <c r="Q439">
        <v>0</v>
      </c>
      <c r="R439">
        <v>0</v>
      </c>
      <c r="S439">
        <v>50</v>
      </c>
      <c r="T439">
        <v>6</v>
      </c>
      <c r="U439">
        <v>101</v>
      </c>
      <c r="V439" t="s">
        <v>2813</v>
      </c>
      <c r="W439" t="s">
        <v>1631</v>
      </c>
      <c r="X439">
        <v>212</v>
      </c>
      <c r="Y439">
        <v>165</v>
      </c>
      <c r="Z439">
        <v>56.2</v>
      </c>
      <c r="AA439">
        <v>24</v>
      </c>
      <c r="AB439">
        <v>24</v>
      </c>
      <c r="AC439">
        <v>8</v>
      </c>
      <c r="AD439">
        <v>21</v>
      </c>
      <c r="AE439" t="s">
        <v>60</v>
      </c>
    </row>
    <row r="440" spans="1:31" x14ac:dyDescent="0.2">
      <c r="A440">
        <v>429</v>
      </c>
      <c r="B440" t="s">
        <v>772</v>
      </c>
      <c r="C440">
        <v>31</v>
      </c>
      <c r="D440" t="s">
        <v>514</v>
      </c>
      <c r="E440" t="s">
        <v>322</v>
      </c>
      <c r="F440">
        <v>29</v>
      </c>
      <c r="G440">
        <v>4</v>
      </c>
      <c r="H440">
        <v>7</v>
      </c>
      <c r="I440">
        <v>11</v>
      </c>
      <c r="J440">
        <v>-2</v>
      </c>
      <c r="K440">
        <v>14</v>
      </c>
      <c r="L440">
        <v>4</v>
      </c>
      <c r="M440">
        <v>0</v>
      </c>
      <c r="N440">
        <v>0</v>
      </c>
      <c r="O440">
        <v>1</v>
      </c>
      <c r="P440">
        <v>7</v>
      </c>
      <c r="Q440">
        <v>0</v>
      </c>
      <c r="R440">
        <v>0</v>
      </c>
      <c r="S440">
        <v>30</v>
      </c>
      <c r="T440">
        <v>13.3</v>
      </c>
      <c r="U440">
        <v>53</v>
      </c>
      <c r="V440" t="s">
        <v>2517</v>
      </c>
      <c r="W440" t="s">
        <v>790</v>
      </c>
      <c r="X440">
        <v>39</v>
      </c>
      <c r="Y440">
        <v>29</v>
      </c>
      <c r="Z440">
        <v>57.4</v>
      </c>
      <c r="AA440">
        <v>24</v>
      </c>
      <c r="AB440">
        <v>111</v>
      </c>
      <c r="AC440">
        <v>2</v>
      </c>
      <c r="AD440">
        <v>14</v>
      </c>
      <c r="AE440" t="s">
        <v>60</v>
      </c>
    </row>
    <row r="441" spans="1:31" x14ac:dyDescent="0.2">
      <c r="A441">
        <v>430</v>
      </c>
      <c r="B441" t="s">
        <v>857</v>
      </c>
      <c r="C441">
        <v>25</v>
      </c>
      <c r="D441" t="s">
        <v>957</v>
      </c>
      <c r="E441" t="s">
        <v>335</v>
      </c>
      <c r="F441">
        <v>27</v>
      </c>
      <c r="G441">
        <v>5</v>
      </c>
      <c r="H441">
        <v>6</v>
      </c>
      <c r="I441">
        <v>11</v>
      </c>
      <c r="J441">
        <v>-2</v>
      </c>
      <c r="K441">
        <v>6</v>
      </c>
      <c r="L441">
        <v>3</v>
      </c>
      <c r="M441">
        <v>2</v>
      </c>
      <c r="N441">
        <v>0</v>
      </c>
      <c r="O441">
        <v>1</v>
      </c>
      <c r="P441">
        <v>6</v>
      </c>
      <c r="Q441">
        <v>0</v>
      </c>
      <c r="R441">
        <v>0</v>
      </c>
      <c r="S441">
        <v>35</v>
      </c>
      <c r="T441">
        <v>14.3</v>
      </c>
      <c r="U441">
        <v>69</v>
      </c>
      <c r="V441" t="s">
        <v>2518</v>
      </c>
      <c r="W441" t="s">
        <v>1990</v>
      </c>
      <c r="X441">
        <v>0</v>
      </c>
      <c r="Y441">
        <v>1</v>
      </c>
      <c r="Z441">
        <v>0</v>
      </c>
      <c r="AA441">
        <v>5</v>
      </c>
      <c r="AB441">
        <v>19</v>
      </c>
      <c r="AC441">
        <v>2</v>
      </c>
      <c r="AD441">
        <v>28</v>
      </c>
      <c r="AE441" t="s">
        <v>60</v>
      </c>
    </row>
    <row r="442" spans="1:31" x14ac:dyDescent="0.2">
      <c r="A442">
        <v>430</v>
      </c>
      <c r="B442" t="s">
        <v>857</v>
      </c>
      <c r="C442">
        <v>25</v>
      </c>
      <c r="D442" t="s">
        <v>372</v>
      </c>
      <c r="E442" t="s">
        <v>335</v>
      </c>
      <c r="F442">
        <v>15</v>
      </c>
      <c r="G442">
        <v>2</v>
      </c>
      <c r="H442">
        <v>4</v>
      </c>
      <c r="I442">
        <v>6</v>
      </c>
      <c r="J442">
        <v>-3</v>
      </c>
      <c r="K442">
        <v>6</v>
      </c>
      <c r="L442">
        <v>1</v>
      </c>
      <c r="M442">
        <v>1</v>
      </c>
      <c r="N442">
        <v>0</v>
      </c>
      <c r="O442">
        <v>0</v>
      </c>
      <c r="P442">
        <v>4</v>
      </c>
      <c r="Q442">
        <v>0</v>
      </c>
      <c r="R442">
        <v>0</v>
      </c>
      <c r="S442">
        <v>20</v>
      </c>
      <c r="T442">
        <v>10</v>
      </c>
      <c r="U442">
        <v>44</v>
      </c>
      <c r="V442" t="s">
        <v>1579</v>
      </c>
      <c r="W442" t="s">
        <v>802</v>
      </c>
      <c r="X442">
        <v>0</v>
      </c>
      <c r="Y442">
        <v>0</v>
      </c>
      <c r="AA442">
        <v>3</v>
      </c>
      <c r="AB442">
        <v>10</v>
      </c>
      <c r="AC442">
        <v>1</v>
      </c>
      <c r="AD442">
        <v>14</v>
      </c>
      <c r="AE442" t="s">
        <v>60</v>
      </c>
    </row>
    <row r="443" spans="1:31" x14ac:dyDescent="0.2">
      <c r="A443">
        <v>430</v>
      </c>
      <c r="B443" t="s">
        <v>857</v>
      </c>
      <c r="C443">
        <v>25</v>
      </c>
      <c r="D443" t="s">
        <v>514</v>
      </c>
      <c r="E443" t="s">
        <v>335</v>
      </c>
      <c r="F443">
        <v>12</v>
      </c>
      <c r="G443">
        <v>3</v>
      </c>
      <c r="H443">
        <v>2</v>
      </c>
      <c r="I443">
        <v>5</v>
      </c>
      <c r="J443">
        <v>1</v>
      </c>
      <c r="K443">
        <v>0</v>
      </c>
      <c r="L443">
        <v>2</v>
      </c>
      <c r="M443">
        <v>1</v>
      </c>
      <c r="N443">
        <v>0</v>
      </c>
      <c r="O443">
        <v>1</v>
      </c>
      <c r="P443">
        <v>2</v>
      </c>
      <c r="Q443">
        <v>0</v>
      </c>
      <c r="R443">
        <v>0</v>
      </c>
      <c r="S443">
        <v>15</v>
      </c>
      <c r="T443">
        <v>20</v>
      </c>
      <c r="U443">
        <v>25</v>
      </c>
      <c r="V443" t="s">
        <v>2519</v>
      </c>
      <c r="W443" t="s">
        <v>1806</v>
      </c>
      <c r="X443">
        <v>0</v>
      </c>
      <c r="Y443">
        <v>1</v>
      </c>
      <c r="Z443">
        <v>0</v>
      </c>
      <c r="AA443">
        <v>2</v>
      </c>
      <c r="AB443">
        <v>9</v>
      </c>
      <c r="AC443">
        <v>1</v>
      </c>
      <c r="AD443">
        <v>14</v>
      </c>
      <c r="AE443" t="s">
        <v>60</v>
      </c>
    </row>
    <row r="444" spans="1:31" x14ac:dyDescent="0.2">
      <c r="A444">
        <v>431</v>
      </c>
      <c r="B444" t="s">
        <v>964</v>
      </c>
      <c r="C444">
        <v>34</v>
      </c>
      <c r="D444" t="s">
        <v>377</v>
      </c>
      <c r="E444" t="s">
        <v>322</v>
      </c>
      <c r="F444">
        <v>32</v>
      </c>
      <c r="G444">
        <v>4</v>
      </c>
      <c r="H444">
        <v>6</v>
      </c>
      <c r="I444">
        <v>10</v>
      </c>
      <c r="J444">
        <v>3</v>
      </c>
      <c r="K444">
        <v>17</v>
      </c>
      <c r="L444">
        <v>4</v>
      </c>
      <c r="M444">
        <v>0</v>
      </c>
      <c r="N444">
        <v>0</v>
      </c>
      <c r="O444">
        <v>0</v>
      </c>
      <c r="P444">
        <v>6</v>
      </c>
      <c r="Q444">
        <v>0</v>
      </c>
      <c r="R444">
        <v>0</v>
      </c>
      <c r="S444">
        <v>39</v>
      </c>
      <c r="T444">
        <v>10.3</v>
      </c>
      <c r="U444">
        <v>69</v>
      </c>
      <c r="V444" t="s">
        <v>2047</v>
      </c>
      <c r="W444" t="s">
        <v>2520</v>
      </c>
      <c r="X444">
        <v>136</v>
      </c>
      <c r="Y444">
        <v>114</v>
      </c>
      <c r="Z444">
        <v>54.4</v>
      </c>
      <c r="AA444">
        <v>24</v>
      </c>
      <c r="AB444">
        <v>37</v>
      </c>
      <c r="AC444">
        <v>5</v>
      </c>
      <c r="AD444">
        <v>7</v>
      </c>
      <c r="AE444" t="s">
        <v>60</v>
      </c>
    </row>
    <row r="445" spans="1:31" x14ac:dyDescent="0.2">
      <c r="A445">
        <v>432</v>
      </c>
      <c r="B445" t="s">
        <v>811</v>
      </c>
      <c r="C445">
        <v>23</v>
      </c>
      <c r="D445" t="s">
        <v>408</v>
      </c>
      <c r="E445" t="s">
        <v>349</v>
      </c>
      <c r="F445">
        <v>34</v>
      </c>
      <c r="G445">
        <v>1</v>
      </c>
      <c r="H445">
        <v>9</v>
      </c>
      <c r="I445">
        <v>10</v>
      </c>
      <c r="J445">
        <v>13</v>
      </c>
      <c r="K445">
        <v>12</v>
      </c>
      <c r="L445">
        <v>1</v>
      </c>
      <c r="M445">
        <v>0</v>
      </c>
      <c r="N445">
        <v>0</v>
      </c>
      <c r="O445">
        <v>0</v>
      </c>
      <c r="P445">
        <v>8</v>
      </c>
      <c r="Q445">
        <v>1</v>
      </c>
      <c r="R445">
        <v>0</v>
      </c>
      <c r="S445">
        <v>26</v>
      </c>
      <c r="T445">
        <v>3.8</v>
      </c>
      <c r="U445">
        <v>83</v>
      </c>
      <c r="V445" t="s">
        <v>2814</v>
      </c>
      <c r="W445" t="s">
        <v>616</v>
      </c>
      <c r="X445">
        <v>0</v>
      </c>
      <c r="Y445">
        <v>0</v>
      </c>
      <c r="AA445">
        <v>32</v>
      </c>
      <c r="AB445">
        <v>39</v>
      </c>
      <c r="AC445">
        <v>5</v>
      </c>
      <c r="AD445">
        <v>24</v>
      </c>
      <c r="AE445" t="s">
        <v>60</v>
      </c>
    </row>
    <row r="446" spans="1:31" x14ac:dyDescent="0.2">
      <c r="A446">
        <v>433</v>
      </c>
      <c r="B446" t="s">
        <v>861</v>
      </c>
      <c r="C446">
        <v>31</v>
      </c>
      <c r="D446" t="s">
        <v>398</v>
      </c>
      <c r="E446" t="s">
        <v>340</v>
      </c>
      <c r="F446">
        <v>38</v>
      </c>
      <c r="G446">
        <v>5</v>
      </c>
      <c r="H446">
        <v>5</v>
      </c>
      <c r="I446">
        <v>10</v>
      </c>
      <c r="J446">
        <v>2</v>
      </c>
      <c r="K446">
        <v>14</v>
      </c>
      <c r="L446">
        <v>5</v>
      </c>
      <c r="M446">
        <v>0</v>
      </c>
      <c r="N446">
        <v>0</v>
      </c>
      <c r="O446">
        <v>2</v>
      </c>
      <c r="P446">
        <v>5</v>
      </c>
      <c r="Q446">
        <v>0</v>
      </c>
      <c r="R446">
        <v>0</v>
      </c>
      <c r="S446">
        <v>45</v>
      </c>
      <c r="T446">
        <v>11.1</v>
      </c>
      <c r="U446">
        <v>98</v>
      </c>
      <c r="V446" t="s">
        <v>2037</v>
      </c>
      <c r="W446" t="s">
        <v>1758</v>
      </c>
      <c r="X446">
        <v>1</v>
      </c>
      <c r="Y446">
        <v>4</v>
      </c>
      <c r="Z446">
        <v>20</v>
      </c>
      <c r="AA446">
        <v>9</v>
      </c>
      <c r="AB446">
        <v>91</v>
      </c>
      <c r="AC446">
        <v>10</v>
      </c>
      <c r="AD446">
        <v>14</v>
      </c>
      <c r="AE446" t="s">
        <v>60</v>
      </c>
    </row>
    <row r="447" spans="1:31" x14ac:dyDescent="0.2">
      <c r="A447">
        <v>434</v>
      </c>
      <c r="B447" t="s">
        <v>973</v>
      </c>
      <c r="C447">
        <v>29</v>
      </c>
      <c r="D447" t="s">
        <v>398</v>
      </c>
      <c r="E447" t="s">
        <v>349</v>
      </c>
      <c r="F447">
        <v>40</v>
      </c>
      <c r="G447">
        <v>1</v>
      </c>
      <c r="H447">
        <v>9</v>
      </c>
      <c r="I447">
        <v>10</v>
      </c>
      <c r="J447">
        <v>8</v>
      </c>
      <c r="K447">
        <v>12</v>
      </c>
      <c r="L447">
        <v>1</v>
      </c>
      <c r="M447">
        <v>0</v>
      </c>
      <c r="N447">
        <v>0</v>
      </c>
      <c r="O447">
        <v>1</v>
      </c>
      <c r="P447">
        <v>9</v>
      </c>
      <c r="Q447">
        <v>0</v>
      </c>
      <c r="R447">
        <v>0</v>
      </c>
      <c r="S447">
        <v>59</v>
      </c>
      <c r="T447">
        <v>1.7</v>
      </c>
      <c r="U447">
        <v>154</v>
      </c>
      <c r="V447" t="s">
        <v>2521</v>
      </c>
      <c r="W447" t="s">
        <v>1732</v>
      </c>
      <c r="X447">
        <v>0</v>
      </c>
      <c r="Y447">
        <v>0</v>
      </c>
      <c r="AA447">
        <v>39</v>
      </c>
      <c r="AB447">
        <v>20</v>
      </c>
      <c r="AC447">
        <v>16</v>
      </c>
      <c r="AD447">
        <v>32</v>
      </c>
      <c r="AE447" t="s">
        <v>60</v>
      </c>
    </row>
    <row r="448" spans="1:31" x14ac:dyDescent="0.2">
      <c r="A448">
        <v>435</v>
      </c>
      <c r="B448" t="s">
        <v>779</v>
      </c>
      <c r="C448">
        <v>34</v>
      </c>
      <c r="D448" t="s">
        <v>372</v>
      </c>
      <c r="E448" t="s">
        <v>349</v>
      </c>
      <c r="F448">
        <v>48</v>
      </c>
      <c r="G448">
        <v>4</v>
      </c>
      <c r="H448">
        <v>6</v>
      </c>
      <c r="I448">
        <v>10</v>
      </c>
      <c r="J448">
        <v>1</v>
      </c>
      <c r="K448">
        <v>46</v>
      </c>
      <c r="L448">
        <v>4</v>
      </c>
      <c r="M448">
        <v>0</v>
      </c>
      <c r="N448">
        <v>0</v>
      </c>
      <c r="O448">
        <v>0</v>
      </c>
      <c r="P448">
        <v>6</v>
      </c>
      <c r="Q448">
        <v>0</v>
      </c>
      <c r="R448">
        <v>0</v>
      </c>
      <c r="S448">
        <v>52</v>
      </c>
      <c r="T448">
        <v>7.7</v>
      </c>
      <c r="U448">
        <v>136</v>
      </c>
      <c r="V448" t="s">
        <v>2522</v>
      </c>
      <c r="W448" t="s">
        <v>1550</v>
      </c>
      <c r="X448">
        <v>0</v>
      </c>
      <c r="Y448">
        <v>0</v>
      </c>
      <c r="AA448">
        <v>102</v>
      </c>
      <c r="AB448">
        <v>102</v>
      </c>
      <c r="AC448">
        <v>17</v>
      </c>
      <c r="AD448">
        <v>52</v>
      </c>
      <c r="AE448" t="s">
        <v>60</v>
      </c>
    </row>
    <row r="449" spans="1:31" x14ac:dyDescent="0.2">
      <c r="A449">
        <v>436</v>
      </c>
      <c r="B449" t="s">
        <v>863</v>
      </c>
      <c r="C449">
        <v>26</v>
      </c>
      <c r="D449" t="s">
        <v>400</v>
      </c>
      <c r="E449" t="s">
        <v>322</v>
      </c>
      <c r="F449">
        <v>44</v>
      </c>
      <c r="G449">
        <v>5</v>
      </c>
      <c r="H449">
        <v>5</v>
      </c>
      <c r="I449">
        <v>10</v>
      </c>
      <c r="J449">
        <v>-10</v>
      </c>
      <c r="K449">
        <v>13</v>
      </c>
      <c r="L449">
        <v>5</v>
      </c>
      <c r="M449">
        <v>0</v>
      </c>
      <c r="N449">
        <v>0</v>
      </c>
      <c r="O449">
        <v>1</v>
      </c>
      <c r="P449">
        <v>4</v>
      </c>
      <c r="Q449">
        <v>1</v>
      </c>
      <c r="R449">
        <v>0</v>
      </c>
      <c r="S449">
        <v>40</v>
      </c>
      <c r="T449">
        <v>12.5</v>
      </c>
      <c r="U449">
        <v>90</v>
      </c>
      <c r="V449" t="s">
        <v>2815</v>
      </c>
      <c r="W449" t="s">
        <v>1484</v>
      </c>
      <c r="X449">
        <v>22</v>
      </c>
      <c r="Y449">
        <v>20</v>
      </c>
      <c r="Z449">
        <v>52.4</v>
      </c>
      <c r="AA449">
        <v>15</v>
      </c>
      <c r="AB449">
        <v>114</v>
      </c>
      <c r="AC449">
        <v>7</v>
      </c>
      <c r="AD449">
        <v>19</v>
      </c>
      <c r="AE449" t="s">
        <v>60</v>
      </c>
    </row>
    <row r="450" spans="1:31" x14ac:dyDescent="0.2">
      <c r="A450">
        <v>437</v>
      </c>
      <c r="B450" t="s">
        <v>1046</v>
      </c>
      <c r="C450">
        <v>25</v>
      </c>
      <c r="D450" t="s">
        <v>353</v>
      </c>
      <c r="E450" t="s">
        <v>349</v>
      </c>
      <c r="F450">
        <v>27</v>
      </c>
      <c r="G450">
        <v>1</v>
      </c>
      <c r="H450">
        <v>9</v>
      </c>
      <c r="I450">
        <v>10</v>
      </c>
      <c r="J450">
        <v>5</v>
      </c>
      <c r="K450">
        <v>40</v>
      </c>
      <c r="L450">
        <v>1</v>
      </c>
      <c r="M450">
        <v>0</v>
      </c>
      <c r="N450">
        <v>0</v>
      </c>
      <c r="O450">
        <v>0</v>
      </c>
      <c r="P450">
        <v>8</v>
      </c>
      <c r="Q450">
        <v>0</v>
      </c>
      <c r="R450">
        <v>1</v>
      </c>
      <c r="S450">
        <v>34</v>
      </c>
      <c r="T450">
        <v>2.9</v>
      </c>
      <c r="U450">
        <v>76</v>
      </c>
      <c r="V450" t="s">
        <v>2523</v>
      </c>
      <c r="W450" t="s">
        <v>2021</v>
      </c>
      <c r="X450">
        <v>0</v>
      </c>
      <c r="Y450">
        <v>0</v>
      </c>
      <c r="AA450">
        <v>27</v>
      </c>
      <c r="AB450">
        <v>29</v>
      </c>
      <c r="AC450">
        <v>5</v>
      </c>
      <c r="AD450">
        <v>11</v>
      </c>
      <c r="AE450" t="s">
        <v>60</v>
      </c>
    </row>
    <row r="451" spans="1:31" x14ac:dyDescent="0.2">
      <c r="A451">
        <v>438</v>
      </c>
      <c r="B451" t="s">
        <v>867</v>
      </c>
      <c r="C451">
        <v>34</v>
      </c>
      <c r="D451" t="s">
        <v>421</v>
      </c>
      <c r="E451" t="s">
        <v>349</v>
      </c>
      <c r="F451">
        <v>46</v>
      </c>
      <c r="G451">
        <v>0</v>
      </c>
      <c r="H451">
        <v>10</v>
      </c>
      <c r="I451">
        <v>10</v>
      </c>
      <c r="J451">
        <v>2</v>
      </c>
      <c r="K451">
        <v>12</v>
      </c>
      <c r="L451">
        <v>0</v>
      </c>
      <c r="M451">
        <v>0</v>
      </c>
      <c r="N451">
        <v>0</v>
      </c>
      <c r="O451">
        <v>0</v>
      </c>
      <c r="P451">
        <v>9</v>
      </c>
      <c r="Q451">
        <v>0</v>
      </c>
      <c r="R451">
        <v>1</v>
      </c>
      <c r="S451">
        <v>45</v>
      </c>
      <c r="T451">
        <v>0</v>
      </c>
      <c r="U451">
        <v>112</v>
      </c>
      <c r="V451" t="s">
        <v>2816</v>
      </c>
      <c r="W451" t="s">
        <v>1736</v>
      </c>
      <c r="X451">
        <v>0</v>
      </c>
      <c r="Y451">
        <v>0</v>
      </c>
      <c r="AA451">
        <v>59</v>
      </c>
      <c r="AB451">
        <v>23</v>
      </c>
      <c r="AC451">
        <v>10</v>
      </c>
      <c r="AD451">
        <v>53</v>
      </c>
      <c r="AE451" t="s">
        <v>60</v>
      </c>
    </row>
    <row r="452" spans="1:31" x14ac:dyDescent="0.2">
      <c r="A452">
        <v>439</v>
      </c>
      <c r="B452" t="s">
        <v>975</v>
      </c>
      <c r="C452">
        <v>20</v>
      </c>
      <c r="D452" t="s">
        <v>514</v>
      </c>
      <c r="E452" t="s">
        <v>322</v>
      </c>
      <c r="F452">
        <v>37</v>
      </c>
      <c r="G452">
        <v>7</v>
      </c>
      <c r="H452">
        <v>3</v>
      </c>
      <c r="I452">
        <v>10</v>
      </c>
      <c r="J452">
        <v>-6</v>
      </c>
      <c r="K452">
        <v>8</v>
      </c>
      <c r="L452">
        <v>3</v>
      </c>
      <c r="M452">
        <v>4</v>
      </c>
      <c r="N452">
        <v>0</v>
      </c>
      <c r="O452">
        <v>0</v>
      </c>
      <c r="P452">
        <v>2</v>
      </c>
      <c r="Q452">
        <v>1</v>
      </c>
      <c r="R452">
        <v>0</v>
      </c>
      <c r="S452">
        <v>48</v>
      </c>
      <c r="T452">
        <v>14.6</v>
      </c>
      <c r="U452">
        <v>86</v>
      </c>
      <c r="V452" t="s">
        <v>2524</v>
      </c>
      <c r="W452" t="s">
        <v>1853</v>
      </c>
      <c r="X452">
        <v>166</v>
      </c>
      <c r="Y452">
        <v>181</v>
      </c>
      <c r="Z452">
        <v>47.8</v>
      </c>
      <c r="AA452">
        <v>15</v>
      </c>
      <c r="AB452">
        <v>56</v>
      </c>
      <c r="AC452">
        <v>6</v>
      </c>
      <c r="AD452">
        <v>28</v>
      </c>
      <c r="AE452" t="s">
        <v>60</v>
      </c>
    </row>
    <row r="453" spans="1:31" x14ac:dyDescent="0.2">
      <c r="A453">
        <v>440</v>
      </c>
      <c r="B453" t="s">
        <v>782</v>
      </c>
      <c r="C453">
        <v>29</v>
      </c>
      <c r="D453" t="s">
        <v>364</v>
      </c>
      <c r="E453" t="s">
        <v>322</v>
      </c>
      <c r="F453">
        <v>34</v>
      </c>
      <c r="G453">
        <v>5</v>
      </c>
      <c r="H453">
        <v>5</v>
      </c>
      <c r="I453">
        <v>10</v>
      </c>
      <c r="J453">
        <v>-13</v>
      </c>
      <c r="K453">
        <v>8</v>
      </c>
      <c r="L453">
        <v>4</v>
      </c>
      <c r="M453">
        <v>0</v>
      </c>
      <c r="N453">
        <v>1</v>
      </c>
      <c r="O453">
        <v>0</v>
      </c>
      <c r="P453">
        <v>5</v>
      </c>
      <c r="Q453">
        <v>0</v>
      </c>
      <c r="R453">
        <v>0</v>
      </c>
      <c r="S453">
        <v>34</v>
      </c>
      <c r="T453">
        <v>14.7</v>
      </c>
      <c r="U453">
        <v>75</v>
      </c>
      <c r="V453" t="s">
        <v>1676</v>
      </c>
      <c r="W453" t="s">
        <v>1677</v>
      </c>
      <c r="X453">
        <v>236</v>
      </c>
      <c r="Y453">
        <v>200</v>
      </c>
      <c r="Z453">
        <v>54.1</v>
      </c>
      <c r="AA453">
        <v>24</v>
      </c>
      <c r="AB453">
        <v>44</v>
      </c>
      <c r="AC453">
        <v>6</v>
      </c>
      <c r="AD453">
        <v>26</v>
      </c>
      <c r="AE453" t="s">
        <v>60</v>
      </c>
    </row>
    <row r="454" spans="1:31" x14ac:dyDescent="0.2">
      <c r="A454">
        <v>441</v>
      </c>
      <c r="B454" t="s">
        <v>870</v>
      </c>
      <c r="C454">
        <v>24</v>
      </c>
      <c r="D454" t="s">
        <v>532</v>
      </c>
      <c r="E454" t="s">
        <v>349</v>
      </c>
      <c r="F454">
        <v>31</v>
      </c>
      <c r="G454">
        <v>3</v>
      </c>
      <c r="H454">
        <v>7</v>
      </c>
      <c r="I454">
        <v>10</v>
      </c>
      <c r="J454">
        <v>-1</v>
      </c>
      <c r="K454">
        <v>18</v>
      </c>
      <c r="L454">
        <v>3</v>
      </c>
      <c r="M454">
        <v>0</v>
      </c>
      <c r="N454">
        <v>0</v>
      </c>
      <c r="O454">
        <v>0</v>
      </c>
      <c r="P454">
        <v>6</v>
      </c>
      <c r="Q454">
        <v>1</v>
      </c>
      <c r="R454">
        <v>0</v>
      </c>
      <c r="S454">
        <v>23</v>
      </c>
      <c r="T454">
        <v>13</v>
      </c>
      <c r="U454">
        <v>55</v>
      </c>
      <c r="V454" t="s">
        <v>2817</v>
      </c>
      <c r="W454" t="s">
        <v>1679</v>
      </c>
      <c r="X454">
        <v>0</v>
      </c>
      <c r="Y454">
        <v>0</v>
      </c>
      <c r="AA454">
        <v>33</v>
      </c>
      <c r="AB454">
        <v>18</v>
      </c>
      <c r="AC454">
        <v>4</v>
      </c>
      <c r="AD454">
        <v>26</v>
      </c>
      <c r="AE454" t="s">
        <v>60</v>
      </c>
    </row>
    <row r="455" spans="1:31" x14ac:dyDescent="0.2">
      <c r="A455">
        <v>442</v>
      </c>
      <c r="B455" t="s">
        <v>982</v>
      </c>
      <c r="C455">
        <v>22</v>
      </c>
      <c r="D455" t="s">
        <v>408</v>
      </c>
      <c r="E455" t="s">
        <v>335</v>
      </c>
      <c r="F455">
        <v>33</v>
      </c>
      <c r="G455">
        <v>3</v>
      </c>
      <c r="H455">
        <v>7</v>
      </c>
      <c r="I455">
        <v>10</v>
      </c>
      <c r="J455">
        <v>-2</v>
      </c>
      <c r="K455">
        <v>38</v>
      </c>
      <c r="L455">
        <v>3</v>
      </c>
      <c r="M455">
        <v>0</v>
      </c>
      <c r="N455">
        <v>0</v>
      </c>
      <c r="O455">
        <v>0</v>
      </c>
      <c r="P455">
        <v>7</v>
      </c>
      <c r="Q455">
        <v>0</v>
      </c>
      <c r="R455">
        <v>0</v>
      </c>
      <c r="S455">
        <v>21</v>
      </c>
      <c r="T455">
        <v>14.3</v>
      </c>
      <c r="U455">
        <v>41</v>
      </c>
      <c r="V455" t="s">
        <v>2818</v>
      </c>
      <c r="W455" t="s">
        <v>1553</v>
      </c>
      <c r="X455">
        <v>3</v>
      </c>
      <c r="Y455">
        <v>1</v>
      </c>
      <c r="Z455">
        <v>75</v>
      </c>
      <c r="AA455">
        <v>9</v>
      </c>
      <c r="AB455">
        <v>56</v>
      </c>
      <c r="AC455">
        <v>7</v>
      </c>
      <c r="AD455">
        <v>22</v>
      </c>
      <c r="AE455" t="s">
        <v>60</v>
      </c>
    </row>
    <row r="456" spans="1:31" x14ac:dyDescent="0.2">
      <c r="A456">
        <v>443</v>
      </c>
      <c r="B456" t="s">
        <v>754</v>
      </c>
      <c r="C456">
        <v>35</v>
      </c>
      <c r="D456" t="s">
        <v>328</v>
      </c>
      <c r="E456" t="s">
        <v>322</v>
      </c>
      <c r="F456">
        <v>43</v>
      </c>
      <c r="G456">
        <v>2</v>
      </c>
      <c r="H456">
        <v>8</v>
      </c>
      <c r="I456">
        <v>10</v>
      </c>
      <c r="J456">
        <v>-9</v>
      </c>
      <c r="K456">
        <v>12</v>
      </c>
      <c r="L456">
        <v>2</v>
      </c>
      <c r="M456">
        <v>0</v>
      </c>
      <c r="N456">
        <v>0</v>
      </c>
      <c r="O456">
        <v>0</v>
      </c>
      <c r="P456">
        <v>4</v>
      </c>
      <c r="Q456">
        <v>3</v>
      </c>
      <c r="R456">
        <v>1</v>
      </c>
      <c r="S456">
        <v>63</v>
      </c>
      <c r="T456">
        <v>3.2</v>
      </c>
      <c r="U456">
        <v>114</v>
      </c>
      <c r="V456" t="s">
        <v>1952</v>
      </c>
      <c r="W456" t="s">
        <v>1364</v>
      </c>
      <c r="X456">
        <v>235</v>
      </c>
      <c r="Y456">
        <v>194</v>
      </c>
      <c r="Z456">
        <v>54.8</v>
      </c>
      <c r="AA456">
        <v>57</v>
      </c>
      <c r="AB456">
        <v>24</v>
      </c>
      <c r="AC456">
        <v>10</v>
      </c>
      <c r="AD456">
        <v>29</v>
      </c>
      <c r="AE456" t="s">
        <v>60</v>
      </c>
    </row>
    <row r="457" spans="1:31" x14ac:dyDescent="0.2">
      <c r="A457">
        <v>444</v>
      </c>
      <c r="B457" t="s">
        <v>788</v>
      </c>
      <c r="C457">
        <v>28</v>
      </c>
      <c r="D457" t="s">
        <v>514</v>
      </c>
      <c r="E457" t="s">
        <v>335</v>
      </c>
      <c r="F457">
        <v>35</v>
      </c>
      <c r="G457">
        <v>2</v>
      </c>
      <c r="H457">
        <v>8</v>
      </c>
      <c r="I457">
        <v>10</v>
      </c>
      <c r="J457">
        <v>0</v>
      </c>
      <c r="K457">
        <v>4</v>
      </c>
      <c r="L457">
        <v>1</v>
      </c>
      <c r="M457">
        <v>0</v>
      </c>
      <c r="N457">
        <v>1</v>
      </c>
      <c r="O457">
        <v>1</v>
      </c>
      <c r="P457">
        <v>8</v>
      </c>
      <c r="Q457">
        <v>0</v>
      </c>
      <c r="R457">
        <v>0</v>
      </c>
      <c r="S457">
        <v>28</v>
      </c>
      <c r="T457">
        <v>7.1</v>
      </c>
      <c r="U457">
        <v>63</v>
      </c>
      <c r="V457" t="s">
        <v>1898</v>
      </c>
      <c r="W457" t="s">
        <v>966</v>
      </c>
      <c r="X457">
        <v>3</v>
      </c>
      <c r="Y457">
        <v>11</v>
      </c>
      <c r="Z457">
        <v>21.4</v>
      </c>
      <c r="AA457">
        <v>25</v>
      </c>
      <c r="AB457">
        <v>74</v>
      </c>
      <c r="AC457">
        <v>9</v>
      </c>
      <c r="AD457">
        <v>20</v>
      </c>
      <c r="AE457" t="s">
        <v>60</v>
      </c>
    </row>
    <row r="458" spans="1:31" x14ac:dyDescent="0.2">
      <c r="A458">
        <v>445</v>
      </c>
      <c r="B458" t="s">
        <v>789</v>
      </c>
      <c r="C458">
        <v>29</v>
      </c>
      <c r="D458" t="s">
        <v>360</v>
      </c>
      <c r="E458" t="s">
        <v>322</v>
      </c>
      <c r="F458">
        <v>36</v>
      </c>
      <c r="G458">
        <v>6</v>
      </c>
      <c r="H458">
        <v>4</v>
      </c>
      <c r="I458">
        <v>10</v>
      </c>
      <c r="J458">
        <v>-2</v>
      </c>
      <c r="K458">
        <v>25</v>
      </c>
      <c r="L458">
        <v>6</v>
      </c>
      <c r="M458">
        <v>0</v>
      </c>
      <c r="N458">
        <v>0</v>
      </c>
      <c r="O458">
        <v>2</v>
      </c>
      <c r="P458">
        <v>4</v>
      </c>
      <c r="Q458">
        <v>0</v>
      </c>
      <c r="R458">
        <v>0</v>
      </c>
      <c r="S458">
        <v>32</v>
      </c>
      <c r="T458">
        <v>18.8</v>
      </c>
      <c r="U458">
        <v>56</v>
      </c>
      <c r="V458" t="s">
        <v>1771</v>
      </c>
      <c r="W458" t="s">
        <v>918</v>
      </c>
      <c r="X458">
        <v>2</v>
      </c>
      <c r="Y458">
        <v>12</v>
      </c>
      <c r="Z458">
        <v>14.3</v>
      </c>
      <c r="AA458">
        <v>26</v>
      </c>
      <c r="AB458">
        <v>127</v>
      </c>
      <c r="AC458">
        <v>7</v>
      </c>
      <c r="AD458">
        <v>13</v>
      </c>
      <c r="AE458" t="s">
        <v>60</v>
      </c>
    </row>
    <row r="459" spans="1:31" x14ac:dyDescent="0.2">
      <c r="A459">
        <v>446</v>
      </c>
      <c r="B459" t="s">
        <v>920</v>
      </c>
      <c r="C459">
        <v>23</v>
      </c>
      <c r="D459" t="s">
        <v>330</v>
      </c>
      <c r="E459" t="s">
        <v>349</v>
      </c>
      <c r="F459">
        <v>46</v>
      </c>
      <c r="G459">
        <v>4</v>
      </c>
      <c r="H459">
        <v>6</v>
      </c>
      <c r="I459">
        <v>10</v>
      </c>
      <c r="J459">
        <v>-3</v>
      </c>
      <c r="K459">
        <v>22</v>
      </c>
      <c r="L459">
        <v>4</v>
      </c>
      <c r="M459">
        <v>0</v>
      </c>
      <c r="N459">
        <v>0</v>
      </c>
      <c r="O459">
        <v>1</v>
      </c>
      <c r="P459">
        <v>6</v>
      </c>
      <c r="Q459">
        <v>0</v>
      </c>
      <c r="R459">
        <v>0</v>
      </c>
      <c r="S459">
        <v>48</v>
      </c>
      <c r="T459">
        <v>8.3000000000000007</v>
      </c>
      <c r="U459">
        <v>104</v>
      </c>
      <c r="V459" t="s">
        <v>2169</v>
      </c>
      <c r="W459" t="s">
        <v>2038</v>
      </c>
      <c r="X459">
        <v>0</v>
      </c>
      <c r="Y459">
        <v>0</v>
      </c>
      <c r="AA459">
        <v>42</v>
      </c>
      <c r="AB459">
        <v>28</v>
      </c>
      <c r="AC459">
        <v>22</v>
      </c>
      <c r="AD459">
        <v>57</v>
      </c>
      <c r="AE459" t="s">
        <v>60</v>
      </c>
    </row>
    <row r="460" spans="1:31" x14ac:dyDescent="0.2">
      <c r="A460">
        <v>447</v>
      </c>
      <c r="B460" t="s">
        <v>929</v>
      </c>
      <c r="C460">
        <v>28</v>
      </c>
      <c r="D460" t="s">
        <v>377</v>
      </c>
      <c r="E460" t="s">
        <v>322</v>
      </c>
      <c r="F460">
        <v>36</v>
      </c>
      <c r="G460">
        <v>5</v>
      </c>
      <c r="H460">
        <v>5</v>
      </c>
      <c r="I460">
        <v>10</v>
      </c>
      <c r="J460">
        <v>6</v>
      </c>
      <c r="K460">
        <v>10</v>
      </c>
      <c r="L460">
        <v>5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37</v>
      </c>
      <c r="T460">
        <v>13.5</v>
      </c>
      <c r="U460">
        <v>72</v>
      </c>
      <c r="V460" t="s">
        <v>2525</v>
      </c>
      <c r="W460" t="s">
        <v>873</v>
      </c>
      <c r="X460">
        <v>164</v>
      </c>
      <c r="Y460">
        <v>157</v>
      </c>
      <c r="Z460">
        <v>51.1</v>
      </c>
      <c r="AA460">
        <v>19</v>
      </c>
      <c r="AB460">
        <v>32</v>
      </c>
      <c r="AC460">
        <v>7</v>
      </c>
      <c r="AD460">
        <v>24</v>
      </c>
      <c r="AE460" t="s">
        <v>60</v>
      </c>
    </row>
    <row r="461" spans="1:31" x14ac:dyDescent="0.2">
      <c r="A461">
        <v>448</v>
      </c>
      <c r="B461" t="s">
        <v>793</v>
      </c>
      <c r="C461">
        <v>35</v>
      </c>
      <c r="D461" t="s">
        <v>461</v>
      </c>
      <c r="E461" t="s">
        <v>322</v>
      </c>
      <c r="F461">
        <v>28</v>
      </c>
      <c r="G461">
        <v>7</v>
      </c>
      <c r="H461">
        <v>3</v>
      </c>
      <c r="I461">
        <v>10</v>
      </c>
      <c r="J461">
        <v>-18</v>
      </c>
      <c r="K461">
        <v>6</v>
      </c>
      <c r="L461">
        <v>3</v>
      </c>
      <c r="M461">
        <v>4</v>
      </c>
      <c r="N461">
        <v>0</v>
      </c>
      <c r="O461">
        <v>1</v>
      </c>
      <c r="P461">
        <v>3</v>
      </c>
      <c r="Q461">
        <v>0</v>
      </c>
      <c r="R461">
        <v>0</v>
      </c>
      <c r="S461">
        <v>60</v>
      </c>
      <c r="T461">
        <v>11.7</v>
      </c>
      <c r="U461">
        <v>125</v>
      </c>
      <c r="V461" t="s">
        <v>1629</v>
      </c>
      <c r="W461" t="s">
        <v>1539</v>
      </c>
      <c r="X461">
        <v>8</v>
      </c>
      <c r="Y461">
        <v>8</v>
      </c>
      <c r="Z461">
        <v>50</v>
      </c>
      <c r="AA461">
        <v>5</v>
      </c>
      <c r="AB461">
        <v>38</v>
      </c>
      <c r="AC461">
        <v>4</v>
      </c>
      <c r="AD461">
        <v>32</v>
      </c>
      <c r="AE461" t="s">
        <v>60</v>
      </c>
    </row>
    <row r="462" spans="1:31" x14ac:dyDescent="0.2">
      <c r="A462">
        <v>449</v>
      </c>
      <c r="B462" t="s">
        <v>796</v>
      </c>
      <c r="C462">
        <v>33</v>
      </c>
      <c r="D462" t="s">
        <v>346</v>
      </c>
      <c r="E462" t="s">
        <v>322</v>
      </c>
      <c r="F462">
        <v>44</v>
      </c>
      <c r="G462">
        <v>7</v>
      </c>
      <c r="H462">
        <v>3</v>
      </c>
      <c r="I462">
        <v>10</v>
      </c>
      <c r="J462">
        <v>-8</v>
      </c>
      <c r="K462">
        <v>22</v>
      </c>
      <c r="L462">
        <v>5</v>
      </c>
      <c r="M462">
        <v>2</v>
      </c>
      <c r="N462">
        <v>0</v>
      </c>
      <c r="O462">
        <v>1</v>
      </c>
      <c r="P462">
        <v>3</v>
      </c>
      <c r="Q462">
        <v>0</v>
      </c>
      <c r="R462">
        <v>0</v>
      </c>
      <c r="S462">
        <v>55</v>
      </c>
      <c r="T462">
        <v>12.7</v>
      </c>
      <c r="U462">
        <v>107</v>
      </c>
      <c r="V462" t="s">
        <v>2526</v>
      </c>
      <c r="W462" t="s">
        <v>1806</v>
      </c>
      <c r="X462">
        <v>77</v>
      </c>
      <c r="Y462">
        <v>116</v>
      </c>
      <c r="Z462">
        <v>39.9</v>
      </c>
      <c r="AA462">
        <v>27</v>
      </c>
      <c r="AB462">
        <v>57</v>
      </c>
      <c r="AC462">
        <v>5</v>
      </c>
      <c r="AD462">
        <v>34</v>
      </c>
      <c r="AE462" t="s">
        <v>60</v>
      </c>
    </row>
    <row r="463" spans="1:31" x14ac:dyDescent="0.2">
      <c r="A463">
        <v>450</v>
      </c>
      <c r="B463" t="s">
        <v>941</v>
      </c>
      <c r="C463">
        <v>34</v>
      </c>
      <c r="D463" t="s">
        <v>400</v>
      </c>
      <c r="E463" t="s">
        <v>340</v>
      </c>
      <c r="F463">
        <v>47</v>
      </c>
      <c r="G463">
        <v>4</v>
      </c>
      <c r="H463">
        <v>6</v>
      </c>
      <c r="I463">
        <v>10</v>
      </c>
      <c r="J463">
        <v>-4</v>
      </c>
      <c r="K463">
        <v>10</v>
      </c>
      <c r="L463">
        <v>4</v>
      </c>
      <c r="M463">
        <v>0</v>
      </c>
      <c r="N463">
        <v>0</v>
      </c>
      <c r="O463">
        <v>0</v>
      </c>
      <c r="P463">
        <v>5</v>
      </c>
      <c r="Q463">
        <v>1</v>
      </c>
      <c r="R463">
        <v>0</v>
      </c>
      <c r="S463">
        <v>51</v>
      </c>
      <c r="T463">
        <v>7.8</v>
      </c>
      <c r="U463">
        <v>102</v>
      </c>
      <c r="V463" t="s">
        <v>2819</v>
      </c>
      <c r="W463" t="s">
        <v>1148</v>
      </c>
      <c r="X463">
        <v>5</v>
      </c>
      <c r="Y463">
        <v>8</v>
      </c>
      <c r="Z463">
        <v>38.5</v>
      </c>
      <c r="AA463">
        <v>37</v>
      </c>
      <c r="AB463">
        <v>84</v>
      </c>
      <c r="AC463">
        <v>7</v>
      </c>
      <c r="AD463">
        <v>24</v>
      </c>
      <c r="AE463" t="s">
        <v>60</v>
      </c>
    </row>
    <row r="464" spans="1:31" x14ac:dyDescent="0.2">
      <c r="A464">
        <v>451</v>
      </c>
      <c r="B464" t="s">
        <v>901</v>
      </c>
      <c r="C464">
        <v>29</v>
      </c>
      <c r="D464" t="s">
        <v>406</v>
      </c>
      <c r="E464" t="s">
        <v>322</v>
      </c>
      <c r="F464">
        <v>46</v>
      </c>
      <c r="G464">
        <v>3</v>
      </c>
      <c r="H464">
        <v>7</v>
      </c>
      <c r="I464">
        <v>10</v>
      </c>
      <c r="J464">
        <v>-7</v>
      </c>
      <c r="K464">
        <v>18</v>
      </c>
      <c r="L464">
        <v>3</v>
      </c>
      <c r="M464">
        <v>0</v>
      </c>
      <c r="N464">
        <v>0</v>
      </c>
      <c r="O464">
        <v>0</v>
      </c>
      <c r="P464">
        <v>6</v>
      </c>
      <c r="Q464">
        <v>0</v>
      </c>
      <c r="R464">
        <v>1</v>
      </c>
      <c r="S464">
        <v>39</v>
      </c>
      <c r="T464">
        <v>7.7</v>
      </c>
      <c r="U464">
        <v>100</v>
      </c>
      <c r="V464" t="s">
        <v>2527</v>
      </c>
      <c r="W464" t="s">
        <v>2528</v>
      </c>
      <c r="X464">
        <v>358</v>
      </c>
      <c r="Y464">
        <v>309</v>
      </c>
      <c r="Z464">
        <v>53.7</v>
      </c>
      <c r="AA464">
        <v>36</v>
      </c>
      <c r="AB464">
        <v>25</v>
      </c>
      <c r="AC464">
        <v>9</v>
      </c>
      <c r="AD464">
        <v>29</v>
      </c>
      <c r="AE464" t="s">
        <v>60</v>
      </c>
    </row>
    <row r="465" spans="1:31" x14ac:dyDescent="0.2">
      <c r="A465">
        <v>452</v>
      </c>
      <c r="B465" t="s">
        <v>954</v>
      </c>
      <c r="C465">
        <v>24</v>
      </c>
      <c r="D465" t="s">
        <v>330</v>
      </c>
      <c r="E465" t="s">
        <v>349</v>
      </c>
      <c r="F465">
        <v>45</v>
      </c>
      <c r="G465">
        <v>2</v>
      </c>
      <c r="H465">
        <v>8</v>
      </c>
      <c r="I465">
        <v>10</v>
      </c>
      <c r="J465">
        <v>-14</v>
      </c>
      <c r="K465">
        <v>9</v>
      </c>
      <c r="L465">
        <v>2</v>
      </c>
      <c r="M465">
        <v>0</v>
      </c>
      <c r="N465">
        <v>0</v>
      </c>
      <c r="O465">
        <v>0</v>
      </c>
      <c r="P465">
        <v>8</v>
      </c>
      <c r="Q465">
        <v>0</v>
      </c>
      <c r="R465">
        <v>0</v>
      </c>
      <c r="S465">
        <v>43</v>
      </c>
      <c r="T465">
        <v>4.7</v>
      </c>
      <c r="U465">
        <v>120</v>
      </c>
      <c r="V465" t="s">
        <v>2170</v>
      </c>
      <c r="W465" t="s">
        <v>1663</v>
      </c>
      <c r="X465">
        <v>0</v>
      </c>
      <c r="Y465">
        <v>0</v>
      </c>
      <c r="AA465">
        <v>65</v>
      </c>
      <c r="AB465">
        <v>17</v>
      </c>
      <c r="AC465">
        <v>15</v>
      </c>
      <c r="AD465">
        <v>47</v>
      </c>
      <c r="AE465" t="s">
        <v>60</v>
      </c>
    </row>
    <row r="466" spans="1:31" x14ac:dyDescent="0.2">
      <c r="A466">
        <v>453</v>
      </c>
      <c r="B466" t="s">
        <v>731</v>
      </c>
      <c r="C466">
        <v>29</v>
      </c>
      <c r="D466" t="s">
        <v>328</v>
      </c>
      <c r="E466" t="s">
        <v>349</v>
      </c>
      <c r="F466">
        <v>18</v>
      </c>
      <c r="G466">
        <v>3</v>
      </c>
      <c r="H466">
        <v>7</v>
      </c>
      <c r="I466">
        <v>10</v>
      </c>
      <c r="J466">
        <v>-4</v>
      </c>
      <c r="K466">
        <v>8</v>
      </c>
      <c r="L466">
        <v>1</v>
      </c>
      <c r="M466">
        <v>1</v>
      </c>
      <c r="N466">
        <v>1</v>
      </c>
      <c r="O466">
        <v>1</v>
      </c>
      <c r="P466">
        <v>7</v>
      </c>
      <c r="Q466">
        <v>0</v>
      </c>
      <c r="R466">
        <v>0</v>
      </c>
      <c r="S466">
        <v>25</v>
      </c>
      <c r="T466">
        <v>12</v>
      </c>
      <c r="U466">
        <v>71</v>
      </c>
      <c r="V466" t="s">
        <v>2529</v>
      </c>
      <c r="W466" t="s">
        <v>1784</v>
      </c>
      <c r="X466">
        <v>0</v>
      </c>
      <c r="Y466">
        <v>0</v>
      </c>
      <c r="AA466">
        <v>32</v>
      </c>
      <c r="AB466">
        <v>7</v>
      </c>
      <c r="AC466">
        <v>7</v>
      </c>
      <c r="AD466">
        <v>23</v>
      </c>
      <c r="AE466" t="s">
        <v>60</v>
      </c>
    </row>
    <row r="467" spans="1:31" x14ac:dyDescent="0.2">
      <c r="A467">
        <v>454</v>
      </c>
      <c r="B467" t="s">
        <v>1031</v>
      </c>
      <c r="C467">
        <v>22</v>
      </c>
      <c r="D467" t="s">
        <v>532</v>
      </c>
      <c r="E467" t="s">
        <v>322</v>
      </c>
      <c r="F467">
        <v>43</v>
      </c>
      <c r="G467">
        <v>3</v>
      </c>
      <c r="H467">
        <v>7</v>
      </c>
      <c r="I467">
        <v>10</v>
      </c>
      <c r="J467">
        <v>-2</v>
      </c>
      <c r="K467">
        <v>8</v>
      </c>
      <c r="L467">
        <v>3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41</v>
      </c>
      <c r="T467">
        <v>7.3</v>
      </c>
      <c r="U467">
        <v>89</v>
      </c>
      <c r="V467" t="s">
        <v>2820</v>
      </c>
      <c r="W467" t="s">
        <v>1824</v>
      </c>
      <c r="X467">
        <v>0</v>
      </c>
      <c r="Y467">
        <v>4</v>
      </c>
      <c r="Z467">
        <v>0</v>
      </c>
      <c r="AA467">
        <v>20</v>
      </c>
      <c r="AB467">
        <v>40</v>
      </c>
      <c r="AC467">
        <v>8</v>
      </c>
      <c r="AD467">
        <v>19</v>
      </c>
      <c r="AE467" t="s">
        <v>60</v>
      </c>
    </row>
    <row r="468" spans="1:31" x14ac:dyDescent="0.2">
      <c r="A468">
        <v>455</v>
      </c>
      <c r="B468" t="s">
        <v>1168</v>
      </c>
      <c r="C468">
        <v>30</v>
      </c>
      <c r="D468" t="s">
        <v>408</v>
      </c>
      <c r="E468" t="s">
        <v>322</v>
      </c>
      <c r="F468">
        <v>40</v>
      </c>
      <c r="G468">
        <v>2</v>
      </c>
      <c r="H468">
        <v>7</v>
      </c>
      <c r="I468">
        <v>9</v>
      </c>
      <c r="J468">
        <v>-1</v>
      </c>
      <c r="K468">
        <v>22</v>
      </c>
      <c r="L468">
        <v>1</v>
      </c>
      <c r="M468">
        <v>0</v>
      </c>
      <c r="N468">
        <v>1</v>
      </c>
      <c r="O468">
        <v>0</v>
      </c>
      <c r="P468">
        <v>6</v>
      </c>
      <c r="Q468">
        <v>0</v>
      </c>
      <c r="R468">
        <v>1</v>
      </c>
      <c r="S468">
        <v>42</v>
      </c>
      <c r="T468">
        <v>4.8</v>
      </c>
      <c r="U468">
        <v>85</v>
      </c>
      <c r="V468" t="s">
        <v>2821</v>
      </c>
      <c r="W468" t="s">
        <v>2822</v>
      </c>
      <c r="X468">
        <v>156</v>
      </c>
      <c r="Y468">
        <v>143</v>
      </c>
      <c r="Z468">
        <v>52.2</v>
      </c>
      <c r="AA468">
        <v>23</v>
      </c>
      <c r="AB468">
        <v>48</v>
      </c>
      <c r="AC468">
        <v>11</v>
      </c>
      <c r="AD468">
        <v>14</v>
      </c>
      <c r="AE468" t="s">
        <v>60</v>
      </c>
    </row>
    <row r="469" spans="1:31" x14ac:dyDescent="0.2">
      <c r="A469">
        <v>456</v>
      </c>
      <c r="B469" t="s">
        <v>909</v>
      </c>
      <c r="C469">
        <v>32</v>
      </c>
      <c r="D469" t="s">
        <v>362</v>
      </c>
      <c r="E469" t="s">
        <v>322</v>
      </c>
      <c r="F469">
        <v>33</v>
      </c>
      <c r="G469">
        <v>4</v>
      </c>
      <c r="H469">
        <v>5</v>
      </c>
      <c r="I469">
        <v>9</v>
      </c>
      <c r="J469">
        <v>-2</v>
      </c>
      <c r="K469">
        <v>8</v>
      </c>
      <c r="L469">
        <v>4</v>
      </c>
      <c r="M469">
        <v>0</v>
      </c>
      <c r="N469">
        <v>0</v>
      </c>
      <c r="O469">
        <v>0</v>
      </c>
      <c r="P469">
        <v>5</v>
      </c>
      <c r="Q469">
        <v>0</v>
      </c>
      <c r="R469">
        <v>0</v>
      </c>
      <c r="S469">
        <v>36</v>
      </c>
      <c r="T469">
        <v>11.1</v>
      </c>
      <c r="U469">
        <v>87</v>
      </c>
      <c r="V469" t="s">
        <v>2823</v>
      </c>
      <c r="W469" t="s">
        <v>1162</v>
      </c>
      <c r="X469">
        <v>21</v>
      </c>
      <c r="Y469">
        <v>18</v>
      </c>
      <c r="Z469">
        <v>53.8</v>
      </c>
      <c r="AA469">
        <v>15</v>
      </c>
      <c r="AB469">
        <v>16</v>
      </c>
      <c r="AC469">
        <v>10</v>
      </c>
      <c r="AD469">
        <v>16</v>
      </c>
      <c r="AE469" t="s">
        <v>60</v>
      </c>
    </row>
    <row r="470" spans="1:31" x14ac:dyDescent="0.2">
      <c r="A470">
        <v>457</v>
      </c>
      <c r="B470" t="s">
        <v>910</v>
      </c>
      <c r="C470">
        <v>20</v>
      </c>
      <c r="D470" t="s">
        <v>532</v>
      </c>
      <c r="E470" t="s">
        <v>325</v>
      </c>
      <c r="F470">
        <v>32</v>
      </c>
      <c r="G470">
        <v>4</v>
      </c>
      <c r="H470">
        <v>5</v>
      </c>
      <c r="I470">
        <v>9</v>
      </c>
      <c r="J470">
        <v>-1</v>
      </c>
      <c r="K470">
        <v>12</v>
      </c>
      <c r="L470">
        <v>3</v>
      </c>
      <c r="M470">
        <v>1</v>
      </c>
      <c r="N470">
        <v>0</v>
      </c>
      <c r="O470">
        <v>1</v>
      </c>
      <c r="P470">
        <v>4</v>
      </c>
      <c r="Q470">
        <v>1</v>
      </c>
      <c r="R470">
        <v>0</v>
      </c>
      <c r="S470">
        <v>39</v>
      </c>
      <c r="T470">
        <v>10.3</v>
      </c>
      <c r="U470">
        <v>77</v>
      </c>
      <c r="V470" t="s">
        <v>2824</v>
      </c>
      <c r="W470" t="s">
        <v>1738</v>
      </c>
      <c r="X470">
        <v>35</v>
      </c>
      <c r="Y470">
        <v>49</v>
      </c>
      <c r="Z470">
        <v>41.7</v>
      </c>
      <c r="AA470">
        <v>17</v>
      </c>
      <c r="AB470">
        <v>4</v>
      </c>
      <c r="AC470">
        <v>8</v>
      </c>
      <c r="AD470">
        <v>18</v>
      </c>
      <c r="AE470" t="s">
        <v>60</v>
      </c>
    </row>
    <row r="471" spans="1:31" x14ac:dyDescent="0.2">
      <c r="A471">
        <v>458</v>
      </c>
      <c r="B471" t="s">
        <v>1632</v>
      </c>
      <c r="C471">
        <v>20</v>
      </c>
      <c r="D471" t="s">
        <v>324</v>
      </c>
      <c r="E471" t="s">
        <v>340</v>
      </c>
      <c r="F471">
        <v>12</v>
      </c>
      <c r="G471">
        <v>3</v>
      </c>
      <c r="H471">
        <v>6</v>
      </c>
      <c r="I471">
        <v>9</v>
      </c>
      <c r="J471">
        <v>0</v>
      </c>
      <c r="K471">
        <v>2</v>
      </c>
      <c r="L471">
        <v>2</v>
      </c>
      <c r="M471">
        <v>1</v>
      </c>
      <c r="N471">
        <v>0</v>
      </c>
      <c r="O471">
        <v>1</v>
      </c>
      <c r="P471">
        <v>4</v>
      </c>
      <c r="Q471">
        <v>2</v>
      </c>
      <c r="R471">
        <v>0</v>
      </c>
      <c r="S471">
        <v>22</v>
      </c>
      <c r="T471">
        <v>13.6</v>
      </c>
      <c r="U471">
        <v>42</v>
      </c>
      <c r="V471" t="s">
        <v>2088</v>
      </c>
      <c r="W471" t="s">
        <v>1669</v>
      </c>
      <c r="X471">
        <v>0</v>
      </c>
      <c r="Y471">
        <v>0</v>
      </c>
      <c r="AA471">
        <v>5</v>
      </c>
      <c r="AB471">
        <v>3</v>
      </c>
      <c r="AC471">
        <v>0</v>
      </c>
      <c r="AD471">
        <v>14</v>
      </c>
      <c r="AE471" t="s">
        <v>60</v>
      </c>
    </row>
    <row r="472" spans="1:31" x14ac:dyDescent="0.2">
      <c r="A472">
        <v>459</v>
      </c>
      <c r="B472" t="s">
        <v>974</v>
      </c>
      <c r="C472">
        <v>30</v>
      </c>
      <c r="D472" t="s">
        <v>330</v>
      </c>
      <c r="E472" t="s">
        <v>322</v>
      </c>
      <c r="F472">
        <v>33</v>
      </c>
      <c r="G472">
        <v>5</v>
      </c>
      <c r="H472">
        <v>4</v>
      </c>
      <c r="I472">
        <v>9</v>
      </c>
      <c r="J472">
        <v>-7</v>
      </c>
      <c r="K472">
        <v>8</v>
      </c>
      <c r="L472">
        <v>4</v>
      </c>
      <c r="M472">
        <v>0</v>
      </c>
      <c r="N472">
        <v>1</v>
      </c>
      <c r="O472">
        <v>0</v>
      </c>
      <c r="P472">
        <v>3</v>
      </c>
      <c r="Q472">
        <v>0</v>
      </c>
      <c r="R472">
        <v>1</v>
      </c>
      <c r="S472">
        <v>41</v>
      </c>
      <c r="T472">
        <v>12.2</v>
      </c>
      <c r="U472">
        <v>85</v>
      </c>
      <c r="V472" t="s">
        <v>2171</v>
      </c>
      <c r="W472" t="s">
        <v>1549</v>
      </c>
      <c r="X472">
        <v>248</v>
      </c>
      <c r="Y472">
        <v>258</v>
      </c>
      <c r="Z472">
        <v>49</v>
      </c>
      <c r="AA472">
        <v>25</v>
      </c>
      <c r="AB472">
        <v>39</v>
      </c>
      <c r="AC472">
        <v>7</v>
      </c>
      <c r="AD472">
        <v>24</v>
      </c>
      <c r="AE472" t="s">
        <v>60</v>
      </c>
    </row>
    <row r="473" spans="1:31" x14ac:dyDescent="0.2">
      <c r="A473">
        <v>460</v>
      </c>
      <c r="B473" t="s">
        <v>875</v>
      </c>
      <c r="C473">
        <v>35</v>
      </c>
      <c r="D473" t="s">
        <v>337</v>
      </c>
      <c r="E473" t="s">
        <v>349</v>
      </c>
      <c r="F473">
        <v>33</v>
      </c>
      <c r="G473">
        <v>1</v>
      </c>
      <c r="H473">
        <v>8</v>
      </c>
      <c r="I473">
        <v>9</v>
      </c>
      <c r="J473">
        <v>-4</v>
      </c>
      <c r="K473">
        <v>22</v>
      </c>
      <c r="L473">
        <v>1</v>
      </c>
      <c r="M473">
        <v>0</v>
      </c>
      <c r="N473">
        <v>0</v>
      </c>
      <c r="O473">
        <v>0</v>
      </c>
      <c r="P473">
        <v>8</v>
      </c>
      <c r="Q473">
        <v>0</v>
      </c>
      <c r="R473">
        <v>0</v>
      </c>
      <c r="S473">
        <v>41</v>
      </c>
      <c r="T473">
        <v>2.4</v>
      </c>
      <c r="U473">
        <v>106</v>
      </c>
      <c r="V473" t="s">
        <v>2530</v>
      </c>
      <c r="W473" t="s">
        <v>2344</v>
      </c>
      <c r="X473">
        <v>0</v>
      </c>
      <c r="Y473">
        <v>0</v>
      </c>
      <c r="AA473">
        <v>58</v>
      </c>
      <c r="AB473">
        <v>116</v>
      </c>
      <c r="AC473">
        <v>8</v>
      </c>
      <c r="AD473">
        <v>29</v>
      </c>
      <c r="AE473" t="s">
        <v>60</v>
      </c>
    </row>
    <row r="474" spans="1:31" x14ac:dyDescent="0.2">
      <c r="A474">
        <v>461</v>
      </c>
      <c r="B474" t="s">
        <v>753</v>
      </c>
      <c r="C474">
        <v>24</v>
      </c>
      <c r="D474" t="s">
        <v>337</v>
      </c>
      <c r="E474" t="s">
        <v>349</v>
      </c>
      <c r="F474">
        <v>40</v>
      </c>
      <c r="G474">
        <v>2</v>
      </c>
      <c r="H474">
        <v>7</v>
      </c>
      <c r="I474">
        <v>9</v>
      </c>
      <c r="J474">
        <v>-11</v>
      </c>
      <c r="K474">
        <v>10</v>
      </c>
      <c r="L474">
        <v>2</v>
      </c>
      <c r="M474">
        <v>0</v>
      </c>
      <c r="N474">
        <v>0</v>
      </c>
      <c r="O474">
        <v>0</v>
      </c>
      <c r="P474">
        <v>5</v>
      </c>
      <c r="Q474">
        <v>0</v>
      </c>
      <c r="R474">
        <v>2</v>
      </c>
      <c r="S474">
        <v>29</v>
      </c>
      <c r="T474">
        <v>6.9</v>
      </c>
      <c r="U474">
        <v>89</v>
      </c>
      <c r="V474" t="s">
        <v>2531</v>
      </c>
      <c r="W474" t="s">
        <v>1937</v>
      </c>
      <c r="X474">
        <v>0</v>
      </c>
      <c r="Y474">
        <v>0</v>
      </c>
      <c r="AA474">
        <v>59</v>
      </c>
      <c r="AB474">
        <v>43</v>
      </c>
      <c r="AC474">
        <v>18</v>
      </c>
      <c r="AD474">
        <v>31</v>
      </c>
      <c r="AE474" t="s">
        <v>60</v>
      </c>
    </row>
    <row r="475" spans="1:31" x14ac:dyDescent="0.2">
      <c r="A475">
        <v>462</v>
      </c>
      <c r="B475" t="s">
        <v>882</v>
      </c>
      <c r="C475">
        <v>26</v>
      </c>
      <c r="D475" t="s">
        <v>356</v>
      </c>
      <c r="E475" t="s">
        <v>349</v>
      </c>
      <c r="F475">
        <v>30</v>
      </c>
      <c r="G475">
        <v>0</v>
      </c>
      <c r="H475">
        <v>9</v>
      </c>
      <c r="I475">
        <v>9</v>
      </c>
      <c r="J475">
        <v>4</v>
      </c>
      <c r="K475">
        <v>10</v>
      </c>
      <c r="L475">
        <v>0</v>
      </c>
      <c r="M475">
        <v>0</v>
      </c>
      <c r="N475">
        <v>0</v>
      </c>
      <c r="O475">
        <v>0</v>
      </c>
      <c r="P475">
        <v>7</v>
      </c>
      <c r="Q475">
        <v>2</v>
      </c>
      <c r="R475">
        <v>0</v>
      </c>
      <c r="S475">
        <v>30</v>
      </c>
      <c r="T475">
        <v>0</v>
      </c>
      <c r="U475">
        <v>87</v>
      </c>
      <c r="V475" t="s">
        <v>2532</v>
      </c>
      <c r="W475" t="s">
        <v>2374</v>
      </c>
      <c r="X475">
        <v>0</v>
      </c>
      <c r="Y475">
        <v>0</v>
      </c>
      <c r="AA475">
        <v>22</v>
      </c>
      <c r="AB475">
        <v>16</v>
      </c>
      <c r="AC475">
        <v>5</v>
      </c>
      <c r="AD475">
        <v>38</v>
      </c>
      <c r="AE475" t="s">
        <v>60</v>
      </c>
    </row>
    <row r="476" spans="1:31" x14ac:dyDescent="0.2">
      <c r="A476">
        <v>463</v>
      </c>
      <c r="B476" t="s">
        <v>922</v>
      </c>
      <c r="C476">
        <v>25</v>
      </c>
      <c r="D476" t="s">
        <v>437</v>
      </c>
      <c r="E476" t="s">
        <v>325</v>
      </c>
      <c r="F476">
        <v>45</v>
      </c>
      <c r="G476">
        <v>4</v>
      </c>
      <c r="H476">
        <v>5</v>
      </c>
      <c r="I476">
        <v>9</v>
      </c>
      <c r="J476">
        <v>-7</v>
      </c>
      <c r="K476">
        <v>74</v>
      </c>
      <c r="L476">
        <v>4</v>
      </c>
      <c r="M476">
        <v>0</v>
      </c>
      <c r="N476">
        <v>0</v>
      </c>
      <c r="O476">
        <v>0</v>
      </c>
      <c r="P476">
        <v>4</v>
      </c>
      <c r="Q476">
        <v>1</v>
      </c>
      <c r="R476">
        <v>0</v>
      </c>
      <c r="S476">
        <v>45</v>
      </c>
      <c r="T476">
        <v>8.9</v>
      </c>
      <c r="U476">
        <v>105</v>
      </c>
      <c r="V476" t="s">
        <v>2533</v>
      </c>
      <c r="W476" t="s">
        <v>1167</v>
      </c>
      <c r="X476">
        <v>7</v>
      </c>
      <c r="Y476">
        <v>18</v>
      </c>
      <c r="Z476">
        <v>28</v>
      </c>
      <c r="AA476">
        <v>25</v>
      </c>
      <c r="AB476">
        <v>163</v>
      </c>
      <c r="AC476">
        <v>8</v>
      </c>
      <c r="AD476">
        <v>20</v>
      </c>
      <c r="AE476" t="s">
        <v>60</v>
      </c>
    </row>
    <row r="477" spans="1:31" x14ac:dyDescent="0.2">
      <c r="A477">
        <v>464</v>
      </c>
      <c r="B477" t="s">
        <v>923</v>
      </c>
      <c r="C477">
        <v>27</v>
      </c>
      <c r="D477" t="s">
        <v>346</v>
      </c>
      <c r="E477" t="s">
        <v>340</v>
      </c>
      <c r="F477">
        <v>30</v>
      </c>
      <c r="G477">
        <v>3</v>
      </c>
      <c r="H477">
        <v>6</v>
      </c>
      <c r="I477">
        <v>9</v>
      </c>
      <c r="J477">
        <v>0</v>
      </c>
      <c r="K477">
        <v>12</v>
      </c>
      <c r="L477">
        <v>3</v>
      </c>
      <c r="M477">
        <v>0</v>
      </c>
      <c r="N477">
        <v>0</v>
      </c>
      <c r="O477">
        <v>1</v>
      </c>
      <c r="P477">
        <v>6</v>
      </c>
      <c r="Q477">
        <v>0</v>
      </c>
      <c r="R477">
        <v>0</v>
      </c>
      <c r="S477">
        <v>36</v>
      </c>
      <c r="T477">
        <v>8.3000000000000007</v>
      </c>
      <c r="U477">
        <v>69</v>
      </c>
      <c r="V477" t="s">
        <v>2534</v>
      </c>
      <c r="W477" t="s">
        <v>983</v>
      </c>
      <c r="X477">
        <v>0</v>
      </c>
      <c r="Y477">
        <v>0</v>
      </c>
      <c r="AA477">
        <v>6</v>
      </c>
      <c r="AB477">
        <v>90</v>
      </c>
      <c r="AC477">
        <v>7</v>
      </c>
      <c r="AD477">
        <v>12</v>
      </c>
      <c r="AE477" t="s">
        <v>60</v>
      </c>
    </row>
    <row r="478" spans="1:31" x14ac:dyDescent="0.2">
      <c r="A478">
        <v>465</v>
      </c>
      <c r="B478" t="s">
        <v>937</v>
      </c>
      <c r="C478">
        <v>30</v>
      </c>
      <c r="D478" t="s">
        <v>358</v>
      </c>
      <c r="E478" t="s">
        <v>349</v>
      </c>
      <c r="F478">
        <v>40</v>
      </c>
      <c r="G478">
        <v>1</v>
      </c>
      <c r="H478">
        <v>8</v>
      </c>
      <c r="I478">
        <v>9</v>
      </c>
      <c r="J478">
        <v>-3</v>
      </c>
      <c r="K478">
        <v>48</v>
      </c>
      <c r="L478">
        <v>1</v>
      </c>
      <c r="M478">
        <v>0</v>
      </c>
      <c r="N478">
        <v>0</v>
      </c>
      <c r="O478">
        <v>0</v>
      </c>
      <c r="P478">
        <v>8</v>
      </c>
      <c r="Q478">
        <v>0</v>
      </c>
      <c r="R478">
        <v>0</v>
      </c>
      <c r="S478">
        <v>29</v>
      </c>
      <c r="T478">
        <v>3.4</v>
      </c>
      <c r="U478">
        <v>75</v>
      </c>
      <c r="V478" t="s">
        <v>2172</v>
      </c>
      <c r="W478" t="s">
        <v>1798</v>
      </c>
      <c r="X478">
        <v>0</v>
      </c>
      <c r="Y478">
        <v>0</v>
      </c>
      <c r="AA478">
        <v>54</v>
      </c>
      <c r="AB478">
        <v>57</v>
      </c>
      <c r="AC478">
        <v>5</v>
      </c>
      <c r="AD478">
        <v>21</v>
      </c>
      <c r="AE478" t="s">
        <v>60</v>
      </c>
    </row>
    <row r="479" spans="1:31" x14ac:dyDescent="0.2">
      <c r="A479">
        <v>466</v>
      </c>
      <c r="B479" t="s">
        <v>797</v>
      </c>
      <c r="C479">
        <v>24</v>
      </c>
      <c r="D479" t="s">
        <v>337</v>
      </c>
      <c r="E479" t="s">
        <v>322</v>
      </c>
      <c r="F479">
        <v>29</v>
      </c>
      <c r="G479">
        <v>1</v>
      </c>
      <c r="H479">
        <v>8</v>
      </c>
      <c r="I479">
        <v>9</v>
      </c>
      <c r="J479">
        <v>-2</v>
      </c>
      <c r="K479">
        <v>8</v>
      </c>
      <c r="L479">
        <v>1</v>
      </c>
      <c r="M479">
        <v>0</v>
      </c>
      <c r="N479">
        <v>0</v>
      </c>
      <c r="O479">
        <v>1</v>
      </c>
      <c r="P479">
        <v>8</v>
      </c>
      <c r="Q479">
        <v>0</v>
      </c>
      <c r="R479">
        <v>0</v>
      </c>
      <c r="S479">
        <v>31</v>
      </c>
      <c r="T479">
        <v>3.2</v>
      </c>
      <c r="U479">
        <v>69</v>
      </c>
      <c r="V479" t="s">
        <v>2535</v>
      </c>
      <c r="W479" t="s">
        <v>959</v>
      </c>
      <c r="X479">
        <v>11</v>
      </c>
      <c r="Y479">
        <v>17</v>
      </c>
      <c r="Z479">
        <v>39.299999999999997</v>
      </c>
      <c r="AA479">
        <v>8</v>
      </c>
      <c r="AB479">
        <v>53</v>
      </c>
      <c r="AC479">
        <v>1</v>
      </c>
      <c r="AD479">
        <v>14</v>
      </c>
      <c r="AE479" t="s">
        <v>60</v>
      </c>
    </row>
    <row r="480" spans="1:31" x14ac:dyDescent="0.2">
      <c r="A480">
        <v>467</v>
      </c>
      <c r="B480" t="s">
        <v>942</v>
      </c>
      <c r="C480">
        <v>33</v>
      </c>
      <c r="D480" t="s">
        <v>346</v>
      </c>
      <c r="E480" t="s">
        <v>340</v>
      </c>
      <c r="F480">
        <v>39</v>
      </c>
      <c r="G480">
        <v>6</v>
      </c>
      <c r="H480">
        <v>3</v>
      </c>
      <c r="I480">
        <v>9</v>
      </c>
      <c r="J480">
        <v>5</v>
      </c>
      <c r="K480">
        <v>23</v>
      </c>
      <c r="L480">
        <v>6</v>
      </c>
      <c r="M480">
        <v>0</v>
      </c>
      <c r="N480">
        <v>0</v>
      </c>
      <c r="O480">
        <v>2</v>
      </c>
      <c r="P480">
        <v>3</v>
      </c>
      <c r="Q480">
        <v>0</v>
      </c>
      <c r="R480">
        <v>0</v>
      </c>
      <c r="S480">
        <v>34</v>
      </c>
      <c r="T480">
        <v>17.600000000000001</v>
      </c>
      <c r="U480">
        <v>61</v>
      </c>
      <c r="V480" t="s">
        <v>2536</v>
      </c>
      <c r="W480" t="s">
        <v>2537</v>
      </c>
      <c r="X480">
        <v>4</v>
      </c>
      <c r="Y480">
        <v>11</v>
      </c>
      <c r="Z480">
        <v>26.7</v>
      </c>
      <c r="AA480">
        <v>21</v>
      </c>
      <c r="AB480">
        <v>50</v>
      </c>
      <c r="AC480">
        <v>5</v>
      </c>
      <c r="AD480">
        <v>21</v>
      </c>
      <c r="AE480" t="s">
        <v>60</v>
      </c>
    </row>
    <row r="481" spans="1:31" x14ac:dyDescent="0.2">
      <c r="A481">
        <v>468</v>
      </c>
      <c r="B481" t="s">
        <v>944</v>
      </c>
      <c r="C481">
        <v>27</v>
      </c>
      <c r="D481" t="s">
        <v>356</v>
      </c>
      <c r="E481" t="s">
        <v>349</v>
      </c>
      <c r="F481">
        <v>47</v>
      </c>
      <c r="G481">
        <v>4</v>
      </c>
      <c r="H481">
        <v>5</v>
      </c>
      <c r="I481">
        <v>9</v>
      </c>
      <c r="J481">
        <v>-12</v>
      </c>
      <c r="K481">
        <v>16</v>
      </c>
      <c r="L481">
        <v>4</v>
      </c>
      <c r="M481">
        <v>0</v>
      </c>
      <c r="N481">
        <v>0</v>
      </c>
      <c r="O481">
        <v>0</v>
      </c>
      <c r="P481">
        <v>5</v>
      </c>
      <c r="Q481">
        <v>0</v>
      </c>
      <c r="R481">
        <v>0</v>
      </c>
      <c r="S481">
        <v>54</v>
      </c>
      <c r="T481">
        <v>7.4</v>
      </c>
      <c r="U481">
        <v>134</v>
      </c>
      <c r="V481" t="s">
        <v>2538</v>
      </c>
      <c r="W481" t="s">
        <v>413</v>
      </c>
      <c r="X481">
        <v>0</v>
      </c>
      <c r="Y481">
        <v>0</v>
      </c>
      <c r="AA481">
        <v>91</v>
      </c>
      <c r="AB481">
        <v>57</v>
      </c>
      <c r="AC481">
        <v>9</v>
      </c>
      <c r="AD481">
        <v>42</v>
      </c>
      <c r="AE481" t="s">
        <v>60</v>
      </c>
    </row>
    <row r="482" spans="1:31" x14ac:dyDescent="0.2">
      <c r="A482">
        <v>469</v>
      </c>
      <c r="B482" t="s">
        <v>799</v>
      </c>
      <c r="C482">
        <v>33</v>
      </c>
      <c r="D482" t="s">
        <v>334</v>
      </c>
      <c r="E482" t="s">
        <v>349</v>
      </c>
      <c r="F482">
        <v>43</v>
      </c>
      <c r="G482">
        <v>2</v>
      </c>
      <c r="H482">
        <v>7</v>
      </c>
      <c r="I482">
        <v>9</v>
      </c>
      <c r="J482">
        <v>2</v>
      </c>
      <c r="K482">
        <v>47</v>
      </c>
      <c r="L482">
        <v>2</v>
      </c>
      <c r="M482">
        <v>0</v>
      </c>
      <c r="N482">
        <v>0</v>
      </c>
      <c r="O482">
        <v>0</v>
      </c>
      <c r="P482">
        <v>7</v>
      </c>
      <c r="Q482">
        <v>0</v>
      </c>
      <c r="R482">
        <v>0</v>
      </c>
      <c r="S482">
        <v>46</v>
      </c>
      <c r="T482">
        <v>4.3</v>
      </c>
      <c r="U482">
        <v>94</v>
      </c>
      <c r="V482" t="s">
        <v>2539</v>
      </c>
      <c r="W482" t="s">
        <v>1666</v>
      </c>
      <c r="X482">
        <v>0</v>
      </c>
      <c r="Y482">
        <v>0</v>
      </c>
      <c r="AA482">
        <v>64</v>
      </c>
      <c r="AB482">
        <v>72</v>
      </c>
      <c r="AC482">
        <v>9</v>
      </c>
      <c r="AD482">
        <v>36</v>
      </c>
      <c r="AE482" t="s">
        <v>60</v>
      </c>
    </row>
    <row r="483" spans="1:31" x14ac:dyDescent="0.2">
      <c r="A483">
        <v>470</v>
      </c>
      <c r="B483" t="s">
        <v>945</v>
      </c>
      <c r="C483">
        <v>29</v>
      </c>
      <c r="D483" t="s">
        <v>449</v>
      </c>
      <c r="E483" t="s">
        <v>349</v>
      </c>
      <c r="F483">
        <v>46</v>
      </c>
      <c r="G483">
        <v>1</v>
      </c>
      <c r="H483">
        <v>8</v>
      </c>
      <c r="I483">
        <v>9</v>
      </c>
      <c r="J483">
        <v>-1</v>
      </c>
      <c r="K483">
        <v>50</v>
      </c>
      <c r="L483">
        <v>1</v>
      </c>
      <c r="M483">
        <v>0</v>
      </c>
      <c r="N483">
        <v>0</v>
      </c>
      <c r="O483">
        <v>0</v>
      </c>
      <c r="P483">
        <v>8</v>
      </c>
      <c r="Q483">
        <v>0</v>
      </c>
      <c r="R483">
        <v>0</v>
      </c>
      <c r="S483">
        <v>39</v>
      </c>
      <c r="T483">
        <v>2.6</v>
      </c>
      <c r="U483">
        <v>100</v>
      </c>
      <c r="V483" t="s">
        <v>2540</v>
      </c>
      <c r="W483" t="s">
        <v>1834</v>
      </c>
      <c r="X483">
        <v>0</v>
      </c>
      <c r="Y483">
        <v>0</v>
      </c>
      <c r="AA483">
        <v>76</v>
      </c>
      <c r="AB483">
        <v>36</v>
      </c>
      <c r="AC483">
        <v>9</v>
      </c>
      <c r="AD483">
        <v>47</v>
      </c>
      <c r="AE483" t="s">
        <v>60</v>
      </c>
    </row>
    <row r="484" spans="1:31" x14ac:dyDescent="0.2">
      <c r="A484">
        <v>471</v>
      </c>
      <c r="B484" t="s">
        <v>845</v>
      </c>
      <c r="C484">
        <v>33</v>
      </c>
      <c r="D484" t="s">
        <v>362</v>
      </c>
      <c r="E484" t="s">
        <v>340</v>
      </c>
      <c r="F484">
        <v>37</v>
      </c>
      <c r="G484">
        <v>1</v>
      </c>
      <c r="H484">
        <v>8</v>
      </c>
      <c r="I484">
        <v>9</v>
      </c>
      <c r="J484">
        <v>-4</v>
      </c>
      <c r="K484">
        <v>8</v>
      </c>
      <c r="L484">
        <v>1</v>
      </c>
      <c r="M484">
        <v>0</v>
      </c>
      <c r="N484">
        <v>0</v>
      </c>
      <c r="O484">
        <v>0</v>
      </c>
      <c r="P484">
        <v>6</v>
      </c>
      <c r="Q484">
        <v>2</v>
      </c>
      <c r="R484">
        <v>0</v>
      </c>
      <c r="S484">
        <v>55</v>
      </c>
      <c r="T484">
        <v>1.8</v>
      </c>
      <c r="U484">
        <v>113</v>
      </c>
      <c r="V484" t="s">
        <v>1830</v>
      </c>
      <c r="W484" t="s">
        <v>1735</v>
      </c>
      <c r="X484">
        <v>8</v>
      </c>
      <c r="Y484">
        <v>6</v>
      </c>
      <c r="Z484">
        <v>57.1</v>
      </c>
      <c r="AA484">
        <v>25</v>
      </c>
      <c r="AB484">
        <v>17</v>
      </c>
      <c r="AC484">
        <v>13</v>
      </c>
      <c r="AD484">
        <v>26</v>
      </c>
      <c r="AE484" t="s">
        <v>60</v>
      </c>
    </row>
    <row r="485" spans="1:31" x14ac:dyDescent="0.2">
      <c r="A485">
        <v>472</v>
      </c>
      <c r="B485" t="s">
        <v>770</v>
      </c>
      <c r="C485">
        <v>26</v>
      </c>
      <c r="D485" t="s">
        <v>957</v>
      </c>
      <c r="E485" t="s">
        <v>349</v>
      </c>
      <c r="F485">
        <v>46</v>
      </c>
      <c r="G485">
        <v>1</v>
      </c>
      <c r="H485">
        <v>8</v>
      </c>
      <c r="I485">
        <v>9</v>
      </c>
      <c r="J485">
        <v>-5</v>
      </c>
      <c r="K485">
        <v>12</v>
      </c>
      <c r="L485">
        <v>1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1</v>
      </c>
      <c r="S485">
        <v>47</v>
      </c>
      <c r="T485">
        <v>2.1</v>
      </c>
      <c r="U485">
        <v>104</v>
      </c>
      <c r="V485" t="s">
        <v>2541</v>
      </c>
      <c r="W485" t="s">
        <v>1045</v>
      </c>
      <c r="X485">
        <v>0</v>
      </c>
      <c r="Y485">
        <v>0</v>
      </c>
      <c r="AA485">
        <v>43</v>
      </c>
      <c r="AB485">
        <v>9</v>
      </c>
      <c r="AC485">
        <v>16</v>
      </c>
      <c r="AD485">
        <v>45</v>
      </c>
      <c r="AE485" t="s">
        <v>60</v>
      </c>
    </row>
    <row r="486" spans="1:31" x14ac:dyDescent="0.2">
      <c r="A486">
        <v>472</v>
      </c>
      <c r="B486" t="s">
        <v>770</v>
      </c>
      <c r="C486">
        <v>26</v>
      </c>
      <c r="D486" t="s">
        <v>461</v>
      </c>
      <c r="E486" t="s">
        <v>349</v>
      </c>
      <c r="F486">
        <v>30</v>
      </c>
      <c r="G486">
        <v>1</v>
      </c>
      <c r="H486">
        <v>8</v>
      </c>
      <c r="I486">
        <v>9</v>
      </c>
      <c r="J486">
        <v>-1</v>
      </c>
      <c r="K486">
        <v>10</v>
      </c>
      <c r="L486">
        <v>1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1</v>
      </c>
      <c r="S486">
        <v>30</v>
      </c>
      <c r="T486">
        <v>3.3</v>
      </c>
      <c r="U486">
        <v>67</v>
      </c>
      <c r="V486" t="s">
        <v>1577</v>
      </c>
      <c r="W486" t="s">
        <v>1353</v>
      </c>
      <c r="X486">
        <v>0</v>
      </c>
      <c r="Y486">
        <v>0</v>
      </c>
      <c r="AA486">
        <v>25</v>
      </c>
      <c r="AB486">
        <v>5</v>
      </c>
      <c r="AC486">
        <v>9</v>
      </c>
      <c r="AD486">
        <v>22</v>
      </c>
      <c r="AE486" t="s">
        <v>60</v>
      </c>
    </row>
    <row r="487" spans="1:31" x14ac:dyDescent="0.2">
      <c r="A487">
        <v>472</v>
      </c>
      <c r="B487" t="s">
        <v>770</v>
      </c>
      <c r="C487">
        <v>26</v>
      </c>
      <c r="D487" t="s">
        <v>328</v>
      </c>
      <c r="E487" t="s">
        <v>349</v>
      </c>
      <c r="F487">
        <v>16</v>
      </c>
      <c r="G487">
        <v>0</v>
      </c>
      <c r="H487">
        <v>0</v>
      </c>
      <c r="I487">
        <v>0</v>
      </c>
      <c r="J487">
        <v>-4</v>
      </c>
      <c r="K487">
        <v>2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17</v>
      </c>
      <c r="T487">
        <v>0</v>
      </c>
      <c r="U487">
        <v>37</v>
      </c>
      <c r="V487" t="s">
        <v>2542</v>
      </c>
      <c r="W487" t="s">
        <v>2543</v>
      </c>
      <c r="X487">
        <v>0</v>
      </c>
      <c r="Y487">
        <v>0</v>
      </c>
      <c r="AA487">
        <v>18</v>
      </c>
      <c r="AB487">
        <v>4</v>
      </c>
      <c r="AC487">
        <v>7</v>
      </c>
      <c r="AD487">
        <v>23</v>
      </c>
      <c r="AE487" t="s">
        <v>60</v>
      </c>
    </row>
    <row r="488" spans="1:31" x14ac:dyDescent="0.2">
      <c r="A488">
        <v>473</v>
      </c>
      <c r="B488" t="s">
        <v>1020</v>
      </c>
      <c r="C488">
        <v>31</v>
      </c>
      <c r="D488" t="s">
        <v>957</v>
      </c>
      <c r="E488" t="s">
        <v>349</v>
      </c>
      <c r="F488">
        <v>33</v>
      </c>
      <c r="G488">
        <v>2</v>
      </c>
      <c r="H488">
        <v>7</v>
      </c>
      <c r="I488">
        <v>9</v>
      </c>
      <c r="J488">
        <v>10</v>
      </c>
      <c r="K488">
        <v>16</v>
      </c>
      <c r="L488">
        <v>2</v>
      </c>
      <c r="M488">
        <v>0</v>
      </c>
      <c r="N488">
        <v>0</v>
      </c>
      <c r="O488">
        <v>0</v>
      </c>
      <c r="P488">
        <v>7</v>
      </c>
      <c r="Q488">
        <v>0</v>
      </c>
      <c r="R488">
        <v>0</v>
      </c>
      <c r="S488">
        <v>25</v>
      </c>
      <c r="T488">
        <v>8</v>
      </c>
      <c r="U488">
        <v>78</v>
      </c>
      <c r="V488" t="s">
        <v>2544</v>
      </c>
      <c r="W488" t="s">
        <v>2414</v>
      </c>
      <c r="X488">
        <v>0</v>
      </c>
      <c r="Y488">
        <v>0</v>
      </c>
      <c r="AA488">
        <v>33</v>
      </c>
      <c r="AB488">
        <v>15</v>
      </c>
      <c r="AC488">
        <v>9</v>
      </c>
      <c r="AD488">
        <v>39</v>
      </c>
      <c r="AE488" t="s">
        <v>60</v>
      </c>
    </row>
    <row r="489" spans="1:31" x14ac:dyDescent="0.2">
      <c r="A489">
        <v>473</v>
      </c>
      <c r="B489" t="s">
        <v>1020</v>
      </c>
      <c r="C489">
        <v>31</v>
      </c>
      <c r="D489" t="s">
        <v>328</v>
      </c>
      <c r="E489" t="s">
        <v>349</v>
      </c>
      <c r="F489">
        <v>6</v>
      </c>
      <c r="G489">
        <v>0</v>
      </c>
      <c r="H489">
        <v>0</v>
      </c>
      <c r="I489">
        <v>0</v>
      </c>
      <c r="J489">
        <v>0</v>
      </c>
      <c r="K489">
        <v>8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3</v>
      </c>
      <c r="T489">
        <v>0</v>
      </c>
      <c r="U489">
        <v>9</v>
      </c>
      <c r="V489" t="s">
        <v>1022</v>
      </c>
      <c r="W489" t="s">
        <v>1023</v>
      </c>
      <c r="X489">
        <v>0</v>
      </c>
      <c r="Y489">
        <v>0</v>
      </c>
      <c r="AA489">
        <v>3</v>
      </c>
      <c r="AB489">
        <v>2</v>
      </c>
      <c r="AC489">
        <v>2</v>
      </c>
      <c r="AD489">
        <v>8</v>
      </c>
      <c r="AE489" t="s">
        <v>60</v>
      </c>
    </row>
    <row r="490" spans="1:31" x14ac:dyDescent="0.2">
      <c r="A490">
        <v>473</v>
      </c>
      <c r="B490" t="s">
        <v>1020</v>
      </c>
      <c r="C490">
        <v>31</v>
      </c>
      <c r="D490" t="s">
        <v>360</v>
      </c>
      <c r="E490" t="s">
        <v>349</v>
      </c>
      <c r="F490">
        <v>27</v>
      </c>
      <c r="G490">
        <v>2</v>
      </c>
      <c r="H490">
        <v>7</v>
      </c>
      <c r="I490">
        <v>9</v>
      </c>
      <c r="J490">
        <v>10</v>
      </c>
      <c r="K490">
        <v>8</v>
      </c>
      <c r="L490">
        <v>2</v>
      </c>
      <c r="M490">
        <v>0</v>
      </c>
      <c r="N490">
        <v>0</v>
      </c>
      <c r="O490">
        <v>0</v>
      </c>
      <c r="P490">
        <v>7</v>
      </c>
      <c r="Q490">
        <v>0</v>
      </c>
      <c r="R490">
        <v>0</v>
      </c>
      <c r="S490">
        <v>22</v>
      </c>
      <c r="T490">
        <v>9.1</v>
      </c>
      <c r="U490">
        <v>69</v>
      </c>
      <c r="V490" t="s">
        <v>2545</v>
      </c>
      <c r="W490" t="s">
        <v>427</v>
      </c>
      <c r="X490">
        <v>0</v>
      </c>
      <c r="Y490">
        <v>0</v>
      </c>
      <c r="AA490">
        <v>30</v>
      </c>
      <c r="AB490">
        <v>13</v>
      </c>
      <c r="AC490">
        <v>7</v>
      </c>
      <c r="AD490">
        <v>31</v>
      </c>
      <c r="AE490" t="s">
        <v>60</v>
      </c>
    </row>
    <row r="491" spans="1:31" x14ac:dyDescent="0.2">
      <c r="A491">
        <v>474</v>
      </c>
      <c r="B491" t="s">
        <v>1025</v>
      </c>
      <c r="C491">
        <v>22</v>
      </c>
      <c r="D491" t="s">
        <v>461</v>
      </c>
      <c r="E491" t="s">
        <v>322</v>
      </c>
      <c r="F491">
        <v>44</v>
      </c>
      <c r="G491">
        <v>2</v>
      </c>
      <c r="H491">
        <v>7</v>
      </c>
      <c r="I491">
        <v>9</v>
      </c>
      <c r="J491">
        <v>-3</v>
      </c>
      <c r="K491">
        <v>14</v>
      </c>
      <c r="L491">
        <v>1</v>
      </c>
      <c r="M491">
        <v>0</v>
      </c>
      <c r="N491">
        <v>1</v>
      </c>
      <c r="O491">
        <v>0</v>
      </c>
      <c r="P491">
        <v>7</v>
      </c>
      <c r="Q491">
        <v>0</v>
      </c>
      <c r="R491">
        <v>0</v>
      </c>
      <c r="S491">
        <v>54</v>
      </c>
      <c r="T491">
        <v>3.7</v>
      </c>
      <c r="U491">
        <v>99</v>
      </c>
      <c r="V491" t="s">
        <v>2546</v>
      </c>
      <c r="W491" t="s">
        <v>864</v>
      </c>
      <c r="X491">
        <v>136</v>
      </c>
      <c r="Y491">
        <v>178</v>
      </c>
      <c r="Z491">
        <v>43.3</v>
      </c>
      <c r="AA491">
        <v>15</v>
      </c>
      <c r="AB491">
        <v>39</v>
      </c>
      <c r="AC491">
        <v>9</v>
      </c>
      <c r="AD491">
        <v>21</v>
      </c>
      <c r="AE491" t="s">
        <v>60</v>
      </c>
    </row>
    <row r="492" spans="1:31" x14ac:dyDescent="0.2">
      <c r="A492">
        <v>475</v>
      </c>
      <c r="B492" t="s">
        <v>1026</v>
      </c>
      <c r="C492">
        <v>25</v>
      </c>
      <c r="D492" t="s">
        <v>514</v>
      </c>
      <c r="E492" t="s">
        <v>349</v>
      </c>
      <c r="F492">
        <v>42</v>
      </c>
      <c r="G492">
        <v>2</v>
      </c>
      <c r="H492">
        <v>7</v>
      </c>
      <c r="I492">
        <v>9</v>
      </c>
      <c r="J492">
        <v>-9</v>
      </c>
      <c r="K492">
        <v>47</v>
      </c>
      <c r="L492">
        <v>2</v>
      </c>
      <c r="M492">
        <v>0</v>
      </c>
      <c r="N492">
        <v>0</v>
      </c>
      <c r="O492">
        <v>0</v>
      </c>
      <c r="P492">
        <v>7</v>
      </c>
      <c r="Q492">
        <v>0</v>
      </c>
      <c r="R492">
        <v>0</v>
      </c>
      <c r="S492">
        <v>42</v>
      </c>
      <c r="T492">
        <v>4.8</v>
      </c>
      <c r="U492">
        <v>95</v>
      </c>
      <c r="V492" t="s">
        <v>2547</v>
      </c>
      <c r="W492" t="s">
        <v>820</v>
      </c>
      <c r="X492">
        <v>0</v>
      </c>
      <c r="Y492">
        <v>0</v>
      </c>
      <c r="AA492">
        <v>30</v>
      </c>
      <c r="AB492">
        <v>58</v>
      </c>
      <c r="AC492">
        <v>5</v>
      </c>
      <c r="AD492">
        <v>38</v>
      </c>
      <c r="AE492" t="s">
        <v>60</v>
      </c>
    </row>
    <row r="493" spans="1:31" x14ac:dyDescent="0.2">
      <c r="A493">
        <v>476</v>
      </c>
      <c r="B493" t="s">
        <v>852</v>
      </c>
      <c r="C493">
        <v>27</v>
      </c>
      <c r="D493" t="s">
        <v>406</v>
      </c>
      <c r="E493" t="s">
        <v>335</v>
      </c>
      <c r="F493">
        <v>28</v>
      </c>
      <c r="G493">
        <v>4</v>
      </c>
      <c r="H493">
        <v>5</v>
      </c>
      <c r="I493">
        <v>9</v>
      </c>
      <c r="J493">
        <v>4</v>
      </c>
      <c r="K493">
        <v>8</v>
      </c>
      <c r="L493">
        <v>4</v>
      </c>
      <c r="M493">
        <v>0</v>
      </c>
      <c r="N493">
        <v>0</v>
      </c>
      <c r="O493">
        <v>0</v>
      </c>
      <c r="P493">
        <v>5</v>
      </c>
      <c r="Q493">
        <v>0</v>
      </c>
      <c r="R493">
        <v>0</v>
      </c>
      <c r="S493">
        <v>22</v>
      </c>
      <c r="T493">
        <v>18.2</v>
      </c>
      <c r="U493">
        <v>40</v>
      </c>
      <c r="V493" t="s">
        <v>2089</v>
      </c>
      <c r="W493" t="s">
        <v>1630</v>
      </c>
      <c r="X493">
        <v>10</v>
      </c>
      <c r="Y493">
        <v>19</v>
      </c>
      <c r="Z493">
        <v>34.5</v>
      </c>
      <c r="AA493">
        <v>7</v>
      </c>
      <c r="AB493">
        <v>17</v>
      </c>
      <c r="AC493">
        <v>2</v>
      </c>
      <c r="AD493">
        <v>10</v>
      </c>
      <c r="AE493" t="s">
        <v>60</v>
      </c>
    </row>
    <row r="494" spans="1:31" x14ac:dyDescent="0.2">
      <c r="A494">
        <v>477</v>
      </c>
      <c r="B494" t="s">
        <v>2548</v>
      </c>
      <c r="C494">
        <v>24</v>
      </c>
      <c r="D494" t="s">
        <v>957</v>
      </c>
      <c r="E494" t="s">
        <v>335</v>
      </c>
      <c r="F494">
        <v>36</v>
      </c>
      <c r="G494">
        <v>5</v>
      </c>
      <c r="H494">
        <v>4</v>
      </c>
      <c r="I494">
        <v>9</v>
      </c>
      <c r="J494">
        <v>-5</v>
      </c>
      <c r="K494">
        <v>6</v>
      </c>
      <c r="L494">
        <v>5</v>
      </c>
      <c r="M494">
        <v>0</v>
      </c>
      <c r="N494">
        <v>0</v>
      </c>
      <c r="O494">
        <v>1</v>
      </c>
      <c r="P494">
        <v>4</v>
      </c>
      <c r="Q494">
        <v>0</v>
      </c>
      <c r="R494">
        <v>0</v>
      </c>
      <c r="S494">
        <v>48</v>
      </c>
      <c r="T494">
        <v>10.4</v>
      </c>
      <c r="U494">
        <v>106</v>
      </c>
      <c r="V494" t="s">
        <v>2549</v>
      </c>
      <c r="W494" t="s">
        <v>1631</v>
      </c>
      <c r="X494">
        <v>1</v>
      </c>
      <c r="Y494">
        <v>3</v>
      </c>
      <c r="Z494">
        <v>25</v>
      </c>
      <c r="AA494">
        <v>11</v>
      </c>
      <c r="AB494">
        <v>33</v>
      </c>
      <c r="AC494">
        <v>5</v>
      </c>
      <c r="AD494">
        <v>17</v>
      </c>
      <c r="AE494" t="s">
        <v>60</v>
      </c>
    </row>
    <row r="495" spans="1:31" x14ac:dyDescent="0.2">
      <c r="A495">
        <v>477</v>
      </c>
      <c r="B495" t="s">
        <v>2548</v>
      </c>
      <c r="C495">
        <v>24</v>
      </c>
      <c r="D495" t="s">
        <v>382</v>
      </c>
      <c r="E495" t="s">
        <v>335</v>
      </c>
      <c r="F495">
        <v>29</v>
      </c>
      <c r="G495">
        <v>3</v>
      </c>
      <c r="H495">
        <v>3</v>
      </c>
      <c r="I495">
        <v>6</v>
      </c>
      <c r="J495">
        <v>-6</v>
      </c>
      <c r="K495">
        <v>6</v>
      </c>
      <c r="L495">
        <v>3</v>
      </c>
      <c r="M495">
        <v>0</v>
      </c>
      <c r="N495">
        <v>0</v>
      </c>
      <c r="O495">
        <v>0</v>
      </c>
      <c r="P495">
        <v>3</v>
      </c>
      <c r="Q495">
        <v>0</v>
      </c>
      <c r="R495">
        <v>0</v>
      </c>
      <c r="S495">
        <v>36</v>
      </c>
      <c r="T495">
        <v>8.3000000000000007</v>
      </c>
      <c r="U495">
        <v>79</v>
      </c>
      <c r="V495" t="s">
        <v>1684</v>
      </c>
      <c r="W495" t="s">
        <v>1685</v>
      </c>
      <c r="X495">
        <v>0</v>
      </c>
      <c r="Y495">
        <v>0</v>
      </c>
      <c r="AA495">
        <v>8</v>
      </c>
      <c r="AB495">
        <v>28</v>
      </c>
      <c r="AC495">
        <v>3</v>
      </c>
      <c r="AD495">
        <v>15</v>
      </c>
      <c r="AE495" t="s">
        <v>60</v>
      </c>
    </row>
    <row r="496" spans="1:31" x14ac:dyDescent="0.2">
      <c r="A496">
        <v>477</v>
      </c>
      <c r="B496" t="s">
        <v>2548</v>
      </c>
      <c r="C496">
        <v>24</v>
      </c>
      <c r="D496" t="s">
        <v>377</v>
      </c>
      <c r="E496" t="s">
        <v>335</v>
      </c>
      <c r="F496">
        <v>7</v>
      </c>
      <c r="G496">
        <v>2</v>
      </c>
      <c r="H496">
        <v>1</v>
      </c>
      <c r="I496">
        <v>3</v>
      </c>
      <c r="J496">
        <v>1</v>
      </c>
      <c r="K496">
        <v>0</v>
      </c>
      <c r="L496">
        <v>2</v>
      </c>
      <c r="M496">
        <v>0</v>
      </c>
      <c r="N496">
        <v>0</v>
      </c>
      <c r="O496">
        <v>1</v>
      </c>
      <c r="P496">
        <v>1</v>
      </c>
      <c r="Q496">
        <v>0</v>
      </c>
      <c r="R496">
        <v>0</v>
      </c>
      <c r="S496">
        <v>12</v>
      </c>
      <c r="T496">
        <v>16.7</v>
      </c>
      <c r="U496">
        <v>27</v>
      </c>
      <c r="V496" t="s">
        <v>2550</v>
      </c>
      <c r="W496" t="s">
        <v>918</v>
      </c>
      <c r="X496">
        <v>1</v>
      </c>
      <c r="Y496">
        <v>3</v>
      </c>
      <c r="Z496">
        <v>25</v>
      </c>
      <c r="AA496">
        <v>3</v>
      </c>
      <c r="AB496">
        <v>5</v>
      </c>
      <c r="AC496">
        <v>2</v>
      </c>
      <c r="AD496">
        <v>2</v>
      </c>
      <c r="AE496" t="s">
        <v>60</v>
      </c>
    </row>
    <row r="497" spans="1:31" x14ac:dyDescent="0.2">
      <c r="A497">
        <v>478</v>
      </c>
      <c r="B497" t="s">
        <v>911</v>
      </c>
      <c r="C497">
        <v>32</v>
      </c>
      <c r="D497" t="s">
        <v>957</v>
      </c>
      <c r="E497" t="s">
        <v>322</v>
      </c>
      <c r="F497">
        <v>41</v>
      </c>
      <c r="G497">
        <v>0</v>
      </c>
      <c r="H497">
        <v>9</v>
      </c>
      <c r="I497">
        <v>9</v>
      </c>
      <c r="J497">
        <v>-2</v>
      </c>
      <c r="K497">
        <v>12</v>
      </c>
      <c r="L497">
        <v>0</v>
      </c>
      <c r="M497">
        <v>0</v>
      </c>
      <c r="N497">
        <v>0</v>
      </c>
      <c r="O497">
        <v>0</v>
      </c>
      <c r="P497">
        <v>8</v>
      </c>
      <c r="Q497">
        <v>0</v>
      </c>
      <c r="R497">
        <v>1</v>
      </c>
      <c r="S497">
        <v>61</v>
      </c>
      <c r="T497">
        <v>0</v>
      </c>
      <c r="U497">
        <v>117</v>
      </c>
      <c r="V497" t="s">
        <v>2551</v>
      </c>
      <c r="W497" t="s">
        <v>1808</v>
      </c>
      <c r="X497">
        <v>316</v>
      </c>
      <c r="Y497">
        <v>267</v>
      </c>
      <c r="Z497">
        <v>54.2</v>
      </c>
      <c r="AA497">
        <v>19</v>
      </c>
      <c r="AB497">
        <v>31</v>
      </c>
      <c r="AC497">
        <v>6</v>
      </c>
      <c r="AD497">
        <v>31</v>
      </c>
      <c r="AE497" t="s">
        <v>60</v>
      </c>
    </row>
    <row r="498" spans="1:31" x14ac:dyDescent="0.2">
      <c r="A498">
        <v>478</v>
      </c>
      <c r="B498" t="s">
        <v>911</v>
      </c>
      <c r="C498">
        <v>32</v>
      </c>
      <c r="D498" t="s">
        <v>421</v>
      </c>
      <c r="E498" t="s">
        <v>322</v>
      </c>
      <c r="F498">
        <v>30</v>
      </c>
      <c r="G498">
        <v>0</v>
      </c>
      <c r="H498">
        <v>5</v>
      </c>
      <c r="I498">
        <v>5</v>
      </c>
      <c r="J498">
        <v>3</v>
      </c>
      <c r="K498">
        <v>6</v>
      </c>
      <c r="L498">
        <v>0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1</v>
      </c>
      <c r="S498">
        <v>42</v>
      </c>
      <c r="T498">
        <v>0</v>
      </c>
      <c r="U498">
        <v>88</v>
      </c>
      <c r="V498" t="s">
        <v>1562</v>
      </c>
      <c r="W498" t="s">
        <v>1563</v>
      </c>
      <c r="X498">
        <v>219</v>
      </c>
      <c r="Y498">
        <v>195</v>
      </c>
      <c r="Z498">
        <v>52.9</v>
      </c>
      <c r="AA498">
        <v>11</v>
      </c>
      <c r="AB498">
        <v>22</v>
      </c>
      <c r="AC498">
        <v>4</v>
      </c>
      <c r="AD498">
        <v>25</v>
      </c>
      <c r="AE498" t="s">
        <v>60</v>
      </c>
    </row>
    <row r="499" spans="1:31" x14ac:dyDescent="0.2">
      <c r="A499">
        <v>478</v>
      </c>
      <c r="B499" t="s">
        <v>911</v>
      </c>
      <c r="C499">
        <v>32</v>
      </c>
      <c r="D499" t="s">
        <v>364</v>
      </c>
      <c r="E499" t="s">
        <v>322</v>
      </c>
      <c r="F499">
        <v>11</v>
      </c>
      <c r="G499">
        <v>0</v>
      </c>
      <c r="H499">
        <v>4</v>
      </c>
      <c r="I499">
        <v>4</v>
      </c>
      <c r="J499">
        <v>-5</v>
      </c>
      <c r="K499">
        <v>6</v>
      </c>
      <c r="L499">
        <v>0</v>
      </c>
      <c r="M499">
        <v>0</v>
      </c>
      <c r="N499">
        <v>0</v>
      </c>
      <c r="O499">
        <v>0</v>
      </c>
      <c r="P499">
        <v>4</v>
      </c>
      <c r="Q499">
        <v>0</v>
      </c>
      <c r="R499">
        <v>0</v>
      </c>
      <c r="S499">
        <v>19</v>
      </c>
      <c r="T499">
        <v>0</v>
      </c>
      <c r="U499">
        <v>29</v>
      </c>
      <c r="V499" t="s">
        <v>2552</v>
      </c>
      <c r="W499" t="s">
        <v>529</v>
      </c>
      <c r="X499">
        <v>97</v>
      </c>
      <c r="Y499">
        <v>72</v>
      </c>
      <c r="Z499">
        <v>57.4</v>
      </c>
      <c r="AA499">
        <v>8</v>
      </c>
      <c r="AB499">
        <v>9</v>
      </c>
      <c r="AC499">
        <v>2</v>
      </c>
      <c r="AD499">
        <v>6</v>
      </c>
      <c r="AE499" t="s">
        <v>60</v>
      </c>
    </row>
    <row r="500" spans="1:31" x14ac:dyDescent="0.2">
      <c r="A500">
        <v>479</v>
      </c>
      <c r="B500" t="s">
        <v>810</v>
      </c>
      <c r="C500">
        <v>26</v>
      </c>
      <c r="D500" t="s">
        <v>421</v>
      </c>
      <c r="E500" t="s">
        <v>349</v>
      </c>
      <c r="F500">
        <v>46</v>
      </c>
      <c r="G500">
        <v>2</v>
      </c>
      <c r="H500">
        <v>6</v>
      </c>
      <c r="I500">
        <v>8</v>
      </c>
      <c r="J500">
        <v>6</v>
      </c>
      <c r="K500">
        <v>14</v>
      </c>
      <c r="L500">
        <v>2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36</v>
      </c>
      <c r="T500">
        <v>5.6</v>
      </c>
      <c r="U500">
        <v>100</v>
      </c>
      <c r="V500" t="s">
        <v>2825</v>
      </c>
      <c r="W500" t="s">
        <v>1786</v>
      </c>
      <c r="X500">
        <v>0</v>
      </c>
      <c r="Y500">
        <v>0</v>
      </c>
      <c r="AA500">
        <v>71</v>
      </c>
      <c r="AB500">
        <v>53</v>
      </c>
      <c r="AC500">
        <v>6</v>
      </c>
      <c r="AD500">
        <v>36</v>
      </c>
      <c r="AE500" t="s">
        <v>60</v>
      </c>
    </row>
    <row r="501" spans="1:31" x14ac:dyDescent="0.2">
      <c r="A501">
        <v>480</v>
      </c>
      <c r="B501" t="s">
        <v>855</v>
      </c>
      <c r="C501">
        <v>25</v>
      </c>
      <c r="D501" t="s">
        <v>437</v>
      </c>
      <c r="E501" t="s">
        <v>349</v>
      </c>
      <c r="F501">
        <v>45</v>
      </c>
      <c r="G501">
        <v>3</v>
      </c>
      <c r="H501">
        <v>5</v>
      </c>
      <c r="I501">
        <v>8</v>
      </c>
      <c r="J501">
        <v>8</v>
      </c>
      <c r="K501">
        <v>31</v>
      </c>
      <c r="L501">
        <v>3</v>
      </c>
      <c r="M501">
        <v>0</v>
      </c>
      <c r="N501">
        <v>0</v>
      </c>
      <c r="O501">
        <v>2</v>
      </c>
      <c r="P501">
        <v>5</v>
      </c>
      <c r="Q501">
        <v>0</v>
      </c>
      <c r="R501">
        <v>0</v>
      </c>
      <c r="S501">
        <v>38</v>
      </c>
      <c r="T501">
        <v>7.9</v>
      </c>
      <c r="U501">
        <v>86</v>
      </c>
      <c r="V501" t="s">
        <v>2553</v>
      </c>
      <c r="W501" t="s">
        <v>2554</v>
      </c>
      <c r="X501">
        <v>0</v>
      </c>
      <c r="Y501">
        <v>0</v>
      </c>
      <c r="AA501">
        <v>69</v>
      </c>
      <c r="AB501">
        <v>68</v>
      </c>
      <c r="AC501">
        <v>32</v>
      </c>
      <c r="AD501">
        <v>59</v>
      </c>
      <c r="AE501" t="s">
        <v>60</v>
      </c>
    </row>
    <row r="502" spans="1:31" x14ac:dyDescent="0.2">
      <c r="A502">
        <v>481</v>
      </c>
      <c r="B502" t="s">
        <v>906</v>
      </c>
      <c r="C502">
        <v>29</v>
      </c>
      <c r="D502" t="s">
        <v>374</v>
      </c>
      <c r="E502" t="s">
        <v>349</v>
      </c>
      <c r="F502">
        <v>36</v>
      </c>
      <c r="G502">
        <v>1</v>
      </c>
      <c r="H502">
        <v>7</v>
      </c>
      <c r="I502">
        <v>8</v>
      </c>
      <c r="J502">
        <v>1</v>
      </c>
      <c r="K502">
        <v>24</v>
      </c>
      <c r="L502">
        <v>1</v>
      </c>
      <c r="M502">
        <v>0</v>
      </c>
      <c r="N502">
        <v>0</v>
      </c>
      <c r="O502">
        <v>0</v>
      </c>
      <c r="P502">
        <v>6</v>
      </c>
      <c r="Q502">
        <v>1</v>
      </c>
      <c r="R502">
        <v>0</v>
      </c>
      <c r="S502">
        <v>31</v>
      </c>
      <c r="T502">
        <v>3.2</v>
      </c>
      <c r="U502">
        <v>73</v>
      </c>
      <c r="V502" t="s">
        <v>2173</v>
      </c>
      <c r="W502" t="s">
        <v>657</v>
      </c>
      <c r="X502">
        <v>0</v>
      </c>
      <c r="Y502">
        <v>0</v>
      </c>
      <c r="AA502">
        <v>26</v>
      </c>
      <c r="AB502">
        <v>47</v>
      </c>
      <c r="AC502">
        <v>14</v>
      </c>
      <c r="AD502">
        <v>18</v>
      </c>
      <c r="AE502" t="s">
        <v>60</v>
      </c>
    </row>
    <row r="503" spans="1:31" x14ac:dyDescent="0.2">
      <c r="A503">
        <v>482</v>
      </c>
      <c r="B503" t="s">
        <v>907</v>
      </c>
      <c r="C503">
        <v>24</v>
      </c>
      <c r="D503" t="s">
        <v>321</v>
      </c>
      <c r="E503" t="s">
        <v>322</v>
      </c>
      <c r="F503">
        <v>32</v>
      </c>
      <c r="G503">
        <v>1</v>
      </c>
      <c r="H503">
        <v>7</v>
      </c>
      <c r="I503">
        <v>8</v>
      </c>
      <c r="J503">
        <v>7</v>
      </c>
      <c r="K503">
        <v>6</v>
      </c>
      <c r="L503">
        <v>1</v>
      </c>
      <c r="M503">
        <v>0</v>
      </c>
      <c r="N503">
        <v>0</v>
      </c>
      <c r="O503">
        <v>0</v>
      </c>
      <c r="P503">
        <v>7</v>
      </c>
      <c r="Q503">
        <v>0</v>
      </c>
      <c r="R503">
        <v>0</v>
      </c>
      <c r="S503">
        <v>19</v>
      </c>
      <c r="T503">
        <v>5.3</v>
      </c>
      <c r="U503">
        <v>42</v>
      </c>
      <c r="V503" t="s">
        <v>958</v>
      </c>
      <c r="W503" t="s">
        <v>1989</v>
      </c>
      <c r="X503">
        <v>56</v>
      </c>
      <c r="Y503">
        <v>75</v>
      </c>
      <c r="Z503">
        <v>42.7</v>
      </c>
      <c r="AA503">
        <v>16</v>
      </c>
      <c r="AB503">
        <v>30</v>
      </c>
      <c r="AC503">
        <v>3</v>
      </c>
      <c r="AD503">
        <v>16</v>
      </c>
      <c r="AE503" t="s">
        <v>60</v>
      </c>
    </row>
    <row r="504" spans="1:31" x14ac:dyDescent="0.2">
      <c r="A504">
        <v>483</v>
      </c>
      <c r="B504" t="s">
        <v>860</v>
      </c>
      <c r="C504">
        <v>33</v>
      </c>
      <c r="D504" t="s">
        <v>362</v>
      </c>
      <c r="E504" t="s">
        <v>322</v>
      </c>
      <c r="F504">
        <v>48</v>
      </c>
      <c r="G504">
        <v>2</v>
      </c>
      <c r="H504">
        <v>6</v>
      </c>
      <c r="I504">
        <v>8</v>
      </c>
      <c r="J504">
        <v>0</v>
      </c>
      <c r="K504">
        <v>42</v>
      </c>
      <c r="L504">
        <v>2</v>
      </c>
      <c r="M504">
        <v>0</v>
      </c>
      <c r="N504">
        <v>0</v>
      </c>
      <c r="O504">
        <v>0</v>
      </c>
      <c r="P504">
        <v>5</v>
      </c>
      <c r="Q504">
        <v>0</v>
      </c>
      <c r="R504">
        <v>1</v>
      </c>
      <c r="S504">
        <v>51</v>
      </c>
      <c r="T504">
        <v>3.9</v>
      </c>
      <c r="U504">
        <v>101</v>
      </c>
      <c r="V504" t="s">
        <v>2826</v>
      </c>
      <c r="W504" t="s">
        <v>1631</v>
      </c>
      <c r="X504">
        <v>173</v>
      </c>
      <c r="Y504">
        <v>150</v>
      </c>
      <c r="Z504">
        <v>53.6</v>
      </c>
      <c r="AA504">
        <v>24</v>
      </c>
      <c r="AB504">
        <v>71</v>
      </c>
      <c r="AC504">
        <v>10</v>
      </c>
      <c r="AD504">
        <v>20</v>
      </c>
      <c r="AE504" t="s">
        <v>60</v>
      </c>
    </row>
    <row r="505" spans="1:31" x14ac:dyDescent="0.2">
      <c r="A505">
        <v>484</v>
      </c>
      <c r="B505" t="s">
        <v>862</v>
      </c>
      <c r="C505">
        <v>32</v>
      </c>
      <c r="D505" t="s">
        <v>421</v>
      </c>
      <c r="E505" t="s">
        <v>349</v>
      </c>
      <c r="F505">
        <v>46</v>
      </c>
      <c r="G505">
        <v>1</v>
      </c>
      <c r="H505">
        <v>7</v>
      </c>
      <c r="I505">
        <v>8</v>
      </c>
      <c r="J505">
        <v>-2</v>
      </c>
      <c r="K505">
        <v>8</v>
      </c>
      <c r="L505">
        <v>1</v>
      </c>
      <c r="M505">
        <v>0</v>
      </c>
      <c r="N505">
        <v>0</v>
      </c>
      <c r="O505">
        <v>0</v>
      </c>
      <c r="P505">
        <v>6</v>
      </c>
      <c r="Q505">
        <v>0</v>
      </c>
      <c r="R505">
        <v>1</v>
      </c>
      <c r="S505">
        <v>35</v>
      </c>
      <c r="T505">
        <v>2.9</v>
      </c>
      <c r="U505">
        <v>108</v>
      </c>
      <c r="V505" t="s">
        <v>2827</v>
      </c>
      <c r="W505" t="s">
        <v>1021</v>
      </c>
      <c r="X505">
        <v>0</v>
      </c>
      <c r="Y505">
        <v>0</v>
      </c>
      <c r="AA505">
        <v>56</v>
      </c>
      <c r="AB505">
        <v>19</v>
      </c>
      <c r="AC505">
        <v>10</v>
      </c>
      <c r="AD505">
        <v>39</v>
      </c>
      <c r="AE505" t="s">
        <v>60</v>
      </c>
    </row>
    <row r="506" spans="1:31" x14ac:dyDescent="0.2">
      <c r="A506">
        <v>485</v>
      </c>
      <c r="B506" t="s">
        <v>865</v>
      </c>
      <c r="C506">
        <v>23</v>
      </c>
      <c r="D506" t="s">
        <v>330</v>
      </c>
      <c r="E506" t="s">
        <v>322</v>
      </c>
      <c r="F506">
        <v>45</v>
      </c>
      <c r="G506">
        <v>3</v>
      </c>
      <c r="H506">
        <v>5</v>
      </c>
      <c r="I506">
        <v>8</v>
      </c>
      <c r="J506">
        <v>-15</v>
      </c>
      <c r="K506">
        <v>45</v>
      </c>
      <c r="L506">
        <v>2</v>
      </c>
      <c r="M506">
        <v>1</v>
      </c>
      <c r="N506">
        <v>0</v>
      </c>
      <c r="O506">
        <v>1</v>
      </c>
      <c r="P506">
        <v>4</v>
      </c>
      <c r="Q506">
        <v>1</v>
      </c>
      <c r="R506">
        <v>0</v>
      </c>
      <c r="S506">
        <v>47</v>
      </c>
      <c r="T506">
        <v>6.4</v>
      </c>
      <c r="U506">
        <v>101</v>
      </c>
      <c r="V506" t="s">
        <v>2174</v>
      </c>
      <c r="W506" t="s">
        <v>1561</v>
      </c>
      <c r="X506">
        <v>26</v>
      </c>
      <c r="Y506">
        <v>44</v>
      </c>
      <c r="Z506">
        <v>37.1</v>
      </c>
      <c r="AA506">
        <v>24</v>
      </c>
      <c r="AB506">
        <v>158</v>
      </c>
      <c r="AC506">
        <v>12</v>
      </c>
      <c r="AD506">
        <v>24</v>
      </c>
      <c r="AE506" t="s">
        <v>60</v>
      </c>
    </row>
    <row r="507" spans="1:31" x14ac:dyDescent="0.2">
      <c r="A507">
        <v>486</v>
      </c>
      <c r="B507" t="s">
        <v>869</v>
      </c>
      <c r="C507">
        <v>25</v>
      </c>
      <c r="D507" t="s">
        <v>328</v>
      </c>
      <c r="E507" t="s">
        <v>349</v>
      </c>
      <c r="F507">
        <v>42</v>
      </c>
      <c r="G507">
        <v>1</v>
      </c>
      <c r="H507">
        <v>7</v>
      </c>
      <c r="I507">
        <v>8</v>
      </c>
      <c r="J507">
        <v>6</v>
      </c>
      <c r="K507">
        <v>10</v>
      </c>
      <c r="L507">
        <v>1</v>
      </c>
      <c r="M507">
        <v>0</v>
      </c>
      <c r="N507">
        <v>0</v>
      </c>
      <c r="O507">
        <v>1</v>
      </c>
      <c r="P507">
        <v>7</v>
      </c>
      <c r="Q507">
        <v>0</v>
      </c>
      <c r="R507">
        <v>0</v>
      </c>
      <c r="S507">
        <v>25</v>
      </c>
      <c r="T507">
        <v>4</v>
      </c>
      <c r="U507">
        <v>66</v>
      </c>
      <c r="V507" t="s">
        <v>2555</v>
      </c>
      <c r="W507" t="s">
        <v>1733</v>
      </c>
      <c r="X507">
        <v>0</v>
      </c>
      <c r="Y507">
        <v>0</v>
      </c>
      <c r="AA507">
        <v>75</v>
      </c>
      <c r="AB507">
        <v>58</v>
      </c>
      <c r="AC507">
        <v>8</v>
      </c>
      <c r="AD507">
        <v>35</v>
      </c>
      <c r="AE507" t="s">
        <v>60</v>
      </c>
    </row>
    <row r="508" spans="1:31" x14ac:dyDescent="0.2">
      <c r="A508">
        <v>487</v>
      </c>
      <c r="B508" t="s">
        <v>871</v>
      </c>
      <c r="C508">
        <v>29</v>
      </c>
      <c r="D508" t="s">
        <v>421</v>
      </c>
      <c r="E508" t="s">
        <v>340</v>
      </c>
      <c r="F508">
        <v>38</v>
      </c>
      <c r="G508">
        <v>6</v>
      </c>
      <c r="H508">
        <v>2</v>
      </c>
      <c r="I508">
        <v>8</v>
      </c>
      <c r="J508">
        <v>-1</v>
      </c>
      <c r="K508">
        <v>14</v>
      </c>
      <c r="L508">
        <v>6</v>
      </c>
      <c r="M508">
        <v>0</v>
      </c>
      <c r="N508">
        <v>0</v>
      </c>
      <c r="O508">
        <v>1</v>
      </c>
      <c r="P508">
        <v>2</v>
      </c>
      <c r="Q508">
        <v>0</v>
      </c>
      <c r="R508">
        <v>0</v>
      </c>
      <c r="S508">
        <v>62</v>
      </c>
      <c r="T508">
        <v>9.6999999999999993</v>
      </c>
      <c r="U508">
        <v>130</v>
      </c>
      <c r="V508" t="s">
        <v>2828</v>
      </c>
      <c r="W508" t="s">
        <v>2528</v>
      </c>
      <c r="X508">
        <v>6</v>
      </c>
      <c r="Y508">
        <v>12</v>
      </c>
      <c r="Z508">
        <v>33.299999999999997</v>
      </c>
      <c r="AA508">
        <v>8</v>
      </c>
      <c r="AB508">
        <v>42</v>
      </c>
      <c r="AC508">
        <v>9</v>
      </c>
      <c r="AD508">
        <v>43</v>
      </c>
      <c r="AE508" t="s">
        <v>60</v>
      </c>
    </row>
    <row r="509" spans="1:31" x14ac:dyDescent="0.2">
      <c r="A509">
        <v>488</v>
      </c>
      <c r="B509" t="s">
        <v>872</v>
      </c>
      <c r="C509">
        <v>38</v>
      </c>
      <c r="D509" t="s">
        <v>330</v>
      </c>
      <c r="E509" t="s">
        <v>340</v>
      </c>
      <c r="F509">
        <v>24</v>
      </c>
      <c r="G509">
        <v>1</v>
      </c>
      <c r="H509">
        <v>7</v>
      </c>
      <c r="I509">
        <v>8</v>
      </c>
      <c r="J509">
        <v>-1</v>
      </c>
      <c r="K509">
        <v>18</v>
      </c>
      <c r="L509">
        <v>1</v>
      </c>
      <c r="M509">
        <v>0</v>
      </c>
      <c r="N509">
        <v>0</v>
      </c>
      <c r="O509">
        <v>0</v>
      </c>
      <c r="P509">
        <v>4</v>
      </c>
      <c r="Q509">
        <v>2</v>
      </c>
      <c r="R509">
        <v>1</v>
      </c>
      <c r="S509">
        <v>23</v>
      </c>
      <c r="T509">
        <v>4.3</v>
      </c>
      <c r="U509">
        <v>40</v>
      </c>
      <c r="V509" t="s">
        <v>2175</v>
      </c>
      <c r="W509" t="s">
        <v>600</v>
      </c>
      <c r="X509">
        <v>122</v>
      </c>
      <c r="Y509">
        <v>119</v>
      </c>
      <c r="Z509">
        <v>50.6</v>
      </c>
      <c r="AA509">
        <v>18</v>
      </c>
      <c r="AB509">
        <v>60</v>
      </c>
      <c r="AC509">
        <v>2</v>
      </c>
      <c r="AD509">
        <v>16</v>
      </c>
      <c r="AE509" t="s">
        <v>60</v>
      </c>
    </row>
    <row r="510" spans="1:31" x14ac:dyDescent="0.2">
      <c r="A510">
        <v>489</v>
      </c>
      <c r="B510" t="s">
        <v>1061</v>
      </c>
      <c r="C510">
        <v>32</v>
      </c>
      <c r="D510" t="s">
        <v>324</v>
      </c>
      <c r="E510" t="s">
        <v>335</v>
      </c>
      <c r="F510">
        <v>45</v>
      </c>
      <c r="G510">
        <v>3</v>
      </c>
      <c r="H510">
        <v>5</v>
      </c>
      <c r="I510">
        <v>8</v>
      </c>
      <c r="J510">
        <v>-12</v>
      </c>
      <c r="K510">
        <v>28</v>
      </c>
      <c r="L510">
        <v>3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0</v>
      </c>
      <c r="S510">
        <v>39</v>
      </c>
      <c r="T510">
        <v>7.7</v>
      </c>
      <c r="U510">
        <v>72</v>
      </c>
      <c r="V510" t="s">
        <v>1833</v>
      </c>
      <c r="W510" t="s">
        <v>1824</v>
      </c>
      <c r="X510">
        <v>10</v>
      </c>
      <c r="Y510">
        <v>19</v>
      </c>
      <c r="Z510">
        <v>34.5</v>
      </c>
      <c r="AA510">
        <v>31</v>
      </c>
      <c r="AB510">
        <v>68</v>
      </c>
      <c r="AC510">
        <v>6</v>
      </c>
      <c r="AD510">
        <v>20</v>
      </c>
      <c r="AE510" t="s">
        <v>60</v>
      </c>
    </row>
    <row r="511" spans="1:31" x14ac:dyDescent="0.2">
      <c r="A511">
        <v>490</v>
      </c>
      <c r="B511" t="s">
        <v>1370</v>
      </c>
      <c r="C511">
        <v>28</v>
      </c>
      <c r="D511" t="s">
        <v>408</v>
      </c>
      <c r="E511" t="s">
        <v>335</v>
      </c>
      <c r="F511">
        <v>19</v>
      </c>
      <c r="G511">
        <v>7</v>
      </c>
      <c r="H511">
        <v>1</v>
      </c>
      <c r="I511">
        <v>8</v>
      </c>
      <c r="J511">
        <v>5</v>
      </c>
      <c r="K511">
        <v>8</v>
      </c>
      <c r="L511">
        <v>7</v>
      </c>
      <c r="M511">
        <v>0</v>
      </c>
      <c r="N511">
        <v>0</v>
      </c>
      <c r="O511">
        <v>1</v>
      </c>
      <c r="P511">
        <v>1</v>
      </c>
      <c r="Q511">
        <v>0</v>
      </c>
      <c r="R511">
        <v>0</v>
      </c>
      <c r="S511">
        <v>25</v>
      </c>
      <c r="T511">
        <v>28</v>
      </c>
      <c r="U511">
        <v>43</v>
      </c>
      <c r="V511" t="s">
        <v>2829</v>
      </c>
      <c r="W511" t="s">
        <v>1738</v>
      </c>
      <c r="X511">
        <v>1</v>
      </c>
      <c r="Y511">
        <v>2</v>
      </c>
      <c r="Z511">
        <v>33.299999999999997</v>
      </c>
      <c r="AA511">
        <v>12</v>
      </c>
      <c r="AB511">
        <v>56</v>
      </c>
      <c r="AC511">
        <v>3</v>
      </c>
      <c r="AD511">
        <v>8</v>
      </c>
      <c r="AE511" t="s">
        <v>60</v>
      </c>
    </row>
    <row r="512" spans="1:31" x14ac:dyDescent="0.2">
      <c r="A512">
        <v>491</v>
      </c>
      <c r="B512" t="s">
        <v>917</v>
      </c>
      <c r="C512">
        <v>23</v>
      </c>
      <c r="D512" t="s">
        <v>353</v>
      </c>
      <c r="E512" t="s">
        <v>322</v>
      </c>
      <c r="F512">
        <v>30</v>
      </c>
      <c r="G512">
        <v>3</v>
      </c>
      <c r="H512">
        <v>5</v>
      </c>
      <c r="I512">
        <v>8</v>
      </c>
      <c r="J512">
        <v>-2</v>
      </c>
      <c r="K512">
        <v>4</v>
      </c>
      <c r="L512">
        <v>3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0</v>
      </c>
      <c r="S512">
        <v>28</v>
      </c>
      <c r="T512">
        <v>10.7</v>
      </c>
      <c r="U512">
        <v>69</v>
      </c>
      <c r="V512" t="s">
        <v>2556</v>
      </c>
      <c r="W512" t="s">
        <v>1484</v>
      </c>
      <c r="X512">
        <v>79</v>
      </c>
      <c r="Y512">
        <v>94</v>
      </c>
      <c r="Z512">
        <v>45.7</v>
      </c>
      <c r="AA512">
        <v>11</v>
      </c>
      <c r="AB512">
        <v>43</v>
      </c>
      <c r="AC512">
        <v>8</v>
      </c>
      <c r="AD512">
        <v>23</v>
      </c>
      <c r="AE512" t="s">
        <v>60</v>
      </c>
    </row>
    <row r="513" spans="1:31" x14ac:dyDescent="0.2">
      <c r="A513">
        <v>492</v>
      </c>
      <c r="B513" t="s">
        <v>998</v>
      </c>
      <c r="C513">
        <v>28</v>
      </c>
      <c r="D513" t="s">
        <v>344</v>
      </c>
      <c r="E513" t="s">
        <v>335</v>
      </c>
      <c r="F513">
        <v>45</v>
      </c>
      <c r="G513">
        <v>1</v>
      </c>
      <c r="H513">
        <v>7</v>
      </c>
      <c r="I513">
        <v>8</v>
      </c>
      <c r="J513">
        <v>-6</v>
      </c>
      <c r="K513">
        <v>42</v>
      </c>
      <c r="L513">
        <v>1</v>
      </c>
      <c r="M513">
        <v>0</v>
      </c>
      <c r="N513">
        <v>0</v>
      </c>
      <c r="O513">
        <v>0</v>
      </c>
      <c r="P513">
        <v>7</v>
      </c>
      <c r="Q513">
        <v>0</v>
      </c>
      <c r="R513">
        <v>0</v>
      </c>
      <c r="S513">
        <v>38</v>
      </c>
      <c r="T513">
        <v>2.6</v>
      </c>
      <c r="U513">
        <v>71</v>
      </c>
      <c r="V513" t="s">
        <v>2830</v>
      </c>
      <c r="W513" t="s">
        <v>943</v>
      </c>
      <c r="X513">
        <v>9</v>
      </c>
      <c r="Y513">
        <v>10</v>
      </c>
      <c r="Z513">
        <v>47.4</v>
      </c>
      <c r="AA513">
        <v>26</v>
      </c>
      <c r="AB513">
        <v>146</v>
      </c>
      <c r="AC513">
        <v>2</v>
      </c>
      <c r="AD513">
        <v>19</v>
      </c>
      <c r="AE513" t="s">
        <v>60</v>
      </c>
    </row>
    <row r="514" spans="1:31" x14ac:dyDescent="0.2">
      <c r="A514">
        <v>493</v>
      </c>
      <c r="B514" t="s">
        <v>1072</v>
      </c>
      <c r="C514">
        <v>23</v>
      </c>
      <c r="D514" t="s">
        <v>437</v>
      </c>
      <c r="E514" t="s">
        <v>349</v>
      </c>
      <c r="F514">
        <v>32</v>
      </c>
      <c r="G514">
        <v>3</v>
      </c>
      <c r="H514">
        <v>5</v>
      </c>
      <c r="I514">
        <v>8</v>
      </c>
      <c r="J514">
        <v>-4</v>
      </c>
      <c r="K514">
        <v>22</v>
      </c>
      <c r="L514">
        <v>3</v>
      </c>
      <c r="M514">
        <v>0</v>
      </c>
      <c r="N514">
        <v>0</v>
      </c>
      <c r="O514">
        <v>1</v>
      </c>
      <c r="P514">
        <v>4</v>
      </c>
      <c r="Q514">
        <v>0</v>
      </c>
      <c r="R514">
        <v>1</v>
      </c>
      <c r="S514">
        <v>33</v>
      </c>
      <c r="T514">
        <v>9.1</v>
      </c>
      <c r="U514">
        <v>78</v>
      </c>
      <c r="V514" t="s">
        <v>2557</v>
      </c>
      <c r="W514" t="s">
        <v>1543</v>
      </c>
      <c r="X514">
        <v>0</v>
      </c>
      <c r="Y514">
        <v>0</v>
      </c>
      <c r="AA514">
        <v>51</v>
      </c>
      <c r="AB514">
        <v>45</v>
      </c>
      <c r="AC514">
        <v>4</v>
      </c>
      <c r="AD514">
        <v>28</v>
      </c>
      <c r="AE514" t="s">
        <v>60</v>
      </c>
    </row>
    <row r="515" spans="1:31" x14ac:dyDescent="0.2">
      <c r="A515">
        <v>494</v>
      </c>
      <c r="B515" t="s">
        <v>1002</v>
      </c>
      <c r="C515">
        <v>26</v>
      </c>
      <c r="D515" t="s">
        <v>324</v>
      </c>
      <c r="E515" t="s">
        <v>349</v>
      </c>
      <c r="F515">
        <v>33</v>
      </c>
      <c r="G515">
        <v>0</v>
      </c>
      <c r="H515">
        <v>8</v>
      </c>
      <c r="I515">
        <v>8</v>
      </c>
      <c r="J515">
        <v>-11</v>
      </c>
      <c r="K515">
        <v>22</v>
      </c>
      <c r="L515">
        <v>0</v>
      </c>
      <c r="M515">
        <v>0</v>
      </c>
      <c r="N515">
        <v>0</v>
      </c>
      <c r="O515">
        <v>0</v>
      </c>
      <c r="P515">
        <v>6</v>
      </c>
      <c r="Q515">
        <v>2</v>
      </c>
      <c r="R515">
        <v>0</v>
      </c>
      <c r="S515">
        <v>20</v>
      </c>
      <c r="T515">
        <v>0</v>
      </c>
      <c r="U515">
        <v>71</v>
      </c>
      <c r="V515" t="s">
        <v>2090</v>
      </c>
      <c r="W515" t="s">
        <v>1950</v>
      </c>
      <c r="X515">
        <v>0</v>
      </c>
      <c r="Y515">
        <v>0</v>
      </c>
      <c r="AA515">
        <v>73</v>
      </c>
      <c r="AB515">
        <v>29</v>
      </c>
      <c r="AC515">
        <v>5</v>
      </c>
      <c r="AD515">
        <v>36</v>
      </c>
      <c r="AE515" t="s">
        <v>60</v>
      </c>
    </row>
    <row r="516" spans="1:31" x14ac:dyDescent="0.2">
      <c r="A516">
        <v>495</v>
      </c>
      <c r="B516" t="s">
        <v>935</v>
      </c>
      <c r="C516">
        <v>30</v>
      </c>
      <c r="D516" t="s">
        <v>461</v>
      </c>
      <c r="E516" t="s">
        <v>335</v>
      </c>
      <c r="F516">
        <v>45</v>
      </c>
      <c r="G516">
        <v>1</v>
      </c>
      <c r="H516">
        <v>7</v>
      </c>
      <c r="I516">
        <v>8</v>
      </c>
      <c r="J516">
        <v>-10</v>
      </c>
      <c r="K516">
        <v>65</v>
      </c>
      <c r="L516">
        <v>1</v>
      </c>
      <c r="M516">
        <v>0</v>
      </c>
      <c r="N516">
        <v>0</v>
      </c>
      <c r="O516">
        <v>0</v>
      </c>
      <c r="P516">
        <v>7</v>
      </c>
      <c r="Q516">
        <v>0</v>
      </c>
      <c r="R516">
        <v>0</v>
      </c>
      <c r="S516">
        <v>65</v>
      </c>
      <c r="T516">
        <v>1.5</v>
      </c>
      <c r="U516">
        <v>115</v>
      </c>
      <c r="V516" t="s">
        <v>2558</v>
      </c>
      <c r="W516" t="s">
        <v>1897</v>
      </c>
      <c r="X516">
        <v>341</v>
      </c>
      <c r="Y516">
        <v>290</v>
      </c>
      <c r="Z516">
        <v>54</v>
      </c>
      <c r="AA516">
        <v>44</v>
      </c>
      <c r="AB516">
        <v>131</v>
      </c>
      <c r="AC516">
        <v>14</v>
      </c>
      <c r="AD516">
        <v>27</v>
      </c>
      <c r="AE516" t="s">
        <v>60</v>
      </c>
    </row>
    <row r="517" spans="1:31" x14ac:dyDescent="0.2">
      <c r="A517">
        <v>496</v>
      </c>
      <c r="B517" t="s">
        <v>890</v>
      </c>
      <c r="C517">
        <v>36</v>
      </c>
      <c r="D517" t="s">
        <v>353</v>
      </c>
      <c r="E517" t="s">
        <v>349</v>
      </c>
      <c r="F517">
        <v>18</v>
      </c>
      <c r="G517">
        <v>4</v>
      </c>
      <c r="H517">
        <v>4</v>
      </c>
      <c r="I517">
        <v>8</v>
      </c>
      <c r="J517">
        <v>1</v>
      </c>
      <c r="K517">
        <v>0</v>
      </c>
      <c r="L517">
        <v>4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17</v>
      </c>
      <c r="T517">
        <v>23.5</v>
      </c>
      <c r="U517">
        <v>48</v>
      </c>
      <c r="V517" t="s">
        <v>1726</v>
      </c>
      <c r="W517" t="s">
        <v>341</v>
      </c>
      <c r="X517">
        <v>0</v>
      </c>
      <c r="Y517">
        <v>0</v>
      </c>
      <c r="AA517">
        <v>29</v>
      </c>
      <c r="AB517">
        <v>9</v>
      </c>
      <c r="AC517">
        <v>7</v>
      </c>
      <c r="AD517">
        <v>19</v>
      </c>
      <c r="AE517" t="s">
        <v>60</v>
      </c>
    </row>
    <row r="518" spans="1:31" x14ac:dyDescent="0.2">
      <c r="A518">
        <v>497</v>
      </c>
      <c r="B518" t="s">
        <v>1079</v>
      </c>
      <c r="C518">
        <v>27</v>
      </c>
      <c r="D518" t="s">
        <v>532</v>
      </c>
      <c r="E518" t="s">
        <v>325</v>
      </c>
      <c r="F518">
        <v>27</v>
      </c>
      <c r="G518">
        <v>4</v>
      </c>
      <c r="H518">
        <v>4</v>
      </c>
      <c r="I518">
        <v>8</v>
      </c>
      <c r="J518">
        <v>-2</v>
      </c>
      <c r="K518">
        <v>4</v>
      </c>
      <c r="L518">
        <v>4</v>
      </c>
      <c r="M518">
        <v>0</v>
      </c>
      <c r="N518">
        <v>0</v>
      </c>
      <c r="O518">
        <v>1</v>
      </c>
      <c r="P518">
        <v>4</v>
      </c>
      <c r="Q518">
        <v>0</v>
      </c>
      <c r="R518">
        <v>0</v>
      </c>
      <c r="S518">
        <v>36</v>
      </c>
      <c r="T518">
        <v>11.1</v>
      </c>
      <c r="U518">
        <v>67</v>
      </c>
      <c r="V518" t="s">
        <v>2831</v>
      </c>
      <c r="W518" t="s">
        <v>2832</v>
      </c>
      <c r="X518">
        <v>98</v>
      </c>
      <c r="Y518">
        <v>91</v>
      </c>
      <c r="Z518">
        <v>51.9</v>
      </c>
      <c r="AA518">
        <v>5</v>
      </c>
      <c r="AB518">
        <v>32</v>
      </c>
      <c r="AC518">
        <v>4</v>
      </c>
      <c r="AD518">
        <v>10</v>
      </c>
      <c r="AE518" t="s">
        <v>60</v>
      </c>
    </row>
    <row r="519" spans="1:31" x14ac:dyDescent="0.2">
      <c r="A519">
        <v>498</v>
      </c>
      <c r="B519" t="s">
        <v>1081</v>
      </c>
      <c r="C519">
        <v>32</v>
      </c>
      <c r="D519" t="s">
        <v>330</v>
      </c>
      <c r="E519" t="s">
        <v>349</v>
      </c>
      <c r="F519">
        <v>46</v>
      </c>
      <c r="G519">
        <v>1</v>
      </c>
      <c r="H519">
        <v>7</v>
      </c>
      <c r="I519">
        <v>8</v>
      </c>
      <c r="J519">
        <v>-3</v>
      </c>
      <c r="K519">
        <v>39</v>
      </c>
      <c r="L519">
        <v>1</v>
      </c>
      <c r="M519">
        <v>0</v>
      </c>
      <c r="N519">
        <v>0</v>
      </c>
      <c r="O519">
        <v>0</v>
      </c>
      <c r="P519">
        <v>7</v>
      </c>
      <c r="Q519">
        <v>0</v>
      </c>
      <c r="R519">
        <v>0</v>
      </c>
      <c r="S519">
        <v>41</v>
      </c>
      <c r="T519">
        <v>2.4</v>
      </c>
      <c r="U519">
        <v>91</v>
      </c>
      <c r="V519" t="s">
        <v>1981</v>
      </c>
      <c r="W519" t="s">
        <v>1874</v>
      </c>
      <c r="X519">
        <v>0</v>
      </c>
      <c r="Y519">
        <v>0</v>
      </c>
      <c r="AA519">
        <v>67</v>
      </c>
      <c r="AB519">
        <v>46</v>
      </c>
      <c r="AC519">
        <v>12</v>
      </c>
      <c r="AD519">
        <v>40</v>
      </c>
      <c r="AE519" t="s">
        <v>60</v>
      </c>
    </row>
    <row r="520" spans="1:31" x14ac:dyDescent="0.2">
      <c r="A520">
        <v>499</v>
      </c>
      <c r="B520" t="s">
        <v>836</v>
      </c>
      <c r="C520">
        <v>35</v>
      </c>
      <c r="D520" t="s">
        <v>449</v>
      </c>
      <c r="E520" t="s">
        <v>349</v>
      </c>
      <c r="F520">
        <v>46</v>
      </c>
      <c r="G520">
        <v>1</v>
      </c>
      <c r="H520">
        <v>7</v>
      </c>
      <c r="I520">
        <v>8</v>
      </c>
      <c r="J520">
        <v>-19</v>
      </c>
      <c r="K520">
        <v>34</v>
      </c>
      <c r="L520">
        <v>1</v>
      </c>
      <c r="M520">
        <v>0</v>
      </c>
      <c r="N520">
        <v>0</v>
      </c>
      <c r="O520">
        <v>0</v>
      </c>
      <c r="P520">
        <v>7</v>
      </c>
      <c r="Q520">
        <v>0</v>
      </c>
      <c r="R520">
        <v>0</v>
      </c>
      <c r="S520">
        <v>53</v>
      </c>
      <c r="T520">
        <v>1.9</v>
      </c>
      <c r="U520">
        <v>137</v>
      </c>
      <c r="V520" t="s">
        <v>2559</v>
      </c>
      <c r="W520" t="s">
        <v>1786</v>
      </c>
      <c r="X520">
        <v>0</v>
      </c>
      <c r="Y520">
        <v>0</v>
      </c>
      <c r="AA520">
        <v>80</v>
      </c>
      <c r="AB520">
        <v>56</v>
      </c>
      <c r="AC520">
        <v>14</v>
      </c>
      <c r="AD520">
        <v>46</v>
      </c>
      <c r="AE520" t="s">
        <v>60</v>
      </c>
    </row>
    <row r="521" spans="1:31" x14ac:dyDescent="0.2">
      <c r="A521">
        <v>500</v>
      </c>
      <c r="B521" t="s">
        <v>892</v>
      </c>
      <c r="C521">
        <v>36</v>
      </c>
      <c r="D521" t="s">
        <v>346</v>
      </c>
      <c r="E521" t="s">
        <v>335</v>
      </c>
      <c r="F521">
        <v>31</v>
      </c>
      <c r="G521">
        <v>0</v>
      </c>
      <c r="H521">
        <v>8</v>
      </c>
      <c r="I521">
        <v>8</v>
      </c>
      <c r="J521">
        <v>-4</v>
      </c>
      <c r="K521">
        <v>4</v>
      </c>
      <c r="L521">
        <v>0</v>
      </c>
      <c r="M521">
        <v>0</v>
      </c>
      <c r="N521">
        <v>0</v>
      </c>
      <c r="O521">
        <v>0</v>
      </c>
      <c r="P521">
        <v>3</v>
      </c>
      <c r="Q521">
        <v>5</v>
      </c>
      <c r="R521">
        <v>0</v>
      </c>
      <c r="S521">
        <v>41</v>
      </c>
      <c r="T521">
        <v>0</v>
      </c>
      <c r="U521">
        <v>80</v>
      </c>
      <c r="V521" t="s">
        <v>1953</v>
      </c>
      <c r="W521" t="s">
        <v>1893</v>
      </c>
      <c r="X521">
        <v>7</v>
      </c>
      <c r="Y521">
        <v>11</v>
      </c>
      <c r="Z521">
        <v>38.9</v>
      </c>
      <c r="AA521">
        <v>14</v>
      </c>
      <c r="AB521">
        <v>18</v>
      </c>
      <c r="AC521">
        <v>10</v>
      </c>
      <c r="AD521">
        <v>15</v>
      </c>
      <c r="AE521" t="s">
        <v>60</v>
      </c>
    </row>
    <row r="522" spans="1:31" x14ac:dyDescent="0.2">
      <c r="A522">
        <v>501</v>
      </c>
      <c r="B522" t="s">
        <v>1083</v>
      </c>
      <c r="C522">
        <v>23</v>
      </c>
      <c r="D522" t="s">
        <v>398</v>
      </c>
      <c r="E522" t="s">
        <v>349</v>
      </c>
      <c r="F522">
        <v>33</v>
      </c>
      <c r="G522">
        <v>0</v>
      </c>
      <c r="H522">
        <v>8</v>
      </c>
      <c r="I522">
        <v>8</v>
      </c>
      <c r="J522">
        <v>4</v>
      </c>
      <c r="K522">
        <v>4</v>
      </c>
      <c r="L522">
        <v>0</v>
      </c>
      <c r="M522">
        <v>0</v>
      </c>
      <c r="N522">
        <v>0</v>
      </c>
      <c r="O522">
        <v>0</v>
      </c>
      <c r="P522">
        <v>8</v>
      </c>
      <c r="Q522">
        <v>0</v>
      </c>
      <c r="R522">
        <v>0</v>
      </c>
      <c r="S522">
        <v>38</v>
      </c>
      <c r="T522">
        <v>0</v>
      </c>
      <c r="U522">
        <v>111</v>
      </c>
      <c r="V522" t="s">
        <v>1988</v>
      </c>
      <c r="W522" t="s">
        <v>1809</v>
      </c>
      <c r="X522">
        <v>0</v>
      </c>
      <c r="Y522">
        <v>0</v>
      </c>
      <c r="AA522">
        <v>21</v>
      </c>
      <c r="AB522">
        <v>9</v>
      </c>
      <c r="AC522">
        <v>5</v>
      </c>
      <c r="AD522">
        <v>28</v>
      </c>
      <c r="AE522" t="s">
        <v>60</v>
      </c>
    </row>
    <row r="523" spans="1:31" x14ac:dyDescent="0.2">
      <c r="A523">
        <v>502</v>
      </c>
      <c r="B523" t="s">
        <v>940</v>
      </c>
      <c r="C523">
        <v>33</v>
      </c>
      <c r="D523" t="s">
        <v>532</v>
      </c>
      <c r="E523" t="s">
        <v>349</v>
      </c>
      <c r="F523">
        <v>43</v>
      </c>
      <c r="G523">
        <v>3</v>
      </c>
      <c r="H523">
        <v>5</v>
      </c>
      <c r="I523">
        <v>8</v>
      </c>
      <c r="J523">
        <v>8</v>
      </c>
      <c r="K523">
        <v>10</v>
      </c>
      <c r="L523">
        <v>3</v>
      </c>
      <c r="M523">
        <v>0</v>
      </c>
      <c r="N523">
        <v>0</v>
      </c>
      <c r="O523">
        <v>1</v>
      </c>
      <c r="P523">
        <v>5</v>
      </c>
      <c r="Q523">
        <v>0</v>
      </c>
      <c r="R523">
        <v>0</v>
      </c>
      <c r="S523">
        <v>43</v>
      </c>
      <c r="T523">
        <v>7</v>
      </c>
      <c r="U523">
        <v>88</v>
      </c>
      <c r="V523" t="s">
        <v>2833</v>
      </c>
      <c r="W523" t="s">
        <v>2834</v>
      </c>
      <c r="X523">
        <v>0</v>
      </c>
      <c r="Y523">
        <v>0</v>
      </c>
      <c r="AA523">
        <v>66</v>
      </c>
      <c r="AB523">
        <v>54</v>
      </c>
      <c r="AC523">
        <v>14</v>
      </c>
      <c r="AD523">
        <v>43</v>
      </c>
      <c r="AE523" t="s">
        <v>60</v>
      </c>
    </row>
    <row r="524" spans="1:31" x14ac:dyDescent="0.2">
      <c r="A524">
        <v>503</v>
      </c>
      <c r="B524" t="s">
        <v>1011</v>
      </c>
      <c r="C524">
        <v>27</v>
      </c>
      <c r="D524" t="s">
        <v>461</v>
      </c>
      <c r="E524" t="s">
        <v>349</v>
      </c>
      <c r="F524">
        <v>43</v>
      </c>
      <c r="G524">
        <v>3</v>
      </c>
      <c r="H524">
        <v>5</v>
      </c>
      <c r="I524">
        <v>8</v>
      </c>
      <c r="J524">
        <v>-10</v>
      </c>
      <c r="K524">
        <v>14</v>
      </c>
      <c r="L524">
        <v>3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44</v>
      </c>
      <c r="T524">
        <v>6.8</v>
      </c>
      <c r="U524">
        <v>108</v>
      </c>
      <c r="V524" t="s">
        <v>2333</v>
      </c>
      <c r="W524" t="s">
        <v>1780</v>
      </c>
      <c r="X524">
        <v>0</v>
      </c>
      <c r="Y524">
        <v>0</v>
      </c>
      <c r="AA524">
        <v>49</v>
      </c>
      <c r="AB524">
        <v>22</v>
      </c>
      <c r="AC524">
        <v>10</v>
      </c>
      <c r="AD524">
        <v>47</v>
      </c>
      <c r="AE524" t="s">
        <v>60</v>
      </c>
    </row>
    <row r="525" spans="1:31" x14ac:dyDescent="0.2">
      <c r="A525">
        <v>504</v>
      </c>
      <c r="B525" t="s">
        <v>896</v>
      </c>
      <c r="C525">
        <v>38</v>
      </c>
      <c r="D525" t="s">
        <v>374</v>
      </c>
      <c r="E525" t="s">
        <v>349</v>
      </c>
      <c r="F525">
        <v>43</v>
      </c>
      <c r="G525">
        <v>0</v>
      </c>
      <c r="H525">
        <v>8</v>
      </c>
      <c r="I525">
        <v>8</v>
      </c>
      <c r="J525">
        <v>-7</v>
      </c>
      <c r="K525">
        <v>18</v>
      </c>
      <c r="L525">
        <v>0</v>
      </c>
      <c r="M525">
        <v>0</v>
      </c>
      <c r="N525">
        <v>0</v>
      </c>
      <c r="O525">
        <v>0</v>
      </c>
      <c r="P525">
        <v>6</v>
      </c>
      <c r="Q525">
        <v>2</v>
      </c>
      <c r="R525">
        <v>0</v>
      </c>
      <c r="S525">
        <v>36</v>
      </c>
      <c r="T525">
        <v>0</v>
      </c>
      <c r="U525">
        <v>102</v>
      </c>
      <c r="V525" t="s">
        <v>2176</v>
      </c>
      <c r="W525" t="s">
        <v>1839</v>
      </c>
      <c r="X525">
        <v>0</v>
      </c>
      <c r="Y525">
        <v>0</v>
      </c>
      <c r="AA525">
        <v>46</v>
      </c>
      <c r="AB525">
        <v>38</v>
      </c>
      <c r="AC525">
        <v>1</v>
      </c>
      <c r="AD525">
        <v>35</v>
      </c>
      <c r="AE525" t="s">
        <v>60</v>
      </c>
    </row>
    <row r="526" spans="1:31" x14ac:dyDescent="0.2">
      <c r="A526">
        <v>505</v>
      </c>
      <c r="B526" t="s">
        <v>946</v>
      </c>
      <c r="C526">
        <v>30</v>
      </c>
      <c r="D526" t="s">
        <v>346</v>
      </c>
      <c r="E526" t="s">
        <v>349</v>
      </c>
      <c r="F526">
        <v>40</v>
      </c>
      <c r="G526">
        <v>2</v>
      </c>
      <c r="H526">
        <v>6</v>
      </c>
      <c r="I526">
        <v>8</v>
      </c>
      <c r="J526">
        <v>-1</v>
      </c>
      <c r="K526">
        <v>19</v>
      </c>
      <c r="L526">
        <v>1</v>
      </c>
      <c r="M526">
        <v>1</v>
      </c>
      <c r="N526">
        <v>0</v>
      </c>
      <c r="O526">
        <v>1</v>
      </c>
      <c r="P526">
        <v>5</v>
      </c>
      <c r="Q526">
        <v>1</v>
      </c>
      <c r="R526">
        <v>0</v>
      </c>
      <c r="S526">
        <v>76</v>
      </c>
      <c r="T526">
        <v>2.6</v>
      </c>
      <c r="U526">
        <v>174</v>
      </c>
      <c r="V526" t="s">
        <v>2560</v>
      </c>
      <c r="W526" t="s">
        <v>1796</v>
      </c>
      <c r="X526">
        <v>0</v>
      </c>
      <c r="Y526">
        <v>0</v>
      </c>
      <c r="AA526">
        <v>64</v>
      </c>
      <c r="AB526">
        <v>84</v>
      </c>
      <c r="AC526">
        <v>11</v>
      </c>
      <c r="AD526">
        <v>47</v>
      </c>
      <c r="AE526" t="s">
        <v>60</v>
      </c>
    </row>
    <row r="527" spans="1:31" x14ac:dyDescent="0.2">
      <c r="A527">
        <v>506</v>
      </c>
      <c r="B527" t="s">
        <v>803</v>
      </c>
      <c r="C527">
        <v>21</v>
      </c>
      <c r="D527" t="s">
        <v>330</v>
      </c>
      <c r="E527" t="s">
        <v>349</v>
      </c>
      <c r="F527">
        <v>28</v>
      </c>
      <c r="G527">
        <v>1</v>
      </c>
      <c r="H527">
        <v>7</v>
      </c>
      <c r="I527">
        <v>8</v>
      </c>
      <c r="J527">
        <v>0</v>
      </c>
      <c r="K527">
        <v>28</v>
      </c>
      <c r="L527">
        <v>1</v>
      </c>
      <c r="M527">
        <v>0</v>
      </c>
      <c r="N527">
        <v>0</v>
      </c>
      <c r="O527">
        <v>0</v>
      </c>
      <c r="P527">
        <v>7</v>
      </c>
      <c r="Q527">
        <v>0</v>
      </c>
      <c r="R527">
        <v>0</v>
      </c>
      <c r="S527">
        <v>39</v>
      </c>
      <c r="T527">
        <v>2.6</v>
      </c>
      <c r="U527">
        <v>114</v>
      </c>
      <c r="V527" t="s">
        <v>804</v>
      </c>
      <c r="W527" t="s">
        <v>741</v>
      </c>
      <c r="X527">
        <v>0</v>
      </c>
      <c r="Y527">
        <v>0</v>
      </c>
      <c r="AA527">
        <v>29</v>
      </c>
      <c r="AB527">
        <v>26</v>
      </c>
      <c r="AC527">
        <v>4</v>
      </c>
      <c r="AD527">
        <v>37</v>
      </c>
      <c r="AE527" t="s">
        <v>60</v>
      </c>
    </row>
    <row r="528" spans="1:31" x14ac:dyDescent="0.2">
      <c r="A528">
        <v>507</v>
      </c>
      <c r="B528" t="s">
        <v>1093</v>
      </c>
      <c r="C528">
        <v>24</v>
      </c>
      <c r="D528" t="s">
        <v>362</v>
      </c>
      <c r="E528" t="s">
        <v>349</v>
      </c>
      <c r="F528">
        <v>38</v>
      </c>
      <c r="G528">
        <v>2</v>
      </c>
      <c r="H528">
        <v>6</v>
      </c>
      <c r="I528">
        <v>8</v>
      </c>
      <c r="J528">
        <v>-3</v>
      </c>
      <c r="K528">
        <v>22</v>
      </c>
      <c r="L528">
        <v>2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38</v>
      </c>
      <c r="T528">
        <v>5.3</v>
      </c>
      <c r="U528">
        <v>112</v>
      </c>
      <c r="V528" t="s">
        <v>2835</v>
      </c>
      <c r="W528" t="s">
        <v>2293</v>
      </c>
      <c r="X528">
        <v>0</v>
      </c>
      <c r="Y528">
        <v>0</v>
      </c>
      <c r="AA528">
        <v>42</v>
      </c>
      <c r="AB528">
        <v>61</v>
      </c>
      <c r="AC528">
        <v>1</v>
      </c>
      <c r="AD528">
        <v>26</v>
      </c>
      <c r="AE528" t="s">
        <v>60</v>
      </c>
    </row>
    <row r="529" spans="1:31" x14ac:dyDescent="0.2">
      <c r="A529">
        <v>508</v>
      </c>
      <c r="B529" t="s">
        <v>1017</v>
      </c>
      <c r="C529">
        <v>27</v>
      </c>
      <c r="D529" t="s">
        <v>346</v>
      </c>
      <c r="E529" t="s">
        <v>349</v>
      </c>
      <c r="F529">
        <v>29</v>
      </c>
      <c r="G529">
        <v>0</v>
      </c>
      <c r="H529">
        <v>8</v>
      </c>
      <c r="I529">
        <v>8</v>
      </c>
      <c r="J529">
        <v>0</v>
      </c>
      <c r="K529">
        <v>8</v>
      </c>
      <c r="L529">
        <v>0</v>
      </c>
      <c r="M529">
        <v>0</v>
      </c>
      <c r="N529">
        <v>0</v>
      </c>
      <c r="O529">
        <v>0</v>
      </c>
      <c r="P529">
        <v>8</v>
      </c>
      <c r="Q529">
        <v>0</v>
      </c>
      <c r="R529">
        <v>0</v>
      </c>
      <c r="S529">
        <v>37</v>
      </c>
      <c r="T529">
        <v>0</v>
      </c>
      <c r="U529">
        <v>105</v>
      </c>
      <c r="V529" t="s">
        <v>2561</v>
      </c>
      <c r="W529" t="s">
        <v>1578</v>
      </c>
      <c r="X529">
        <v>0</v>
      </c>
      <c r="Y529">
        <v>0</v>
      </c>
      <c r="AA529">
        <v>53</v>
      </c>
      <c r="AB529">
        <v>25</v>
      </c>
      <c r="AC529">
        <v>15</v>
      </c>
      <c r="AD529">
        <v>33</v>
      </c>
      <c r="AE529" t="s">
        <v>60</v>
      </c>
    </row>
    <row r="530" spans="1:31" x14ac:dyDescent="0.2">
      <c r="A530">
        <v>509</v>
      </c>
      <c r="B530" t="s">
        <v>898</v>
      </c>
      <c r="C530">
        <v>24</v>
      </c>
      <c r="D530" t="s">
        <v>362</v>
      </c>
      <c r="E530" t="s">
        <v>349</v>
      </c>
      <c r="F530">
        <v>48</v>
      </c>
      <c r="G530">
        <v>2</v>
      </c>
      <c r="H530">
        <v>6</v>
      </c>
      <c r="I530">
        <v>8</v>
      </c>
      <c r="J530">
        <v>-12</v>
      </c>
      <c r="K530">
        <v>12</v>
      </c>
      <c r="L530">
        <v>2</v>
      </c>
      <c r="M530">
        <v>0</v>
      </c>
      <c r="N530">
        <v>0</v>
      </c>
      <c r="O530">
        <v>0</v>
      </c>
      <c r="P530">
        <v>6</v>
      </c>
      <c r="Q530">
        <v>0</v>
      </c>
      <c r="R530">
        <v>0</v>
      </c>
      <c r="S530">
        <v>61</v>
      </c>
      <c r="T530">
        <v>3.3</v>
      </c>
      <c r="U530">
        <v>150</v>
      </c>
      <c r="V530" t="s">
        <v>2836</v>
      </c>
      <c r="W530" t="s">
        <v>732</v>
      </c>
      <c r="X530">
        <v>0</v>
      </c>
      <c r="Y530">
        <v>0</v>
      </c>
      <c r="AA530">
        <v>76</v>
      </c>
      <c r="AB530">
        <v>106</v>
      </c>
      <c r="AC530">
        <v>15</v>
      </c>
      <c r="AD530">
        <v>46</v>
      </c>
      <c r="AE530" t="s">
        <v>60</v>
      </c>
    </row>
    <row r="531" spans="1:31" x14ac:dyDescent="0.2">
      <c r="A531">
        <v>510</v>
      </c>
      <c r="B531" t="s">
        <v>900</v>
      </c>
      <c r="C531">
        <v>31</v>
      </c>
      <c r="D531" t="s">
        <v>362</v>
      </c>
      <c r="E531" t="s">
        <v>349</v>
      </c>
      <c r="F531">
        <v>44</v>
      </c>
      <c r="G531">
        <v>3</v>
      </c>
      <c r="H531">
        <v>5</v>
      </c>
      <c r="I531">
        <v>8</v>
      </c>
      <c r="J531">
        <v>5</v>
      </c>
      <c r="K531">
        <v>16</v>
      </c>
      <c r="L531">
        <v>3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35</v>
      </c>
      <c r="T531">
        <v>8.6</v>
      </c>
      <c r="U531">
        <v>90</v>
      </c>
      <c r="V531" t="s">
        <v>2837</v>
      </c>
      <c r="W531" t="s">
        <v>1494</v>
      </c>
      <c r="X531">
        <v>0</v>
      </c>
      <c r="Y531">
        <v>0</v>
      </c>
      <c r="AA531">
        <v>63</v>
      </c>
      <c r="AB531">
        <v>68</v>
      </c>
      <c r="AC531">
        <v>14</v>
      </c>
      <c r="AD531">
        <v>45</v>
      </c>
      <c r="AE531" t="s">
        <v>60</v>
      </c>
    </row>
    <row r="532" spans="1:31" x14ac:dyDescent="0.2">
      <c r="A532">
        <v>511</v>
      </c>
      <c r="B532" t="s">
        <v>1159</v>
      </c>
      <c r="C532">
        <v>30</v>
      </c>
      <c r="D532" t="s">
        <v>358</v>
      </c>
      <c r="E532" t="s">
        <v>322</v>
      </c>
      <c r="F532">
        <v>25</v>
      </c>
      <c r="G532">
        <v>3</v>
      </c>
      <c r="H532">
        <v>5</v>
      </c>
      <c r="I532">
        <v>8</v>
      </c>
      <c r="J532">
        <v>1</v>
      </c>
      <c r="K532">
        <v>2</v>
      </c>
      <c r="L532">
        <v>3</v>
      </c>
      <c r="M532">
        <v>0</v>
      </c>
      <c r="N532">
        <v>0</v>
      </c>
      <c r="O532">
        <v>0</v>
      </c>
      <c r="P532">
        <v>5</v>
      </c>
      <c r="Q532">
        <v>0</v>
      </c>
      <c r="R532">
        <v>0</v>
      </c>
      <c r="S532">
        <v>23</v>
      </c>
      <c r="T532">
        <v>13</v>
      </c>
      <c r="U532">
        <v>42</v>
      </c>
      <c r="V532" t="s">
        <v>2177</v>
      </c>
      <c r="W532" t="s">
        <v>1688</v>
      </c>
      <c r="X532">
        <v>122</v>
      </c>
      <c r="Y532">
        <v>109</v>
      </c>
      <c r="Z532">
        <v>52.8</v>
      </c>
      <c r="AA532">
        <v>11</v>
      </c>
      <c r="AB532">
        <v>28</v>
      </c>
      <c r="AC532">
        <v>4</v>
      </c>
      <c r="AD532">
        <v>12</v>
      </c>
      <c r="AE532" t="s">
        <v>60</v>
      </c>
    </row>
    <row r="533" spans="1:31" x14ac:dyDescent="0.2">
      <c r="A533">
        <v>512</v>
      </c>
      <c r="B533" t="s">
        <v>1039</v>
      </c>
      <c r="C533">
        <v>29</v>
      </c>
      <c r="D533" t="s">
        <v>957</v>
      </c>
      <c r="E533" t="s">
        <v>340</v>
      </c>
      <c r="F533">
        <v>20</v>
      </c>
      <c r="G533">
        <v>3</v>
      </c>
      <c r="H533">
        <v>5</v>
      </c>
      <c r="I533">
        <v>8</v>
      </c>
      <c r="J533">
        <v>2</v>
      </c>
      <c r="K533">
        <v>10</v>
      </c>
      <c r="L533">
        <v>3</v>
      </c>
      <c r="M533">
        <v>0</v>
      </c>
      <c r="N533">
        <v>0</v>
      </c>
      <c r="O533">
        <v>0</v>
      </c>
      <c r="P533">
        <v>5</v>
      </c>
      <c r="Q533">
        <v>0</v>
      </c>
      <c r="R533">
        <v>0</v>
      </c>
      <c r="S533">
        <v>16</v>
      </c>
      <c r="T533">
        <v>18.8</v>
      </c>
      <c r="U533">
        <v>26</v>
      </c>
      <c r="V533" t="s">
        <v>2562</v>
      </c>
      <c r="W533" t="s">
        <v>2563</v>
      </c>
      <c r="X533">
        <v>1</v>
      </c>
      <c r="Y533">
        <v>2</v>
      </c>
      <c r="Z533">
        <v>33.299999999999997</v>
      </c>
      <c r="AA533">
        <v>11</v>
      </c>
      <c r="AB533">
        <v>74</v>
      </c>
      <c r="AC533">
        <v>3</v>
      </c>
      <c r="AD533">
        <v>2</v>
      </c>
      <c r="AE533" t="s">
        <v>60</v>
      </c>
    </row>
    <row r="534" spans="1:31" x14ac:dyDescent="0.2">
      <c r="A534">
        <v>512</v>
      </c>
      <c r="B534" t="s">
        <v>1039</v>
      </c>
      <c r="C534">
        <v>29</v>
      </c>
      <c r="D534" t="s">
        <v>360</v>
      </c>
      <c r="E534" t="s">
        <v>340</v>
      </c>
      <c r="F534">
        <v>8</v>
      </c>
      <c r="G534">
        <v>1</v>
      </c>
      <c r="H534">
        <v>2</v>
      </c>
      <c r="I534">
        <v>3</v>
      </c>
      <c r="J534">
        <v>-2</v>
      </c>
      <c r="K534">
        <v>4</v>
      </c>
      <c r="L534">
        <v>1</v>
      </c>
      <c r="M534">
        <v>0</v>
      </c>
      <c r="N534">
        <v>0</v>
      </c>
      <c r="O534">
        <v>0</v>
      </c>
      <c r="P534">
        <v>2</v>
      </c>
      <c r="Q534">
        <v>0</v>
      </c>
      <c r="R534">
        <v>0</v>
      </c>
      <c r="S534">
        <v>7</v>
      </c>
      <c r="T534">
        <v>14.3</v>
      </c>
      <c r="U534">
        <v>11</v>
      </c>
      <c r="V534" t="s">
        <v>1040</v>
      </c>
      <c r="W534" t="s">
        <v>1041</v>
      </c>
      <c r="X534">
        <v>1</v>
      </c>
      <c r="Y534">
        <v>0</v>
      </c>
      <c r="Z534">
        <v>100</v>
      </c>
      <c r="AA534">
        <v>5</v>
      </c>
      <c r="AB534">
        <v>28</v>
      </c>
      <c r="AC534">
        <v>1</v>
      </c>
      <c r="AD534">
        <v>2</v>
      </c>
      <c r="AE534" t="s">
        <v>60</v>
      </c>
    </row>
    <row r="535" spans="1:31" x14ac:dyDescent="0.2">
      <c r="A535">
        <v>512</v>
      </c>
      <c r="B535" t="s">
        <v>1039</v>
      </c>
      <c r="C535">
        <v>29</v>
      </c>
      <c r="D535" t="s">
        <v>364</v>
      </c>
      <c r="E535" t="s">
        <v>340</v>
      </c>
      <c r="F535">
        <v>12</v>
      </c>
      <c r="G535">
        <v>2</v>
      </c>
      <c r="H535">
        <v>3</v>
      </c>
      <c r="I535">
        <v>5</v>
      </c>
      <c r="J535">
        <v>4</v>
      </c>
      <c r="K535">
        <v>6</v>
      </c>
      <c r="L535">
        <v>2</v>
      </c>
      <c r="M535">
        <v>0</v>
      </c>
      <c r="N535">
        <v>0</v>
      </c>
      <c r="O535">
        <v>0</v>
      </c>
      <c r="P535">
        <v>3</v>
      </c>
      <c r="Q535">
        <v>0</v>
      </c>
      <c r="R535">
        <v>0</v>
      </c>
      <c r="S535">
        <v>9</v>
      </c>
      <c r="T535">
        <v>22.2</v>
      </c>
      <c r="U535">
        <v>15</v>
      </c>
      <c r="V535" t="s">
        <v>2564</v>
      </c>
      <c r="W535" t="s">
        <v>1657</v>
      </c>
      <c r="X535">
        <v>0</v>
      </c>
      <c r="Y535">
        <v>2</v>
      </c>
      <c r="Z535">
        <v>0</v>
      </c>
      <c r="AA535">
        <v>6</v>
      </c>
      <c r="AB535">
        <v>46</v>
      </c>
      <c r="AC535">
        <v>2</v>
      </c>
      <c r="AD535">
        <v>0</v>
      </c>
      <c r="AE535" t="s">
        <v>60</v>
      </c>
    </row>
    <row r="536" spans="1:31" x14ac:dyDescent="0.2">
      <c r="A536">
        <v>513</v>
      </c>
      <c r="B536" t="s">
        <v>965</v>
      </c>
      <c r="C536">
        <v>25</v>
      </c>
      <c r="D536" t="s">
        <v>334</v>
      </c>
      <c r="E536" t="s">
        <v>322</v>
      </c>
      <c r="F536">
        <v>37</v>
      </c>
      <c r="G536">
        <v>3</v>
      </c>
      <c r="H536">
        <v>4</v>
      </c>
      <c r="I536">
        <v>7</v>
      </c>
      <c r="J536">
        <v>5</v>
      </c>
      <c r="K536">
        <v>6</v>
      </c>
      <c r="L536">
        <v>2</v>
      </c>
      <c r="M536">
        <v>0</v>
      </c>
      <c r="N536">
        <v>1</v>
      </c>
      <c r="O536">
        <v>1</v>
      </c>
      <c r="P536">
        <v>4</v>
      </c>
      <c r="Q536">
        <v>0</v>
      </c>
      <c r="R536">
        <v>0</v>
      </c>
      <c r="S536">
        <v>21</v>
      </c>
      <c r="T536">
        <v>14.3</v>
      </c>
      <c r="U536">
        <v>41</v>
      </c>
      <c r="V536" t="s">
        <v>2565</v>
      </c>
      <c r="W536" t="s">
        <v>1576</v>
      </c>
      <c r="X536">
        <v>10</v>
      </c>
      <c r="Y536">
        <v>14</v>
      </c>
      <c r="Z536">
        <v>41.7</v>
      </c>
      <c r="AA536">
        <v>21</v>
      </c>
      <c r="AB536">
        <v>15</v>
      </c>
      <c r="AC536">
        <v>6</v>
      </c>
      <c r="AD536">
        <v>22</v>
      </c>
      <c r="AE536" t="s">
        <v>60</v>
      </c>
    </row>
    <row r="537" spans="1:31" x14ac:dyDescent="0.2">
      <c r="A537">
        <v>514</v>
      </c>
      <c r="B537" t="s">
        <v>858</v>
      </c>
      <c r="C537">
        <v>32</v>
      </c>
      <c r="D537" t="s">
        <v>334</v>
      </c>
      <c r="E537" t="s">
        <v>322</v>
      </c>
      <c r="F537">
        <v>41</v>
      </c>
      <c r="G537">
        <v>2</v>
      </c>
      <c r="H537">
        <v>5</v>
      </c>
      <c r="I537">
        <v>7</v>
      </c>
      <c r="J537">
        <v>0</v>
      </c>
      <c r="K537">
        <v>18</v>
      </c>
      <c r="L537">
        <v>2</v>
      </c>
      <c r="M537">
        <v>0</v>
      </c>
      <c r="N537">
        <v>0</v>
      </c>
      <c r="O537">
        <v>1</v>
      </c>
      <c r="P537">
        <v>5</v>
      </c>
      <c r="Q537">
        <v>0</v>
      </c>
      <c r="R537">
        <v>0</v>
      </c>
      <c r="S537">
        <v>33</v>
      </c>
      <c r="T537">
        <v>6.1</v>
      </c>
      <c r="U537">
        <v>74</v>
      </c>
      <c r="V537" t="s">
        <v>2566</v>
      </c>
      <c r="W537" t="s">
        <v>2567</v>
      </c>
      <c r="X537">
        <v>68</v>
      </c>
      <c r="Y537">
        <v>102</v>
      </c>
      <c r="Z537">
        <v>40</v>
      </c>
      <c r="AA537">
        <v>19</v>
      </c>
      <c r="AB537">
        <v>60</v>
      </c>
      <c r="AC537">
        <v>6</v>
      </c>
      <c r="AD537">
        <v>20</v>
      </c>
      <c r="AE537" t="s">
        <v>60</v>
      </c>
    </row>
    <row r="538" spans="1:31" x14ac:dyDescent="0.2">
      <c r="A538">
        <v>515</v>
      </c>
      <c r="B538" t="s">
        <v>859</v>
      </c>
      <c r="C538">
        <v>27</v>
      </c>
      <c r="D538" t="s">
        <v>374</v>
      </c>
      <c r="E538" t="s">
        <v>322</v>
      </c>
      <c r="F538">
        <v>45</v>
      </c>
      <c r="G538">
        <v>3</v>
      </c>
      <c r="H538">
        <v>4</v>
      </c>
      <c r="I538">
        <v>7</v>
      </c>
      <c r="J538">
        <v>-4</v>
      </c>
      <c r="K538">
        <v>10</v>
      </c>
      <c r="L538">
        <v>3</v>
      </c>
      <c r="M538">
        <v>0</v>
      </c>
      <c r="N538">
        <v>0</v>
      </c>
      <c r="O538">
        <v>1</v>
      </c>
      <c r="P538">
        <v>4</v>
      </c>
      <c r="Q538">
        <v>0</v>
      </c>
      <c r="R538">
        <v>0</v>
      </c>
      <c r="S538">
        <v>38</v>
      </c>
      <c r="T538">
        <v>7.9</v>
      </c>
      <c r="U538">
        <v>73</v>
      </c>
      <c r="V538" t="s">
        <v>2178</v>
      </c>
      <c r="W538" t="s">
        <v>1991</v>
      </c>
      <c r="X538">
        <v>24</v>
      </c>
      <c r="Y538">
        <v>46</v>
      </c>
      <c r="Z538">
        <v>34.299999999999997</v>
      </c>
      <c r="AA538">
        <v>23</v>
      </c>
      <c r="AB538">
        <v>91</v>
      </c>
      <c r="AC538">
        <v>3</v>
      </c>
      <c r="AD538">
        <v>29</v>
      </c>
      <c r="AE538" t="s">
        <v>60</v>
      </c>
    </row>
    <row r="539" spans="1:31" x14ac:dyDescent="0.2">
      <c r="A539">
        <v>516</v>
      </c>
      <c r="B539" t="s">
        <v>818</v>
      </c>
      <c r="C539">
        <v>25</v>
      </c>
      <c r="D539" t="s">
        <v>364</v>
      </c>
      <c r="E539" t="s">
        <v>322</v>
      </c>
      <c r="F539">
        <v>15</v>
      </c>
      <c r="G539">
        <v>5</v>
      </c>
      <c r="H539">
        <v>2</v>
      </c>
      <c r="I539">
        <v>7</v>
      </c>
      <c r="J539">
        <v>-2</v>
      </c>
      <c r="K539">
        <v>16</v>
      </c>
      <c r="L539">
        <v>5</v>
      </c>
      <c r="M539">
        <v>0</v>
      </c>
      <c r="N539">
        <v>0</v>
      </c>
      <c r="O539">
        <v>0</v>
      </c>
      <c r="P539">
        <v>1</v>
      </c>
      <c r="Q539">
        <v>1</v>
      </c>
      <c r="R539">
        <v>0</v>
      </c>
      <c r="S539">
        <v>22</v>
      </c>
      <c r="T539">
        <v>22.7</v>
      </c>
      <c r="U539">
        <v>44</v>
      </c>
      <c r="V539" t="s">
        <v>819</v>
      </c>
      <c r="W539" t="s">
        <v>820</v>
      </c>
      <c r="X539">
        <v>46</v>
      </c>
      <c r="Y539">
        <v>61</v>
      </c>
      <c r="Z539">
        <v>43</v>
      </c>
      <c r="AA539">
        <v>15</v>
      </c>
      <c r="AB539">
        <v>21</v>
      </c>
      <c r="AC539">
        <v>8</v>
      </c>
      <c r="AD539">
        <v>8</v>
      </c>
      <c r="AE539" t="s">
        <v>60</v>
      </c>
    </row>
    <row r="540" spans="1:31" x14ac:dyDescent="0.2">
      <c r="A540">
        <v>517</v>
      </c>
      <c r="B540" t="s">
        <v>912</v>
      </c>
      <c r="C540">
        <v>21</v>
      </c>
      <c r="D540" t="s">
        <v>372</v>
      </c>
      <c r="E540" t="s">
        <v>322</v>
      </c>
      <c r="F540">
        <v>28</v>
      </c>
      <c r="G540">
        <v>2</v>
      </c>
      <c r="H540">
        <v>5</v>
      </c>
      <c r="I540">
        <v>7</v>
      </c>
      <c r="J540">
        <v>-7</v>
      </c>
      <c r="K540">
        <v>4</v>
      </c>
      <c r="L540">
        <v>2</v>
      </c>
      <c r="M540">
        <v>0</v>
      </c>
      <c r="N540">
        <v>0</v>
      </c>
      <c r="O540">
        <v>0</v>
      </c>
      <c r="P540">
        <v>2</v>
      </c>
      <c r="Q540">
        <v>3</v>
      </c>
      <c r="R540">
        <v>0</v>
      </c>
      <c r="S540">
        <v>31</v>
      </c>
      <c r="T540">
        <v>6.5</v>
      </c>
      <c r="U540">
        <v>59</v>
      </c>
      <c r="V540" t="s">
        <v>1900</v>
      </c>
      <c r="W540" t="s">
        <v>1772</v>
      </c>
      <c r="X540">
        <v>55</v>
      </c>
      <c r="Y540">
        <v>91</v>
      </c>
      <c r="Z540">
        <v>37.700000000000003</v>
      </c>
      <c r="AA540">
        <v>9</v>
      </c>
      <c r="AB540">
        <v>8</v>
      </c>
      <c r="AC540">
        <v>8</v>
      </c>
      <c r="AD540">
        <v>17</v>
      </c>
      <c r="AE540" t="s">
        <v>60</v>
      </c>
    </row>
    <row r="541" spans="1:31" x14ac:dyDescent="0.2">
      <c r="A541">
        <v>518</v>
      </c>
      <c r="B541" t="s">
        <v>979</v>
      </c>
      <c r="C541">
        <v>27</v>
      </c>
      <c r="D541" t="s">
        <v>382</v>
      </c>
      <c r="E541" t="s">
        <v>349</v>
      </c>
      <c r="F541">
        <v>46</v>
      </c>
      <c r="G541">
        <v>3</v>
      </c>
      <c r="H541">
        <v>4</v>
      </c>
      <c r="I541">
        <v>7</v>
      </c>
      <c r="J541">
        <v>-15</v>
      </c>
      <c r="K541">
        <v>16</v>
      </c>
      <c r="L541">
        <v>3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46</v>
      </c>
      <c r="T541">
        <v>6.5</v>
      </c>
      <c r="U541">
        <v>113</v>
      </c>
      <c r="V541" t="s">
        <v>2568</v>
      </c>
      <c r="W541" t="s">
        <v>2569</v>
      </c>
      <c r="X541">
        <v>0</v>
      </c>
      <c r="Y541">
        <v>0</v>
      </c>
      <c r="AA541">
        <v>78</v>
      </c>
      <c r="AB541">
        <v>41</v>
      </c>
      <c r="AC541">
        <v>11</v>
      </c>
      <c r="AD541">
        <v>40</v>
      </c>
      <c r="AE541" t="s">
        <v>60</v>
      </c>
    </row>
    <row r="542" spans="1:31" x14ac:dyDescent="0.2">
      <c r="A542">
        <v>519</v>
      </c>
      <c r="B542" t="s">
        <v>916</v>
      </c>
      <c r="C542">
        <v>31</v>
      </c>
      <c r="D542" t="s">
        <v>358</v>
      </c>
      <c r="E542" t="s">
        <v>322</v>
      </c>
      <c r="F542">
        <v>34</v>
      </c>
      <c r="G542">
        <v>2</v>
      </c>
      <c r="H542">
        <v>5</v>
      </c>
      <c r="I542">
        <v>7</v>
      </c>
      <c r="J542">
        <v>-6</v>
      </c>
      <c r="K542">
        <v>6</v>
      </c>
      <c r="L542">
        <v>2</v>
      </c>
      <c r="M542">
        <v>0</v>
      </c>
      <c r="N542">
        <v>0</v>
      </c>
      <c r="O542">
        <v>1</v>
      </c>
      <c r="P542">
        <v>3</v>
      </c>
      <c r="Q542">
        <v>2</v>
      </c>
      <c r="R542">
        <v>0</v>
      </c>
      <c r="S542">
        <v>28</v>
      </c>
      <c r="T542">
        <v>7.1</v>
      </c>
      <c r="U542">
        <v>67</v>
      </c>
      <c r="V542" t="s">
        <v>2179</v>
      </c>
      <c r="W542" t="s">
        <v>1608</v>
      </c>
      <c r="X542">
        <v>17</v>
      </c>
      <c r="Y542">
        <v>15</v>
      </c>
      <c r="Z542">
        <v>53.1</v>
      </c>
      <c r="AA542">
        <v>12</v>
      </c>
      <c r="AB542">
        <v>24</v>
      </c>
      <c r="AC542">
        <v>11</v>
      </c>
      <c r="AD542">
        <v>26</v>
      </c>
      <c r="AE542" t="s">
        <v>60</v>
      </c>
    </row>
    <row r="543" spans="1:31" x14ac:dyDescent="0.2">
      <c r="A543">
        <v>520</v>
      </c>
      <c r="B543" t="s">
        <v>994</v>
      </c>
      <c r="C543">
        <v>31</v>
      </c>
      <c r="D543" t="s">
        <v>398</v>
      </c>
      <c r="E543" t="s">
        <v>322</v>
      </c>
      <c r="F543">
        <v>35</v>
      </c>
      <c r="G543">
        <v>3</v>
      </c>
      <c r="H543">
        <v>4</v>
      </c>
      <c r="I543">
        <v>7</v>
      </c>
      <c r="J543">
        <v>1</v>
      </c>
      <c r="K543">
        <v>12</v>
      </c>
      <c r="L543">
        <v>3</v>
      </c>
      <c r="M543">
        <v>0</v>
      </c>
      <c r="N543">
        <v>0</v>
      </c>
      <c r="O543">
        <v>1</v>
      </c>
      <c r="P543">
        <v>4</v>
      </c>
      <c r="Q543">
        <v>0</v>
      </c>
      <c r="R543">
        <v>0</v>
      </c>
      <c r="S543">
        <v>33</v>
      </c>
      <c r="T543">
        <v>9.1</v>
      </c>
      <c r="U543">
        <v>71</v>
      </c>
      <c r="V543" t="s">
        <v>2570</v>
      </c>
      <c r="W543" t="s">
        <v>2571</v>
      </c>
      <c r="X543">
        <v>198</v>
      </c>
      <c r="Y543">
        <v>160</v>
      </c>
      <c r="Z543">
        <v>55.3</v>
      </c>
      <c r="AA543">
        <v>25</v>
      </c>
      <c r="AB543">
        <v>23</v>
      </c>
      <c r="AC543">
        <v>5</v>
      </c>
      <c r="AD543">
        <v>19</v>
      </c>
      <c r="AE543" t="s">
        <v>60</v>
      </c>
    </row>
    <row r="544" spans="1:31" x14ac:dyDescent="0.2">
      <c r="A544">
        <v>521</v>
      </c>
      <c r="B544" t="s">
        <v>919</v>
      </c>
      <c r="C544">
        <v>33</v>
      </c>
      <c r="D544" t="s">
        <v>328</v>
      </c>
      <c r="E544" t="s">
        <v>322</v>
      </c>
      <c r="F544">
        <v>31</v>
      </c>
      <c r="G544">
        <v>1</v>
      </c>
      <c r="H544">
        <v>6</v>
      </c>
      <c r="I544">
        <v>7</v>
      </c>
      <c r="J544">
        <v>-5</v>
      </c>
      <c r="K544">
        <v>18</v>
      </c>
      <c r="L544">
        <v>1</v>
      </c>
      <c r="M544">
        <v>0</v>
      </c>
      <c r="N544">
        <v>0</v>
      </c>
      <c r="O544">
        <v>0</v>
      </c>
      <c r="P544">
        <v>6</v>
      </c>
      <c r="Q544">
        <v>0</v>
      </c>
      <c r="R544">
        <v>0</v>
      </c>
      <c r="S544">
        <v>21</v>
      </c>
      <c r="T544">
        <v>4.8</v>
      </c>
      <c r="U544">
        <v>43</v>
      </c>
      <c r="V544" t="s">
        <v>2572</v>
      </c>
      <c r="W544" t="s">
        <v>2573</v>
      </c>
      <c r="X544">
        <v>6</v>
      </c>
      <c r="Y544">
        <v>11</v>
      </c>
      <c r="Z544">
        <v>35.299999999999997</v>
      </c>
      <c r="AA544">
        <v>11</v>
      </c>
      <c r="AB544">
        <v>10</v>
      </c>
      <c r="AC544">
        <v>5</v>
      </c>
      <c r="AD544">
        <v>10</v>
      </c>
      <c r="AE544" t="s">
        <v>60</v>
      </c>
    </row>
    <row r="545" spans="1:31" x14ac:dyDescent="0.2">
      <c r="A545">
        <v>522</v>
      </c>
      <c r="B545" t="s">
        <v>1065</v>
      </c>
      <c r="C545">
        <v>25</v>
      </c>
      <c r="D545" t="s">
        <v>372</v>
      </c>
      <c r="E545" t="s">
        <v>349</v>
      </c>
      <c r="F545">
        <v>48</v>
      </c>
      <c r="G545">
        <v>1</v>
      </c>
      <c r="H545">
        <v>6</v>
      </c>
      <c r="I545">
        <v>7</v>
      </c>
      <c r="J545">
        <v>-10</v>
      </c>
      <c r="K545">
        <v>8</v>
      </c>
      <c r="L545">
        <v>1</v>
      </c>
      <c r="M545">
        <v>0</v>
      </c>
      <c r="N545">
        <v>0</v>
      </c>
      <c r="O545">
        <v>0</v>
      </c>
      <c r="P545">
        <v>6</v>
      </c>
      <c r="Q545">
        <v>0</v>
      </c>
      <c r="R545">
        <v>0</v>
      </c>
      <c r="S545">
        <v>31</v>
      </c>
      <c r="T545">
        <v>3.2</v>
      </c>
      <c r="U545">
        <v>100</v>
      </c>
      <c r="V545" t="s">
        <v>2574</v>
      </c>
      <c r="W545" t="s">
        <v>1737</v>
      </c>
      <c r="X545">
        <v>0</v>
      </c>
      <c r="Y545">
        <v>0</v>
      </c>
      <c r="AA545">
        <v>65</v>
      </c>
      <c r="AB545">
        <v>36</v>
      </c>
      <c r="AC545">
        <v>12</v>
      </c>
      <c r="AD545">
        <v>41</v>
      </c>
      <c r="AE545" t="s">
        <v>60</v>
      </c>
    </row>
    <row r="546" spans="1:31" x14ac:dyDescent="0.2">
      <c r="A546">
        <v>523</v>
      </c>
      <c r="B546" t="s">
        <v>996</v>
      </c>
      <c r="C546">
        <v>27</v>
      </c>
      <c r="D546" t="s">
        <v>461</v>
      </c>
      <c r="E546" t="s">
        <v>322</v>
      </c>
      <c r="F546">
        <v>36</v>
      </c>
      <c r="G546">
        <v>3</v>
      </c>
      <c r="H546">
        <v>4</v>
      </c>
      <c r="I546">
        <v>7</v>
      </c>
      <c r="J546">
        <v>-10</v>
      </c>
      <c r="K546">
        <v>16</v>
      </c>
      <c r="L546">
        <v>3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37</v>
      </c>
      <c r="T546">
        <v>8.1</v>
      </c>
      <c r="U546">
        <v>74</v>
      </c>
      <c r="V546" t="s">
        <v>2575</v>
      </c>
      <c r="W546" t="s">
        <v>2576</v>
      </c>
      <c r="X546">
        <v>17</v>
      </c>
      <c r="Y546">
        <v>23</v>
      </c>
      <c r="Z546">
        <v>42.5</v>
      </c>
      <c r="AA546">
        <v>10</v>
      </c>
      <c r="AB546">
        <v>42</v>
      </c>
      <c r="AC546">
        <v>11</v>
      </c>
      <c r="AD546">
        <v>13</v>
      </c>
      <c r="AE546" t="s">
        <v>60</v>
      </c>
    </row>
    <row r="547" spans="1:31" x14ac:dyDescent="0.2">
      <c r="A547">
        <v>524</v>
      </c>
      <c r="B547" t="s">
        <v>1127</v>
      </c>
      <c r="C547">
        <v>29</v>
      </c>
      <c r="D547" t="s">
        <v>328</v>
      </c>
      <c r="E547" t="s">
        <v>335</v>
      </c>
      <c r="F547">
        <v>11</v>
      </c>
      <c r="G547">
        <v>1</v>
      </c>
      <c r="H547">
        <v>6</v>
      </c>
      <c r="I547">
        <v>7</v>
      </c>
      <c r="J547">
        <v>1</v>
      </c>
      <c r="K547">
        <v>2</v>
      </c>
      <c r="L547">
        <v>1</v>
      </c>
      <c r="M547">
        <v>0</v>
      </c>
      <c r="N547">
        <v>0</v>
      </c>
      <c r="O547">
        <v>0</v>
      </c>
      <c r="P547">
        <v>6</v>
      </c>
      <c r="Q547">
        <v>0</v>
      </c>
      <c r="R547">
        <v>0</v>
      </c>
      <c r="S547">
        <v>15</v>
      </c>
      <c r="T547">
        <v>6.7</v>
      </c>
      <c r="U547">
        <v>26</v>
      </c>
      <c r="V547" t="s">
        <v>2577</v>
      </c>
      <c r="W547" t="s">
        <v>600</v>
      </c>
      <c r="X547">
        <v>0</v>
      </c>
      <c r="Y547">
        <v>1</v>
      </c>
      <c r="Z547">
        <v>0</v>
      </c>
      <c r="AA547">
        <v>5</v>
      </c>
      <c r="AB547">
        <v>26</v>
      </c>
      <c r="AC547">
        <v>1</v>
      </c>
      <c r="AD547">
        <v>10</v>
      </c>
      <c r="AE547" t="s">
        <v>60</v>
      </c>
    </row>
    <row r="548" spans="1:31" x14ac:dyDescent="0.2">
      <c r="A548">
        <v>525</v>
      </c>
      <c r="B548" t="s">
        <v>827</v>
      </c>
      <c r="C548">
        <v>33</v>
      </c>
      <c r="D548" t="s">
        <v>344</v>
      </c>
      <c r="E548" t="s">
        <v>322</v>
      </c>
      <c r="F548">
        <v>14</v>
      </c>
      <c r="G548">
        <v>4</v>
      </c>
      <c r="H548">
        <v>3</v>
      </c>
      <c r="I548">
        <v>7</v>
      </c>
      <c r="J548">
        <v>-1</v>
      </c>
      <c r="K548">
        <v>4</v>
      </c>
      <c r="L548">
        <v>2</v>
      </c>
      <c r="M548">
        <v>1</v>
      </c>
      <c r="N548">
        <v>1</v>
      </c>
      <c r="O548">
        <v>1</v>
      </c>
      <c r="P548">
        <v>3</v>
      </c>
      <c r="Q548">
        <v>0</v>
      </c>
      <c r="R548">
        <v>0</v>
      </c>
      <c r="S548">
        <v>30</v>
      </c>
      <c r="T548">
        <v>13.3</v>
      </c>
      <c r="U548">
        <v>48</v>
      </c>
      <c r="V548" t="s">
        <v>828</v>
      </c>
      <c r="W548" t="s">
        <v>703</v>
      </c>
      <c r="X548">
        <v>91</v>
      </c>
      <c r="Y548">
        <v>67</v>
      </c>
      <c r="Z548">
        <v>57.6</v>
      </c>
      <c r="AA548">
        <v>13</v>
      </c>
      <c r="AB548">
        <v>3</v>
      </c>
      <c r="AC548">
        <v>3</v>
      </c>
      <c r="AD548">
        <v>11</v>
      </c>
      <c r="AE548" t="s">
        <v>60</v>
      </c>
    </row>
    <row r="549" spans="1:31" x14ac:dyDescent="0.2">
      <c r="A549">
        <v>526</v>
      </c>
      <c r="B549" t="s">
        <v>921</v>
      </c>
      <c r="C549">
        <v>24</v>
      </c>
      <c r="D549" t="s">
        <v>532</v>
      </c>
      <c r="E549" t="s">
        <v>325</v>
      </c>
      <c r="F549">
        <v>37</v>
      </c>
      <c r="G549">
        <v>2</v>
      </c>
      <c r="H549">
        <v>5</v>
      </c>
      <c r="I549">
        <v>7</v>
      </c>
      <c r="J549">
        <v>-7</v>
      </c>
      <c r="K549">
        <v>21</v>
      </c>
      <c r="L549">
        <v>2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26</v>
      </c>
      <c r="T549">
        <v>7.7</v>
      </c>
      <c r="U549">
        <v>70</v>
      </c>
      <c r="V549" t="s">
        <v>2039</v>
      </c>
      <c r="W549" t="s">
        <v>999</v>
      </c>
      <c r="X549">
        <v>3</v>
      </c>
      <c r="Y549">
        <v>9</v>
      </c>
      <c r="Z549">
        <v>25</v>
      </c>
      <c r="AA549">
        <v>23</v>
      </c>
      <c r="AB549">
        <v>94</v>
      </c>
      <c r="AC549">
        <v>9</v>
      </c>
      <c r="AD549">
        <v>19</v>
      </c>
      <c r="AE549" t="s">
        <v>60</v>
      </c>
    </row>
    <row r="550" spans="1:31" x14ac:dyDescent="0.2">
      <c r="A550">
        <v>527</v>
      </c>
      <c r="B550" t="s">
        <v>1073</v>
      </c>
      <c r="C550">
        <v>31</v>
      </c>
      <c r="D550" t="s">
        <v>360</v>
      </c>
      <c r="E550" t="s">
        <v>322</v>
      </c>
      <c r="F550">
        <v>28</v>
      </c>
      <c r="G550">
        <v>5</v>
      </c>
      <c r="H550">
        <v>2</v>
      </c>
      <c r="I550">
        <v>7</v>
      </c>
      <c r="J550">
        <v>0</v>
      </c>
      <c r="K550">
        <v>8</v>
      </c>
      <c r="L550">
        <v>3</v>
      </c>
      <c r="M550">
        <v>0</v>
      </c>
      <c r="N550">
        <v>2</v>
      </c>
      <c r="O550">
        <v>1</v>
      </c>
      <c r="P550">
        <v>2</v>
      </c>
      <c r="Q550">
        <v>0</v>
      </c>
      <c r="R550">
        <v>0</v>
      </c>
      <c r="S550">
        <v>33</v>
      </c>
      <c r="T550">
        <v>15.2</v>
      </c>
      <c r="U550">
        <v>59</v>
      </c>
      <c r="V550" t="s">
        <v>2578</v>
      </c>
      <c r="W550" t="s">
        <v>1811</v>
      </c>
      <c r="X550">
        <v>199</v>
      </c>
      <c r="Y550">
        <v>133</v>
      </c>
      <c r="Z550">
        <v>59.9</v>
      </c>
      <c r="AA550">
        <v>22</v>
      </c>
      <c r="AB550">
        <v>50</v>
      </c>
      <c r="AC550">
        <v>7</v>
      </c>
      <c r="AD550">
        <v>24</v>
      </c>
      <c r="AE550" t="s">
        <v>60</v>
      </c>
    </row>
    <row r="551" spans="1:31" x14ac:dyDescent="0.2">
      <c r="A551">
        <v>528</v>
      </c>
      <c r="B551" t="s">
        <v>1001</v>
      </c>
      <c r="C551">
        <v>28</v>
      </c>
      <c r="D551" t="s">
        <v>344</v>
      </c>
      <c r="E551" t="s">
        <v>349</v>
      </c>
      <c r="F551">
        <v>31</v>
      </c>
      <c r="G551">
        <v>0</v>
      </c>
      <c r="H551">
        <v>7</v>
      </c>
      <c r="I551">
        <v>7</v>
      </c>
      <c r="J551">
        <v>5</v>
      </c>
      <c r="K551">
        <v>41</v>
      </c>
      <c r="L551">
        <v>0</v>
      </c>
      <c r="M551">
        <v>0</v>
      </c>
      <c r="N551">
        <v>0</v>
      </c>
      <c r="O551">
        <v>0</v>
      </c>
      <c r="P551">
        <v>7</v>
      </c>
      <c r="Q551">
        <v>0</v>
      </c>
      <c r="R551">
        <v>0</v>
      </c>
      <c r="S551">
        <v>29</v>
      </c>
      <c r="T551">
        <v>0</v>
      </c>
      <c r="U551">
        <v>86</v>
      </c>
      <c r="V551" t="s">
        <v>2838</v>
      </c>
      <c r="W551" t="s">
        <v>2834</v>
      </c>
      <c r="X551">
        <v>0</v>
      </c>
      <c r="Y551">
        <v>0</v>
      </c>
      <c r="AA551">
        <v>53</v>
      </c>
      <c r="AB551">
        <v>115</v>
      </c>
      <c r="AC551">
        <v>5</v>
      </c>
      <c r="AD551">
        <v>20</v>
      </c>
      <c r="AE551" t="s">
        <v>60</v>
      </c>
    </row>
    <row r="552" spans="1:31" x14ac:dyDescent="0.2">
      <c r="A552">
        <v>529</v>
      </c>
      <c r="B552" t="s">
        <v>1075</v>
      </c>
      <c r="C552">
        <v>27</v>
      </c>
      <c r="D552" t="s">
        <v>532</v>
      </c>
      <c r="E552" t="s">
        <v>349</v>
      </c>
      <c r="F552">
        <v>45</v>
      </c>
      <c r="G552">
        <v>1</v>
      </c>
      <c r="H552">
        <v>6</v>
      </c>
      <c r="I552">
        <v>7</v>
      </c>
      <c r="J552">
        <v>9</v>
      </c>
      <c r="K552">
        <v>43</v>
      </c>
      <c r="L552">
        <v>1</v>
      </c>
      <c r="M552">
        <v>0</v>
      </c>
      <c r="N552">
        <v>0</v>
      </c>
      <c r="O552">
        <v>1</v>
      </c>
      <c r="P552">
        <v>5</v>
      </c>
      <c r="Q552">
        <v>0</v>
      </c>
      <c r="R552">
        <v>1</v>
      </c>
      <c r="S552">
        <v>34</v>
      </c>
      <c r="T552">
        <v>2.9</v>
      </c>
      <c r="U552">
        <v>109</v>
      </c>
      <c r="V552" t="s">
        <v>2839</v>
      </c>
      <c r="W552" t="s">
        <v>2252</v>
      </c>
      <c r="X552">
        <v>0</v>
      </c>
      <c r="Y552">
        <v>1</v>
      </c>
      <c r="Z552">
        <v>0</v>
      </c>
      <c r="AA552">
        <v>76</v>
      </c>
      <c r="AB552">
        <v>29</v>
      </c>
      <c r="AC552">
        <v>11</v>
      </c>
      <c r="AD552">
        <v>59</v>
      </c>
      <c r="AE552" t="s">
        <v>60</v>
      </c>
    </row>
    <row r="553" spans="1:31" x14ac:dyDescent="0.2">
      <c r="A553">
        <v>530</v>
      </c>
      <c r="B553" t="s">
        <v>931</v>
      </c>
      <c r="C553">
        <v>31</v>
      </c>
      <c r="D553" t="s">
        <v>334</v>
      </c>
      <c r="E553" t="s">
        <v>349</v>
      </c>
      <c r="F553">
        <v>34</v>
      </c>
      <c r="G553">
        <v>1</v>
      </c>
      <c r="H553">
        <v>6</v>
      </c>
      <c r="I553">
        <v>7</v>
      </c>
      <c r="J553">
        <v>0</v>
      </c>
      <c r="K553">
        <v>36</v>
      </c>
      <c r="L553">
        <v>1</v>
      </c>
      <c r="M553">
        <v>0</v>
      </c>
      <c r="N553">
        <v>0</v>
      </c>
      <c r="O553">
        <v>0</v>
      </c>
      <c r="P553">
        <v>6</v>
      </c>
      <c r="Q553">
        <v>0</v>
      </c>
      <c r="R553">
        <v>0</v>
      </c>
      <c r="S553">
        <v>21</v>
      </c>
      <c r="T553">
        <v>4.8</v>
      </c>
      <c r="U553">
        <v>42</v>
      </c>
      <c r="V553" t="s">
        <v>2579</v>
      </c>
      <c r="W553" t="s">
        <v>1797</v>
      </c>
      <c r="X553">
        <v>0</v>
      </c>
      <c r="Y553">
        <v>0</v>
      </c>
      <c r="AA553">
        <v>61</v>
      </c>
      <c r="AB553">
        <v>53</v>
      </c>
      <c r="AC553">
        <v>7</v>
      </c>
      <c r="AD553">
        <v>34</v>
      </c>
      <c r="AE553" t="s">
        <v>60</v>
      </c>
    </row>
    <row r="554" spans="1:31" x14ac:dyDescent="0.2">
      <c r="A554">
        <v>531</v>
      </c>
      <c r="B554" t="s">
        <v>933</v>
      </c>
      <c r="C554">
        <v>27</v>
      </c>
      <c r="D554" t="s">
        <v>429</v>
      </c>
      <c r="E554" t="s">
        <v>340</v>
      </c>
      <c r="F554">
        <v>44</v>
      </c>
      <c r="G554">
        <v>3</v>
      </c>
      <c r="H554">
        <v>4</v>
      </c>
      <c r="I554">
        <v>7</v>
      </c>
      <c r="J554">
        <v>-7</v>
      </c>
      <c r="K554">
        <v>20</v>
      </c>
      <c r="L554">
        <v>3</v>
      </c>
      <c r="M554">
        <v>0</v>
      </c>
      <c r="N554">
        <v>0</v>
      </c>
      <c r="O554">
        <v>0</v>
      </c>
      <c r="P554">
        <v>4</v>
      </c>
      <c r="Q554">
        <v>0</v>
      </c>
      <c r="R554">
        <v>0</v>
      </c>
      <c r="S554">
        <v>41</v>
      </c>
      <c r="T554">
        <v>7.3</v>
      </c>
      <c r="U554">
        <v>74</v>
      </c>
      <c r="V554" t="s">
        <v>2840</v>
      </c>
      <c r="W554" t="s">
        <v>2841</v>
      </c>
      <c r="X554">
        <v>2</v>
      </c>
      <c r="Y554">
        <v>5</v>
      </c>
      <c r="Z554">
        <v>28.6</v>
      </c>
      <c r="AA554">
        <v>46</v>
      </c>
      <c r="AB554">
        <v>154</v>
      </c>
      <c r="AC554">
        <v>7</v>
      </c>
      <c r="AD554">
        <v>21</v>
      </c>
      <c r="AE554" t="s">
        <v>60</v>
      </c>
    </row>
    <row r="555" spans="1:31" x14ac:dyDescent="0.2">
      <c r="A555">
        <v>532</v>
      </c>
      <c r="B555" t="s">
        <v>1078</v>
      </c>
      <c r="C555">
        <v>33</v>
      </c>
      <c r="D555" t="s">
        <v>385</v>
      </c>
      <c r="E555" t="s">
        <v>349</v>
      </c>
      <c r="F555">
        <v>44</v>
      </c>
      <c r="G555">
        <v>1</v>
      </c>
      <c r="H555">
        <v>6</v>
      </c>
      <c r="I555">
        <v>7</v>
      </c>
      <c r="J555">
        <v>4</v>
      </c>
      <c r="K555">
        <v>57</v>
      </c>
      <c r="L555">
        <v>1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0</v>
      </c>
      <c r="S555">
        <v>43</v>
      </c>
      <c r="T555">
        <v>2.2999999999999998</v>
      </c>
      <c r="U555">
        <v>113</v>
      </c>
      <c r="V555" t="s">
        <v>2580</v>
      </c>
      <c r="W555" t="s">
        <v>1661</v>
      </c>
      <c r="X555">
        <v>0</v>
      </c>
      <c r="Y555">
        <v>0</v>
      </c>
      <c r="AA555">
        <v>58</v>
      </c>
      <c r="AB555">
        <v>39</v>
      </c>
      <c r="AC555">
        <v>7</v>
      </c>
      <c r="AD555">
        <v>37</v>
      </c>
      <c r="AE555" t="s">
        <v>60</v>
      </c>
    </row>
    <row r="556" spans="1:31" x14ac:dyDescent="0.2">
      <c r="A556">
        <v>533</v>
      </c>
      <c r="B556" t="s">
        <v>1008</v>
      </c>
      <c r="C556">
        <v>29</v>
      </c>
      <c r="D556" t="s">
        <v>374</v>
      </c>
      <c r="E556" t="s">
        <v>349</v>
      </c>
      <c r="F556">
        <v>45</v>
      </c>
      <c r="G556">
        <v>1</v>
      </c>
      <c r="H556">
        <v>6</v>
      </c>
      <c r="I556">
        <v>7</v>
      </c>
      <c r="J556">
        <v>6</v>
      </c>
      <c r="K556">
        <v>35</v>
      </c>
      <c r="L556">
        <v>1</v>
      </c>
      <c r="M556">
        <v>0</v>
      </c>
      <c r="N556">
        <v>0</v>
      </c>
      <c r="O556">
        <v>0</v>
      </c>
      <c r="P556">
        <v>6</v>
      </c>
      <c r="Q556">
        <v>0</v>
      </c>
      <c r="R556">
        <v>0</v>
      </c>
      <c r="S556">
        <v>48</v>
      </c>
      <c r="T556">
        <v>2.1</v>
      </c>
      <c r="U556">
        <v>113</v>
      </c>
      <c r="V556" t="s">
        <v>2180</v>
      </c>
      <c r="W556" t="s">
        <v>1725</v>
      </c>
      <c r="X556">
        <v>0</v>
      </c>
      <c r="Y556">
        <v>0</v>
      </c>
      <c r="AA556">
        <v>48</v>
      </c>
      <c r="AB556">
        <v>73</v>
      </c>
      <c r="AC556">
        <v>14</v>
      </c>
      <c r="AD556">
        <v>46</v>
      </c>
      <c r="AE556" t="s">
        <v>60</v>
      </c>
    </row>
    <row r="557" spans="1:31" x14ac:dyDescent="0.2">
      <c r="A557">
        <v>534</v>
      </c>
      <c r="B557" t="s">
        <v>891</v>
      </c>
      <c r="C557">
        <v>29</v>
      </c>
      <c r="D557" t="s">
        <v>367</v>
      </c>
      <c r="E557" t="s">
        <v>340</v>
      </c>
      <c r="F557">
        <v>27</v>
      </c>
      <c r="G557">
        <v>4</v>
      </c>
      <c r="H557">
        <v>3</v>
      </c>
      <c r="I557">
        <v>7</v>
      </c>
      <c r="J557">
        <v>1</v>
      </c>
      <c r="K557">
        <v>4</v>
      </c>
      <c r="L557">
        <v>4</v>
      </c>
      <c r="M557">
        <v>0</v>
      </c>
      <c r="N557">
        <v>0</v>
      </c>
      <c r="O557">
        <v>2</v>
      </c>
      <c r="P557">
        <v>3</v>
      </c>
      <c r="Q557">
        <v>0</v>
      </c>
      <c r="R557">
        <v>0</v>
      </c>
      <c r="S557">
        <v>31</v>
      </c>
      <c r="T557">
        <v>12.9</v>
      </c>
      <c r="U557">
        <v>51</v>
      </c>
      <c r="V557" t="s">
        <v>2581</v>
      </c>
      <c r="W557" t="s">
        <v>2582</v>
      </c>
      <c r="X557">
        <v>6</v>
      </c>
      <c r="Y557">
        <v>4</v>
      </c>
      <c r="Z557">
        <v>60</v>
      </c>
      <c r="AA557">
        <v>3</v>
      </c>
      <c r="AB557">
        <v>8</v>
      </c>
      <c r="AC557">
        <v>4</v>
      </c>
      <c r="AD557">
        <v>15</v>
      </c>
      <c r="AE557" t="s">
        <v>60</v>
      </c>
    </row>
    <row r="558" spans="1:31" x14ac:dyDescent="0.2">
      <c r="A558">
        <v>535</v>
      </c>
      <c r="B558" t="s">
        <v>1009</v>
      </c>
      <c r="C558">
        <v>24</v>
      </c>
      <c r="D558" t="s">
        <v>337</v>
      </c>
      <c r="E558" t="s">
        <v>349</v>
      </c>
      <c r="F558">
        <v>31</v>
      </c>
      <c r="G558">
        <v>2</v>
      </c>
      <c r="H558">
        <v>5</v>
      </c>
      <c r="I558">
        <v>7</v>
      </c>
      <c r="J558">
        <v>-1</v>
      </c>
      <c r="K558">
        <v>18</v>
      </c>
      <c r="L558">
        <v>2</v>
      </c>
      <c r="M558">
        <v>0</v>
      </c>
      <c r="N558">
        <v>0</v>
      </c>
      <c r="O558">
        <v>1</v>
      </c>
      <c r="P558">
        <v>5</v>
      </c>
      <c r="Q558">
        <v>0</v>
      </c>
      <c r="R558">
        <v>0</v>
      </c>
      <c r="S558">
        <v>31</v>
      </c>
      <c r="T558">
        <v>6.5</v>
      </c>
      <c r="U558">
        <v>91</v>
      </c>
      <c r="V558" t="s">
        <v>2583</v>
      </c>
      <c r="W558" t="s">
        <v>2584</v>
      </c>
      <c r="X558">
        <v>0</v>
      </c>
      <c r="Y558">
        <v>0</v>
      </c>
      <c r="AA558">
        <v>56</v>
      </c>
      <c r="AB558">
        <v>11</v>
      </c>
      <c r="AC558">
        <v>11</v>
      </c>
      <c r="AD558">
        <v>25</v>
      </c>
      <c r="AE558" t="s">
        <v>60</v>
      </c>
    </row>
    <row r="559" spans="1:31" x14ac:dyDescent="0.2">
      <c r="A559">
        <v>536</v>
      </c>
      <c r="B559" t="s">
        <v>1082</v>
      </c>
      <c r="C559">
        <v>32</v>
      </c>
      <c r="D559" t="s">
        <v>400</v>
      </c>
      <c r="E559" t="s">
        <v>335</v>
      </c>
      <c r="F559">
        <v>38</v>
      </c>
      <c r="G559">
        <v>3</v>
      </c>
      <c r="H559">
        <v>4</v>
      </c>
      <c r="I559">
        <v>7</v>
      </c>
      <c r="J559">
        <v>-12</v>
      </c>
      <c r="K559">
        <v>33</v>
      </c>
      <c r="L559">
        <v>2</v>
      </c>
      <c r="M559">
        <v>1</v>
      </c>
      <c r="N559">
        <v>0</v>
      </c>
      <c r="O559">
        <v>1</v>
      </c>
      <c r="P559">
        <v>2</v>
      </c>
      <c r="Q559">
        <v>2</v>
      </c>
      <c r="R559">
        <v>0</v>
      </c>
      <c r="S559">
        <v>52</v>
      </c>
      <c r="T559">
        <v>5.8</v>
      </c>
      <c r="U559">
        <v>93</v>
      </c>
      <c r="V559" t="s">
        <v>1992</v>
      </c>
      <c r="W559" t="s">
        <v>1879</v>
      </c>
      <c r="X559">
        <v>16</v>
      </c>
      <c r="Y559">
        <v>17</v>
      </c>
      <c r="Z559">
        <v>48.5</v>
      </c>
      <c r="AA559">
        <v>15</v>
      </c>
      <c r="AB559">
        <v>33</v>
      </c>
      <c r="AC559">
        <v>3</v>
      </c>
      <c r="AD559">
        <v>23</v>
      </c>
      <c r="AE559" t="s">
        <v>60</v>
      </c>
    </row>
    <row r="560" spans="1:31" x14ac:dyDescent="0.2">
      <c r="A560">
        <v>537</v>
      </c>
      <c r="B560" t="s">
        <v>1088</v>
      </c>
      <c r="C560">
        <v>31</v>
      </c>
      <c r="D560" t="s">
        <v>385</v>
      </c>
      <c r="E560" t="s">
        <v>349</v>
      </c>
      <c r="F560">
        <v>46</v>
      </c>
      <c r="G560">
        <v>3</v>
      </c>
      <c r="H560">
        <v>4</v>
      </c>
      <c r="I560">
        <v>7</v>
      </c>
      <c r="J560">
        <v>9</v>
      </c>
      <c r="K560">
        <v>20</v>
      </c>
      <c r="L560">
        <v>3</v>
      </c>
      <c r="M560">
        <v>0</v>
      </c>
      <c r="N560">
        <v>0</v>
      </c>
      <c r="O560">
        <v>2</v>
      </c>
      <c r="P560">
        <v>4</v>
      </c>
      <c r="Q560">
        <v>0</v>
      </c>
      <c r="R560">
        <v>0</v>
      </c>
      <c r="S560">
        <v>69</v>
      </c>
      <c r="T560">
        <v>4.3</v>
      </c>
      <c r="U560">
        <v>183</v>
      </c>
      <c r="V560" t="s">
        <v>2585</v>
      </c>
      <c r="W560" t="s">
        <v>2586</v>
      </c>
      <c r="X560">
        <v>0</v>
      </c>
      <c r="Y560">
        <v>0</v>
      </c>
      <c r="AA560">
        <v>81</v>
      </c>
      <c r="AB560">
        <v>29</v>
      </c>
      <c r="AC560">
        <v>19</v>
      </c>
      <c r="AD560">
        <v>43</v>
      </c>
      <c r="AE560" t="s">
        <v>60</v>
      </c>
    </row>
    <row r="561" spans="1:31" x14ac:dyDescent="0.2">
      <c r="A561">
        <v>538</v>
      </c>
      <c r="B561" t="s">
        <v>1263</v>
      </c>
      <c r="C561">
        <v>20</v>
      </c>
      <c r="D561" t="s">
        <v>362</v>
      </c>
      <c r="E561" t="s">
        <v>335</v>
      </c>
      <c r="F561">
        <v>15</v>
      </c>
      <c r="G561">
        <v>3</v>
      </c>
      <c r="H561">
        <v>4</v>
      </c>
      <c r="I561">
        <v>7</v>
      </c>
      <c r="J561">
        <v>2</v>
      </c>
      <c r="K561">
        <v>2</v>
      </c>
      <c r="L561">
        <v>2</v>
      </c>
      <c r="M561">
        <v>1</v>
      </c>
      <c r="N561">
        <v>0</v>
      </c>
      <c r="O561">
        <v>0</v>
      </c>
      <c r="P561">
        <v>3</v>
      </c>
      <c r="Q561">
        <v>1</v>
      </c>
      <c r="R561">
        <v>0</v>
      </c>
      <c r="S561">
        <v>14</v>
      </c>
      <c r="T561">
        <v>21.4</v>
      </c>
      <c r="U561">
        <v>34</v>
      </c>
      <c r="V561" t="s">
        <v>2842</v>
      </c>
      <c r="W561" t="s">
        <v>2843</v>
      </c>
      <c r="X561">
        <v>3</v>
      </c>
      <c r="Y561">
        <v>1</v>
      </c>
      <c r="Z561">
        <v>75</v>
      </c>
      <c r="AA561">
        <v>11</v>
      </c>
      <c r="AB561">
        <v>12</v>
      </c>
      <c r="AC561">
        <v>4</v>
      </c>
      <c r="AD561">
        <v>12</v>
      </c>
      <c r="AE561" t="s">
        <v>60</v>
      </c>
    </row>
    <row r="562" spans="1:31" x14ac:dyDescent="0.2">
      <c r="A562">
        <v>539</v>
      </c>
      <c r="B562" t="s">
        <v>841</v>
      </c>
      <c r="C562">
        <v>22</v>
      </c>
      <c r="D562" t="s">
        <v>429</v>
      </c>
      <c r="E562" t="s">
        <v>335</v>
      </c>
      <c r="F562">
        <v>13</v>
      </c>
      <c r="G562">
        <v>3</v>
      </c>
      <c r="H562">
        <v>4</v>
      </c>
      <c r="I562">
        <v>7</v>
      </c>
      <c r="J562">
        <v>-3</v>
      </c>
      <c r="K562">
        <v>0</v>
      </c>
      <c r="L562">
        <v>3</v>
      </c>
      <c r="M562">
        <v>0</v>
      </c>
      <c r="N562">
        <v>0</v>
      </c>
      <c r="O562">
        <v>0</v>
      </c>
      <c r="P562">
        <v>2</v>
      </c>
      <c r="Q562">
        <v>2</v>
      </c>
      <c r="R562">
        <v>0</v>
      </c>
      <c r="S562">
        <v>14</v>
      </c>
      <c r="T562">
        <v>21.4</v>
      </c>
      <c r="U562">
        <v>35</v>
      </c>
      <c r="V562" t="s">
        <v>1713</v>
      </c>
      <c r="W562" t="s">
        <v>645</v>
      </c>
      <c r="X562">
        <v>1</v>
      </c>
      <c r="Y562">
        <v>0</v>
      </c>
      <c r="Z562">
        <v>100</v>
      </c>
      <c r="AA562">
        <v>9</v>
      </c>
      <c r="AB562">
        <v>6</v>
      </c>
      <c r="AC562">
        <v>4</v>
      </c>
      <c r="AD562">
        <v>10</v>
      </c>
      <c r="AE562" t="s">
        <v>60</v>
      </c>
    </row>
    <row r="563" spans="1:31" x14ac:dyDescent="0.2">
      <c r="A563">
        <v>540</v>
      </c>
      <c r="B563" t="s">
        <v>1015</v>
      </c>
      <c r="C563">
        <v>33</v>
      </c>
      <c r="D563" t="s">
        <v>344</v>
      </c>
      <c r="E563" t="s">
        <v>340</v>
      </c>
      <c r="F563">
        <v>39</v>
      </c>
      <c r="G563">
        <v>2</v>
      </c>
      <c r="H563">
        <v>5</v>
      </c>
      <c r="I563">
        <v>7</v>
      </c>
      <c r="J563">
        <v>-1</v>
      </c>
      <c r="K563">
        <v>14</v>
      </c>
      <c r="L563">
        <v>2</v>
      </c>
      <c r="M563">
        <v>0</v>
      </c>
      <c r="N563">
        <v>0</v>
      </c>
      <c r="O563">
        <v>0</v>
      </c>
      <c r="P563">
        <v>5</v>
      </c>
      <c r="Q563">
        <v>0</v>
      </c>
      <c r="R563">
        <v>0</v>
      </c>
      <c r="S563">
        <v>64</v>
      </c>
      <c r="T563">
        <v>3.1</v>
      </c>
      <c r="U563">
        <v>113</v>
      </c>
      <c r="V563" t="s">
        <v>1993</v>
      </c>
      <c r="W563" t="s">
        <v>600</v>
      </c>
      <c r="X563">
        <v>8</v>
      </c>
      <c r="Y563">
        <v>20</v>
      </c>
      <c r="Z563">
        <v>28.6</v>
      </c>
      <c r="AA563">
        <v>17</v>
      </c>
      <c r="AB563">
        <v>9</v>
      </c>
      <c r="AC563">
        <v>8</v>
      </c>
      <c r="AD563">
        <v>26</v>
      </c>
      <c r="AE563" t="s">
        <v>60</v>
      </c>
    </row>
    <row r="564" spans="1:31" x14ac:dyDescent="0.2">
      <c r="A564">
        <v>541</v>
      </c>
      <c r="B564" t="s">
        <v>1097</v>
      </c>
      <c r="C564">
        <v>30</v>
      </c>
      <c r="D564" t="s">
        <v>461</v>
      </c>
      <c r="E564" t="s">
        <v>325</v>
      </c>
      <c r="F564">
        <v>27</v>
      </c>
      <c r="G564">
        <v>5</v>
      </c>
      <c r="H564">
        <v>2</v>
      </c>
      <c r="I564">
        <v>7</v>
      </c>
      <c r="J564">
        <v>-2</v>
      </c>
      <c r="K564">
        <v>23</v>
      </c>
      <c r="L564">
        <v>5</v>
      </c>
      <c r="M564">
        <v>0</v>
      </c>
      <c r="N564">
        <v>0</v>
      </c>
      <c r="O564">
        <v>1</v>
      </c>
      <c r="P564">
        <v>1</v>
      </c>
      <c r="Q564">
        <v>0</v>
      </c>
      <c r="R564">
        <v>1</v>
      </c>
      <c r="S564">
        <v>38</v>
      </c>
      <c r="T564">
        <v>13.2</v>
      </c>
      <c r="U564">
        <v>73</v>
      </c>
      <c r="V564" t="s">
        <v>2587</v>
      </c>
      <c r="W564" t="s">
        <v>2451</v>
      </c>
      <c r="X564">
        <v>2</v>
      </c>
      <c r="Y564">
        <v>8</v>
      </c>
      <c r="Z564">
        <v>20</v>
      </c>
      <c r="AA564">
        <v>7</v>
      </c>
      <c r="AB564">
        <v>84</v>
      </c>
      <c r="AC564">
        <v>5</v>
      </c>
      <c r="AD564">
        <v>10</v>
      </c>
      <c r="AE564" t="s">
        <v>60</v>
      </c>
    </row>
    <row r="565" spans="1:31" x14ac:dyDescent="0.2">
      <c r="A565">
        <v>542</v>
      </c>
      <c r="B565" t="s">
        <v>1642</v>
      </c>
      <c r="C565">
        <v>20</v>
      </c>
      <c r="D565" t="s">
        <v>514</v>
      </c>
      <c r="E565" t="s">
        <v>322</v>
      </c>
      <c r="F565">
        <v>13</v>
      </c>
      <c r="G565">
        <v>1</v>
      </c>
      <c r="H565">
        <v>6</v>
      </c>
      <c r="I565">
        <v>7</v>
      </c>
      <c r="J565">
        <v>5</v>
      </c>
      <c r="K565">
        <v>0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1</v>
      </c>
      <c r="S565">
        <v>10</v>
      </c>
      <c r="T565">
        <v>10</v>
      </c>
      <c r="U565">
        <v>24</v>
      </c>
      <c r="V565" t="s">
        <v>2588</v>
      </c>
      <c r="W565" t="s">
        <v>1730</v>
      </c>
      <c r="X565">
        <v>4</v>
      </c>
      <c r="Y565">
        <v>6</v>
      </c>
      <c r="Z565">
        <v>40</v>
      </c>
      <c r="AA565">
        <v>9</v>
      </c>
      <c r="AB565">
        <v>26</v>
      </c>
      <c r="AC565">
        <v>2</v>
      </c>
      <c r="AD565">
        <v>6</v>
      </c>
      <c r="AE565" t="s">
        <v>60</v>
      </c>
    </row>
    <row r="566" spans="1:31" x14ac:dyDescent="0.2">
      <c r="A566">
        <v>543</v>
      </c>
      <c r="B566" t="s">
        <v>1100</v>
      </c>
      <c r="C566">
        <v>25</v>
      </c>
      <c r="D566" t="s">
        <v>461</v>
      </c>
      <c r="E566" t="s">
        <v>349</v>
      </c>
      <c r="F566">
        <v>36</v>
      </c>
      <c r="G566">
        <v>1</v>
      </c>
      <c r="H566">
        <v>6</v>
      </c>
      <c r="I566">
        <v>7</v>
      </c>
      <c r="J566">
        <v>-4</v>
      </c>
      <c r="K566">
        <v>16</v>
      </c>
      <c r="L566">
        <v>1</v>
      </c>
      <c r="M566">
        <v>0</v>
      </c>
      <c r="N566">
        <v>0</v>
      </c>
      <c r="O566">
        <v>0</v>
      </c>
      <c r="P566">
        <v>6</v>
      </c>
      <c r="Q566">
        <v>0</v>
      </c>
      <c r="R566">
        <v>0</v>
      </c>
      <c r="S566">
        <v>33</v>
      </c>
      <c r="T566">
        <v>3</v>
      </c>
      <c r="U566">
        <v>75</v>
      </c>
      <c r="V566" t="s">
        <v>2589</v>
      </c>
      <c r="W566" t="s">
        <v>1734</v>
      </c>
      <c r="X566">
        <v>0</v>
      </c>
      <c r="Y566">
        <v>0</v>
      </c>
      <c r="AA566">
        <v>29</v>
      </c>
      <c r="AB566">
        <v>14</v>
      </c>
      <c r="AC566">
        <v>9</v>
      </c>
      <c r="AD566">
        <v>29</v>
      </c>
      <c r="AE566" t="s">
        <v>60</v>
      </c>
    </row>
    <row r="567" spans="1:31" x14ac:dyDescent="0.2">
      <c r="A567">
        <v>544</v>
      </c>
      <c r="B567" t="s">
        <v>908</v>
      </c>
      <c r="C567">
        <v>33</v>
      </c>
      <c r="D567" t="s">
        <v>514</v>
      </c>
      <c r="E567" t="s">
        <v>322</v>
      </c>
      <c r="F567">
        <v>26</v>
      </c>
      <c r="G567">
        <v>5</v>
      </c>
      <c r="H567">
        <v>1</v>
      </c>
      <c r="I567">
        <v>6</v>
      </c>
      <c r="J567">
        <v>-3</v>
      </c>
      <c r="K567">
        <v>12</v>
      </c>
      <c r="L567">
        <v>4</v>
      </c>
      <c r="M567">
        <v>0</v>
      </c>
      <c r="N567">
        <v>1</v>
      </c>
      <c r="O567">
        <v>1</v>
      </c>
      <c r="P567">
        <v>1</v>
      </c>
      <c r="Q567">
        <v>0</v>
      </c>
      <c r="R567">
        <v>0</v>
      </c>
      <c r="S567">
        <v>42</v>
      </c>
      <c r="T567">
        <v>11.9</v>
      </c>
      <c r="U567">
        <v>69</v>
      </c>
      <c r="V567" t="s">
        <v>2590</v>
      </c>
      <c r="W567" t="s">
        <v>1630</v>
      </c>
      <c r="X567">
        <v>80</v>
      </c>
      <c r="Y567">
        <v>82</v>
      </c>
      <c r="Z567">
        <v>49.4</v>
      </c>
      <c r="AA567">
        <v>18</v>
      </c>
      <c r="AB567">
        <v>53</v>
      </c>
      <c r="AC567">
        <v>2</v>
      </c>
      <c r="AD567">
        <v>4</v>
      </c>
      <c r="AE567" t="s">
        <v>60</v>
      </c>
    </row>
    <row r="568" spans="1:31" x14ac:dyDescent="0.2">
      <c r="A568">
        <v>545</v>
      </c>
      <c r="B568" t="s">
        <v>1315</v>
      </c>
      <c r="C568">
        <v>20</v>
      </c>
      <c r="D568" t="s">
        <v>406</v>
      </c>
      <c r="E568" t="s">
        <v>340</v>
      </c>
      <c r="F568">
        <v>20</v>
      </c>
      <c r="G568">
        <v>3</v>
      </c>
      <c r="H568">
        <v>3</v>
      </c>
      <c r="I568">
        <v>6</v>
      </c>
      <c r="J568">
        <v>4</v>
      </c>
      <c r="K568">
        <v>8</v>
      </c>
      <c r="L568">
        <v>2</v>
      </c>
      <c r="M568">
        <v>1</v>
      </c>
      <c r="N568">
        <v>0</v>
      </c>
      <c r="O568">
        <v>0</v>
      </c>
      <c r="P568">
        <v>1</v>
      </c>
      <c r="Q568">
        <v>2</v>
      </c>
      <c r="R568">
        <v>0</v>
      </c>
      <c r="S568">
        <v>32</v>
      </c>
      <c r="T568">
        <v>9.4</v>
      </c>
      <c r="U568">
        <v>74</v>
      </c>
      <c r="V568" t="s">
        <v>2591</v>
      </c>
      <c r="W568" t="s">
        <v>1827</v>
      </c>
      <c r="X568">
        <v>5</v>
      </c>
      <c r="Y568">
        <v>9</v>
      </c>
      <c r="Z568">
        <v>35.700000000000003</v>
      </c>
      <c r="AA568">
        <v>13</v>
      </c>
      <c r="AB568">
        <v>11</v>
      </c>
      <c r="AC568">
        <v>3</v>
      </c>
      <c r="AD568">
        <v>10</v>
      </c>
      <c r="AE568" t="s">
        <v>60</v>
      </c>
    </row>
    <row r="569" spans="1:31" x14ac:dyDescent="0.2">
      <c r="A569">
        <v>546</v>
      </c>
      <c r="B569" t="s">
        <v>866</v>
      </c>
      <c r="C569">
        <v>28</v>
      </c>
      <c r="D569" t="s">
        <v>367</v>
      </c>
      <c r="E569" t="s">
        <v>335</v>
      </c>
      <c r="F569">
        <v>47</v>
      </c>
      <c r="G569">
        <v>4</v>
      </c>
      <c r="H569">
        <v>2</v>
      </c>
      <c r="I569">
        <v>6</v>
      </c>
      <c r="J569">
        <v>-4</v>
      </c>
      <c r="K569">
        <v>51</v>
      </c>
      <c r="L569">
        <v>3</v>
      </c>
      <c r="M569">
        <v>0</v>
      </c>
      <c r="N569">
        <v>1</v>
      </c>
      <c r="O569">
        <v>0</v>
      </c>
      <c r="P569">
        <v>2</v>
      </c>
      <c r="Q569">
        <v>0</v>
      </c>
      <c r="R569">
        <v>0</v>
      </c>
      <c r="S569">
        <v>32</v>
      </c>
      <c r="T569">
        <v>12.5</v>
      </c>
      <c r="U569">
        <v>75</v>
      </c>
      <c r="V569" t="s">
        <v>2592</v>
      </c>
      <c r="W569" t="s">
        <v>2593</v>
      </c>
      <c r="X569">
        <v>8</v>
      </c>
      <c r="Y569">
        <v>21</v>
      </c>
      <c r="Z569">
        <v>27.6</v>
      </c>
      <c r="AA569">
        <v>32</v>
      </c>
      <c r="AB569">
        <v>97</v>
      </c>
      <c r="AC569">
        <v>6</v>
      </c>
      <c r="AD569">
        <v>13</v>
      </c>
      <c r="AE569" t="s">
        <v>60</v>
      </c>
    </row>
    <row r="570" spans="1:31" x14ac:dyDescent="0.2">
      <c r="A570">
        <v>547</v>
      </c>
      <c r="B570" t="s">
        <v>868</v>
      </c>
      <c r="C570">
        <v>36</v>
      </c>
      <c r="D570" t="s">
        <v>418</v>
      </c>
      <c r="E570" t="s">
        <v>322</v>
      </c>
      <c r="F570">
        <v>32</v>
      </c>
      <c r="G570">
        <v>2</v>
      </c>
      <c r="H570">
        <v>4</v>
      </c>
      <c r="I570">
        <v>6</v>
      </c>
      <c r="J570">
        <v>-4</v>
      </c>
      <c r="K570">
        <v>6</v>
      </c>
      <c r="L570">
        <v>1</v>
      </c>
      <c r="M570">
        <v>0</v>
      </c>
      <c r="N570">
        <v>1</v>
      </c>
      <c r="O570">
        <v>0</v>
      </c>
      <c r="P570">
        <v>4</v>
      </c>
      <c r="Q570">
        <v>0</v>
      </c>
      <c r="R570">
        <v>0</v>
      </c>
      <c r="S570">
        <v>26</v>
      </c>
      <c r="T570">
        <v>7.7</v>
      </c>
      <c r="U570">
        <v>61</v>
      </c>
      <c r="V570" t="s">
        <v>2844</v>
      </c>
      <c r="W570" t="s">
        <v>1851</v>
      </c>
      <c r="X570">
        <v>170</v>
      </c>
      <c r="Y570">
        <v>119</v>
      </c>
      <c r="Z570">
        <v>58.8</v>
      </c>
      <c r="AA570">
        <v>21</v>
      </c>
      <c r="AB570">
        <v>23</v>
      </c>
      <c r="AC570">
        <v>4</v>
      </c>
      <c r="AD570">
        <v>14</v>
      </c>
      <c r="AE570" t="s">
        <v>60</v>
      </c>
    </row>
    <row r="571" spans="1:31" x14ac:dyDescent="0.2">
      <c r="A571">
        <v>548</v>
      </c>
      <c r="B571" t="s">
        <v>1119</v>
      </c>
      <c r="C571">
        <v>34</v>
      </c>
      <c r="D571" t="s">
        <v>358</v>
      </c>
      <c r="E571" t="s">
        <v>340</v>
      </c>
      <c r="F571">
        <v>37</v>
      </c>
      <c r="G571">
        <v>2</v>
      </c>
      <c r="H571">
        <v>4</v>
      </c>
      <c r="I571">
        <v>6</v>
      </c>
      <c r="J571">
        <v>-11</v>
      </c>
      <c r="K571">
        <v>36</v>
      </c>
      <c r="L571">
        <v>1</v>
      </c>
      <c r="M571">
        <v>1</v>
      </c>
      <c r="N571">
        <v>0</v>
      </c>
      <c r="O571">
        <v>0</v>
      </c>
      <c r="P571">
        <v>4</v>
      </c>
      <c r="Q571">
        <v>0</v>
      </c>
      <c r="R571">
        <v>0</v>
      </c>
      <c r="S571">
        <v>39</v>
      </c>
      <c r="T571">
        <v>5.0999999999999996</v>
      </c>
      <c r="U571">
        <v>72</v>
      </c>
      <c r="V571" t="s">
        <v>2181</v>
      </c>
      <c r="W571" t="s">
        <v>1738</v>
      </c>
      <c r="X571">
        <v>6</v>
      </c>
      <c r="Y571">
        <v>7</v>
      </c>
      <c r="Z571">
        <v>46.2</v>
      </c>
      <c r="AA571">
        <v>36</v>
      </c>
      <c r="AB571">
        <v>119</v>
      </c>
      <c r="AC571">
        <v>6</v>
      </c>
      <c r="AD571">
        <v>18</v>
      </c>
      <c r="AE571" t="s">
        <v>60</v>
      </c>
    </row>
    <row r="572" spans="1:31" x14ac:dyDescent="0.2">
      <c r="A572">
        <v>549</v>
      </c>
      <c r="B572" t="s">
        <v>1123</v>
      </c>
      <c r="C572">
        <v>23</v>
      </c>
      <c r="D572" t="s">
        <v>418</v>
      </c>
      <c r="E572" t="s">
        <v>322</v>
      </c>
      <c r="F572">
        <v>18</v>
      </c>
      <c r="G572">
        <v>0</v>
      </c>
      <c r="H572">
        <v>6</v>
      </c>
      <c r="I572">
        <v>6</v>
      </c>
      <c r="J572">
        <v>-3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3</v>
      </c>
      <c r="Q572">
        <v>3</v>
      </c>
      <c r="R572">
        <v>0</v>
      </c>
      <c r="S572">
        <v>18</v>
      </c>
      <c r="T572">
        <v>0</v>
      </c>
      <c r="U572">
        <v>32</v>
      </c>
      <c r="V572" t="s">
        <v>1973</v>
      </c>
      <c r="W572" t="s">
        <v>1699</v>
      </c>
      <c r="X572">
        <v>22</v>
      </c>
      <c r="Y572">
        <v>35</v>
      </c>
      <c r="Z572">
        <v>38.6</v>
      </c>
      <c r="AA572">
        <v>6</v>
      </c>
      <c r="AB572">
        <v>22</v>
      </c>
      <c r="AC572">
        <v>1</v>
      </c>
      <c r="AD572">
        <v>10</v>
      </c>
      <c r="AE572" t="s">
        <v>60</v>
      </c>
    </row>
    <row r="573" spans="1:31" x14ac:dyDescent="0.2">
      <c r="A573">
        <v>550</v>
      </c>
      <c r="B573" t="s">
        <v>988</v>
      </c>
      <c r="C573">
        <v>34</v>
      </c>
      <c r="D573" t="s">
        <v>437</v>
      </c>
      <c r="E573" t="s">
        <v>349</v>
      </c>
      <c r="F573">
        <v>43</v>
      </c>
      <c r="G573">
        <v>0</v>
      </c>
      <c r="H573">
        <v>6</v>
      </c>
      <c r="I573">
        <v>6</v>
      </c>
      <c r="J573">
        <v>-3</v>
      </c>
      <c r="K573">
        <v>25</v>
      </c>
      <c r="L573">
        <v>0</v>
      </c>
      <c r="M573">
        <v>0</v>
      </c>
      <c r="N573">
        <v>0</v>
      </c>
      <c r="O573">
        <v>0</v>
      </c>
      <c r="P573">
        <v>6</v>
      </c>
      <c r="Q573">
        <v>0</v>
      </c>
      <c r="R573">
        <v>0</v>
      </c>
      <c r="S573">
        <v>27</v>
      </c>
      <c r="T573">
        <v>0</v>
      </c>
      <c r="U573">
        <v>76</v>
      </c>
      <c r="V573" t="s">
        <v>2594</v>
      </c>
      <c r="W573" t="s">
        <v>2595</v>
      </c>
      <c r="X573">
        <v>0</v>
      </c>
      <c r="Y573">
        <v>0</v>
      </c>
      <c r="AA573">
        <v>57</v>
      </c>
      <c r="AB573">
        <v>27</v>
      </c>
      <c r="AC573">
        <v>7</v>
      </c>
      <c r="AD573">
        <v>35</v>
      </c>
      <c r="AE573" t="s">
        <v>60</v>
      </c>
    </row>
    <row r="574" spans="1:31" x14ac:dyDescent="0.2">
      <c r="A574">
        <v>551</v>
      </c>
      <c r="B574" t="s">
        <v>995</v>
      </c>
      <c r="C574">
        <v>34</v>
      </c>
      <c r="D574" t="s">
        <v>360</v>
      </c>
      <c r="E574" t="s">
        <v>322</v>
      </c>
      <c r="F574">
        <v>28</v>
      </c>
      <c r="G574">
        <v>6</v>
      </c>
      <c r="H574">
        <v>0</v>
      </c>
      <c r="I574">
        <v>6</v>
      </c>
      <c r="J574">
        <v>-7</v>
      </c>
      <c r="K574">
        <v>4</v>
      </c>
      <c r="L574">
        <v>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26</v>
      </c>
      <c r="T574">
        <v>23.1</v>
      </c>
      <c r="U574">
        <v>37</v>
      </c>
      <c r="V574" t="s">
        <v>2596</v>
      </c>
      <c r="W574" t="s">
        <v>2567</v>
      </c>
      <c r="X574">
        <v>8</v>
      </c>
      <c r="Y574">
        <v>5</v>
      </c>
      <c r="Z574">
        <v>61.5</v>
      </c>
      <c r="AA574">
        <v>4</v>
      </c>
      <c r="AB574">
        <v>18</v>
      </c>
      <c r="AC574">
        <v>3</v>
      </c>
      <c r="AD574">
        <v>7</v>
      </c>
      <c r="AE574" t="s">
        <v>60</v>
      </c>
    </row>
    <row r="575" spans="1:31" x14ac:dyDescent="0.2">
      <c r="A575">
        <v>552</v>
      </c>
      <c r="B575" t="s">
        <v>1066</v>
      </c>
      <c r="C575">
        <v>28</v>
      </c>
      <c r="D575" t="s">
        <v>408</v>
      </c>
      <c r="E575" t="s">
        <v>349</v>
      </c>
      <c r="F575">
        <v>32</v>
      </c>
      <c r="G575">
        <v>1</v>
      </c>
      <c r="H575">
        <v>5</v>
      </c>
      <c r="I575">
        <v>6</v>
      </c>
      <c r="J575">
        <v>2</v>
      </c>
      <c r="K575">
        <v>8</v>
      </c>
      <c r="L575">
        <v>1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20</v>
      </c>
      <c r="T575">
        <v>5</v>
      </c>
      <c r="U575">
        <v>52</v>
      </c>
      <c r="V575" t="s">
        <v>2845</v>
      </c>
      <c r="W575" t="s">
        <v>600</v>
      </c>
      <c r="X575">
        <v>0</v>
      </c>
      <c r="Y575">
        <v>0</v>
      </c>
      <c r="AA575">
        <v>26</v>
      </c>
      <c r="AB575">
        <v>68</v>
      </c>
      <c r="AC575">
        <v>4</v>
      </c>
      <c r="AD575">
        <v>30</v>
      </c>
      <c r="AE575" t="s">
        <v>60</v>
      </c>
    </row>
    <row r="576" spans="1:31" x14ac:dyDescent="0.2">
      <c r="A576">
        <v>553</v>
      </c>
      <c r="B576" t="s">
        <v>1068</v>
      </c>
      <c r="C576">
        <v>21</v>
      </c>
      <c r="D576" t="s">
        <v>372</v>
      </c>
      <c r="E576" t="s">
        <v>322</v>
      </c>
      <c r="F576">
        <v>47</v>
      </c>
      <c r="G576">
        <v>3</v>
      </c>
      <c r="H576">
        <v>3</v>
      </c>
      <c r="I576">
        <v>6</v>
      </c>
      <c r="J576">
        <v>-16</v>
      </c>
      <c r="K576">
        <v>29</v>
      </c>
      <c r="L576">
        <v>2</v>
      </c>
      <c r="M576">
        <v>1</v>
      </c>
      <c r="N576">
        <v>0</v>
      </c>
      <c r="O576">
        <v>0</v>
      </c>
      <c r="P576">
        <v>2</v>
      </c>
      <c r="Q576">
        <v>1</v>
      </c>
      <c r="R576">
        <v>0</v>
      </c>
      <c r="S576">
        <v>67</v>
      </c>
      <c r="T576">
        <v>4.5</v>
      </c>
      <c r="U576">
        <v>122</v>
      </c>
      <c r="V576" t="s">
        <v>2597</v>
      </c>
      <c r="W576" t="s">
        <v>1705</v>
      </c>
      <c r="X576">
        <v>138</v>
      </c>
      <c r="Y576">
        <v>145</v>
      </c>
      <c r="Z576">
        <v>48.8</v>
      </c>
      <c r="AA576">
        <v>28</v>
      </c>
      <c r="AB576">
        <v>107</v>
      </c>
      <c r="AC576">
        <v>6</v>
      </c>
      <c r="AD576">
        <v>29</v>
      </c>
      <c r="AE576" t="s">
        <v>60</v>
      </c>
    </row>
    <row r="577" spans="1:31" x14ac:dyDescent="0.2">
      <c r="A577">
        <v>554</v>
      </c>
      <c r="B577" t="s">
        <v>997</v>
      </c>
      <c r="C577">
        <v>24</v>
      </c>
      <c r="D577" t="s">
        <v>418</v>
      </c>
      <c r="E577" t="s">
        <v>349</v>
      </c>
      <c r="F577">
        <v>41</v>
      </c>
      <c r="G577">
        <v>0</v>
      </c>
      <c r="H577">
        <v>6</v>
      </c>
      <c r="I577">
        <v>6</v>
      </c>
      <c r="J577">
        <v>-8</v>
      </c>
      <c r="K577">
        <v>20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1</v>
      </c>
      <c r="S577">
        <v>47</v>
      </c>
      <c r="T577">
        <v>0</v>
      </c>
      <c r="U577">
        <v>107</v>
      </c>
      <c r="V577" t="s">
        <v>2846</v>
      </c>
      <c r="W577" t="s">
        <v>529</v>
      </c>
      <c r="X577">
        <v>0</v>
      </c>
      <c r="Y577">
        <v>0</v>
      </c>
      <c r="AA577">
        <v>60</v>
      </c>
      <c r="AB577">
        <v>68</v>
      </c>
      <c r="AC577">
        <v>13</v>
      </c>
      <c r="AD577">
        <v>46</v>
      </c>
      <c r="AE577" t="s">
        <v>60</v>
      </c>
    </row>
    <row r="578" spans="1:31" x14ac:dyDescent="0.2">
      <c r="A578">
        <v>555</v>
      </c>
      <c r="B578" t="s">
        <v>924</v>
      </c>
      <c r="C578">
        <v>25</v>
      </c>
      <c r="D578" t="s">
        <v>398</v>
      </c>
      <c r="E578" t="s">
        <v>322</v>
      </c>
      <c r="F578">
        <v>27</v>
      </c>
      <c r="G578">
        <v>2</v>
      </c>
      <c r="H578">
        <v>4</v>
      </c>
      <c r="I578">
        <v>6</v>
      </c>
      <c r="J578">
        <v>-2</v>
      </c>
      <c r="K578">
        <v>8</v>
      </c>
      <c r="L578">
        <v>2</v>
      </c>
      <c r="M578">
        <v>0</v>
      </c>
      <c r="N578">
        <v>0</v>
      </c>
      <c r="O578">
        <v>0</v>
      </c>
      <c r="P578">
        <v>4</v>
      </c>
      <c r="Q578">
        <v>0</v>
      </c>
      <c r="R578">
        <v>0</v>
      </c>
      <c r="S578">
        <v>31</v>
      </c>
      <c r="T578">
        <v>6.5</v>
      </c>
      <c r="U578">
        <v>54</v>
      </c>
      <c r="V578" t="s">
        <v>2598</v>
      </c>
      <c r="W578" t="s">
        <v>2599</v>
      </c>
      <c r="X578">
        <v>92</v>
      </c>
      <c r="Y578">
        <v>100</v>
      </c>
      <c r="Z578">
        <v>47.9</v>
      </c>
      <c r="AA578">
        <v>13</v>
      </c>
      <c r="AB578">
        <v>43</v>
      </c>
      <c r="AC578">
        <v>2</v>
      </c>
      <c r="AD578">
        <v>19</v>
      </c>
      <c r="AE578" t="s">
        <v>60</v>
      </c>
    </row>
    <row r="579" spans="1:31" x14ac:dyDescent="0.2">
      <c r="A579">
        <v>556</v>
      </c>
      <c r="B579" t="s">
        <v>928</v>
      </c>
      <c r="C579">
        <v>23</v>
      </c>
      <c r="D579" t="s">
        <v>367</v>
      </c>
      <c r="E579" t="s">
        <v>322</v>
      </c>
      <c r="F579">
        <v>44</v>
      </c>
      <c r="G579">
        <v>0</v>
      </c>
      <c r="H579">
        <v>6</v>
      </c>
      <c r="I579">
        <v>6</v>
      </c>
      <c r="J579">
        <v>1</v>
      </c>
      <c r="K579">
        <v>10</v>
      </c>
      <c r="L579">
        <v>0</v>
      </c>
      <c r="M579">
        <v>0</v>
      </c>
      <c r="N579">
        <v>0</v>
      </c>
      <c r="O579">
        <v>0</v>
      </c>
      <c r="P579">
        <v>6</v>
      </c>
      <c r="Q579">
        <v>0</v>
      </c>
      <c r="R579">
        <v>0</v>
      </c>
      <c r="S579">
        <v>32</v>
      </c>
      <c r="T579">
        <v>0</v>
      </c>
      <c r="U579">
        <v>63</v>
      </c>
      <c r="V579" t="s">
        <v>2600</v>
      </c>
      <c r="W579" t="s">
        <v>1842</v>
      </c>
      <c r="X579">
        <v>65</v>
      </c>
      <c r="Y579">
        <v>95</v>
      </c>
      <c r="Z579">
        <v>40.6</v>
      </c>
      <c r="AA579">
        <v>12</v>
      </c>
      <c r="AB579">
        <v>24</v>
      </c>
      <c r="AC579">
        <v>5</v>
      </c>
      <c r="AD579">
        <v>20</v>
      </c>
      <c r="AE579" t="s">
        <v>60</v>
      </c>
    </row>
    <row r="580" spans="1:31" x14ac:dyDescent="0.2">
      <c r="A580">
        <v>557</v>
      </c>
      <c r="B580" t="s">
        <v>1240</v>
      </c>
      <c r="C580">
        <v>31</v>
      </c>
      <c r="D580" t="s">
        <v>437</v>
      </c>
      <c r="E580" t="s">
        <v>340</v>
      </c>
      <c r="F580">
        <v>42</v>
      </c>
      <c r="G580">
        <v>3</v>
      </c>
      <c r="H580">
        <v>3</v>
      </c>
      <c r="I580">
        <v>6</v>
      </c>
      <c r="J580">
        <v>0</v>
      </c>
      <c r="K580">
        <v>53</v>
      </c>
      <c r="L580">
        <v>3</v>
      </c>
      <c r="M580">
        <v>0</v>
      </c>
      <c r="N580">
        <v>0</v>
      </c>
      <c r="O580">
        <v>0</v>
      </c>
      <c r="P580">
        <v>3</v>
      </c>
      <c r="Q580">
        <v>0</v>
      </c>
      <c r="R580">
        <v>0</v>
      </c>
      <c r="S580">
        <v>39</v>
      </c>
      <c r="T580">
        <v>7.7</v>
      </c>
      <c r="U580">
        <v>70</v>
      </c>
      <c r="V580" t="s">
        <v>2601</v>
      </c>
      <c r="W580" t="s">
        <v>2602</v>
      </c>
      <c r="X580">
        <v>4</v>
      </c>
      <c r="Y580">
        <v>7</v>
      </c>
      <c r="Z580">
        <v>36.4</v>
      </c>
      <c r="AA580">
        <v>13</v>
      </c>
      <c r="AB580">
        <v>101</v>
      </c>
      <c r="AC580">
        <v>2</v>
      </c>
      <c r="AD580">
        <v>16</v>
      </c>
      <c r="AE580" t="s">
        <v>60</v>
      </c>
    </row>
    <row r="581" spans="1:31" x14ac:dyDescent="0.2">
      <c r="A581">
        <v>558</v>
      </c>
      <c r="B581" t="s">
        <v>888</v>
      </c>
      <c r="C581">
        <v>24</v>
      </c>
      <c r="D581" t="s">
        <v>353</v>
      </c>
      <c r="E581" t="s">
        <v>349</v>
      </c>
      <c r="F581">
        <v>32</v>
      </c>
      <c r="G581">
        <v>2</v>
      </c>
      <c r="H581">
        <v>4</v>
      </c>
      <c r="I581">
        <v>6</v>
      </c>
      <c r="J581">
        <v>9</v>
      </c>
      <c r="K581">
        <v>43</v>
      </c>
      <c r="L581">
        <v>2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24</v>
      </c>
      <c r="T581">
        <v>8.3000000000000007</v>
      </c>
      <c r="U581">
        <v>62</v>
      </c>
      <c r="V581" t="s">
        <v>1605</v>
      </c>
      <c r="W581" t="s">
        <v>1552</v>
      </c>
      <c r="X581">
        <v>0</v>
      </c>
      <c r="Y581">
        <v>0</v>
      </c>
      <c r="AA581">
        <v>33</v>
      </c>
      <c r="AB581">
        <v>53</v>
      </c>
      <c r="AC581">
        <v>5</v>
      </c>
      <c r="AD581">
        <v>25</v>
      </c>
      <c r="AE581" t="s">
        <v>60</v>
      </c>
    </row>
    <row r="582" spans="1:31" x14ac:dyDescent="0.2">
      <c r="A582">
        <v>559</v>
      </c>
      <c r="B582" t="s">
        <v>938</v>
      </c>
      <c r="C582">
        <v>24</v>
      </c>
      <c r="D582" t="s">
        <v>324</v>
      </c>
      <c r="E582" t="s">
        <v>349</v>
      </c>
      <c r="F582">
        <v>23</v>
      </c>
      <c r="G582">
        <v>2</v>
      </c>
      <c r="H582">
        <v>4</v>
      </c>
      <c r="I582">
        <v>6</v>
      </c>
      <c r="J582">
        <v>-4</v>
      </c>
      <c r="K582">
        <v>12</v>
      </c>
      <c r="L582">
        <v>2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18</v>
      </c>
      <c r="T582">
        <v>11.1</v>
      </c>
      <c r="U582">
        <v>48</v>
      </c>
      <c r="V582" t="s">
        <v>1903</v>
      </c>
      <c r="W582" t="s">
        <v>948</v>
      </c>
      <c r="X582">
        <v>0</v>
      </c>
      <c r="Y582">
        <v>0</v>
      </c>
      <c r="AA582">
        <v>27</v>
      </c>
      <c r="AB582">
        <v>11</v>
      </c>
      <c r="AC582">
        <v>3</v>
      </c>
      <c r="AD582">
        <v>25</v>
      </c>
      <c r="AE582" t="s">
        <v>60</v>
      </c>
    </row>
    <row r="583" spans="1:31" x14ac:dyDescent="0.2">
      <c r="A583">
        <v>560</v>
      </c>
      <c r="B583" t="s">
        <v>1010</v>
      </c>
      <c r="C583">
        <v>21</v>
      </c>
      <c r="D583" t="s">
        <v>532</v>
      </c>
      <c r="E583" t="s">
        <v>335</v>
      </c>
      <c r="F583">
        <v>24</v>
      </c>
      <c r="G583">
        <v>4</v>
      </c>
      <c r="H583">
        <v>2</v>
      </c>
      <c r="I583">
        <v>6</v>
      </c>
      <c r="J583">
        <v>1</v>
      </c>
      <c r="K583">
        <v>6</v>
      </c>
      <c r="L583">
        <v>3</v>
      </c>
      <c r="M583">
        <v>1</v>
      </c>
      <c r="N583">
        <v>0</v>
      </c>
      <c r="O583">
        <v>0</v>
      </c>
      <c r="P583">
        <v>1</v>
      </c>
      <c r="Q583">
        <v>1</v>
      </c>
      <c r="R583">
        <v>0</v>
      </c>
      <c r="S583">
        <v>31</v>
      </c>
      <c r="T583">
        <v>12.9</v>
      </c>
      <c r="U583">
        <v>68</v>
      </c>
      <c r="V583" t="s">
        <v>1728</v>
      </c>
      <c r="W583" t="s">
        <v>1631</v>
      </c>
      <c r="X583">
        <v>2</v>
      </c>
      <c r="Y583">
        <v>4</v>
      </c>
      <c r="Z583">
        <v>33.299999999999997</v>
      </c>
      <c r="AA583">
        <v>4</v>
      </c>
      <c r="AB583">
        <v>20</v>
      </c>
      <c r="AC583">
        <v>1</v>
      </c>
      <c r="AD583">
        <v>13</v>
      </c>
      <c r="AE583" t="s">
        <v>60</v>
      </c>
    </row>
    <row r="584" spans="1:31" x14ac:dyDescent="0.2">
      <c r="A584">
        <v>561</v>
      </c>
      <c r="B584" t="s">
        <v>1089</v>
      </c>
      <c r="C584">
        <v>31</v>
      </c>
      <c r="D584" t="s">
        <v>400</v>
      </c>
      <c r="E584" t="s">
        <v>349</v>
      </c>
      <c r="F584">
        <v>23</v>
      </c>
      <c r="G584">
        <v>1</v>
      </c>
      <c r="H584">
        <v>5</v>
      </c>
      <c r="I584">
        <v>6</v>
      </c>
      <c r="J584">
        <v>-7</v>
      </c>
      <c r="K584">
        <v>4</v>
      </c>
      <c r="L584">
        <v>1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0</v>
      </c>
      <c r="S584">
        <v>29</v>
      </c>
      <c r="T584">
        <v>3.4</v>
      </c>
      <c r="U584">
        <v>62</v>
      </c>
      <c r="V584" t="s">
        <v>2847</v>
      </c>
      <c r="W584" t="s">
        <v>2848</v>
      </c>
      <c r="X584">
        <v>0</v>
      </c>
      <c r="Y584">
        <v>0</v>
      </c>
      <c r="AA584">
        <v>56</v>
      </c>
      <c r="AB584">
        <v>7</v>
      </c>
      <c r="AC584">
        <v>10</v>
      </c>
      <c r="AD584">
        <v>13</v>
      </c>
      <c r="AE584" t="s">
        <v>60</v>
      </c>
    </row>
    <row r="585" spans="1:31" x14ac:dyDescent="0.2">
      <c r="A585">
        <v>562</v>
      </c>
      <c r="B585" t="s">
        <v>454</v>
      </c>
      <c r="C585">
        <v>21</v>
      </c>
      <c r="D585" t="s">
        <v>449</v>
      </c>
      <c r="E585" t="s">
        <v>349</v>
      </c>
      <c r="F585">
        <v>38</v>
      </c>
      <c r="G585">
        <v>1</v>
      </c>
      <c r="H585">
        <v>5</v>
      </c>
      <c r="I585">
        <v>6</v>
      </c>
      <c r="J585">
        <v>-4</v>
      </c>
      <c r="K585">
        <v>12</v>
      </c>
      <c r="L585">
        <v>1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21</v>
      </c>
      <c r="T585">
        <v>4.8</v>
      </c>
      <c r="U585">
        <v>76</v>
      </c>
      <c r="V585" t="s">
        <v>2040</v>
      </c>
      <c r="W585" t="s">
        <v>1716</v>
      </c>
      <c r="X585">
        <v>0</v>
      </c>
      <c r="Y585">
        <v>0</v>
      </c>
      <c r="AA585">
        <v>42</v>
      </c>
      <c r="AB585">
        <v>64</v>
      </c>
      <c r="AC585">
        <v>10</v>
      </c>
      <c r="AD585">
        <v>36</v>
      </c>
      <c r="AE585" t="s">
        <v>60</v>
      </c>
    </row>
    <row r="586" spans="1:31" x14ac:dyDescent="0.2">
      <c r="A586">
        <v>563</v>
      </c>
      <c r="B586" t="s">
        <v>1147</v>
      </c>
      <c r="C586">
        <v>26</v>
      </c>
      <c r="D586" t="s">
        <v>324</v>
      </c>
      <c r="E586" t="s">
        <v>325</v>
      </c>
      <c r="F586">
        <v>8</v>
      </c>
      <c r="G586">
        <v>6</v>
      </c>
      <c r="H586">
        <v>0</v>
      </c>
      <c r="I586">
        <v>6</v>
      </c>
      <c r="J586">
        <v>-2</v>
      </c>
      <c r="K586">
        <v>4</v>
      </c>
      <c r="L586">
        <v>3</v>
      </c>
      <c r="M586">
        <v>3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22</v>
      </c>
      <c r="T586">
        <v>27.3</v>
      </c>
      <c r="U586">
        <v>31</v>
      </c>
      <c r="V586" t="s">
        <v>2091</v>
      </c>
      <c r="W586" t="s">
        <v>1680</v>
      </c>
      <c r="X586">
        <v>3</v>
      </c>
      <c r="Y586">
        <v>3</v>
      </c>
      <c r="Z586">
        <v>50</v>
      </c>
      <c r="AA586">
        <v>3</v>
      </c>
      <c r="AB586">
        <v>20</v>
      </c>
      <c r="AC586">
        <v>1</v>
      </c>
      <c r="AD586">
        <v>4</v>
      </c>
      <c r="AE586" t="s">
        <v>60</v>
      </c>
    </row>
    <row r="587" spans="1:31" x14ac:dyDescent="0.2">
      <c r="A587">
        <v>564</v>
      </c>
      <c r="B587" t="s">
        <v>947</v>
      </c>
      <c r="C587">
        <v>32</v>
      </c>
      <c r="D587" t="s">
        <v>398</v>
      </c>
      <c r="E587" t="s">
        <v>349</v>
      </c>
      <c r="F587">
        <v>28</v>
      </c>
      <c r="G587">
        <v>1</v>
      </c>
      <c r="H587">
        <v>5</v>
      </c>
      <c r="I587">
        <v>6</v>
      </c>
      <c r="J587">
        <v>6</v>
      </c>
      <c r="K587">
        <v>10</v>
      </c>
      <c r="L587">
        <v>0</v>
      </c>
      <c r="M587">
        <v>0</v>
      </c>
      <c r="N587">
        <v>1</v>
      </c>
      <c r="O587">
        <v>0</v>
      </c>
      <c r="P587">
        <v>5</v>
      </c>
      <c r="Q587">
        <v>0</v>
      </c>
      <c r="R587">
        <v>0</v>
      </c>
      <c r="S587">
        <v>44</v>
      </c>
      <c r="T587">
        <v>2.2999999999999998</v>
      </c>
      <c r="U587">
        <v>107</v>
      </c>
      <c r="V587" t="s">
        <v>2603</v>
      </c>
      <c r="W587" t="s">
        <v>699</v>
      </c>
      <c r="X587">
        <v>0</v>
      </c>
      <c r="Y587">
        <v>0</v>
      </c>
      <c r="AA587">
        <v>26</v>
      </c>
      <c r="AB587">
        <v>14</v>
      </c>
      <c r="AC587">
        <v>3</v>
      </c>
      <c r="AD587">
        <v>18</v>
      </c>
      <c r="AE587" t="s">
        <v>60</v>
      </c>
    </row>
    <row r="588" spans="1:31" x14ac:dyDescent="0.2">
      <c r="A588">
        <v>565</v>
      </c>
      <c r="B588" t="s">
        <v>1274</v>
      </c>
      <c r="C588">
        <v>22</v>
      </c>
      <c r="D588" t="s">
        <v>461</v>
      </c>
      <c r="E588" t="s">
        <v>340</v>
      </c>
      <c r="F588">
        <v>23</v>
      </c>
      <c r="G588">
        <v>4</v>
      </c>
      <c r="H588">
        <v>2</v>
      </c>
      <c r="I588">
        <v>6</v>
      </c>
      <c r="J588">
        <v>-5</v>
      </c>
      <c r="K588">
        <v>11</v>
      </c>
      <c r="L588">
        <v>4</v>
      </c>
      <c r="M588">
        <v>0</v>
      </c>
      <c r="N588">
        <v>0</v>
      </c>
      <c r="O588">
        <v>1</v>
      </c>
      <c r="P588">
        <v>2</v>
      </c>
      <c r="Q588">
        <v>0</v>
      </c>
      <c r="R588">
        <v>0</v>
      </c>
      <c r="S588">
        <v>22</v>
      </c>
      <c r="T588">
        <v>18.2</v>
      </c>
      <c r="U588">
        <v>46</v>
      </c>
      <c r="V588" t="s">
        <v>2604</v>
      </c>
      <c r="W588" t="s">
        <v>2605</v>
      </c>
      <c r="X588">
        <v>0</v>
      </c>
      <c r="Y588">
        <v>0</v>
      </c>
      <c r="AA588">
        <v>18</v>
      </c>
      <c r="AB588">
        <v>55</v>
      </c>
      <c r="AC588">
        <v>3</v>
      </c>
      <c r="AD588">
        <v>10</v>
      </c>
      <c r="AE588" t="s">
        <v>60</v>
      </c>
    </row>
    <row r="589" spans="1:31" x14ac:dyDescent="0.2">
      <c r="A589">
        <v>566</v>
      </c>
      <c r="B589" t="s">
        <v>1094</v>
      </c>
      <c r="C589">
        <v>32</v>
      </c>
      <c r="D589" t="s">
        <v>408</v>
      </c>
      <c r="E589" t="s">
        <v>349</v>
      </c>
      <c r="F589">
        <v>45</v>
      </c>
      <c r="G589">
        <v>1</v>
      </c>
      <c r="H589">
        <v>5</v>
      </c>
      <c r="I589">
        <v>6</v>
      </c>
      <c r="J589">
        <v>-5</v>
      </c>
      <c r="K589">
        <v>21</v>
      </c>
      <c r="L589">
        <v>1</v>
      </c>
      <c r="M589">
        <v>0</v>
      </c>
      <c r="N589">
        <v>0</v>
      </c>
      <c r="O589">
        <v>0</v>
      </c>
      <c r="P589">
        <v>5</v>
      </c>
      <c r="Q589">
        <v>0</v>
      </c>
      <c r="R589">
        <v>0</v>
      </c>
      <c r="S589">
        <v>58</v>
      </c>
      <c r="T589">
        <v>1.7</v>
      </c>
      <c r="U589">
        <v>150</v>
      </c>
      <c r="V589" t="s">
        <v>2849</v>
      </c>
      <c r="W589" t="s">
        <v>2446</v>
      </c>
      <c r="X589">
        <v>0</v>
      </c>
      <c r="Y589">
        <v>0</v>
      </c>
      <c r="AA589">
        <v>88</v>
      </c>
      <c r="AB589">
        <v>78</v>
      </c>
      <c r="AC589">
        <v>9</v>
      </c>
      <c r="AD589">
        <v>29</v>
      </c>
      <c r="AE589" t="s">
        <v>60</v>
      </c>
    </row>
    <row r="590" spans="1:31" x14ac:dyDescent="0.2">
      <c r="A590">
        <v>567</v>
      </c>
      <c r="B590" t="s">
        <v>1096</v>
      </c>
      <c r="C590">
        <v>32</v>
      </c>
      <c r="D590" t="s">
        <v>344</v>
      </c>
      <c r="E590" t="s">
        <v>322</v>
      </c>
      <c r="F590">
        <v>41</v>
      </c>
      <c r="G590">
        <v>3</v>
      </c>
      <c r="H590">
        <v>3</v>
      </c>
      <c r="I590">
        <v>6</v>
      </c>
      <c r="J590">
        <v>-7</v>
      </c>
      <c r="K590">
        <v>15</v>
      </c>
      <c r="L590">
        <v>3</v>
      </c>
      <c r="M590">
        <v>0</v>
      </c>
      <c r="N590">
        <v>0</v>
      </c>
      <c r="O590">
        <v>1</v>
      </c>
      <c r="P590">
        <v>2</v>
      </c>
      <c r="Q590">
        <v>1</v>
      </c>
      <c r="R590">
        <v>0</v>
      </c>
      <c r="S590">
        <v>43</v>
      </c>
      <c r="T590">
        <v>7</v>
      </c>
      <c r="U590">
        <v>81</v>
      </c>
      <c r="V590" t="s">
        <v>2850</v>
      </c>
      <c r="W590" t="s">
        <v>1810</v>
      </c>
      <c r="X590">
        <v>234</v>
      </c>
      <c r="Y590">
        <v>191</v>
      </c>
      <c r="Z590">
        <v>55.1</v>
      </c>
      <c r="AA590">
        <v>26</v>
      </c>
      <c r="AB590">
        <v>61</v>
      </c>
      <c r="AC590">
        <v>5</v>
      </c>
      <c r="AD590">
        <v>22</v>
      </c>
      <c r="AE590" t="s">
        <v>60</v>
      </c>
    </row>
    <row r="591" spans="1:31" x14ac:dyDescent="0.2">
      <c r="A591">
        <v>568</v>
      </c>
      <c r="B591" t="s">
        <v>950</v>
      </c>
      <c r="C591">
        <v>32</v>
      </c>
      <c r="D591" t="s">
        <v>337</v>
      </c>
      <c r="E591" t="s">
        <v>322</v>
      </c>
      <c r="F591">
        <v>25</v>
      </c>
      <c r="G591">
        <v>2</v>
      </c>
      <c r="H591">
        <v>4</v>
      </c>
      <c r="I591">
        <v>6</v>
      </c>
      <c r="J591">
        <v>-7</v>
      </c>
      <c r="K591">
        <v>21</v>
      </c>
      <c r="L591">
        <v>1</v>
      </c>
      <c r="M591">
        <v>1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29</v>
      </c>
      <c r="T591">
        <v>6.9</v>
      </c>
      <c r="U591">
        <v>67</v>
      </c>
      <c r="V591" t="s">
        <v>2606</v>
      </c>
      <c r="W591" t="s">
        <v>798</v>
      </c>
      <c r="X591">
        <v>79</v>
      </c>
      <c r="Y591">
        <v>94</v>
      </c>
      <c r="Z591">
        <v>45.7</v>
      </c>
      <c r="AA591">
        <v>5</v>
      </c>
      <c r="AB591">
        <v>12</v>
      </c>
      <c r="AC591">
        <v>2</v>
      </c>
      <c r="AD591">
        <v>15</v>
      </c>
      <c r="AE591" t="s">
        <v>60</v>
      </c>
    </row>
    <row r="592" spans="1:31" x14ac:dyDescent="0.2">
      <c r="A592">
        <v>569</v>
      </c>
      <c r="B592" t="s">
        <v>1024</v>
      </c>
      <c r="C592">
        <v>24</v>
      </c>
      <c r="D592" t="s">
        <v>364</v>
      </c>
      <c r="E592" t="s">
        <v>349</v>
      </c>
      <c r="F592">
        <v>36</v>
      </c>
      <c r="G592">
        <v>0</v>
      </c>
      <c r="H592">
        <v>6</v>
      </c>
      <c r="I592">
        <v>6</v>
      </c>
      <c r="J592">
        <v>-2</v>
      </c>
      <c r="K592">
        <v>36</v>
      </c>
      <c r="L592">
        <v>0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12</v>
      </c>
      <c r="T592">
        <v>0</v>
      </c>
      <c r="U592">
        <v>56</v>
      </c>
      <c r="V592" t="s">
        <v>2607</v>
      </c>
      <c r="W592" t="s">
        <v>1678</v>
      </c>
      <c r="X592">
        <v>0</v>
      </c>
      <c r="Y592">
        <v>0</v>
      </c>
      <c r="AA592">
        <v>17</v>
      </c>
      <c r="AB592">
        <v>65</v>
      </c>
      <c r="AC592">
        <v>5</v>
      </c>
      <c r="AD592">
        <v>36</v>
      </c>
      <c r="AE592" t="s">
        <v>60</v>
      </c>
    </row>
    <row r="593" spans="1:31" x14ac:dyDescent="0.2">
      <c r="A593">
        <v>570</v>
      </c>
      <c r="B593" t="s">
        <v>902</v>
      </c>
      <c r="C593">
        <v>27</v>
      </c>
      <c r="D593" t="s">
        <v>429</v>
      </c>
      <c r="E593" t="s">
        <v>349</v>
      </c>
      <c r="F593">
        <v>33</v>
      </c>
      <c r="G593">
        <v>0</v>
      </c>
      <c r="H593">
        <v>6</v>
      </c>
      <c r="I593">
        <v>6</v>
      </c>
      <c r="J593">
        <v>-11</v>
      </c>
      <c r="K593">
        <v>16</v>
      </c>
      <c r="L593">
        <v>0</v>
      </c>
      <c r="M593">
        <v>0</v>
      </c>
      <c r="N593">
        <v>0</v>
      </c>
      <c r="O593">
        <v>0</v>
      </c>
      <c r="P593">
        <v>6</v>
      </c>
      <c r="Q593">
        <v>0</v>
      </c>
      <c r="R593">
        <v>0</v>
      </c>
      <c r="S593">
        <v>33</v>
      </c>
      <c r="T593">
        <v>0</v>
      </c>
      <c r="U593">
        <v>90</v>
      </c>
      <c r="V593" t="s">
        <v>1645</v>
      </c>
      <c r="W593" t="s">
        <v>1122</v>
      </c>
      <c r="X593">
        <v>0</v>
      </c>
      <c r="Y593">
        <v>0</v>
      </c>
      <c r="AA593">
        <v>70</v>
      </c>
      <c r="AB593">
        <v>25</v>
      </c>
      <c r="AC593">
        <v>8</v>
      </c>
      <c r="AD593">
        <v>40</v>
      </c>
      <c r="AE593" t="s">
        <v>60</v>
      </c>
    </row>
    <row r="594" spans="1:31" x14ac:dyDescent="0.2">
      <c r="A594">
        <v>571</v>
      </c>
      <c r="B594" t="s">
        <v>1161</v>
      </c>
      <c r="C594">
        <v>26</v>
      </c>
      <c r="D594" t="s">
        <v>514</v>
      </c>
      <c r="E594" t="s">
        <v>335</v>
      </c>
      <c r="F594">
        <v>31</v>
      </c>
      <c r="G594">
        <v>2</v>
      </c>
      <c r="H594">
        <v>4</v>
      </c>
      <c r="I594">
        <v>6</v>
      </c>
      <c r="J594">
        <v>-5</v>
      </c>
      <c r="K594">
        <v>22</v>
      </c>
      <c r="L594">
        <v>1</v>
      </c>
      <c r="M594">
        <v>0</v>
      </c>
      <c r="N594">
        <v>1</v>
      </c>
      <c r="O594">
        <v>0</v>
      </c>
      <c r="P594">
        <v>3</v>
      </c>
      <c r="Q594">
        <v>0</v>
      </c>
      <c r="R594">
        <v>1</v>
      </c>
      <c r="S594">
        <v>31</v>
      </c>
      <c r="T594">
        <v>6.5</v>
      </c>
      <c r="U594">
        <v>54</v>
      </c>
      <c r="V594" t="s">
        <v>2608</v>
      </c>
      <c r="W594" t="s">
        <v>1831</v>
      </c>
      <c r="X594">
        <v>1</v>
      </c>
      <c r="Y594">
        <v>1</v>
      </c>
      <c r="Z594">
        <v>50</v>
      </c>
      <c r="AA594">
        <v>32</v>
      </c>
      <c r="AB594">
        <v>71</v>
      </c>
      <c r="AC594">
        <v>3</v>
      </c>
      <c r="AD594">
        <v>17</v>
      </c>
      <c r="AE594" t="s">
        <v>60</v>
      </c>
    </row>
    <row r="595" spans="1:31" x14ac:dyDescent="0.2">
      <c r="A595">
        <v>572</v>
      </c>
      <c r="B595" t="s">
        <v>953</v>
      </c>
      <c r="C595">
        <v>34</v>
      </c>
      <c r="D595" t="s">
        <v>367</v>
      </c>
      <c r="E595" t="s">
        <v>349</v>
      </c>
      <c r="F595">
        <v>35</v>
      </c>
      <c r="G595">
        <v>1</v>
      </c>
      <c r="H595">
        <v>5</v>
      </c>
      <c r="I595">
        <v>6</v>
      </c>
      <c r="J595">
        <v>-4</v>
      </c>
      <c r="K595">
        <v>12</v>
      </c>
      <c r="L595">
        <v>1</v>
      </c>
      <c r="M595">
        <v>0</v>
      </c>
      <c r="N595">
        <v>0</v>
      </c>
      <c r="O595">
        <v>0</v>
      </c>
      <c r="P595">
        <v>5</v>
      </c>
      <c r="Q595">
        <v>0</v>
      </c>
      <c r="R595">
        <v>0</v>
      </c>
      <c r="S595">
        <v>20</v>
      </c>
      <c r="T595">
        <v>5</v>
      </c>
      <c r="U595">
        <v>51</v>
      </c>
      <c r="V595" t="s">
        <v>2609</v>
      </c>
      <c r="W595" t="s">
        <v>483</v>
      </c>
      <c r="X595">
        <v>0</v>
      </c>
      <c r="Y595">
        <v>0</v>
      </c>
      <c r="AA595">
        <v>44</v>
      </c>
      <c r="AB595">
        <v>4</v>
      </c>
      <c r="AC595">
        <v>9</v>
      </c>
      <c r="AD595">
        <v>28</v>
      </c>
      <c r="AE595" t="s">
        <v>60</v>
      </c>
    </row>
    <row r="596" spans="1:31" x14ac:dyDescent="0.2">
      <c r="A596">
        <v>573</v>
      </c>
      <c r="B596" t="s">
        <v>1027</v>
      </c>
      <c r="C596">
        <v>31</v>
      </c>
      <c r="D596" t="s">
        <v>337</v>
      </c>
      <c r="E596" t="s">
        <v>340</v>
      </c>
      <c r="F596">
        <v>38</v>
      </c>
      <c r="G596">
        <v>3</v>
      </c>
      <c r="H596">
        <v>3</v>
      </c>
      <c r="I596">
        <v>6</v>
      </c>
      <c r="J596">
        <v>-10</v>
      </c>
      <c r="K596">
        <v>36</v>
      </c>
      <c r="L596">
        <v>3</v>
      </c>
      <c r="M596">
        <v>0</v>
      </c>
      <c r="N596">
        <v>0</v>
      </c>
      <c r="O596">
        <v>1</v>
      </c>
      <c r="P596">
        <v>2</v>
      </c>
      <c r="Q596">
        <v>1</v>
      </c>
      <c r="R596">
        <v>0</v>
      </c>
      <c r="S596">
        <v>68</v>
      </c>
      <c r="T596">
        <v>4.4000000000000004</v>
      </c>
      <c r="U596">
        <v>118</v>
      </c>
      <c r="V596" t="s">
        <v>1757</v>
      </c>
      <c r="W596" t="s">
        <v>993</v>
      </c>
      <c r="X596">
        <v>5</v>
      </c>
      <c r="Y596">
        <v>8</v>
      </c>
      <c r="Z596">
        <v>38.5</v>
      </c>
      <c r="AA596">
        <v>24</v>
      </c>
      <c r="AB596">
        <v>67</v>
      </c>
      <c r="AC596">
        <v>5</v>
      </c>
      <c r="AD596">
        <v>15</v>
      </c>
      <c r="AE596" t="s">
        <v>60</v>
      </c>
    </row>
    <row r="597" spans="1:31" x14ac:dyDescent="0.2">
      <c r="A597">
        <v>574</v>
      </c>
      <c r="B597" t="s">
        <v>1099</v>
      </c>
      <c r="C597">
        <v>29</v>
      </c>
      <c r="D597" t="s">
        <v>344</v>
      </c>
      <c r="E597" t="s">
        <v>349</v>
      </c>
      <c r="F597">
        <v>45</v>
      </c>
      <c r="G597">
        <v>2</v>
      </c>
      <c r="H597">
        <v>4</v>
      </c>
      <c r="I597">
        <v>6</v>
      </c>
      <c r="J597">
        <v>-9</v>
      </c>
      <c r="K597">
        <v>20</v>
      </c>
      <c r="L597">
        <v>2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31</v>
      </c>
      <c r="T597">
        <v>6.5</v>
      </c>
      <c r="U597">
        <v>100</v>
      </c>
      <c r="V597" t="s">
        <v>2851</v>
      </c>
      <c r="W597" t="s">
        <v>2411</v>
      </c>
      <c r="X597">
        <v>0</v>
      </c>
      <c r="Y597">
        <v>0</v>
      </c>
      <c r="AA597">
        <v>62</v>
      </c>
      <c r="AB597">
        <v>72</v>
      </c>
      <c r="AC597">
        <v>8</v>
      </c>
      <c r="AD597">
        <v>35</v>
      </c>
      <c r="AE597" t="s">
        <v>60</v>
      </c>
    </row>
    <row r="598" spans="1:31" x14ac:dyDescent="0.2">
      <c r="A598">
        <v>575</v>
      </c>
      <c r="B598" t="s">
        <v>905</v>
      </c>
      <c r="C598">
        <v>25</v>
      </c>
      <c r="D598" t="s">
        <v>449</v>
      </c>
      <c r="E598" t="s">
        <v>325</v>
      </c>
      <c r="F598">
        <v>26</v>
      </c>
      <c r="G598">
        <v>1</v>
      </c>
      <c r="H598">
        <v>4</v>
      </c>
      <c r="I598">
        <v>5</v>
      </c>
      <c r="J598">
        <v>0</v>
      </c>
      <c r="K598">
        <v>12</v>
      </c>
      <c r="L598">
        <v>1</v>
      </c>
      <c r="M598">
        <v>0</v>
      </c>
      <c r="N598">
        <v>0</v>
      </c>
      <c r="O598">
        <v>0</v>
      </c>
      <c r="P598">
        <v>3</v>
      </c>
      <c r="Q598">
        <v>1</v>
      </c>
      <c r="R598">
        <v>0</v>
      </c>
      <c r="S598">
        <v>14</v>
      </c>
      <c r="T598">
        <v>7.1</v>
      </c>
      <c r="U598">
        <v>26</v>
      </c>
      <c r="V598" t="s">
        <v>1580</v>
      </c>
      <c r="W598" t="s">
        <v>826</v>
      </c>
      <c r="X598">
        <v>2</v>
      </c>
      <c r="Y598">
        <v>12</v>
      </c>
      <c r="Z598">
        <v>14.3</v>
      </c>
      <c r="AA598">
        <v>5</v>
      </c>
      <c r="AB598">
        <v>22</v>
      </c>
      <c r="AC598">
        <v>6</v>
      </c>
      <c r="AD598">
        <v>9</v>
      </c>
      <c r="AE598" t="s">
        <v>60</v>
      </c>
    </row>
    <row r="599" spans="1:31" x14ac:dyDescent="0.2">
      <c r="A599">
        <v>576</v>
      </c>
      <c r="B599" t="s">
        <v>1042</v>
      </c>
      <c r="C599">
        <v>28</v>
      </c>
      <c r="D599" t="s">
        <v>429</v>
      </c>
      <c r="E599" t="s">
        <v>349</v>
      </c>
      <c r="F599">
        <v>29</v>
      </c>
      <c r="G599">
        <v>2</v>
      </c>
      <c r="H599">
        <v>3</v>
      </c>
      <c r="I599">
        <v>5</v>
      </c>
      <c r="J599">
        <v>-1</v>
      </c>
      <c r="K599">
        <v>6</v>
      </c>
      <c r="L599">
        <v>2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10</v>
      </c>
      <c r="T599">
        <v>20</v>
      </c>
      <c r="U599">
        <v>35</v>
      </c>
      <c r="V599" t="s">
        <v>2852</v>
      </c>
      <c r="W599" t="s">
        <v>1451</v>
      </c>
      <c r="X599">
        <v>0</v>
      </c>
      <c r="Y599">
        <v>0</v>
      </c>
      <c r="AA599">
        <v>15</v>
      </c>
      <c r="AB599">
        <v>8</v>
      </c>
      <c r="AC599">
        <v>2</v>
      </c>
      <c r="AD599">
        <v>9</v>
      </c>
      <c r="AE599" t="s">
        <v>60</v>
      </c>
    </row>
    <row r="600" spans="1:31" x14ac:dyDescent="0.2">
      <c r="A600">
        <v>577</v>
      </c>
      <c r="B600" t="s">
        <v>970</v>
      </c>
      <c r="C600">
        <v>28</v>
      </c>
      <c r="D600" t="s">
        <v>334</v>
      </c>
      <c r="E600" t="s">
        <v>349</v>
      </c>
      <c r="F600">
        <v>23</v>
      </c>
      <c r="G600">
        <v>2</v>
      </c>
      <c r="H600">
        <v>3</v>
      </c>
      <c r="I600">
        <v>5</v>
      </c>
      <c r="J600">
        <v>1</v>
      </c>
      <c r="K600">
        <v>6</v>
      </c>
      <c r="L600">
        <v>2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13</v>
      </c>
      <c r="T600">
        <v>15.4</v>
      </c>
      <c r="U600">
        <v>43</v>
      </c>
      <c r="V600" t="s">
        <v>2610</v>
      </c>
      <c r="W600" t="s">
        <v>1987</v>
      </c>
      <c r="X600">
        <v>0</v>
      </c>
      <c r="Y600">
        <v>0</v>
      </c>
      <c r="AA600">
        <v>17</v>
      </c>
      <c r="AB600">
        <v>10</v>
      </c>
      <c r="AC600">
        <v>9</v>
      </c>
      <c r="AD600">
        <v>13</v>
      </c>
      <c r="AE600" t="s">
        <v>60</v>
      </c>
    </row>
    <row r="601" spans="1:31" x14ac:dyDescent="0.2">
      <c r="A601">
        <v>578</v>
      </c>
      <c r="B601" t="s">
        <v>972</v>
      </c>
      <c r="C601">
        <v>28</v>
      </c>
      <c r="D601" t="s">
        <v>353</v>
      </c>
      <c r="E601" t="s">
        <v>349</v>
      </c>
      <c r="F601">
        <v>26</v>
      </c>
      <c r="G601">
        <v>0</v>
      </c>
      <c r="H601">
        <v>5</v>
      </c>
      <c r="I601">
        <v>5</v>
      </c>
      <c r="J601">
        <v>3</v>
      </c>
      <c r="K601">
        <v>37</v>
      </c>
      <c r="L601">
        <v>0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1</v>
      </c>
      <c r="S601">
        <v>16</v>
      </c>
      <c r="T601">
        <v>0</v>
      </c>
      <c r="U601">
        <v>48</v>
      </c>
      <c r="V601" t="s">
        <v>2611</v>
      </c>
      <c r="W601" t="s">
        <v>2362</v>
      </c>
      <c r="X601">
        <v>0</v>
      </c>
      <c r="Y601">
        <v>0</v>
      </c>
      <c r="AA601">
        <v>55</v>
      </c>
      <c r="AB601">
        <v>54</v>
      </c>
      <c r="AC601">
        <v>5</v>
      </c>
      <c r="AD601">
        <v>25</v>
      </c>
      <c r="AE601" t="s">
        <v>60</v>
      </c>
    </row>
    <row r="602" spans="1:31" x14ac:dyDescent="0.2">
      <c r="A602">
        <v>579</v>
      </c>
      <c r="B602" t="s">
        <v>1112</v>
      </c>
      <c r="C602">
        <v>19</v>
      </c>
      <c r="D602" t="s">
        <v>324</v>
      </c>
      <c r="E602" t="s">
        <v>349</v>
      </c>
      <c r="F602">
        <v>36</v>
      </c>
      <c r="G602">
        <v>1</v>
      </c>
      <c r="H602">
        <v>4</v>
      </c>
      <c r="I602">
        <v>5</v>
      </c>
      <c r="J602">
        <v>-5</v>
      </c>
      <c r="K602">
        <v>12</v>
      </c>
      <c r="L602">
        <v>1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31</v>
      </c>
      <c r="T602">
        <v>3.2</v>
      </c>
      <c r="U602">
        <v>75</v>
      </c>
      <c r="V602" t="s">
        <v>2092</v>
      </c>
      <c r="W602" t="s">
        <v>1542</v>
      </c>
      <c r="X602">
        <v>0</v>
      </c>
      <c r="Y602">
        <v>0</v>
      </c>
      <c r="AA602">
        <v>30</v>
      </c>
      <c r="AB602">
        <v>31</v>
      </c>
      <c r="AC602">
        <v>9</v>
      </c>
      <c r="AD602">
        <v>34</v>
      </c>
      <c r="AE602" t="s">
        <v>60</v>
      </c>
    </row>
    <row r="603" spans="1:31" x14ac:dyDescent="0.2">
      <c r="A603">
        <v>580</v>
      </c>
      <c r="B603" t="s">
        <v>1059</v>
      </c>
      <c r="C603">
        <v>31</v>
      </c>
      <c r="D603" t="s">
        <v>382</v>
      </c>
      <c r="E603" t="s">
        <v>322</v>
      </c>
      <c r="F603">
        <v>22</v>
      </c>
      <c r="G603">
        <v>2</v>
      </c>
      <c r="H603">
        <v>3</v>
      </c>
      <c r="I603">
        <v>5</v>
      </c>
      <c r="J603">
        <v>-1</v>
      </c>
      <c r="K603">
        <v>12</v>
      </c>
      <c r="L603">
        <v>0</v>
      </c>
      <c r="M603">
        <v>0</v>
      </c>
      <c r="N603">
        <v>2</v>
      </c>
      <c r="O603">
        <v>1</v>
      </c>
      <c r="P603">
        <v>3</v>
      </c>
      <c r="Q603">
        <v>0</v>
      </c>
      <c r="R603">
        <v>0</v>
      </c>
      <c r="S603">
        <v>25</v>
      </c>
      <c r="T603">
        <v>8</v>
      </c>
      <c r="U603">
        <v>55</v>
      </c>
      <c r="V603" t="s">
        <v>2612</v>
      </c>
      <c r="W603" t="s">
        <v>798</v>
      </c>
      <c r="X603">
        <v>94</v>
      </c>
      <c r="Y603">
        <v>67</v>
      </c>
      <c r="Z603">
        <v>58.4</v>
      </c>
      <c r="AA603">
        <v>19</v>
      </c>
      <c r="AB603">
        <v>40</v>
      </c>
      <c r="AC603">
        <v>6</v>
      </c>
      <c r="AD603">
        <v>5</v>
      </c>
      <c r="AE603" t="s">
        <v>60</v>
      </c>
    </row>
    <row r="604" spans="1:31" x14ac:dyDescent="0.2">
      <c r="A604">
        <v>581</v>
      </c>
      <c r="B604" t="s">
        <v>1062</v>
      </c>
      <c r="C604">
        <v>28</v>
      </c>
      <c r="D604" t="s">
        <v>429</v>
      </c>
      <c r="E604" t="s">
        <v>340</v>
      </c>
      <c r="F604">
        <v>29</v>
      </c>
      <c r="G604">
        <v>1</v>
      </c>
      <c r="H604">
        <v>4</v>
      </c>
      <c r="I604">
        <v>5</v>
      </c>
      <c r="J604">
        <v>-9</v>
      </c>
      <c r="K604">
        <v>19</v>
      </c>
      <c r="L604">
        <v>1</v>
      </c>
      <c r="M604">
        <v>0</v>
      </c>
      <c r="N604">
        <v>0</v>
      </c>
      <c r="O604">
        <v>0</v>
      </c>
      <c r="P604">
        <v>4</v>
      </c>
      <c r="Q604">
        <v>0</v>
      </c>
      <c r="R604">
        <v>0</v>
      </c>
      <c r="S604">
        <v>26</v>
      </c>
      <c r="T604">
        <v>3.8</v>
      </c>
      <c r="U604">
        <v>55</v>
      </c>
      <c r="V604" t="s">
        <v>2184</v>
      </c>
      <c r="W604" t="s">
        <v>877</v>
      </c>
      <c r="X604">
        <v>8</v>
      </c>
      <c r="Y604">
        <v>18</v>
      </c>
      <c r="Z604">
        <v>30.8</v>
      </c>
      <c r="AA604">
        <v>14</v>
      </c>
      <c r="AB604">
        <v>42</v>
      </c>
      <c r="AC604">
        <v>4</v>
      </c>
      <c r="AD604">
        <v>16</v>
      </c>
      <c r="AE604" t="s">
        <v>60</v>
      </c>
    </row>
    <row r="605" spans="1:31" x14ac:dyDescent="0.2">
      <c r="A605">
        <v>582</v>
      </c>
      <c r="B605" t="s">
        <v>989</v>
      </c>
      <c r="C605">
        <v>33</v>
      </c>
      <c r="D605" t="s">
        <v>377</v>
      </c>
      <c r="E605" t="s">
        <v>335</v>
      </c>
      <c r="F605">
        <v>23</v>
      </c>
      <c r="G605">
        <v>3</v>
      </c>
      <c r="H605">
        <v>2</v>
      </c>
      <c r="I605">
        <v>5</v>
      </c>
      <c r="J605">
        <v>-5</v>
      </c>
      <c r="K605">
        <v>6</v>
      </c>
      <c r="L605">
        <v>3</v>
      </c>
      <c r="M605">
        <v>0</v>
      </c>
      <c r="N605">
        <v>0</v>
      </c>
      <c r="O605">
        <v>1</v>
      </c>
      <c r="P605">
        <v>2</v>
      </c>
      <c r="Q605">
        <v>0</v>
      </c>
      <c r="R605">
        <v>0</v>
      </c>
      <c r="S605">
        <v>39</v>
      </c>
      <c r="T605">
        <v>7.7</v>
      </c>
      <c r="U605">
        <v>65</v>
      </c>
      <c r="V605" t="s">
        <v>2093</v>
      </c>
      <c r="W605" t="s">
        <v>1851</v>
      </c>
      <c r="X605">
        <v>36</v>
      </c>
      <c r="Y605">
        <v>59</v>
      </c>
      <c r="Z605">
        <v>37.9</v>
      </c>
      <c r="AA605">
        <v>8</v>
      </c>
      <c r="AB605">
        <v>27</v>
      </c>
      <c r="AC605">
        <v>3</v>
      </c>
      <c r="AD605">
        <v>17</v>
      </c>
      <c r="AE605" t="s">
        <v>60</v>
      </c>
    </row>
    <row r="606" spans="1:31" x14ac:dyDescent="0.2">
      <c r="A606">
        <v>583</v>
      </c>
      <c r="B606" t="s">
        <v>1069</v>
      </c>
      <c r="C606">
        <v>22</v>
      </c>
      <c r="D606" t="s">
        <v>377</v>
      </c>
      <c r="E606" t="s">
        <v>335</v>
      </c>
      <c r="F606">
        <v>27</v>
      </c>
      <c r="G606">
        <v>2</v>
      </c>
      <c r="H606">
        <v>3</v>
      </c>
      <c r="I606">
        <v>5</v>
      </c>
      <c r="J606">
        <v>-5</v>
      </c>
      <c r="K606">
        <v>8</v>
      </c>
      <c r="L606">
        <v>1</v>
      </c>
      <c r="M606">
        <v>1</v>
      </c>
      <c r="N606">
        <v>0</v>
      </c>
      <c r="O606">
        <v>0</v>
      </c>
      <c r="P606">
        <v>1</v>
      </c>
      <c r="Q606">
        <v>2</v>
      </c>
      <c r="R606">
        <v>0</v>
      </c>
      <c r="S606">
        <v>28</v>
      </c>
      <c r="T606">
        <v>7.1</v>
      </c>
      <c r="U606">
        <v>70</v>
      </c>
      <c r="V606" t="s">
        <v>1930</v>
      </c>
      <c r="W606" t="s">
        <v>1827</v>
      </c>
      <c r="X606">
        <v>2</v>
      </c>
      <c r="Y606">
        <v>0</v>
      </c>
      <c r="Z606">
        <v>100</v>
      </c>
      <c r="AA606">
        <v>11</v>
      </c>
      <c r="AB606">
        <v>3</v>
      </c>
      <c r="AC606">
        <v>5</v>
      </c>
      <c r="AD606">
        <v>12</v>
      </c>
      <c r="AE606" t="s">
        <v>60</v>
      </c>
    </row>
    <row r="607" spans="1:31" x14ac:dyDescent="0.2">
      <c r="A607">
        <v>584</v>
      </c>
      <c r="B607" t="s">
        <v>925</v>
      </c>
      <c r="C607">
        <v>21</v>
      </c>
      <c r="D607" t="s">
        <v>429</v>
      </c>
      <c r="E607" t="s">
        <v>322</v>
      </c>
      <c r="F607">
        <v>12</v>
      </c>
      <c r="G607">
        <v>3</v>
      </c>
      <c r="H607">
        <v>2</v>
      </c>
      <c r="I607">
        <v>5</v>
      </c>
      <c r="J607">
        <v>-4</v>
      </c>
      <c r="K607">
        <v>4</v>
      </c>
      <c r="L607">
        <v>3</v>
      </c>
      <c r="M607">
        <v>0</v>
      </c>
      <c r="N607">
        <v>0</v>
      </c>
      <c r="O607">
        <v>0</v>
      </c>
      <c r="P607">
        <v>2</v>
      </c>
      <c r="Q607">
        <v>0</v>
      </c>
      <c r="R607">
        <v>0</v>
      </c>
      <c r="S607">
        <v>20</v>
      </c>
      <c r="T607">
        <v>15</v>
      </c>
      <c r="U607">
        <v>43</v>
      </c>
      <c r="V607" t="s">
        <v>926</v>
      </c>
      <c r="W607" t="s">
        <v>927</v>
      </c>
      <c r="X607">
        <v>68</v>
      </c>
      <c r="Y607">
        <v>95</v>
      </c>
      <c r="Z607">
        <v>41.7</v>
      </c>
      <c r="AA607">
        <v>12</v>
      </c>
      <c r="AB607">
        <v>9</v>
      </c>
      <c r="AC607">
        <v>1</v>
      </c>
      <c r="AD607">
        <v>10</v>
      </c>
      <c r="AE607" t="s">
        <v>60</v>
      </c>
    </row>
    <row r="608" spans="1:31" x14ac:dyDescent="0.2">
      <c r="A608">
        <v>585</v>
      </c>
      <c r="B608" t="s">
        <v>1614</v>
      </c>
      <c r="C608">
        <v>20</v>
      </c>
      <c r="D608" t="s">
        <v>330</v>
      </c>
      <c r="E608" t="s">
        <v>340</v>
      </c>
      <c r="F608">
        <v>15</v>
      </c>
      <c r="G608">
        <v>4</v>
      </c>
      <c r="H608">
        <v>1</v>
      </c>
      <c r="I608">
        <v>5</v>
      </c>
      <c r="J608">
        <v>-7</v>
      </c>
      <c r="K608">
        <v>6</v>
      </c>
      <c r="L608">
        <v>2</v>
      </c>
      <c r="M608">
        <v>2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27</v>
      </c>
      <c r="T608">
        <v>14.8</v>
      </c>
      <c r="U608">
        <v>58</v>
      </c>
      <c r="V608" t="s">
        <v>2185</v>
      </c>
      <c r="W608" t="s">
        <v>1827</v>
      </c>
      <c r="X608">
        <v>1</v>
      </c>
      <c r="Y608">
        <v>1</v>
      </c>
      <c r="Z608">
        <v>50</v>
      </c>
      <c r="AA608">
        <v>4</v>
      </c>
      <c r="AB608">
        <v>26</v>
      </c>
      <c r="AC608">
        <v>2</v>
      </c>
      <c r="AD608">
        <v>8</v>
      </c>
      <c r="AE608" t="s">
        <v>60</v>
      </c>
    </row>
    <row r="609" spans="1:31" x14ac:dyDescent="0.2">
      <c r="A609">
        <v>586</v>
      </c>
      <c r="B609" t="s">
        <v>930</v>
      </c>
      <c r="C609">
        <v>26</v>
      </c>
      <c r="D609" t="s">
        <v>382</v>
      </c>
      <c r="E609" t="s">
        <v>322</v>
      </c>
      <c r="F609">
        <v>35</v>
      </c>
      <c r="G609">
        <v>1</v>
      </c>
      <c r="H609">
        <v>4</v>
      </c>
      <c r="I609">
        <v>5</v>
      </c>
      <c r="J609">
        <v>-5</v>
      </c>
      <c r="K609">
        <v>4</v>
      </c>
      <c r="L609">
        <v>1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30</v>
      </c>
      <c r="T609">
        <v>3.3</v>
      </c>
      <c r="U609">
        <v>49</v>
      </c>
      <c r="V609" t="s">
        <v>1729</v>
      </c>
      <c r="W609" t="s">
        <v>893</v>
      </c>
      <c r="X609">
        <v>94</v>
      </c>
      <c r="Y609">
        <v>81</v>
      </c>
      <c r="Z609">
        <v>53.7</v>
      </c>
      <c r="AA609">
        <v>16</v>
      </c>
      <c r="AB609">
        <v>13</v>
      </c>
      <c r="AC609">
        <v>3</v>
      </c>
      <c r="AD609">
        <v>23</v>
      </c>
      <c r="AE609" t="s">
        <v>60</v>
      </c>
    </row>
    <row r="610" spans="1:31" x14ac:dyDescent="0.2">
      <c r="A610">
        <v>587</v>
      </c>
      <c r="B610" t="s">
        <v>1077</v>
      </c>
      <c r="C610">
        <v>25</v>
      </c>
      <c r="D610" t="s">
        <v>334</v>
      </c>
      <c r="E610" t="s">
        <v>349</v>
      </c>
      <c r="F610">
        <v>20</v>
      </c>
      <c r="G610">
        <v>2</v>
      </c>
      <c r="H610">
        <v>3</v>
      </c>
      <c r="I610">
        <v>5</v>
      </c>
      <c r="J610">
        <v>7</v>
      </c>
      <c r="K610">
        <v>10</v>
      </c>
      <c r="L610">
        <v>2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17</v>
      </c>
      <c r="T610">
        <v>11.8</v>
      </c>
      <c r="U610">
        <v>46</v>
      </c>
      <c r="V610" t="s">
        <v>2613</v>
      </c>
      <c r="W610" t="s">
        <v>1544</v>
      </c>
      <c r="X610">
        <v>0</v>
      </c>
      <c r="Y610">
        <v>0</v>
      </c>
      <c r="AA610">
        <v>23</v>
      </c>
      <c r="AB610">
        <v>18</v>
      </c>
      <c r="AC610">
        <v>4</v>
      </c>
      <c r="AD610">
        <v>23</v>
      </c>
      <c r="AE610" t="s">
        <v>60</v>
      </c>
    </row>
    <row r="611" spans="1:31" x14ac:dyDescent="0.2">
      <c r="A611">
        <v>588</v>
      </c>
      <c r="B611" t="s">
        <v>1470</v>
      </c>
      <c r="C611">
        <v>22</v>
      </c>
      <c r="D611" t="s">
        <v>957</v>
      </c>
      <c r="E611" t="s">
        <v>340</v>
      </c>
      <c r="F611">
        <v>33</v>
      </c>
      <c r="G611">
        <v>3</v>
      </c>
      <c r="H611">
        <v>2</v>
      </c>
      <c r="I611">
        <v>5</v>
      </c>
      <c r="J611">
        <v>-6</v>
      </c>
      <c r="K611">
        <v>0</v>
      </c>
      <c r="L611">
        <v>3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42</v>
      </c>
      <c r="T611">
        <v>7.1</v>
      </c>
      <c r="U611">
        <v>93</v>
      </c>
      <c r="V611" t="s">
        <v>2614</v>
      </c>
      <c r="W611" t="s">
        <v>1030</v>
      </c>
      <c r="X611">
        <v>5</v>
      </c>
      <c r="Y611">
        <v>5</v>
      </c>
      <c r="Z611">
        <v>50</v>
      </c>
      <c r="AA611">
        <v>17</v>
      </c>
      <c r="AB611">
        <v>48</v>
      </c>
      <c r="AC611">
        <v>3</v>
      </c>
      <c r="AD611">
        <v>14</v>
      </c>
      <c r="AE611" t="s">
        <v>60</v>
      </c>
    </row>
    <row r="612" spans="1:31" x14ac:dyDescent="0.2">
      <c r="A612">
        <v>588</v>
      </c>
      <c r="B612" t="s">
        <v>1470</v>
      </c>
      <c r="C612">
        <v>22</v>
      </c>
      <c r="D612" t="s">
        <v>358</v>
      </c>
      <c r="E612" t="s">
        <v>340</v>
      </c>
      <c r="F612">
        <v>18</v>
      </c>
      <c r="G612">
        <v>0</v>
      </c>
      <c r="H612">
        <v>0</v>
      </c>
      <c r="I612">
        <v>0</v>
      </c>
      <c r="J612">
        <v>-3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18</v>
      </c>
      <c r="T612">
        <v>0</v>
      </c>
      <c r="U612">
        <v>40</v>
      </c>
      <c r="V612" t="s">
        <v>1594</v>
      </c>
      <c r="W612" t="s">
        <v>1426</v>
      </c>
      <c r="X612">
        <v>2</v>
      </c>
      <c r="Y612">
        <v>1</v>
      </c>
      <c r="Z612">
        <v>66.7</v>
      </c>
      <c r="AA612">
        <v>8</v>
      </c>
      <c r="AB612">
        <v>29</v>
      </c>
      <c r="AC612">
        <v>1</v>
      </c>
      <c r="AD612">
        <v>7</v>
      </c>
      <c r="AE612" t="s">
        <v>60</v>
      </c>
    </row>
    <row r="613" spans="1:31" x14ac:dyDescent="0.2">
      <c r="A613">
        <v>588</v>
      </c>
      <c r="B613" t="s">
        <v>1470</v>
      </c>
      <c r="C613">
        <v>22</v>
      </c>
      <c r="D613" t="s">
        <v>449</v>
      </c>
      <c r="E613" t="s">
        <v>340</v>
      </c>
      <c r="F613">
        <v>15</v>
      </c>
      <c r="G613">
        <v>3</v>
      </c>
      <c r="H613">
        <v>2</v>
      </c>
      <c r="I613">
        <v>5</v>
      </c>
      <c r="J613">
        <v>-3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2</v>
      </c>
      <c r="Q613">
        <v>0</v>
      </c>
      <c r="R613">
        <v>0</v>
      </c>
      <c r="S613">
        <v>24</v>
      </c>
      <c r="T613">
        <v>12.5</v>
      </c>
      <c r="U613">
        <v>53</v>
      </c>
      <c r="V613" t="s">
        <v>2615</v>
      </c>
      <c r="W613" t="s">
        <v>2482</v>
      </c>
      <c r="X613">
        <v>3</v>
      </c>
      <c r="Y613">
        <v>4</v>
      </c>
      <c r="Z613">
        <v>42.9</v>
      </c>
      <c r="AA613">
        <v>9</v>
      </c>
      <c r="AB613">
        <v>19</v>
      </c>
      <c r="AC613">
        <v>2</v>
      </c>
      <c r="AD613">
        <v>7</v>
      </c>
      <c r="AE613" t="s">
        <v>60</v>
      </c>
    </row>
    <row r="614" spans="1:31" x14ac:dyDescent="0.2">
      <c r="A614">
        <v>589</v>
      </c>
      <c r="B614" t="s">
        <v>1018</v>
      </c>
      <c r="C614">
        <v>36</v>
      </c>
      <c r="D614" t="s">
        <v>346</v>
      </c>
      <c r="E614" t="s">
        <v>349</v>
      </c>
      <c r="F614">
        <v>31</v>
      </c>
      <c r="G614">
        <v>1</v>
      </c>
      <c r="H614">
        <v>4</v>
      </c>
      <c r="I614">
        <v>5</v>
      </c>
      <c r="J614">
        <v>-3</v>
      </c>
      <c r="K614">
        <v>21</v>
      </c>
      <c r="L614">
        <v>1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24</v>
      </c>
      <c r="T614">
        <v>4.2</v>
      </c>
      <c r="U614">
        <v>65</v>
      </c>
      <c r="V614" t="s">
        <v>2616</v>
      </c>
      <c r="W614" t="s">
        <v>1023</v>
      </c>
      <c r="X614">
        <v>0</v>
      </c>
      <c r="Y614">
        <v>0</v>
      </c>
      <c r="AA614">
        <v>35</v>
      </c>
      <c r="AB614">
        <v>90</v>
      </c>
      <c r="AC614">
        <v>6</v>
      </c>
      <c r="AD614">
        <v>30</v>
      </c>
      <c r="AE614" t="s">
        <v>60</v>
      </c>
    </row>
    <row r="615" spans="1:31" x14ac:dyDescent="0.2">
      <c r="A615">
        <v>590</v>
      </c>
      <c r="B615" t="s">
        <v>1156</v>
      </c>
      <c r="C615">
        <v>28</v>
      </c>
      <c r="D615" t="s">
        <v>400</v>
      </c>
      <c r="E615" t="s">
        <v>349</v>
      </c>
      <c r="F615">
        <v>47</v>
      </c>
      <c r="G615">
        <v>0</v>
      </c>
      <c r="H615">
        <v>5</v>
      </c>
      <c r="I615">
        <v>5</v>
      </c>
      <c r="J615">
        <v>-7</v>
      </c>
      <c r="K615">
        <v>31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1</v>
      </c>
      <c r="S615">
        <v>40</v>
      </c>
      <c r="T615">
        <v>0</v>
      </c>
      <c r="U615">
        <v>94</v>
      </c>
      <c r="V615" t="s">
        <v>2853</v>
      </c>
      <c r="W615" t="s">
        <v>1780</v>
      </c>
      <c r="X615">
        <v>0</v>
      </c>
      <c r="Y615">
        <v>0</v>
      </c>
      <c r="AA615">
        <v>79</v>
      </c>
      <c r="AB615">
        <v>63</v>
      </c>
      <c r="AC615">
        <v>18</v>
      </c>
      <c r="AD615">
        <v>60</v>
      </c>
      <c r="AE615" t="s">
        <v>60</v>
      </c>
    </row>
    <row r="616" spans="1:31" x14ac:dyDescent="0.2">
      <c r="A616">
        <v>591</v>
      </c>
      <c r="B616" t="s">
        <v>952</v>
      </c>
      <c r="C616">
        <v>29</v>
      </c>
      <c r="D616" t="s">
        <v>328</v>
      </c>
      <c r="E616" t="s">
        <v>325</v>
      </c>
      <c r="F616">
        <v>22</v>
      </c>
      <c r="G616">
        <v>3</v>
      </c>
      <c r="H616">
        <v>2</v>
      </c>
      <c r="I616">
        <v>5</v>
      </c>
      <c r="J616">
        <v>-6</v>
      </c>
      <c r="K616">
        <v>10</v>
      </c>
      <c r="L616">
        <v>3</v>
      </c>
      <c r="M616">
        <v>0</v>
      </c>
      <c r="N616">
        <v>0</v>
      </c>
      <c r="O616">
        <v>0</v>
      </c>
      <c r="P616">
        <v>0</v>
      </c>
      <c r="Q616">
        <v>2</v>
      </c>
      <c r="R616">
        <v>0</v>
      </c>
      <c r="S616">
        <v>30</v>
      </c>
      <c r="T616">
        <v>10</v>
      </c>
      <c r="U616">
        <v>52</v>
      </c>
      <c r="V616" t="s">
        <v>1607</v>
      </c>
      <c r="W616" t="s">
        <v>1608</v>
      </c>
      <c r="X616">
        <v>30</v>
      </c>
      <c r="Y616">
        <v>34</v>
      </c>
      <c r="Z616">
        <v>46.9</v>
      </c>
      <c r="AA616">
        <v>6</v>
      </c>
      <c r="AB616">
        <v>17</v>
      </c>
      <c r="AC616">
        <v>3</v>
      </c>
      <c r="AD616">
        <v>12</v>
      </c>
      <c r="AE616" t="s">
        <v>60</v>
      </c>
    </row>
    <row r="617" spans="1:31" x14ac:dyDescent="0.2">
      <c r="A617">
        <v>592</v>
      </c>
      <c r="B617" t="s">
        <v>956</v>
      </c>
      <c r="C617">
        <v>23</v>
      </c>
      <c r="D617" t="s">
        <v>957</v>
      </c>
      <c r="E617" t="s">
        <v>340</v>
      </c>
      <c r="F617">
        <v>19</v>
      </c>
      <c r="G617">
        <v>2</v>
      </c>
      <c r="H617">
        <v>3</v>
      </c>
      <c r="I617">
        <v>5</v>
      </c>
      <c r="J617">
        <v>-4</v>
      </c>
      <c r="K617">
        <v>6</v>
      </c>
      <c r="L617">
        <v>2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15</v>
      </c>
      <c r="T617">
        <v>13.3</v>
      </c>
      <c r="U617">
        <v>36</v>
      </c>
      <c r="V617" t="s">
        <v>958</v>
      </c>
      <c r="W617" t="s">
        <v>959</v>
      </c>
      <c r="X617">
        <v>46</v>
      </c>
      <c r="Y617">
        <v>71</v>
      </c>
      <c r="Z617">
        <v>39.299999999999997</v>
      </c>
      <c r="AA617">
        <v>11</v>
      </c>
      <c r="AB617">
        <v>7</v>
      </c>
      <c r="AC617">
        <v>2</v>
      </c>
      <c r="AD617">
        <v>13</v>
      </c>
      <c r="AE617" t="s">
        <v>60</v>
      </c>
    </row>
    <row r="618" spans="1:31" x14ac:dyDescent="0.2">
      <c r="A618">
        <v>592</v>
      </c>
      <c r="B618" t="s">
        <v>956</v>
      </c>
      <c r="C618">
        <v>23</v>
      </c>
      <c r="D618" t="s">
        <v>330</v>
      </c>
      <c r="E618" t="s">
        <v>340</v>
      </c>
      <c r="F618">
        <v>5</v>
      </c>
      <c r="G618">
        <v>2</v>
      </c>
      <c r="H618">
        <v>2</v>
      </c>
      <c r="I618">
        <v>4</v>
      </c>
      <c r="J618">
        <v>1</v>
      </c>
      <c r="K618">
        <v>2</v>
      </c>
      <c r="L618">
        <v>2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6</v>
      </c>
      <c r="T618">
        <v>33.299999999999997</v>
      </c>
      <c r="U618">
        <v>10</v>
      </c>
      <c r="V618" t="s">
        <v>960</v>
      </c>
      <c r="W618" t="s">
        <v>961</v>
      </c>
      <c r="X618">
        <v>2</v>
      </c>
      <c r="Y618">
        <v>5</v>
      </c>
      <c r="Z618">
        <v>28.6</v>
      </c>
      <c r="AA618">
        <v>3</v>
      </c>
      <c r="AB618">
        <v>1</v>
      </c>
      <c r="AC618">
        <v>1</v>
      </c>
      <c r="AD618">
        <v>4</v>
      </c>
      <c r="AE618" t="s">
        <v>60</v>
      </c>
    </row>
    <row r="619" spans="1:31" x14ac:dyDescent="0.2">
      <c r="A619">
        <v>592</v>
      </c>
      <c r="B619" t="s">
        <v>956</v>
      </c>
      <c r="C619">
        <v>23</v>
      </c>
      <c r="D619" t="s">
        <v>449</v>
      </c>
      <c r="E619" t="s">
        <v>340</v>
      </c>
      <c r="F619">
        <v>14</v>
      </c>
      <c r="G619">
        <v>0</v>
      </c>
      <c r="H619">
        <v>1</v>
      </c>
      <c r="I619">
        <v>1</v>
      </c>
      <c r="J619">
        <v>-5</v>
      </c>
      <c r="K619">
        <v>4</v>
      </c>
      <c r="L619">
        <v>0</v>
      </c>
      <c r="M619">
        <v>0</v>
      </c>
      <c r="N619">
        <v>0</v>
      </c>
      <c r="O619">
        <v>0</v>
      </c>
      <c r="P619">
        <v>1</v>
      </c>
      <c r="Q619">
        <v>0</v>
      </c>
      <c r="R619">
        <v>0</v>
      </c>
      <c r="S619">
        <v>9</v>
      </c>
      <c r="T619">
        <v>0</v>
      </c>
      <c r="U619">
        <v>26</v>
      </c>
      <c r="V619" t="s">
        <v>962</v>
      </c>
      <c r="W619" t="s">
        <v>963</v>
      </c>
      <c r="X619">
        <v>44</v>
      </c>
      <c r="Y619">
        <v>66</v>
      </c>
      <c r="Z619">
        <v>40</v>
      </c>
      <c r="AA619">
        <v>8</v>
      </c>
      <c r="AB619">
        <v>6</v>
      </c>
      <c r="AC619">
        <v>1</v>
      </c>
      <c r="AD619">
        <v>9</v>
      </c>
      <c r="AE619" t="s">
        <v>60</v>
      </c>
    </row>
    <row r="620" spans="1:31" x14ac:dyDescent="0.2">
      <c r="A620">
        <v>593</v>
      </c>
      <c r="B620" t="s">
        <v>1032</v>
      </c>
      <c r="C620">
        <v>31</v>
      </c>
      <c r="D620" t="s">
        <v>382</v>
      </c>
      <c r="E620" t="s">
        <v>322</v>
      </c>
      <c r="F620">
        <v>24</v>
      </c>
      <c r="G620">
        <v>0</v>
      </c>
      <c r="H620">
        <v>4</v>
      </c>
      <c r="I620">
        <v>4</v>
      </c>
      <c r="J620">
        <v>0</v>
      </c>
      <c r="K620">
        <v>10</v>
      </c>
      <c r="L620">
        <v>0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16</v>
      </c>
      <c r="T620">
        <v>0</v>
      </c>
      <c r="U620">
        <v>29</v>
      </c>
      <c r="V620" t="s">
        <v>1995</v>
      </c>
      <c r="W620" t="s">
        <v>1134</v>
      </c>
      <c r="X620">
        <v>6</v>
      </c>
      <c r="Y620">
        <v>18</v>
      </c>
      <c r="Z620">
        <v>25</v>
      </c>
      <c r="AA620">
        <v>15</v>
      </c>
      <c r="AB620">
        <v>63</v>
      </c>
      <c r="AC620">
        <v>2</v>
      </c>
      <c r="AD620">
        <v>10</v>
      </c>
      <c r="AE620" t="s">
        <v>60</v>
      </c>
    </row>
    <row r="621" spans="1:31" x14ac:dyDescent="0.2">
      <c r="A621">
        <v>594</v>
      </c>
      <c r="B621" t="s">
        <v>967</v>
      </c>
      <c r="C621">
        <v>24</v>
      </c>
      <c r="D621" t="s">
        <v>461</v>
      </c>
      <c r="E621" t="s">
        <v>349</v>
      </c>
      <c r="F621">
        <v>22</v>
      </c>
      <c r="G621">
        <v>0</v>
      </c>
      <c r="H621">
        <v>4</v>
      </c>
      <c r="I621">
        <v>4</v>
      </c>
      <c r="J621">
        <v>0</v>
      </c>
      <c r="K621">
        <v>8</v>
      </c>
      <c r="L621">
        <v>0</v>
      </c>
      <c r="M621">
        <v>0</v>
      </c>
      <c r="N621">
        <v>0</v>
      </c>
      <c r="O621">
        <v>0</v>
      </c>
      <c r="P621">
        <v>4</v>
      </c>
      <c r="Q621">
        <v>0</v>
      </c>
      <c r="R621">
        <v>0</v>
      </c>
      <c r="S621">
        <v>15</v>
      </c>
      <c r="T621">
        <v>0</v>
      </c>
      <c r="U621">
        <v>46</v>
      </c>
      <c r="V621" t="s">
        <v>2617</v>
      </c>
      <c r="W621" t="s">
        <v>1531</v>
      </c>
      <c r="X621">
        <v>0</v>
      </c>
      <c r="Y621">
        <v>0</v>
      </c>
      <c r="AA621">
        <v>23</v>
      </c>
      <c r="AB621">
        <v>13</v>
      </c>
      <c r="AC621">
        <v>1</v>
      </c>
      <c r="AD621">
        <v>32</v>
      </c>
      <c r="AE621" t="s">
        <v>60</v>
      </c>
    </row>
    <row r="622" spans="1:31" x14ac:dyDescent="0.2">
      <c r="A622">
        <v>595</v>
      </c>
      <c r="B622" t="s">
        <v>1177</v>
      </c>
      <c r="C622">
        <v>35</v>
      </c>
      <c r="D622" t="s">
        <v>358</v>
      </c>
      <c r="E622" t="s">
        <v>349</v>
      </c>
      <c r="F622">
        <v>23</v>
      </c>
      <c r="G622">
        <v>1</v>
      </c>
      <c r="H622">
        <v>3</v>
      </c>
      <c r="I622">
        <v>4</v>
      </c>
      <c r="J622">
        <v>8</v>
      </c>
      <c r="K622">
        <v>4</v>
      </c>
      <c r="L622">
        <v>1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20</v>
      </c>
      <c r="T622">
        <v>5</v>
      </c>
      <c r="U622">
        <v>41</v>
      </c>
      <c r="V622" t="s">
        <v>1904</v>
      </c>
      <c r="W622" t="s">
        <v>1353</v>
      </c>
      <c r="X622">
        <v>0</v>
      </c>
      <c r="Y622">
        <v>1</v>
      </c>
      <c r="Z622">
        <v>0</v>
      </c>
      <c r="AA622">
        <v>20</v>
      </c>
      <c r="AB622">
        <v>20</v>
      </c>
      <c r="AC622">
        <v>5</v>
      </c>
      <c r="AD622">
        <v>12</v>
      </c>
      <c r="AE622" t="s">
        <v>60</v>
      </c>
    </row>
    <row r="623" spans="1:31" x14ac:dyDescent="0.2">
      <c r="A623">
        <v>596</v>
      </c>
      <c r="B623" t="s">
        <v>969</v>
      </c>
      <c r="C623">
        <v>29</v>
      </c>
      <c r="D623" t="s">
        <v>362</v>
      </c>
      <c r="E623" t="s">
        <v>349</v>
      </c>
      <c r="F623">
        <v>41</v>
      </c>
      <c r="G623">
        <v>2</v>
      </c>
      <c r="H623">
        <v>2</v>
      </c>
      <c r="I623">
        <v>4</v>
      </c>
      <c r="J623">
        <v>0</v>
      </c>
      <c r="K623">
        <v>22</v>
      </c>
      <c r="L623">
        <v>2</v>
      </c>
      <c r="M623">
        <v>0</v>
      </c>
      <c r="N623">
        <v>0</v>
      </c>
      <c r="O623">
        <v>2</v>
      </c>
      <c r="P623">
        <v>2</v>
      </c>
      <c r="Q623">
        <v>0</v>
      </c>
      <c r="R623">
        <v>0</v>
      </c>
      <c r="S623">
        <v>40</v>
      </c>
      <c r="T623">
        <v>5</v>
      </c>
      <c r="U623">
        <v>102</v>
      </c>
      <c r="V623" t="s">
        <v>2854</v>
      </c>
      <c r="W623" t="s">
        <v>1507</v>
      </c>
      <c r="X623">
        <v>0</v>
      </c>
      <c r="Y623">
        <v>0</v>
      </c>
      <c r="AA623">
        <v>53</v>
      </c>
      <c r="AB623">
        <v>61</v>
      </c>
      <c r="AC623">
        <v>11</v>
      </c>
      <c r="AD623">
        <v>36</v>
      </c>
      <c r="AE623" t="s">
        <v>60</v>
      </c>
    </row>
    <row r="624" spans="1:31" x14ac:dyDescent="0.2">
      <c r="A624">
        <v>597</v>
      </c>
      <c r="B624" t="s">
        <v>1047</v>
      </c>
      <c r="C624">
        <v>31</v>
      </c>
      <c r="D624" t="s">
        <v>406</v>
      </c>
      <c r="E624" t="s">
        <v>349</v>
      </c>
      <c r="F624">
        <v>22</v>
      </c>
      <c r="G624">
        <v>2</v>
      </c>
      <c r="H624">
        <v>2</v>
      </c>
      <c r="I624">
        <v>4</v>
      </c>
      <c r="J624">
        <v>1</v>
      </c>
      <c r="K624">
        <v>4</v>
      </c>
      <c r="L624">
        <v>2</v>
      </c>
      <c r="M624">
        <v>0</v>
      </c>
      <c r="N624">
        <v>0</v>
      </c>
      <c r="O624">
        <v>1</v>
      </c>
      <c r="P624">
        <v>2</v>
      </c>
      <c r="Q624">
        <v>0</v>
      </c>
      <c r="R624">
        <v>0</v>
      </c>
      <c r="S624">
        <v>22</v>
      </c>
      <c r="T624">
        <v>9.1</v>
      </c>
      <c r="U624">
        <v>45</v>
      </c>
      <c r="V624" t="s">
        <v>2618</v>
      </c>
      <c r="W624" t="s">
        <v>1708</v>
      </c>
      <c r="X624">
        <v>0</v>
      </c>
      <c r="Y624">
        <v>0</v>
      </c>
      <c r="AA624">
        <v>17</v>
      </c>
      <c r="AB624">
        <v>11</v>
      </c>
      <c r="AC624">
        <v>2</v>
      </c>
      <c r="AD624">
        <v>17</v>
      </c>
      <c r="AE624" t="s">
        <v>60</v>
      </c>
    </row>
    <row r="625" spans="1:31" x14ac:dyDescent="0.2">
      <c r="A625">
        <v>598</v>
      </c>
      <c r="B625" t="s">
        <v>1051</v>
      </c>
      <c r="C625">
        <v>27</v>
      </c>
      <c r="D625" t="s">
        <v>429</v>
      </c>
      <c r="E625" t="s">
        <v>322</v>
      </c>
      <c r="F625">
        <v>28</v>
      </c>
      <c r="G625">
        <v>1</v>
      </c>
      <c r="H625">
        <v>3</v>
      </c>
      <c r="I625">
        <v>4</v>
      </c>
      <c r="J625">
        <v>-4</v>
      </c>
      <c r="K625">
        <v>34</v>
      </c>
      <c r="L625">
        <v>1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24</v>
      </c>
      <c r="T625">
        <v>4.2</v>
      </c>
      <c r="U625">
        <v>49</v>
      </c>
      <c r="V625" t="s">
        <v>1974</v>
      </c>
      <c r="W625" t="s">
        <v>1714</v>
      </c>
      <c r="X625">
        <v>45</v>
      </c>
      <c r="Y625">
        <v>44</v>
      </c>
      <c r="Z625">
        <v>50.6</v>
      </c>
      <c r="AA625">
        <v>12</v>
      </c>
      <c r="AB625">
        <v>34</v>
      </c>
      <c r="AC625">
        <v>5</v>
      </c>
      <c r="AD625">
        <v>14</v>
      </c>
      <c r="AE625" t="s">
        <v>60</v>
      </c>
    </row>
    <row r="626" spans="1:31" x14ac:dyDescent="0.2">
      <c r="A626">
        <v>599</v>
      </c>
      <c r="B626" t="s">
        <v>976</v>
      </c>
      <c r="C626">
        <v>25</v>
      </c>
      <c r="D626" t="s">
        <v>362</v>
      </c>
      <c r="E626" t="s">
        <v>322</v>
      </c>
      <c r="F626">
        <v>24</v>
      </c>
      <c r="G626">
        <v>2</v>
      </c>
      <c r="H626">
        <v>2</v>
      </c>
      <c r="I626">
        <v>4</v>
      </c>
      <c r="J626">
        <v>5</v>
      </c>
      <c r="K626">
        <v>2</v>
      </c>
      <c r="L626">
        <v>2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21</v>
      </c>
      <c r="T626">
        <v>9.5</v>
      </c>
      <c r="U626">
        <v>35</v>
      </c>
      <c r="V626" t="s">
        <v>977</v>
      </c>
      <c r="W626" t="s">
        <v>978</v>
      </c>
      <c r="X626">
        <v>2</v>
      </c>
      <c r="Y626">
        <v>0</v>
      </c>
      <c r="Z626">
        <v>100</v>
      </c>
      <c r="AA626">
        <v>13</v>
      </c>
      <c r="AB626">
        <v>48</v>
      </c>
      <c r="AC626">
        <v>5</v>
      </c>
      <c r="AD626">
        <v>12</v>
      </c>
      <c r="AE626" t="s">
        <v>60</v>
      </c>
    </row>
    <row r="627" spans="1:31" x14ac:dyDescent="0.2">
      <c r="A627">
        <v>600</v>
      </c>
      <c r="B627" t="s">
        <v>1052</v>
      </c>
      <c r="C627">
        <v>30</v>
      </c>
      <c r="D627" t="s">
        <v>334</v>
      </c>
      <c r="E627" t="s">
        <v>340</v>
      </c>
      <c r="F627">
        <v>19</v>
      </c>
      <c r="G627">
        <v>3</v>
      </c>
      <c r="H627">
        <v>1</v>
      </c>
      <c r="I627">
        <v>4</v>
      </c>
      <c r="J627">
        <v>2</v>
      </c>
      <c r="K627">
        <v>6</v>
      </c>
      <c r="L627">
        <v>3</v>
      </c>
      <c r="M627">
        <v>0</v>
      </c>
      <c r="N627">
        <v>0</v>
      </c>
      <c r="O627">
        <v>0</v>
      </c>
      <c r="P627">
        <v>1</v>
      </c>
      <c r="Q627">
        <v>0</v>
      </c>
      <c r="R627">
        <v>0</v>
      </c>
      <c r="S627">
        <v>16</v>
      </c>
      <c r="T627">
        <v>18.8</v>
      </c>
      <c r="U627">
        <v>37</v>
      </c>
      <c r="V627" t="s">
        <v>2042</v>
      </c>
      <c r="W627" t="s">
        <v>1957</v>
      </c>
      <c r="X627">
        <v>2</v>
      </c>
      <c r="Y627">
        <v>3</v>
      </c>
      <c r="Z627">
        <v>40</v>
      </c>
      <c r="AA627">
        <v>10</v>
      </c>
      <c r="AB627">
        <v>60</v>
      </c>
      <c r="AC627">
        <v>1</v>
      </c>
      <c r="AD627">
        <v>5</v>
      </c>
      <c r="AE627" t="s">
        <v>60</v>
      </c>
    </row>
    <row r="628" spans="1:31" x14ac:dyDescent="0.2">
      <c r="A628">
        <v>601</v>
      </c>
      <c r="B628" t="s">
        <v>1060</v>
      </c>
      <c r="C628">
        <v>36</v>
      </c>
      <c r="D628" t="s">
        <v>400</v>
      </c>
      <c r="E628" t="s">
        <v>322</v>
      </c>
      <c r="F628">
        <v>47</v>
      </c>
      <c r="G628">
        <v>0</v>
      </c>
      <c r="H628">
        <v>4</v>
      </c>
      <c r="I628">
        <v>4</v>
      </c>
      <c r="J628">
        <v>-8</v>
      </c>
      <c r="K628">
        <v>4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1</v>
      </c>
      <c r="S628">
        <v>26</v>
      </c>
      <c r="T628">
        <v>0</v>
      </c>
      <c r="U628">
        <v>48</v>
      </c>
      <c r="V628" t="s">
        <v>2855</v>
      </c>
      <c r="W628" t="s">
        <v>1006</v>
      </c>
      <c r="X628">
        <v>247</v>
      </c>
      <c r="Y628">
        <v>237</v>
      </c>
      <c r="Z628">
        <v>51</v>
      </c>
      <c r="AA628">
        <v>41</v>
      </c>
      <c r="AB628">
        <v>64</v>
      </c>
      <c r="AC628">
        <v>5</v>
      </c>
      <c r="AD628">
        <v>8</v>
      </c>
      <c r="AE628" t="s">
        <v>60</v>
      </c>
    </row>
    <row r="629" spans="1:31" x14ac:dyDescent="0.2">
      <c r="A629">
        <v>602</v>
      </c>
      <c r="B629" t="s">
        <v>985</v>
      </c>
      <c r="C629">
        <v>25</v>
      </c>
      <c r="D629" t="s">
        <v>377</v>
      </c>
      <c r="E629" t="s">
        <v>322</v>
      </c>
      <c r="F629">
        <v>13</v>
      </c>
      <c r="G629">
        <v>1</v>
      </c>
      <c r="H629">
        <v>3</v>
      </c>
      <c r="I629">
        <v>4</v>
      </c>
      <c r="J629">
        <v>4</v>
      </c>
      <c r="K629">
        <v>2</v>
      </c>
      <c r="L629">
        <v>0</v>
      </c>
      <c r="M629">
        <v>0</v>
      </c>
      <c r="N629">
        <v>1</v>
      </c>
      <c r="O629">
        <v>1</v>
      </c>
      <c r="P629">
        <v>3</v>
      </c>
      <c r="Q629">
        <v>0</v>
      </c>
      <c r="R629">
        <v>0</v>
      </c>
      <c r="S629">
        <v>22</v>
      </c>
      <c r="T629">
        <v>4.5</v>
      </c>
      <c r="U629">
        <v>47</v>
      </c>
      <c r="V629" t="s">
        <v>986</v>
      </c>
      <c r="W629" t="s">
        <v>987</v>
      </c>
      <c r="X629">
        <v>0</v>
      </c>
      <c r="Y629">
        <v>2</v>
      </c>
      <c r="Z629">
        <v>0</v>
      </c>
      <c r="AA629">
        <v>5</v>
      </c>
      <c r="AB629">
        <v>3</v>
      </c>
      <c r="AC629">
        <v>2</v>
      </c>
      <c r="AD629">
        <v>12</v>
      </c>
      <c r="AE629" t="s">
        <v>60</v>
      </c>
    </row>
    <row r="630" spans="1:31" x14ac:dyDescent="0.2">
      <c r="A630">
        <v>603</v>
      </c>
      <c r="B630" t="s">
        <v>991</v>
      </c>
      <c r="C630">
        <v>21</v>
      </c>
      <c r="D630" t="s">
        <v>437</v>
      </c>
      <c r="E630" t="s">
        <v>340</v>
      </c>
      <c r="F630">
        <v>18</v>
      </c>
      <c r="G630">
        <v>2</v>
      </c>
      <c r="H630">
        <v>2</v>
      </c>
      <c r="I630">
        <v>4</v>
      </c>
      <c r="J630">
        <v>1</v>
      </c>
      <c r="K630">
        <v>2</v>
      </c>
      <c r="L630">
        <v>2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22</v>
      </c>
      <c r="T630">
        <v>9.1</v>
      </c>
      <c r="U630">
        <v>42</v>
      </c>
      <c r="V630" t="s">
        <v>992</v>
      </c>
      <c r="W630" t="s">
        <v>993</v>
      </c>
      <c r="X630">
        <v>6</v>
      </c>
      <c r="Y630">
        <v>5</v>
      </c>
      <c r="Z630">
        <v>54.5</v>
      </c>
      <c r="AA630">
        <v>6</v>
      </c>
      <c r="AB630">
        <v>35</v>
      </c>
      <c r="AC630">
        <v>1</v>
      </c>
      <c r="AD630">
        <v>9</v>
      </c>
      <c r="AE630" t="s">
        <v>60</v>
      </c>
    </row>
    <row r="631" spans="1:31" x14ac:dyDescent="0.2">
      <c r="A631">
        <v>604</v>
      </c>
      <c r="B631" t="s">
        <v>1129</v>
      </c>
      <c r="C631">
        <v>29</v>
      </c>
      <c r="D631" t="s">
        <v>321</v>
      </c>
      <c r="E631" t="s">
        <v>325</v>
      </c>
      <c r="F631">
        <v>21</v>
      </c>
      <c r="G631">
        <v>1</v>
      </c>
      <c r="H631">
        <v>3</v>
      </c>
      <c r="I631">
        <v>4</v>
      </c>
      <c r="J631">
        <v>0</v>
      </c>
      <c r="K631">
        <v>6</v>
      </c>
      <c r="L631">
        <v>1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13</v>
      </c>
      <c r="T631">
        <v>7.7</v>
      </c>
      <c r="U631">
        <v>29</v>
      </c>
      <c r="V631" t="s">
        <v>1844</v>
      </c>
      <c r="W631" t="s">
        <v>1286</v>
      </c>
      <c r="X631">
        <v>3</v>
      </c>
      <c r="Y631">
        <v>3</v>
      </c>
      <c r="Z631">
        <v>50</v>
      </c>
      <c r="AA631">
        <v>5</v>
      </c>
      <c r="AB631">
        <v>30</v>
      </c>
      <c r="AC631">
        <v>1</v>
      </c>
      <c r="AD631">
        <v>8</v>
      </c>
      <c r="AE631" t="s">
        <v>60</v>
      </c>
    </row>
    <row r="632" spans="1:31" x14ac:dyDescent="0.2">
      <c r="A632">
        <v>605</v>
      </c>
      <c r="B632" t="s">
        <v>1000</v>
      </c>
      <c r="C632">
        <v>23</v>
      </c>
      <c r="D632" t="s">
        <v>429</v>
      </c>
      <c r="E632" t="s">
        <v>322</v>
      </c>
      <c r="F632">
        <v>25</v>
      </c>
      <c r="G632">
        <v>2</v>
      </c>
      <c r="H632">
        <v>2</v>
      </c>
      <c r="I632">
        <v>4</v>
      </c>
      <c r="J632">
        <v>-4</v>
      </c>
      <c r="K632">
        <v>2</v>
      </c>
      <c r="L632">
        <v>2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19</v>
      </c>
      <c r="T632">
        <v>10.5</v>
      </c>
      <c r="U632">
        <v>36</v>
      </c>
      <c r="V632" t="s">
        <v>2856</v>
      </c>
      <c r="W632" t="s">
        <v>1225</v>
      </c>
      <c r="X632">
        <v>120</v>
      </c>
      <c r="Y632">
        <v>126</v>
      </c>
      <c r="Z632">
        <v>48.8</v>
      </c>
      <c r="AA632">
        <v>23</v>
      </c>
      <c r="AB632">
        <v>65</v>
      </c>
      <c r="AC632">
        <v>7</v>
      </c>
      <c r="AD632">
        <v>14</v>
      </c>
      <c r="AE632" t="s">
        <v>60</v>
      </c>
    </row>
    <row r="633" spans="1:31" x14ac:dyDescent="0.2">
      <c r="A633">
        <v>606</v>
      </c>
      <c r="B633" t="s">
        <v>1633</v>
      </c>
      <c r="C633">
        <v>27</v>
      </c>
      <c r="D633" t="s">
        <v>372</v>
      </c>
      <c r="E633" t="s">
        <v>340</v>
      </c>
      <c r="F633">
        <v>9</v>
      </c>
      <c r="G633">
        <v>2</v>
      </c>
      <c r="H633">
        <v>2</v>
      </c>
      <c r="I633">
        <v>4</v>
      </c>
      <c r="J633">
        <v>-2</v>
      </c>
      <c r="K633">
        <v>0</v>
      </c>
      <c r="L633">
        <v>2</v>
      </c>
      <c r="M633">
        <v>0</v>
      </c>
      <c r="N633">
        <v>0</v>
      </c>
      <c r="O633">
        <v>0</v>
      </c>
      <c r="P633">
        <v>0</v>
      </c>
      <c r="Q633">
        <v>2</v>
      </c>
      <c r="R633">
        <v>0</v>
      </c>
      <c r="S633">
        <v>9</v>
      </c>
      <c r="T633">
        <v>22.2</v>
      </c>
      <c r="U633">
        <v>26</v>
      </c>
      <c r="V633" t="s">
        <v>1996</v>
      </c>
      <c r="W633" t="s">
        <v>1825</v>
      </c>
      <c r="X633">
        <v>0</v>
      </c>
      <c r="Y633">
        <v>0</v>
      </c>
      <c r="AA633">
        <v>6</v>
      </c>
      <c r="AB633">
        <v>8</v>
      </c>
      <c r="AC633">
        <v>2</v>
      </c>
      <c r="AD633">
        <v>10</v>
      </c>
      <c r="AE633" t="s">
        <v>60</v>
      </c>
    </row>
    <row r="634" spans="1:31" x14ac:dyDescent="0.2">
      <c r="A634">
        <v>607</v>
      </c>
      <c r="B634" t="s">
        <v>1004</v>
      </c>
      <c r="C634">
        <v>31</v>
      </c>
      <c r="D634" t="s">
        <v>449</v>
      </c>
      <c r="E634" t="s">
        <v>340</v>
      </c>
      <c r="F634">
        <v>8</v>
      </c>
      <c r="G634">
        <v>1</v>
      </c>
      <c r="H634">
        <v>3</v>
      </c>
      <c r="I634">
        <v>4</v>
      </c>
      <c r="J634">
        <v>0</v>
      </c>
      <c r="K634">
        <v>12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6</v>
      </c>
      <c r="T634">
        <v>16.7</v>
      </c>
      <c r="U634">
        <v>10</v>
      </c>
      <c r="V634" t="s">
        <v>1005</v>
      </c>
      <c r="W634" t="s">
        <v>1006</v>
      </c>
      <c r="X634">
        <v>1</v>
      </c>
      <c r="Y634">
        <v>1</v>
      </c>
      <c r="Z634">
        <v>50</v>
      </c>
      <c r="AA634">
        <v>6</v>
      </c>
      <c r="AB634">
        <v>10</v>
      </c>
      <c r="AC634">
        <v>1</v>
      </c>
      <c r="AD634">
        <v>3</v>
      </c>
      <c r="AE634" t="s">
        <v>60</v>
      </c>
    </row>
    <row r="635" spans="1:31" x14ac:dyDescent="0.2">
      <c r="A635">
        <v>608</v>
      </c>
      <c r="B635" t="s">
        <v>1140</v>
      </c>
      <c r="C635">
        <v>26</v>
      </c>
      <c r="D635" t="s">
        <v>385</v>
      </c>
      <c r="E635" t="s">
        <v>325</v>
      </c>
      <c r="F635">
        <v>30</v>
      </c>
      <c r="G635">
        <v>2</v>
      </c>
      <c r="H635">
        <v>2</v>
      </c>
      <c r="I635">
        <v>4</v>
      </c>
      <c r="J635">
        <v>-4</v>
      </c>
      <c r="K635">
        <v>27</v>
      </c>
      <c r="L635">
        <v>2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25</v>
      </c>
      <c r="T635">
        <v>8</v>
      </c>
      <c r="U635">
        <v>41</v>
      </c>
      <c r="V635" t="s">
        <v>2089</v>
      </c>
      <c r="W635" t="s">
        <v>2619</v>
      </c>
      <c r="X635">
        <v>27</v>
      </c>
      <c r="Y635">
        <v>15</v>
      </c>
      <c r="Z635">
        <v>64.3</v>
      </c>
      <c r="AA635">
        <v>9</v>
      </c>
      <c r="AB635">
        <v>57</v>
      </c>
      <c r="AC635">
        <v>2</v>
      </c>
      <c r="AD635">
        <v>11</v>
      </c>
      <c r="AE635" t="s">
        <v>60</v>
      </c>
    </row>
    <row r="636" spans="1:31" x14ac:dyDescent="0.2">
      <c r="A636">
        <v>609</v>
      </c>
      <c r="B636" t="s">
        <v>1142</v>
      </c>
      <c r="C636">
        <v>29</v>
      </c>
      <c r="D636" t="s">
        <v>421</v>
      </c>
      <c r="E636" t="s">
        <v>325</v>
      </c>
      <c r="F636">
        <v>30</v>
      </c>
      <c r="G636">
        <v>3</v>
      </c>
      <c r="H636">
        <v>1</v>
      </c>
      <c r="I636">
        <v>4</v>
      </c>
      <c r="J636">
        <v>-5</v>
      </c>
      <c r="K636">
        <v>23</v>
      </c>
      <c r="L636">
        <v>3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30</v>
      </c>
      <c r="T636">
        <v>10</v>
      </c>
      <c r="U636">
        <v>71</v>
      </c>
      <c r="V636" t="s">
        <v>2857</v>
      </c>
      <c r="W636" t="s">
        <v>1908</v>
      </c>
      <c r="X636">
        <v>2</v>
      </c>
      <c r="Y636">
        <v>2</v>
      </c>
      <c r="Z636">
        <v>50</v>
      </c>
      <c r="AA636">
        <v>13</v>
      </c>
      <c r="AB636">
        <v>88</v>
      </c>
      <c r="AC636">
        <v>4</v>
      </c>
      <c r="AD636">
        <v>11</v>
      </c>
      <c r="AE636" t="s">
        <v>60</v>
      </c>
    </row>
    <row r="637" spans="1:31" x14ac:dyDescent="0.2">
      <c r="A637">
        <v>610</v>
      </c>
      <c r="B637" t="s">
        <v>1007</v>
      </c>
      <c r="C637">
        <v>27</v>
      </c>
      <c r="D637" t="s">
        <v>418</v>
      </c>
      <c r="E637" t="s">
        <v>349</v>
      </c>
      <c r="F637">
        <v>29</v>
      </c>
      <c r="G637">
        <v>0</v>
      </c>
      <c r="H637">
        <v>4</v>
      </c>
      <c r="I637">
        <v>4</v>
      </c>
      <c r="J637">
        <v>0</v>
      </c>
      <c r="K637">
        <v>10</v>
      </c>
      <c r="L637">
        <v>0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19</v>
      </c>
      <c r="T637">
        <v>0</v>
      </c>
      <c r="U637">
        <v>63</v>
      </c>
      <c r="V637" t="s">
        <v>1997</v>
      </c>
      <c r="W637" t="s">
        <v>1800</v>
      </c>
      <c r="X637">
        <v>0</v>
      </c>
      <c r="Y637">
        <v>0</v>
      </c>
      <c r="AA637">
        <v>33</v>
      </c>
      <c r="AB637">
        <v>26</v>
      </c>
      <c r="AC637">
        <v>7</v>
      </c>
      <c r="AD637">
        <v>17</v>
      </c>
      <c r="AE637" t="s">
        <v>60</v>
      </c>
    </row>
    <row r="638" spans="1:31" x14ac:dyDescent="0.2">
      <c r="A638">
        <v>611</v>
      </c>
      <c r="B638" t="s">
        <v>1623</v>
      </c>
      <c r="C638">
        <v>22</v>
      </c>
      <c r="D638" t="s">
        <v>532</v>
      </c>
      <c r="E638" t="s">
        <v>335</v>
      </c>
      <c r="F638">
        <v>15</v>
      </c>
      <c r="G638">
        <v>1</v>
      </c>
      <c r="H638">
        <v>3</v>
      </c>
      <c r="I638">
        <v>4</v>
      </c>
      <c r="J638">
        <v>-2</v>
      </c>
      <c r="K638">
        <v>0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12</v>
      </c>
      <c r="T638">
        <v>8.3000000000000007</v>
      </c>
      <c r="U638">
        <v>31</v>
      </c>
      <c r="V638" t="s">
        <v>2061</v>
      </c>
      <c r="W638" t="s">
        <v>1949</v>
      </c>
      <c r="X638">
        <v>1</v>
      </c>
      <c r="Y638">
        <v>0</v>
      </c>
      <c r="Z638">
        <v>100</v>
      </c>
      <c r="AA638">
        <v>6</v>
      </c>
      <c r="AB638">
        <v>65</v>
      </c>
      <c r="AC638">
        <v>2</v>
      </c>
      <c r="AD638">
        <v>7</v>
      </c>
      <c r="AE638" t="s">
        <v>60</v>
      </c>
    </row>
    <row r="639" spans="1:31" x14ac:dyDescent="0.2">
      <c r="A639">
        <v>612</v>
      </c>
      <c r="B639" t="s">
        <v>1253</v>
      </c>
      <c r="C639">
        <v>23</v>
      </c>
      <c r="D639" t="s">
        <v>362</v>
      </c>
      <c r="E639" t="s">
        <v>349</v>
      </c>
      <c r="F639">
        <v>20</v>
      </c>
      <c r="G639">
        <v>0</v>
      </c>
      <c r="H639">
        <v>4</v>
      </c>
      <c r="I639">
        <v>4</v>
      </c>
      <c r="J639">
        <v>-5</v>
      </c>
      <c r="K639">
        <v>2</v>
      </c>
      <c r="L639">
        <v>0</v>
      </c>
      <c r="M639">
        <v>0</v>
      </c>
      <c r="N639">
        <v>0</v>
      </c>
      <c r="O639">
        <v>0</v>
      </c>
      <c r="P639">
        <v>2</v>
      </c>
      <c r="Q639">
        <v>2</v>
      </c>
      <c r="R639">
        <v>0</v>
      </c>
      <c r="S639">
        <v>16</v>
      </c>
      <c r="T639">
        <v>0</v>
      </c>
      <c r="U639">
        <v>61</v>
      </c>
      <c r="V639" t="s">
        <v>2858</v>
      </c>
      <c r="W639" t="s">
        <v>2859</v>
      </c>
      <c r="X639">
        <v>0</v>
      </c>
      <c r="Y639">
        <v>0</v>
      </c>
      <c r="AA639">
        <v>21</v>
      </c>
      <c r="AB639">
        <v>7</v>
      </c>
      <c r="AC639">
        <v>3</v>
      </c>
      <c r="AD639">
        <v>16</v>
      </c>
      <c r="AE639" t="s">
        <v>60</v>
      </c>
    </row>
    <row r="640" spans="1:31" x14ac:dyDescent="0.2">
      <c r="A640">
        <v>613</v>
      </c>
      <c r="B640" t="s">
        <v>1014</v>
      </c>
      <c r="C640">
        <v>25</v>
      </c>
      <c r="D640" t="s">
        <v>344</v>
      </c>
      <c r="E640" t="s">
        <v>340</v>
      </c>
      <c r="F640">
        <v>30</v>
      </c>
      <c r="G640">
        <v>1</v>
      </c>
      <c r="H640">
        <v>3</v>
      </c>
      <c r="I640">
        <v>4</v>
      </c>
      <c r="J640">
        <v>-3</v>
      </c>
      <c r="K640">
        <v>10</v>
      </c>
      <c r="L640">
        <v>1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18</v>
      </c>
      <c r="T640">
        <v>5.6</v>
      </c>
      <c r="U640">
        <v>47</v>
      </c>
      <c r="V640" t="s">
        <v>2860</v>
      </c>
      <c r="W640" t="s">
        <v>1756</v>
      </c>
      <c r="X640">
        <v>3</v>
      </c>
      <c r="Y640">
        <v>4</v>
      </c>
      <c r="Z640">
        <v>42.9</v>
      </c>
      <c r="AA640">
        <v>5</v>
      </c>
      <c r="AB640">
        <v>57</v>
      </c>
      <c r="AC640">
        <v>3</v>
      </c>
      <c r="AD640">
        <v>14</v>
      </c>
      <c r="AE640" t="s">
        <v>60</v>
      </c>
    </row>
    <row r="641" spans="1:31" x14ac:dyDescent="0.2">
      <c r="A641">
        <v>614</v>
      </c>
      <c r="B641" t="s">
        <v>1278</v>
      </c>
      <c r="C641">
        <v>23</v>
      </c>
      <c r="D641" t="s">
        <v>330</v>
      </c>
      <c r="E641" t="s">
        <v>340</v>
      </c>
      <c r="F641">
        <v>20</v>
      </c>
      <c r="G641">
        <v>2</v>
      </c>
      <c r="H641">
        <v>2</v>
      </c>
      <c r="I641">
        <v>4</v>
      </c>
      <c r="J641">
        <v>1</v>
      </c>
      <c r="K641">
        <v>14</v>
      </c>
      <c r="L641">
        <v>2</v>
      </c>
      <c r="M641">
        <v>0</v>
      </c>
      <c r="N641">
        <v>0</v>
      </c>
      <c r="O641">
        <v>1</v>
      </c>
      <c r="P641">
        <v>2</v>
      </c>
      <c r="Q641">
        <v>0</v>
      </c>
      <c r="R641">
        <v>0</v>
      </c>
      <c r="S641">
        <v>19</v>
      </c>
      <c r="T641">
        <v>10.5</v>
      </c>
      <c r="U641">
        <v>41</v>
      </c>
      <c r="V641" t="s">
        <v>2187</v>
      </c>
      <c r="W641" t="s">
        <v>844</v>
      </c>
      <c r="X641">
        <v>0</v>
      </c>
      <c r="Y641">
        <v>0</v>
      </c>
      <c r="AA641">
        <v>8</v>
      </c>
      <c r="AB641">
        <v>38</v>
      </c>
      <c r="AC641">
        <v>2</v>
      </c>
      <c r="AD641">
        <v>6</v>
      </c>
      <c r="AE641" t="s">
        <v>60</v>
      </c>
    </row>
    <row r="642" spans="1:31" x14ac:dyDescent="0.2">
      <c r="A642">
        <v>615</v>
      </c>
      <c r="B642" t="s">
        <v>1292</v>
      </c>
      <c r="C642">
        <v>26</v>
      </c>
      <c r="D642" t="s">
        <v>364</v>
      </c>
      <c r="E642" t="s">
        <v>322</v>
      </c>
      <c r="F642">
        <v>42</v>
      </c>
      <c r="G642">
        <v>2</v>
      </c>
      <c r="H642">
        <v>2</v>
      </c>
      <c r="I642">
        <v>4</v>
      </c>
      <c r="J642">
        <v>-7</v>
      </c>
      <c r="K642">
        <v>15</v>
      </c>
      <c r="L642">
        <v>2</v>
      </c>
      <c r="M642">
        <v>0</v>
      </c>
      <c r="N642">
        <v>0</v>
      </c>
      <c r="O642">
        <v>1</v>
      </c>
      <c r="P642">
        <v>2</v>
      </c>
      <c r="Q642">
        <v>0</v>
      </c>
      <c r="R642">
        <v>0</v>
      </c>
      <c r="S642">
        <v>40</v>
      </c>
      <c r="T642">
        <v>5</v>
      </c>
      <c r="U642">
        <v>71</v>
      </c>
      <c r="V642" t="s">
        <v>2620</v>
      </c>
      <c r="W642" t="s">
        <v>959</v>
      </c>
      <c r="X642">
        <v>131</v>
      </c>
      <c r="Y642">
        <v>126</v>
      </c>
      <c r="Z642">
        <v>51</v>
      </c>
      <c r="AA642">
        <v>22</v>
      </c>
      <c r="AB642">
        <v>97</v>
      </c>
      <c r="AC642">
        <v>7</v>
      </c>
      <c r="AD642">
        <v>14</v>
      </c>
      <c r="AE642" t="s">
        <v>60</v>
      </c>
    </row>
    <row r="643" spans="1:31" x14ac:dyDescent="0.2">
      <c r="A643">
        <v>616</v>
      </c>
      <c r="B643" t="s">
        <v>1524</v>
      </c>
      <c r="C643">
        <v>28</v>
      </c>
      <c r="D643" t="s">
        <v>400</v>
      </c>
      <c r="E643" t="s">
        <v>349</v>
      </c>
      <c r="F643">
        <v>23</v>
      </c>
      <c r="G643">
        <v>0</v>
      </c>
      <c r="H643">
        <v>4</v>
      </c>
      <c r="I643">
        <v>4</v>
      </c>
      <c r="J643">
        <v>2</v>
      </c>
      <c r="K643">
        <v>2</v>
      </c>
      <c r="L643">
        <v>0</v>
      </c>
      <c r="M643">
        <v>0</v>
      </c>
      <c r="N643">
        <v>0</v>
      </c>
      <c r="O643">
        <v>0</v>
      </c>
      <c r="P643">
        <v>4</v>
      </c>
      <c r="Q643">
        <v>0</v>
      </c>
      <c r="R643">
        <v>0</v>
      </c>
      <c r="S643">
        <v>14</v>
      </c>
      <c r="T643">
        <v>0</v>
      </c>
      <c r="U643">
        <v>32</v>
      </c>
      <c r="V643" t="s">
        <v>1955</v>
      </c>
      <c r="W643" t="s">
        <v>959</v>
      </c>
      <c r="X643">
        <v>0</v>
      </c>
      <c r="Y643">
        <v>0</v>
      </c>
      <c r="AA643">
        <v>16</v>
      </c>
      <c r="AB643">
        <v>23</v>
      </c>
      <c r="AC643">
        <v>4</v>
      </c>
      <c r="AD643">
        <v>21</v>
      </c>
      <c r="AE643" t="s">
        <v>60</v>
      </c>
    </row>
    <row r="644" spans="1:31" x14ac:dyDescent="0.2">
      <c r="A644">
        <v>617</v>
      </c>
      <c r="B644" t="s">
        <v>1028</v>
      </c>
      <c r="C644">
        <v>23</v>
      </c>
      <c r="D644" t="s">
        <v>461</v>
      </c>
      <c r="E644" t="s">
        <v>335</v>
      </c>
      <c r="F644">
        <v>24</v>
      </c>
      <c r="G644">
        <v>1</v>
      </c>
      <c r="H644">
        <v>3</v>
      </c>
      <c r="I644">
        <v>4</v>
      </c>
      <c r="J644">
        <v>-6</v>
      </c>
      <c r="K644">
        <v>30</v>
      </c>
      <c r="L644">
        <v>1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22</v>
      </c>
      <c r="T644">
        <v>4.5</v>
      </c>
      <c r="U644">
        <v>47</v>
      </c>
      <c r="V644" t="s">
        <v>1029</v>
      </c>
      <c r="W644" t="s">
        <v>1030</v>
      </c>
      <c r="X644">
        <v>0</v>
      </c>
      <c r="Y644">
        <v>4</v>
      </c>
      <c r="Z644">
        <v>0</v>
      </c>
      <c r="AA644">
        <v>10</v>
      </c>
      <c r="AB644">
        <v>60</v>
      </c>
      <c r="AC644">
        <v>5</v>
      </c>
      <c r="AD644">
        <v>11</v>
      </c>
      <c r="AE644" t="s">
        <v>60</v>
      </c>
    </row>
    <row r="645" spans="1:31" x14ac:dyDescent="0.2">
      <c r="A645">
        <v>618</v>
      </c>
      <c r="B645" t="s">
        <v>1130</v>
      </c>
      <c r="C645">
        <v>32</v>
      </c>
      <c r="D645" t="s">
        <v>957</v>
      </c>
      <c r="E645" t="s">
        <v>349</v>
      </c>
      <c r="F645">
        <v>45</v>
      </c>
      <c r="G645">
        <v>0</v>
      </c>
      <c r="H645">
        <v>4</v>
      </c>
      <c r="I645">
        <v>4</v>
      </c>
      <c r="J645">
        <v>-7</v>
      </c>
      <c r="K645">
        <v>22</v>
      </c>
      <c r="L645">
        <v>0</v>
      </c>
      <c r="M645">
        <v>0</v>
      </c>
      <c r="N645">
        <v>0</v>
      </c>
      <c r="O645">
        <v>0</v>
      </c>
      <c r="P645">
        <v>4</v>
      </c>
      <c r="Q645">
        <v>0</v>
      </c>
      <c r="R645">
        <v>0</v>
      </c>
      <c r="S645">
        <v>49</v>
      </c>
      <c r="T645">
        <v>0</v>
      </c>
      <c r="U645">
        <v>127</v>
      </c>
      <c r="V645" t="s">
        <v>2621</v>
      </c>
      <c r="W645" t="s">
        <v>2622</v>
      </c>
      <c r="X645">
        <v>0</v>
      </c>
      <c r="Y645">
        <v>0</v>
      </c>
      <c r="AA645">
        <v>66</v>
      </c>
      <c r="AB645">
        <v>6</v>
      </c>
      <c r="AC645">
        <v>5</v>
      </c>
      <c r="AD645">
        <v>35</v>
      </c>
      <c r="AE645" t="s">
        <v>60</v>
      </c>
    </row>
    <row r="646" spans="1:31" x14ac:dyDescent="0.2">
      <c r="A646">
        <v>618</v>
      </c>
      <c r="B646" t="s">
        <v>1130</v>
      </c>
      <c r="C646">
        <v>32</v>
      </c>
      <c r="D646" t="s">
        <v>328</v>
      </c>
      <c r="E646" t="s">
        <v>349</v>
      </c>
      <c r="F646">
        <v>31</v>
      </c>
      <c r="G646">
        <v>0</v>
      </c>
      <c r="H646">
        <v>2</v>
      </c>
      <c r="I646">
        <v>2</v>
      </c>
      <c r="J646">
        <v>-7</v>
      </c>
      <c r="K646">
        <v>10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33</v>
      </c>
      <c r="T646">
        <v>0</v>
      </c>
      <c r="U646">
        <v>87</v>
      </c>
      <c r="V646" t="s">
        <v>1583</v>
      </c>
      <c r="W646" t="s">
        <v>1584</v>
      </c>
      <c r="X646">
        <v>0</v>
      </c>
      <c r="Y646">
        <v>0</v>
      </c>
      <c r="AA646">
        <v>38</v>
      </c>
      <c r="AB646">
        <v>4</v>
      </c>
      <c r="AC646">
        <v>5</v>
      </c>
      <c r="AD646">
        <v>18</v>
      </c>
      <c r="AE646" t="s">
        <v>60</v>
      </c>
    </row>
    <row r="647" spans="1:31" x14ac:dyDescent="0.2">
      <c r="A647">
        <v>618</v>
      </c>
      <c r="B647" t="s">
        <v>1130</v>
      </c>
      <c r="C647">
        <v>32</v>
      </c>
      <c r="D647" t="s">
        <v>377</v>
      </c>
      <c r="E647" t="s">
        <v>349</v>
      </c>
      <c r="F647">
        <v>14</v>
      </c>
      <c r="G647">
        <v>0</v>
      </c>
      <c r="H647">
        <v>2</v>
      </c>
      <c r="I647">
        <v>2</v>
      </c>
      <c r="J647">
        <v>0</v>
      </c>
      <c r="K647">
        <v>12</v>
      </c>
      <c r="L647">
        <v>0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16</v>
      </c>
      <c r="T647">
        <v>0</v>
      </c>
      <c r="U647">
        <v>40</v>
      </c>
      <c r="V647" t="s">
        <v>2623</v>
      </c>
      <c r="W647" t="s">
        <v>2491</v>
      </c>
      <c r="X647">
        <v>0</v>
      </c>
      <c r="Y647">
        <v>0</v>
      </c>
      <c r="AA647">
        <v>28</v>
      </c>
      <c r="AB647">
        <v>2</v>
      </c>
      <c r="AC647">
        <v>0</v>
      </c>
      <c r="AD647">
        <v>17</v>
      </c>
      <c r="AE647" t="s">
        <v>60</v>
      </c>
    </row>
    <row r="648" spans="1:31" x14ac:dyDescent="0.2">
      <c r="A648">
        <v>619</v>
      </c>
      <c r="B648" t="s">
        <v>1171</v>
      </c>
      <c r="C648">
        <v>26</v>
      </c>
      <c r="D648" t="s">
        <v>356</v>
      </c>
      <c r="E648" t="s">
        <v>349</v>
      </c>
      <c r="F648">
        <v>27</v>
      </c>
      <c r="G648">
        <v>2</v>
      </c>
      <c r="H648">
        <v>1</v>
      </c>
      <c r="I648">
        <v>3</v>
      </c>
      <c r="J648">
        <v>16</v>
      </c>
      <c r="K648">
        <v>17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18</v>
      </c>
      <c r="T648">
        <v>11.1</v>
      </c>
      <c r="U648">
        <v>52</v>
      </c>
      <c r="V648" t="s">
        <v>2624</v>
      </c>
      <c r="W648" t="s">
        <v>2319</v>
      </c>
      <c r="X648">
        <v>0</v>
      </c>
      <c r="Y648">
        <v>0</v>
      </c>
      <c r="AA648">
        <v>34</v>
      </c>
      <c r="AB648">
        <v>45</v>
      </c>
      <c r="AC648">
        <v>3</v>
      </c>
      <c r="AD648">
        <v>22</v>
      </c>
      <c r="AE648" t="s">
        <v>60</v>
      </c>
    </row>
    <row r="649" spans="1:31" x14ac:dyDescent="0.2">
      <c r="A649">
        <v>620</v>
      </c>
      <c r="B649" t="s">
        <v>1692</v>
      </c>
      <c r="C649">
        <v>20</v>
      </c>
      <c r="D649" t="s">
        <v>408</v>
      </c>
      <c r="E649" t="s">
        <v>322</v>
      </c>
      <c r="F649">
        <v>11</v>
      </c>
      <c r="G649">
        <v>1</v>
      </c>
      <c r="H649">
        <v>2</v>
      </c>
      <c r="I649">
        <v>3</v>
      </c>
      <c r="J649">
        <v>-3</v>
      </c>
      <c r="K649">
        <v>4</v>
      </c>
      <c r="L649">
        <v>1</v>
      </c>
      <c r="M649">
        <v>0</v>
      </c>
      <c r="N649">
        <v>0</v>
      </c>
      <c r="O649">
        <v>0</v>
      </c>
      <c r="P649">
        <v>1</v>
      </c>
      <c r="Q649">
        <v>1</v>
      </c>
      <c r="R649">
        <v>0</v>
      </c>
      <c r="S649">
        <v>11</v>
      </c>
      <c r="T649">
        <v>9.1</v>
      </c>
      <c r="U649">
        <v>20</v>
      </c>
      <c r="V649" t="s">
        <v>2188</v>
      </c>
      <c r="W649" t="s">
        <v>504</v>
      </c>
      <c r="X649">
        <v>2</v>
      </c>
      <c r="Y649">
        <v>5</v>
      </c>
      <c r="Z649">
        <v>28.6</v>
      </c>
      <c r="AA649">
        <v>7</v>
      </c>
      <c r="AB649">
        <v>10</v>
      </c>
      <c r="AC649">
        <v>0</v>
      </c>
      <c r="AD649">
        <v>4</v>
      </c>
      <c r="AE649" t="s">
        <v>60</v>
      </c>
    </row>
    <row r="650" spans="1:31" x14ac:dyDescent="0.2">
      <c r="A650">
        <v>621</v>
      </c>
      <c r="B650" t="s">
        <v>1033</v>
      </c>
      <c r="C650">
        <v>28</v>
      </c>
      <c r="D650" t="s">
        <v>334</v>
      </c>
      <c r="E650" t="s">
        <v>335</v>
      </c>
      <c r="F650">
        <v>22</v>
      </c>
      <c r="G650">
        <v>3</v>
      </c>
      <c r="H650">
        <v>0</v>
      </c>
      <c r="I650">
        <v>3</v>
      </c>
      <c r="J650">
        <v>3</v>
      </c>
      <c r="K650">
        <v>10</v>
      </c>
      <c r="L650">
        <v>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14</v>
      </c>
      <c r="T650">
        <v>21.4</v>
      </c>
      <c r="U650">
        <v>23</v>
      </c>
      <c r="V650" t="s">
        <v>2189</v>
      </c>
      <c r="W650" t="s">
        <v>1975</v>
      </c>
      <c r="X650">
        <v>0</v>
      </c>
      <c r="Y650">
        <v>0</v>
      </c>
      <c r="AA650">
        <v>5</v>
      </c>
      <c r="AB650">
        <v>53</v>
      </c>
      <c r="AC650">
        <v>1</v>
      </c>
      <c r="AD650">
        <v>6</v>
      </c>
      <c r="AE650" t="s">
        <v>60</v>
      </c>
    </row>
    <row r="651" spans="1:31" x14ac:dyDescent="0.2">
      <c r="A651">
        <v>622</v>
      </c>
      <c r="B651" t="s">
        <v>1035</v>
      </c>
      <c r="C651">
        <v>27</v>
      </c>
      <c r="D651" t="s">
        <v>360</v>
      </c>
      <c r="E651" t="s">
        <v>349</v>
      </c>
      <c r="F651">
        <v>41</v>
      </c>
      <c r="G651">
        <v>0</v>
      </c>
      <c r="H651">
        <v>3</v>
      </c>
      <c r="I651">
        <v>3</v>
      </c>
      <c r="J651">
        <v>-2</v>
      </c>
      <c r="K651">
        <v>25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25</v>
      </c>
      <c r="T651">
        <v>0</v>
      </c>
      <c r="U651">
        <v>77</v>
      </c>
      <c r="V651" t="s">
        <v>2625</v>
      </c>
      <c r="W651" t="s">
        <v>1943</v>
      </c>
      <c r="X651">
        <v>0</v>
      </c>
      <c r="Y651">
        <v>0</v>
      </c>
      <c r="AA651">
        <v>67</v>
      </c>
      <c r="AB651">
        <v>104</v>
      </c>
      <c r="AC651">
        <v>7</v>
      </c>
      <c r="AD651">
        <v>41</v>
      </c>
      <c r="AE651" t="s">
        <v>60</v>
      </c>
    </row>
    <row r="652" spans="1:31" x14ac:dyDescent="0.2">
      <c r="A652">
        <v>623</v>
      </c>
      <c r="B652" t="s">
        <v>1172</v>
      </c>
      <c r="C652">
        <v>25</v>
      </c>
      <c r="D652" t="s">
        <v>372</v>
      </c>
      <c r="E652" t="s">
        <v>349</v>
      </c>
      <c r="F652">
        <v>32</v>
      </c>
      <c r="G652">
        <v>0</v>
      </c>
      <c r="H652">
        <v>3</v>
      </c>
      <c r="I652">
        <v>3</v>
      </c>
      <c r="J652">
        <v>6</v>
      </c>
      <c r="K652">
        <v>8</v>
      </c>
      <c r="L652">
        <v>0</v>
      </c>
      <c r="M652">
        <v>0</v>
      </c>
      <c r="N652">
        <v>0</v>
      </c>
      <c r="O652">
        <v>0</v>
      </c>
      <c r="P652">
        <v>3</v>
      </c>
      <c r="Q652">
        <v>0</v>
      </c>
      <c r="R652">
        <v>0</v>
      </c>
      <c r="S652">
        <v>23</v>
      </c>
      <c r="T652">
        <v>0</v>
      </c>
      <c r="U652">
        <v>57</v>
      </c>
      <c r="V652" t="s">
        <v>2626</v>
      </c>
      <c r="W652" t="s">
        <v>1534</v>
      </c>
      <c r="X652">
        <v>0</v>
      </c>
      <c r="Y652">
        <v>0</v>
      </c>
      <c r="AA652">
        <v>47</v>
      </c>
      <c r="AB652">
        <v>42</v>
      </c>
      <c r="AC652">
        <v>6</v>
      </c>
      <c r="AD652">
        <v>24</v>
      </c>
      <c r="AE652" t="s">
        <v>60</v>
      </c>
    </row>
    <row r="653" spans="1:31" x14ac:dyDescent="0.2">
      <c r="A653">
        <v>624</v>
      </c>
      <c r="B653" t="s">
        <v>1036</v>
      </c>
      <c r="C653">
        <v>21</v>
      </c>
      <c r="D653" t="s">
        <v>334</v>
      </c>
      <c r="E653" t="s">
        <v>349</v>
      </c>
      <c r="F653">
        <v>26</v>
      </c>
      <c r="G653">
        <v>1</v>
      </c>
      <c r="H653">
        <v>2</v>
      </c>
      <c r="I653">
        <v>3</v>
      </c>
      <c r="J653">
        <v>6</v>
      </c>
      <c r="K653">
        <v>22</v>
      </c>
      <c r="L653">
        <v>1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9</v>
      </c>
      <c r="T653">
        <v>11.1</v>
      </c>
      <c r="U653">
        <v>30</v>
      </c>
      <c r="V653" t="s">
        <v>1037</v>
      </c>
      <c r="W653" t="s">
        <v>1038</v>
      </c>
      <c r="X653">
        <v>0</v>
      </c>
      <c r="Y653">
        <v>0</v>
      </c>
      <c r="AA653">
        <v>24</v>
      </c>
      <c r="AB653">
        <v>85</v>
      </c>
      <c r="AC653">
        <v>4</v>
      </c>
      <c r="AD653">
        <v>23</v>
      </c>
      <c r="AE653" t="s">
        <v>60</v>
      </c>
    </row>
    <row r="654" spans="1:31" x14ac:dyDescent="0.2">
      <c r="A654">
        <v>625</v>
      </c>
      <c r="B654" t="s">
        <v>1185</v>
      </c>
      <c r="C654">
        <v>25</v>
      </c>
      <c r="D654" t="s">
        <v>353</v>
      </c>
      <c r="E654" t="s">
        <v>349</v>
      </c>
      <c r="F654">
        <v>24</v>
      </c>
      <c r="G654">
        <v>1</v>
      </c>
      <c r="H654">
        <v>2</v>
      </c>
      <c r="I654">
        <v>3</v>
      </c>
      <c r="J654">
        <v>0</v>
      </c>
      <c r="K654">
        <v>13</v>
      </c>
      <c r="L654">
        <v>1</v>
      </c>
      <c r="M654">
        <v>0</v>
      </c>
      <c r="N654">
        <v>0</v>
      </c>
      <c r="O654">
        <v>0</v>
      </c>
      <c r="P654">
        <v>2</v>
      </c>
      <c r="Q654">
        <v>0</v>
      </c>
      <c r="R654">
        <v>0</v>
      </c>
      <c r="S654">
        <v>20</v>
      </c>
      <c r="T654">
        <v>5</v>
      </c>
      <c r="U654">
        <v>50</v>
      </c>
      <c r="V654" t="s">
        <v>2627</v>
      </c>
      <c r="W654" t="s">
        <v>1836</v>
      </c>
      <c r="X654">
        <v>0</v>
      </c>
      <c r="Y654">
        <v>0</v>
      </c>
      <c r="AA654">
        <v>19</v>
      </c>
      <c r="AB654">
        <v>25</v>
      </c>
      <c r="AC654">
        <v>4</v>
      </c>
      <c r="AD654">
        <v>12</v>
      </c>
      <c r="AE654" t="s">
        <v>60</v>
      </c>
    </row>
    <row r="655" spans="1:31" x14ac:dyDescent="0.2">
      <c r="A655">
        <v>626</v>
      </c>
      <c r="B655" t="s">
        <v>1107</v>
      </c>
      <c r="C655">
        <v>29</v>
      </c>
      <c r="D655" t="s">
        <v>360</v>
      </c>
      <c r="E655" t="s">
        <v>349</v>
      </c>
      <c r="F655">
        <v>23</v>
      </c>
      <c r="G655">
        <v>0</v>
      </c>
      <c r="H655">
        <v>3</v>
      </c>
      <c r="I655">
        <v>3</v>
      </c>
      <c r="J655">
        <v>5</v>
      </c>
      <c r="K655">
        <v>6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26</v>
      </c>
      <c r="T655">
        <v>0</v>
      </c>
      <c r="U655">
        <v>58</v>
      </c>
      <c r="V655" t="s">
        <v>2628</v>
      </c>
      <c r="W655" t="s">
        <v>1695</v>
      </c>
      <c r="X655">
        <v>0</v>
      </c>
      <c r="Y655">
        <v>0</v>
      </c>
      <c r="AA655">
        <v>47</v>
      </c>
      <c r="AB655">
        <v>21</v>
      </c>
      <c r="AC655">
        <v>2</v>
      </c>
      <c r="AD655">
        <v>26</v>
      </c>
      <c r="AE655" t="s">
        <v>60</v>
      </c>
    </row>
    <row r="656" spans="1:31" x14ac:dyDescent="0.2">
      <c r="A656">
        <v>627</v>
      </c>
      <c r="B656" t="s">
        <v>1108</v>
      </c>
      <c r="C656">
        <v>26</v>
      </c>
      <c r="D656" t="s">
        <v>367</v>
      </c>
      <c r="E656" t="s">
        <v>349</v>
      </c>
      <c r="F656">
        <v>17</v>
      </c>
      <c r="G656">
        <v>0</v>
      </c>
      <c r="H656">
        <v>3</v>
      </c>
      <c r="I656">
        <v>3</v>
      </c>
      <c r="J656">
        <v>1</v>
      </c>
      <c r="K656">
        <v>2</v>
      </c>
      <c r="L656">
        <v>0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15</v>
      </c>
      <c r="T656">
        <v>0</v>
      </c>
      <c r="U656">
        <v>37</v>
      </c>
      <c r="V656" t="s">
        <v>2094</v>
      </c>
      <c r="W656" t="s">
        <v>1735</v>
      </c>
      <c r="X656">
        <v>0</v>
      </c>
      <c r="Y656">
        <v>0</v>
      </c>
      <c r="AA656">
        <v>15</v>
      </c>
      <c r="AB656">
        <v>7</v>
      </c>
      <c r="AC656">
        <v>5</v>
      </c>
      <c r="AD656">
        <v>18</v>
      </c>
      <c r="AE656" t="s">
        <v>60</v>
      </c>
    </row>
    <row r="657" spans="1:31" x14ac:dyDescent="0.2">
      <c r="A657">
        <v>628</v>
      </c>
      <c r="B657" t="s">
        <v>1043</v>
      </c>
      <c r="C657">
        <v>26</v>
      </c>
      <c r="D657" t="s">
        <v>449</v>
      </c>
      <c r="E657" t="s">
        <v>322</v>
      </c>
      <c r="F657">
        <v>6</v>
      </c>
      <c r="G657">
        <v>3</v>
      </c>
      <c r="H657">
        <v>0</v>
      </c>
      <c r="I657">
        <v>3</v>
      </c>
      <c r="J657">
        <v>0</v>
      </c>
      <c r="K657">
        <v>6</v>
      </c>
      <c r="L657">
        <v>3</v>
      </c>
      <c r="M657">
        <v>0</v>
      </c>
      <c r="N657">
        <v>0</v>
      </c>
      <c r="O657">
        <v>1</v>
      </c>
      <c r="P657">
        <v>0</v>
      </c>
      <c r="Q657">
        <v>0</v>
      </c>
      <c r="R657">
        <v>0</v>
      </c>
      <c r="S657">
        <v>15</v>
      </c>
      <c r="T657">
        <v>20</v>
      </c>
      <c r="U657">
        <v>22</v>
      </c>
      <c r="V657" t="s">
        <v>1044</v>
      </c>
      <c r="W657" t="s">
        <v>1045</v>
      </c>
      <c r="X657">
        <v>36</v>
      </c>
      <c r="Y657">
        <v>40</v>
      </c>
      <c r="Z657">
        <v>47.4</v>
      </c>
      <c r="AA657">
        <v>4</v>
      </c>
      <c r="AB657">
        <v>3</v>
      </c>
      <c r="AC657">
        <v>2</v>
      </c>
      <c r="AD657">
        <v>3</v>
      </c>
      <c r="AE657" t="s">
        <v>60</v>
      </c>
    </row>
    <row r="658" spans="1:31" x14ac:dyDescent="0.2">
      <c r="A658">
        <v>629</v>
      </c>
      <c r="B658" t="s">
        <v>1193</v>
      </c>
      <c r="C658">
        <v>29</v>
      </c>
      <c r="D658" t="s">
        <v>532</v>
      </c>
      <c r="E658" t="s">
        <v>3</v>
      </c>
      <c r="F658">
        <v>27</v>
      </c>
      <c r="G658">
        <v>0</v>
      </c>
      <c r="H658">
        <v>3</v>
      </c>
      <c r="I658">
        <v>3</v>
      </c>
      <c r="J658">
        <v>0</v>
      </c>
      <c r="K658">
        <v>4</v>
      </c>
      <c r="L658">
        <v>0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1</v>
      </c>
      <c r="T658">
        <v>0</v>
      </c>
      <c r="U658">
        <v>3</v>
      </c>
      <c r="V658" t="s">
        <v>2043</v>
      </c>
      <c r="W658" t="s">
        <v>2044</v>
      </c>
      <c r="X658">
        <v>0</v>
      </c>
      <c r="Y658">
        <v>0</v>
      </c>
      <c r="AA658">
        <v>0</v>
      </c>
      <c r="AB658">
        <v>0</v>
      </c>
      <c r="AC658">
        <v>0</v>
      </c>
      <c r="AD658">
        <v>18</v>
      </c>
      <c r="AE658" t="s">
        <v>60</v>
      </c>
    </row>
    <row r="659" spans="1:31" x14ac:dyDescent="0.2">
      <c r="A659">
        <v>630</v>
      </c>
      <c r="B659" t="s">
        <v>1048</v>
      </c>
      <c r="C659">
        <v>31</v>
      </c>
      <c r="D659" t="s">
        <v>377</v>
      </c>
      <c r="E659" t="s">
        <v>349</v>
      </c>
      <c r="F659">
        <v>11</v>
      </c>
      <c r="G659">
        <v>1</v>
      </c>
      <c r="H659">
        <v>2</v>
      </c>
      <c r="I659">
        <v>3</v>
      </c>
      <c r="J659">
        <v>-5</v>
      </c>
      <c r="K659">
        <v>11</v>
      </c>
      <c r="L659">
        <v>1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7</v>
      </c>
      <c r="T659">
        <v>14.3</v>
      </c>
      <c r="U659">
        <v>26</v>
      </c>
      <c r="V659" t="s">
        <v>1049</v>
      </c>
      <c r="W659" t="s">
        <v>1050</v>
      </c>
      <c r="X659">
        <v>0</v>
      </c>
      <c r="Y659">
        <v>0</v>
      </c>
      <c r="AA659">
        <v>12</v>
      </c>
      <c r="AB659">
        <v>16</v>
      </c>
      <c r="AC659">
        <v>6</v>
      </c>
      <c r="AD659">
        <v>8</v>
      </c>
      <c r="AE659" t="s">
        <v>60</v>
      </c>
    </row>
    <row r="660" spans="1:31" x14ac:dyDescent="0.2">
      <c r="A660">
        <v>631</v>
      </c>
      <c r="B660" t="s">
        <v>1586</v>
      </c>
      <c r="C660">
        <v>30</v>
      </c>
      <c r="D660" t="s">
        <v>514</v>
      </c>
      <c r="E660" t="s">
        <v>322</v>
      </c>
      <c r="F660">
        <v>9</v>
      </c>
      <c r="G660">
        <v>0</v>
      </c>
      <c r="H660">
        <v>3</v>
      </c>
      <c r="I660">
        <v>3</v>
      </c>
      <c r="J660">
        <v>-2</v>
      </c>
      <c r="K660">
        <v>6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10</v>
      </c>
      <c r="T660">
        <v>0</v>
      </c>
      <c r="U660">
        <v>18</v>
      </c>
      <c r="V660" t="s">
        <v>1905</v>
      </c>
      <c r="W660" t="s">
        <v>1148</v>
      </c>
      <c r="X660">
        <v>3</v>
      </c>
      <c r="Y660">
        <v>2</v>
      </c>
      <c r="Z660">
        <v>60</v>
      </c>
      <c r="AA660">
        <v>4</v>
      </c>
      <c r="AB660">
        <v>16</v>
      </c>
      <c r="AC660">
        <v>0</v>
      </c>
      <c r="AD660">
        <v>3</v>
      </c>
      <c r="AE660" t="s">
        <v>60</v>
      </c>
    </row>
    <row r="661" spans="1:31" x14ac:dyDescent="0.2">
      <c r="A661">
        <v>632</v>
      </c>
      <c r="B661" t="s">
        <v>1117</v>
      </c>
      <c r="C661">
        <v>23</v>
      </c>
      <c r="D661" t="s">
        <v>353</v>
      </c>
      <c r="E661" t="s">
        <v>322</v>
      </c>
      <c r="F661">
        <v>14</v>
      </c>
      <c r="G661">
        <v>2</v>
      </c>
      <c r="H661">
        <v>1</v>
      </c>
      <c r="I661">
        <v>3</v>
      </c>
      <c r="J661">
        <v>3</v>
      </c>
      <c r="K661">
        <v>12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10</v>
      </c>
      <c r="T661">
        <v>20</v>
      </c>
      <c r="U661">
        <v>15</v>
      </c>
      <c r="V661" t="s">
        <v>2629</v>
      </c>
      <c r="W661" t="s">
        <v>1842</v>
      </c>
      <c r="X661">
        <v>59</v>
      </c>
      <c r="Y661">
        <v>65</v>
      </c>
      <c r="Z661">
        <v>47.6</v>
      </c>
      <c r="AA661">
        <v>2</v>
      </c>
      <c r="AB661">
        <v>25</v>
      </c>
      <c r="AC661">
        <v>0</v>
      </c>
      <c r="AD661">
        <v>4</v>
      </c>
      <c r="AE661" t="s">
        <v>60</v>
      </c>
    </row>
    <row r="662" spans="1:31" x14ac:dyDescent="0.2">
      <c r="A662">
        <v>633</v>
      </c>
      <c r="B662" t="s">
        <v>1053</v>
      </c>
      <c r="C662">
        <v>27</v>
      </c>
      <c r="D662" t="s">
        <v>328</v>
      </c>
      <c r="E662" t="s">
        <v>322</v>
      </c>
      <c r="F662">
        <v>45</v>
      </c>
      <c r="G662">
        <v>2</v>
      </c>
      <c r="H662">
        <v>1</v>
      </c>
      <c r="I662">
        <v>3</v>
      </c>
      <c r="J662">
        <v>-11</v>
      </c>
      <c r="K662">
        <v>37</v>
      </c>
      <c r="L662">
        <v>2</v>
      </c>
      <c r="M662">
        <v>0</v>
      </c>
      <c r="N662">
        <v>0</v>
      </c>
      <c r="O662">
        <v>1</v>
      </c>
      <c r="P662">
        <v>1</v>
      </c>
      <c r="Q662">
        <v>0</v>
      </c>
      <c r="R662">
        <v>0</v>
      </c>
      <c r="S662">
        <v>42</v>
      </c>
      <c r="T662">
        <v>4.8</v>
      </c>
      <c r="U662">
        <v>76</v>
      </c>
      <c r="V662" t="s">
        <v>2630</v>
      </c>
      <c r="W662" t="s">
        <v>2631</v>
      </c>
      <c r="X662">
        <v>60</v>
      </c>
      <c r="Y662">
        <v>44</v>
      </c>
      <c r="Z662">
        <v>57.7</v>
      </c>
      <c r="AA662">
        <v>12</v>
      </c>
      <c r="AB662">
        <v>110</v>
      </c>
      <c r="AC662">
        <v>5</v>
      </c>
      <c r="AD662">
        <v>17</v>
      </c>
      <c r="AE662" t="s">
        <v>60</v>
      </c>
    </row>
    <row r="663" spans="1:31" x14ac:dyDescent="0.2">
      <c r="A663">
        <v>634</v>
      </c>
      <c r="B663" t="s">
        <v>1055</v>
      </c>
      <c r="C663">
        <v>27</v>
      </c>
      <c r="D663" t="s">
        <v>374</v>
      </c>
      <c r="E663" t="s">
        <v>340</v>
      </c>
      <c r="F663">
        <v>10</v>
      </c>
      <c r="G663">
        <v>0</v>
      </c>
      <c r="H663">
        <v>3</v>
      </c>
      <c r="I663">
        <v>3</v>
      </c>
      <c r="J663">
        <v>2</v>
      </c>
      <c r="K663">
        <v>7</v>
      </c>
      <c r="L663">
        <v>0</v>
      </c>
      <c r="M663">
        <v>0</v>
      </c>
      <c r="N663">
        <v>0</v>
      </c>
      <c r="O663">
        <v>0</v>
      </c>
      <c r="P663">
        <v>3</v>
      </c>
      <c r="Q663">
        <v>0</v>
      </c>
      <c r="R663">
        <v>0</v>
      </c>
      <c r="S663">
        <v>8</v>
      </c>
      <c r="T663">
        <v>0</v>
      </c>
      <c r="U663">
        <v>12</v>
      </c>
      <c r="V663" t="s">
        <v>1056</v>
      </c>
      <c r="W663" t="s">
        <v>1057</v>
      </c>
      <c r="X663">
        <v>0</v>
      </c>
      <c r="Y663">
        <v>0</v>
      </c>
      <c r="AA663">
        <v>3</v>
      </c>
      <c r="AB663">
        <v>30</v>
      </c>
      <c r="AC663">
        <v>3</v>
      </c>
      <c r="AD663">
        <v>3</v>
      </c>
      <c r="AE663" t="s">
        <v>60</v>
      </c>
    </row>
    <row r="664" spans="1:31" x14ac:dyDescent="0.2">
      <c r="A664">
        <v>635</v>
      </c>
      <c r="B664" t="s">
        <v>1210</v>
      </c>
      <c r="C664">
        <v>27</v>
      </c>
      <c r="D664" t="s">
        <v>374</v>
      </c>
      <c r="E664" t="s">
        <v>322</v>
      </c>
      <c r="F664">
        <v>24</v>
      </c>
      <c r="G664">
        <v>1</v>
      </c>
      <c r="H664">
        <v>2</v>
      </c>
      <c r="I664">
        <v>3</v>
      </c>
      <c r="J664">
        <v>-7</v>
      </c>
      <c r="K664">
        <v>11</v>
      </c>
      <c r="L664">
        <v>1</v>
      </c>
      <c r="M664">
        <v>0</v>
      </c>
      <c r="N664">
        <v>0</v>
      </c>
      <c r="O664">
        <v>0</v>
      </c>
      <c r="P664">
        <v>2</v>
      </c>
      <c r="Q664">
        <v>0</v>
      </c>
      <c r="R664">
        <v>0</v>
      </c>
      <c r="S664">
        <v>20</v>
      </c>
      <c r="T664">
        <v>5</v>
      </c>
      <c r="U664">
        <v>41</v>
      </c>
      <c r="V664" t="s">
        <v>1998</v>
      </c>
      <c r="W664" t="s">
        <v>1999</v>
      </c>
      <c r="X664">
        <v>12</v>
      </c>
      <c r="Y664">
        <v>21</v>
      </c>
      <c r="Z664">
        <v>36.4</v>
      </c>
      <c r="AA664">
        <v>7</v>
      </c>
      <c r="AB664">
        <v>27</v>
      </c>
      <c r="AC664">
        <v>1</v>
      </c>
      <c r="AD664">
        <v>8</v>
      </c>
      <c r="AE664" t="s">
        <v>60</v>
      </c>
    </row>
    <row r="665" spans="1:31" x14ac:dyDescent="0.2">
      <c r="A665">
        <v>636</v>
      </c>
      <c r="B665" t="s">
        <v>1124</v>
      </c>
      <c r="C665">
        <v>28</v>
      </c>
      <c r="D665" t="s">
        <v>337</v>
      </c>
      <c r="E665" t="s">
        <v>322</v>
      </c>
      <c r="F665">
        <v>22</v>
      </c>
      <c r="G665">
        <v>3</v>
      </c>
      <c r="H665">
        <v>0</v>
      </c>
      <c r="I665">
        <v>3</v>
      </c>
      <c r="J665">
        <v>-3</v>
      </c>
      <c r="K665">
        <v>11</v>
      </c>
      <c r="L665">
        <v>3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14</v>
      </c>
      <c r="T665">
        <v>21.4</v>
      </c>
      <c r="U665">
        <v>31</v>
      </c>
      <c r="V665" t="s">
        <v>2632</v>
      </c>
      <c r="W665" t="s">
        <v>2633</v>
      </c>
      <c r="X665">
        <v>61</v>
      </c>
      <c r="Y665">
        <v>60</v>
      </c>
      <c r="Z665">
        <v>50.4</v>
      </c>
      <c r="AA665">
        <v>15</v>
      </c>
      <c r="AB665">
        <v>68</v>
      </c>
      <c r="AC665">
        <v>2</v>
      </c>
      <c r="AD665">
        <v>13</v>
      </c>
      <c r="AE665" t="s">
        <v>60</v>
      </c>
    </row>
    <row r="666" spans="1:31" x14ac:dyDescent="0.2">
      <c r="A666">
        <v>637</v>
      </c>
      <c r="B666" t="s">
        <v>1393</v>
      </c>
      <c r="C666">
        <v>24</v>
      </c>
      <c r="D666" t="s">
        <v>344</v>
      </c>
      <c r="E666" t="s">
        <v>335</v>
      </c>
      <c r="F666">
        <v>15</v>
      </c>
      <c r="G666">
        <v>1</v>
      </c>
      <c r="H666">
        <v>2</v>
      </c>
      <c r="I666">
        <v>3</v>
      </c>
      <c r="J666">
        <v>-1</v>
      </c>
      <c r="K666">
        <v>8</v>
      </c>
      <c r="L666">
        <v>1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17</v>
      </c>
      <c r="T666">
        <v>5.9</v>
      </c>
      <c r="U666">
        <v>39</v>
      </c>
      <c r="V666" t="s">
        <v>2861</v>
      </c>
      <c r="W666" t="s">
        <v>1755</v>
      </c>
      <c r="X666">
        <v>2</v>
      </c>
      <c r="Y666">
        <v>7</v>
      </c>
      <c r="Z666">
        <v>22.2</v>
      </c>
      <c r="AA666">
        <v>8</v>
      </c>
      <c r="AB666">
        <v>5</v>
      </c>
      <c r="AC666">
        <v>1</v>
      </c>
      <c r="AD666">
        <v>12</v>
      </c>
      <c r="AE666" t="s">
        <v>60</v>
      </c>
    </row>
    <row r="667" spans="1:31" x14ac:dyDescent="0.2">
      <c r="A667">
        <v>638</v>
      </c>
      <c r="B667" t="s">
        <v>1063</v>
      </c>
      <c r="C667">
        <v>21</v>
      </c>
      <c r="D667" t="s">
        <v>328</v>
      </c>
      <c r="E667" t="s">
        <v>340</v>
      </c>
      <c r="F667">
        <v>22</v>
      </c>
      <c r="G667">
        <v>2</v>
      </c>
      <c r="H667">
        <v>1</v>
      </c>
      <c r="I667">
        <v>3</v>
      </c>
      <c r="J667">
        <v>-7</v>
      </c>
      <c r="K667">
        <v>12</v>
      </c>
      <c r="L667">
        <v>2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26</v>
      </c>
      <c r="T667">
        <v>7.7</v>
      </c>
      <c r="U667">
        <v>54</v>
      </c>
      <c r="V667" t="s">
        <v>2634</v>
      </c>
      <c r="W667" t="s">
        <v>1715</v>
      </c>
      <c r="X667">
        <v>0</v>
      </c>
      <c r="Y667">
        <v>0</v>
      </c>
      <c r="AA667">
        <v>2</v>
      </c>
      <c r="AB667">
        <v>4</v>
      </c>
      <c r="AC667">
        <v>2</v>
      </c>
      <c r="AD667">
        <v>13</v>
      </c>
      <c r="AE667" t="s">
        <v>60</v>
      </c>
    </row>
    <row r="668" spans="1:31" x14ac:dyDescent="0.2">
      <c r="A668">
        <v>639</v>
      </c>
      <c r="B668" t="s">
        <v>1219</v>
      </c>
      <c r="C668">
        <v>23</v>
      </c>
      <c r="D668" t="s">
        <v>358</v>
      </c>
      <c r="E668" t="s">
        <v>349</v>
      </c>
      <c r="F668">
        <v>15</v>
      </c>
      <c r="G668">
        <v>0</v>
      </c>
      <c r="H668">
        <v>3</v>
      </c>
      <c r="I668">
        <v>3</v>
      </c>
      <c r="J668">
        <v>4</v>
      </c>
      <c r="K668">
        <v>4</v>
      </c>
      <c r="L668">
        <v>0</v>
      </c>
      <c r="M668">
        <v>0</v>
      </c>
      <c r="N668">
        <v>0</v>
      </c>
      <c r="O668">
        <v>0</v>
      </c>
      <c r="P668">
        <v>3</v>
      </c>
      <c r="Q668">
        <v>0</v>
      </c>
      <c r="R668">
        <v>0</v>
      </c>
      <c r="S668">
        <v>4</v>
      </c>
      <c r="T668">
        <v>0</v>
      </c>
      <c r="U668">
        <v>17</v>
      </c>
      <c r="V668" t="s">
        <v>2190</v>
      </c>
      <c r="W668" t="s">
        <v>1576</v>
      </c>
      <c r="X668">
        <v>0</v>
      </c>
      <c r="Y668">
        <v>0</v>
      </c>
      <c r="AA668">
        <v>20</v>
      </c>
      <c r="AB668">
        <v>11</v>
      </c>
      <c r="AC668">
        <v>1</v>
      </c>
      <c r="AD668">
        <v>9</v>
      </c>
      <c r="AE668" t="s">
        <v>60</v>
      </c>
    </row>
    <row r="669" spans="1:31" x14ac:dyDescent="0.2">
      <c r="A669">
        <v>640</v>
      </c>
      <c r="B669" t="s">
        <v>1398</v>
      </c>
      <c r="C669">
        <v>23</v>
      </c>
      <c r="D669" t="s">
        <v>324</v>
      </c>
      <c r="E669" t="s">
        <v>349</v>
      </c>
      <c r="F669">
        <v>20</v>
      </c>
      <c r="G669">
        <v>0</v>
      </c>
      <c r="H669">
        <v>3</v>
      </c>
      <c r="I669">
        <v>3</v>
      </c>
      <c r="J669">
        <v>-3</v>
      </c>
      <c r="K669">
        <v>10</v>
      </c>
      <c r="L669">
        <v>0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8</v>
      </c>
      <c r="T669">
        <v>0</v>
      </c>
      <c r="U669">
        <v>31</v>
      </c>
      <c r="V669" t="s">
        <v>2095</v>
      </c>
      <c r="W669" t="s">
        <v>1808</v>
      </c>
      <c r="X669">
        <v>0</v>
      </c>
      <c r="Y669">
        <v>0</v>
      </c>
      <c r="AA669">
        <v>31</v>
      </c>
      <c r="AB669">
        <v>11</v>
      </c>
      <c r="AC669">
        <v>3</v>
      </c>
      <c r="AD669">
        <v>14</v>
      </c>
      <c r="AE669" t="s">
        <v>60</v>
      </c>
    </row>
    <row r="670" spans="1:31" x14ac:dyDescent="0.2">
      <c r="A670">
        <v>641</v>
      </c>
      <c r="B670" t="s">
        <v>1406</v>
      </c>
      <c r="C670">
        <v>31</v>
      </c>
      <c r="D670" t="s">
        <v>449</v>
      </c>
      <c r="E670" t="s">
        <v>322</v>
      </c>
      <c r="F670">
        <v>25</v>
      </c>
      <c r="G670">
        <v>2</v>
      </c>
      <c r="H670">
        <v>1</v>
      </c>
      <c r="I670">
        <v>3</v>
      </c>
      <c r="J670">
        <v>-9</v>
      </c>
      <c r="K670">
        <v>6</v>
      </c>
      <c r="L670">
        <v>2</v>
      </c>
      <c r="M670">
        <v>0</v>
      </c>
      <c r="N670">
        <v>0</v>
      </c>
      <c r="O670">
        <v>0</v>
      </c>
      <c r="P670">
        <v>1</v>
      </c>
      <c r="Q670">
        <v>0</v>
      </c>
      <c r="R670">
        <v>0</v>
      </c>
      <c r="S670">
        <v>20</v>
      </c>
      <c r="T670">
        <v>10</v>
      </c>
      <c r="U670">
        <v>38</v>
      </c>
      <c r="V670" t="s">
        <v>2635</v>
      </c>
      <c r="W670" t="s">
        <v>1545</v>
      </c>
      <c r="X670">
        <v>196</v>
      </c>
      <c r="Y670">
        <v>181</v>
      </c>
      <c r="Z670">
        <v>52</v>
      </c>
      <c r="AA670">
        <v>15</v>
      </c>
      <c r="AB670">
        <v>30</v>
      </c>
      <c r="AC670">
        <v>2</v>
      </c>
      <c r="AD670">
        <v>10</v>
      </c>
      <c r="AE670" t="s">
        <v>60</v>
      </c>
    </row>
    <row r="671" spans="1:31" x14ac:dyDescent="0.2">
      <c r="A671">
        <v>642</v>
      </c>
      <c r="B671" t="s">
        <v>1128</v>
      </c>
      <c r="C671">
        <v>25</v>
      </c>
      <c r="D671" t="s">
        <v>514</v>
      </c>
      <c r="E671" t="s">
        <v>349</v>
      </c>
      <c r="F671">
        <v>21</v>
      </c>
      <c r="G671">
        <v>2</v>
      </c>
      <c r="H671">
        <v>1</v>
      </c>
      <c r="I671">
        <v>3</v>
      </c>
      <c r="J671">
        <v>0</v>
      </c>
      <c r="K671">
        <v>4</v>
      </c>
      <c r="L671">
        <v>2</v>
      </c>
      <c r="M671">
        <v>0</v>
      </c>
      <c r="N671">
        <v>0</v>
      </c>
      <c r="O671">
        <v>1</v>
      </c>
      <c r="P671">
        <v>1</v>
      </c>
      <c r="Q671">
        <v>0</v>
      </c>
      <c r="R671">
        <v>0</v>
      </c>
      <c r="S671">
        <v>11</v>
      </c>
      <c r="T671">
        <v>18.2</v>
      </c>
      <c r="U671">
        <v>29</v>
      </c>
      <c r="V671" t="s">
        <v>2636</v>
      </c>
      <c r="W671" t="s">
        <v>1411</v>
      </c>
      <c r="X671">
        <v>0</v>
      </c>
      <c r="Y671">
        <v>0</v>
      </c>
      <c r="AA671">
        <v>14</v>
      </c>
      <c r="AB671">
        <v>9</v>
      </c>
      <c r="AC671">
        <v>1</v>
      </c>
      <c r="AD671">
        <v>12</v>
      </c>
      <c r="AE671" t="s">
        <v>60</v>
      </c>
    </row>
    <row r="672" spans="1:31" x14ac:dyDescent="0.2">
      <c r="A672">
        <v>643</v>
      </c>
      <c r="B672" t="s">
        <v>1070</v>
      </c>
      <c r="C672">
        <v>24</v>
      </c>
      <c r="D672" t="s">
        <v>957</v>
      </c>
      <c r="E672" t="s">
        <v>349</v>
      </c>
      <c r="F672">
        <v>13</v>
      </c>
      <c r="G672">
        <v>1</v>
      </c>
      <c r="H672">
        <v>2</v>
      </c>
      <c r="I672">
        <v>3</v>
      </c>
      <c r="J672">
        <v>2</v>
      </c>
      <c r="K672">
        <v>4</v>
      </c>
      <c r="L672">
        <v>1</v>
      </c>
      <c r="M672">
        <v>0</v>
      </c>
      <c r="N672">
        <v>0</v>
      </c>
      <c r="O672">
        <v>1</v>
      </c>
      <c r="P672">
        <v>2</v>
      </c>
      <c r="Q672">
        <v>0</v>
      </c>
      <c r="R672">
        <v>0</v>
      </c>
      <c r="S672">
        <v>12</v>
      </c>
      <c r="T672">
        <v>8.3000000000000007</v>
      </c>
      <c r="U672">
        <v>24</v>
      </c>
      <c r="V672" t="s">
        <v>1759</v>
      </c>
      <c r="W672" t="s">
        <v>1717</v>
      </c>
      <c r="X672">
        <v>0</v>
      </c>
      <c r="Y672">
        <v>0</v>
      </c>
      <c r="AA672">
        <v>13</v>
      </c>
      <c r="AB672">
        <v>5</v>
      </c>
      <c r="AC672">
        <v>3</v>
      </c>
      <c r="AD672">
        <v>4</v>
      </c>
      <c r="AE672" t="s">
        <v>60</v>
      </c>
    </row>
    <row r="673" spans="1:31" x14ac:dyDescent="0.2">
      <c r="A673">
        <v>643</v>
      </c>
      <c r="B673" t="s">
        <v>1070</v>
      </c>
      <c r="C673">
        <v>24</v>
      </c>
      <c r="D673" t="s">
        <v>334</v>
      </c>
      <c r="E673" t="s">
        <v>349</v>
      </c>
      <c r="F673">
        <v>11</v>
      </c>
      <c r="G673">
        <v>1</v>
      </c>
      <c r="H673">
        <v>2</v>
      </c>
      <c r="I673">
        <v>3</v>
      </c>
      <c r="J673">
        <v>3</v>
      </c>
      <c r="K673">
        <v>4</v>
      </c>
      <c r="L673">
        <v>1</v>
      </c>
      <c r="M673">
        <v>0</v>
      </c>
      <c r="N673">
        <v>0</v>
      </c>
      <c r="O673">
        <v>1</v>
      </c>
      <c r="P673">
        <v>2</v>
      </c>
      <c r="Q673">
        <v>0</v>
      </c>
      <c r="R673">
        <v>0</v>
      </c>
      <c r="S673">
        <v>10</v>
      </c>
      <c r="T673">
        <v>10</v>
      </c>
      <c r="U673">
        <v>19</v>
      </c>
      <c r="V673" t="s">
        <v>1582</v>
      </c>
      <c r="W673" t="s">
        <v>981</v>
      </c>
      <c r="X673">
        <v>0</v>
      </c>
      <c r="Y673">
        <v>0</v>
      </c>
      <c r="AA673">
        <v>10</v>
      </c>
      <c r="AB673">
        <v>5</v>
      </c>
      <c r="AC673">
        <v>2</v>
      </c>
      <c r="AD673">
        <v>1</v>
      </c>
      <c r="AE673" t="s">
        <v>60</v>
      </c>
    </row>
    <row r="674" spans="1:31" x14ac:dyDescent="0.2">
      <c r="A674">
        <v>643</v>
      </c>
      <c r="B674" t="s">
        <v>1070</v>
      </c>
      <c r="C674">
        <v>24</v>
      </c>
      <c r="D674" t="s">
        <v>356</v>
      </c>
      <c r="E674" t="s">
        <v>349</v>
      </c>
      <c r="F674">
        <v>2</v>
      </c>
      <c r="G674">
        <v>0</v>
      </c>
      <c r="H674">
        <v>0</v>
      </c>
      <c r="I674">
        <v>0</v>
      </c>
      <c r="J674">
        <v>-1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2</v>
      </c>
      <c r="T674">
        <v>0</v>
      </c>
      <c r="U674">
        <v>5</v>
      </c>
      <c r="V674" t="s">
        <v>1703</v>
      </c>
      <c r="W674" t="s">
        <v>1349</v>
      </c>
      <c r="X674">
        <v>0</v>
      </c>
      <c r="Y674">
        <v>0</v>
      </c>
      <c r="AA674">
        <v>3</v>
      </c>
      <c r="AB674">
        <v>0</v>
      </c>
      <c r="AC674">
        <v>1</v>
      </c>
      <c r="AD674">
        <v>3</v>
      </c>
      <c r="AE674" t="s">
        <v>60</v>
      </c>
    </row>
    <row r="675" spans="1:31" x14ac:dyDescent="0.2">
      <c r="A675">
        <v>644</v>
      </c>
      <c r="B675" t="s">
        <v>1131</v>
      </c>
      <c r="C675">
        <v>28</v>
      </c>
      <c r="D675" t="s">
        <v>374</v>
      </c>
      <c r="E675" t="s">
        <v>322</v>
      </c>
      <c r="F675">
        <v>35</v>
      </c>
      <c r="G675">
        <v>2</v>
      </c>
      <c r="H675">
        <v>1</v>
      </c>
      <c r="I675">
        <v>3</v>
      </c>
      <c r="J675">
        <v>-9</v>
      </c>
      <c r="K675">
        <v>21</v>
      </c>
      <c r="L675">
        <v>2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26</v>
      </c>
      <c r="T675">
        <v>7.7</v>
      </c>
      <c r="U675">
        <v>54</v>
      </c>
      <c r="V675" t="s">
        <v>2191</v>
      </c>
      <c r="W675" t="s">
        <v>1195</v>
      </c>
      <c r="X675">
        <v>109</v>
      </c>
      <c r="Y675">
        <v>97</v>
      </c>
      <c r="Z675">
        <v>52.9</v>
      </c>
      <c r="AA675">
        <v>29</v>
      </c>
      <c r="AB675">
        <v>68</v>
      </c>
      <c r="AC675">
        <v>2</v>
      </c>
      <c r="AD675">
        <v>13</v>
      </c>
      <c r="AE675" t="s">
        <v>60</v>
      </c>
    </row>
    <row r="676" spans="1:31" x14ac:dyDescent="0.2">
      <c r="A676">
        <v>645</v>
      </c>
      <c r="B676" t="s">
        <v>1133</v>
      </c>
      <c r="C676">
        <v>30</v>
      </c>
      <c r="D676" t="s">
        <v>328</v>
      </c>
      <c r="E676" t="s">
        <v>322</v>
      </c>
      <c r="F676">
        <v>24</v>
      </c>
      <c r="G676">
        <v>3</v>
      </c>
      <c r="H676">
        <v>0</v>
      </c>
      <c r="I676">
        <v>3</v>
      </c>
      <c r="J676">
        <v>-3</v>
      </c>
      <c r="K676">
        <v>2</v>
      </c>
      <c r="L676">
        <v>3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>
        <v>16</v>
      </c>
      <c r="T676">
        <v>18.8</v>
      </c>
      <c r="U676">
        <v>36</v>
      </c>
      <c r="V676" t="s">
        <v>2192</v>
      </c>
      <c r="W676" t="s">
        <v>1691</v>
      </c>
      <c r="X676">
        <v>77</v>
      </c>
      <c r="Y676">
        <v>60</v>
      </c>
      <c r="Z676">
        <v>56.2</v>
      </c>
      <c r="AA676">
        <v>12</v>
      </c>
      <c r="AB676">
        <v>51</v>
      </c>
      <c r="AC676">
        <v>2</v>
      </c>
      <c r="AD676">
        <v>1</v>
      </c>
      <c r="AE676" t="s">
        <v>60</v>
      </c>
    </row>
    <row r="677" spans="1:31" x14ac:dyDescent="0.2">
      <c r="A677">
        <v>646</v>
      </c>
      <c r="B677" t="s">
        <v>1074</v>
      </c>
      <c r="C677">
        <v>34</v>
      </c>
      <c r="D677" t="s">
        <v>324</v>
      </c>
      <c r="E677" t="s">
        <v>349</v>
      </c>
      <c r="F677">
        <v>18</v>
      </c>
      <c r="G677">
        <v>0</v>
      </c>
      <c r="H677">
        <v>3</v>
      </c>
      <c r="I677">
        <v>3</v>
      </c>
      <c r="J677">
        <v>-10</v>
      </c>
      <c r="K677">
        <v>6</v>
      </c>
      <c r="L677">
        <v>0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0</v>
      </c>
      <c r="S677">
        <v>6</v>
      </c>
      <c r="T677">
        <v>0</v>
      </c>
      <c r="U677">
        <v>19</v>
      </c>
      <c r="V677" t="s">
        <v>2045</v>
      </c>
      <c r="W677" t="s">
        <v>387</v>
      </c>
      <c r="X677">
        <v>0</v>
      </c>
      <c r="Y677">
        <v>0</v>
      </c>
      <c r="AA677">
        <v>26</v>
      </c>
      <c r="AB677">
        <v>2</v>
      </c>
      <c r="AC677">
        <v>4</v>
      </c>
      <c r="AD677">
        <v>12</v>
      </c>
      <c r="AE677" t="s">
        <v>60</v>
      </c>
    </row>
    <row r="678" spans="1:31" x14ac:dyDescent="0.2">
      <c r="A678">
        <v>647</v>
      </c>
      <c r="B678" t="s">
        <v>1141</v>
      </c>
      <c r="C678">
        <v>27</v>
      </c>
      <c r="D678" t="s">
        <v>532</v>
      </c>
      <c r="E678" t="s">
        <v>349</v>
      </c>
      <c r="F678">
        <v>20</v>
      </c>
      <c r="G678">
        <v>1</v>
      </c>
      <c r="H678">
        <v>2</v>
      </c>
      <c r="I678">
        <v>3</v>
      </c>
      <c r="J678">
        <v>9</v>
      </c>
      <c r="K678">
        <v>16</v>
      </c>
      <c r="L678">
        <v>1</v>
      </c>
      <c r="M678">
        <v>0</v>
      </c>
      <c r="N678">
        <v>0</v>
      </c>
      <c r="O678">
        <v>1</v>
      </c>
      <c r="P678">
        <v>2</v>
      </c>
      <c r="Q678">
        <v>0</v>
      </c>
      <c r="R678">
        <v>0</v>
      </c>
      <c r="S678">
        <v>12</v>
      </c>
      <c r="T678">
        <v>8.3000000000000007</v>
      </c>
      <c r="U678">
        <v>33</v>
      </c>
      <c r="V678" t="s">
        <v>1741</v>
      </c>
      <c r="W678" t="s">
        <v>661</v>
      </c>
      <c r="X678">
        <v>0</v>
      </c>
      <c r="Y678">
        <v>0</v>
      </c>
      <c r="AA678">
        <v>32</v>
      </c>
      <c r="AB678">
        <v>22</v>
      </c>
      <c r="AC678">
        <v>2</v>
      </c>
      <c r="AD678">
        <v>11</v>
      </c>
      <c r="AE678" t="s">
        <v>60</v>
      </c>
    </row>
    <row r="679" spans="1:31" x14ac:dyDescent="0.2">
      <c r="A679">
        <v>648</v>
      </c>
      <c r="B679" t="s">
        <v>1447</v>
      </c>
      <c r="C679">
        <v>21</v>
      </c>
      <c r="D679" t="s">
        <v>377</v>
      </c>
      <c r="E679" t="s">
        <v>335</v>
      </c>
      <c r="F679">
        <v>16</v>
      </c>
      <c r="G679">
        <v>2</v>
      </c>
      <c r="H679">
        <v>1</v>
      </c>
      <c r="I679">
        <v>3</v>
      </c>
      <c r="J679">
        <v>-5</v>
      </c>
      <c r="K679">
        <v>0</v>
      </c>
      <c r="L679">
        <v>2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28</v>
      </c>
      <c r="T679">
        <v>7.1</v>
      </c>
      <c r="U679">
        <v>43</v>
      </c>
      <c r="V679" t="s">
        <v>1907</v>
      </c>
      <c r="W679" t="s">
        <v>1554</v>
      </c>
      <c r="X679">
        <v>2</v>
      </c>
      <c r="Y679">
        <v>9</v>
      </c>
      <c r="Z679">
        <v>18.2</v>
      </c>
      <c r="AA679">
        <v>4</v>
      </c>
      <c r="AB679">
        <v>16</v>
      </c>
      <c r="AC679">
        <v>0</v>
      </c>
      <c r="AD679">
        <v>10</v>
      </c>
      <c r="AE679" t="s">
        <v>60</v>
      </c>
    </row>
    <row r="680" spans="1:31" x14ac:dyDescent="0.2">
      <c r="A680">
        <v>649</v>
      </c>
      <c r="B680" t="s">
        <v>1247</v>
      </c>
      <c r="C680">
        <v>35</v>
      </c>
      <c r="D680" t="s">
        <v>344</v>
      </c>
      <c r="E680" t="s">
        <v>349</v>
      </c>
      <c r="F680">
        <v>38</v>
      </c>
      <c r="G680">
        <v>2</v>
      </c>
      <c r="H680">
        <v>1</v>
      </c>
      <c r="I680">
        <v>3</v>
      </c>
      <c r="J680">
        <v>-5</v>
      </c>
      <c r="K680">
        <v>18</v>
      </c>
      <c r="L680">
        <v>2</v>
      </c>
      <c r="M680">
        <v>0</v>
      </c>
      <c r="N680">
        <v>0</v>
      </c>
      <c r="O680">
        <v>1</v>
      </c>
      <c r="P680">
        <v>1</v>
      </c>
      <c r="Q680">
        <v>0</v>
      </c>
      <c r="R680">
        <v>0</v>
      </c>
      <c r="S680">
        <v>33</v>
      </c>
      <c r="T680">
        <v>6.1</v>
      </c>
      <c r="U680">
        <v>106</v>
      </c>
      <c r="V680" t="s">
        <v>1848</v>
      </c>
      <c r="W680" t="s">
        <v>1533</v>
      </c>
      <c r="X680">
        <v>0</v>
      </c>
      <c r="Y680">
        <v>0</v>
      </c>
      <c r="AA680">
        <v>98</v>
      </c>
      <c r="AB680">
        <v>63</v>
      </c>
      <c r="AC680">
        <v>13</v>
      </c>
      <c r="AD680">
        <v>29</v>
      </c>
      <c r="AE680" t="s">
        <v>60</v>
      </c>
    </row>
    <row r="681" spans="1:31" x14ac:dyDescent="0.2">
      <c r="A681">
        <v>650</v>
      </c>
      <c r="B681" t="s">
        <v>1080</v>
      </c>
      <c r="C681">
        <v>18</v>
      </c>
      <c r="D681" t="s">
        <v>324</v>
      </c>
      <c r="E681" t="s">
        <v>325</v>
      </c>
      <c r="F681">
        <v>8</v>
      </c>
      <c r="G681">
        <v>1</v>
      </c>
      <c r="H681">
        <v>2</v>
      </c>
      <c r="I681">
        <v>3</v>
      </c>
      <c r="J681">
        <v>0</v>
      </c>
      <c r="K681">
        <v>2</v>
      </c>
      <c r="L681">
        <v>1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13</v>
      </c>
      <c r="T681">
        <v>7.7</v>
      </c>
      <c r="U681">
        <v>22</v>
      </c>
      <c r="V681" t="s">
        <v>2096</v>
      </c>
      <c r="W681" t="s">
        <v>1054</v>
      </c>
      <c r="X681">
        <v>24</v>
      </c>
      <c r="Y681">
        <v>23</v>
      </c>
      <c r="Z681">
        <v>51.1</v>
      </c>
      <c r="AA681">
        <v>6</v>
      </c>
      <c r="AB681">
        <v>2</v>
      </c>
      <c r="AC681">
        <v>0</v>
      </c>
      <c r="AD681">
        <v>5</v>
      </c>
      <c r="AE681" t="s">
        <v>60</v>
      </c>
    </row>
    <row r="682" spans="1:31" x14ac:dyDescent="0.2">
      <c r="A682">
        <v>651</v>
      </c>
      <c r="B682" t="s">
        <v>1144</v>
      </c>
      <c r="C682">
        <v>31</v>
      </c>
      <c r="D682" t="s">
        <v>406</v>
      </c>
      <c r="E682" t="s">
        <v>322</v>
      </c>
      <c r="F682">
        <v>24</v>
      </c>
      <c r="G682">
        <v>2</v>
      </c>
      <c r="H682">
        <v>1</v>
      </c>
      <c r="I682">
        <v>3</v>
      </c>
      <c r="J682">
        <v>-5</v>
      </c>
      <c r="K682">
        <v>29</v>
      </c>
      <c r="L682">
        <v>2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23</v>
      </c>
      <c r="T682">
        <v>8.6999999999999993</v>
      </c>
      <c r="U682">
        <v>60</v>
      </c>
      <c r="V682" t="s">
        <v>2637</v>
      </c>
      <c r="W682" t="s">
        <v>2638</v>
      </c>
      <c r="X682">
        <v>3</v>
      </c>
      <c r="Y682">
        <v>0</v>
      </c>
      <c r="Z682">
        <v>100</v>
      </c>
      <c r="AA682">
        <v>9</v>
      </c>
      <c r="AB682">
        <v>63</v>
      </c>
      <c r="AC682">
        <v>1</v>
      </c>
      <c r="AD682">
        <v>6</v>
      </c>
      <c r="AE682" t="s">
        <v>60</v>
      </c>
    </row>
    <row r="683" spans="1:31" x14ac:dyDescent="0.2">
      <c r="A683">
        <v>652</v>
      </c>
      <c r="B683" t="s">
        <v>1471</v>
      </c>
      <c r="C683">
        <v>22</v>
      </c>
      <c r="D683" t="s">
        <v>324</v>
      </c>
      <c r="E683" t="s">
        <v>322</v>
      </c>
      <c r="F683">
        <v>23</v>
      </c>
      <c r="G683">
        <v>2</v>
      </c>
      <c r="H683">
        <v>1</v>
      </c>
      <c r="I683">
        <v>3</v>
      </c>
      <c r="J683">
        <v>-6</v>
      </c>
      <c r="K683">
        <v>4</v>
      </c>
      <c r="L683">
        <v>2</v>
      </c>
      <c r="M683">
        <v>0</v>
      </c>
      <c r="N683">
        <v>0</v>
      </c>
      <c r="O683">
        <v>2</v>
      </c>
      <c r="P683">
        <v>1</v>
      </c>
      <c r="Q683">
        <v>0</v>
      </c>
      <c r="R683">
        <v>0</v>
      </c>
      <c r="S683">
        <v>19</v>
      </c>
      <c r="T683">
        <v>10.5</v>
      </c>
      <c r="U683">
        <v>28</v>
      </c>
      <c r="V683" t="s">
        <v>2097</v>
      </c>
      <c r="W683" t="s">
        <v>1878</v>
      </c>
      <c r="X683">
        <v>98</v>
      </c>
      <c r="Y683">
        <v>95</v>
      </c>
      <c r="Z683">
        <v>50.8</v>
      </c>
      <c r="AA683">
        <v>8</v>
      </c>
      <c r="AB683">
        <v>59</v>
      </c>
      <c r="AC683">
        <v>4</v>
      </c>
      <c r="AD683">
        <v>6</v>
      </c>
      <c r="AE683" t="s">
        <v>60</v>
      </c>
    </row>
    <row r="684" spans="1:31" x14ac:dyDescent="0.2">
      <c r="A684">
        <v>653</v>
      </c>
      <c r="B684" t="s">
        <v>1084</v>
      </c>
      <c r="C684">
        <v>26</v>
      </c>
      <c r="D684" t="s">
        <v>437</v>
      </c>
      <c r="E684" t="s">
        <v>349</v>
      </c>
      <c r="F684">
        <v>24</v>
      </c>
      <c r="G684">
        <v>0</v>
      </c>
      <c r="H684">
        <v>3</v>
      </c>
      <c r="I684">
        <v>3</v>
      </c>
      <c r="J684">
        <v>-1</v>
      </c>
      <c r="K684">
        <v>35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16</v>
      </c>
      <c r="T684">
        <v>0</v>
      </c>
      <c r="U684">
        <v>57</v>
      </c>
      <c r="V684" t="s">
        <v>2639</v>
      </c>
      <c r="W684" t="s">
        <v>2640</v>
      </c>
      <c r="X684">
        <v>0</v>
      </c>
      <c r="Y684">
        <v>0</v>
      </c>
      <c r="AA684">
        <v>22</v>
      </c>
      <c r="AB684">
        <v>58</v>
      </c>
      <c r="AC684">
        <v>5</v>
      </c>
      <c r="AD684">
        <v>18</v>
      </c>
      <c r="AE684" t="s">
        <v>60</v>
      </c>
    </row>
    <row r="685" spans="1:31" x14ac:dyDescent="0.2">
      <c r="A685">
        <v>654</v>
      </c>
      <c r="B685" t="s">
        <v>1085</v>
      </c>
      <c r="C685">
        <v>24</v>
      </c>
      <c r="D685" t="s">
        <v>362</v>
      </c>
      <c r="E685" t="s">
        <v>322</v>
      </c>
      <c r="F685">
        <v>14</v>
      </c>
      <c r="G685">
        <v>2</v>
      </c>
      <c r="H685">
        <v>1</v>
      </c>
      <c r="I685">
        <v>3</v>
      </c>
      <c r="J685">
        <v>3</v>
      </c>
      <c r="K685">
        <v>2</v>
      </c>
      <c r="L685">
        <v>2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12</v>
      </c>
      <c r="T685">
        <v>16.7</v>
      </c>
      <c r="U685">
        <v>21</v>
      </c>
      <c r="V685" t="s">
        <v>1086</v>
      </c>
      <c r="W685" t="s">
        <v>1087</v>
      </c>
      <c r="X685">
        <v>14</v>
      </c>
      <c r="Y685">
        <v>15</v>
      </c>
      <c r="Z685">
        <v>48.3</v>
      </c>
      <c r="AA685">
        <v>9</v>
      </c>
      <c r="AB685">
        <v>20</v>
      </c>
      <c r="AC685">
        <v>3</v>
      </c>
      <c r="AD685">
        <v>6</v>
      </c>
      <c r="AE685" t="s">
        <v>60</v>
      </c>
    </row>
    <row r="686" spans="1:31" x14ac:dyDescent="0.2">
      <c r="A686">
        <v>655</v>
      </c>
      <c r="B686" t="s">
        <v>1090</v>
      </c>
      <c r="C686">
        <v>27</v>
      </c>
      <c r="D686" t="s">
        <v>957</v>
      </c>
      <c r="E686" t="s">
        <v>325</v>
      </c>
      <c r="F686">
        <v>17</v>
      </c>
      <c r="G686">
        <v>2</v>
      </c>
      <c r="H686">
        <v>1</v>
      </c>
      <c r="I686">
        <v>3</v>
      </c>
      <c r="J686">
        <v>-7</v>
      </c>
      <c r="K686">
        <v>4</v>
      </c>
      <c r="L686">
        <v>2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14</v>
      </c>
      <c r="T686">
        <v>14.3</v>
      </c>
      <c r="U686">
        <v>22</v>
      </c>
      <c r="V686" t="s">
        <v>1958</v>
      </c>
      <c r="W686" t="s">
        <v>1682</v>
      </c>
      <c r="X686">
        <v>69</v>
      </c>
      <c r="Y686">
        <v>54</v>
      </c>
      <c r="Z686">
        <v>56.1</v>
      </c>
      <c r="AA686">
        <v>2</v>
      </c>
      <c r="AB686">
        <v>30</v>
      </c>
      <c r="AC686">
        <v>5</v>
      </c>
      <c r="AD686">
        <v>7</v>
      </c>
      <c r="AE686" t="s">
        <v>60</v>
      </c>
    </row>
    <row r="687" spans="1:31" x14ac:dyDescent="0.2">
      <c r="A687">
        <v>655</v>
      </c>
      <c r="B687" t="s">
        <v>1090</v>
      </c>
      <c r="C687">
        <v>27</v>
      </c>
      <c r="D687" t="s">
        <v>328</v>
      </c>
      <c r="E687" t="s">
        <v>325</v>
      </c>
      <c r="F687">
        <v>15</v>
      </c>
      <c r="G687">
        <v>2</v>
      </c>
      <c r="H687">
        <v>1</v>
      </c>
      <c r="I687">
        <v>3</v>
      </c>
      <c r="J687">
        <v>-7</v>
      </c>
      <c r="K687">
        <v>4</v>
      </c>
      <c r="L687">
        <v>2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12</v>
      </c>
      <c r="T687">
        <v>16.7</v>
      </c>
      <c r="U687">
        <v>19</v>
      </c>
      <c r="V687" t="s">
        <v>1091</v>
      </c>
      <c r="W687" t="s">
        <v>1092</v>
      </c>
      <c r="X687">
        <v>58</v>
      </c>
      <c r="Y687">
        <v>44</v>
      </c>
      <c r="Z687">
        <v>56.9</v>
      </c>
      <c r="AA687">
        <v>2</v>
      </c>
      <c r="AB687">
        <v>24</v>
      </c>
      <c r="AC687">
        <v>4</v>
      </c>
      <c r="AD687">
        <v>7</v>
      </c>
      <c r="AE687" t="s">
        <v>60</v>
      </c>
    </row>
    <row r="688" spans="1:31" x14ac:dyDescent="0.2">
      <c r="A688">
        <v>655</v>
      </c>
      <c r="B688" t="s">
        <v>1090</v>
      </c>
      <c r="C688">
        <v>27</v>
      </c>
      <c r="D688" t="s">
        <v>398</v>
      </c>
      <c r="E688" t="s">
        <v>325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2</v>
      </c>
      <c r="T688">
        <v>0</v>
      </c>
      <c r="U688">
        <v>3</v>
      </c>
      <c r="V688" t="s">
        <v>1925</v>
      </c>
      <c r="W688" t="s">
        <v>1959</v>
      </c>
      <c r="X688">
        <v>11</v>
      </c>
      <c r="Y688">
        <v>10</v>
      </c>
      <c r="Z688">
        <v>52.4</v>
      </c>
      <c r="AA688">
        <v>0</v>
      </c>
      <c r="AB688">
        <v>6</v>
      </c>
      <c r="AC688">
        <v>1</v>
      </c>
      <c r="AD688">
        <v>0</v>
      </c>
      <c r="AE688" t="s">
        <v>60</v>
      </c>
    </row>
    <row r="689" spans="1:31" x14ac:dyDescent="0.2">
      <c r="A689">
        <v>656</v>
      </c>
      <c r="B689" t="s">
        <v>1145</v>
      </c>
      <c r="C689">
        <v>39</v>
      </c>
      <c r="D689" t="s">
        <v>324</v>
      </c>
      <c r="E689" t="s">
        <v>335</v>
      </c>
      <c r="F689">
        <v>38</v>
      </c>
      <c r="G689">
        <v>3</v>
      </c>
      <c r="H689">
        <v>0</v>
      </c>
      <c r="I689">
        <v>3</v>
      </c>
      <c r="J689">
        <v>-11</v>
      </c>
      <c r="K689">
        <v>30</v>
      </c>
      <c r="L689">
        <v>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21</v>
      </c>
      <c r="T689">
        <v>14.3</v>
      </c>
      <c r="U689">
        <v>46</v>
      </c>
      <c r="V689" t="s">
        <v>2046</v>
      </c>
      <c r="W689" t="s">
        <v>1847</v>
      </c>
      <c r="X689">
        <v>0</v>
      </c>
      <c r="Y689">
        <v>2</v>
      </c>
      <c r="Z689">
        <v>0</v>
      </c>
      <c r="AA689">
        <v>12</v>
      </c>
      <c r="AB689">
        <v>126</v>
      </c>
      <c r="AC689">
        <v>5</v>
      </c>
      <c r="AD689">
        <v>13</v>
      </c>
      <c r="AE689" t="s">
        <v>60</v>
      </c>
    </row>
    <row r="690" spans="1:31" x14ac:dyDescent="0.2">
      <c r="A690">
        <v>657</v>
      </c>
      <c r="B690" t="s">
        <v>1495</v>
      </c>
      <c r="C690">
        <v>25</v>
      </c>
      <c r="D690" t="s">
        <v>328</v>
      </c>
      <c r="E690" t="s">
        <v>349</v>
      </c>
      <c r="F690">
        <v>28</v>
      </c>
      <c r="G690">
        <v>0</v>
      </c>
      <c r="H690">
        <v>3</v>
      </c>
      <c r="I690">
        <v>3</v>
      </c>
      <c r="J690">
        <v>-16</v>
      </c>
      <c r="K690">
        <v>35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18</v>
      </c>
      <c r="T690">
        <v>0</v>
      </c>
      <c r="U690">
        <v>51</v>
      </c>
      <c r="V690" t="s">
        <v>2193</v>
      </c>
      <c r="W690" t="s">
        <v>777</v>
      </c>
      <c r="X690">
        <v>0</v>
      </c>
      <c r="Y690">
        <v>0</v>
      </c>
      <c r="AA690">
        <v>44</v>
      </c>
      <c r="AB690">
        <v>15</v>
      </c>
      <c r="AC690">
        <v>7</v>
      </c>
      <c r="AD690">
        <v>28</v>
      </c>
      <c r="AE690" t="s">
        <v>60</v>
      </c>
    </row>
    <row r="691" spans="1:31" x14ac:dyDescent="0.2">
      <c r="A691">
        <v>658</v>
      </c>
      <c r="B691" t="s">
        <v>1640</v>
      </c>
      <c r="C691">
        <v>31</v>
      </c>
      <c r="D691" t="s">
        <v>408</v>
      </c>
      <c r="E691" t="s">
        <v>349</v>
      </c>
      <c r="F691">
        <v>13</v>
      </c>
      <c r="G691">
        <v>0</v>
      </c>
      <c r="H691">
        <v>3</v>
      </c>
      <c r="I691">
        <v>3</v>
      </c>
      <c r="J691">
        <v>-3</v>
      </c>
      <c r="K691">
        <v>4</v>
      </c>
      <c r="L691">
        <v>0</v>
      </c>
      <c r="M691">
        <v>0</v>
      </c>
      <c r="N691">
        <v>0</v>
      </c>
      <c r="O691">
        <v>0</v>
      </c>
      <c r="P691">
        <v>2</v>
      </c>
      <c r="Q691">
        <v>0</v>
      </c>
      <c r="R691">
        <v>1</v>
      </c>
      <c r="S691">
        <v>24</v>
      </c>
      <c r="T691">
        <v>0</v>
      </c>
      <c r="U691">
        <v>55</v>
      </c>
      <c r="V691" t="s">
        <v>2194</v>
      </c>
      <c r="W691" t="s">
        <v>1896</v>
      </c>
      <c r="X691">
        <v>0</v>
      </c>
      <c r="Y691">
        <v>0</v>
      </c>
      <c r="AA691">
        <v>24</v>
      </c>
      <c r="AB691">
        <v>16</v>
      </c>
      <c r="AC691">
        <v>5</v>
      </c>
      <c r="AD691">
        <v>7</v>
      </c>
      <c r="AE691" t="s">
        <v>60</v>
      </c>
    </row>
    <row r="692" spans="1:31" x14ac:dyDescent="0.2">
      <c r="A692">
        <v>659</v>
      </c>
      <c r="B692" t="s">
        <v>1149</v>
      </c>
      <c r="C692">
        <v>33</v>
      </c>
      <c r="D692" t="s">
        <v>353</v>
      </c>
      <c r="E692" t="s">
        <v>325</v>
      </c>
      <c r="F692">
        <v>9</v>
      </c>
      <c r="G692">
        <v>1</v>
      </c>
      <c r="H692">
        <v>2</v>
      </c>
      <c r="I692">
        <v>3</v>
      </c>
      <c r="J692">
        <v>0</v>
      </c>
      <c r="K692">
        <v>63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5</v>
      </c>
      <c r="T692">
        <v>20</v>
      </c>
      <c r="U692">
        <v>11</v>
      </c>
      <c r="V692" t="s">
        <v>1774</v>
      </c>
      <c r="W692" t="s">
        <v>1699</v>
      </c>
      <c r="X692">
        <v>0</v>
      </c>
      <c r="Y692">
        <v>2</v>
      </c>
      <c r="Z692">
        <v>0</v>
      </c>
      <c r="AA692">
        <v>4</v>
      </c>
      <c r="AB692">
        <v>15</v>
      </c>
      <c r="AC692">
        <v>0</v>
      </c>
      <c r="AD692">
        <v>4</v>
      </c>
      <c r="AE692" t="s">
        <v>60</v>
      </c>
    </row>
    <row r="693" spans="1:31" x14ac:dyDescent="0.2">
      <c r="A693">
        <v>660</v>
      </c>
      <c r="B693" t="s">
        <v>1279</v>
      </c>
      <c r="C693">
        <v>24</v>
      </c>
      <c r="D693" t="s">
        <v>372</v>
      </c>
      <c r="E693" t="s">
        <v>335</v>
      </c>
      <c r="F693">
        <v>28</v>
      </c>
      <c r="G693">
        <v>2</v>
      </c>
      <c r="H693">
        <v>1</v>
      </c>
      <c r="I693">
        <v>3</v>
      </c>
      <c r="J693">
        <v>-3</v>
      </c>
      <c r="K693">
        <v>8</v>
      </c>
      <c r="L693">
        <v>2</v>
      </c>
      <c r="M693">
        <v>0</v>
      </c>
      <c r="N693">
        <v>0</v>
      </c>
      <c r="O693">
        <v>1</v>
      </c>
      <c r="P693">
        <v>1</v>
      </c>
      <c r="Q693">
        <v>0</v>
      </c>
      <c r="R693">
        <v>0</v>
      </c>
      <c r="S693">
        <v>30</v>
      </c>
      <c r="T693">
        <v>6.7</v>
      </c>
      <c r="U693">
        <v>71</v>
      </c>
      <c r="V693" t="s">
        <v>2641</v>
      </c>
      <c r="W693" t="s">
        <v>1690</v>
      </c>
      <c r="X693">
        <v>1</v>
      </c>
      <c r="Y693">
        <v>2</v>
      </c>
      <c r="Z693">
        <v>33.299999999999997</v>
      </c>
      <c r="AA693">
        <v>8</v>
      </c>
      <c r="AB693">
        <v>40</v>
      </c>
      <c r="AC693">
        <v>5</v>
      </c>
      <c r="AD693">
        <v>20</v>
      </c>
      <c r="AE693" t="s">
        <v>60</v>
      </c>
    </row>
    <row r="694" spans="1:31" x14ac:dyDescent="0.2">
      <c r="A694">
        <v>661</v>
      </c>
      <c r="B694" t="s">
        <v>1510</v>
      </c>
      <c r="C694">
        <v>25</v>
      </c>
      <c r="D694" t="s">
        <v>321</v>
      </c>
      <c r="E694" t="s">
        <v>349</v>
      </c>
      <c r="F694">
        <v>14</v>
      </c>
      <c r="G694">
        <v>1</v>
      </c>
      <c r="H694">
        <v>2</v>
      </c>
      <c r="I694">
        <v>3</v>
      </c>
      <c r="J694">
        <v>0</v>
      </c>
      <c r="K694">
        <v>4</v>
      </c>
      <c r="L694">
        <v>1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13</v>
      </c>
      <c r="T694">
        <v>7.7</v>
      </c>
      <c r="U694">
        <v>39</v>
      </c>
      <c r="V694" t="s">
        <v>2195</v>
      </c>
      <c r="W694" t="s">
        <v>1740</v>
      </c>
      <c r="X694">
        <v>0</v>
      </c>
      <c r="Y694">
        <v>0</v>
      </c>
      <c r="AA694">
        <v>17</v>
      </c>
      <c r="AB694">
        <v>16</v>
      </c>
      <c r="AC694">
        <v>2</v>
      </c>
      <c r="AD694">
        <v>5</v>
      </c>
      <c r="AE694" t="s">
        <v>60</v>
      </c>
    </row>
    <row r="695" spans="1:31" x14ac:dyDescent="0.2">
      <c r="A695">
        <v>662</v>
      </c>
      <c r="B695" t="s">
        <v>1641</v>
      </c>
      <c r="C695">
        <v>26</v>
      </c>
      <c r="D695" t="s">
        <v>377</v>
      </c>
      <c r="E695" t="s">
        <v>349</v>
      </c>
      <c r="F695">
        <v>12</v>
      </c>
      <c r="G695">
        <v>0</v>
      </c>
      <c r="H695">
        <v>3</v>
      </c>
      <c r="I695">
        <v>3</v>
      </c>
      <c r="J695">
        <v>2</v>
      </c>
      <c r="K695">
        <v>4</v>
      </c>
      <c r="L695">
        <v>0</v>
      </c>
      <c r="M695">
        <v>0</v>
      </c>
      <c r="N695">
        <v>0</v>
      </c>
      <c r="O695">
        <v>0</v>
      </c>
      <c r="P695">
        <v>3</v>
      </c>
      <c r="Q695">
        <v>0</v>
      </c>
      <c r="R695">
        <v>0</v>
      </c>
      <c r="S695">
        <v>15</v>
      </c>
      <c r="T695">
        <v>0</v>
      </c>
      <c r="U695">
        <v>30</v>
      </c>
      <c r="V695" t="s">
        <v>2642</v>
      </c>
      <c r="W695" t="s">
        <v>2489</v>
      </c>
      <c r="X695">
        <v>0</v>
      </c>
      <c r="Y695">
        <v>0</v>
      </c>
      <c r="AA695">
        <v>15</v>
      </c>
      <c r="AB695">
        <v>33</v>
      </c>
      <c r="AC695">
        <v>2</v>
      </c>
      <c r="AD695">
        <v>11</v>
      </c>
      <c r="AE695" t="s">
        <v>60</v>
      </c>
    </row>
    <row r="696" spans="1:31" x14ac:dyDescent="0.2">
      <c r="A696">
        <v>663</v>
      </c>
      <c r="B696" t="s">
        <v>1098</v>
      </c>
      <c r="C696">
        <v>27</v>
      </c>
      <c r="D696" t="s">
        <v>362</v>
      </c>
      <c r="E696" t="s">
        <v>349</v>
      </c>
      <c r="F696">
        <v>20</v>
      </c>
      <c r="G696">
        <v>0</v>
      </c>
      <c r="H696">
        <v>3</v>
      </c>
      <c r="I696">
        <v>3</v>
      </c>
      <c r="J696">
        <v>-2</v>
      </c>
      <c r="K696">
        <v>12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12</v>
      </c>
      <c r="T696">
        <v>0</v>
      </c>
      <c r="U696">
        <v>41</v>
      </c>
      <c r="V696" t="s">
        <v>1960</v>
      </c>
      <c r="W696" t="s">
        <v>1841</v>
      </c>
      <c r="X696">
        <v>0</v>
      </c>
      <c r="Y696">
        <v>0</v>
      </c>
      <c r="AA696">
        <v>15</v>
      </c>
      <c r="AB696">
        <v>7</v>
      </c>
      <c r="AC696">
        <v>3</v>
      </c>
      <c r="AD696">
        <v>13</v>
      </c>
      <c r="AE696" t="s">
        <v>60</v>
      </c>
    </row>
    <row r="697" spans="1:31" x14ac:dyDescent="0.2">
      <c r="A697">
        <v>664</v>
      </c>
      <c r="B697" t="s">
        <v>1163</v>
      </c>
      <c r="C697">
        <v>24</v>
      </c>
      <c r="D697" t="s">
        <v>385</v>
      </c>
      <c r="E697" t="s">
        <v>349</v>
      </c>
      <c r="F697">
        <v>8</v>
      </c>
      <c r="G697">
        <v>0</v>
      </c>
      <c r="H697">
        <v>3</v>
      </c>
      <c r="I697">
        <v>3</v>
      </c>
      <c r="J697">
        <v>0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3</v>
      </c>
      <c r="Q697">
        <v>0</v>
      </c>
      <c r="R697">
        <v>0</v>
      </c>
      <c r="S697">
        <v>7</v>
      </c>
      <c r="T697">
        <v>0</v>
      </c>
      <c r="U697">
        <v>19</v>
      </c>
      <c r="V697" t="s">
        <v>1849</v>
      </c>
      <c r="W697" t="s">
        <v>1758</v>
      </c>
      <c r="X697">
        <v>0</v>
      </c>
      <c r="Y697">
        <v>0</v>
      </c>
      <c r="AA697">
        <v>5</v>
      </c>
      <c r="AB697">
        <v>7</v>
      </c>
      <c r="AC697">
        <v>1</v>
      </c>
      <c r="AD697">
        <v>7</v>
      </c>
      <c r="AE697" t="s">
        <v>60</v>
      </c>
    </row>
    <row r="698" spans="1:31" x14ac:dyDescent="0.2">
      <c r="A698">
        <v>665</v>
      </c>
      <c r="B698" t="s">
        <v>1165</v>
      </c>
      <c r="C698">
        <v>24</v>
      </c>
      <c r="D698" t="s">
        <v>957</v>
      </c>
      <c r="E698" t="s">
        <v>322</v>
      </c>
      <c r="F698">
        <v>25</v>
      </c>
      <c r="G698">
        <v>1</v>
      </c>
      <c r="H698">
        <v>2</v>
      </c>
      <c r="I698">
        <v>3</v>
      </c>
      <c r="J698">
        <v>-5</v>
      </c>
      <c r="K698">
        <v>29</v>
      </c>
      <c r="L698">
        <v>1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1</v>
      </c>
      <c r="S698">
        <v>21</v>
      </c>
      <c r="T698">
        <v>4.8</v>
      </c>
      <c r="U698">
        <v>42</v>
      </c>
      <c r="V698" t="s">
        <v>1909</v>
      </c>
      <c r="W698" t="s">
        <v>1201</v>
      </c>
      <c r="X698">
        <v>43</v>
      </c>
      <c r="Y698">
        <v>60</v>
      </c>
      <c r="Z698">
        <v>41.7</v>
      </c>
      <c r="AA698">
        <v>18</v>
      </c>
      <c r="AB698">
        <v>18</v>
      </c>
      <c r="AC698">
        <v>2</v>
      </c>
      <c r="AD698">
        <v>8</v>
      </c>
      <c r="AE698" t="s">
        <v>60</v>
      </c>
    </row>
    <row r="699" spans="1:31" x14ac:dyDescent="0.2">
      <c r="A699">
        <v>665</v>
      </c>
      <c r="B699" t="s">
        <v>1165</v>
      </c>
      <c r="C699">
        <v>24</v>
      </c>
      <c r="D699" t="s">
        <v>356</v>
      </c>
      <c r="E699" t="s">
        <v>322</v>
      </c>
      <c r="F699">
        <v>6</v>
      </c>
      <c r="G699">
        <v>1</v>
      </c>
      <c r="H699">
        <v>0</v>
      </c>
      <c r="I699">
        <v>1</v>
      </c>
      <c r="J699">
        <v>-1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6</v>
      </c>
      <c r="T699">
        <v>16.7</v>
      </c>
      <c r="U699">
        <v>10</v>
      </c>
      <c r="V699" t="s">
        <v>1166</v>
      </c>
      <c r="W699" t="s">
        <v>1167</v>
      </c>
      <c r="X699">
        <v>0</v>
      </c>
      <c r="Y699">
        <v>3</v>
      </c>
      <c r="Z699">
        <v>0</v>
      </c>
      <c r="AA699">
        <v>4</v>
      </c>
      <c r="AB699">
        <v>7</v>
      </c>
      <c r="AC699">
        <v>0</v>
      </c>
      <c r="AD699">
        <v>1</v>
      </c>
      <c r="AE699" t="s">
        <v>60</v>
      </c>
    </row>
    <row r="700" spans="1:31" x14ac:dyDescent="0.2">
      <c r="A700">
        <v>665</v>
      </c>
      <c r="B700" t="s">
        <v>1165</v>
      </c>
      <c r="C700">
        <v>24</v>
      </c>
      <c r="D700" t="s">
        <v>437</v>
      </c>
      <c r="E700" t="s">
        <v>322</v>
      </c>
      <c r="F700">
        <v>19</v>
      </c>
      <c r="G700">
        <v>0</v>
      </c>
      <c r="H700">
        <v>2</v>
      </c>
      <c r="I700">
        <v>2</v>
      </c>
      <c r="J700">
        <v>-4</v>
      </c>
      <c r="K700">
        <v>29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1</v>
      </c>
      <c r="S700">
        <v>15</v>
      </c>
      <c r="T700">
        <v>0</v>
      </c>
      <c r="U700">
        <v>32</v>
      </c>
      <c r="V700" t="s">
        <v>1910</v>
      </c>
      <c r="W700" t="s">
        <v>1906</v>
      </c>
      <c r="X700">
        <v>43</v>
      </c>
      <c r="Y700">
        <v>57</v>
      </c>
      <c r="Z700">
        <v>43</v>
      </c>
      <c r="AA700">
        <v>14</v>
      </c>
      <c r="AB700">
        <v>11</v>
      </c>
      <c r="AC700">
        <v>2</v>
      </c>
      <c r="AD700">
        <v>7</v>
      </c>
      <c r="AE700" t="s">
        <v>60</v>
      </c>
    </row>
    <row r="701" spans="1:31" x14ac:dyDescent="0.2">
      <c r="A701">
        <v>666</v>
      </c>
      <c r="B701" t="s">
        <v>1218</v>
      </c>
      <c r="C701">
        <v>30</v>
      </c>
      <c r="D701" t="s">
        <v>957</v>
      </c>
      <c r="E701" t="s">
        <v>322</v>
      </c>
      <c r="F701">
        <v>19</v>
      </c>
      <c r="G701">
        <v>1</v>
      </c>
      <c r="H701">
        <v>2</v>
      </c>
      <c r="I701">
        <v>3</v>
      </c>
      <c r="J701">
        <v>0</v>
      </c>
      <c r="K701">
        <v>8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19</v>
      </c>
      <c r="T701">
        <v>5.3</v>
      </c>
      <c r="U701">
        <v>48</v>
      </c>
      <c r="V701" t="s">
        <v>2643</v>
      </c>
      <c r="W701" t="s">
        <v>1139</v>
      </c>
      <c r="X701">
        <v>5</v>
      </c>
      <c r="Y701">
        <v>12</v>
      </c>
      <c r="Z701">
        <v>29.4</v>
      </c>
      <c r="AA701">
        <v>13</v>
      </c>
      <c r="AB701">
        <v>28</v>
      </c>
      <c r="AC701">
        <v>4</v>
      </c>
      <c r="AD701">
        <v>7</v>
      </c>
      <c r="AE701" t="s">
        <v>60</v>
      </c>
    </row>
    <row r="702" spans="1:31" x14ac:dyDescent="0.2">
      <c r="A702">
        <v>666</v>
      </c>
      <c r="B702" t="s">
        <v>1218</v>
      </c>
      <c r="C702">
        <v>30</v>
      </c>
      <c r="D702" t="s">
        <v>377</v>
      </c>
      <c r="E702" t="s">
        <v>322</v>
      </c>
      <c r="F702">
        <v>13</v>
      </c>
      <c r="G702">
        <v>1</v>
      </c>
      <c r="H702">
        <v>1</v>
      </c>
      <c r="I702">
        <v>2</v>
      </c>
      <c r="J702">
        <v>1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14</v>
      </c>
      <c r="T702">
        <v>7.1</v>
      </c>
      <c r="U702">
        <v>35</v>
      </c>
      <c r="V702" t="s">
        <v>1646</v>
      </c>
      <c r="W702" t="s">
        <v>1289</v>
      </c>
      <c r="X702">
        <v>5</v>
      </c>
      <c r="Y702">
        <v>11</v>
      </c>
      <c r="Z702">
        <v>31.3</v>
      </c>
      <c r="AA702">
        <v>10</v>
      </c>
      <c r="AB702">
        <v>16</v>
      </c>
      <c r="AC702">
        <v>2</v>
      </c>
      <c r="AD702">
        <v>4</v>
      </c>
      <c r="AE702" t="s">
        <v>60</v>
      </c>
    </row>
    <row r="703" spans="1:31" x14ac:dyDescent="0.2">
      <c r="A703">
        <v>666</v>
      </c>
      <c r="B703" t="s">
        <v>1218</v>
      </c>
      <c r="C703">
        <v>30</v>
      </c>
      <c r="D703" t="s">
        <v>382</v>
      </c>
      <c r="E703" t="s">
        <v>322</v>
      </c>
      <c r="F703">
        <v>6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5</v>
      </c>
      <c r="T703">
        <v>0</v>
      </c>
      <c r="U703">
        <v>13</v>
      </c>
      <c r="V703" t="s">
        <v>2644</v>
      </c>
      <c r="W703" t="s">
        <v>1324</v>
      </c>
      <c r="X703">
        <v>0</v>
      </c>
      <c r="Y703">
        <v>1</v>
      </c>
      <c r="Z703">
        <v>0</v>
      </c>
      <c r="AA703">
        <v>3</v>
      </c>
      <c r="AB703">
        <v>12</v>
      </c>
      <c r="AC703">
        <v>2</v>
      </c>
      <c r="AD703">
        <v>3</v>
      </c>
      <c r="AE703" t="s">
        <v>60</v>
      </c>
    </row>
    <row r="704" spans="1:31" x14ac:dyDescent="0.2">
      <c r="A704">
        <v>667</v>
      </c>
      <c r="B704" t="s">
        <v>1104</v>
      </c>
      <c r="C704">
        <v>27</v>
      </c>
      <c r="D704" t="s">
        <v>437</v>
      </c>
      <c r="E704" t="s">
        <v>349</v>
      </c>
      <c r="F704">
        <v>16</v>
      </c>
      <c r="G704">
        <v>1</v>
      </c>
      <c r="H704">
        <v>1</v>
      </c>
      <c r="I704">
        <v>2</v>
      </c>
      <c r="J704">
        <v>-7</v>
      </c>
      <c r="K704">
        <v>16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16</v>
      </c>
      <c r="T704">
        <v>6.3</v>
      </c>
      <c r="U704">
        <v>44</v>
      </c>
      <c r="V704" t="s">
        <v>1105</v>
      </c>
      <c r="W704" t="s">
        <v>1106</v>
      </c>
      <c r="X704">
        <v>0</v>
      </c>
      <c r="Y704">
        <v>0</v>
      </c>
      <c r="AA704">
        <v>29</v>
      </c>
      <c r="AB704">
        <v>3</v>
      </c>
      <c r="AC704">
        <v>5</v>
      </c>
      <c r="AD704">
        <v>15</v>
      </c>
      <c r="AE704" t="s">
        <v>60</v>
      </c>
    </row>
    <row r="705" spans="1:31" x14ac:dyDescent="0.2">
      <c r="A705">
        <v>668</v>
      </c>
      <c r="B705" t="s">
        <v>1187</v>
      </c>
      <c r="C705">
        <v>26</v>
      </c>
      <c r="D705" t="s">
        <v>382</v>
      </c>
      <c r="E705" t="s">
        <v>349</v>
      </c>
      <c r="F705">
        <v>27</v>
      </c>
      <c r="G705">
        <v>0</v>
      </c>
      <c r="H705">
        <v>2</v>
      </c>
      <c r="I705">
        <v>2</v>
      </c>
      <c r="J705">
        <v>-8</v>
      </c>
      <c r="K705">
        <v>4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18</v>
      </c>
      <c r="T705">
        <v>0</v>
      </c>
      <c r="U705">
        <v>56</v>
      </c>
      <c r="V705" t="s">
        <v>2645</v>
      </c>
      <c r="W705" t="s">
        <v>2646</v>
      </c>
      <c r="X705">
        <v>0</v>
      </c>
      <c r="Y705">
        <v>0</v>
      </c>
      <c r="AA705">
        <v>15</v>
      </c>
      <c r="AB705">
        <v>18</v>
      </c>
      <c r="AC705">
        <v>1</v>
      </c>
      <c r="AD705">
        <v>11</v>
      </c>
      <c r="AE705" t="s">
        <v>60</v>
      </c>
    </row>
    <row r="706" spans="1:31" x14ac:dyDescent="0.2">
      <c r="A706">
        <v>669</v>
      </c>
      <c r="B706" t="s">
        <v>1110</v>
      </c>
      <c r="C706">
        <v>29</v>
      </c>
      <c r="D706" t="s">
        <v>324</v>
      </c>
      <c r="E706" t="s">
        <v>349</v>
      </c>
      <c r="F706">
        <v>20</v>
      </c>
      <c r="G706">
        <v>0</v>
      </c>
      <c r="H706">
        <v>2</v>
      </c>
      <c r="I706">
        <v>2</v>
      </c>
      <c r="J706">
        <v>1</v>
      </c>
      <c r="K706">
        <v>32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12</v>
      </c>
      <c r="T706">
        <v>0</v>
      </c>
      <c r="U706">
        <v>33</v>
      </c>
      <c r="V706" t="s">
        <v>1111</v>
      </c>
      <c r="W706" t="s">
        <v>627</v>
      </c>
      <c r="X706">
        <v>0</v>
      </c>
      <c r="Y706">
        <v>0</v>
      </c>
      <c r="AA706">
        <v>34</v>
      </c>
      <c r="AB706">
        <v>28</v>
      </c>
      <c r="AC706">
        <v>2</v>
      </c>
      <c r="AD706">
        <v>16</v>
      </c>
      <c r="AE706" t="s">
        <v>60</v>
      </c>
    </row>
    <row r="707" spans="1:31" x14ac:dyDescent="0.2">
      <c r="A707">
        <v>670</v>
      </c>
      <c r="B707" t="s">
        <v>1113</v>
      </c>
      <c r="C707">
        <v>25</v>
      </c>
      <c r="D707" t="s">
        <v>353</v>
      </c>
      <c r="E707" t="s">
        <v>322</v>
      </c>
      <c r="F707">
        <v>27</v>
      </c>
      <c r="G707">
        <v>0</v>
      </c>
      <c r="H707">
        <v>2</v>
      </c>
      <c r="I707">
        <v>2</v>
      </c>
      <c r="J707">
        <v>1</v>
      </c>
      <c r="K707">
        <v>75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15</v>
      </c>
      <c r="T707">
        <v>0</v>
      </c>
      <c r="U707">
        <v>31</v>
      </c>
      <c r="V707" t="s">
        <v>1760</v>
      </c>
      <c r="W707" t="s">
        <v>1761</v>
      </c>
      <c r="X707">
        <v>2</v>
      </c>
      <c r="Y707">
        <v>2</v>
      </c>
      <c r="Z707">
        <v>50</v>
      </c>
      <c r="AA707">
        <v>6</v>
      </c>
      <c r="AB707">
        <v>29</v>
      </c>
      <c r="AC707">
        <v>3</v>
      </c>
      <c r="AD707">
        <v>9</v>
      </c>
      <c r="AE707" t="s">
        <v>60</v>
      </c>
    </row>
    <row r="708" spans="1:31" x14ac:dyDescent="0.2">
      <c r="A708">
        <v>671</v>
      </c>
      <c r="B708" t="s">
        <v>1198</v>
      </c>
      <c r="C708">
        <v>27</v>
      </c>
      <c r="D708" t="s">
        <v>532</v>
      </c>
      <c r="E708" t="s">
        <v>349</v>
      </c>
      <c r="F708">
        <v>15</v>
      </c>
      <c r="G708">
        <v>1</v>
      </c>
      <c r="H708">
        <v>1</v>
      </c>
      <c r="I708">
        <v>2</v>
      </c>
      <c r="J708">
        <v>4</v>
      </c>
      <c r="K708">
        <v>5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19</v>
      </c>
      <c r="T708">
        <v>5.3</v>
      </c>
      <c r="U708">
        <v>41</v>
      </c>
      <c r="V708" t="s">
        <v>2862</v>
      </c>
      <c r="W708" t="s">
        <v>2863</v>
      </c>
      <c r="X708">
        <v>0</v>
      </c>
      <c r="Y708">
        <v>0</v>
      </c>
      <c r="AA708">
        <v>18</v>
      </c>
      <c r="AB708">
        <v>29</v>
      </c>
      <c r="AC708">
        <v>4</v>
      </c>
      <c r="AD708">
        <v>14</v>
      </c>
      <c r="AE708" t="s">
        <v>60</v>
      </c>
    </row>
    <row r="709" spans="1:31" x14ac:dyDescent="0.2">
      <c r="A709">
        <v>672</v>
      </c>
      <c r="B709" t="s">
        <v>1202</v>
      </c>
      <c r="C709">
        <v>26</v>
      </c>
      <c r="D709" t="s">
        <v>385</v>
      </c>
      <c r="E709" t="s">
        <v>325</v>
      </c>
      <c r="F709">
        <v>19</v>
      </c>
      <c r="G709">
        <v>1</v>
      </c>
      <c r="H709">
        <v>1</v>
      </c>
      <c r="I709">
        <v>2</v>
      </c>
      <c r="J709">
        <v>1</v>
      </c>
      <c r="K709">
        <v>2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25</v>
      </c>
      <c r="T709">
        <v>4</v>
      </c>
      <c r="U709">
        <v>35</v>
      </c>
      <c r="V709" t="s">
        <v>2647</v>
      </c>
      <c r="W709" t="s">
        <v>983</v>
      </c>
      <c r="X709">
        <v>0</v>
      </c>
      <c r="Y709">
        <v>1</v>
      </c>
      <c r="Z709">
        <v>0</v>
      </c>
      <c r="AA709">
        <v>12</v>
      </c>
      <c r="AB709">
        <v>95</v>
      </c>
      <c r="AC709">
        <v>3</v>
      </c>
      <c r="AD709">
        <v>6</v>
      </c>
      <c r="AE709" t="s">
        <v>60</v>
      </c>
    </row>
    <row r="710" spans="1:31" x14ac:dyDescent="0.2">
      <c r="A710">
        <v>673</v>
      </c>
      <c r="B710" t="s">
        <v>1121</v>
      </c>
      <c r="C710">
        <v>24</v>
      </c>
      <c r="D710" t="s">
        <v>364</v>
      </c>
      <c r="E710" t="s">
        <v>349</v>
      </c>
      <c r="F710">
        <v>7</v>
      </c>
      <c r="G710">
        <v>1</v>
      </c>
      <c r="H710">
        <v>1</v>
      </c>
      <c r="I710">
        <v>2</v>
      </c>
      <c r="J710">
        <v>-1</v>
      </c>
      <c r="K710">
        <v>7</v>
      </c>
      <c r="L710">
        <v>1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11</v>
      </c>
      <c r="T710">
        <v>9.1</v>
      </c>
      <c r="U710">
        <v>21</v>
      </c>
      <c r="V710" t="s">
        <v>2196</v>
      </c>
      <c r="W710" t="s">
        <v>378</v>
      </c>
      <c r="X710">
        <v>0</v>
      </c>
      <c r="Y710">
        <v>0</v>
      </c>
      <c r="AA710">
        <v>7</v>
      </c>
      <c r="AB710">
        <v>16</v>
      </c>
      <c r="AC710">
        <v>5</v>
      </c>
      <c r="AD710">
        <v>9</v>
      </c>
      <c r="AE710" t="s">
        <v>60</v>
      </c>
    </row>
    <row r="711" spans="1:31" x14ac:dyDescent="0.2">
      <c r="A711">
        <v>674</v>
      </c>
      <c r="B711" t="s">
        <v>1125</v>
      </c>
      <c r="C711">
        <v>25</v>
      </c>
      <c r="D711" t="s">
        <v>356</v>
      </c>
      <c r="E711" t="s">
        <v>349</v>
      </c>
      <c r="F711">
        <v>5</v>
      </c>
      <c r="G711">
        <v>1</v>
      </c>
      <c r="H711">
        <v>1</v>
      </c>
      <c r="I711">
        <v>2</v>
      </c>
      <c r="J711">
        <v>0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9</v>
      </c>
      <c r="T711">
        <v>11.1</v>
      </c>
      <c r="U711">
        <v>12</v>
      </c>
      <c r="V711" t="s">
        <v>1126</v>
      </c>
      <c r="W711" t="s">
        <v>1045</v>
      </c>
      <c r="X711">
        <v>0</v>
      </c>
      <c r="Y711">
        <v>0</v>
      </c>
      <c r="AA711">
        <v>3</v>
      </c>
      <c r="AB711">
        <v>4</v>
      </c>
      <c r="AC711">
        <v>1</v>
      </c>
      <c r="AD711">
        <v>5</v>
      </c>
      <c r="AE711" t="s">
        <v>60</v>
      </c>
    </row>
    <row r="712" spans="1:31" x14ac:dyDescent="0.2">
      <c r="A712">
        <v>675</v>
      </c>
      <c r="B712" t="s">
        <v>1622</v>
      </c>
      <c r="C712">
        <v>27</v>
      </c>
      <c r="D712" t="s">
        <v>328</v>
      </c>
      <c r="E712" t="s">
        <v>340</v>
      </c>
      <c r="F712">
        <v>8</v>
      </c>
      <c r="G712">
        <v>1</v>
      </c>
      <c r="H712">
        <v>1</v>
      </c>
      <c r="I712">
        <v>2</v>
      </c>
      <c r="J712">
        <v>0</v>
      </c>
      <c r="K712">
        <v>5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12</v>
      </c>
      <c r="T712">
        <v>8.3000000000000007</v>
      </c>
      <c r="U712">
        <v>15</v>
      </c>
      <c r="V712" t="s">
        <v>1850</v>
      </c>
      <c r="W712" t="s">
        <v>1146</v>
      </c>
      <c r="X712">
        <v>0</v>
      </c>
      <c r="Y712">
        <v>0</v>
      </c>
      <c r="AA712">
        <v>2</v>
      </c>
      <c r="AB712">
        <v>20</v>
      </c>
      <c r="AC712">
        <v>2</v>
      </c>
      <c r="AD712">
        <v>4</v>
      </c>
      <c r="AE712" t="s">
        <v>60</v>
      </c>
    </row>
    <row r="713" spans="1:31" x14ac:dyDescent="0.2">
      <c r="A713">
        <v>676</v>
      </c>
      <c r="B713" t="s">
        <v>1224</v>
      </c>
      <c r="C713">
        <v>26</v>
      </c>
      <c r="D713" t="s">
        <v>449</v>
      </c>
      <c r="E713" t="s">
        <v>349</v>
      </c>
      <c r="F713">
        <v>16</v>
      </c>
      <c r="G713">
        <v>0</v>
      </c>
      <c r="H713">
        <v>2</v>
      </c>
      <c r="I713">
        <v>2</v>
      </c>
      <c r="J713">
        <v>-8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11</v>
      </c>
      <c r="T713">
        <v>0</v>
      </c>
      <c r="U713">
        <v>28</v>
      </c>
      <c r="V713" t="s">
        <v>2648</v>
      </c>
      <c r="W713" t="s">
        <v>2649</v>
      </c>
      <c r="X713">
        <v>0</v>
      </c>
      <c r="Y713">
        <v>0</v>
      </c>
      <c r="AA713">
        <v>16</v>
      </c>
      <c r="AB713">
        <v>6</v>
      </c>
      <c r="AC713">
        <v>5</v>
      </c>
      <c r="AD713">
        <v>9</v>
      </c>
      <c r="AE713" t="s">
        <v>60</v>
      </c>
    </row>
    <row r="714" spans="1:31" x14ac:dyDescent="0.2">
      <c r="A714">
        <v>677</v>
      </c>
      <c r="B714" t="s">
        <v>1232</v>
      </c>
      <c r="C714">
        <v>30</v>
      </c>
      <c r="D714" t="s">
        <v>330</v>
      </c>
      <c r="E714" t="s">
        <v>322</v>
      </c>
      <c r="F714">
        <v>17</v>
      </c>
      <c r="G714">
        <v>1</v>
      </c>
      <c r="H714">
        <v>1</v>
      </c>
      <c r="I714">
        <v>2</v>
      </c>
      <c r="J714">
        <v>2</v>
      </c>
      <c r="K714">
        <v>14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6</v>
      </c>
      <c r="T714">
        <v>16.7</v>
      </c>
      <c r="U714">
        <v>15</v>
      </c>
      <c r="V714" t="s">
        <v>1911</v>
      </c>
      <c r="W714" t="s">
        <v>1742</v>
      </c>
      <c r="X714">
        <v>10</v>
      </c>
      <c r="Y714">
        <v>10</v>
      </c>
      <c r="Z714">
        <v>50</v>
      </c>
      <c r="AA714">
        <v>1</v>
      </c>
      <c r="AB714">
        <v>20</v>
      </c>
      <c r="AC714">
        <v>1</v>
      </c>
      <c r="AD714">
        <v>9</v>
      </c>
      <c r="AE714" t="s">
        <v>60</v>
      </c>
    </row>
    <row r="715" spans="1:31" x14ac:dyDescent="0.2">
      <c r="A715">
        <v>678</v>
      </c>
      <c r="B715" t="s">
        <v>1429</v>
      </c>
      <c r="C715">
        <v>30</v>
      </c>
      <c r="D715" t="s">
        <v>400</v>
      </c>
      <c r="E715" t="s">
        <v>335</v>
      </c>
      <c r="F715">
        <v>22</v>
      </c>
      <c r="G715">
        <v>0</v>
      </c>
      <c r="H715">
        <v>2</v>
      </c>
      <c r="I715">
        <v>2</v>
      </c>
      <c r="J715">
        <v>-4</v>
      </c>
      <c r="K715">
        <v>4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15</v>
      </c>
      <c r="T715">
        <v>0</v>
      </c>
      <c r="U715">
        <v>25</v>
      </c>
      <c r="V715" t="s">
        <v>1961</v>
      </c>
      <c r="W715" t="s">
        <v>1845</v>
      </c>
      <c r="X715">
        <v>54</v>
      </c>
      <c r="Y715">
        <v>55</v>
      </c>
      <c r="Z715">
        <v>49.5</v>
      </c>
      <c r="AA715">
        <v>13</v>
      </c>
      <c r="AB715">
        <v>37</v>
      </c>
      <c r="AC715">
        <v>2</v>
      </c>
      <c r="AD715">
        <v>4</v>
      </c>
      <c r="AE715" t="s">
        <v>60</v>
      </c>
    </row>
    <row r="716" spans="1:31" x14ac:dyDescent="0.2">
      <c r="A716">
        <v>679</v>
      </c>
      <c r="B716" t="s">
        <v>1135</v>
      </c>
      <c r="C716">
        <v>22</v>
      </c>
      <c r="D716" t="s">
        <v>398</v>
      </c>
      <c r="E716" t="s">
        <v>349</v>
      </c>
      <c r="F716">
        <v>8</v>
      </c>
      <c r="G716">
        <v>1</v>
      </c>
      <c r="H716">
        <v>1</v>
      </c>
      <c r="I716">
        <v>2</v>
      </c>
      <c r="J716">
        <v>4</v>
      </c>
      <c r="K716">
        <v>10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10</v>
      </c>
      <c r="T716">
        <v>10</v>
      </c>
      <c r="U716">
        <v>24</v>
      </c>
      <c r="V716" t="s">
        <v>1136</v>
      </c>
      <c r="W716" t="s">
        <v>737</v>
      </c>
      <c r="X716">
        <v>0</v>
      </c>
      <c r="Y716">
        <v>0</v>
      </c>
      <c r="AA716">
        <v>6</v>
      </c>
      <c r="AB716">
        <v>9</v>
      </c>
      <c r="AC716">
        <v>4</v>
      </c>
      <c r="AD716">
        <v>8</v>
      </c>
      <c r="AE716" t="s">
        <v>60</v>
      </c>
    </row>
    <row r="717" spans="1:31" x14ac:dyDescent="0.2">
      <c r="A717">
        <v>680</v>
      </c>
      <c r="B717" t="s">
        <v>1137</v>
      </c>
      <c r="C717">
        <v>21</v>
      </c>
      <c r="D717" t="s">
        <v>449</v>
      </c>
      <c r="E717" t="s">
        <v>335</v>
      </c>
      <c r="F717">
        <v>8</v>
      </c>
      <c r="G717">
        <v>1</v>
      </c>
      <c r="H717">
        <v>1</v>
      </c>
      <c r="I717">
        <v>2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4</v>
      </c>
      <c r="T717">
        <v>25</v>
      </c>
      <c r="U717">
        <v>13</v>
      </c>
      <c r="V717" t="s">
        <v>1138</v>
      </c>
      <c r="W717" t="s">
        <v>1139</v>
      </c>
      <c r="X717">
        <v>0</v>
      </c>
      <c r="Y717">
        <v>0</v>
      </c>
      <c r="AA717">
        <v>3</v>
      </c>
      <c r="AB717">
        <v>6</v>
      </c>
      <c r="AC717">
        <v>0</v>
      </c>
      <c r="AD717">
        <v>6</v>
      </c>
      <c r="AE717" t="s">
        <v>60</v>
      </c>
    </row>
    <row r="718" spans="1:31" x14ac:dyDescent="0.2">
      <c r="A718">
        <v>681</v>
      </c>
      <c r="B718" t="s">
        <v>1241</v>
      </c>
      <c r="C718">
        <v>26</v>
      </c>
      <c r="D718" t="s">
        <v>418</v>
      </c>
      <c r="E718" t="s">
        <v>335</v>
      </c>
      <c r="F718">
        <v>7</v>
      </c>
      <c r="G718">
        <v>1</v>
      </c>
      <c r="H718">
        <v>1</v>
      </c>
      <c r="I718">
        <v>2</v>
      </c>
      <c r="J718">
        <v>-2</v>
      </c>
      <c r="K718">
        <v>0</v>
      </c>
      <c r="L718">
        <v>1</v>
      </c>
      <c r="M718">
        <v>0</v>
      </c>
      <c r="N718">
        <v>0</v>
      </c>
      <c r="O718">
        <v>1</v>
      </c>
      <c r="P718">
        <v>1</v>
      </c>
      <c r="Q718">
        <v>0</v>
      </c>
      <c r="R718">
        <v>0</v>
      </c>
      <c r="S718">
        <v>7</v>
      </c>
      <c r="T718">
        <v>14.3</v>
      </c>
      <c r="U718">
        <v>10</v>
      </c>
      <c r="V718" t="s">
        <v>1694</v>
      </c>
      <c r="W718" t="s">
        <v>1430</v>
      </c>
      <c r="X718">
        <v>0</v>
      </c>
      <c r="Y718">
        <v>0</v>
      </c>
      <c r="AA718">
        <v>4</v>
      </c>
      <c r="AB718">
        <v>4</v>
      </c>
      <c r="AC718">
        <v>1</v>
      </c>
      <c r="AD718">
        <v>1</v>
      </c>
      <c r="AE718" t="s">
        <v>60</v>
      </c>
    </row>
    <row r="719" spans="1:31" x14ac:dyDescent="0.2">
      <c r="A719">
        <v>682</v>
      </c>
      <c r="B719" t="s">
        <v>1243</v>
      </c>
      <c r="C719">
        <v>22</v>
      </c>
      <c r="D719" t="s">
        <v>514</v>
      </c>
      <c r="E719" t="s">
        <v>349</v>
      </c>
      <c r="F719">
        <v>32</v>
      </c>
      <c r="G719">
        <v>1</v>
      </c>
      <c r="H719">
        <v>1</v>
      </c>
      <c r="I719">
        <v>2</v>
      </c>
      <c r="J719">
        <v>-21</v>
      </c>
      <c r="K719">
        <v>33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30</v>
      </c>
      <c r="T719">
        <v>3.3</v>
      </c>
      <c r="U719">
        <v>69</v>
      </c>
      <c r="V719" t="s">
        <v>2650</v>
      </c>
      <c r="W719" t="s">
        <v>1716</v>
      </c>
      <c r="X719">
        <v>0</v>
      </c>
      <c r="Y719">
        <v>0</v>
      </c>
      <c r="AA719">
        <v>20</v>
      </c>
      <c r="AB719">
        <v>37</v>
      </c>
      <c r="AC719">
        <v>4</v>
      </c>
      <c r="AD719">
        <v>28</v>
      </c>
      <c r="AE719" t="s">
        <v>60</v>
      </c>
    </row>
    <row r="720" spans="1:31" x14ac:dyDescent="0.2">
      <c r="A720">
        <v>683</v>
      </c>
      <c r="B720" t="s">
        <v>1143</v>
      </c>
      <c r="C720">
        <v>36</v>
      </c>
      <c r="D720" t="s">
        <v>400</v>
      </c>
      <c r="E720" t="s">
        <v>3</v>
      </c>
      <c r="F720">
        <v>24</v>
      </c>
      <c r="G720">
        <v>0</v>
      </c>
      <c r="H720">
        <v>2</v>
      </c>
      <c r="I720">
        <v>2</v>
      </c>
      <c r="J720">
        <v>0</v>
      </c>
      <c r="K720">
        <v>6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1</v>
      </c>
      <c r="S720">
        <v>0</v>
      </c>
      <c r="U720">
        <v>0</v>
      </c>
      <c r="V720" t="s">
        <v>2864</v>
      </c>
      <c r="W720" t="s">
        <v>2865</v>
      </c>
      <c r="X720">
        <v>0</v>
      </c>
      <c r="Y720">
        <v>0</v>
      </c>
      <c r="AA720">
        <v>0</v>
      </c>
      <c r="AB720">
        <v>0</v>
      </c>
      <c r="AC720">
        <v>0</v>
      </c>
      <c r="AD720">
        <v>13</v>
      </c>
      <c r="AE720" t="s">
        <v>60</v>
      </c>
    </row>
    <row r="721" spans="1:31" x14ac:dyDescent="0.2">
      <c r="A721">
        <v>684</v>
      </c>
      <c r="B721" t="s">
        <v>1587</v>
      </c>
      <c r="C721">
        <v>27</v>
      </c>
      <c r="D721" t="s">
        <v>514</v>
      </c>
      <c r="E721" t="s">
        <v>340</v>
      </c>
      <c r="F721">
        <v>3</v>
      </c>
      <c r="G721">
        <v>1</v>
      </c>
      <c r="H721">
        <v>1</v>
      </c>
      <c r="I721">
        <v>2</v>
      </c>
      <c r="J721">
        <v>0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4</v>
      </c>
      <c r="T721">
        <v>25</v>
      </c>
      <c r="U721">
        <v>5</v>
      </c>
      <c r="V721" t="s">
        <v>1626</v>
      </c>
      <c r="W721" t="s">
        <v>844</v>
      </c>
      <c r="X721">
        <v>4</v>
      </c>
      <c r="Y721">
        <v>1</v>
      </c>
      <c r="Z721">
        <v>80</v>
      </c>
      <c r="AA721">
        <v>2</v>
      </c>
      <c r="AB721">
        <v>0</v>
      </c>
      <c r="AC721">
        <v>1</v>
      </c>
      <c r="AD721">
        <v>2</v>
      </c>
      <c r="AE721" t="s">
        <v>60</v>
      </c>
    </row>
    <row r="722" spans="1:31" x14ac:dyDescent="0.2">
      <c r="A722">
        <v>685</v>
      </c>
      <c r="B722" t="s">
        <v>1452</v>
      </c>
      <c r="C722">
        <v>27</v>
      </c>
      <c r="D722" t="s">
        <v>429</v>
      </c>
      <c r="E722" t="s">
        <v>349</v>
      </c>
      <c r="F722">
        <v>16</v>
      </c>
      <c r="G722">
        <v>1</v>
      </c>
      <c r="H722">
        <v>1</v>
      </c>
      <c r="I722">
        <v>2</v>
      </c>
      <c r="J722">
        <v>11</v>
      </c>
      <c r="K722">
        <v>6</v>
      </c>
      <c r="L722">
        <v>1</v>
      </c>
      <c r="M722">
        <v>0</v>
      </c>
      <c r="N722">
        <v>0</v>
      </c>
      <c r="O722">
        <v>1</v>
      </c>
      <c r="P722">
        <v>1</v>
      </c>
      <c r="Q722">
        <v>0</v>
      </c>
      <c r="R722">
        <v>0</v>
      </c>
      <c r="S722">
        <v>7</v>
      </c>
      <c r="T722">
        <v>14.3</v>
      </c>
      <c r="U722">
        <v>18</v>
      </c>
      <c r="V722" t="s">
        <v>2866</v>
      </c>
      <c r="W722" t="s">
        <v>1379</v>
      </c>
      <c r="X722">
        <v>0</v>
      </c>
      <c r="Y722">
        <v>0</v>
      </c>
      <c r="AA722">
        <v>10</v>
      </c>
      <c r="AB722">
        <v>3</v>
      </c>
      <c r="AC722">
        <v>2</v>
      </c>
      <c r="AD722">
        <v>13</v>
      </c>
      <c r="AE722" t="s">
        <v>60</v>
      </c>
    </row>
    <row r="723" spans="1:31" x14ac:dyDescent="0.2">
      <c r="A723">
        <v>686</v>
      </c>
      <c r="B723" t="s">
        <v>1254</v>
      </c>
      <c r="C723">
        <v>29</v>
      </c>
      <c r="D723" t="s">
        <v>360</v>
      </c>
      <c r="E723" t="s">
        <v>349</v>
      </c>
      <c r="F723">
        <v>23</v>
      </c>
      <c r="G723">
        <v>0</v>
      </c>
      <c r="H723">
        <v>2</v>
      </c>
      <c r="I723">
        <v>2</v>
      </c>
      <c r="J723">
        <v>-8</v>
      </c>
      <c r="K723">
        <v>14</v>
      </c>
      <c r="L723">
        <v>0</v>
      </c>
      <c r="M723">
        <v>0</v>
      </c>
      <c r="N723">
        <v>0</v>
      </c>
      <c r="O723">
        <v>0</v>
      </c>
      <c r="P723">
        <v>2</v>
      </c>
      <c r="Q723">
        <v>0</v>
      </c>
      <c r="R723">
        <v>0</v>
      </c>
      <c r="S723">
        <v>24</v>
      </c>
      <c r="T723">
        <v>0</v>
      </c>
      <c r="U723">
        <v>57</v>
      </c>
      <c r="V723" t="s">
        <v>2000</v>
      </c>
      <c r="W723" t="s">
        <v>600</v>
      </c>
      <c r="X723">
        <v>0</v>
      </c>
      <c r="Y723">
        <v>0</v>
      </c>
      <c r="AA723">
        <v>29</v>
      </c>
      <c r="AB723">
        <v>36</v>
      </c>
      <c r="AC723">
        <v>3</v>
      </c>
      <c r="AD723">
        <v>16</v>
      </c>
      <c r="AE723" t="s">
        <v>60</v>
      </c>
    </row>
    <row r="724" spans="1:31" x14ac:dyDescent="0.2">
      <c r="A724">
        <v>687</v>
      </c>
      <c r="B724" t="s">
        <v>1255</v>
      </c>
      <c r="C724">
        <v>20</v>
      </c>
      <c r="D724" t="s">
        <v>398</v>
      </c>
      <c r="E724" t="s">
        <v>340</v>
      </c>
      <c r="F724">
        <v>8</v>
      </c>
      <c r="G724">
        <v>2</v>
      </c>
      <c r="H724">
        <v>0</v>
      </c>
      <c r="I724">
        <v>2</v>
      </c>
      <c r="J724">
        <v>-2</v>
      </c>
      <c r="K724">
        <v>0</v>
      </c>
      <c r="L724">
        <v>1</v>
      </c>
      <c r="M724">
        <v>1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25</v>
      </c>
      <c r="U724">
        <v>22</v>
      </c>
      <c r="V724" t="s">
        <v>1744</v>
      </c>
      <c r="W724" t="s">
        <v>1706</v>
      </c>
      <c r="X724">
        <v>0</v>
      </c>
      <c r="Y724">
        <v>1</v>
      </c>
      <c r="Z724">
        <v>0</v>
      </c>
      <c r="AA724">
        <v>4</v>
      </c>
      <c r="AB724">
        <v>12</v>
      </c>
      <c r="AC724">
        <v>0</v>
      </c>
      <c r="AD724">
        <v>7</v>
      </c>
      <c r="AE724" t="s">
        <v>60</v>
      </c>
    </row>
    <row r="725" spans="1:31" x14ac:dyDescent="0.2">
      <c r="A725">
        <v>688</v>
      </c>
      <c r="B725" t="s">
        <v>1150</v>
      </c>
      <c r="C725">
        <v>24</v>
      </c>
      <c r="D725" t="s">
        <v>374</v>
      </c>
      <c r="E725" t="s">
        <v>335</v>
      </c>
      <c r="F725">
        <v>10</v>
      </c>
      <c r="G725">
        <v>2</v>
      </c>
      <c r="H725">
        <v>0</v>
      </c>
      <c r="I725">
        <v>2</v>
      </c>
      <c r="J725">
        <v>0</v>
      </c>
      <c r="K725">
        <v>0</v>
      </c>
      <c r="L725">
        <v>2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7</v>
      </c>
      <c r="T725">
        <v>28.6</v>
      </c>
      <c r="U725">
        <v>14</v>
      </c>
      <c r="V725" t="s">
        <v>1151</v>
      </c>
      <c r="W725" t="s">
        <v>1152</v>
      </c>
      <c r="X725">
        <v>27</v>
      </c>
      <c r="Y725">
        <v>38</v>
      </c>
      <c r="Z725">
        <v>41.5</v>
      </c>
      <c r="AA725">
        <v>6</v>
      </c>
      <c r="AB725">
        <v>9</v>
      </c>
      <c r="AC725">
        <v>2</v>
      </c>
      <c r="AD725">
        <v>3</v>
      </c>
      <c r="AE725" t="s">
        <v>60</v>
      </c>
    </row>
    <row r="726" spans="1:31" x14ac:dyDescent="0.2">
      <c r="A726">
        <v>689</v>
      </c>
      <c r="B726" t="s">
        <v>1153</v>
      </c>
      <c r="C726">
        <v>24</v>
      </c>
      <c r="D726" t="s">
        <v>957</v>
      </c>
      <c r="E726" t="s">
        <v>349</v>
      </c>
      <c r="F726">
        <v>17</v>
      </c>
      <c r="G726">
        <v>0</v>
      </c>
      <c r="H726">
        <v>2</v>
      </c>
      <c r="I726">
        <v>2</v>
      </c>
      <c r="J726">
        <v>-2</v>
      </c>
      <c r="K726">
        <v>37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10</v>
      </c>
      <c r="T726">
        <v>0</v>
      </c>
      <c r="U726">
        <v>36</v>
      </c>
      <c r="V726" t="s">
        <v>2197</v>
      </c>
      <c r="W726" t="s">
        <v>1148</v>
      </c>
      <c r="X726">
        <v>0</v>
      </c>
      <c r="Y726">
        <v>0</v>
      </c>
      <c r="AA726">
        <v>12</v>
      </c>
      <c r="AB726">
        <v>28</v>
      </c>
      <c r="AC726">
        <v>2</v>
      </c>
      <c r="AD726">
        <v>14</v>
      </c>
      <c r="AE726" t="s">
        <v>60</v>
      </c>
    </row>
    <row r="727" spans="1:31" x14ac:dyDescent="0.2">
      <c r="A727">
        <v>689</v>
      </c>
      <c r="B727" t="s">
        <v>1153</v>
      </c>
      <c r="C727">
        <v>24</v>
      </c>
      <c r="D727" t="s">
        <v>418</v>
      </c>
      <c r="E727" t="s">
        <v>349</v>
      </c>
      <c r="F727">
        <v>2</v>
      </c>
      <c r="G727">
        <v>0</v>
      </c>
      <c r="H727">
        <v>0</v>
      </c>
      <c r="I727">
        <v>0</v>
      </c>
      <c r="J727">
        <v>-1</v>
      </c>
      <c r="K727">
        <v>5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5</v>
      </c>
      <c r="V727" t="s">
        <v>1154</v>
      </c>
      <c r="W727" t="s">
        <v>1155</v>
      </c>
      <c r="X727">
        <v>0</v>
      </c>
      <c r="Y727">
        <v>0</v>
      </c>
      <c r="AA727">
        <v>0</v>
      </c>
      <c r="AB727">
        <v>1</v>
      </c>
      <c r="AC727">
        <v>0</v>
      </c>
      <c r="AD727">
        <v>1</v>
      </c>
      <c r="AE727" t="s">
        <v>60</v>
      </c>
    </row>
    <row r="728" spans="1:31" x14ac:dyDescent="0.2">
      <c r="A728">
        <v>689</v>
      </c>
      <c r="B728" t="s">
        <v>1153</v>
      </c>
      <c r="C728">
        <v>24</v>
      </c>
      <c r="D728" t="s">
        <v>374</v>
      </c>
      <c r="E728" t="s">
        <v>349</v>
      </c>
      <c r="F728">
        <v>15</v>
      </c>
      <c r="G728">
        <v>0</v>
      </c>
      <c r="H728">
        <v>2</v>
      </c>
      <c r="I728">
        <v>2</v>
      </c>
      <c r="J728">
        <v>-1</v>
      </c>
      <c r="K728">
        <v>32</v>
      </c>
      <c r="L728">
        <v>0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9</v>
      </c>
      <c r="T728">
        <v>0</v>
      </c>
      <c r="U728">
        <v>31</v>
      </c>
      <c r="V728" t="s">
        <v>2198</v>
      </c>
      <c r="W728" t="s">
        <v>1755</v>
      </c>
      <c r="X728">
        <v>0</v>
      </c>
      <c r="Y728">
        <v>0</v>
      </c>
      <c r="AA728">
        <v>12</v>
      </c>
      <c r="AB728">
        <v>27</v>
      </c>
      <c r="AC728">
        <v>2</v>
      </c>
      <c r="AD728">
        <v>13</v>
      </c>
      <c r="AE728" t="s">
        <v>60</v>
      </c>
    </row>
    <row r="729" spans="1:31" x14ac:dyDescent="0.2">
      <c r="A729">
        <v>690</v>
      </c>
      <c r="B729" t="s">
        <v>1275</v>
      </c>
      <c r="C729">
        <v>24</v>
      </c>
      <c r="D729" t="s">
        <v>377</v>
      </c>
      <c r="E729" t="s">
        <v>3</v>
      </c>
      <c r="F729">
        <v>21</v>
      </c>
      <c r="G729">
        <v>0</v>
      </c>
      <c r="H729">
        <v>2</v>
      </c>
      <c r="I729">
        <v>2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1</v>
      </c>
      <c r="R729">
        <v>0</v>
      </c>
      <c r="S729">
        <v>0</v>
      </c>
      <c r="U729">
        <v>0</v>
      </c>
      <c r="V729" t="s">
        <v>2651</v>
      </c>
      <c r="W729" t="s">
        <v>2652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8</v>
      </c>
      <c r="AE729" t="s">
        <v>60</v>
      </c>
    </row>
    <row r="730" spans="1:31" x14ac:dyDescent="0.2">
      <c r="A730">
        <v>691</v>
      </c>
      <c r="B730" t="s">
        <v>1158</v>
      </c>
      <c r="C730">
        <v>36</v>
      </c>
      <c r="D730" t="s">
        <v>382</v>
      </c>
      <c r="E730" t="s">
        <v>349</v>
      </c>
      <c r="F730">
        <v>15</v>
      </c>
      <c r="G730">
        <v>0</v>
      </c>
      <c r="H730">
        <v>2</v>
      </c>
      <c r="I730">
        <v>2</v>
      </c>
      <c r="J730">
        <v>-1</v>
      </c>
      <c r="K730">
        <v>11</v>
      </c>
      <c r="L730">
        <v>0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10</v>
      </c>
      <c r="T730">
        <v>0</v>
      </c>
      <c r="U730">
        <v>21</v>
      </c>
      <c r="V730" t="s">
        <v>1852</v>
      </c>
      <c r="W730" t="s">
        <v>1840</v>
      </c>
      <c r="X730">
        <v>0</v>
      </c>
      <c r="Y730">
        <v>0</v>
      </c>
      <c r="AA730">
        <v>11</v>
      </c>
      <c r="AB730">
        <v>12</v>
      </c>
      <c r="AC730">
        <v>5</v>
      </c>
      <c r="AD730">
        <v>15</v>
      </c>
      <c r="AE730" t="s">
        <v>60</v>
      </c>
    </row>
    <row r="731" spans="1:31" x14ac:dyDescent="0.2">
      <c r="A731">
        <v>692</v>
      </c>
      <c r="B731" t="s">
        <v>1281</v>
      </c>
      <c r="C731">
        <v>34</v>
      </c>
      <c r="D731" t="s">
        <v>406</v>
      </c>
      <c r="E731" t="s">
        <v>340</v>
      </c>
      <c r="F731">
        <v>34</v>
      </c>
      <c r="G731">
        <v>0</v>
      </c>
      <c r="H731">
        <v>2</v>
      </c>
      <c r="I731">
        <v>2</v>
      </c>
      <c r="J731">
        <v>-11</v>
      </c>
      <c r="K731">
        <v>19</v>
      </c>
      <c r="L731">
        <v>0</v>
      </c>
      <c r="M731">
        <v>0</v>
      </c>
      <c r="N731">
        <v>0</v>
      </c>
      <c r="O731">
        <v>0</v>
      </c>
      <c r="P731">
        <v>2</v>
      </c>
      <c r="Q731">
        <v>0</v>
      </c>
      <c r="R731">
        <v>0</v>
      </c>
      <c r="S731">
        <v>25</v>
      </c>
      <c r="T731">
        <v>0</v>
      </c>
      <c r="U731">
        <v>47</v>
      </c>
      <c r="V731" t="s">
        <v>2653</v>
      </c>
      <c r="W731" t="s">
        <v>2654</v>
      </c>
      <c r="X731">
        <v>3</v>
      </c>
      <c r="Y731">
        <v>11</v>
      </c>
      <c r="Z731">
        <v>21.4</v>
      </c>
      <c r="AA731">
        <v>21</v>
      </c>
      <c r="AB731">
        <v>96</v>
      </c>
      <c r="AC731">
        <v>4</v>
      </c>
      <c r="AD731">
        <v>21</v>
      </c>
      <c r="AE731" t="s">
        <v>60</v>
      </c>
    </row>
    <row r="732" spans="1:31" x14ac:dyDescent="0.2">
      <c r="A732">
        <v>693</v>
      </c>
      <c r="B732" t="s">
        <v>1160</v>
      </c>
      <c r="C732">
        <v>36</v>
      </c>
      <c r="D732" t="s">
        <v>360</v>
      </c>
      <c r="E732" t="s">
        <v>349</v>
      </c>
      <c r="F732">
        <v>11</v>
      </c>
      <c r="G732">
        <v>0</v>
      </c>
      <c r="H732">
        <v>2</v>
      </c>
      <c r="I732">
        <v>2</v>
      </c>
      <c r="J732">
        <v>8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8</v>
      </c>
      <c r="T732">
        <v>0</v>
      </c>
      <c r="U732">
        <v>18</v>
      </c>
      <c r="V732" t="s">
        <v>1775</v>
      </c>
      <c r="W732" t="s">
        <v>1704</v>
      </c>
      <c r="X732">
        <v>0</v>
      </c>
      <c r="Y732">
        <v>0</v>
      </c>
      <c r="AA732">
        <v>15</v>
      </c>
      <c r="AB732">
        <v>2</v>
      </c>
      <c r="AC732">
        <v>5</v>
      </c>
      <c r="AD732">
        <v>8</v>
      </c>
      <c r="AE732" t="s">
        <v>60</v>
      </c>
    </row>
    <row r="733" spans="1:31" x14ac:dyDescent="0.2">
      <c r="A733">
        <v>694</v>
      </c>
      <c r="B733" t="s">
        <v>1980</v>
      </c>
      <c r="C733">
        <v>27</v>
      </c>
      <c r="D733" t="s">
        <v>421</v>
      </c>
      <c r="E733" t="s">
        <v>325</v>
      </c>
      <c r="F733">
        <v>5</v>
      </c>
      <c r="G733">
        <v>0</v>
      </c>
      <c r="H733">
        <v>2</v>
      </c>
      <c r="I733">
        <v>2</v>
      </c>
      <c r="J733">
        <v>3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3</v>
      </c>
      <c r="T733">
        <v>0</v>
      </c>
      <c r="U733">
        <v>14</v>
      </c>
      <c r="V733" t="s">
        <v>2867</v>
      </c>
      <c r="W733" t="s">
        <v>1879</v>
      </c>
      <c r="X733">
        <v>1</v>
      </c>
      <c r="Y733">
        <v>3</v>
      </c>
      <c r="Z733">
        <v>25</v>
      </c>
      <c r="AA733">
        <v>3</v>
      </c>
      <c r="AB733">
        <v>5</v>
      </c>
      <c r="AC733">
        <v>0</v>
      </c>
      <c r="AD733">
        <v>4</v>
      </c>
      <c r="AE733" t="s">
        <v>60</v>
      </c>
    </row>
    <row r="734" spans="1:31" x14ac:dyDescent="0.2">
      <c r="A734">
        <v>695</v>
      </c>
      <c r="B734" t="s">
        <v>1294</v>
      </c>
      <c r="C734">
        <v>25</v>
      </c>
      <c r="D734" t="s">
        <v>364</v>
      </c>
      <c r="E734" t="s">
        <v>349</v>
      </c>
      <c r="F734">
        <v>43</v>
      </c>
      <c r="G734">
        <v>1</v>
      </c>
      <c r="H734">
        <v>1</v>
      </c>
      <c r="I734">
        <v>2</v>
      </c>
      <c r="J734">
        <v>-6</v>
      </c>
      <c r="K734">
        <v>102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32</v>
      </c>
      <c r="T734">
        <v>3.1</v>
      </c>
      <c r="U734">
        <v>91</v>
      </c>
      <c r="V734" t="s">
        <v>2655</v>
      </c>
      <c r="W734" t="s">
        <v>1054</v>
      </c>
      <c r="X734">
        <v>0</v>
      </c>
      <c r="Y734">
        <v>0</v>
      </c>
      <c r="AA734">
        <v>31</v>
      </c>
      <c r="AB734">
        <v>116</v>
      </c>
      <c r="AC734">
        <v>2</v>
      </c>
      <c r="AD734">
        <v>26</v>
      </c>
      <c r="AE734" t="s">
        <v>60</v>
      </c>
    </row>
    <row r="735" spans="1:31" x14ac:dyDescent="0.2">
      <c r="A735">
        <v>696</v>
      </c>
      <c r="B735" t="s">
        <v>1169</v>
      </c>
      <c r="C735">
        <v>28</v>
      </c>
      <c r="D735" t="s">
        <v>321</v>
      </c>
      <c r="E735" t="s">
        <v>349</v>
      </c>
      <c r="F735">
        <v>6</v>
      </c>
      <c r="G735">
        <v>0</v>
      </c>
      <c r="H735">
        <v>1</v>
      </c>
      <c r="I735">
        <v>1</v>
      </c>
      <c r="J735">
        <v>4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2</v>
      </c>
      <c r="T735">
        <v>0</v>
      </c>
      <c r="U735">
        <v>8</v>
      </c>
      <c r="V735" t="s">
        <v>1170</v>
      </c>
      <c r="W735" t="s">
        <v>840</v>
      </c>
      <c r="X735">
        <v>0</v>
      </c>
      <c r="Y735">
        <v>0</v>
      </c>
      <c r="AA735">
        <v>4</v>
      </c>
      <c r="AB735">
        <v>5</v>
      </c>
      <c r="AC735">
        <v>0</v>
      </c>
      <c r="AD735">
        <v>2</v>
      </c>
      <c r="AE735" t="s">
        <v>60</v>
      </c>
    </row>
    <row r="736" spans="1:31" x14ac:dyDescent="0.2">
      <c r="A736">
        <v>697</v>
      </c>
      <c r="B736" t="s">
        <v>1610</v>
      </c>
      <c r="C736">
        <v>29</v>
      </c>
      <c r="D736" t="s">
        <v>358</v>
      </c>
      <c r="E736" t="s">
        <v>335</v>
      </c>
      <c r="F736">
        <v>4</v>
      </c>
      <c r="G736">
        <v>0</v>
      </c>
      <c r="H736">
        <v>1</v>
      </c>
      <c r="I736">
        <v>1</v>
      </c>
      <c r="J736">
        <v>1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4</v>
      </c>
      <c r="T736">
        <v>0</v>
      </c>
      <c r="U736">
        <v>10</v>
      </c>
      <c r="V736" t="s">
        <v>1647</v>
      </c>
      <c r="W736" t="s">
        <v>1164</v>
      </c>
      <c r="X736">
        <v>0</v>
      </c>
      <c r="Y736">
        <v>5</v>
      </c>
      <c r="Z736">
        <v>0</v>
      </c>
      <c r="AA736">
        <v>4</v>
      </c>
      <c r="AB736">
        <v>4</v>
      </c>
      <c r="AC736">
        <v>1</v>
      </c>
      <c r="AD736">
        <v>1</v>
      </c>
      <c r="AE736" t="s">
        <v>60</v>
      </c>
    </row>
    <row r="737" spans="1:31" x14ac:dyDescent="0.2">
      <c r="A737">
        <v>698</v>
      </c>
      <c r="B737" t="s">
        <v>1309</v>
      </c>
      <c r="C737">
        <v>21</v>
      </c>
      <c r="D737" t="s">
        <v>364</v>
      </c>
      <c r="E737" t="s">
        <v>322</v>
      </c>
      <c r="F737">
        <v>15</v>
      </c>
      <c r="G737">
        <v>1</v>
      </c>
      <c r="H737">
        <v>0</v>
      </c>
      <c r="I737">
        <v>1</v>
      </c>
      <c r="J737">
        <v>4</v>
      </c>
      <c r="K737">
        <v>6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11</v>
      </c>
      <c r="T737">
        <v>9.1</v>
      </c>
      <c r="U737">
        <v>25</v>
      </c>
      <c r="V737" t="s">
        <v>2199</v>
      </c>
      <c r="W737" t="s">
        <v>1762</v>
      </c>
      <c r="X737">
        <v>44</v>
      </c>
      <c r="Y737">
        <v>31</v>
      </c>
      <c r="Z737">
        <v>58.7</v>
      </c>
      <c r="AA737">
        <v>8</v>
      </c>
      <c r="AB737">
        <v>24</v>
      </c>
      <c r="AC737">
        <v>2</v>
      </c>
      <c r="AD737">
        <v>10</v>
      </c>
      <c r="AE737" t="s">
        <v>60</v>
      </c>
    </row>
    <row r="738" spans="1:31" x14ac:dyDescent="0.2">
      <c r="A738">
        <v>699</v>
      </c>
      <c r="B738" t="s">
        <v>1173</v>
      </c>
      <c r="C738">
        <v>32</v>
      </c>
      <c r="D738" t="s">
        <v>514</v>
      </c>
      <c r="E738" t="s">
        <v>3</v>
      </c>
      <c r="F738">
        <v>27</v>
      </c>
      <c r="G738">
        <v>0</v>
      </c>
      <c r="H738">
        <v>1</v>
      </c>
      <c r="I738">
        <v>1</v>
      </c>
      <c r="J738">
        <v>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0</v>
      </c>
      <c r="U738">
        <v>0</v>
      </c>
      <c r="V738" t="s">
        <v>2048</v>
      </c>
      <c r="W738" t="s">
        <v>2049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14</v>
      </c>
      <c r="AE738" t="s">
        <v>60</v>
      </c>
    </row>
    <row r="739" spans="1:31" x14ac:dyDescent="0.2">
      <c r="A739">
        <v>700</v>
      </c>
      <c r="B739" t="s">
        <v>1174</v>
      </c>
      <c r="C739">
        <v>31</v>
      </c>
      <c r="D739" t="s">
        <v>449</v>
      </c>
      <c r="E739" t="s">
        <v>322</v>
      </c>
      <c r="F739">
        <v>2</v>
      </c>
      <c r="G739">
        <v>1</v>
      </c>
      <c r="H739">
        <v>0</v>
      </c>
      <c r="I739">
        <v>1</v>
      </c>
      <c r="J739">
        <v>0</v>
      </c>
      <c r="K739">
        <v>0</v>
      </c>
      <c r="L739">
        <v>1</v>
      </c>
      <c r="M739">
        <v>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2</v>
      </c>
      <c r="T739">
        <v>50</v>
      </c>
      <c r="U739">
        <v>2</v>
      </c>
      <c r="V739" t="s">
        <v>1175</v>
      </c>
      <c r="W739" t="s">
        <v>699</v>
      </c>
      <c r="X739">
        <v>9</v>
      </c>
      <c r="Y739">
        <v>17</v>
      </c>
      <c r="Z739">
        <v>34.6</v>
      </c>
      <c r="AA739">
        <v>3</v>
      </c>
      <c r="AB739">
        <v>3</v>
      </c>
      <c r="AC739">
        <v>0</v>
      </c>
      <c r="AD739">
        <v>1</v>
      </c>
      <c r="AE739" t="s">
        <v>60</v>
      </c>
    </row>
    <row r="740" spans="1:31" x14ac:dyDescent="0.2">
      <c r="A740">
        <v>701</v>
      </c>
      <c r="B740" t="s">
        <v>1176</v>
      </c>
      <c r="C740">
        <v>37</v>
      </c>
      <c r="D740" t="s">
        <v>374</v>
      </c>
      <c r="E740" t="s">
        <v>3</v>
      </c>
      <c r="F740">
        <v>32</v>
      </c>
      <c r="G740">
        <v>0</v>
      </c>
      <c r="H740">
        <v>1</v>
      </c>
      <c r="I740">
        <v>1</v>
      </c>
      <c r="J740">
        <v>0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1</v>
      </c>
      <c r="R740">
        <v>0</v>
      </c>
      <c r="S740">
        <v>0</v>
      </c>
      <c r="U740">
        <v>0</v>
      </c>
      <c r="V740" t="s">
        <v>2200</v>
      </c>
      <c r="W740" t="s">
        <v>1700</v>
      </c>
      <c r="X740">
        <v>0</v>
      </c>
      <c r="Y740">
        <v>0</v>
      </c>
      <c r="AA740">
        <v>0</v>
      </c>
      <c r="AB740">
        <v>0</v>
      </c>
      <c r="AC740">
        <v>0</v>
      </c>
      <c r="AD740">
        <v>15</v>
      </c>
      <c r="AE740" t="s">
        <v>60</v>
      </c>
    </row>
    <row r="741" spans="1:31" x14ac:dyDescent="0.2">
      <c r="A741">
        <v>702</v>
      </c>
      <c r="B741" t="s">
        <v>1178</v>
      </c>
      <c r="C741">
        <v>25</v>
      </c>
      <c r="D741" t="s">
        <v>385</v>
      </c>
      <c r="E741" t="s">
        <v>349</v>
      </c>
      <c r="F741">
        <v>14</v>
      </c>
      <c r="G741">
        <v>0</v>
      </c>
      <c r="H741">
        <v>1</v>
      </c>
      <c r="I741">
        <v>1</v>
      </c>
      <c r="J741">
        <v>-2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5</v>
      </c>
      <c r="T741">
        <v>0</v>
      </c>
      <c r="U741">
        <v>18</v>
      </c>
      <c r="V741" t="s">
        <v>2656</v>
      </c>
      <c r="W741" t="s">
        <v>1755</v>
      </c>
      <c r="X741">
        <v>0</v>
      </c>
      <c r="Y741">
        <v>0</v>
      </c>
      <c r="AA741">
        <v>13</v>
      </c>
      <c r="AB741">
        <v>6</v>
      </c>
      <c r="AC741">
        <v>1</v>
      </c>
      <c r="AD741">
        <v>7</v>
      </c>
      <c r="AE741" t="s">
        <v>60</v>
      </c>
    </row>
    <row r="742" spans="1:31" x14ac:dyDescent="0.2">
      <c r="A742">
        <v>703</v>
      </c>
      <c r="B742" t="s">
        <v>1179</v>
      </c>
      <c r="C742">
        <v>20</v>
      </c>
      <c r="D742" t="s">
        <v>372</v>
      </c>
      <c r="E742" t="s">
        <v>325</v>
      </c>
      <c r="F742">
        <v>9</v>
      </c>
      <c r="G742">
        <v>0</v>
      </c>
      <c r="H742">
        <v>1</v>
      </c>
      <c r="I742">
        <v>1</v>
      </c>
      <c r="J742">
        <v>-5</v>
      </c>
      <c r="K742">
        <v>2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14</v>
      </c>
      <c r="T742">
        <v>0</v>
      </c>
      <c r="U742">
        <v>35</v>
      </c>
      <c r="V742" t="s">
        <v>1180</v>
      </c>
      <c r="W742" t="s">
        <v>971</v>
      </c>
      <c r="X742">
        <v>0</v>
      </c>
      <c r="Y742">
        <v>0</v>
      </c>
      <c r="AA742">
        <v>3</v>
      </c>
      <c r="AB742">
        <v>28</v>
      </c>
      <c r="AC742">
        <v>2</v>
      </c>
      <c r="AD742">
        <v>10</v>
      </c>
      <c r="AE742" t="s">
        <v>60</v>
      </c>
    </row>
    <row r="743" spans="1:31" x14ac:dyDescent="0.2">
      <c r="A743">
        <v>704</v>
      </c>
      <c r="B743" t="s">
        <v>1181</v>
      </c>
      <c r="C743">
        <v>19</v>
      </c>
      <c r="D743" t="s">
        <v>377</v>
      </c>
      <c r="E743" t="s">
        <v>349</v>
      </c>
      <c r="F743">
        <v>9</v>
      </c>
      <c r="G743">
        <v>1</v>
      </c>
      <c r="H743">
        <v>0</v>
      </c>
      <c r="I743">
        <v>1</v>
      </c>
      <c r="J743">
        <v>-4</v>
      </c>
      <c r="K743">
        <v>6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8</v>
      </c>
      <c r="T743">
        <v>12.5</v>
      </c>
      <c r="U743">
        <v>22</v>
      </c>
      <c r="V743" t="s">
        <v>951</v>
      </c>
      <c r="W743" t="s">
        <v>1182</v>
      </c>
      <c r="X743">
        <v>0</v>
      </c>
      <c r="Y743">
        <v>0</v>
      </c>
      <c r="AA743">
        <v>13</v>
      </c>
      <c r="AB743">
        <v>4</v>
      </c>
      <c r="AC743">
        <v>1</v>
      </c>
      <c r="AD743">
        <v>14</v>
      </c>
      <c r="AE743" t="s">
        <v>60</v>
      </c>
    </row>
    <row r="744" spans="1:31" x14ac:dyDescent="0.2">
      <c r="A744">
        <v>705</v>
      </c>
      <c r="B744" t="s">
        <v>1565</v>
      </c>
      <c r="C744">
        <v>21</v>
      </c>
      <c r="D744" t="s">
        <v>437</v>
      </c>
      <c r="E744" t="s">
        <v>349</v>
      </c>
      <c r="F744">
        <v>12</v>
      </c>
      <c r="G744">
        <v>0</v>
      </c>
      <c r="H744">
        <v>1</v>
      </c>
      <c r="I744">
        <v>1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12</v>
      </c>
      <c r="T744">
        <v>0</v>
      </c>
      <c r="U744">
        <v>32</v>
      </c>
      <c r="V744" t="s">
        <v>2001</v>
      </c>
      <c r="W744" t="s">
        <v>1811</v>
      </c>
      <c r="X744">
        <v>0</v>
      </c>
      <c r="Y744">
        <v>0</v>
      </c>
      <c r="AA744">
        <v>3</v>
      </c>
      <c r="AB744">
        <v>6</v>
      </c>
      <c r="AC744">
        <v>0</v>
      </c>
      <c r="AD744">
        <v>6</v>
      </c>
      <c r="AE744" t="s">
        <v>60</v>
      </c>
    </row>
    <row r="745" spans="1:31" x14ac:dyDescent="0.2">
      <c r="A745">
        <v>706</v>
      </c>
      <c r="B745" t="s">
        <v>1183</v>
      </c>
      <c r="C745">
        <v>27</v>
      </c>
      <c r="D745" t="s">
        <v>398</v>
      </c>
      <c r="E745" t="s">
        <v>3</v>
      </c>
      <c r="F745">
        <v>20</v>
      </c>
      <c r="G745">
        <v>0</v>
      </c>
      <c r="H745">
        <v>1</v>
      </c>
      <c r="I745">
        <v>1</v>
      </c>
      <c r="J745">
        <v>0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0</v>
      </c>
      <c r="U745">
        <v>0</v>
      </c>
      <c r="V745" t="s">
        <v>2657</v>
      </c>
      <c r="W745" t="s">
        <v>2658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17</v>
      </c>
      <c r="AE745" t="s">
        <v>60</v>
      </c>
    </row>
    <row r="746" spans="1:31" x14ac:dyDescent="0.2">
      <c r="A746">
        <v>707</v>
      </c>
      <c r="B746" t="s">
        <v>1184</v>
      </c>
      <c r="C746">
        <v>23</v>
      </c>
      <c r="D746" t="s">
        <v>324</v>
      </c>
      <c r="E746" t="s">
        <v>335</v>
      </c>
      <c r="F746">
        <v>7</v>
      </c>
      <c r="G746">
        <v>1</v>
      </c>
      <c r="H746">
        <v>0</v>
      </c>
      <c r="I746">
        <v>1</v>
      </c>
      <c r="J746">
        <v>-3</v>
      </c>
      <c r="K746">
        <v>2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6</v>
      </c>
      <c r="T746">
        <v>16.7</v>
      </c>
      <c r="U746">
        <v>19</v>
      </c>
      <c r="V746" t="s">
        <v>1746</v>
      </c>
      <c r="W746" t="s">
        <v>1747</v>
      </c>
      <c r="X746">
        <v>0</v>
      </c>
      <c r="Y746">
        <v>0</v>
      </c>
      <c r="AA746">
        <v>1</v>
      </c>
      <c r="AB746">
        <v>9</v>
      </c>
      <c r="AC746">
        <v>3</v>
      </c>
      <c r="AD746">
        <v>5</v>
      </c>
      <c r="AE746" t="s">
        <v>60</v>
      </c>
    </row>
    <row r="747" spans="1:31" x14ac:dyDescent="0.2">
      <c r="A747">
        <v>708</v>
      </c>
      <c r="B747" t="s">
        <v>1186</v>
      </c>
      <c r="C747">
        <v>27</v>
      </c>
      <c r="D747" t="s">
        <v>400</v>
      </c>
      <c r="E747" t="s">
        <v>349</v>
      </c>
      <c r="F747">
        <v>15</v>
      </c>
      <c r="G747">
        <v>0</v>
      </c>
      <c r="H747">
        <v>1</v>
      </c>
      <c r="I747">
        <v>1</v>
      </c>
      <c r="J747">
        <v>-5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10</v>
      </c>
      <c r="T747">
        <v>0</v>
      </c>
      <c r="U747">
        <v>22</v>
      </c>
      <c r="V747" t="s">
        <v>1620</v>
      </c>
      <c r="W747" t="s">
        <v>755</v>
      </c>
      <c r="X747">
        <v>0</v>
      </c>
      <c r="Y747">
        <v>0</v>
      </c>
      <c r="AA747">
        <v>15</v>
      </c>
      <c r="AB747">
        <v>3</v>
      </c>
      <c r="AC747">
        <v>4</v>
      </c>
      <c r="AD747">
        <v>15</v>
      </c>
      <c r="AE747" t="s">
        <v>60</v>
      </c>
    </row>
    <row r="748" spans="1:31" x14ac:dyDescent="0.2">
      <c r="A748">
        <v>709</v>
      </c>
      <c r="B748" t="s">
        <v>1188</v>
      </c>
      <c r="C748">
        <v>20</v>
      </c>
      <c r="D748" t="s">
        <v>328</v>
      </c>
      <c r="E748" t="s">
        <v>325</v>
      </c>
      <c r="F748">
        <v>5</v>
      </c>
      <c r="G748">
        <v>1</v>
      </c>
      <c r="H748">
        <v>0</v>
      </c>
      <c r="I748">
        <v>1</v>
      </c>
      <c r="J748">
        <v>1</v>
      </c>
      <c r="K748">
        <v>13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3</v>
      </c>
      <c r="T748">
        <v>33.299999999999997</v>
      </c>
      <c r="U748">
        <v>7</v>
      </c>
      <c r="V748" t="s">
        <v>1189</v>
      </c>
      <c r="W748" t="s">
        <v>1190</v>
      </c>
      <c r="X748">
        <v>0</v>
      </c>
      <c r="Y748">
        <v>0</v>
      </c>
      <c r="AA748">
        <v>3</v>
      </c>
      <c r="AB748">
        <v>17</v>
      </c>
      <c r="AC748">
        <v>0</v>
      </c>
      <c r="AD748">
        <v>4</v>
      </c>
      <c r="AE748" t="s">
        <v>60</v>
      </c>
    </row>
    <row r="749" spans="1:31" x14ac:dyDescent="0.2">
      <c r="A749">
        <v>710</v>
      </c>
      <c r="B749" t="s">
        <v>1191</v>
      </c>
      <c r="C749">
        <v>24</v>
      </c>
      <c r="D749" t="s">
        <v>337</v>
      </c>
      <c r="E749" t="s">
        <v>335</v>
      </c>
      <c r="F749">
        <v>7</v>
      </c>
      <c r="G749">
        <v>1</v>
      </c>
      <c r="H749">
        <v>0</v>
      </c>
      <c r="I749">
        <v>1</v>
      </c>
      <c r="J749">
        <v>-3</v>
      </c>
      <c r="K749">
        <v>4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3</v>
      </c>
      <c r="T749">
        <v>33.299999999999997</v>
      </c>
      <c r="U749">
        <v>11</v>
      </c>
      <c r="V749" t="s">
        <v>1192</v>
      </c>
      <c r="W749" t="s">
        <v>815</v>
      </c>
      <c r="X749">
        <v>1</v>
      </c>
      <c r="Y749">
        <v>1</v>
      </c>
      <c r="Z749">
        <v>50</v>
      </c>
      <c r="AA749">
        <v>1</v>
      </c>
      <c r="AB749">
        <v>9</v>
      </c>
      <c r="AC749">
        <v>0</v>
      </c>
      <c r="AD749">
        <v>6</v>
      </c>
      <c r="AE749" t="s">
        <v>60</v>
      </c>
    </row>
    <row r="750" spans="1:31" x14ac:dyDescent="0.2">
      <c r="A750">
        <v>711</v>
      </c>
      <c r="B750" t="s">
        <v>1331</v>
      </c>
      <c r="C750">
        <v>26</v>
      </c>
      <c r="D750" t="s">
        <v>400</v>
      </c>
      <c r="E750" t="s">
        <v>340</v>
      </c>
      <c r="F750">
        <v>8</v>
      </c>
      <c r="G750">
        <v>1</v>
      </c>
      <c r="H750">
        <v>0</v>
      </c>
      <c r="I750">
        <v>1</v>
      </c>
      <c r="J750">
        <v>1</v>
      </c>
      <c r="K750">
        <v>4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25</v>
      </c>
      <c r="U750">
        <v>9</v>
      </c>
      <c r="V750" t="s">
        <v>1656</v>
      </c>
      <c r="W750" t="s">
        <v>1657</v>
      </c>
      <c r="X750">
        <v>1</v>
      </c>
      <c r="Y750">
        <v>2</v>
      </c>
      <c r="Z750">
        <v>33.299999999999997</v>
      </c>
      <c r="AA750">
        <v>7</v>
      </c>
      <c r="AB750">
        <v>5</v>
      </c>
      <c r="AC750">
        <v>0</v>
      </c>
      <c r="AD750">
        <v>2</v>
      </c>
      <c r="AE750" t="s">
        <v>60</v>
      </c>
    </row>
    <row r="751" spans="1:31" x14ac:dyDescent="0.2">
      <c r="A751">
        <v>712</v>
      </c>
      <c r="B751" t="s">
        <v>1194</v>
      </c>
      <c r="C751">
        <v>23</v>
      </c>
      <c r="D751" t="s">
        <v>364</v>
      </c>
      <c r="E751" t="s">
        <v>322</v>
      </c>
      <c r="F751">
        <v>10</v>
      </c>
      <c r="G751">
        <v>0</v>
      </c>
      <c r="H751">
        <v>1</v>
      </c>
      <c r="I751">
        <v>1</v>
      </c>
      <c r="J751">
        <v>-4</v>
      </c>
      <c r="K751">
        <v>10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9</v>
      </c>
      <c r="T751">
        <v>0</v>
      </c>
      <c r="U751">
        <v>19</v>
      </c>
      <c r="V751" t="s">
        <v>1585</v>
      </c>
      <c r="W751" t="s">
        <v>1535</v>
      </c>
      <c r="X751">
        <v>0</v>
      </c>
      <c r="Y751">
        <v>1</v>
      </c>
      <c r="Z751">
        <v>0</v>
      </c>
      <c r="AA751">
        <v>1</v>
      </c>
      <c r="AB751">
        <v>18</v>
      </c>
      <c r="AC751">
        <v>1</v>
      </c>
      <c r="AD751">
        <v>5</v>
      </c>
      <c r="AE751" t="s">
        <v>60</v>
      </c>
    </row>
    <row r="752" spans="1:31" x14ac:dyDescent="0.2">
      <c r="A752">
        <v>713</v>
      </c>
      <c r="B752" t="s">
        <v>1196</v>
      </c>
      <c r="C752">
        <v>22</v>
      </c>
      <c r="D752" t="s">
        <v>382</v>
      </c>
      <c r="E752" t="s">
        <v>322</v>
      </c>
      <c r="F752">
        <v>13</v>
      </c>
      <c r="G752">
        <v>0</v>
      </c>
      <c r="H752">
        <v>1</v>
      </c>
      <c r="I752">
        <v>1</v>
      </c>
      <c r="J752">
        <v>-2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11</v>
      </c>
      <c r="T752">
        <v>0</v>
      </c>
      <c r="U752">
        <v>16</v>
      </c>
      <c r="V752" t="s">
        <v>1731</v>
      </c>
      <c r="W752" t="s">
        <v>1360</v>
      </c>
      <c r="X752">
        <v>23</v>
      </c>
      <c r="Y752">
        <v>37</v>
      </c>
      <c r="Z752">
        <v>38.299999999999997</v>
      </c>
      <c r="AA752">
        <v>10</v>
      </c>
      <c r="AB752">
        <v>2</v>
      </c>
      <c r="AC752">
        <v>2</v>
      </c>
      <c r="AD752">
        <v>1</v>
      </c>
      <c r="AE752" t="s">
        <v>60</v>
      </c>
    </row>
    <row r="753" spans="1:31" x14ac:dyDescent="0.2">
      <c r="A753">
        <v>714</v>
      </c>
      <c r="B753" t="s">
        <v>1338</v>
      </c>
      <c r="C753">
        <v>30</v>
      </c>
      <c r="D753" t="s">
        <v>449</v>
      </c>
      <c r="E753" t="s">
        <v>3</v>
      </c>
      <c r="F753">
        <v>20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</v>
      </c>
      <c r="R753">
        <v>0</v>
      </c>
      <c r="S753">
        <v>0</v>
      </c>
      <c r="U753">
        <v>0</v>
      </c>
      <c r="V753" t="s">
        <v>2050</v>
      </c>
      <c r="W753" t="s">
        <v>2051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9</v>
      </c>
      <c r="AE753" t="s">
        <v>60</v>
      </c>
    </row>
    <row r="754" spans="1:31" x14ac:dyDescent="0.2">
      <c r="A754">
        <v>715</v>
      </c>
      <c r="B754" t="s">
        <v>1197</v>
      </c>
      <c r="C754">
        <v>25</v>
      </c>
      <c r="D754" t="s">
        <v>429</v>
      </c>
      <c r="E754" t="s">
        <v>3</v>
      </c>
      <c r="F754">
        <v>10</v>
      </c>
      <c r="G754">
        <v>0</v>
      </c>
      <c r="H754">
        <v>1</v>
      </c>
      <c r="I754">
        <v>1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0</v>
      </c>
      <c r="U754">
        <v>0</v>
      </c>
      <c r="V754" t="s">
        <v>2201</v>
      </c>
      <c r="W754" t="s">
        <v>1778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10</v>
      </c>
      <c r="AE754" t="s">
        <v>60</v>
      </c>
    </row>
    <row r="755" spans="1:31" x14ac:dyDescent="0.2">
      <c r="A755">
        <v>716</v>
      </c>
      <c r="B755" t="s">
        <v>1199</v>
      </c>
      <c r="C755">
        <v>25</v>
      </c>
      <c r="D755" t="s">
        <v>346</v>
      </c>
      <c r="E755" t="s">
        <v>325</v>
      </c>
      <c r="F755">
        <v>11</v>
      </c>
      <c r="G755">
        <v>0</v>
      </c>
      <c r="H755">
        <v>1</v>
      </c>
      <c r="I755">
        <v>1</v>
      </c>
      <c r="J755">
        <v>-2</v>
      </c>
      <c r="K755">
        <v>4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7</v>
      </c>
      <c r="T755">
        <v>0</v>
      </c>
      <c r="U755">
        <v>20</v>
      </c>
      <c r="V755" t="s">
        <v>1200</v>
      </c>
      <c r="W755" t="s">
        <v>1201</v>
      </c>
      <c r="X755">
        <v>29</v>
      </c>
      <c r="Y755">
        <v>36</v>
      </c>
      <c r="Z755">
        <v>44.6</v>
      </c>
      <c r="AA755">
        <v>11</v>
      </c>
      <c r="AB755">
        <v>20</v>
      </c>
      <c r="AC755">
        <v>2</v>
      </c>
      <c r="AD755">
        <v>1</v>
      </c>
      <c r="AE755" t="s">
        <v>60</v>
      </c>
    </row>
    <row r="756" spans="1:31" x14ac:dyDescent="0.2">
      <c r="A756">
        <v>717</v>
      </c>
      <c r="B756" t="s">
        <v>1203</v>
      </c>
      <c r="C756">
        <v>21</v>
      </c>
      <c r="D756" t="s">
        <v>353</v>
      </c>
      <c r="E756" t="s">
        <v>322</v>
      </c>
      <c r="F756">
        <v>6</v>
      </c>
      <c r="G756">
        <v>0</v>
      </c>
      <c r="H756">
        <v>1</v>
      </c>
      <c r="I756">
        <v>1</v>
      </c>
      <c r="J756">
        <v>0</v>
      </c>
      <c r="K756">
        <v>4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5</v>
      </c>
      <c r="T756">
        <v>0</v>
      </c>
      <c r="U756">
        <v>12</v>
      </c>
      <c r="V756" t="s">
        <v>1204</v>
      </c>
      <c r="W756" t="s">
        <v>1092</v>
      </c>
      <c r="X756">
        <v>8</v>
      </c>
      <c r="Y756">
        <v>13</v>
      </c>
      <c r="Z756">
        <v>38.1</v>
      </c>
      <c r="AA756">
        <v>5</v>
      </c>
      <c r="AB756">
        <v>15</v>
      </c>
      <c r="AC756">
        <v>0</v>
      </c>
      <c r="AD756">
        <v>5</v>
      </c>
      <c r="AE756" t="s">
        <v>60</v>
      </c>
    </row>
    <row r="757" spans="1:31" x14ac:dyDescent="0.2">
      <c r="A757">
        <v>718</v>
      </c>
      <c r="B757" t="s">
        <v>1205</v>
      </c>
      <c r="C757">
        <v>32</v>
      </c>
      <c r="D757" t="s">
        <v>372</v>
      </c>
      <c r="E757" t="s">
        <v>3</v>
      </c>
      <c r="F757">
        <v>28</v>
      </c>
      <c r="G757">
        <v>0</v>
      </c>
      <c r="H757">
        <v>1</v>
      </c>
      <c r="I757">
        <v>1</v>
      </c>
      <c r="J757">
        <v>0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0</v>
      </c>
      <c r="U757">
        <v>0</v>
      </c>
      <c r="V757" t="s">
        <v>2202</v>
      </c>
      <c r="W757" t="s">
        <v>1854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13</v>
      </c>
      <c r="AE757" t="s">
        <v>60</v>
      </c>
    </row>
    <row r="758" spans="1:31" x14ac:dyDescent="0.2">
      <c r="A758">
        <v>719</v>
      </c>
      <c r="B758" t="s">
        <v>1206</v>
      </c>
      <c r="C758">
        <v>26</v>
      </c>
      <c r="D758" t="s">
        <v>324</v>
      </c>
      <c r="E758" t="s">
        <v>325</v>
      </c>
      <c r="F758">
        <v>3</v>
      </c>
      <c r="G758">
        <v>0</v>
      </c>
      <c r="H758">
        <v>1</v>
      </c>
      <c r="I758">
        <v>1</v>
      </c>
      <c r="J758">
        <v>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2</v>
      </c>
      <c r="T758">
        <v>0</v>
      </c>
      <c r="U758">
        <v>5</v>
      </c>
      <c r="V758" t="s">
        <v>1207</v>
      </c>
      <c r="W758" t="s">
        <v>1208</v>
      </c>
      <c r="X758">
        <v>9</v>
      </c>
      <c r="Y758">
        <v>6</v>
      </c>
      <c r="Z758">
        <v>60</v>
      </c>
      <c r="AA758">
        <v>2</v>
      </c>
      <c r="AB758">
        <v>3</v>
      </c>
      <c r="AC758">
        <v>0</v>
      </c>
      <c r="AD758">
        <v>1</v>
      </c>
      <c r="AE758" t="s">
        <v>60</v>
      </c>
    </row>
    <row r="759" spans="1:31" x14ac:dyDescent="0.2">
      <c r="A759">
        <v>720</v>
      </c>
      <c r="B759" t="s">
        <v>1209</v>
      </c>
      <c r="C759">
        <v>30</v>
      </c>
      <c r="D759" t="s">
        <v>377</v>
      </c>
      <c r="E759" t="s">
        <v>349</v>
      </c>
      <c r="F759">
        <v>17</v>
      </c>
      <c r="G759">
        <v>1</v>
      </c>
      <c r="H759">
        <v>0</v>
      </c>
      <c r="I759">
        <v>1</v>
      </c>
      <c r="J759">
        <v>-4</v>
      </c>
      <c r="K759">
        <v>8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19</v>
      </c>
      <c r="T759">
        <v>5.3</v>
      </c>
      <c r="U759">
        <v>57</v>
      </c>
      <c r="V759" t="s">
        <v>1621</v>
      </c>
      <c r="W759" t="s">
        <v>674</v>
      </c>
      <c r="X759">
        <v>0</v>
      </c>
      <c r="Y759">
        <v>0</v>
      </c>
      <c r="AA759">
        <v>31</v>
      </c>
      <c r="AB759">
        <v>13</v>
      </c>
      <c r="AC759">
        <v>5</v>
      </c>
      <c r="AD759">
        <v>11</v>
      </c>
      <c r="AE759" t="s">
        <v>60</v>
      </c>
    </row>
    <row r="760" spans="1:31" x14ac:dyDescent="0.2">
      <c r="A760">
        <v>721</v>
      </c>
      <c r="B760" t="s">
        <v>1211</v>
      </c>
      <c r="C760">
        <v>19</v>
      </c>
      <c r="D760" t="s">
        <v>437</v>
      </c>
      <c r="E760" t="s">
        <v>325</v>
      </c>
      <c r="F760">
        <v>4</v>
      </c>
      <c r="G760">
        <v>1</v>
      </c>
      <c r="H760">
        <v>0</v>
      </c>
      <c r="I760">
        <v>1</v>
      </c>
      <c r="J760">
        <v>-3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9</v>
      </c>
      <c r="T760">
        <v>11.1</v>
      </c>
      <c r="U760">
        <v>15</v>
      </c>
      <c r="V760" t="s">
        <v>1212</v>
      </c>
      <c r="W760" t="s">
        <v>1213</v>
      </c>
      <c r="X760">
        <v>0</v>
      </c>
      <c r="Y760">
        <v>4</v>
      </c>
      <c r="Z760">
        <v>0</v>
      </c>
      <c r="AA760">
        <v>3</v>
      </c>
      <c r="AB760">
        <v>1</v>
      </c>
      <c r="AC760">
        <v>2</v>
      </c>
      <c r="AD760">
        <v>6</v>
      </c>
      <c r="AE760" t="s">
        <v>60</v>
      </c>
    </row>
    <row r="761" spans="1:31" x14ac:dyDescent="0.2">
      <c r="A761">
        <v>722</v>
      </c>
      <c r="B761" t="s">
        <v>1776</v>
      </c>
      <c r="C761">
        <v>24</v>
      </c>
      <c r="D761" t="s">
        <v>353</v>
      </c>
      <c r="E761" t="s">
        <v>335</v>
      </c>
      <c r="F761">
        <v>1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</v>
      </c>
      <c r="T761">
        <v>0</v>
      </c>
      <c r="U761">
        <v>1</v>
      </c>
      <c r="V761" t="s">
        <v>1673</v>
      </c>
      <c r="W761" t="s">
        <v>1673</v>
      </c>
      <c r="X761">
        <v>0</v>
      </c>
      <c r="Y761">
        <v>0</v>
      </c>
      <c r="AA761">
        <v>1</v>
      </c>
      <c r="AB761">
        <v>0</v>
      </c>
      <c r="AC761">
        <v>0</v>
      </c>
      <c r="AD761">
        <v>1</v>
      </c>
      <c r="AE761" t="s">
        <v>60</v>
      </c>
    </row>
    <row r="762" spans="1:31" x14ac:dyDescent="0.2">
      <c r="A762">
        <v>723</v>
      </c>
      <c r="B762" t="s">
        <v>1214</v>
      </c>
      <c r="C762">
        <v>27</v>
      </c>
      <c r="D762" t="s">
        <v>400</v>
      </c>
      <c r="E762" t="s">
        <v>325</v>
      </c>
      <c r="F762">
        <v>9</v>
      </c>
      <c r="G762">
        <v>1</v>
      </c>
      <c r="H762">
        <v>0</v>
      </c>
      <c r="I762">
        <v>1</v>
      </c>
      <c r="J762">
        <v>-1</v>
      </c>
      <c r="K762">
        <v>5</v>
      </c>
      <c r="L762">
        <v>1</v>
      </c>
      <c r="M762">
        <v>0</v>
      </c>
      <c r="N762">
        <v>0</v>
      </c>
      <c r="O762">
        <v>1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11</v>
      </c>
      <c r="V762" t="s">
        <v>1215</v>
      </c>
      <c r="W762" t="s">
        <v>1216</v>
      </c>
      <c r="X762">
        <v>0</v>
      </c>
      <c r="Y762">
        <v>0</v>
      </c>
      <c r="AA762">
        <v>2</v>
      </c>
      <c r="AB762">
        <v>18</v>
      </c>
      <c r="AC762">
        <v>2</v>
      </c>
      <c r="AD762">
        <v>2</v>
      </c>
      <c r="AE762" t="s">
        <v>60</v>
      </c>
    </row>
    <row r="763" spans="1:31" x14ac:dyDescent="0.2">
      <c r="A763">
        <v>724</v>
      </c>
      <c r="B763" t="s">
        <v>1217</v>
      </c>
      <c r="C763">
        <v>35</v>
      </c>
      <c r="D763" t="s">
        <v>372</v>
      </c>
      <c r="E763" t="s">
        <v>349</v>
      </c>
      <c r="F763">
        <v>19</v>
      </c>
      <c r="G763">
        <v>0</v>
      </c>
      <c r="H763">
        <v>1</v>
      </c>
      <c r="I763">
        <v>1</v>
      </c>
      <c r="J763">
        <v>-11</v>
      </c>
      <c r="K763">
        <v>18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16</v>
      </c>
      <c r="T763">
        <v>0</v>
      </c>
      <c r="U763">
        <v>32</v>
      </c>
      <c r="V763" t="s">
        <v>1718</v>
      </c>
      <c r="W763" t="s">
        <v>1683</v>
      </c>
      <c r="X763">
        <v>0</v>
      </c>
      <c r="Y763">
        <v>0</v>
      </c>
      <c r="AA763">
        <v>26</v>
      </c>
      <c r="AB763">
        <v>19</v>
      </c>
      <c r="AC763">
        <v>4</v>
      </c>
      <c r="AD763">
        <v>17</v>
      </c>
      <c r="AE763" t="s">
        <v>60</v>
      </c>
    </row>
    <row r="764" spans="1:31" x14ac:dyDescent="0.2">
      <c r="A764">
        <v>725</v>
      </c>
      <c r="B764" t="s">
        <v>1378</v>
      </c>
      <c r="C764">
        <v>34</v>
      </c>
      <c r="D764" t="s">
        <v>408</v>
      </c>
      <c r="E764" t="s">
        <v>335</v>
      </c>
      <c r="F764">
        <v>39</v>
      </c>
      <c r="G764">
        <v>1</v>
      </c>
      <c r="H764">
        <v>0</v>
      </c>
      <c r="I764">
        <v>1</v>
      </c>
      <c r="J764">
        <v>-5</v>
      </c>
      <c r="K764">
        <v>48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19</v>
      </c>
      <c r="T764">
        <v>5.3</v>
      </c>
      <c r="U764">
        <v>37</v>
      </c>
      <c r="V764" t="s">
        <v>2868</v>
      </c>
      <c r="W764" t="s">
        <v>1006</v>
      </c>
      <c r="X764">
        <v>6</v>
      </c>
      <c r="Y764">
        <v>1</v>
      </c>
      <c r="Z764">
        <v>85.7</v>
      </c>
      <c r="AA764">
        <v>26</v>
      </c>
      <c r="AB764">
        <v>149</v>
      </c>
      <c r="AC764">
        <v>4</v>
      </c>
      <c r="AD764">
        <v>18</v>
      </c>
      <c r="AE764" t="s">
        <v>60</v>
      </c>
    </row>
    <row r="765" spans="1:31" x14ac:dyDescent="0.2">
      <c r="A765">
        <v>726</v>
      </c>
      <c r="B765" t="s">
        <v>1383</v>
      </c>
      <c r="C765">
        <v>23</v>
      </c>
      <c r="D765" t="s">
        <v>421</v>
      </c>
      <c r="E765" t="s">
        <v>322</v>
      </c>
      <c r="F765">
        <v>19</v>
      </c>
      <c r="G765">
        <v>1</v>
      </c>
      <c r="H765">
        <v>0</v>
      </c>
      <c r="I765">
        <v>1</v>
      </c>
      <c r="J765">
        <v>-2</v>
      </c>
      <c r="K765">
        <v>7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8</v>
      </c>
      <c r="T765">
        <v>12.5</v>
      </c>
      <c r="U765">
        <v>17</v>
      </c>
      <c r="V765" t="s">
        <v>2869</v>
      </c>
      <c r="W765" t="s">
        <v>2870</v>
      </c>
      <c r="X765">
        <v>39</v>
      </c>
      <c r="Y765">
        <v>44</v>
      </c>
      <c r="Z765">
        <v>47</v>
      </c>
      <c r="AA765">
        <v>5</v>
      </c>
      <c r="AB765">
        <v>45</v>
      </c>
      <c r="AC765">
        <v>3</v>
      </c>
      <c r="AD765">
        <v>6</v>
      </c>
      <c r="AE765" t="s">
        <v>60</v>
      </c>
    </row>
    <row r="766" spans="1:31" x14ac:dyDescent="0.2">
      <c r="A766">
        <v>727</v>
      </c>
      <c r="B766" t="s">
        <v>1639</v>
      </c>
      <c r="C766">
        <v>24</v>
      </c>
      <c r="D766" t="s">
        <v>328</v>
      </c>
      <c r="E766" t="s">
        <v>325</v>
      </c>
      <c r="F766">
        <v>4</v>
      </c>
      <c r="G766">
        <v>1</v>
      </c>
      <c r="H766">
        <v>0</v>
      </c>
      <c r="I766">
        <v>1</v>
      </c>
      <c r="J766">
        <v>-1</v>
      </c>
      <c r="K766">
        <v>0</v>
      </c>
      <c r="L766">
        <v>1</v>
      </c>
      <c r="M766">
        <v>0</v>
      </c>
      <c r="N766">
        <v>0</v>
      </c>
      <c r="O766">
        <v>1</v>
      </c>
      <c r="P766">
        <v>0</v>
      </c>
      <c r="Q766">
        <v>0</v>
      </c>
      <c r="R766">
        <v>0</v>
      </c>
      <c r="S766">
        <v>3</v>
      </c>
      <c r="T766">
        <v>33.299999999999997</v>
      </c>
      <c r="U766">
        <v>6</v>
      </c>
      <c r="V766" t="s">
        <v>1912</v>
      </c>
      <c r="W766" t="s">
        <v>1847</v>
      </c>
      <c r="X766">
        <v>0</v>
      </c>
      <c r="Y766">
        <v>1</v>
      </c>
      <c r="Z766">
        <v>0</v>
      </c>
      <c r="AA766">
        <v>1</v>
      </c>
      <c r="AB766">
        <v>0</v>
      </c>
      <c r="AC766">
        <v>0</v>
      </c>
      <c r="AD766">
        <v>3</v>
      </c>
      <c r="AE766" t="s">
        <v>60</v>
      </c>
    </row>
    <row r="767" spans="1:31" x14ac:dyDescent="0.2">
      <c r="A767">
        <v>728</v>
      </c>
      <c r="B767" t="s">
        <v>1721</v>
      </c>
      <c r="C767">
        <v>28</v>
      </c>
      <c r="D767" t="s">
        <v>328</v>
      </c>
      <c r="E767" t="s">
        <v>3</v>
      </c>
      <c r="F767">
        <v>7</v>
      </c>
      <c r="G767">
        <v>0</v>
      </c>
      <c r="H767">
        <v>1</v>
      </c>
      <c r="I767">
        <v>1</v>
      </c>
      <c r="J767">
        <v>0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t="s">
        <v>2203</v>
      </c>
      <c r="W767" t="s">
        <v>1920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2</v>
      </c>
      <c r="AE767" t="s">
        <v>60</v>
      </c>
    </row>
    <row r="768" spans="1:31" x14ac:dyDescent="0.2">
      <c r="A768">
        <v>729</v>
      </c>
      <c r="B768" t="s">
        <v>1220</v>
      </c>
      <c r="C768">
        <v>23</v>
      </c>
      <c r="D768" t="s">
        <v>321</v>
      </c>
      <c r="E768" t="s">
        <v>325</v>
      </c>
      <c r="F768">
        <v>5</v>
      </c>
      <c r="G768">
        <v>0</v>
      </c>
      <c r="H768">
        <v>1</v>
      </c>
      <c r="I768">
        <v>1</v>
      </c>
      <c r="J768">
        <v>2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3</v>
      </c>
      <c r="T768">
        <v>0</v>
      </c>
      <c r="U768">
        <v>4</v>
      </c>
      <c r="V768" t="s">
        <v>2204</v>
      </c>
      <c r="W768" t="s">
        <v>1745</v>
      </c>
      <c r="X768">
        <v>4</v>
      </c>
      <c r="Y768">
        <v>5</v>
      </c>
      <c r="Z768">
        <v>44.4</v>
      </c>
      <c r="AA768">
        <v>1</v>
      </c>
      <c r="AB768">
        <v>1</v>
      </c>
      <c r="AC768">
        <v>0</v>
      </c>
      <c r="AD768">
        <v>2</v>
      </c>
      <c r="AE768" t="s">
        <v>60</v>
      </c>
    </row>
    <row r="769" spans="1:31" x14ac:dyDescent="0.2">
      <c r="A769">
        <v>730</v>
      </c>
      <c r="B769" t="s">
        <v>1405</v>
      </c>
      <c r="C769">
        <v>26</v>
      </c>
      <c r="D769" t="s">
        <v>358</v>
      </c>
      <c r="E769" t="s">
        <v>325</v>
      </c>
      <c r="F769">
        <v>22</v>
      </c>
      <c r="G769">
        <v>1</v>
      </c>
      <c r="H769">
        <v>0</v>
      </c>
      <c r="I769">
        <v>1</v>
      </c>
      <c r="J769">
        <v>-5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20</v>
      </c>
      <c r="T769">
        <v>5</v>
      </c>
      <c r="U769">
        <v>37</v>
      </c>
      <c r="V769" t="s">
        <v>2205</v>
      </c>
      <c r="W769" t="s">
        <v>1305</v>
      </c>
      <c r="X769">
        <v>63</v>
      </c>
      <c r="Y769">
        <v>52</v>
      </c>
      <c r="Z769">
        <v>54.8</v>
      </c>
      <c r="AA769">
        <v>8</v>
      </c>
      <c r="AB769">
        <v>52</v>
      </c>
      <c r="AC769">
        <v>1</v>
      </c>
      <c r="AD769">
        <v>8</v>
      </c>
      <c r="AE769" t="s">
        <v>60</v>
      </c>
    </row>
    <row r="770" spans="1:31" x14ac:dyDescent="0.2">
      <c r="A770">
        <v>731</v>
      </c>
      <c r="B770" t="s">
        <v>1221</v>
      </c>
      <c r="C770">
        <v>28</v>
      </c>
      <c r="D770" t="s">
        <v>377</v>
      </c>
      <c r="E770" t="s">
        <v>349</v>
      </c>
      <c r="F770">
        <v>7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5</v>
      </c>
      <c r="T770">
        <v>0</v>
      </c>
      <c r="U770">
        <v>17</v>
      </c>
      <c r="V770" t="s">
        <v>1222</v>
      </c>
      <c r="W770" t="s">
        <v>1223</v>
      </c>
      <c r="X770">
        <v>0</v>
      </c>
      <c r="Y770">
        <v>0</v>
      </c>
      <c r="AA770">
        <v>15</v>
      </c>
      <c r="AB770">
        <v>10</v>
      </c>
      <c r="AC770">
        <v>1</v>
      </c>
      <c r="AD770">
        <v>4</v>
      </c>
      <c r="AE770" t="s">
        <v>60</v>
      </c>
    </row>
    <row r="771" spans="1:31" x14ac:dyDescent="0.2">
      <c r="A771">
        <v>732</v>
      </c>
      <c r="B771" t="s">
        <v>1226</v>
      </c>
      <c r="C771">
        <v>24</v>
      </c>
      <c r="D771" t="s">
        <v>418</v>
      </c>
      <c r="E771" t="s">
        <v>335</v>
      </c>
      <c r="F771">
        <v>2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4</v>
      </c>
      <c r="T771">
        <v>0</v>
      </c>
      <c r="U771">
        <v>8</v>
      </c>
      <c r="V771" t="s">
        <v>856</v>
      </c>
      <c r="W771" t="s">
        <v>817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2</v>
      </c>
      <c r="AE771" t="s">
        <v>60</v>
      </c>
    </row>
    <row r="772" spans="1:31" x14ac:dyDescent="0.2">
      <c r="A772">
        <v>733</v>
      </c>
      <c r="B772" t="s">
        <v>1658</v>
      </c>
      <c r="C772">
        <v>31</v>
      </c>
      <c r="D772" t="s">
        <v>406</v>
      </c>
      <c r="E772" t="s">
        <v>322</v>
      </c>
      <c r="F772">
        <v>9</v>
      </c>
      <c r="G772">
        <v>1</v>
      </c>
      <c r="H772">
        <v>0</v>
      </c>
      <c r="I772">
        <v>1</v>
      </c>
      <c r="J772">
        <v>-2</v>
      </c>
      <c r="K772">
        <v>8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11</v>
      </c>
      <c r="T772">
        <v>9.1</v>
      </c>
      <c r="U772">
        <v>15</v>
      </c>
      <c r="V772" t="s">
        <v>2022</v>
      </c>
      <c r="W772" t="s">
        <v>1753</v>
      </c>
      <c r="X772">
        <v>18</v>
      </c>
      <c r="Y772">
        <v>24</v>
      </c>
      <c r="Z772">
        <v>42.9</v>
      </c>
      <c r="AA772">
        <v>8</v>
      </c>
      <c r="AB772">
        <v>3</v>
      </c>
      <c r="AC772">
        <v>1</v>
      </c>
      <c r="AD772">
        <v>4</v>
      </c>
      <c r="AE772" t="s">
        <v>60</v>
      </c>
    </row>
    <row r="773" spans="1:31" x14ac:dyDescent="0.2">
      <c r="A773">
        <v>734</v>
      </c>
      <c r="B773" t="s">
        <v>1613</v>
      </c>
      <c r="C773">
        <v>27</v>
      </c>
      <c r="D773" t="s">
        <v>358</v>
      </c>
      <c r="E773" t="s">
        <v>349</v>
      </c>
      <c r="F773">
        <v>4</v>
      </c>
      <c r="G773">
        <v>0</v>
      </c>
      <c r="H773">
        <v>1</v>
      </c>
      <c r="I773">
        <v>1</v>
      </c>
      <c r="J773">
        <v>-1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1</v>
      </c>
      <c r="S773">
        <v>4</v>
      </c>
      <c r="T773">
        <v>0</v>
      </c>
      <c r="U773">
        <v>5</v>
      </c>
      <c r="V773" t="s">
        <v>1962</v>
      </c>
      <c r="W773" t="s">
        <v>1811</v>
      </c>
      <c r="X773">
        <v>0</v>
      </c>
      <c r="Y773">
        <v>0</v>
      </c>
      <c r="AA773">
        <v>5</v>
      </c>
      <c r="AB773">
        <v>0</v>
      </c>
      <c r="AC773">
        <v>0</v>
      </c>
      <c r="AD773">
        <v>5</v>
      </c>
      <c r="AE773" t="s">
        <v>60</v>
      </c>
    </row>
    <row r="774" spans="1:31" x14ac:dyDescent="0.2">
      <c r="A774">
        <v>735</v>
      </c>
      <c r="B774" t="s">
        <v>1227</v>
      </c>
      <c r="C774">
        <v>29</v>
      </c>
      <c r="D774" t="s">
        <v>437</v>
      </c>
      <c r="E774" t="s">
        <v>340</v>
      </c>
      <c r="F774">
        <v>14</v>
      </c>
      <c r="G774">
        <v>0</v>
      </c>
      <c r="H774">
        <v>1</v>
      </c>
      <c r="I774">
        <v>1</v>
      </c>
      <c r="J774">
        <v>-1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7</v>
      </c>
      <c r="T774">
        <v>0</v>
      </c>
      <c r="U774">
        <v>22</v>
      </c>
      <c r="V774" t="s">
        <v>2659</v>
      </c>
      <c r="W774" t="s">
        <v>2660</v>
      </c>
      <c r="X774">
        <v>50</v>
      </c>
      <c r="Y774">
        <v>45</v>
      </c>
      <c r="Z774">
        <v>52.6</v>
      </c>
      <c r="AA774">
        <v>6</v>
      </c>
      <c r="AB774">
        <v>21</v>
      </c>
      <c r="AC774">
        <v>3</v>
      </c>
      <c r="AD774">
        <v>7</v>
      </c>
      <c r="AE774" t="s">
        <v>60</v>
      </c>
    </row>
    <row r="775" spans="1:31" x14ac:dyDescent="0.2">
      <c r="A775">
        <v>736</v>
      </c>
      <c r="B775" t="s">
        <v>1228</v>
      </c>
      <c r="C775">
        <v>24</v>
      </c>
      <c r="D775" t="s">
        <v>330</v>
      </c>
      <c r="E775" t="s">
        <v>3</v>
      </c>
      <c r="F775">
        <v>31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t="s">
        <v>2206</v>
      </c>
      <c r="W775" t="s">
        <v>1976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23</v>
      </c>
      <c r="AE775" t="s">
        <v>60</v>
      </c>
    </row>
    <row r="776" spans="1:31" x14ac:dyDescent="0.2">
      <c r="A776">
        <v>737</v>
      </c>
      <c r="B776" t="s">
        <v>1229</v>
      </c>
      <c r="C776">
        <v>27</v>
      </c>
      <c r="D776" t="s">
        <v>377</v>
      </c>
      <c r="E776" t="s">
        <v>340</v>
      </c>
      <c r="F776">
        <v>10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6</v>
      </c>
      <c r="T776">
        <v>0</v>
      </c>
      <c r="U776">
        <v>16</v>
      </c>
      <c r="V776" t="s">
        <v>1230</v>
      </c>
      <c r="W776" t="s">
        <v>1231</v>
      </c>
      <c r="X776">
        <v>12</v>
      </c>
      <c r="Y776">
        <v>13</v>
      </c>
      <c r="Z776">
        <v>48</v>
      </c>
      <c r="AA776">
        <v>4</v>
      </c>
      <c r="AB776">
        <v>9</v>
      </c>
      <c r="AC776">
        <v>2</v>
      </c>
      <c r="AD776">
        <v>4</v>
      </c>
      <c r="AE776" t="s">
        <v>60</v>
      </c>
    </row>
    <row r="777" spans="1:31" x14ac:dyDescent="0.2">
      <c r="A777">
        <v>738</v>
      </c>
      <c r="B777" t="s">
        <v>2026</v>
      </c>
      <c r="C777">
        <v>21</v>
      </c>
      <c r="D777" t="s">
        <v>330</v>
      </c>
      <c r="E777" t="s">
        <v>349</v>
      </c>
      <c r="F777">
        <v>2</v>
      </c>
      <c r="G777">
        <v>0</v>
      </c>
      <c r="H777">
        <v>1</v>
      </c>
      <c r="I777">
        <v>1</v>
      </c>
      <c r="J777">
        <v>-2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2</v>
      </c>
      <c r="T777">
        <v>0</v>
      </c>
      <c r="U777">
        <v>3</v>
      </c>
      <c r="V777" t="s">
        <v>2052</v>
      </c>
      <c r="W777" t="s">
        <v>1846</v>
      </c>
      <c r="X777">
        <v>0</v>
      </c>
      <c r="Y777">
        <v>0</v>
      </c>
      <c r="AA777">
        <v>2</v>
      </c>
      <c r="AB777">
        <v>0</v>
      </c>
      <c r="AC777">
        <v>1</v>
      </c>
      <c r="AD777">
        <v>2</v>
      </c>
      <c r="AE777" t="s">
        <v>60</v>
      </c>
    </row>
    <row r="778" spans="1:31" x14ac:dyDescent="0.2">
      <c r="A778">
        <v>739</v>
      </c>
      <c r="B778" t="s">
        <v>2098</v>
      </c>
      <c r="C778">
        <v>28</v>
      </c>
      <c r="D778" t="s">
        <v>400</v>
      </c>
      <c r="E778" t="s">
        <v>349</v>
      </c>
      <c r="F778">
        <v>2</v>
      </c>
      <c r="G778">
        <v>0</v>
      </c>
      <c r="H778">
        <v>1</v>
      </c>
      <c r="I778">
        <v>1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2</v>
      </c>
      <c r="T778">
        <v>0</v>
      </c>
      <c r="U778">
        <v>4</v>
      </c>
      <c r="V778" t="s">
        <v>2207</v>
      </c>
      <c r="W778" t="s">
        <v>401</v>
      </c>
      <c r="X778">
        <v>0</v>
      </c>
      <c r="Y778">
        <v>0</v>
      </c>
      <c r="AA778">
        <v>4</v>
      </c>
      <c r="AB778">
        <v>3</v>
      </c>
      <c r="AC778">
        <v>0</v>
      </c>
      <c r="AD778">
        <v>3</v>
      </c>
      <c r="AE778" t="s">
        <v>60</v>
      </c>
    </row>
    <row r="779" spans="1:31" x14ac:dyDescent="0.2">
      <c r="A779">
        <v>740</v>
      </c>
      <c r="B779" t="s">
        <v>1233</v>
      </c>
      <c r="C779">
        <v>27</v>
      </c>
      <c r="D779" t="s">
        <v>364</v>
      </c>
      <c r="E779" t="s">
        <v>335</v>
      </c>
      <c r="F779">
        <v>5</v>
      </c>
      <c r="G779">
        <v>0</v>
      </c>
      <c r="H779">
        <v>1</v>
      </c>
      <c r="I779">
        <v>1</v>
      </c>
      <c r="J779">
        <v>-3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6</v>
      </c>
      <c r="T779">
        <v>0</v>
      </c>
      <c r="U779">
        <v>20</v>
      </c>
      <c r="V779" t="s">
        <v>1234</v>
      </c>
      <c r="W779" t="s">
        <v>877</v>
      </c>
      <c r="X779">
        <v>2</v>
      </c>
      <c r="Y779">
        <v>1</v>
      </c>
      <c r="Z779">
        <v>66.7</v>
      </c>
      <c r="AA779">
        <v>0</v>
      </c>
      <c r="AB779">
        <v>2</v>
      </c>
      <c r="AC779">
        <v>0</v>
      </c>
      <c r="AD779">
        <v>2</v>
      </c>
      <c r="AE779" t="s">
        <v>60</v>
      </c>
    </row>
    <row r="780" spans="1:31" x14ac:dyDescent="0.2">
      <c r="A780">
        <v>741</v>
      </c>
      <c r="B780" t="s">
        <v>1235</v>
      </c>
      <c r="C780">
        <v>22</v>
      </c>
      <c r="D780" t="s">
        <v>346</v>
      </c>
      <c r="E780" t="s">
        <v>322</v>
      </c>
      <c r="F780">
        <v>4</v>
      </c>
      <c r="G780">
        <v>1</v>
      </c>
      <c r="H780">
        <v>0</v>
      </c>
      <c r="I780">
        <v>1</v>
      </c>
      <c r="J780">
        <v>-1</v>
      </c>
      <c r="K780">
        <v>2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3</v>
      </c>
      <c r="T780">
        <v>33.299999999999997</v>
      </c>
      <c r="U780">
        <v>6</v>
      </c>
      <c r="V780" t="s">
        <v>1236</v>
      </c>
      <c r="W780" t="s">
        <v>1118</v>
      </c>
      <c r="X780">
        <v>0</v>
      </c>
      <c r="Y780">
        <v>1</v>
      </c>
      <c r="Z780">
        <v>0</v>
      </c>
      <c r="AA780">
        <v>1</v>
      </c>
      <c r="AB780">
        <v>3</v>
      </c>
      <c r="AC780">
        <v>0</v>
      </c>
      <c r="AD780">
        <v>3</v>
      </c>
      <c r="AE780" t="s">
        <v>60</v>
      </c>
    </row>
    <row r="781" spans="1:31" x14ac:dyDescent="0.2">
      <c r="A781">
        <v>742</v>
      </c>
      <c r="B781" t="s">
        <v>1237</v>
      </c>
      <c r="C781">
        <v>22</v>
      </c>
      <c r="D781" t="s">
        <v>406</v>
      </c>
      <c r="E781" t="s">
        <v>349</v>
      </c>
      <c r="F781">
        <v>5</v>
      </c>
      <c r="G781">
        <v>0</v>
      </c>
      <c r="H781">
        <v>1</v>
      </c>
      <c r="I781">
        <v>1</v>
      </c>
      <c r="J781">
        <v>4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4</v>
      </c>
      <c r="T781">
        <v>0</v>
      </c>
      <c r="U781">
        <v>10</v>
      </c>
      <c r="V781" t="s">
        <v>1564</v>
      </c>
      <c r="W781" t="s">
        <v>1531</v>
      </c>
      <c r="X781">
        <v>0</v>
      </c>
      <c r="Y781">
        <v>0</v>
      </c>
      <c r="AA781">
        <v>9</v>
      </c>
      <c r="AB781">
        <v>11</v>
      </c>
      <c r="AC781">
        <v>2</v>
      </c>
      <c r="AD781">
        <v>4</v>
      </c>
      <c r="AE781" t="s">
        <v>60</v>
      </c>
    </row>
    <row r="782" spans="1:31" x14ac:dyDescent="0.2">
      <c r="A782">
        <v>743</v>
      </c>
      <c r="B782" t="s">
        <v>1238</v>
      </c>
      <c r="C782">
        <v>30</v>
      </c>
      <c r="D782" t="s">
        <v>449</v>
      </c>
      <c r="E782" t="s">
        <v>3</v>
      </c>
      <c r="F782">
        <v>23</v>
      </c>
      <c r="G782">
        <v>0</v>
      </c>
      <c r="H782">
        <v>1</v>
      </c>
      <c r="I782">
        <v>1</v>
      </c>
      <c r="J782">
        <v>0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t="s">
        <v>2661</v>
      </c>
      <c r="W782" t="s">
        <v>2662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5</v>
      </c>
      <c r="AE782" t="s">
        <v>60</v>
      </c>
    </row>
    <row r="783" spans="1:31" x14ac:dyDescent="0.2">
      <c r="A783">
        <v>744</v>
      </c>
      <c r="B783" t="s">
        <v>1978</v>
      </c>
      <c r="C783">
        <v>25</v>
      </c>
      <c r="D783" t="s">
        <v>421</v>
      </c>
      <c r="E783" t="s">
        <v>340</v>
      </c>
      <c r="F783">
        <v>5</v>
      </c>
      <c r="G783">
        <v>1</v>
      </c>
      <c r="H783">
        <v>0</v>
      </c>
      <c r="I783">
        <v>1</v>
      </c>
      <c r="J783">
        <v>-1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3</v>
      </c>
      <c r="T783">
        <v>33.299999999999997</v>
      </c>
      <c r="U783">
        <v>9</v>
      </c>
      <c r="V783" t="s">
        <v>2871</v>
      </c>
      <c r="W783" t="s">
        <v>1430</v>
      </c>
      <c r="X783">
        <v>0</v>
      </c>
      <c r="Y783">
        <v>0</v>
      </c>
      <c r="AA783">
        <v>3</v>
      </c>
      <c r="AB783">
        <v>13</v>
      </c>
      <c r="AC783">
        <v>2</v>
      </c>
      <c r="AD783">
        <v>1</v>
      </c>
      <c r="AE783" t="s">
        <v>60</v>
      </c>
    </row>
    <row r="784" spans="1:31" x14ac:dyDescent="0.2">
      <c r="A784">
        <v>745</v>
      </c>
      <c r="B784" t="s">
        <v>1239</v>
      </c>
      <c r="C784">
        <v>32</v>
      </c>
      <c r="D784" t="s">
        <v>367</v>
      </c>
      <c r="E784" t="s">
        <v>3</v>
      </c>
      <c r="F784">
        <v>15</v>
      </c>
      <c r="G784">
        <v>0</v>
      </c>
      <c r="H784">
        <v>1</v>
      </c>
      <c r="I784">
        <v>1</v>
      </c>
      <c r="J784">
        <v>0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</v>
      </c>
      <c r="T784">
        <v>0</v>
      </c>
      <c r="U784">
        <v>1</v>
      </c>
      <c r="V784" t="s">
        <v>2099</v>
      </c>
      <c r="W784" t="s">
        <v>2100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13</v>
      </c>
      <c r="AE784" t="s">
        <v>60</v>
      </c>
    </row>
    <row r="785" spans="1:31" x14ac:dyDescent="0.2">
      <c r="A785">
        <v>746</v>
      </c>
      <c r="B785" t="s">
        <v>1436</v>
      </c>
      <c r="C785">
        <v>28</v>
      </c>
      <c r="D785" t="s">
        <v>514</v>
      </c>
      <c r="E785" t="s">
        <v>335</v>
      </c>
      <c r="F785">
        <v>5</v>
      </c>
      <c r="G785">
        <v>1</v>
      </c>
      <c r="H785">
        <v>0</v>
      </c>
      <c r="I785">
        <v>1</v>
      </c>
      <c r="J785">
        <v>-2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5</v>
      </c>
      <c r="T785">
        <v>20</v>
      </c>
      <c r="U785">
        <v>7</v>
      </c>
      <c r="V785" t="s">
        <v>1649</v>
      </c>
      <c r="W785" t="s">
        <v>1532</v>
      </c>
      <c r="X785">
        <v>0</v>
      </c>
      <c r="Y785">
        <v>0</v>
      </c>
      <c r="AA785">
        <v>4</v>
      </c>
      <c r="AB785">
        <v>8</v>
      </c>
      <c r="AC785">
        <v>2</v>
      </c>
      <c r="AD785">
        <v>0</v>
      </c>
      <c r="AE785" t="s">
        <v>60</v>
      </c>
    </row>
    <row r="786" spans="1:31" x14ac:dyDescent="0.2">
      <c r="A786">
        <v>747</v>
      </c>
      <c r="B786" t="s">
        <v>1438</v>
      </c>
      <c r="C786">
        <v>33</v>
      </c>
      <c r="D786" t="s">
        <v>429</v>
      </c>
      <c r="E786" t="s">
        <v>3</v>
      </c>
      <c r="F786">
        <v>21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1</v>
      </c>
      <c r="R786">
        <v>0</v>
      </c>
      <c r="S786">
        <v>0</v>
      </c>
      <c r="U786">
        <v>0</v>
      </c>
      <c r="V786" t="s">
        <v>1855</v>
      </c>
      <c r="W786" t="s">
        <v>1856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8</v>
      </c>
      <c r="AE786" t="s">
        <v>60</v>
      </c>
    </row>
    <row r="787" spans="1:31" x14ac:dyDescent="0.2">
      <c r="A787">
        <v>748</v>
      </c>
      <c r="B787" t="s">
        <v>1242</v>
      </c>
      <c r="C787">
        <v>31</v>
      </c>
      <c r="D787" t="s">
        <v>406</v>
      </c>
      <c r="E787" t="s">
        <v>349</v>
      </c>
      <c r="F787">
        <v>19</v>
      </c>
      <c r="G787">
        <v>0</v>
      </c>
      <c r="H787">
        <v>1</v>
      </c>
      <c r="I787">
        <v>1</v>
      </c>
      <c r="J787">
        <v>-4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9</v>
      </c>
      <c r="T787">
        <v>0</v>
      </c>
      <c r="U787">
        <v>22</v>
      </c>
      <c r="V787" t="s">
        <v>1634</v>
      </c>
      <c r="W787" t="s">
        <v>1604</v>
      </c>
      <c r="X787">
        <v>0</v>
      </c>
      <c r="Y787">
        <v>0</v>
      </c>
      <c r="AA787">
        <v>16</v>
      </c>
      <c r="AB787">
        <v>1</v>
      </c>
      <c r="AC787">
        <v>2</v>
      </c>
      <c r="AD787">
        <v>14</v>
      </c>
      <c r="AE787" t="s">
        <v>60</v>
      </c>
    </row>
    <row r="788" spans="1:31" x14ac:dyDescent="0.2">
      <c r="A788">
        <v>749</v>
      </c>
      <c r="B788" t="s">
        <v>1439</v>
      </c>
      <c r="C788">
        <v>31</v>
      </c>
      <c r="D788" t="s">
        <v>418</v>
      </c>
      <c r="E788" t="s">
        <v>340</v>
      </c>
      <c r="F788">
        <v>16</v>
      </c>
      <c r="G788">
        <v>0</v>
      </c>
      <c r="H788">
        <v>1</v>
      </c>
      <c r="I788">
        <v>1</v>
      </c>
      <c r="J788">
        <v>-3</v>
      </c>
      <c r="K788">
        <v>33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2</v>
      </c>
      <c r="T788">
        <v>0</v>
      </c>
      <c r="U788">
        <v>3</v>
      </c>
      <c r="V788" t="s">
        <v>1857</v>
      </c>
      <c r="W788" t="s">
        <v>1858</v>
      </c>
      <c r="X788">
        <v>0</v>
      </c>
      <c r="Y788">
        <v>0</v>
      </c>
      <c r="AA788">
        <v>5</v>
      </c>
      <c r="AB788">
        <v>13</v>
      </c>
      <c r="AC788">
        <v>0</v>
      </c>
      <c r="AD788">
        <v>2</v>
      </c>
      <c r="AE788" t="s">
        <v>60</v>
      </c>
    </row>
    <row r="789" spans="1:31" x14ac:dyDescent="0.2">
      <c r="A789">
        <v>750</v>
      </c>
      <c r="B789" t="s">
        <v>1244</v>
      </c>
      <c r="C789">
        <v>18</v>
      </c>
      <c r="D789" t="s">
        <v>461</v>
      </c>
      <c r="E789" t="s">
        <v>322</v>
      </c>
      <c r="F789">
        <v>3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2</v>
      </c>
      <c r="T789">
        <v>0</v>
      </c>
      <c r="U789">
        <v>3</v>
      </c>
      <c r="V789" t="s">
        <v>1245</v>
      </c>
      <c r="W789" t="s">
        <v>1246</v>
      </c>
      <c r="X789">
        <v>5</v>
      </c>
      <c r="Y789">
        <v>11</v>
      </c>
      <c r="Z789">
        <v>31.3</v>
      </c>
      <c r="AA789">
        <v>2</v>
      </c>
      <c r="AB789">
        <v>0</v>
      </c>
      <c r="AC789">
        <v>0</v>
      </c>
      <c r="AD789">
        <v>4</v>
      </c>
      <c r="AE789" t="s">
        <v>60</v>
      </c>
    </row>
    <row r="790" spans="1:31" x14ac:dyDescent="0.2">
      <c r="A790">
        <v>751</v>
      </c>
      <c r="B790" t="s">
        <v>1446</v>
      </c>
      <c r="C790">
        <v>29</v>
      </c>
      <c r="D790" t="s">
        <v>382</v>
      </c>
      <c r="E790" t="s">
        <v>349</v>
      </c>
      <c r="F790">
        <v>3</v>
      </c>
      <c r="G790">
        <v>0</v>
      </c>
      <c r="H790">
        <v>1</v>
      </c>
      <c r="I790">
        <v>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5</v>
      </c>
      <c r="T790">
        <v>0</v>
      </c>
      <c r="U790">
        <v>7</v>
      </c>
      <c r="V790" t="s">
        <v>2663</v>
      </c>
      <c r="W790" t="s">
        <v>2664</v>
      </c>
      <c r="X790">
        <v>0</v>
      </c>
      <c r="Y790">
        <v>0</v>
      </c>
      <c r="AA790">
        <v>1</v>
      </c>
      <c r="AB790">
        <v>0</v>
      </c>
      <c r="AC790">
        <v>0</v>
      </c>
      <c r="AD790">
        <v>0</v>
      </c>
      <c r="AE790" t="s">
        <v>60</v>
      </c>
    </row>
    <row r="791" spans="1:31" x14ac:dyDescent="0.2">
      <c r="A791">
        <v>752</v>
      </c>
      <c r="B791" t="s">
        <v>1248</v>
      </c>
      <c r="C791">
        <v>32</v>
      </c>
      <c r="D791" t="s">
        <v>360</v>
      </c>
      <c r="E791" t="s">
        <v>349</v>
      </c>
      <c r="F791">
        <v>11</v>
      </c>
      <c r="G791">
        <v>1</v>
      </c>
      <c r="H791">
        <v>0</v>
      </c>
      <c r="I791">
        <v>1</v>
      </c>
      <c r="J791">
        <v>-3</v>
      </c>
      <c r="K791">
        <v>11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5</v>
      </c>
      <c r="T791">
        <v>20</v>
      </c>
      <c r="U791">
        <v>15</v>
      </c>
      <c r="V791" t="s">
        <v>1536</v>
      </c>
      <c r="W791" t="s">
        <v>1537</v>
      </c>
      <c r="X791">
        <v>0</v>
      </c>
      <c r="Y791">
        <v>0</v>
      </c>
      <c r="AA791">
        <v>9</v>
      </c>
      <c r="AB791">
        <v>8</v>
      </c>
      <c r="AC791">
        <v>2</v>
      </c>
      <c r="AD791">
        <v>8</v>
      </c>
      <c r="AE791" t="s">
        <v>60</v>
      </c>
    </row>
    <row r="792" spans="1:31" x14ac:dyDescent="0.2">
      <c r="A792">
        <v>753</v>
      </c>
      <c r="B792" t="s">
        <v>1249</v>
      </c>
      <c r="C792">
        <v>31</v>
      </c>
      <c r="D792" t="s">
        <v>382</v>
      </c>
      <c r="E792" t="s">
        <v>3</v>
      </c>
      <c r="F792">
        <v>15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t="s">
        <v>2053</v>
      </c>
      <c r="W792" t="s">
        <v>1915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6</v>
      </c>
      <c r="AE792" t="s">
        <v>60</v>
      </c>
    </row>
    <row r="793" spans="1:31" x14ac:dyDescent="0.2">
      <c r="A793">
        <v>754</v>
      </c>
      <c r="B793" t="s">
        <v>1456</v>
      </c>
      <c r="C793">
        <v>33</v>
      </c>
      <c r="D793" t="s">
        <v>346</v>
      </c>
      <c r="E793" t="s">
        <v>349</v>
      </c>
      <c r="F793">
        <v>15</v>
      </c>
      <c r="G793">
        <v>0</v>
      </c>
      <c r="H793">
        <v>1</v>
      </c>
      <c r="I793">
        <v>1</v>
      </c>
      <c r="J793">
        <v>-8</v>
      </c>
      <c r="K793">
        <v>6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16</v>
      </c>
      <c r="T793">
        <v>0</v>
      </c>
      <c r="U793">
        <v>48</v>
      </c>
      <c r="V793" t="s">
        <v>2101</v>
      </c>
      <c r="W793" t="s">
        <v>659</v>
      </c>
      <c r="X793">
        <v>0</v>
      </c>
      <c r="Y793">
        <v>0</v>
      </c>
      <c r="AA793">
        <v>10</v>
      </c>
      <c r="AB793">
        <v>25</v>
      </c>
      <c r="AC793">
        <v>2</v>
      </c>
      <c r="AD793">
        <v>11</v>
      </c>
      <c r="AE793" t="s">
        <v>60</v>
      </c>
    </row>
    <row r="794" spans="1:31" x14ac:dyDescent="0.2">
      <c r="A794">
        <v>755</v>
      </c>
      <c r="B794" t="s">
        <v>1459</v>
      </c>
      <c r="C794">
        <v>26</v>
      </c>
      <c r="D794" t="s">
        <v>385</v>
      </c>
      <c r="E794" t="s">
        <v>349</v>
      </c>
      <c r="F794">
        <v>9</v>
      </c>
      <c r="G794">
        <v>1</v>
      </c>
      <c r="H794">
        <v>0</v>
      </c>
      <c r="I794">
        <v>1</v>
      </c>
      <c r="J794">
        <v>0</v>
      </c>
      <c r="K794">
        <v>6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4</v>
      </c>
      <c r="T794">
        <v>25</v>
      </c>
      <c r="U794">
        <v>13</v>
      </c>
      <c r="V794" t="s">
        <v>1635</v>
      </c>
      <c r="W794" t="s">
        <v>934</v>
      </c>
      <c r="X794">
        <v>0</v>
      </c>
      <c r="Y794">
        <v>0</v>
      </c>
      <c r="AA794">
        <v>6</v>
      </c>
      <c r="AB794">
        <v>13</v>
      </c>
      <c r="AC794">
        <v>0</v>
      </c>
      <c r="AD794">
        <v>6</v>
      </c>
      <c r="AE794" t="s">
        <v>60</v>
      </c>
    </row>
    <row r="795" spans="1:31" x14ac:dyDescent="0.2">
      <c r="A795">
        <v>756</v>
      </c>
      <c r="B795" t="s">
        <v>1250</v>
      </c>
      <c r="C795">
        <v>20</v>
      </c>
      <c r="D795" t="s">
        <v>532</v>
      </c>
      <c r="E795" t="s">
        <v>322</v>
      </c>
      <c r="F795">
        <v>2</v>
      </c>
      <c r="G795">
        <v>0</v>
      </c>
      <c r="H795">
        <v>1</v>
      </c>
      <c r="I795">
        <v>1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1</v>
      </c>
      <c r="T795">
        <v>0</v>
      </c>
      <c r="U795">
        <v>2</v>
      </c>
      <c r="V795" t="s">
        <v>1251</v>
      </c>
      <c r="W795" t="s">
        <v>1252</v>
      </c>
      <c r="X795">
        <v>5</v>
      </c>
      <c r="Y795">
        <v>2</v>
      </c>
      <c r="Z795">
        <v>71.400000000000006</v>
      </c>
      <c r="AA795">
        <v>0</v>
      </c>
      <c r="AB795">
        <v>1</v>
      </c>
      <c r="AC795">
        <v>1</v>
      </c>
      <c r="AD795">
        <v>1</v>
      </c>
      <c r="AE795" t="s">
        <v>60</v>
      </c>
    </row>
    <row r="796" spans="1:31" x14ac:dyDescent="0.2">
      <c r="A796">
        <v>757</v>
      </c>
      <c r="B796" t="s">
        <v>1256</v>
      </c>
      <c r="C796">
        <v>30</v>
      </c>
      <c r="D796" t="s">
        <v>324</v>
      </c>
      <c r="E796" t="s">
        <v>3</v>
      </c>
      <c r="F796">
        <v>20</v>
      </c>
      <c r="G796">
        <v>0</v>
      </c>
      <c r="H796">
        <v>1</v>
      </c>
      <c r="I796">
        <v>1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U796">
        <v>0</v>
      </c>
      <c r="V796" t="s">
        <v>2054</v>
      </c>
      <c r="W796" t="s">
        <v>2025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13</v>
      </c>
      <c r="AE796" t="s">
        <v>60</v>
      </c>
    </row>
    <row r="797" spans="1:31" x14ac:dyDescent="0.2">
      <c r="A797">
        <v>758</v>
      </c>
      <c r="B797" t="s">
        <v>1257</v>
      </c>
      <c r="C797">
        <v>25</v>
      </c>
      <c r="D797" t="s">
        <v>321</v>
      </c>
      <c r="E797" t="s">
        <v>325</v>
      </c>
      <c r="F797">
        <v>4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3</v>
      </c>
      <c r="T797">
        <v>0</v>
      </c>
      <c r="U797">
        <v>6</v>
      </c>
      <c r="V797" t="s">
        <v>1258</v>
      </c>
      <c r="W797" t="s">
        <v>1259</v>
      </c>
      <c r="X797">
        <v>0</v>
      </c>
      <c r="Y797">
        <v>0</v>
      </c>
      <c r="AA797">
        <v>1</v>
      </c>
      <c r="AB797">
        <v>9</v>
      </c>
      <c r="AC797">
        <v>0</v>
      </c>
      <c r="AD797">
        <v>2</v>
      </c>
      <c r="AE797" t="s">
        <v>60</v>
      </c>
    </row>
    <row r="798" spans="1:31" x14ac:dyDescent="0.2">
      <c r="A798">
        <v>759</v>
      </c>
      <c r="B798" t="s">
        <v>1469</v>
      </c>
      <c r="C798">
        <v>27</v>
      </c>
      <c r="D798" t="s">
        <v>334</v>
      </c>
      <c r="E798" t="s">
        <v>3</v>
      </c>
      <c r="F798">
        <v>29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t="s">
        <v>2208</v>
      </c>
      <c r="W798" t="s">
        <v>1914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8</v>
      </c>
      <c r="AE798" t="s">
        <v>60</v>
      </c>
    </row>
    <row r="799" spans="1:31" x14ac:dyDescent="0.2">
      <c r="A799">
        <v>760</v>
      </c>
      <c r="B799" t="s">
        <v>1260</v>
      </c>
      <c r="C799">
        <v>19</v>
      </c>
      <c r="D799" t="s">
        <v>437</v>
      </c>
      <c r="E799" t="s">
        <v>349</v>
      </c>
      <c r="F799">
        <v>11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11</v>
      </c>
      <c r="T799">
        <v>0</v>
      </c>
      <c r="U799">
        <v>35</v>
      </c>
      <c r="V799" t="s">
        <v>1261</v>
      </c>
      <c r="W799" t="s">
        <v>1262</v>
      </c>
      <c r="X799">
        <v>0</v>
      </c>
      <c r="Y799">
        <v>0</v>
      </c>
      <c r="AA799">
        <v>5</v>
      </c>
      <c r="AB799">
        <v>5</v>
      </c>
      <c r="AC799">
        <v>3</v>
      </c>
      <c r="AD799">
        <v>17</v>
      </c>
      <c r="AE799" t="s">
        <v>60</v>
      </c>
    </row>
    <row r="800" spans="1:31" x14ac:dyDescent="0.2">
      <c r="A800">
        <v>761</v>
      </c>
      <c r="B800" t="s">
        <v>1482</v>
      </c>
      <c r="C800">
        <v>34</v>
      </c>
      <c r="D800" t="s">
        <v>358</v>
      </c>
      <c r="E800" t="s">
        <v>322</v>
      </c>
      <c r="F800">
        <v>23</v>
      </c>
      <c r="G800">
        <v>1</v>
      </c>
      <c r="H800">
        <v>0</v>
      </c>
      <c r="I800">
        <v>1</v>
      </c>
      <c r="J800">
        <v>-1</v>
      </c>
      <c r="K800">
        <v>24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19</v>
      </c>
      <c r="T800">
        <v>5.3</v>
      </c>
      <c r="U800">
        <v>34</v>
      </c>
      <c r="V800" t="s">
        <v>1650</v>
      </c>
      <c r="W800" t="s">
        <v>1651</v>
      </c>
      <c r="X800">
        <v>0</v>
      </c>
      <c r="Y800">
        <v>3</v>
      </c>
      <c r="Z800">
        <v>0</v>
      </c>
      <c r="AA800">
        <v>13</v>
      </c>
      <c r="AB800">
        <v>58</v>
      </c>
      <c r="AC800">
        <v>4</v>
      </c>
      <c r="AD800">
        <v>6</v>
      </c>
      <c r="AE800" t="s">
        <v>60</v>
      </c>
    </row>
    <row r="801" spans="1:31" x14ac:dyDescent="0.2">
      <c r="A801">
        <v>762</v>
      </c>
      <c r="B801" t="s">
        <v>2013</v>
      </c>
      <c r="C801">
        <v>24</v>
      </c>
      <c r="D801" t="s">
        <v>382</v>
      </c>
      <c r="E801" t="s">
        <v>340</v>
      </c>
      <c r="F801">
        <v>4</v>
      </c>
      <c r="G801">
        <v>1</v>
      </c>
      <c r="H801">
        <v>0</v>
      </c>
      <c r="I801">
        <v>1</v>
      </c>
      <c r="J801">
        <v>-1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5</v>
      </c>
      <c r="T801">
        <v>20</v>
      </c>
      <c r="U801">
        <v>12</v>
      </c>
      <c r="V801" t="s">
        <v>2665</v>
      </c>
      <c r="W801" t="s">
        <v>2666</v>
      </c>
      <c r="X801">
        <v>0</v>
      </c>
      <c r="Y801">
        <v>0</v>
      </c>
      <c r="AA801">
        <v>2</v>
      </c>
      <c r="AB801">
        <v>1</v>
      </c>
      <c r="AC801">
        <v>1</v>
      </c>
      <c r="AD801">
        <v>1</v>
      </c>
      <c r="AE801" t="s">
        <v>60</v>
      </c>
    </row>
    <row r="802" spans="1:31" x14ac:dyDescent="0.2">
      <c r="A802">
        <v>763</v>
      </c>
      <c r="B802" t="s">
        <v>1264</v>
      </c>
      <c r="C802">
        <v>23</v>
      </c>
      <c r="D802" t="s">
        <v>362</v>
      </c>
      <c r="E802" t="s">
        <v>322</v>
      </c>
      <c r="F802">
        <v>21</v>
      </c>
      <c r="G802">
        <v>1</v>
      </c>
      <c r="H802">
        <v>0</v>
      </c>
      <c r="I802">
        <v>1</v>
      </c>
      <c r="J802">
        <v>-2</v>
      </c>
      <c r="K802">
        <v>7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13</v>
      </c>
      <c r="T802">
        <v>7.7</v>
      </c>
      <c r="U802">
        <v>27</v>
      </c>
      <c r="V802" t="s">
        <v>2055</v>
      </c>
      <c r="W802" t="s">
        <v>1859</v>
      </c>
      <c r="X802">
        <v>3</v>
      </c>
      <c r="Y802">
        <v>5</v>
      </c>
      <c r="Z802">
        <v>37.5</v>
      </c>
      <c r="AA802">
        <v>5</v>
      </c>
      <c r="AB802">
        <v>69</v>
      </c>
      <c r="AC802">
        <v>2</v>
      </c>
      <c r="AD802">
        <v>5</v>
      </c>
      <c r="AE802" t="s">
        <v>60</v>
      </c>
    </row>
    <row r="803" spans="1:31" x14ac:dyDescent="0.2">
      <c r="A803">
        <v>764</v>
      </c>
      <c r="B803" t="s">
        <v>1265</v>
      </c>
      <c r="C803">
        <v>22</v>
      </c>
      <c r="D803" t="s">
        <v>398</v>
      </c>
      <c r="E803" t="s">
        <v>322</v>
      </c>
      <c r="F803">
        <v>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</v>
      </c>
      <c r="T803">
        <v>0</v>
      </c>
      <c r="U803">
        <v>3</v>
      </c>
      <c r="V803" t="s">
        <v>1266</v>
      </c>
      <c r="W803" t="s">
        <v>1267</v>
      </c>
      <c r="X803">
        <v>12</v>
      </c>
      <c r="Y803">
        <v>12</v>
      </c>
      <c r="Z803">
        <v>50</v>
      </c>
      <c r="AA803">
        <v>1</v>
      </c>
      <c r="AB803">
        <v>3</v>
      </c>
      <c r="AC803">
        <v>0</v>
      </c>
      <c r="AD803">
        <v>1</v>
      </c>
      <c r="AE803" t="s">
        <v>60</v>
      </c>
    </row>
    <row r="804" spans="1:31" x14ac:dyDescent="0.2">
      <c r="A804">
        <v>765</v>
      </c>
      <c r="B804" t="s">
        <v>1268</v>
      </c>
      <c r="C804">
        <v>26</v>
      </c>
      <c r="D804" t="s">
        <v>385</v>
      </c>
      <c r="E804" t="s">
        <v>349</v>
      </c>
      <c r="F804">
        <v>15</v>
      </c>
      <c r="G804">
        <v>0</v>
      </c>
      <c r="H804">
        <v>1</v>
      </c>
      <c r="I804">
        <v>1</v>
      </c>
      <c r="J804">
        <v>-7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17</v>
      </c>
      <c r="T804">
        <v>0</v>
      </c>
      <c r="U804">
        <v>38</v>
      </c>
      <c r="V804" t="s">
        <v>1269</v>
      </c>
      <c r="W804" t="s">
        <v>1270</v>
      </c>
      <c r="X804">
        <v>0</v>
      </c>
      <c r="Y804">
        <v>0</v>
      </c>
      <c r="AA804">
        <v>31</v>
      </c>
      <c r="AB804">
        <v>31</v>
      </c>
      <c r="AC804">
        <v>4</v>
      </c>
      <c r="AD804">
        <v>18</v>
      </c>
      <c r="AE804" t="s">
        <v>60</v>
      </c>
    </row>
    <row r="805" spans="1:31" x14ac:dyDescent="0.2">
      <c r="A805">
        <v>766</v>
      </c>
      <c r="B805" t="s">
        <v>1271</v>
      </c>
      <c r="C805">
        <v>32</v>
      </c>
      <c r="D805" t="s">
        <v>406</v>
      </c>
      <c r="E805" t="s">
        <v>322</v>
      </c>
      <c r="F805">
        <v>1</v>
      </c>
      <c r="G805">
        <v>1</v>
      </c>
      <c r="H805">
        <v>0</v>
      </c>
      <c r="I805">
        <v>1</v>
      </c>
      <c r="J805">
        <v>1</v>
      </c>
      <c r="K805">
        <v>0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</v>
      </c>
      <c r="T805">
        <v>100</v>
      </c>
      <c r="U805">
        <v>3</v>
      </c>
      <c r="V805" t="s">
        <v>1272</v>
      </c>
      <c r="W805" t="s">
        <v>1272</v>
      </c>
      <c r="X805">
        <v>2</v>
      </c>
      <c r="Y805">
        <v>6</v>
      </c>
      <c r="Z805">
        <v>25</v>
      </c>
      <c r="AA805">
        <v>0</v>
      </c>
      <c r="AB805">
        <v>0</v>
      </c>
      <c r="AC805">
        <v>0</v>
      </c>
      <c r="AD805">
        <v>1</v>
      </c>
      <c r="AE805" t="s">
        <v>60</v>
      </c>
    </row>
    <row r="806" spans="1:31" x14ac:dyDescent="0.2">
      <c r="A806">
        <v>767</v>
      </c>
      <c r="B806" t="s">
        <v>1273</v>
      </c>
      <c r="C806">
        <v>30</v>
      </c>
      <c r="D806" t="s">
        <v>353</v>
      </c>
      <c r="E806" t="s">
        <v>349</v>
      </c>
      <c r="F806">
        <v>9</v>
      </c>
      <c r="G806">
        <v>0</v>
      </c>
      <c r="H806">
        <v>1</v>
      </c>
      <c r="I806">
        <v>1</v>
      </c>
      <c r="J806">
        <v>1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3</v>
      </c>
      <c r="T806">
        <v>0</v>
      </c>
      <c r="U806">
        <v>16</v>
      </c>
      <c r="V806" t="s">
        <v>1763</v>
      </c>
      <c r="W806" t="s">
        <v>1688</v>
      </c>
      <c r="X806">
        <v>0</v>
      </c>
      <c r="Y806">
        <v>0</v>
      </c>
      <c r="AA806">
        <v>6</v>
      </c>
      <c r="AB806">
        <v>7</v>
      </c>
      <c r="AC806">
        <v>0</v>
      </c>
      <c r="AD806">
        <v>4</v>
      </c>
      <c r="AE806" t="s">
        <v>60</v>
      </c>
    </row>
    <row r="807" spans="1:31" x14ac:dyDescent="0.2">
      <c r="A807">
        <v>768</v>
      </c>
      <c r="B807" t="s">
        <v>1276</v>
      </c>
      <c r="C807">
        <v>20</v>
      </c>
      <c r="D807" t="s">
        <v>406</v>
      </c>
      <c r="E807" t="s">
        <v>349</v>
      </c>
      <c r="F807">
        <v>24</v>
      </c>
      <c r="G807">
        <v>0</v>
      </c>
      <c r="H807">
        <v>1</v>
      </c>
      <c r="I807">
        <v>1</v>
      </c>
      <c r="J807">
        <v>-9</v>
      </c>
      <c r="K807">
        <v>18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23</v>
      </c>
      <c r="T807">
        <v>0</v>
      </c>
      <c r="U807">
        <v>42</v>
      </c>
      <c r="V807" t="s">
        <v>1277</v>
      </c>
      <c r="W807" t="s">
        <v>542</v>
      </c>
      <c r="X807">
        <v>0</v>
      </c>
      <c r="Y807">
        <v>0</v>
      </c>
      <c r="AA807">
        <v>26</v>
      </c>
      <c r="AB807">
        <v>8</v>
      </c>
      <c r="AC807">
        <v>1</v>
      </c>
      <c r="AD807">
        <v>26</v>
      </c>
      <c r="AE807" t="s">
        <v>60</v>
      </c>
    </row>
    <row r="808" spans="1:31" x14ac:dyDescent="0.2">
      <c r="A808">
        <v>769</v>
      </c>
      <c r="B808" t="s">
        <v>1506</v>
      </c>
      <c r="C808">
        <v>31</v>
      </c>
      <c r="D808" t="s">
        <v>398</v>
      </c>
      <c r="E808" t="s">
        <v>349</v>
      </c>
      <c r="F808">
        <v>7</v>
      </c>
      <c r="G808">
        <v>0</v>
      </c>
      <c r="H808">
        <v>1</v>
      </c>
      <c r="I808">
        <v>1</v>
      </c>
      <c r="J808">
        <v>-3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6</v>
      </c>
      <c r="T808">
        <v>0</v>
      </c>
      <c r="U808">
        <v>20</v>
      </c>
      <c r="V808" t="s">
        <v>2209</v>
      </c>
      <c r="W808" t="s">
        <v>1948</v>
      </c>
      <c r="X808">
        <v>0</v>
      </c>
      <c r="Y808">
        <v>0</v>
      </c>
      <c r="AA808">
        <v>13</v>
      </c>
      <c r="AB808">
        <v>2</v>
      </c>
      <c r="AC808">
        <v>5</v>
      </c>
      <c r="AD808">
        <v>7</v>
      </c>
      <c r="AE808" t="s">
        <v>60</v>
      </c>
    </row>
    <row r="809" spans="1:31" x14ac:dyDescent="0.2">
      <c r="A809">
        <v>770</v>
      </c>
      <c r="B809" t="s">
        <v>1509</v>
      </c>
      <c r="C809">
        <v>24</v>
      </c>
      <c r="D809" t="s">
        <v>356</v>
      </c>
      <c r="E809" t="s">
        <v>349</v>
      </c>
      <c r="F809">
        <v>8</v>
      </c>
      <c r="G809">
        <v>0</v>
      </c>
      <c r="H809">
        <v>1</v>
      </c>
      <c r="I809">
        <v>1</v>
      </c>
      <c r="J809">
        <v>3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8</v>
      </c>
      <c r="T809">
        <v>0</v>
      </c>
      <c r="U809">
        <v>15</v>
      </c>
      <c r="V809" t="s">
        <v>1719</v>
      </c>
      <c r="W809" t="s">
        <v>1720</v>
      </c>
      <c r="X809">
        <v>0</v>
      </c>
      <c r="Y809">
        <v>0</v>
      </c>
      <c r="AA809">
        <v>10</v>
      </c>
      <c r="AB809">
        <v>1</v>
      </c>
      <c r="AC809">
        <v>2</v>
      </c>
      <c r="AD809">
        <v>11</v>
      </c>
      <c r="AE809" t="s">
        <v>60</v>
      </c>
    </row>
    <row r="810" spans="1:31" x14ac:dyDescent="0.2">
      <c r="A810">
        <v>771</v>
      </c>
      <c r="B810" t="s">
        <v>1280</v>
      </c>
      <c r="C810">
        <v>38</v>
      </c>
      <c r="D810" t="s">
        <v>372</v>
      </c>
      <c r="E810" t="s">
        <v>3</v>
      </c>
      <c r="F810">
        <v>22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t="s">
        <v>2667</v>
      </c>
      <c r="W810" t="s">
        <v>2668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16</v>
      </c>
      <c r="AE810" t="s">
        <v>60</v>
      </c>
    </row>
    <row r="811" spans="1:31" x14ac:dyDescent="0.2">
      <c r="A811">
        <v>772</v>
      </c>
      <c r="B811" t="s">
        <v>1282</v>
      </c>
      <c r="C811">
        <v>28</v>
      </c>
      <c r="D811" t="s">
        <v>367</v>
      </c>
      <c r="E811" t="s">
        <v>3</v>
      </c>
      <c r="F811">
        <v>33</v>
      </c>
      <c r="G811">
        <v>0</v>
      </c>
      <c r="H811">
        <v>1</v>
      </c>
      <c r="I811">
        <v>1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0</v>
      </c>
      <c r="U811">
        <v>1</v>
      </c>
      <c r="V811" t="s">
        <v>2669</v>
      </c>
      <c r="W811" t="s">
        <v>2670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16</v>
      </c>
      <c r="AE811" t="s">
        <v>60</v>
      </c>
    </row>
    <row r="812" spans="1:31" x14ac:dyDescent="0.2">
      <c r="A812">
        <v>773</v>
      </c>
      <c r="B812" t="s">
        <v>1283</v>
      </c>
      <c r="C812">
        <v>24</v>
      </c>
      <c r="D812" t="s">
        <v>377</v>
      </c>
      <c r="E812" t="s">
        <v>322</v>
      </c>
      <c r="F812">
        <v>9</v>
      </c>
      <c r="G812">
        <v>0</v>
      </c>
      <c r="H812">
        <v>1</v>
      </c>
      <c r="I812">
        <v>1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9</v>
      </c>
      <c r="T812">
        <v>0</v>
      </c>
      <c r="U812">
        <v>21</v>
      </c>
      <c r="V812" t="s">
        <v>1284</v>
      </c>
      <c r="W812" t="s">
        <v>798</v>
      </c>
      <c r="X812">
        <v>2</v>
      </c>
      <c r="Y812">
        <v>2</v>
      </c>
      <c r="Z812">
        <v>50</v>
      </c>
      <c r="AA812">
        <v>7</v>
      </c>
      <c r="AB812">
        <v>11</v>
      </c>
      <c r="AC812">
        <v>0</v>
      </c>
      <c r="AD812">
        <v>3</v>
      </c>
      <c r="AE812" t="s">
        <v>60</v>
      </c>
    </row>
    <row r="813" spans="1:31" x14ac:dyDescent="0.2">
      <c r="A813">
        <v>774</v>
      </c>
      <c r="B813" t="s">
        <v>1617</v>
      </c>
      <c r="C813">
        <v>31</v>
      </c>
      <c r="D813" t="s">
        <v>330</v>
      </c>
      <c r="E813" t="s">
        <v>322</v>
      </c>
      <c r="F813">
        <v>5</v>
      </c>
      <c r="G813">
        <v>0</v>
      </c>
      <c r="H813">
        <v>1</v>
      </c>
      <c r="I813">
        <v>1</v>
      </c>
      <c r="J813">
        <v>1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6</v>
      </c>
      <c r="T813">
        <v>0</v>
      </c>
      <c r="U813">
        <v>11</v>
      </c>
      <c r="V813" t="s">
        <v>1764</v>
      </c>
      <c r="W813" t="s">
        <v>1324</v>
      </c>
      <c r="X813">
        <v>10</v>
      </c>
      <c r="Y813">
        <v>12</v>
      </c>
      <c r="Z813">
        <v>45.5</v>
      </c>
      <c r="AA813">
        <v>0</v>
      </c>
      <c r="AB813">
        <v>10</v>
      </c>
      <c r="AC813">
        <v>1</v>
      </c>
      <c r="AD813">
        <v>2</v>
      </c>
      <c r="AE813" t="s">
        <v>60</v>
      </c>
    </row>
    <row r="814" spans="1:31" x14ac:dyDescent="0.2">
      <c r="A814">
        <v>775</v>
      </c>
      <c r="B814" t="s">
        <v>1285</v>
      </c>
      <c r="C814">
        <v>27</v>
      </c>
      <c r="D814" t="s">
        <v>385</v>
      </c>
      <c r="E814" t="s">
        <v>325</v>
      </c>
      <c r="F814">
        <v>24</v>
      </c>
      <c r="G814">
        <v>1</v>
      </c>
      <c r="H814">
        <v>0</v>
      </c>
      <c r="I814">
        <v>1</v>
      </c>
      <c r="J814">
        <v>-8</v>
      </c>
      <c r="K814">
        <v>4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18</v>
      </c>
      <c r="T814">
        <v>5.6</v>
      </c>
      <c r="U814">
        <v>45</v>
      </c>
      <c r="V814" t="s">
        <v>2056</v>
      </c>
      <c r="W814" t="s">
        <v>1715</v>
      </c>
      <c r="X814">
        <v>7</v>
      </c>
      <c r="Y814">
        <v>8</v>
      </c>
      <c r="Z814">
        <v>46.7</v>
      </c>
      <c r="AA814">
        <v>4</v>
      </c>
      <c r="AB814">
        <v>43</v>
      </c>
      <c r="AC814">
        <v>3</v>
      </c>
      <c r="AD814">
        <v>16</v>
      </c>
      <c r="AE814" t="s">
        <v>60</v>
      </c>
    </row>
    <row r="815" spans="1:31" x14ac:dyDescent="0.2">
      <c r="A815">
        <v>776</v>
      </c>
      <c r="B815" t="s">
        <v>1287</v>
      </c>
      <c r="C815">
        <v>27</v>
      </c>
      <c r="D815" t="s">
        <v>356</v>
      </c>
      <c r="E815" t="s">
        <v>340</v>
      </c>
      <c r="F815">
        <v>4</v>
      </c>
      <c r="G815">
        <v>1</v>
      </c>
      <c r="H815">
        <v>0</v>
      </c>
      <c r="I815">
        <v>1</v>
      </c>
      <c r="J815">
        <v>-1</v>
      </c>
      <c r="K815">
        <v>0</v>
      </c>
      <c r="L815">
        <v>0</v>
      </c>
      <c r="M815">
        <v>1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4</v>
      </c>
      <c r="T815">
        <v>25</v>
      </c>
      <c r="U815">
        <v>8</v>
      </c>
      <c r="V815" t="s">
        <v>1288</v>
      </c>
      <c r="W815" t="s">
        <v>1289</v>
      </c>
      <c r="X815">
        <v>0</v>
      </c>
      <c r="Y815">
        <v>0</v>
      </c>
      <c r="AA815">
        <v>1</v>
      </c>
      <c r="AB815">
        <v>7</v>
      </c>
      <c r="AC815">
        <v>0</v>
      </c>
      <c r="AD815">
        <v>1</v>
      </c>
      <c r="AE815" t="s">
        <v>60</v>
      </c>
    </row>
    <row r="816" spans="1:31" x14ac:dyDescent="0.2">
      <c r="A816">
        <v>777</v>
      </c>
      <c r="B816" t="s">
        <v>1290</v>
      </c>
      <c r="C816">
        <v>30</v>
      </c>
      <c r="D816" t="s">
        <v>406</v>
      </c>
      <c r="E816" t="s">
        <v>3</v>
      </c>
      <c r="F816">
        <v>13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t="s">
        <v>2102</v>
      </c>
      <c r="W816" t="s">
        <v>1627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7</v>
      </c>
      <c r="AE816" t="s">
        <v>60</v>
      </c>
    </row>
    <row r="817" spans="1:31" x14ac:dyDescent="0.2">
      <c r="A817">
        <v>778</v>
      </c>
      <c r="B817" t="s">
        <v>1520</v>
      </c>
      <c r="C817">
        <v>31</v>
      </c>
      <c r="D817" t="s">
        <v>353</v>
      </c>
      <c r="E817" t="s">
        <v>3</v>
      </c>
      <c r="F817">
        <v>28</v>
      </c>
      <c r="G817">
        <v>0</v>
      </c>
      <c r="H817">
        <v>1</v>
      </c>
      <c r="I817">
        <v>1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t="s">
        <v>2671</v>
      </c>
      <c r="W817" t="s">
        <v>2672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10</v>
      </c>
      <c r="AE817" t="s">
        <v>60</v>
      </c>
    </row>
    <row r="818" spans="1:31" x14ac:dyDescent="0.2">
      <c r="A818">
        <v>779</v>
      </c>
      <c r="B818" t="s">
        <v>1291</v>
      </c>
      <c r="C818">
        <v>29</v>
      </c>
      <c r="D818" t="s">
        <v>406</v>
      </c>
      <c r="E818" t="s">
        <v>3</v>
      </c>
      <c r="F818">
        <v>35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0</v>
      </c>
      <c r="V818" t="s">
        <v>2673</v>
      </c>
      <c r="W818" t="s">
        <v>2674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12</v>
      </c>
      <c r="AE818" t="s">
        <v>60</v>
      </c>
    </row>
    <row r="819" spans="1:31" x14ac:dyDescent="0.2">
      <c r="A819">
        <v>780</v>
      </c>
      <c r="B819" t="s">
        <v>1293</v>
      </c>
      <c r="C819">
        <v>33</v>
      </c>
      <c r="D819" t="s">
        <v>321</v>
      </c>
      <c r="E819" t="s">
        <v>3</v>
      </c>
      <c r="F819">
        <v>28</v>
      </c>
      <c r="G819">
        <v>0</v>
      </c>
      <c r="H819">
        <v>1</v>
      </c>
      <c r="I819">
        <v>1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U819">
        <v>0</v>
      </c>
      <c r="V819" t="s">
        <v>2002</v>
      </c>
      <c r="W819" t="s">
        <v>1933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12</v>
      </c>
      <c r="AE819" t="s">
        <v>60</v>
      </c>
    </row>
    <row r="820" spans="1:31" x14ac:dyDescent="0.2">
      <c r="A820">
        <v>781</v>
      </c>
      <c r="B820" t="s">
        <v>1295</v>
      </c>
      <c r="C820">
        <v>21</v>
      </c>
      <c r="D820" t="s">
        <v>364</v>
      </c>
      <c r="E820" t="s">
        <v>340</v>
      </c>
      <c r="F820">
        <v>5</v>
      </c>
      <c r="G820">
        <v>0</v>
      </c>
      <c r="H820">
        <v>1</v>
      </c>
      <c r="I820">
        <v>1</v>
      </c>
      <c r="J820">
        <v>-1</v>
      </c>
      <c r="K820">
        <v>7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4</v>
      </c>
      <c r="T820">
        <v>0</v>
      </c>
      <c r="U820">
        <v>8</v>
      </c>
      <c r="V820" t="s">
        <v>1296</v>
      </c>
      <c r="W820" t="s">
        <v>1297</v>
      </c>
      <c r="X820">
        <v>0</v>
      </c>
      <c r="Y820">
        <v>0</v>
      </c>
      <c r="AA820">
        <v>4</v>
      </c>
      <c r="AB820">
        <v>9</v>
      </c>
      <c r="AC820">
        <v>0</v>
      </c>
      <c r="AD820">
        <v>4</v>
      </c>
      <c r="AE820" t="s">
        <v>60</v>
      </c>
    </row>
    <row r="821" spans="1:31" x14ac:dyDescent="0.2">
      <c r="A821">
        <v>782</v>
      </c>
      <c r="B821" t="s">
        <v>1298</v>
      </c>
      <c r="C821">
        <v>25</v>
      </c>
      <c r="D821" t="s">
        <v>957</v>
      </c>
      <c r="E821" t="s">
        <v>349</v>
      </c>
      <c r="F821">
        <v>17</v>
      </c>
      <c r="G821">
        <v>0</v>
      </c>
      <c r="H821">
        <v>1</v>
      </c>
      <c r="I821">
        <v>1</v>
      </c>
      <c r="J821">
        <v>4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10</v>
      </c>
      <c r="T821">
        <v>0</v>
      </c>
      <c r="U821">
        <v>27</v>
      </c>
      <c r="V821" t="s">
        <v>2675</v>
      </c>
      <c r="W821" t="s">
        <v>1574</v>
      </c>
      <c r="X821">
        <v>0</v>
      </c>
      <c r="Y821">
        <v>0</v>
      </c>
      <c r="AA821">
        <v>23</v>
      </c>
      <c r="AB821">
        <v>2</v>
      </c>
      <c r="AC821">
        <v>1</v>
      </c>
      <c r="AD821">
        <v>15</v>
      </c>
      <c r="AE821" t="s">
        <v>60</v>
      </c>
    </row>
    <row r="822" spans="1:31" x14ac:dyDescent="0.2">
      <c r="A822">
        <v>782</v>
      </c>
      <c r="B822" t="s">
        <v>1298</v>
      </c>
      <c r="C822">
        <v>25</v>
      </c>
      <c r="D822" t="s">
        <v>408</v>
      </c>
      <c r="E822" t="s">
        <v>349</v>
      </c>
      <c r="F822">
        <v>13</v>
      </c>
      <c r="G822">
        <v>0</v>
      </c>
      <c r="H822">
        <v>1</v>
      </c>
      <c r="I822">
        <v>1</v>
      </c>
      <c r="J822">
        <v>4</v>
      </c>
      <c r="K822">
        <v>4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9</v>
      </c>
      <c r="T822">
        <v>0</v>
      </c>
      <c r="U822">
        <v>19</v>
      </c>
      <c r="V822" t="s">
        <v>1299</v>
      </c>
      <c r="W822" t="s">
        <v>990</v>
      </c>
      <c r="X822">
        <v>0</v>
      </c>
      <c r="Y822">
        <v>0</v>
      </c>
      <c r="AA822">
        <v>15</v>
      </c>
      <c r="AB822">
        <v>2</v>
      </c>
      <c r="AC822">
        <v>1</v>
      </c>
      <c r="AD822">
        <v>10</v>
      </c>
      <c r="AE822" t="s">
        <v>60</v>
      </c>
    </row>
    <row r="823" spans="1:31" x14ac:dyDescent="0.2">
      <c r="A823">
        <v>782</v>
      </c>
      <c r="B823" t="s">
        <v>1298</v>
      </c>
      <c r="C823">
        <v>25</v>
      </c>
      <c r="D823" t="s">
        <v>382</v>
      </c>
      <c r="E823" t="s">
        <v>349</v>
      </c>
      <c r="F823">
        <v>4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0</v>
      </c>
      <c r="U823">
        <v>8</v>
      </c>
      <c r="V823" t="s">
        <v>2676</v>
      </c>
      <c r="W823" t="s">
        <v>2028</v>
      </c>
      <c r="X823">
        <v>0</v>
      </c>
      <c r="Y823">
        <v>0</v>
      </c>
      <c r="AA823">
        <v>8</v>
      </c>
      <c r="AB823">
        <v>0</v>
      </c>
      <c r="AC823">
        <v>0</v>
      </c>
      <c r="AD823">
        <v>5</v>
      </c>
      <c r="AE823" t="s">
        <v>60</v>
      </c>
    </row>
    <row r="824" spans="1:31" x14ac:dyDescent="0.2">
      <c r="A824">
        <v>783</v>
      </c>
      <c r="B824" t="s">
        <v>1300</v>
      </c>
      <c r="C824">
        <v>35</v>
      </c>
      <c r="D824" t="s">
        <v>406</v>
      </c>
      <c r="E824" t="s">
        <v>340</v>
      </c>
      <c r="F824">
        <v>2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1</v>
      </c>
      <c r="V824" t="s">
        <v>864</v>
      </c>
      <c r="W824" t="s">
        <v>1301</v>
      </c>
      <c r="X824">
        <v>3</v>
      </c>
      <c r="Y824">
        <v>4</v>
      </c>
      <c r="Z824">
        <v>42.9</v>
      </c>
      <c r="AA824">
        <v>1</v>
      </c>
      <c r="AB824">
        <v>4</v>
      </c>
      <c r="AC824">
        <v>1</v>
      </c>
      <c r="AD824">
        <v>1</v>
      </c>
      <c r="AE824" t="s">
        <v>60</v>
      </c>
    </row>
    <row r="825" spans="1:31" x14ac:dyDescent="0.2">
      <c r="A825">
        <v>784</v>
      </c>
      <c r="B825" t="s">
        <v>1609</v>
      </c>
      <c r="C825">
        <v>24</v>
      </c>
      <c r="D825" t="s">
        <v>360</v>
      </c>
      <c r="E825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t="s">
        <v>1445</v>
      </c>
      <c r="W825" t="s">
        <v>1445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0</v>
      </c>
      <c r="AE825" t="s">
        <v>60</v>
      </c>
    </row>
    <row r="826" spans="1:31" x14ac:dyDescent="0.2">
      <c r="A826">
        <v>785</v>
      </c>
      <c r="B826" t="s">
        <v>1302</v>
      </c>
      <c r="C826">
        <v>35</v>
      </c>
      <c r="D826" t="s">
        <v>400</v>
      </c>
      <c r="E826" t="s">
        <v>3</v>
      </c>
      <c r="F826">
        <v>24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t="s">
        <v>2103</v>
      </c>
      <c r="W826" t="s">
        <v>2104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6</v>
      </c>
      <c r="AE826" t="s">
        <v>60</v>
      </c>
    </row>
    <row r="827" spans="1:31" x14ac:dyDescent="0.2">
      <c r="A827">
        <v>786</v>
      </c>
      <c r="B827" t="s">
        <v>1303</v>
      </c>
      <c r="C827">
        <v>25</v>
      </c>
      <c r="D827" t="s">
        <v>449</v>
      </c>
      <c r="E827" t="s">
        <v>322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3</v>
      </c>
      <c r="V827" t="s">
        <v>1304</v>
      </c>
      <c r="W827" t="s">
        <v>1305</v>
      </c>
      <c r="X827">
        <v>1</v>
      </c>
      <c r="Y827">
        <v>1</v>
      </c>
      <c r="Z827">
        <v>50</v>
      </c>
      <c r="AA827">
        <v>1</v>
      </c>
      <c r="AB827">
        <v>2</v>
      </c>
      <c r="AC827">
        <v>0</v>
      </c>
      <c r="AD827">
        <v>1</v>
      </c>
      <c r="AE827" t="s">
        <v>60</v>
      </c>
    </row>
    <row r="828" spans="1:31" x14ac:dyDescent="0.2">
      <c r="A828">
        <v>787</v>
      </c>
      <c r="B828" t="s">
        <v>1306</v>
      </c>
      <c r="C828">
        <v>36</v>
      </c>
      <c r="D828" t="s">
        <v>398</v>
      </c>
      <c r="E828" t="s">
        <v>3</v>
      </c>
      <c r="F828">
        <v>19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t="s">
        <v>2210</v>
      </c>
      <c r="W828" t="s">
        <v>2005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14</v>
      </c>
      <c r="AE828" t="s">
        <v>60</v>
      </c>
    </row>
    <row r="829" spans="1:31" x14ac:dyDescent="0.2">
      <c r="A829">
        <v>788</v>
      </c>
      <c r="B829" t="s">
        <v>1307</v>
      </c>
      <c r="C829">
        <v>25</v>
      </c>
      <c r="D829" t="s">
        <v>461</v>
      </c>
      <c r="E829" t="s">
        <v>3</v>
      </c>
      <c r="F829">
        <v>13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t="s">
        <v>1752</v>
      </c>
      <c r="W829" t="s">
        <v>2105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2</v>
      </c>
      <c r="AE829" t="s">
        <v>60</v>
      </c>
    </row>
    <row r="830" spans="1:31" x14ac:dyDescent="0.2">
      <c r="A830">
        <v>789</v>
      </c>
      <c r="B830" t="s">
        <v>1308</v>
      </c>
      <c r="C830">
        <v>23</v>
      </c>
      <c r="D830" t="s">
        <v>324</v>
      </c>
      <c r="E830" t="s">
        <v>3</v>
      </c>
      <c r="F830">
        <v>29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t="s">
        <v>2106</v>
      </c>
      <c r="W830" t="s">
        <v>2107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9</v>
      </c>
      <c r="AE830" t="s">
        <v>60</v>
      </c>
    </row>
    <row r="831" spans="1:31" x14ac:dyDescent="0.2">
      <c r="A831">
        <v>790</v>
      </c>
      <c r="B831" t="s">
        <v>1917</v>
      </c>
      <c r="C831">
        <v>31</v>
      </c>
      <c r="D831" t="s">
        <v>360</v>
      </c>
      <c r="E831" t="s">
        <v>349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t="s">
        <v>1576</v>
      </c>
      <c r="W831" t="s">
        <v>1576</v>
      </c>
      <c r="X831">
        <v>0</v>
      </c>
      <c r="Y831">
        <v>0</v>
      </c>
      <c r="AA831">
        <v>3</v>
      </c>
      <c r="AB831">
        <v>0</v>
      </c>
      <c r="AC831">
        <v>0</v>
      </c>
      <c r="AD831">
        <v>1</v>
      </c>
      <c r="AE831" t="s">
        <v>60</v>
      </c>
    </row>
    <row r="832" spans="1:31" x14ac:dyDescent="0.2">
      <c r="A832">
        <v>791</v>
      </c>
      <c r="B832" t="s">
        <v>1310</v>
      </c>
      <c r="C832">
        <v>23</v>
      </c>
      <c r="D832" t="s">
        <v>362</v>
      </c>
      <c r="E832" t="s">
        <v>340</v>
      </c>
      <c r="F832">
        <v>12</v>
      </c>
      <c r="G832">
        <v>0</v>
      </c>
      <c r="H832">
        <v>0</v>
      </c>
      <c r="I832">
        <v>0</v>
      </c>
      <c r="J832">
        <v>-1</v>
      </c>
      <c r="K832">
        <v>6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10</v>
      </c>
      <c r="T832">
        <v>0</v>
      </c>
      <c r="U832">
        <v>34</v>
      </c>
      <c r="V832" t="s">
        <v>1881</v>
      </c>
      <c r="W832" t="s">
        <v>1631</v>
      </c>
      <c r="X832">
        <v>0</v>
      </c>
      <c r="Y832">
        <v>0</v>
      </c>
      <c r="AA832">
        <v>9</v>
      </c>
      <c r="AB832">
        <v>15</v>
      </c>
      <c r="AC832">
        <v>1</v>
      </c>
      <c r="AD832">
        <v>9</v>
      </c>
      <c r="AE832" t="s">
        <v>60</v>
      </c>
    </row>
    <row r="833" spans="1:31" x14ac:dyDescent="0.2">
      <c r="A833">
        <v>792</v>
      </c>
      <c r="B833" t="s">
        <v>1311</v>
      </c>
      <c r="C833">
        <v>29</v>
      </c>
      <c r="D833" t="s">
        <v>321</v>
      </c>
      <c r="E833" t="s">
        <v>3</v>
      </c>
      <c r="F833">
        <v>16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t="s">
        <v>1860</v>
      </c>
      <c r="W833" t="s">
        <v>1861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1</v>
      </c>
      <c r="AE833" t="s">
        <v>60</v>
      </c>
    </row>
    <row r="834" spans="1:31" x14ac:dyDescent="0.2">
      <c r="A834">
        <v>793</v>
      </c>
      <c r="B834" t="s">
        <v>1963</v>
      </c>
      <c r="C834">
        <v>30</v>
      </c>
      <c r="D834" t="s">
        <v>362</v>
      </c>
      <c r="E834" t="s">
        <v>340</v>
      </c>
      <c r="F834">
        <v>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1</v>
      </c>
      <c r="V834" t="s">
        <v>1801</v>
      </c>
      <c r="W834" t="s">
        <v>2003</v>
      </c>
      <c r="X834">
        <v>0</v>
      </c>
      <c r="Y834">
        <v>0</v>
      </c>
      <c r="AA834">
        <v>0</v>
      </c>
      <c r="AB834">
        <v>8</v>
      </c>
      <c r="AC834">
        <v>0</v>
      </c>
      <c r="AD834">
        <v>0</v>
      </c>
      <c r="AE834" t="s">
        <v>60</v>
      </c>
    </row>
    <row r="835" spans="1:31" x14ac:dyDescent="0.2">
      <c r="A835">
        <v>794</v>
      </c>
      <c r="B835" t="s">
        <v>1312</v>
      </c>
      <c r="C835">
        <v>25</v>
      </c>
      <c r="D835" t="s">
        <v>356</v>
      </c>
      <c r="E835" t="s">
        <v>335</v>
      </c>
      <c r="F835">
        <v>4</v>
      </c>
      <c r="G835">
        <v>0</v>
      </c>
      <c r="H835">
        <v>0</v>
      </c>
      <c r="I835">
        <v>0</v>
      </c>
      <c r="J835">
        <v>-3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4</v>
      </c>
      <c r="T835">
        <v>0</v>
      </c>
      <c r="U835">
        <v>10</v>
      </c>
      <c r="V835" t="s">
        <v>1313</v>
      </c>
      <c r="W835" t="s">
        <v>844</v>
      </c>
      <c r="X835">
        <v>0</v>
      </c>
      <c r="Y835">
        <v>1</v>
      </c>
      <c r="Z835">
        <v>0</v>
      </c>
      <c r="AA835">
        <v>2</v>
      </c>
      <c r="AB835">
        <v>2</v>
      </c>
      <c r="AC835">
        <v>0</v>
      </c>
      <c r="AD835">
        <v>3</v>
      </c>
      <c r="AE835" t="s">
        <v>60</v>
      </c>
    </row>
    <row r="836" spans="1:31" x14ac:dyDescent="0.2">
      <c r="A836">
        <v>795</v>
      </c>
      <c r="B836" t="s">
        <v>1766</v>
      </c>
      <c r="C836">
        <v>23</v>
      </c>
      <c r="D836" t="s">
        <v>418</v>
      </c>
      <c r="E836" t="s">
        <v>322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5</v>
      </c>
      <c r="V836" t="s">
        <v>1648</v>
      </c>
      <c r="W836" t="s">
        <v>1648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0</v>
      </c>
      <c r="AE836" t="s">
        <v>60</v>
      </c>
    </row>
    <row r="837" spans="1:31" x14ac:dyDescent="0.2">
      <c r="A837">
        <v>796</v>
      </c>
      <c r="B837" t="s">
        <v>1314</v>
      </c>
      <c r="C837">
        <v>23</v>
      </c>
      <c r="D837" t="s">
        <v>377</v>
      </c>
      <c r="E837" t="s">
        <v>322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t="s">
        <v>1162</v>
      </c>
      <c r="W837" t="s">
        <v>1162</v>
      </c>
      <c r="X837">
        <v>3</v>
      </c>
      <c r="Y837">
        <v>3</v>
      </c>
      <c r="Z837">
        <v>50</v>
      </c>
      <c r="AA837">
        <v>0</v>
      </c>
      <c r="AB837">
        <v>0</v>
      </c>
      <c r="AC837">
        <v>0</v>
      </c>
      <c r="AD837">
        <v>1</v>
      </c>
      <c r="AE837" t="s">
        <v>60</v>
      </c>
    </row>
    <row r="838" spans="1:31" x14ac:dyDescent="0.2">
      <c r="A838">
        <v>797</v>
      </c>
      <c r="B838" t="s">
        <v>1555</v>
      </c>
      <c r="C838">
        <v>23</v>
      </c>
      <c r="D838" t="s">
        <v>337</v>
      </c>
      <c r="E838" t="s">
        <v>3</v>
      </c>
      <c r="F838">
        <v>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t="s">
        <v>341</v>
      </c>
      <c r="W838" t="s">
        <v>341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0</v>
      </c>
      <c r="AE838" t="s">
        <v>60</v>
      </c>
    </row>
    <row r="839" spans="1:31" x14ac:dyDescent="0.2">
      <c r="A839">
        <v>798</v>
      </c>
      <c r="B839" t="s">
        <v>1316</v>
      </c>
      <c r="C839">
        <v>26</v>
      </c>
      <c r="D839" t="s">
        <v>356</v>
      </c>
      <c r="E839" t="s">
        <v>349</v>
      </c>
      <c r="F839">
        <v>5</v>
      </c>
      <c r="G839">
        <v>0</v>
      </c>
      <c r="H839">
        <v>0</v>
      </c>
      <c r="I839">
        <v>0</v>
      </c>
      <c r="J839">
        <v>-1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3</v>
      </c>
      <c r="T839">
        <v>0</v>
      </c>
      <c r="U839">
        <v>4</v>
      </c>
      <c r="V839" t="s">
        <v>1317</v>
      </c>
      <c r="W839" t="s">
        <v>849</v>
      </c>
      <c r="X839">
        <v>0</v>
      </c>
      <c r="Y839">
        <v>0</v>
      </c>
      <c r="AA839">
        <v>9</v>
      </c>
      <c r="AB839">
        <v>3</v>
      </c>
      <c r="AC839">
        <v>2</v>
      </c>
      <c r="AD839">
        <v>3</v>
      </c>
      <c r="AE839" t="s">
        <v>60</v>
      </c>
    </row>
    <row r="840" spans="1:31" x14ac:dyDescent="0.2">
      <c r="A840">
        <v>799</v>
      </c>
      <c r="B840" t="s">
        <v>1318</v>
      </c>
      <c r="C840">
        <v>22</v>
      </c>
      <c r="D840" t="s">
        <v>400</v>
      </c>
      <c r="E840" t="s">
        <v>349</v>
      </c>
      <c r="F840">
        <v>2</v>
      </c>
      <c r="G840">
        <v>0</v>
      </c>
      <c r="H840">
        <v>0</v>
      </c>
      <c r="I840">
        <v>0</v>
      </c>
      <c r="J840">
        <v>-3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4</v>
      </c>
      <c r="T840">
        <v>0</v>
      </c>
      <c r="U840">
        <v>8</v>
      </c>
      <c r="V840" t="s">
        <v>1319</v>
      </c>
      <c r="W840" t="s">
        <v>556</v>
      </c>
      <c r="X840">
        <v>0</v>
      </c>
      <c r="Y840">
        <v>0</v>
      </c>
      <c r="AA840">
        <v>1</v>
      </c>
      <c r="AB840">
        <v>0</v>
      </c>
      <c r="AC840">
        <v>2</v>
      </c>
      <c r="AD840">
        <v>3</v>
      </c>
      <c r="AE840" t="s">
        <v>60</v>
      </c>
    </row>
    <row r="841" spans="1:31" x14ac:dyDescent="0.2">
      <c r="A841">
        <v>800</v>
      </c>
      <c r="B841" t="s">
        <v>1320</v>
      </c>
      <c r="C841">
        <v>28</v>
      </c>
      <c r="D841" t="s">
        <v>353</v>
      </c>
      <c r="E841" t="s">
        <v>325</v>
      </c>
      <c r="F841">
        <v>7</v>
      </c>
      <c r="G841">
        <v>0</v>
      </c>
      <c r="H841">
        <v>0</v>
      </c>
      <c r="I841">
        <v>0</v>
      </c>
      <c r="J841">
        <v>0</v>
      </c>
      <c r="K841">
        <v>4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8</v>
      </c>
      <c r="T841">
        <v>0</v>
      </c>
      <c r="U841">
        <v>10</v>
      </c>
      <c r="V841" t="s">
        <v>1321</v>
      </c>
      <c r="W841" t="s">
        <v>1286</v>
      </c>
      <c r="X841">
        <v>1</v>
      </c>
      <c r="Y841">
        <v>2</v>
      </c>
      <c r="Z841">
        <v>33.299999999999997</v>
      </c>
      <c r="AA841">
        <v>2</v>
      </c>
      <c r="AB841">
        <v>19</v>
      </c>
      <c r="AC841">
        <v>0</v>
      </c>
      <c r="AD841">
        <v>5</v>
      </c>
      <c r="AE841" t="s">
        <v>60</v>
      </c>
    </row>
    <row r="842" spans="1:31" x14ac:dyDescent="0.2">
      <c r="A842">
        <v>801</v>
      </c>
      <c r="B842" t="s">
        <v>1322</v>
      </c>
      <c r="C842">
        <v>22</v>
      </c>
      <c r="D842" t="s">
        <v>346</v>
      </c>
      <c r="E842" t="s">
        <v>335</v>
      </c>
      <c r="F842">
        <v>8</v>
      </c>
      <c r="G842">
        <v>0</v>
      </c>
      <c r="H842">
        <v>0</v>
      </c>
      <c r="I842">
        <v>0</v>
      </c>
      <c r="J842">
        <v>0</v>
      </c>
      <c r="K842">
        <v>12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5</v>
      </c>
      <c r="T842">
        <v>0</v>
      </c>
      <c r="U842">
        <v>16</v>
      </c>
      <c r="V842" t="s">
        <v>1323</v>
      </c>
      <c r="W842" t="s">
        <v>1324</v>
      </c>
      <c r="X842">
        <v>0</v>
      </c>
      <c r="Y842">
        <v>0</v>
      </c>
      <c r="AA842">
        <v>5</v>
      </c>
      <c r="AB842">
        <v>10</v>
      </c>
      <c r="AC842">
        <v>2</v>
      </c>
      <c r="AD842">
        <v>6</v>
      </c>
      <c r="AE842" t="s">
        <v>60</v>
      </c>
    </row>
    <row r="843" spans="1:31" x14ac:dyDescent="0.2">
      <c r="A843">
        <v>802</v>
      </c>
      <c r="B843" t="s">
        <v>1325</v>
      </c>
      <c r="C843">
        <v>22</v>
      </c>
      <c r="D843" t="s">
        <v>362</v>
      </c>
      <c r="E843" t="s">
        <v>335</v>
      </c>
      <c r="F843">
        <v>6</v>
      </c>
      <c r="G843">
        <v>0</v>
      </c>
      <c r="H843">
        <v>0</v>
      </c>
      <c r="I843">
        <v>0</v>
      </c>
      <c r="J843">
        <v>-2</v>
      </c>
      <c r="K843">
        <v>7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3</v>
      </c>
      <c r="T843">
        <v>0</v>
      </c>
      <c r="U843">
        <v>6</v>
      </c>
      <c r="V843" t="s">
        <v>1636</v>
      </c>
      <c r="W843" t="s">
        <v>1637</v>
      </c>
      <c r="X843">
        <v>0</v>
      </c>
      <c r="Y843">
        <v>0</v>
      </c>
      <c r="AA843">
        <v>3</v>
      </c>
      <c r="AB843">
        <v>13</v>
      </c>
      <c r="AC843">
        <v>0</v>
      </c>
      <c r="AD843">
        <v>1</v>
      </c>
      <c r="AE843" t="s">
        <v>60</v>
      </c>
    </row>
    <row r="844" spans="1:31" x14ac:dyDescent="0.2">
      <c r="A844">
        <v>803</v>
      </c>
      <c r="B844" t="s">
        <v>1326</v>
      </c>
      <c r="C844">
        <v>30</v>
      </c>
      <c r="D844" t="s">
        <v>377</v>
      </c>
      <c r="E844" t="s">
        <v>349</v>
      </c>
      <c r="F844">
        <v>17</v>
      </c>
      <c r="G844">
        <v>0</v>
      </c>
      <c r="H844">
        <v>0</v>
      </c>
      <c r="I844">
        <v>0</v>
      </c>
      <c r="J844">
        <v>-3</v>
      </c>
      <c r="K844">
        <v>22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13</v>
      </c>
      <c r="T844">
        <v>0</v>
      </c>
      <c r="U844">
        <v>42</v>
      </c>
      <c r="V844" t="s">
        <v>2677</v>
      </c>
      <c r="W844" t="s">
        <v>1737</v>
      </c>
      <c r="X844">
        <v>0</v>
      </c>
      <c r="Y844">
        <v>0</v>
      </c>
      <c r="AA844">
        <v>27</v>
      </c>
      <c r="AB844">
        <v>72</v>
      </c>
      <c r="AC844">
        <v>6</v>
      </c>
      <c r="AD844">
        <v>13</v>
      </c>
      <c r="AE844" t="s">
        <v>60</v>
      </c>
    </row>
    <row r="845" spans="1:31" x14ac:dyDescent="0.2">
      <c r="A845">
        <v>804</v>
      </c>
      <c r="B845" t="s">
        <v>2004</v>
      </c>
      <c r="C845">
        <v>27</v>
      </c>
      <c r="D845" t="s">
        <v>344</v>
      </c>
      <c r="E845" t="s">
        <v>349</v>
      </c>
      <c r="F845">
        <v>1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1</v>
      </c>
      <c r="V845" t="s">
        <v>1546</v>
      </c>
      <c r="W845" t="s">
        <v>1546</v>
      </c>
      <c r="X845">
        <v>0</v>
      </c>
      <c r="Y845">
        <v>0</v>
      </c>
      <c r="AA845">
        <v>3</v>
      </c>
      <c r="AB845">
        <v>0</v>
      </c>
      <c r="AC845">
        <v>0</v>
      </c>
      <c r="AD845">
        <v>1</v>
      </c>
      <c r="AE845" t="s">
        <v>60</v>
      </c>
    </row>
    <row r="846" spans="1:31" x14ac:dyDescent="0.2">
      <c r="A846">
        <v>805</v>
      </c>
      <c r="B846" t="s">
        <v>2023</v>
      </c>
      <c r="C846">
        <v>23</v>
      </c>
      <c r="D846" t="s">
        <v>330</v>
      </c>
      <c r="E846" t="s">
        <v>3</v>
      </c>
      <c r="F846">
        <v>2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t="s">
        <v>2058</v>
      </c>
      <c r="W846" t="s">
        <v>1336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0</v>
      </c>
      <c r="AE846" t="s">
        <v>60</v>
      </c>
    </row>
    <row r="847" spans="1:31" x14ac:dyDescent="0.2">
      <c r="A847">
        <v>806</v>
      </c>
      <c r="B847" t="s">
        <v>1327</v>
      </c>
      <c r="C847">
        <v>30</v>
      </c>
      <c r="D847" t="s">
        <v>346</v>
      </c>
      <c r="E847" t="s">
        <v>3</v>
      </c>
      <c r="F847">
        <v>17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t="s">
        <v>2024</v>
      </c>
      <c r="W847" t="s">
        <v>1743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7</v>
      </c>
      <c r="AE847" t="s">
        <v>60</v>
      </c>
    </row>
    <row r="848" spans="1:31" x14ac:dyDescent="0.2">
      <c r="A848">
        <v>807</v>
      </c>
      <c r="B848" t="s">
        <v>1328</v>
      </c>
      <c r="C848">
        <v>28</v>
      </c>
      <c r="D848" t="s">
        <v>437</v>
      </c>
      <c r="E848" t="s">
        <v>3</v>
      </c>
      <c r="F848">
        <v>14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t="s">
        <v>2059</v>
      </c>
      <c r="W848" t="s">
        <v>2060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4</v>
      </c>
      <c r="AE848" t="s">
        <v>60</v>
      </c>
    </row>
    <row r="849" spans="1:31" x14ac:dyDescent="0.2">
      <c r="A849">
        <v>808</v>
      </c>
      <c r="B849" t="s">
        <v>1329</v>
      </c>
      <c r="C849">
        <v>18</v>
      </c>
      <c r="D849" t="s">
        <v>449</v>
      </c>
      <c r="E849" t="s">
        <v>322</v>
      </c>
      <c r="F849">
        <v>3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t="s">
        <v>1330</v>
      </c>
      <c r="W849" t="s">
        <v>642</v>
      </c>
      <c r="X849">
        <v>5</v>
      </c>
      <c r="Y849">
        <v>8</v>
      </c>
      <c r="Z849">
        <v>38.5</v>
      </c>
      <c r="AA849">
        <v>1</v>
      </c>
      <c r="AB849">
        <v>3</v>
      </c>
      <c r="AC849">
        <v>0</v>
      </c>
      <c r="AD849">
        <v>4</v>
      </c>
      <c r="AE849" t="s">
        <v>60</v>
      </c>
    </row>
    <row r="850" spans="1:31" x14ac:dyDescent="0.2">
      <c r="A850">
        <v>809</v>
      </c>
      <c r="B850" t="s">
        <v>1748</v>
      </c>
      <c r="C850">
        <v>34</v>
      </c>
      <c r="D850" t="s">
        <v>421</v>
      </c>
      <c r="E850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t="s">
        <v>1749</v>
      </c>
      <c r="W850" t="s">
        <v>1749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t="s">
        <v>60</v>
      </c>
    </row>
    <row r="851" spans="1:31" x14ac:dyDescent="0.2">
      <c r="A851">
        <v>810</v>
      </c>
      <c r="B851" t="s">
        <v>1332</v>
      </c>
      <c r="C851">
        <v>36</v>
      </c>
      <c r="D851" t="s">
        <v>400</v>
      </c>
      <c r="E851" t="s">
        <v>335</v>
      </c>
      <c r="F851">
        <v>8</v>
      </c>
      <c r="G851">
        <v>0</v>
      </c>
      <c r="H851">
        <v>0</v>
      </c>
      <c r="I851">
        <v>0</v>
      </c>
      <c r="J851">
        <v>-2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9</v>
      </c>
      <c r="T851">
        <v>0</v>
      </c>
      <c r="U851">
        <v>18</v>
      </c>
      <c r="V851" t="s">
        <v>2872</v>
      </c>
      <c r="W851" t="s">
        <v>1267</v>
      </c>
      <c r="X851">
        <v>0</v>
      </c>
      <c r="Y851">
        <v>0</v>
      </c>
      <c r="AA851">
        <v>5</v>
      </c>
      <c r="AB851">
        <v>5</v>
      </c>
      <c r="AC851">
        <v>2</v>
      </c>
      <c r="AD851">
        <v>6</v>
      </c>
      <c r="AE851" t="s">
        <v>60</v>
      </c>
    </row>
    <row r="852" spans="1:31" x14ac:dyDescent="0.2">
      <c r="A852">
        <v>811</v>
      </c>
      <c r="B852" t="s">
        <v>1333</v>
      </c>
      <c r="C852">
        <v>32</v>
      </c>
      <c r="D852" t="s">
        <v>429</v>
      </c>
      <c r="E852" t="s">
        <v>335</v>
      </c>
      <c r="F852">
        <v>4</v>
      </c>
      <c r="G852">
        <v>0</v>
      </c>
      <c r="H852">
        <v>0</v>
      </c>
      <c r="I852">
        <v>0</v>
      </c>
      <c r="J852">
        <v>-2</v>
      </c>
      <c r="K852">
        <v>2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6</v>
      </c>
      <c r="V852" t="s">
        <v>1334</v>
      </c>
      <c r="W852" t="s">
        <v>853</v>
      </c>
      <c r="X852">
        <v>17</v>
      </c>
      <c r="Y852">
        <v>14</v>
      </c>
      <c r="Z852">
        <v>54.8</v>
      </c>
      <c r="AA852">
        <v>4</v>
      </c>
      <c r="AB852">
        <v>3</v>
      </c>
      <c r="AC852">
        <v>0</v>
      </c>
      <c r="AD852">
        <v>3</v>
      </c>
      <c r="AE852" t="s">
        <v>60</v>
      </c>
    </row>
    <row r="853" spans="1:31" x14ac:dyDescent="0.2">
      <c r="A853">
        <v>812</v>
      </c>
      <c r="B853" t="s">
        <v>1335</v>
      </c>
      <c r="C853">
        <v>25</v>
      </c>
      <c r="D853" t="s">
        <v>400</v>
      </c>
      <c r="E853" t="s">
        <v>3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t="s">
        <v>1336</v>
      </c>
      <c r="W853" t="s">
        <v>1336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2</v>
      </c>
      <c r="AE853" t="s">
        <v>60</v>
      </c>
    </row>
    <row r="854" spans="1:31" x14ac:dyDescent="0.2">
      <c r="A854">
        <v>813</v>
      </c>
      <c r="B854" t="s">
        <v>1337</v>
      </c>
      <c r="C854">
        <v>23</v>
      </c>
      <c r="D854" t="s">
        <v>330</v>
      </c>
      <c r="E854" t="s">
        <v>349</v>
      </c>
      <c r="F854">
        <v>2</v>
      </c>
      <c r="G854">
        <v>0</v>
      </c>
      <c r="H854">
        <v>0</v>
      </c>
      <c r="I854">
        <v>0</v>
      </c>
      <c r="J854">
        <v>-1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5</v>
      </c>
      <c r="V854" t="s">
        <v>1638</v>
      </c>
      <c r="W854" t="s">
        <v>1619</v>
      </c>
      <c r="X854">
        <v>0</v>
      </c>
      <c r="Y854">
        <v>0</v>
      </c>
      <c r="AA854">
        <v>3</v>
      </c>
      <c r="AB854">
        <v>6</v>
      </c>
      <c r="AC854">
        <v>0</v>
      </c>
      <c r="AD854">
        <v>3</v>
      </c>
      <c r="AE854" t="s">
        <v>60</v>
      </c>
    </row>
    <row r="855" spans="1:31" x14ac:dyDescent="0.2">
      <c r="A855">
        <v>814</v>
      </c>
      <c r="B855" t="s">
        <v>1339</v>
      </c>
      <c r="C855">
        <v>34</v>
      </c>
      <c r="D855" t="s">
        <v>408</v>
      </c>
      <c r="E855" t="s">
        <v>340</v>
      </c>
      <c r="F855">
        <v>18</v>
      </c>
      <c r="G855">
        <v>0</v>
      </c>
      <c r="H855">
        <v>0</v>
      </c>
      <c r="I855">
        <v>0</v>
      </c>
      <c r="J855">
        <v>-2</v>
      </c>
      <c r="K855">
        <v>24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9</v>
      </c>
      <c r="T855">
        <v>0</v>
      </c>
      <c r="U855">
        <v>18</v>
      </c>
      <c r="V855" t="s">
        <v>2873</v>
      </c>
      <c r="W855" t="s">
        <v>2874</v>
      </c>
      <c r="X855">
        <v>1</v>
      </c>
      <c r="Y855">
        <v>0</v>
      </c>
      <c r="Z855">
        <v>100</v>
      </c>
      <c r="AA855">
        <v>5</v>
      </c>
      <c r="AB855">
        <v>60</v>
      </c>
      <c r="AC855">
        <v>2</v>
      </c>
      <c r="AD855">
        <v>7</v>
      </c>
      <c r="AE855" t="s">
        <v>60</v>
      </c>
    </row>
    <row r="856" spans="1:31" x14ac:dyDescent="0.2">
      <c r="A856">
        <v>815</v>
      </c>
      <c r="B856" t="s">
        <v>1340</v>
      </c>
      <c r="C856">
        <v>34</v>
      </c>
      <c r="D856" t="s">
        <v>334</v>
      </c>
      <c r="E856" t="s">
        <v>3</v>
      </c>
      <c r="F856">
        <v>19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t="s">
        <v>2678</v>
      </c>
      <c r="W856" t="s">
        <v>2679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6</v>
      </c>
      <c r="AE856" t="s">
        <v>60</v>
      </c>
    </row>
    <row r="857" spans="1:31" x14ac:dyDescent="0.2">
      <c r="A857">
        <v>816</v>
      </c>
      <c r="B857" t="s">
        <v>1341</v>
      </c>
      <c r="C857">
        <v>22</v>
      </c>
      <c r="D857" t="s">
        <v>374</v>
      </c>
      <c r="E857" t="s">
        <v>335</v>
      </c>
      <c r="F857">
        <v>6</v>
      </c>
      <c r="G857">
        <v>0</v>
      </c>
      <c r="H857">
        <v>0</v>
      </c>
      <c r="I857">
        <v>0</v>
      </c>
      <c r="J857">
        <v>-3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6</v>
      </c>
      <c r="T857">
        <v>0</v>
      </c>
      <c r="U857">
        <v>14</v>
      </c>
      <c r="V857" t="s">
        <v>1342</v>
      </c>
      <c r="W857" t="s">
        <v>1343</v>
      </c>
      <c r="X857">
        <v>0</v>
      </c>
      <c r="Y857">
        <v>0</v>
      </c>
      <c r="AA857">
        <v>0</v>
      </c>
      <c r="AB857">
        <v>4</v>
      </c>
      <c r="AC857">
        <v>0</v>
      </c>
      <c r="AD857">
        <v>2</v>
      </c>
      <c r="AE857" t="s">
        <v>60</v>
      </c>
    </row>
    <row r="858" spans="1:31" x14ac:dyDescent="0.2">
      <c r="A858">
        <v>817</v>
      </c>
      <c r="B858" t="s">
        <v>1344</v>
      </c>
      <c r="C858">
        <v>24</v>
      </c>
      <c r="D858" t="s">
        <v>364</v>
      </c>
      <c r="E858" t="s">
        <v>3</v>
      </c>
      <c r="F858">
        <v>22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t="s">
        <v>2211</v>
      </c>
      <c r="W858" t="s">
        <v>1777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10</v>
      </c>
      <c r="AE858" t="s">
        <v>60</v>
      </c>
    </row>
    <row r="859" spans="1:31" x14ac:dyDescent="0.2">
      <c r="A859">
        <v>818</v>
      </c>
      <c r="B859" t="s">
        <v>1345</v>
      </c>
      <c r="C859">
        <v>25</v>
      </c>
      <c r="D859" t="s">
        <v>337</v>
      </c>
      <c r="E859" t="s">
        <v>3</v>
      </c>
      <c r="F859">
        <v>30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1</v>
      </c>
      <c r="V859" t="s">
        <v>2680</v>
      </c>
      <c r="W859" t="s">
        <v>2681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13</v>
      </c>
      <c r="AE859" t="s">
        <v>60</v>
      </c>
    </row>
    <row r="860" spans="1:31" x14ac:dyDescent="0.2">
      <c r="A860">
        <v>819</v>
      </c>
      <c r="B860" t="s">
        <v>1882</v>
      </c>
      <c r="C860">
        <v>35</v>
      </c>
      <c r="D860" t="s">
        <v>362</v>
      </c>
      <c r="E860" t="s">
        <v>322</v>
      </c>
      <c r="F860">
        <v>2</v>
      </c>
      <c r="G860">
        <v>0</v>
      </c>
      <c r="H860">
        <v>0</v>
      </c>
      <c r="I860">
        <v>0</v>
      </c>
      <c r="J860">
        <v>-1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1</v>
      </c>
      <c r="T860">
        <v>0</v>
      </c>
      <c r="U860">
        <v>3</v>
      </c>
      <c r="V860" t="s">
        <v>1891</v>
      </c>
      <c r="W860" t="s">
        <v>1190</v>
      </c>
      <c r="X860">
        <v>1</v>
      </c>
      <c r="Y860">
        <v>2</v>
      </c>
      <c r="Z860">
        <v>33.299999999999997</v>
      </c>
      <c r="AA860">
        <v>1</v>
      </c>
      <c r="AB860">
        <v>3</v>
      </c>
      <c r="AC860">
        <v>0</v>
      </c>
      <c r="AD860">
        <v>0</v>
      </c>
      <c r="AE860" t="s">
        <v>60</v>
      </c>
    </row>
    <row r="861" spans="1:31" x14ac:dyDescent="0.2">
      <c r="A861">
        <v>820</v>
      </c>
      <c r="B861" t="s">
        <v>1346</v>
      </c>
      <c r="C861">
        <v>27</v>
      </c>
      <c r="D861" t="s">
        <v>367</v>
      </c>
      <c r="E861" t="s">
        <v>322</v>
      </c>
      <c r="F861">
        <v>6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9</v>
      </c>
      <c r="T861">
        <v>0</v>
      </c>
      <c r="U861">
        <v>19</v>
      </c>
      <c r="V861" t="s">
        <v>1347</v>
      </c>
      <c r="W861" t="s">
        <v>483</v>
      </c>
      <c r="X861">
        <v>33</v>
      </c>
      <c r="Y861">
        <v>45</v>
      </c>
      <c r="Z861">
        <v>42.3</v>
      </c>
      <c r="AA861">
        <v>3</v>
      </c>
      <c r="AB861">
        <v>6</v>
      </c>
      <c r="AC861">
        <v>1</v>
      </c>
      <c r="AD861">
        <v>2</v>
      </c>
      <c r="AE861" t="s">
        <v>60</v>
      </c>
    </row>
    <row r="862" spans="1:31" x14ac:dyDescent="0.2">
      <c r="A862">
        <v>821</v>
      </c>
      <c r="B862" t="s">
        <v>1348</v>
      </c>
      <c r="C862">
        <v>22</v>
      </c>
      <c r="D862" t="s">
        <v>364</v>
      </c>
      <c r="E862" t="s">
        <v>349</v>
      </c>
      <c r="F862">
        <v>11</v>
      </c>
      <c r="G862">
        <v>0</v>
      </c>
      <c r="H862">
        <v>0</v>
      </c>
      <c r="I862">
        <v>0</v>
      </c>
      <c r="J862">
        <v>3</v>
      </c>
      <c r="K862">
        <v>6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7</v>
      </c>
      <c r="T862">
        <v>0</v>
      </c>
      <c r="U862">
        <v>19</v>
      </c>
      <c r="V862" t="s">
        <v>1862</v>
      </c>
      <c r="W862" t="s">
        <v>1717</v>
      </c>
      <c r="X862">
        <v>0</v>
      </c>
      <c r="Y862">
        <v>0</v>
      </c>
      <c r="AA862">
        <v>5</v>
      </c>
      <c r="AB862">
        <v>4</v>
      </c>
      <c r="AC862">
        <v>2</v>
      </c>
      <c r="AD862">
        <v>6</v>
      </c>
      <c r="AE862" t="s">
        <v>60</v>
      </c>
    </row>
    <row r="863" spans="1:31" x14ac:dyDescent="0.2">
      <c r="A863">
        <v>822</v>
      </c>
      <c r="B863" t="s">
        <v>1350</v>
      </c>
      <c r="C863">
        <v>26</v>
      </c>
      <c r="D863" t="s">
        <v>408</v>
      </c>
      <c r="E863" t="s">
        <v>3</v>
      </c>
      <c r="F863">
        <v>17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t="s">
        <v>2875</v>
      </c>
      <c r="W863" t="s">
        <v>2876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3</v>
      </c>
      <c r="AE863" t="s">
        <v>60</v>
      </c>
    </row>
    <row r="864" spans="1:31" x14ac:dyDescent="0.2">
      <c r="A864">
        <v>823</v>
      </c>
      <c r="B864" t="s">
        <v>1351</v>
      </c>
      <c r="C864">
        <v>24</v>
      </c>
      <c r="D864" t="s">
        <v>398</v>
      </c>
      <c r="E864" t="s">
        <v>349</v>
      </c>
      <c r="F864">
        <v>1</v>
      </c>
      <c r="G864">
        <v>0</v>
      </c>
      <c r="H864">
        <v>0</v>
      </c>
      <c r="I864">
        <v>0</v>
      </c>
      <c r="J864">
        <v>-2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2</v>
      </c>
      <c r="T864">
        <v>0</v>
      </c>
      <c r="U864">
        <v>5</v>
      </c>
      <c r="V864" t="s">
        <v>879</v>
      </c>
      <c r="W864" t="s">
        <v>879</v>
      </c>
      <c r="X864">
        <v>0</v>
      </c>
      <c r="Y864">
        <v>0</v>
      </c>
      <c r="AA864">
        <v>3</v>
      </c>
      <c r="AB864">
        <v>1</v>
      </c>
      <c r="AC864">
        <v>0</v>
      </c>
      <c r="AD864">
        <v>0</v>
      </c>
      <c r="AE864" t="s">
        <v>60</v>
      </c>
    </row>
    <row r="865" spans="1:31" x14ac:dyDescent="0.2">
      <c r="A865">
        <v>824</v>
      </c>
      <c r="B865" t="s">
        <v>1352</v>
      </c>
      <c r="C865">
        <v>29</v>
      </c>
      <c r="D865" t="s">
        <v>346</v>
      </c>
      <c r="E865" t="s">
        <v>349</v>
      </c>
      <c r="F865">
        <v>17</v>
      </c>
      <c r="G865">
        <v>0</v>
      </c>
      <c r="H865">
        <v>0</v>
      </c>
      <c r="I865">
        <v>0</v>
      </c>
      <c r="J865">
        <v>-7</v>
      </c>
      <c r="K865">
        <v>6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11</v>
      </c>
      <c r="T865">
        <v>0</v>
      </c>
      <c r="U865">
        <v>28</v>
      </c>
      <c r="V865" t="s">
        <v>1964</v>
      </c>
      <c r="W865" t="s">
        <v>1356</v>
      </c>
      <c r="X865">
        <v>0</v>
      </c>
      <c r="Y865">
        <v>0</v>
      </c>
      <c r="AA865">
        <v>26</v>
      </c>
      <c r="AB865">
        <v>23</v>
      </c>
      <c r="AC865">
        <v>5</v>
      </c>
      <c r="AD865">
        <v>11</v>
      </c>
      <c r="AE865" t="s">
        <v>60</v>
      </c>
    </row>
    <row r="866" spans="1:31" x14ac:dyDescent="0.2">
      <c r="A866">
        <v>825</v>
      </c>
      <c r="B866" t="s">
        <v>1354</v>
      </c>
      <c r="C866">
        <v>33</v>
      </c>
      <c r="D866" t="s">
        <v>449</v>
      </c>
      <c r="E866" t="s">
        <v>349</v>
      </c>
      <c r="F866">
        <v>2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1</v>
      </c>
      <c r="V866" t="s">
        <v>1355</v>
      </c>
      <c r="W866" t="s">
        <v>1356</v>
      </c>
      <c r="X866">
        <v>0</v>
      </c>
      <c r="Y866">
        <v>0</v>
      </c>
      <c r="AA866">
        <v>4</v>
      </c>
      <c r="AB866">
        <v>2</v>
      </c>
      <c r="AC866">
        <v>0</v>
      </c>
      <c r="AD866">
        <v>5</v>
      </c>
      <c r="AE866" t="s">
        <v>60</v>
      </c>
    </row>
    <row r="867" spans="1:31" x14ac:dyDescent="0.2">
      <c r="A867">
        <v>826</v>
      </c>
      <c r="B867" t="s">
        <v>1357</v>
      </c>
      <c r="C867">
        <v>33</v>
      </c>
      <c r="D867" t="s">
        <v>421</v>
      </c>
      <c r="E867" t="s">
        <v>3</v>
      </c>
      <c r="F867">
        <v>17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t="s">
        <v>2062</v>
      </c>
      <c r="W867" t="s">
        <v>1864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4</v>
      </c>
      <c r="AE867" t="s">
        <v>60</v>
      </c>
    </row>
    <row r="868" spans="1:31" x14ac:dyDescent="0.2">
      <c r="A868">
        <v>827</v>
      </c>
      <c r="B868" t="s">
        <v>1588</v>
      </c>
      <c r="C868">
        <v>21</v>
      </c>
      <c r="D868" t="s">
        <v>364</v>
      </c>
      <c r="E868" t="s">
        <v>3</v>
      </c>
      <c r="F868">
        <v>9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t="s">
        <v>2063</v>
      </c>
      <c r="W868" t="s">
        <v>1866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2</v>
      </c>
      <c r="AE868" t="s">
        <v>60</v>
      </c>
    </row>
    <row r="869" spans="1:31" x14ac:dyDescent="0.2">
      <c r="A869">
        <v>828</v>
      </c>
      <c r="B869" t="s">
        <v>1358</v>
      </c>
      <c r="C869">
        <v>24</v>
      </c>
      <c r="D869" t="s">
        <v>408</v>
      </c>
      <c r="E869" t="s">
        <v>325</v>
      </c>
      <c r="F869">
        <v>3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4</v>
      </c>
      <c r="V869" t="s">
        <v>1359</v>
      </c>
      <c r="W869" t="s">
        <v>1360</v>
      </c>
      <c r="X869">
        <v>9</v>
      </c>
      <c r="Y869">
        <v>10</v>
      </c>
      <c r="Z869">
        <v>47.4</v>
      </c>
      <c r="AA869">
        <v>1</v>
      </c>
      <c r="AB869">
        <v>2</v>
      </c>
      <c r="AC869">
        <v>0</v>
      </c>
      <c r="AD869">
        <v>2</v>
      </c>
      <c r="AE869" t="s">
        <v>60</v>
      </c>
    </row>
    <row r="870" spans="1:31" x14ac:dyDescent="0.2">
      <c r="A870">
        <v>829</v>
      </c>
      <c r="B870" t="s">
        <v>1361</v>
      </c>
      <c r="C870">
        <v>30</v>
      </c>
      <c r="D870" t="s">
        <v>429</v>
      </c>
      <c r="E870" t="s">
        <v>349</v>
      </c>
      <c r="F870">
        <v>5</v>
      </c>
      <c r="G870">
        <v>0</v>
      </c>
      <c r="H870">
        <v>0</v>
      </c>
      <c r="I870">
        <v>0</v>
      </c>
      <c r="J870">
        <v>-1</v>
      </c>
      <c r="K870">
        <v>12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2</v>
      </c>
      <c r="V870" t="s">
        <v>365</v>
      </c>
      <c r="W870" t="s">
        <v>1362</v>
      </c>
      <c r="X870">
        <v>0</v>
      </c>
      <c r="Y870">
        <v>0</v>
      </c>
      <c r="AA870">
        <v>0</v>
      </c>
      <c r="AB870">
        <v>8</v>
      </c>
      <c r="AC870">
        <v>0</v>
      </c>
      <c r="AD870">
        <v>0</v>
      </c>
      <c r="AE870" t="s">
        <v>60</v>
      </c>
    </row>
    <row r="871" spans="1:31" x14ac:dyDescent="0.2">
      <c r="A871">
        <v>830</v>
      </c>
      <c r="B871" t="s">
        <v>1363</v>
      </c>
      <c r="C871">
        <v>29</v>
      </c>
      <c r="D871" t="s">
        <v>418</v>
      </c>
      <c r="E871" t="s">
        <v>349</v>
      </c>
      <c r="F871">
        <v>1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2</v>
      </c>
      <c r="V871" t="s">
        <v>1364</v>
      </c>
      <c r="W871" t="s">
        <v>1364</v>
      </c>
      <c r="X871">
        <v>0</v>
      </c>
      <c r="Y871">
        <v>0</v>
      </c>
      <c r="AA871">
        <v>1</v>
      </c>
      <c r="AB871">
        <v>0</v>
      </c>
      <c r="AC871">
        <v>0</v>
      </c>
      <c r="AD871">
        <v>3</v>
      </c>
      <c r="AE871" t="s">
        <v>60</v>
      </c>
    </row>
    <row r="872" spans="1:31" x14ac:dyDescent="0.2">
      <c r="A872">
        <v>831</v>
      </c>
      <c r="B872" t="s">
        <v>1365</v>
      </c>
      <c r="C872">
        <v>26</v>
      </c>
      <c r="D872" t="s">
        <v>408</v>
      </c>
      <c r="E872" t="s">
        <v>349</v>
      </c>
      <c r="F872">
        <v>5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9</v>
      </c>
      <c r="V872" t="s">
        <v>1366</v>
      </c>
      <c r="W872" t="s">
        <v>1367</v>
      </c>
      <c r="X872">
        <v>0</v>
      </c>
      <c r="Y872">
        <v>0</v>
      </c>
      <c r="AA872">
        <v>5</v>
      </c>
      <c r="AB872">
        <v>4</v>
      </c>
      <c r="AC872">
        <v>0</v>
      </c>
      <c r="AD872">
        <v>5</v>
      </c>
      <c r="AE872" t="s">
        <v>60</v>
      </c>
    </row>
    <row r="873" spans="1:31" x14ac:dyDescent="0.2">
      <c r="A873">
        <v>832</v>
      </c>
      <c r="B873" t="s">
        <v>1368</v>
      </c>
      <c r="C873">
        <v>24</v>
      </c>
      <c r="D873" t="s">
        <v>382</v>
      </c>
      <c r="E873" t="s">
        <v>3</v>
      </c>
      <c r="F873">
        <v>32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1</v>
      </c>
      <c r="V873" t="s">
        <v>2682</v>
      </c>
      <c r="W873" t="s">
        <v>2108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11</v>
      </c>
      <c r="AE873" t="s">
        <v>60</v>
      </c>
    </row>
    <row r="874" spans="1:31" x14ac:dyDescent="0.2">
      <c r="A874">
        <v>833</v>
      </c>
      <c r="B874" t="s">
        <v>1369</v>
      </c>
      <c r="C874">
        <v>34</v>
      </c>
      <c r="D874" t="s">
        <v>532</v>
      </c>
      <c r="E874" t="s">
        <v>3</v>
      </c>
      <c r="F874">
        <v>17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t="s">
        <v>2877</v>
      </c>
      <c r="W874" t="s">
        <v>2878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8</v>
      </c>
      <c r="AE874" t="s">
        <v>60</v>
      </c>
    </row>
    <row r="875" spans="1:31" x14ac:dyDescent="0.2">
      <c r="A875">
        <v>834</v>
      </c>
      <c r="B875" t="s">
        <v>1371</v>
      </c>
      <c r="C875">
        <v>34</v>
      </c>
      <c r="D875" t="s">
        <v>382</v>
      </c>
      <c r="E875" t="s">
        <v>349</v>
      </c>
      <c r="F875">
        <v>4</v>
      </c>
      <c r="G875">
        <v>0</v>
      </c>
      <c r="H875">
        <v>0</v>
      </c>
      <c r="I875">
        <v>0</v>
      </c>
      <c r="J875">
        <v>-2</v>
      </c>
      <c r="K875">
        <v>6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3</v>
      </c>
      <c r="T875">
        <v>0</v>
      </c>
      <c r="U875">
        <v>7</v>
      </c>
      <c r="V875" t="s">
        <v>1372</v>
      </c>
      <c r="W875" t="s">
        <v>745</v>
      </c>
      <c r="X875">
        <v>0</v>
      </c>
      <c r="Y875">
        <v>0</v>
      </c>
      <c r="AA875">
        <v>1</v>
      </c>
      <c r="AB875">
        <v>5</v>
      </c>
      <c r="AC875">
        <v>1</v>
      </c>
      <c r="AD875">
        <v>3</v>
      </c>
      <c r="AE875" t="s">
        <v>60</v>
      </c>
    </row>
    <row r="876" spans="1:31" x14ac:dyDescent="0.2">
      <c r="A876">
        <v>835</v>
      </c>
      <c r="B876" t="s">
        <v>1373</v>
      </c>
      <c r="C876">
        <v>33</v>
      </c>
      <c r="D876" t="s">
        <v>372</v>
      </c>
      <c r="E876" t="s">
        <v>349</v>
      </c>
      <c r="F876">
        <v>1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</v>
      </c>
      <c r="T876">
        <v>0</v>
      </c>
      <c r="U876">
        <v>2</v>
      </c>
      <c r="V876" t="s">
        <v>883</v>
      </c>
      <c r="W876" t="s">
        <v>883</v>
      </c>
      <c r="X876">
        <v>0</v>
      </c>
      <c r="Y876">
        <v>0</v>
      </c>
      <c r="AA876">
        <v>1</v>
      </c>
      <c r="AB876">
        <v>1</v>
      </c>
      <c r="AC876">
        <v>1</v>
      </c>
      <c r="AD876">
        <v>1</v>
      </c>
      <c r="AE876" t="s">
        <v>60</v>
      </c>
    </row>
    <row r="877" spans="1:31" x14ac:dyDescent="0.2">
      <c r="A877">
        <v>836</v>
      </c>
      <c r="B877" t="s">
        <v>1374</v>
      </c>
      <c r="C877">
        <v>27</v>
      </c>
      <c r="D877" t="s">
        <v>358</v>
      </c>
      <c r="E877" t="s">
        <v>3</v>
      </c>
      <c r="F877">
        <v>28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t="s">
        <v>2064</v>
      </c>
      <c r="W877" t="s">
        <v>2065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15</v>
      </c>
      <c r="AE877" t="s">
        <v>60</v>
      </c>
    </row>
    <row r="878" spans="1:31" x14ac:dyDescent="0.2">
      <c r="A878">
        <v>837</v>
      </c>
      <c r="B878" t="s">
        <v>1375</v>
      </c>
      <c r="C878">
        <v>21</v>
      </c>
      <c r="D878" t="s">
        <v>358</v>
      </c>
      <c r="E878" t="s">
        <v>322</v>
      </c>
      <c r="F878">
        <v>2</v>
      </c>
      <c r="G878">
        <v>0</v>
      </c>
      <c r="H878">
        <v>0</v>
      </c>
      <c r="I878">
        <v>0</v>
      </c>
      <c r="J878">
        <v>-2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t="s">
        <v>416</v>
      </c>
      <c r="W878" t="s">
        <v>1376</v>
      </c>
      <c r="X878">
        <v>7</v>
      </c>
      <c r="Y878">
        <v>9</v>
      </c>
      <c r="Z878">
        <v>43.8</v>
      </c>
      <c r="AA878">
        <v>0</v>
      </c>
      <c r="AB878">
        <v>2</v>
      </c>
      <c r="AC878">
        <v>0</v>
      </c>
      <c r="AD878">
        <v>0</v>
      </c>
      <c r="AE878" t="s">
        <v>60</v>
      </c>
    </row>
    <row r="879" spans="1:31" x14ac:dyDescent="0.2">
      <c r="A879">
        <v>838</v>
      </c>
      <c r="B879" t="s">
        <v>1611</v>
      </c>
      <c r="C879">
        <v>29</v>
      </c>
      <c r="D879" t="s">
        <v>353</v>
      </c>
      <c r="E879" t="s">
        <v>3</v>
      </c>
      <c r="F879">
        <v>1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t="s">
        <v>1612</v>
      </c>
      <c r="W879" t="s">
        <v>1612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t="s">
        <v>60</v>
      </c>
    </row>
    <row r="880" spans="1:31" x14ac:dyDescent="0.2">
      <c r="A880">
        <v>839</v>
      </c>
      <c r="B880" t="s">
        <v>1377</v>
      </c>
      <c r="C880">
        <v>27</v>
      </c>
      <c r="D880" t="s">
        <v>344</v>
      </c>
      <c r="E880" t="s">
        <v>3</v>
      </c>
      <c r="F880">
        <v>12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t="s">
        <v>2006</v>
      </c>
      <c r="W880" t="s">
        <v>2007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5</v>
      </c>
      <c r="AE880" t="s">
        <v>60</v>
      </c>
    </row>
    <row r="881" spans="1:31" x14ac:dyDescent="0.2">
      <c r="A881">
        <v>840</v>
      </c>
      <c r="B881" t="s">
        <v>1380</v>
      </c>
      <c r="C881">
        <v>30</v>
      </c>
      <c r="D881" t="s">
        <v>532</v>
      </c>
      <c r="E881" t="s">
        <v>322</v>
      </c>
      <c r="F881">
        <v>3</v>
      </c>
      <c r="G881">
        <v>0</v>
      </c>
      <c r="H881">
        <v>0</v>
      </c>
      <c r="I881">
        <v>0</v>
      </c>
      <c r="J881">
        <v>-1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5</v>
      </c>
      <c r="V881" t="s">
        <v>1381</v>
      </c>
      <c r="W881" t="s">
        <v>1382</v>
      </c>
      <c r="X881">
        <v>6</v>
      </c>
      <c r="Y881">
        <v>9</v>
      </c>
      <c r="Z881">
        <v>40</v>
      </c>
      <c r="AA881">
        <v>2</v>
      </c>
      <c r="AB881">
        <v>7</v>
      </c>
      <c r="AC881">
        <v>1</v>
      </c>
      <c r="AD881">
        <v>2</v>
      </c>
      <c r="AE881" t="s">
        <v>60</v>
      </c>
    </row>
    <row r="882" spans="1:31" x14ac:dyDescent="0.2">
      <c r="A882">
        <v>841</v>
      </c>
      <c r="B882" t="s">
        <v>1384</v>
      </c>
      <c r="C882">
        <v>32</v>
      </c>
      <c r="D882" t="s">
        <v>346</v>
      </c>
      <c r="E882" t="s">
        <v>3</v>
      </c>
      <c r="F882">
        <v>27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t="s">
        <v>2683</v>
      </c>
      <c r="W882" t="s">
        <v>1916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9</v>
      </c>
      <c r="AE882" t="s">
        <v>60</v>
      </c>
    </row>
    <row r="883" spans="1:31" x14ac:dyDescent="0.2">
      <c r="A883">
        <v>842</v>
      </c>
      <c r="B883" t="s">
        <v>1385</v>
      </c>
      <c r="C883">
        <v>24</v>
      </c>
      <c r="D883" t="s">
        <v>360</v>
      </c>
      <c r="E883" t="s">
        <v>3</v>
      </c>
      <c r="F883">
        <v>17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t="s">
        <v>2684</v>
      </c>
      <c r="W883" t="s">
        <v>2685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6</v>
      </c>
      <c r="AE883" t="s">
        <v>60</v>
      </c>
    </row>
    <row r="884" spans="1:31" x14ac:dyDescent="0.2">
      <c r="A884">
        <v>843</v>
      </c>
      <c r="B884" t="s">
        <v>1386</v>
      </c>
      <c r="C884">
        <v>29</v>
      </c>
      <c r="D884" t="s">
        <v>344</v>
      </c>
      <c r="E884" t="s">
        <v>3</v>
      </c>
      <c r="F884">
        <v>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t="s">
        <v>1387</v>
      </c>
      <c r="W884" t="s">
        <v>1388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t="s">
        <v>60</v>
      </c>
    </row>
    <row r="885" spans="1:31" x14ac:dyDescent="0.2">
      <c r="A885">
        <v>844</v>
      </c>
      <c r="B885" t="s">
        <v>1389</v>
      </c>
      <c r="C885">
        <v>29</v>
      </c>
      <c r="D885" t="s">
        <v>418</v>
      </c>
      <c r="E885" t="s">
        <v>335</v>
      </c>
      <c r="F885">
        <v>9</v>
      </c>
      <c r="G885">
        <v>0</v>
      </c>
      <c r="H885">
        <v>0</v>
      </c>
      <c r="I885">
        <v>0</v>
      </c>
      <c r="J885">
        <v>-1</v>
      </c>
      <c r="K885">
        <v>11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3</v>
      </c>
      <c r="T885">
        <v>0</v>
      </c>
      <c r="U885">
        <v>10</v>
      </c>
      <c r="V885" t="s">
        <v>1390</v>
      </c>
      <c r="W885" t="s">
        <v>1391</v>
      </c>
      <c r="X885">
        <v>0</v>
      </c>
      <c r="Y885">
        <v>0</v>
      </c>
      <c r="AA885">
        <v>0</v>
      </c>
      <c r="AB885">
        <v>23</v>
      </c>
      <c r="AC885">
        <v>0</v>
      </c>
      <c r="AD885">
        <v>3</v>
      </c>
      <c r="AE885" t="s">
        <v>60</v>
      </c>
    </row>
    <row r="886" spans="1:31" x14ac:dyDescent="0.2">
      <c r="A886">
        <v>845</v>
      </c>
      <c r="B886" t="s">
        <v>1392</v>
      </c>
      <c r="C886">
        <v>25</v>
      </c>
      <c r="D886" t="s">
        <v>514</v>
      </c>
      <c r="E886" t="s">
        <v>3</v>
      </c>
      <c r="F886">
        <v>25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4</v>
      </c>
      <c r="V886" t="s">
        <v>2686</v>
      </c>
      <c r="W886" t="s">
        <v>2687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21</v>
      </c>
      <c r="AE886" t="s">
        <v>60</v>
      </c>
    </row>
    <row r="887" spans="1:31" x14ac:dyDescent="0.2">
      <c r="A887">
        <v>846</v>
      </c>
      <c r="B887" t="s">
        <v>1863</v>
      </c>
      <c r="C887">
        <v>31</v>
      </c>
      <c r="D887" t="s">
        <v>385</v>
      </c>
      <c r="E887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t="s">
        <v>1675</v>
      </c>
      <c r="W887" t="s">
        <v>1675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0</v>
      </c>
      <c r="AE887" t="s">
        <v>60</v>
      </c>
    </row>
    <row r="888" spans="1:31" x14ac:dyDescent="0.2">
      <c r="A888">
        <v>847</v>
      </c>
      <c r="B888" t="s">
        <v>1538</v>
      </c>
      <c r="C888">
        <v>25</v>
      </c>
      <c r="D888" t="s">
        <v>449</v>
      </c>
      <c r="E888" t="s">
        <v>340</v>
      </c>
      <c r="F888">
        <v>13</v>
      </c>
      <c r="G888">
        <v>0</v>
      </c>
      <c r="H888">
        <v>0</v>
      </c>
      <c r="I888">
        <v>0</v>
      </c>
      <c r="J888">
        <v>-1</v>
      </c>
      <c r="K888">
        <v>4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11</v>
      </c>
      <c r="T888">
        <v>0</v>
      </c>
      <c r="U888">
        <v>33</v>
      </c>
      <c r="V888" t="s">
        <v>2688</v>
      </c>
      <c r="W888" t="s">
        <v>1689</v>
      </c>
      <c r="X888">
        <v>0</v>
      </c>
      <c r="Y888">
        <v>0</v>
      </c>
      <c r="AA888">
        <v>3</v>
      </c>
      <c r="AB888">
        <v>22</v>
      </c>
      <c r="AC888">
        <v>2</v>
      </c>
      <c r="AD888">
        <v>6</v>
      </c>
      <c r="AE888" t="s">
        <v>60</v>
      </c>
    </row>
    <row r="889" spans="1:31" x14ac:dyDescent="0.2">
      <c r="A889">
        <v>848</v>
      </c>
      <c r="B889" t="s">
        <v>1394</v>
      </c>
      <c r="C889">
        <v>30</v>
      </c>
      <c r="D889" t="s">
        <v>437</v>
      </c>
      <c r="E889" t="s">
        <v>340</v>
      </c>
      <c r="F889">
        <v>2</v>
      </c>
      <c r="G889">
        <v>0</v>
      </c>
      <c r="H889">
        <v>0</v>
      </c>
      <c r="I889">
        <v>0</v>
      </c>
      <c r="J889">
        <v>-2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3</v>
      </c>
      <c r="V889" t="s">
        <v>856</v>
      </c>
      <c r="W889" t="s">
        <v>817</v>
      </c>
      <c r="X889">
        <v>0</v>
      </c>
      <c r="Y889">
        <v>0</v>
      </c>
      <c r="AA889">
        <v>4</v>
      </c>
      <c r="AB889">
        <v>4</v>
      </c>
      <c r="AC889">
        <v>0</v>
      </c>
      <c r="AD889">
        <v>1</v>
      </c>
      <c r="AE889" t="s">
        <v>60</v>
      </c>
    </row>
    <row r="890" spans="1:31" x14ac:dyDescent="0.2">
      <c r="A890">
        <v>849</v>
      </c>
      <c r="B890" t="s">
        <v>1395</v>
      </c>
      <c r="C890">
        <v>30</v>
      </c>
      <c r="D890" t="s">
        <v>337</v>
      </c>
      <c r="E890" t="s">
        <v>3</v>
      </c>
      <c r="F890">
        <v>10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t="s">
        <v>2008</v>
      </c>
      <c r="W890" t="s">
        <v>2009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t="s">
        <v>60</v>
      </c>
    </row>
    <row r="891" spans="1:31" x14ac:dyDescent="0.2">
      <c r="A891">
        <v>850</v>
      </c>
      <c r="B891" t="s">
        <v>1396</v>
      </c>
      <c r="C891">
        <v>29</v>
      </c>
      <c r="D891" t="s">
        <v>377</v>
      </c>
      <c r="E891" t="s">
        <v>340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5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4</v>
      </c>
      <c r="V891" t="s">
        <v>663</v>
      </c>
      <c r="W891" t="s">
        <v>1397</v>
      </c>
      <c r="X891">
        <v>0</v>
      </c>
      <c r="Y891">
        <v>0</v>
      </c>
      <c r="AA891">
        <v>0</v>
      </c>
      <c r="AB891">
        <v>3</v>
      </c>
      <c r="AC891">
        <v>0</v>
      </c>
      <c r="AD891">
        <v>2</v>
      </c>
      <c r="AE891" t="s">
        <v>60</v>
      </c>
    </row>
    <row r="892" spans="1:31" x14ac:dyDescent="0.2">
      <c r="A892">
        <v>851</v>
      </c>
      <c r="B892" t="s">
        <v>1399</v>
      </c>
      <c r="C892">
        <v>30</v>
      </c>
      <c r="D892" t="s">
        <v>957</v>
      </c>
      <c r="E892" t="s">
        <v>3</v>
      </c>
      <c r="F892">
        <v>18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t="s">
        <v>2689</v>
      </c>
      <c r="W892" t="s">
        <v>1390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6</v>
      </c>
      <c r="AE892" t="s">
        <v>60</v>
      </c>
    </row>
    <row r="893" spans="1:31" x14ac:dyDescent="0.2">
      <c r="A893">
        <v>851</v>
      </c>
      <c r="B893" t="s">
        <v>1399</v>
      </c>
      <c r="C893">
        <v>30</v>
      </c>
      <c r="D893" t="s">
        <v>377</v>
      </c>
      <c r="E893" t="s">
        <v>3</v>
      </c>
      <c r="F893">
        <v>14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t="s">
        <v>1589</v>
      </c>
      <c r="W893" t="s">
        <v>1590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4</v>
      </c>
      <c r="AE893" t="s">
        <v>60</v>
      </c>
    </row>
    <row r="894" spans="1:31" x14ac:dyDescent="0.2">
      <c r="A894">
        <v>851</v>
      </c>
      <c r="B894" t="s">
        <v>1399</v>
      </c>
      <c r="C894">
        <v>30</v>
      </c>
      <c r="D894" t="s">
        <v>328</v>
      </c>
      <c r="E894" t="s">
        <v>3</v>
      </c>
      <c r="F894">
        <v>4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t="s">
        <v>2690</v>
      </c>
      <c r="W894" t="s">
        <v>2007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2</v>
      </c>
      <c r="AE894" t="s">
        <v>60</v>
      </c>
    </row>
    <row r="895" spans="1:31" x14ac:dyDescent="0.2">
      <c r="A895">
        <v>852</v>
      </c>
      <c r="B895" t="s">
        <v>1400</v>
      </c>
      <c r="C895">
        <v>22</v>
      </c>
      <c r="D895" t="s">
        <v>358</v>
      </c>
      <c r="E895" t="s">
        <v>349</v>
      </c>
      <c r="F895">
        <v>18</v>
      </c>
      <c r="G895">
        <v>0</v>
      </c>
      <c r="H895">
        <v>0</v>
      </c>
      <c r="I895">
        <v>0</v>
      </c>
      <c r="J895">
        <v>1</v>
      </c>
      <c r="K895">
        <v>12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11</v>
      </c>
      <c r="T895">
        <v>0</v>
      </c>
      <c r="U895">
        <v>32</v>
      </c>
      <c r="V895" t="s">
        <v>1722</v>
      </c>
      <c r="W895" t="s">
        <v>1164</v>
      </c>
      <c r="X895">
        <v>0</v>
      </c>
      <c r="Y895">
        <v>0</v>
      </c>
      <c r="AA895">
        <v>14</v>
      </c>
      <c r="AB895">
        <v>5</v>
      </c>
      <c r="AC895">
        <v>3</v>
      </c>
      <c r="AD895">
        <v>17</v>
      </c>
      <c r="AE895" t="s">
        <v>60</v>
      </c>
    </row>
    <row r="896" spans="1:31" x14ac:dyDescent="0.2">
      <c r="A896">
        <v>853</v>
      </c>
      <c r="B896" t="s">
        <v>1401</v>
      </c>
      <c r="C896">
        <v>30</v>
      </c>
      <c r="D896" t="s">
        <v>353</v>
      </c>
      <c r="E896" t="s">
        <v>3</v>
      </c>
      <c r="F896">
        <v>18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t="s">
        <v>2212</v>
      </c>
      <c r="W896" t="s">
        <v>1750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2</v>
      </c>
      <c r="AE896" t="s">
        <v>60</v>
      </c>
    </row>
    <row r="897" spans="1:31" x14ac:dyDescent="0.2">
      <c r="A897">
        <v>854</v>
      </c>
      <c r="B897" t="s">
        <v>1402</v>
      </c>
      <c r="C897">
        <v>24</v>
      </c>
      <c r="D897" t="s">
        <v>429</v>
      </c>
      <c r="E897" t="s">
        <v>349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4</v>
      </c>
      <c r="V897" t="s">
        <v>1403</v>
      </c>
      <c r="W897" t="s">
        <v>1404</v>
      </c>
      <c r="X897">
        <v>0</v>
      </c>
      <c r="Y897">
        <v>0</v>
      </c>
      <c r="AA897">
        <v>3</v>
      </c>
      <c r="AB897">
        <v>2</v>
      </c>
      <c r="AC897">
        <v>2</v>
      </c>
      <c r="AD897">
        <v>2</v>
      </c>
      <c r="AE897" t="s">
        <v>60</v>
      </c>
    </row>
    <row r="898" spans="1:31" x14ac:dyDescent="0.2">
      <c r="A898">
        <v>855</v>
      </c>
      <c r="B898" t="s">
        <v>1408</v>
      </c>
      <c r="C898">
        <v>21</v>
      </c>
      <c r="D898" t="s">
        <v>514</v>
      </c>
      <c r="E898" t="s">
        <v>322</v>
      </c>
      <c r="F898">
        <v>5</v>
      </c>
      <c r="G898">
        <v>0</v>
      </c>
      <c r="H898">
        <v>0</v>
      </c>
      <c r="I898">
        <v>0</v>
      </c>
      <c r="J898">
        <v>-6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6</v>
      </c>
      <c r="T898">
        <v>0</v>
      </c>
      <c r="U898">
        <v>8</v>
      </c>
      <c r="V898" t="s">
        <v>1591</v>
      </c>
      <c r="W898" t="s">
        <v>1167</v>
      </c>
      <c r="X898">
        <v>1</v>
      </c>
      <c r="Y898">
        <v>1</v>
      </c>
      <c r="Z898">
        <v>50</v>
      </c>
      <c r="AA898">
        <v>3</v>
      </c>
      <c r="AB898">
        <v>2</v>
      </c>
      <c r="AC898">
        <v>0</v>
      </c>
      <c r="AD898">
        <v>2</v>
      </c>
      <c r="AE898" t="s">
        <v>60</v>
      </c>
    </row>
    <row r="899" spans="1:31" x14ac:dyDescent="0.2">
      <c r="A899">
        <v>856</v>
      </c>
      <c r="B899" t="s">
        <v>1409</v>
      </c>
      <c r="C899">
        <v>27</v>
      </c>
      <c r="D899" t="s">
        <v>353</v>
      </c>
      <c r="E899" t="s">
        <v>340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1</v>
      </c>
      <c r="V899" t="s">
        <v>1410</v>
      </c>
      <c r="W899" t="s">
        <v>1411</v>
      </c>
      <c r="X899">
        <v>7</v>
      </c>
      <c r="Y899">
        <v>12</v>
      </c>
      <c r="Z899">
        <v>36.799999999999997</v>
      </c>
      <c r="AA899">
        <v>2</v>
      </c>
      <c r="AB899">
        <v>5</v>
      </c>
      <c r="AC899">
        <v>0</v>
      </c>
      <c r="AD899">
        <v>0</v>
      </c>
      <c r="AE899" t="s">
        <v>60</v>
      </c>
    </row>
    <row r="900" spans="1:31" x14ac:dyDescent="0.2">
      <c r="A900">
        <v>857</v>
      </c>
      <c r="B900" t="s">
        <v>1412</v>
      </c>
      <c r="C900">
        <v>21</v>
      </c>
      <c r="D900" t="s">
        <v>461</v>
      </c>
      <c r="E900" t="s">
        <v>335</v>
      </c>
      <c r="F900">
        <v>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5</v>
      </c>
      <c r="V900" t="s">
        <v>718</v>
      </c>
      <c r="W900" t="s">
        <v>943</v>
      </c>
      <c r="X900">
        <v>0</v>
      </c>
      <c r="Y900">
        <v>1</v>
      </c>
      <c r="Z900">
        <v>0</v>
      </c>
      <c r="AA900">
        <v>1</v>
      </c>
      <c r="AB900">
        <v>4</v>
      </c>
      <c r="AC900">
        <v>0</v>
      </c>
      <c r="AD900">
        <v>0</v>
      </c>
      <c r="AE900" t="s">
        <v>60</v>
      </c>
    </row>
    <row r="901" spans="1:31" x14ac:dyDescent="0.2">
      <c r="A901">
        <v>858</v>
      </c>
      <c r="B901" t="s">
        <v>1413</v>
      </c>
      <c r="C901">
        <v>23</v>
      </c>
      <c r="D901" t="s">
        <v>437</v>
      </c>
      <c r="E901" t="s">
        <v>322</v>
      </c>
      <c r="F901">
        <v>2</v>
      </c>
      <c r="G901">
        <v>0</v>
      </c>
      <c r="H901">
        <v>0</v>
      </c>
      <c r="I901">
        <v>0</v>
      </c>
      <c r="J901">
        <v>-1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6</v>
      </c>
      <c r="V901" t="s">
        <v>1414</v>
      </c>
      <c r="W901" t="s">
        <v>1415</v>
      </c>
      <c r="X901">
        <v>0</v>
      </c>
      <c r="Y901">
        <v>3</v>
      </c>
      <c r="Z901">
        <v>0</v>
      </c>
      <c r="AA901">
        <v>3</v>
      </c>
      <c r="AB901">
        <v>1</v>
      </c>
      <c r="AC901">
        <v>0</v>
      </c>
      <c r="AD901">
        <v>1</v>
      </c>
      <c r="AE901" t="s">
        <v>60</v>
      </c>
    </row>
    <row r="902" spans="1:31" x14ac:dyDescent="0.2">
      <c r="A902">
        <v>859</v>
      </c>
      <c r="B902" t="s">
        <v>1416</v>
      </c>
      <c r="C902">
        <v>26</v>
      </c>
      <c r="D902" t="s">
        <v>429</v>
      </c>
      <c r="E902" t="s">
        <v>349</v>
      </c>
      <c r="F902">
        <v>16</v>
      </c>
      <c r="G902">
        <v>0</v>
      </c>
      <c r="H902">
        <v>0</v>
      </c>
      <c r="I902">
        <v>0</v>
      </c>
      <c r="J902">
        <v>-4</v>
      </c>
      <c r="K902">
        <v>10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23</v>
      </c>
      <c r="T902">
        <v>0</v>
      </c>
      <c r="U902">
        <v>57</v>
      </c>
      <c r="V902" t="s">
        <v>1865</v>
      </c>
      <c r="W902" t="s">
        <v>1155</v>
      </c>
      <c r="X902">
        <v>0</v>
      </c>
      <c r="Y902">
        <v>0</v>
      </c>
      <c r="AA902">
        <v>22</v>
      </c>
      <c r="AB902">
        <v>14</v>
      </c>
      <c r="AC902">
        <v>4</v>
      </c>
      <c r="AD902">
        <v>23</v>
      </c>
      <c r="AE902" t="s">
        <v>60</v>
      </c>
    </row>
    <row r="903" spans="1:31" x14ac:dyDescent="0.2">
      <c r="A903">
        <v>860</v>
      </c>
      <c r="B903" t="s">
        <v>1417</v>
      </c>
      <c r="C903">
        <v>26</v>
      </c>
      <c r="D903" t="s">
        <v>398</v>
      </c>
      <c r="E903" t="s">
        <v>3</v>
      </c>
      <c r="F903">
        <v>9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1</v>
      </c>
      <c r="V903" t="s">
        <v>1696</v>
      </c>
      <c r="W903" t="s">
        <v>1697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7</v>
      </c>
      <c r="AE903" t="s">
        <v>60</v>
      </c>
    </row>
    <row r="904" spans="1:31" x14ac:dyDescent="0.2">
      <c r="A904">
        <v>861</v>
      </c>
      <c r="B904" t="s">
        <v>1418</v>
      </c>
      <c r="C904">
        <v>24</v>
      </c>
      <c r="D904" t="s">
        <v>408</v>
      </c>
      <c r="E904" t="s">
        <v>3</v>
      </c>
      <c r="F904">
        <v>2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t="s">
        <v>1419</v>
      </c>
      <c r="W904" t="s">
        <v>1420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t="s">
        <v>60</v>
      </c>
    </row>
    <row r="905" spans="1:31" x14ac:dyDescent="0.2">
      <c r="A905">
        <v>862</v>
      </c>
      <c r="B905" t="s">
        <v>1421</v>
      </c>
      <c r="C905">
        <v>31</v>
      </c>
      <c r="D905" t="s">
        <v>356</v>
      </c>
      <c r="E905" t="s">
        <v>3</v>
      </c>
      <c r="F905">
        <v>17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t="s">
        <v>2109</v>
      </c>
      <c r="W905" t="s">
        <v>1765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10</v>
      </c>
      <c r="AE905" t="s">
        <v>60</v>
      </c>
    </row>
    <row r="906" spans="1:31" x14ac:dyDescent="0.2">
      <c r="A906">
        <v>863</v>
      </c>
      <c r="B906" t="s">
        <v>1422</v>
      </c>
      <c r="C906">
        <v>35</v>
      </c>
      <c r="D906" t="s">
        <v>421</v>
      </c>
      <c r="E906" t="s">
        <v>3</v>
      </c>
      <c r="F906">
        <v>30</v>
      </c>
      <c r="G906">
        <v>0</v>
      </c>
      <c r="H906">
        <v>0</v>
      </c>
      <c r="I906">
        <v>0</v>
      </c>
      <c r="J906">
        <v>0</v>
      </c>
      <c r="K906">
        <v>4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t="s">
        <v>2879</v>
      </c>
      <c r="W906" t="s">
        <v>2880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11</v>
      </c>
      <c r="AE906" t="s">
        <v>60</v>
      </c>
    </row>
    <row r="907" spans="1:31" x14ac:dyDescent="0.2">
      <c r="A907">
        <v>864</v>
      </c>
      <c r="B907" t="s">
        <v>1423</v>
      </c>
      <c r="C907">
        <v>35</v>
      </c>
      <c r="D907" t="s">
        <v>374</v>
      </c>
      <c r="E907" t="s">
        <v>349</v>
      </c>
      <c r="F907">
        <v>2</v>
      </c>
      <c r="G907">
        <v>0</v>
      </c>
      <c r="H907">
        <v>0</v>
      </c>
      <c r="I907">
        <v>0</v>
      </c>
      <c r="J907">
        <v>-1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t="s">
        <v>1424</v>
      </c>
      <c r="W907" t="s">
        <v>642</v>
      </c>
      <c r="X907">
        <v>0</v>
      </c>
      <c r="Y907">
        <v>0</v>
      </c>
      <c r="AA907">
        <v>0</v>
      </c>
      <c r="AB907">
        <v>1</v>
      </c>
      <c r="AC907">
        <v>0</v>
      </c>
      <c r="AD907">
        <v>2</v>
      </c>
      <c r="AE907" t="s">
        <v>60</v>
      </c>
    </row>
    <row r="908" spans="1:31" x14ac:dyDescent="0.2">
      <c r="A908">
        <v>865</v>
      </c>
      <c r="B908" t="s">
        <v>1592</v>
      </c>
      <c r="C908">
        <v>24</v>
      </c>
      <c r="D908" t="s">
        <v>429</v>
      </c>
      <c r="E908" t="s">
        <v>322</v>
      </c>
      <c r="F908">
        <v>1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1</v>
      </c>
      <c r="V908" t="s">
        <v>1593</v>
      </c>
      <c r="W908" t="s">
        <v>1593</v>
      </c>
      <c r="X908">
        <v>0</v>
      </c>
      <c r="Y908">
        <v>0</v>
      </c>
      <c r="AA908">
        <v>0</v>
      </c>
      <c r="AB908">
        <v>1</v>
      </c>
      <c r="AC908">
        <v>0</v>
      </c>
      <c r="AD908">
        <v>0</v>
      </c>
      <c r="AE908" t="s">
        <v>60</v>
      </c>
    </row>
    <row r="909" spans="1:31" x14ac:dyDescent="0.2">
      <c r="A909">
        <v>866</v>
      </c>
      <c r="B909" t="s">
        <v>1425</v>
      </c>
      <c r="C909">
        <v>32</v>
      </c>
      <c r="D909" t="s">
        <v>449</v>
      </c>
      <c r="E909" t="s">
        <v>322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3</v>
      </c>
      <c r="V909" t="s">
        <v>1426</v>
      </c>
      <c r="W909" t="s">
        <v>1426</v>
      </c>
      <c r="X909">
        <v>1</v>
      </c>
      <c r="Y909">
        <v>1</v>
      </c>
      <c r="Z909">
        <v>50</v>
      </c>
      <c r="AA909">
        <v>2</v>
      </c>
      <c r="AB909">
        <v>6</v>
      </c>
      <c r="AC909">
        <v>0</v>
      </c>
      <c r="AD909">
        <v>0</v>
      </c>
      <c r="AE909" t="s">
        <v>60</v>
      </c>
    </row>
    <row r="910" spans="1:31" x14ac:dyDescent="0.2">
      <c r="A910">
        <v>867</v>
      </c>
      <c r="B910" t="s">
        <v>1427</v>
      </c>
      <c r="C910">
        <v>22</v>
      </c>
      <c r="D910" t="s">
        <v>400</v>
      </c>
      <c r="E910" t="s">
        <v>340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t="s">
        <v>1428</v>
      </c>
      <c r="W910" t="s">
        <v>1428</v>
      </c>
      <c r="X910">
        <v>1</v>
      </c>
      <c r="Y910">
        <v>0</v>
      </c>
      <c r="Z910">
        <v>100</v>
      </c>
      <c r="AA910">
        <v>0</v>
      </c>
      <c r="AB910">
        <v>1</v>
      </c>
      <c r="AC910">
        <v>0</v>
      </c>
      <c r="AD910">
        <v>0</v>
      </c>
      <c r="AE910" t="s">
        <v>60</v>
      </c>
    </row>
    <row r="911" spans="1:31" x14ac:dyDescent="0.2">
      <c r="A911">
        <v>868</v>
      </c>
      <c r="B911" t="s">
        <v>1652</v>
      </c>
      <c r="C911">
        <v>23</v>
      </c>
      <c r="D911" t="s">
        <v>358</v>
      </c>
      <c r="E911" t="s">
        <v>349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2</v>
      </c>
      <c r="V911" t="s">
        <v>983</v>
      </c>
      <c r="W911" t="s">
        <v>983</v>
      </c>
      <c r="X911">
        <v>0</v>
      </c>
      <c r="Y911">
        <v>0</v>
      </c>
      <c r="AA911">
        <v>1</v>
      </c>
      <c r="AB911">
        <v>0</v>
      </c>
      <c r="AC911">
        <v>0</v>
      </c>
      <c r="AD911">
        <v>2</v>
      </c>
      <c r="AE911" t="s">
        <v>60</v>
      </c>
    </row>
    <row r="912" spans="1:31" x14ac:dyDescent="0.2">
      <c r="A912">
        <v>869</v>
      </c>
      <c r="B912" t="s">
        <v>1977</v>
      </c>
      <c r="C912">
        <v>26</v>
      </c>
      <c r="D912" t="s">
        <v>367</v>
      </c>
      <c r="E912" t="s">
        <v>335</v>
      </c>
      <c r="F912">
        <v>4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1</v>
      </c>
      <c r="T912">
        <v>0</v>
      </c>
      <c r="U912">
        <v>4</v>
      </c>
      <c r="V912" t="s">
        <v>1189</v>
      </c>
      <c r="W912" t="s">
        <v>1742</v>
      </c>
      <c r="X912">
        <v>1</v>
      </c>
      <c r="Y912">
        <v>2</v>
      </c>
      <c r="Z912">
        <v>33.299999999999997</v>
      </c>
      <c r="AA912">
        <v>0</v>
      </c>
      <c r="AB912">
        <v>4</v>
      </c>
      <c r="AC912">
        <v>0</v>
      </c>
      <c r="AD912">
        <v>1</v>
      </c>
      <c r="AE912" t="s">
        <v>60</v>
      </c>
    </row>
    <row r="913" spans="1:31" x14ac:dyDescent="0.2">
      <c r="A913">
        <v>870</v>
      </c>
      <c r="B913" t="s">
        <v>1431</v>
      </c>
      <c r="C913">
        <v>25</v>
      </c>
      <c r="D913" t="s">
        <v>400</v>
      </c>
      <c r="E913" t="s">
        <v>335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t="s">
        <v>1034</v>
      </c>
      <c r="W913" t="s">
        <v>1034</v>
      </c>
      <c r="X913">
        <v>0</v>
      </c>
      <c r="Y913">
        <v>1</v>
      </c>
      <c r="Z913">
        <v>0</v>
      </c>
      <c r="AA913">
        <v>1</v>
      </c>
      <c r="AB913">
        <v>2</v>
      </c>
      <c r="AC913">
        <v>0</v>
      </c>
      <c r="AD913">
        <v>0</v>
      </c>
      <c r="AE913" t="s">
        <v>60</v>
      </c>
    </row>
    <row r="914" spans="1:31" x14ac:dyDescent="0.2">
      <c r="A914">
        <v>871</v>
      </c>
      <c r="B914" t="s">
        <v>1432</v>
      </c>
      <c r="C914">
        <v>22</v>
      </c>
      <c r="D914" t="s">
        <v>344</v>
      </c>
      <c r="E914" t="s">
        <v>3</v>
      </c>
      <c r="F914">
        <v>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t="s">
        <v>1985</v>
      </c>
      <c r="W914" t="s">
        <v>1931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t="s">
        <v>60</v>
      </c>
    </row>
    <row r="915" spans="1:31" x14ac:dyDescent="0.2">
      <c r="A915">
        <v>872</v>
      </c>
      <c r="B915" t="s">
        <v>1433</v>
      </c>
      <c r="C915">
        <v>19</v>
      </c>
      <c r="D915" t="s">
        <v>408</v>
      </c>
      <c r="E915" t="s">
        <v>325</v>
      </c>
      <c r="F915">
        <v>4</v>
      </c>
      <c r="G915">
        <v>0</v>
      </c>
      <c r="H915">
        <v>0</v>
      </c>
      <c r="I915">
        <v>0</v>
      </c>
      <c r="J915">
        <v>-3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2</v>
      </c>
      <c r="V915" t="s">
        <v>1434</v>
      </c>
      <c r="W915" t="s">
        <v>1435</v>
      </c>
      <c r="X915">
        <v>11</v>
      </c>
      <c r="Y915">
        <v>10</v>
      </c>
      <c r="Z915">
        <v>52.4</v>
      </c>
      <c r="AA915">
        <v>3</v>
      </c>
      <c r="AB915">
        <v>2</v>
      </c>
      <c r="AC915">
        <v>0</v>
      </c>
      <c r="AD915">
        <v>1</v>
      </c>
      <c r="AE915" t="s">
        <v>60</v>
      </c>
    </row>
    <row r="916" spans="1:31" x14ac:dyDescent="0.2">
      <c r="A916">
        <v>873</v>
      </c>
      <c r="B916" t="s">
        <v>1437</v>
      </c>
      <c r="C916">
        <v>26</v>
      </c>
      <c r="D916" t="s">
        <v>429</v>
      </c>
      <c r="E916" t="s">
        <v>3</v>
      </c>
      <c r="F916">
        <v>17</v>
      </c>
      <c r="G916">
        <v>0</v>
      </c>
      <c r="H916">
        <v>0</v>
      </c>
      <c r="I916">
        <v>0</v>
      </c>
      <c r="J916">
        <v>0</v>
      </c>
      <c r="K916">
        <v>4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t="s">
        <v>2881</v>
      </c>
      <c r="W916" t="s">
        <v>2882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8</v>
      </c>
      <c r="AE916" t="s">
        <v>60</v>
      </c>
    </row>
    <row r="917" spans="1:31" x14ac:dyDescent="0.2">
      <c r="A917">
        <v>874</v>
      </c>
      <c r="B917" t="s">
        <v>1440</v>
      </c>
      <c r="C917">
        <v>29</v>
      </c>
      <c r="D917" t="s">
        <v>400</v>
      </c>
      <c r="E917" t="s">
        <v>322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4</v>
      </c>
      <c r="T917">
        <v>0</v>
      </c>
      <c r="U917">
        <v>7</v>
      </c>
      <c r="V917" t="s">
        <v>1441</v>
      </c>
      <c r="W917" t="s">
        <v>1442</v>
      </c>
      <c r="X917">
        <v>0</v>
      </c>
      <c r="Y917">
        <v>2</v>
      </c>
      <c r="Z917">
        <v>0</v>
      </c>
      <c r="AA917">
        <v>1</v>
      </c>
      <c r="AB917">
        <v>6</v>
      </c>
      <c r="AC917">
        <v>1</v>
      </c>
      <c r="AD917">
        <v>2</v>
      </c>
      <c r="AE917" t="s">
        <v>60</v>
      </c>
    </row>
    <row r="918" spans="1:31" x14ac:dyDescent="0.2">
      <c r="A918">
        <v>875</v>
      </c>
      <c r="B918" t="s">
        <v>1443</v>
      </c>
      <c r="C918">
        <v>24</v>
      </c>
      <c r="D918" t="s">
        <v>321</v>
      </c>
      <c r="E918" t="s">
        <v>340</v>
      </c>
      <c r="F918">
        <v>5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4</v>
      </c>
      <c r="T918">
        <v>0</v>
      </c>
      <c r="U918">
        <v>8</v>
      </c>
      <c r="V918" t="s">
        <v>1571</v>
      </c>
      <c r="W918" t="s">
        <v>1918</v>
      </c>
      <c r="X918">
        <v>0</v>
      </c>
      <c r="Y918">
        <v>0</v>
      </c>
      <c r="AA918">
        <v>1</v>
      </c>
      <c r="AB918">
        <v>7</v>
      </c>
      <c r="AC918">
        <v>0</v>
      </c>
      <c r="AD918">
        <v>0</v>
      </c>
      <c r="AE918" t="s">
        <v>60</v>
      </c>
    </row>
    <row r="919" spans="1:31" x14ac:dyDescent="0.2">
      <c r="A919">
        <v>876</v>
      </c>
      <c r="B919" t="s">
        <v>1444</v>
      </c>
      <c r="C919">
        <v>23</v>
      </c>
      <c r="D919" t="s">
        <v>449</v>
      </c>
      <c r="E919" t="s">
        <v>349</v>
      </c>
      <c r="F919">
        <v>7</v>
      </c>
      <c r="G919">
        <v>0</v>
      </c>
      <c r="H919">
        <v>0</v>
      </c>
      <c r="I919">
        <v>0</v>
      </c>
      <c r="J919">
        <v>-3</v>
      </c>
      <c r="K919">
        <v>5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3</v>
      </c>
      <c r="T919">
        <v>0</v>
      </c>
      <c r="U919">
        <v>10</v>
      </c>
      <c r="V919" t="s">
        <v>2691</v>
      </c>
      <c r="W919" t="s">
        <v>1686</v>
      </c>
      <c r="X919">
        <v>0</v>
      </c>
      <c r="Y919">
        <v>0</v>
      </c>
      <c r="AA919">
        <v>7</v>
      </c>
      <c r="AB919">
        <v>7</v>
      </c>
      <c r="AC919">
        <v>0</v>
      </c>
      <c r="AD919">
        <v>3</v>
      </c>
      <c r="AE919" t="s">
        <v>60</v>
      </c>
    </row>
    <row r="920" spans="1:31" x14ac:dyDescent="0.2">
      <c r="A920">
        <v>877</v>
      </c>
      <c r="B920" t="s">
        <v>2066</v>
      </c>
      <c r="C920">
        <v>30</v>
      </c>
      <c r="D920" t="s">
        <v>362</v>
      </c>
      <c r="E920" t="s">
        <v>3</v>
      </c>
      <c r="F920">
        <v>2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t="s">
        <v>2883</v>
      </c>
      <c r="W920" t="s">
        <v>2884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0</v>
      </c>
      <c r="AE920" t="s">
        <v>60</v>
      </c>
    </row>
    <row r="921" spans="1:31" x14ac:dyDescent="0.2">
      <c r="A921">
        <v>878</v>
      </c>
      <c r="B921" t="s">
        <v>1448</v>
      </c>
      <c r="C921">
        <v>33</v>
      </c>
      <c r="D921" t="s">
        <v>367</v>
      </c>
      <c r="E921" t="s">
        <v>349</v>
      </c>
      <c r="F921">
        <v>8</v>
      </c>
      <c r="G921">
        <v>0</v>
      </c>
      <c r="H921">
        <v>0</v>
      </c>
      <c r="I921">
        <v>0</v>
      </c>
      <c r="J921">
        <v>0</v>
      </c>
      <c r="K921">
        <v>10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2</v>
      </c>
      <c r="T921">
        <v>0</v>
      </c>
      <c r="U921">
        <v>9</v>
      </c>
      <c r="V921" t="s">
        <v>2692</v>
      </c>
      <c r="W921" t="s">
        <v>2633</v>
      </c>
      <c r="X921">
        <v>0</v>
      </c>
      <c r="Y921">
        <v>0</v>
      </c>
      <c r="AA921">
        <v>5</v>
      </c>
      <c r="AB921">
        <v>15</v>
      </c>
      <c r="AC921">
        <v>0</v>
      </c>
      <c r="AD921">
        <v>6</v>
      </c>
      <c r="AE921" t="s">
        <v>60</v>
      </c>
    </row>
    <row r="922" spans="1:31" x14ac:dyDescent="0.2">
      <c r="A922">
        <v>879</v>
      </c>
      <c r="B922" t="s">
        <v>1919</v>
      </c>
      <c r="C922">
        <v>24</v>
      </c>
      <c r="D922" t="s">
        <v>385</v>
      </c>
      <c r="E922" t="s">
        <v>349</v>
      </c>
      <c r="F922">
        <v>3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t="s">
        <v>2010</v>
      </c>
      <c r="W922" t="s">
        <v>1606</v>
      </c>
      <c r="X922">
        <v>0</v>
      </c>
      <c r="Y922">
        <v>0</v>
      </c>
      <c r="AA922">
        <v>5</v>
      </c>
      <c r="AB922">
        <v>4</v>
      </c>
      <c r="AC922">
        <v>2</v>
      </c>
      <c r="AD922">
        <v>3</v>
      </c>
      <c r="AE922" t="s">
        <v>60</v>
      </c>
    </row>
    <row r="923" spans="1:31" x14ac:dyDescent="0.2">
      <c r="A923">
        <v>880</v>
      </c>
      <c r="B923" t="s">
        <v>1883</v>
      </c>
      <c r="C923">
        <v>33</v>
      </c>
      <c r="D923" t="s">
        <v>344</v>
      </c>
      <c r="E923" t="s">
        <v>349</v>
      </c>
      <c r="F923">
        <v>3</v>
      </c>
      <c r="G923">
        <v>0</v>
      </c>
      <c r="H923">
        <v>0</v>
      </c>
      <c r="I923">
        <v>0</v>
      </c>
      <c r="J923">
        <v>-5</v>
      </c>
      <c r="K923">
        <v>2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t="s">
        <v>1965</v>
      </c>
      <c r="W923" t="s">
        <v>1966</v>
      </c>
      <c r="X923">
        <v>0</v>
      </c>
      <c r="Y923">
        <v>0</v>
      </c>
      <c r="AA923">
        <v>1</v>
      </c>
      <c r="AB923">
        <v>5</v>
      </c>
      <c r="AC923">
        <v>0</v>
      </c>
      <c r="AD923">
        <v>2</v>
      </c>
      <c r="AE923" t="s">
        <v>60</v>
      </c>
    </row>
    <row r="924" spans="1:31" x14ac:dyDescent="0.2">
      <c r="A924">
        <v>881</v>
      </c>
      <c r="B924" t="s">
        <v>1449</v>
      </c>
      <c r="C924">
        <v>23</v>
      </c>
      <c r="D924" t="s">
        <v>418</v>
      </c>
      <c r="E924" t="s">
        <v>3</v>
      </c>
      <c r="F924">
        <v>19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t="s">
        <v>2885</v>
      </c>
      <c r="W924" t="s">
        <v>2886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5</v>
      </c>
      <c r="AE924" t="s">
        <v>60</v>
      </c>
    </row>
    <row r="925" spans="1:31" x14ac:dyDescent="0.2">
      <c r="A925">
        <v>882</v>
      </c>
      <c r="B925" t="s">
        <v>1450</v>
      </c>
      <c r="C925">
        <v>25</v>
      </c>
      <c r="D925" t="s">
        <v>356</v>
      </c>
      <c r="E925" t="s">
        <v>325</v>
      </c>
      <c r="F925">
        <v>1</v>
      </c>
      <c r="G925">
        <v>0</v>
      </c>
      <c r="H925">
        <v>0</v>
      </c>
      <c r="I925">
        <v>0</v>
      </c>
      <c r="J925">
        <v>-1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1</v>
      </c>
      <c r="V925" t="s">
        <v>1451</v>
      </c>
      <c r="W925" t="s">
        <v>1451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t="s">
        <v>60</v>
      </c>
    </row>
    <row r="926" spans="1:31" x14ac:dyDescent="0.2">
      <c r="A926">
        <v>883</v>
      </c>
      <c r="B926" t="s">
        <v>1453</v>
      </c>
      <c r="C926">
        <v>22</v>
      </c>
      <c r="D926" t="s">
        <v>346</v>
      </c>
      <c r="E926" t="s">
        <v>3</v>
      </c>
      <c r="F926">
        <v>3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t="s">
        <v>1454</v>
      </c>
      <c r="W926" t="s">
        <v>1455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0</v>
      </c>
      <c r="AE926" t="s">
        <v>60</v>
      </c>
    </row>
    <row r="927" spans="1:31" x14ac:dyDescent="0.2">
      <c r="A927">
        <v>884</v>
      </c>
      <c r="B927" t="s">
        <v>1457</v>
      </c>
      <c r="C927">
        <v>24</v>
      </c>
      <c r="D927" t="s">
        <v>321</v>
      </c>
      <c r="E927" t="s">
        <v>3</v>
      </c>
      <c r="F927">
        <v>4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t="s">
        <v>2213</v>
      </c>
      <c r="W927" t="s">
        <v>2057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</v>
      </c>
      <c r="AE927" t="s">
        <v>60</v>
      </c>
    </row>
    <row r="928" spans="1:31" x14ac:dyDescent="0.2">
      <c r="A928">
        <v>885</v>
      </c>
      <c r="B928" t="s">
        <v>1458</v>
      </c>
      <c r="C928">
        <v>28</v>
      </c>
      <c r="D928" t="s">
        <v>437</v>
      </c>
      <c r="E928" t="s">
        <v>349</v>
      </c>
      <c r="F928">
        <v>1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2</v>
      </c>
      <c r="V928" t="s">
        <v>435</v>
      </c>
      <c r="W928" t="s">
        <v>435</v>
      </c>
      <c r="X928">
        <v>0</v>
      </c>
      <c r="Y928">
        <v>0</v>
      </c>
      <c r="AA928">
        <v>2</v>
      </c>
      <c r="AB928">
        <v>0</v>
      </c>
      <c r="AC928">
        <v>0</v>
      </c>
      <c r="AD928">
        <v>1</v>
      </c>
      <c r="AE928" t="s">
        <v>60</v>
      </c>
    </row>
    <row r="929" spans="1:31" x14ac:dyDescent="0.2">
      <c r="A929">
        <v>886</v>
      </c>
      <c r="B929" t="s">
        <v>1698</v>
      </c>
      <c r="C929">
        <v>21</v>
      </c>
      <c r="D929" t="s">
        <v>367</v>
      </c>
      <c r="E929" t="s">
        <v>340</v>
      </c>
      <c r="F929">
        <v>2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8</v>
      </c>
      <c r="V929" t="s">
        <v>1599</v>
      </c>
      <c r="W929" t="s">
        <v>1723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t="s">
        <v>60</v>
      </c>
    </row>
    <row r="930" spans="1:31" x14ac:dyDescent="0.2">
      <c r="A930">
        <v>887</v>
      </c>
      <c r="B930" t="s">
        <v>1460</v>
      </c>
      <c r="C930">
        <v>29</v>
      </c>
      <c r="D930" t="s">
        <v>364</v>
      </c>
      <c r="E930" t="s">
        <v>3</v>
      </c>
      <c r="F930">
        <v>19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t="s">
        <v>2693</v>
      </c>
      <c r="W930" t="s">
        <v>2694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3</v>
      </c>
      <c r="AE930" t="s">
        <v>60</v>
      </c>
    </row>
    <row r="931" spans="1:31" x14ac:dyDescent="0.2">
      <c r="A931">
        <v>888</v>
      </c>
      <c r="B931" t="s">
        <v>1461</v>
      </c>
      <c r="C931">
        <v>26</v>
      </c>
      <c r="D931" t="s">
        <v>437</v>
      </c>
      <c r="E931" t="s">
        <v>325</v>
      </c>
      <c r="F931">
        <v>3</v>
      </c>
      <c r="G931">
        <v>0</v>
      </c>
      <c r="H931">
        <v>0</v>
      </c>
      <c r="I931">
        <v>0</v>
      </c>
      <c r="J931">
        <v>-1</v>
      </c>
      <c r="K931">
        <v>10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3</v>
      </c>
      <c r="T931">
        <v>0</v>
      </c>
      <c r="U931">
        <v>7</v>
      </c>
      <c r="V931" t="s">
        <v>1462</v>
      </c>
      <c r="W931" t="s">
        <v>1132</v>
      </c>
      <c r="X931">
        <v>16</v>
      </c>
      <c r="Y931">
        <v>8</v>
      </c>
      <c r="Z931">
        <v>66.7</v>
      </c>
      <c r="AA931">
        <v>1</v>
      </c>
      <c r="AB931">
        <v>9</v>
      </c>
      <c r="AC931">
        <v>1</v>
      </c>
      <c r="AD931">
        <v>2</v>
      </c>
      <c r="AE931" t="s">
        <v>60</v>
      </c>
    </row>
    <row r="932" spans="1:31" x14ac:dyDescent="0.2">
      <c r="A932">
        <v>889</v>
      </c>
      <c r="B932" t="s">
        <v>1463</v>
      </c>
      <c r="C932">
        <v>27</v>
      </c>
      <c r="D932" t="s">
        <v>421</v>
      </c>
      <c r="E932" t="s">
        <v>349</v>
      </c>
      <c r="F932">
        <v>11</v>
      </c>
      <c r="G932">
        <v>0</v>
      </c>
      <c r="H932">
        <v>0</v>
      </c>
      <c r="I932">
        <v>0</v>
      </c>
      <c r="J932">
        <v>-3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4</v>
      </c>
      <c r="T932">
        <v>0</v>
      </c>
      <c r="U932">
        <v>15</v>
      </c>
      <c r="V932" t="s">
        <v>2887</v>
      </c>
      <c r="W932" t="s">
        <v>2888</v>
      </c>
      <c r="X932">
        <v>0</v>
      </c>
      <c r="Y932">
        <v>0</v>
      </c>
      <c r="AA932">
        <v>6</v>
      </c>
      <c r="AB932">
        <v>3</v>
      </c>
      <c r="AC932">
        <v>1</v>
      </c>
      <c r="AD932">
        <v>1</v>
      </c>
      <c r="AE932" t="s">
        <v>60</v>
      </c>
    </row>
    <row r="933" spans="1:31" x14ac:dyDescent="0.2">
      <c r="A933">
        <v>890</v>
      </c>
      <c r="B933" t="s">
        <v>1464</v>
      </c>
      <c r="C933">
        <v>33</v>
      </c>
      <c r="D933" t="s">
        <v>337</v>
      </c>
      <c r="E933" t="s">
        <v>3</v>
      </c>
      <c r="F933">
        <v>10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t="s">
        <v>1967</v>
      </c>
      <c r="W933" t="s">
        <v>1968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5</v>
      </c>
      <c r="AE933" t="s">
        <v>60</v>
      </c>
    </row>
    <row r="934" spans="1:31" x14ac:dyDescent="0.2">
      <c r="A934">
        <v>891</v>
      </c>
      <c r="B934" t="s">
        <v>1465</v>
      </c>
      <c r="C934">
        <v>21</v>
      </c>
      <c r="D934" t="s">
        <v>377</v>
      </c>
      <c r="E934" t="s">
        <v>3</v>
      </c>
      <c r="F934">
        <v>5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t="s">
        <v>1624</v>
      </c>
      <c r="W934" t="s">
        <v>1625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3</v>
      </c>
      <c r="AE934" t="s">
        <v>60</v>
      </c>
    </row>
    <row r="935" spans="1:31" x14ac:dyDescent="0.2">
      <c r="A935">
        <v>892</v>
      </c>
      <c r="B935" t="s">
        <v>1556</v>
      </c>
      <c r="C935">
        <v>22</v>
      </c>
      <c r="D935" t="s">
        <v>408</v>
      </c>
      <c r="E935" t="s">
        <v>349</v>
      </c>
      <c r="F935">
        <v>3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2</v>
      </c>
      <c r="V935" t="s">
        <v>1615</v>
      </c>
      <c r="W935" t="s">
        <v>1616</v>
      </c>
      <c r="X935">
        <v>0</v>
      </c>
      <c r="Y935">
        <v>0</v>
      </c>
      <c r="AA935">
        <v>2</v>
      </c>
      <c r="AB935">
        <v>5</v>
      </c>
      <c r="AC935">
        <v>0</v>
      </c>
      <c r="AD935">
        <v>3</v>
      </c>
      <c r="AE935" t="s">
        <v>60</v>
      </c>
    </row>
    <row r="936" spans="1:31" x14ac:dyDescent="0.2">
      <c r="A936">
        <v>893</v>
      </c>
      <c r="B936" t="s">
        <v>1466</v>
      </c>
      <c r="C936">
        <v>31</v>
      </c>
      <c r="D936" t="s">
        <v>532</v>
      </c>
      <c r="E936" t="s">
        <v>3</v>
      </c>
      <c r="F936">
        <v>5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t="s">
        <v>1467</v>
      </c>
      <c r="W936" t="s">
        <v>1468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t="s">
        <v>60</v>
      </c>
    </row>
    <row r="937" spans="1:31" x14ac:dyDescent="0.2">
      <c r="A937">
        <v>894</v>
      </c>
      <c r="B937" t="s">
        <v>1472</v>
      </c>
      <c r="C937">
        <v>23</v>
      </c>
      <c r="D937" t="s">
        <v>362</v>
      </c>
      <c r="E937" t="s">
        <v>340</v>
      </c>
      <c r="F937">
        <v>8</v>
      </c>
      <c r="G937">
        <v>0</v>
      </c>
      <c r="H937">
        <v>0</v>
      </c>
      <c r="I937">
        <v>0</v>
      </c>
      <c r="J937">
        <v>-5</v>
      </c>
      <c r="K937">
        <v>7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7</v>
      </c>
      <c r="T937">
        <v>0</v>
      </c>
      <c r="U937">
        <v>15</v>
      </c>
      <c r="V937" t="s">
        <v>2889</v>
      </c>
      <c r="W937" t="s">
        <v>826</v>
      </c>
      <c r="X937">
        <v>0</v>
      </c>
      <c r="Y937">
        <v>0</v>
      </c>
      <c r="AA937">
        <v>4</v>
      </c>
      <c r="AB937">
        <v>15</v>
      </c>
      <c r="AC937">
        <v>0</v>
      </c>
      <c r="AD937">
        <v>2</v>
      </c>
      <c r="AE937" t="s">
        <v>60</v>
      </c>
    </row>
    <row r="938" spans="1:31" x14ac:dyDescent="0.2">
      <c r="A938">
        <v>895</v>
      </c>
      <c r="B938" t="s">
        <v>1595</v>
      </c>
      <c r="C938">
        <v>24</v>
      </c>
      <c r="D938" t="s">
        <v>400</v>
      </c>
      <c r="E938" t="s">
        <v>325</v>
      </c>
      <c r="F938">
        <v>5</v>
      </c>
      <c r="G938">
        <v>0</v>
      </c>
      <c r="H938">
        <v>0</v>
      </c>
      <c r="I938">
        <v>0</v>
      </c>
      <c r="J938">
        <v>-1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2</v>
      </c>
      <c r="T938">
        <v>0</v>
      </c>
      <c r="U938">
        <v>6</v>
      </c>
      <c r="V938" t="s">
        <v>1659</v>
      </c>
      <c r="W938" t="s">
        <v>1660</v>
      </c>
      <c r="X938">
        <v>0</v>
      </c>
      <c r="Y938">
        <v>0</v>
      </c>
      <c r="AA938">
        <v>1</v>
      </c>
      <c r="AB938">
        <v>7</v>
      </c>
      <c r="AC938">
        <v>1</v>
      </c>
      <c r="AD938">
        <v>1</v>
      </c>
      <c r="AE938" t="s">
        <v>60</v>
      </c>
    </row>
    <row r="939" spans="1:31" x14ac:dyDescent="0.2">
      <c r="A939">
        <v>896</v>
      </c>
      <c r="B939" t="s">
        <v>1473</v>
      </c>
      <c r="C939">
        <v>26</v>
      </c>
      <c r="D939" t="s">
        <v>449</v>
      </c>
      <c r="E939" t="s">
        <v>3</v>
      </c>
      <c r="F939">
        <v>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t="s">
        <v>1474</v>
      </c>
      <c r="W939" t="s">
        <v>1474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0</v>
      </c>
      <c r="AE939" t="s">
        <v>60</v>
      </c>
    </row>
    <row r="940" spans="1:31" x14ac:dyDescent="0.2">
      <c r="A940">
        <v>897</v>
      </c>
      <c r="B940" t="s">
        <v>1475</v>
      </c>
      <c r="C940">
        <v>24</v>
      </c>
      <c r="D940" t="s">
        <v>353</v>
      </c>
      <c r="E940" t="s">
        <v>340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3</v>
      </c>
      <c r="V940" t="s">
        <v>1476</v>
      </c>
      <c r="W940" t="s">
        <v>1476</v>
      </c>
      <c r="X940">
        <v>1</v>
      </c>
      <c r="Y940">
        <v>0</v>
      </c>
      <c r="Z940">
        <v>100</v>
      </c>
      <c r="AA940">
        <v>1</v>
      </c>
      <c r="AB940">
        <v>1</v>
      </c>
      <c r="AC940">
        <v>0</v>
      </c>
      <c r="AD940">
        <v>0</v>
      </c>
      <c r="AE940" t="s">
        <v>60</v>
      </c>
    </row>
    <row r="941" spans="1:31" x14ac:dyDescent="0.2">
      <c r="A941">
        <v>898</v>
      </c>
      <c r="B941" t="s">
        <v>1477</v>
      </c>
      <c r="C941">
        <v>33</v>
      </c>
      <c r="D941" t="s">
        <v>328</v>
      </c>
      <c r="E941" t="s">
        <v>3</v>
      </c>
      <c r="F941">
        <v>16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t="s">
        <v>2011</v>
      </c>
      <c r="W941" t="s">
        <v>2012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12</v>
      </c>
      <c r="AE941" t="s">
        <v>60</v>
      </c>
    </row>
    <row r="942" spans="1:31" x14ac:dyDescent="0.2">
      <c r="A942">
        <v>899</v>
      </c>
      <c r="B942" t="s">
        <v>1478</v>
      </c>
      <c r="C942">
        <v>22</v>
      </c>
      <c r="D942" t="s">
        <v>377</v>
      </c>
      <c r="E942" t="s">
        <v>349</v>
      </c>
      <c r="F942">
        <v>4</v>
      </c>
      <c r="G942">
        <v>0</v>
      </c>
      <c r="H942">
        <v>0</v>
      </c>
      <c r="I942">
        <v>0</v>
      </c>
      <c r="J942">
        <v>-3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6</v>
      </c>
      <c r="V942" t="s">
        <v>1479</v>
      </c>
      <c r="W942" t="s">
        <v>1349</v>
      </c>
      <c r="X942">
        <v>0</v>
      </c>
      <c r="Y942">
        <v>0</v>
      </c>
      <c r="AA942">
        <v>2</v>
      </c>
      <c r="AB942">
        <v>1</v>
      </c>
      <c r="AC942">
        <v>1</v>
      </c>
      <c r="AD942">
        <v>4</v>
      </c>
      <c r="AE942" t="s">
        <v>60</v>
      </c>
    </row>
    <row r="943" spans="1:31" x14ac:dyDescent="0.2">
      <c r="A943">
        <v>900</v>
      </c>
      <c r="B943" t="s">
        <v>1480</v>
      </c>
      <c r="C943">
        <v>20</v>
      </c>
      <c r="D943" t="s">
        <v>382</v>
      </c>
      <c r="E943" t="s">
        <v>322</v>
      </c>
      <c r="F943">
        <v>3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6</v>
      </c>
      <c r="T943">
        <v>0</v>
      </c>
      <c r="U943">
        <v>10</v>
      </c>
      <c r="V943" t="s">
        <v>1481</v>
      </c>
      <c r="W943" t="s">
        <v>645</v>
      </c>
      <c r="X943">
        <v>0</v>
      </c>
      <c r="Y943">
        <v>0</v>
      </c>
      <c r="AA943">
        <v>1</v>
      </c>
      <c r="AB943">
        <v>2</v>
      </c>
      <c r="AC943">
        <v>0</v>
      </c>
      <c r="AD943">
        <v>3</v>
      </c>
      <c r="AE943" t="s">
        <v>60</v>
      </c>
    </row>
    <row r="944" spans="1:31" x14ac:dyDescent="0.2">
      <c r="A944">
        <v>901</v>
      </c>
      <c r="B944" t="s">
        <v>1483</v>
      </c>
      <c r="C944">
        <v>26</v>
      </c>
      <c r="D944" t="s">
        <v>321</v>
      </c>
      <c r="E944" t="s">
        <v>325</v>
      </c>
      <c r="F944">
        <v>2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t="s">
        <v>1484</v>
      </c>
      <c r="W944" t="s">
        <v>1485</v>
      </c>
      <c r="X944">
        <v>0</v>
      </c>
      <c r="Y944">
        <v>0</v>
      </c>
      <c r="AA944">
        <v>2</v>
      </c>
      <c r="AB944">
        <v>7</v>
      </c>
      <c r="AC944">
        <v>0</v>
      </c>
      <c r="AD944">
        <v>0</v>
      </c>
      <c r="AE944" t="s">
        <v>60</v>
      </c>
    </row>
    <row r="945" spans="1:31" x14ac:dyDescent="0.2">
      <c r="A945">
        <v>902</v>
      </c>
      <c r="B945" t="s">
        <v>1486</v>
      </c>
      <c r="C945">
        <v>24</v>
      </c>
      <c r="D945" t="s">
        <v>377</v>
      </c>
      <c r="E945" t="s">
        <v>335</v>
      </c>
      <c r="F945">
        <v>2</v>
      </c>
      <c r="G945">
        <v>0</v>
      </c>
      <c r="H945">
        <v>0</v>
      </c>
      <c r="I945">
        <v>0</v>
      </c>
      <c r="J945">
        <v>-2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6</v>
      </c>
      <c r="V945" t="s">
        <v>1487</v>
      </c>
      <c r="W945" t="s">
        <v>1488</v>
      </c>
      <c r="X945">
        <v>0</v>
      </c>
      <c r="Y945">
        <v>0</v>
      </c>
      <c r="AA945">
        <v>2</v>
      </c>
      <c r="AB945">
        <v>2</v>
      </c>
      <c r="AC945">
        <v>1</v>
      </c>
      <c r="AD945">
        <v>1</v>
      </c>
      <c r="AE945" t="s">
        <v>60</v>
      </c>
    </row>
    <row r="946" spans="1:31" x14ac:dyDescent="0.2">
      <c r="A946">
        <v>903</v>
      </c>
      <c r="B946" t="s">
        <v>1489</v>
      </c>
      <c r="C946">
        <v>26</v>
      </c>
      <c r="D946" t="s">
        <v>360</v>
      </c>
      <c r="E946" t="s">
        <v>3</v>
      </c>
      <c r="F946">
        <v>3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t="s">
        <v>1490</v>
      </c>
      <c r="W946" t="s">
        <v>1491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</v>
      </c>
      <c r="AE946" t="s">
        <v>60</v>
      </c>
    </row>
    <row r="947" spans="1:31" x14ac:dyDescent="0.2">
      <c r="A947">
        <v>904</v>
      </c>
      <c r="B947" t="s">
        <v>1492</v>
      </c>
      <c r="C947">
        <v>40</v>
      </c>
      <c r="D947" t="s">
        <v>362</v>
      </c>
      <c r="E947" t="s">
        <v>3</v>
      </c>
      <c r="F947">
        <v>15</v>
      </c>
      <c r="G947">
        <v>0</v>
      </c>
      <c r="H947">
        <v>0</v>
      </c>
      <c r="I947">
        <v>0</v>
      </c>
      <c r="J947">
        <v>0</v>
      </c>
      <c r="K947">
        <v>14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t="s">
        <v>2890</v>
      </c>
      <c r="W947" t="s">
        <v>2891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6</v>
      </c>
      <c r="AE947" t="s">
        <v>60</v>
      </c>
    </row>
    <row r="948" spans="1:31" x14ac:dyDescent="0.2">
      <c r="A948">
        <v>905</v>
      </c>
      <c r="B948" t="s">
        <v>1493</v>
      </c>
      <c r="C948">
        <v>23</v>
      </c>
      <c r="D948" t="s">
        <v>360</v>
      </c>
      <c r="E948" t="s">
        <v>325</v>
      </c>
      <c r="F948">
        <v>3</v>
      </c>
      <c r="G948">
        <v>0</v>
      </c>
      <c r="H948">
        <v>0</v>
      </c>
      <c r="I948">
        <v>0</v>
      </c>
      <c r="J948">
        <v>2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2</v>
      </c>
      <c r="V948" t="s">
        <v>1867</v>
      </c>
      <c r="W948" t="s">
        <v>1837</v>
      </c>
      <c r="X948">
        <v>5</v>
      </c>
      <c r="Y948">
        <v>8</v>
      </c>
      <c r="Z948">
        <v>38.5</v>
      </c>
      <c r="AA948">
        <v>0</v>
      </c>
      <c r="AB948">
        <v>7</v>
      </c>
      <c r="AC948">
        <v>0</v>
      </c>
      <c r="AD948">
        <v>2</v>
      </c>
      <c r="AE948" t="s">
        <v>60</v>
      </c>
    </row>
    <row r="949" spans="1:31" x14ac:dyDescent="0.2">
      <c r="A949">
        <v>906</v>
      </c>
      <c r="B949" t="s">
        <v>1496</v>
      </c>
      <c r="C949">
        <v>33</v>
      </c>
      <c r="D949" t="s">
        <v>385</v>
      </c>
      <c r="E949" t="s">
        <v>3</v>
      </c>
      <c r="F949">
        <v>19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1</v>
      </c>
      <c r="V949" t="s">
        <v>2014</v>
      </c>
      <c r="W949" t="s">
        <v>2015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16</v>
      </c>
      <c r="AE949" t="s">
        <v>60</v>
      </c>
    </row>
    <row r="950" spans="1:31" x14ac:dyDescent="0.2">
      <c r="A950">
        <v>907</v>
      </c>
      <c r="B950" t="s">
        <v>1497</v>
      </c>
      <c r="C950">
        <v>22</v>
      </c>
      <c r="D950" t="s">
        <v>364</v>
      </c>
      <c r="E950" t="s">
        <v>335</v>
      </c>
      <c r="F950">
        <v>3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2</v>
      </c>
      <c r="T950">
        <v>0</v>
      </c>
      <c r="U950">
        <v>6</v>
      </c>
      <c r="V950" t="s">
        <v>1498</v>
      </c>
      <c r="W950" t="s">
        <v>1134</v>
      </c>
      <c r="X950">
        <v>0</v>
      </c>
      <c r="Y950">
        <v>0</v>
      </c>
      <c r="AA950">
        <v>0</v>
      </c>
      <c r="AB950">
        <v>6</v>
      </c>
      <c r="AC950">
        <v>0</v>
      </c>
      <c r="AD950">
        <v>3</v>
      </c>
      <c r="AE950" t="s">
        <v>60</v>
      </c>
    </row>
    <row r="951" spans="1:31" x14ac:dyDescent="0.2">
      <c r="A951">
        <v>908</v>
      </c>
      <c r="B951" t="s">
        <v>1499</v>
      </c>
      <c r="C951">
        <v>21</v>
      </c>
      <c r="D951" t="s">
        <v>346</v>
      </c>
      <c r="E951" t="s">
        <v>349</v>
      </c>
      <c r="F951">
        <v>4</v>
      </c>
      <c r="G951">
        <v>0</v>
      </c>
      <c r="H951">
        <v>0</v>
      </c>
      <c r="I951">
        <v>0</v>
      </c>
      <c r="J951">
        <v>-4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7</v>
      </c>
      <c r="V951" t="s">
        <v>1500</v>
      </c>
      <c r="W951" t="s">
        <v>1115</v>
      </c>
      <c r="X951">
        <v>0</v>
      </c>
      <c r="Y951">
        <v>0</v>
      </c>
      <c r="AA951">
        <v>5</v>
      </c>
      <c r="AB951">
        <v>5</v>
      </c>
      <c r="AC951">
        <v>0</v>
      </c>
      <c r="AD951">
        <v>3</v>
      </c>
      <c r="AE951" t="s">
        <v>60</v>
      </c>
    </row>
    <row r="952" spans="1:31" x14ac:dyDescent="0.2">
      <c r="A952">
        <v>909</v>
      </c>
      <c r="B952" t="s">
        <v>1501</v>
      </c>
      <c r="C952">
        <v>30</v>
      </c>
      <c r="D952" t="s">
        <v>461</v>
      </c>
      <c r="E952" t="s">
        <v>3</v>
      </c>
      <c r="F952">
        <v>36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t="s">
        <v>2695</v>
      </c>
      <c r="W952" t="s">
        <v>2696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17</v>
      </c>
      <c r="AE952" t="s">
        <v>60</v>
      </c>
    </row>
    <row r="953" spans="1:31" x14ac:dyDescent="0.2">
      <c r="A953">
        <v>910</v>
      </c>
      <c r="B953" t="s">
        <v>1502</v>
      </c>
      <c r="C953">
        <v>25</v>
      </c>
      <c r="D953" t="s">
        <v>344</v>
      </c>
      <c r="E953" t="s">
        <v>3</v>
      </c>
      <c r="F953">
        <v>24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t="s">
        <v>2892</v>
      </c>
      <c r="W953" t="s">
        <v>2893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8</v>
      </c>
      <c r="AE953" t="s">
        <v>60</v>
      </c>
    </row>
    <row r="954" spans="1:31" x14ac:dyDescent="0.2">
      <c r="A954">
        <v>911</v>
      </c>
      <c r="B954" t="s">
        <v>1969</v>
      </c>
      <c r="C954">
        <v>30</v>
      </c>
      <c r="D954" t="s">
        <v>418</v>
      </c>
      <c r="E954" t="s">
        <v>3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t="s">
        <v>1970</v>
      </c>
      <c r="W954" t="s">
        <v>1970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0</v>
      </c>
      <c r="AE954" t="s">
        <v>60</v>
      </c>
    </row>
    <row r="955" spans="1:31" x14ac:dyDescent="0.2">
      <c r="A955">
        <v>912</v>
      </c>
      <c r="B955" t="s">
        <v>1503</v>
      </c>
      <c r="C955">
        <v>30</v>
      </c>
      <c r="D955" t="s">
        <v>362</v>
      </c>
      <c r="E955" t="s">
        <v>3</v>
      </c>
      <c r="F955">
        <v>34</v>
      </c>
      <c r="G955">
        <v>0</v>
      </c>
      <c r="H955">
        <v>0</v>
      </c>
      <c r="I955">
        <v>0</v>
      </c>
      <c r="J955">
        <v>0</v>
      </c>
      <c r="K955">
        <v>4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2</v>
      </c>
      <c r="V955" t="s">
        <v>1971</v>
      </c>
      <c r="W955" t="s">
        <v>1767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17</v>
      </c>
      <c r="AE955" t="s">
        <v>60</v>
      </c>
    </row>
    <row r="956" spans="1:31" x14ac:dyDescent="0.2">
      <c r="A956">
        <v>913</v>
      </c>
      <c r="B956" t="s">
        <v>1504</v>
      </c>
      <c r="C956">
        <v>24</v>
      </c>
      <c r="D956" t="s">
        <v>514</v>
      </c>
      <c r="E956" t="s">
        <v>349</v>
      </c>
      <c r="F956">
        <v>1</v>
      </c>
      <c r="G956">
        <v>0</v>
      </c>
      <c r="H956">
        <v>0</v>
      </c>
      <c r="I956">
        <v>0</v>
      </c>
      <c r="J956">
        <v>1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1</v>
      </c>
      <c r="V956" t="s">
        <v>999</v>
      </c>
      <c r="W956" t="s">
        <v>999</v>
      </c>
      <c r="X956">
        <v>0</v>
      </c>
      <c r="Y956">
        <v>0</v>
      </c>
      <c r="AA956">
        <v>1</v>
      </c>
      <c r="AB956">
        <v>4</v>
      </c>
      <c r="AC956">
        <v>0</v>
      </c>
      <c r="AD956">
        <v>0</v>
      </c>
      <c r="AE956" t="s">
        <v>60</v>
      </c>
    </row>
    <row r="957" spans="1:31" x14ac:dyDescent="0.2">
      <c r="A957">
        <v>914</v>
      </c>
      <c r="B957" t="s">
        <v>1505</v>
      </c>
      <c r="C957">
        <v>27</v>
      </c>
      <c r="D957" t="s">
        <v>957</v>
      </c>
      <c r="E957" t="s">
        <v>3</v>
      </c>
      <c r="F957">
        <v>30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t="s">
        <v>2110</v>
      </c>
      <c r="W957" t="s">
        <v>2111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16</v>
      </c>
      <c r="AE957" t="s">
        <v>60</v>
      </c>
    </row>
    <row r="958" spans="1:31" x14ac:dyDescent="0.2">
      <c r="A958">
        <v>914</v>
      </c>
      <c r="B958" t="s">
        <v>1505</v>
      </c>
      <c r="C958">
        <v>27</v>
      </c>
      <c r="D958" t="s">
        <v>328</v>
      </c>
      <c r="E958" t="s">
        <v>3</v>
      </c>
      <c r="F958">
        <v>23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t="s">
        <v>1596</v>
      </c>
      <c r="W958" t="s">
        <v>1390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10</v>
      </c>
      <c r="AE958" t="s">
        <v>60</v>
      </c>
    </row>
    <row r="959" spans="1:31" x14ac:dyDescent="0.2">
      <c r="A959">
        <v>914</v>
      </c>
      <c r="B959" t="s">
        <v>1505</v>
      </c>
      <c r="C959">
        <v>27</v>
      </c>
      <c r="D959" t="s">
        <v>377</v>
      </c>
      <c r="E959" t="s">
        <v>3</v>
      </c>
      <c r="F959">
        <v>7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t="s">
        <v>2112</v>
      </c>
      <c r="W959" t="s">
        <v>2113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6</v>
      </c>
      <c r="AE959" t="s">
        <v>60</v>
      </c>
    </row>
    <row r="960" spans="1:31" x14ac:dyDescent="0.2">
      <c r="A960">
        <v>915</v>
      </c>
      <c r="B960" t="s">
        <v>1508</v>
      </c>
      <c r="C960">
        <v>26</v>
      </c>
      <c r="D960" t="s">
        <v>330</v>
      </c>
      <c r="E960" t="s">
        <v>3</v>
      </c>
      <c r="F960">
        <v>14</v>
      </c>
      <c r="G960">
        <v>0</v>
      </c>
      <c r="H960">
        <v>0</v>
      </c>
      <c r="I960">
        <v>0</v>
      </c>
      <c r="J960">
        <v>0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t="s">
        <v>1932</v>
      </c>
      <c r="W960" t="s">
        <v>1933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4</v>
      </c>
      <c r="AE960" t="s">
        <v>60</v>
      </c>
    </row>
    <row r="961" spans="1:31" x14ac:dyDescent="0.2">
      <c r="A961">
        <v>916</v>
      </c>
      <c r="B961" t="s">
        <v>1511</v>
      </c>
      <c r="C961">
        <v>30</v>
      </c>
      <c r="D961" t="s">
        <v>385</v>
      </c>
      <c r="E961" t="s">
        <v>3</v>
      </c>
      <c r="F961">
        <v>27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t="s">
        <v>2697</v>
      </c>
      <c r="W961" t="s">
        <v>2698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5</v>
      </c>
      <c r="AE961" t="s">
        <v>60</v>
      </c>
    </row>
    <row r="962" spans="1:31" x14ac:dyDescent="0.2">
      <c r="A962">
        <v>917</v>
      </c>
      <c r="B962" t="s">
        <v>1653</v>
      </c>
      <c r="C962">
        <v>27</v>
      </c>
      <c r="D962" t="s">
        <v>328</v>
      </c>
      <c r="E962" t="s">
        <v>349</v>
      </c>
      <c r="F962">
        <v>4</v>
      </c>
      <c r="G962">
        <v>0</v>
      </c>
      <c r="H962">
        <v>0</v>
      </c>
      <c r="I962">
        <v>0</v>
      </c>
      <c r="J962">
        <v>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1</v>
      </c>
      <c r="T962">
        <v>0</v>
      </c>
      <c r="U962">
        <v>4</v>
      </c>
      <c r="V962" t="s">
        <v>2016</v>
      </c>
      <c r="W962" t="s">
        <v>1820</v>
      </c>
      <c r="X962">
        <v>0</v>
      </c>
      <c r="Y962">
        <v>0</v>
      </c>
      <c r="AA962">
        <v>4</v>
      </c>
      <c r="AB962">
        <v>7</v>
      </c>
      <c r="AC962">
        <v>0</v>
      </c>
      <c r="AD962">
        <v>2</v>
      </c>
      <c r="AE962" t="s">
        <v>60</v>
      </c>
    </row>
    <row r="963" spans="1:31" x14ac:dyDescent="0.2">
      <c r="A963">
        <v>918</v>
      </c>
      <c r="B963" t="s">
        <v>1512</v>
      </c>
      <c r="C963">
        <v>32</v>
      </c>
      <c r="D963" t="s">
        <v>360</v>
      </c>
      <c r="E963" t="s">
        <v>3</v>
      </c>
      <c r="F963">
        <v>13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t="s">
        <v>1513</v>
      </c>
      <c r="W963" t="s">
        <v>1514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1</v>
      </c>
      <c r="AE963" t="s">
        <v>60</v>
      </c>
    </row>
    <row r="964" spans="1:31" x14ac:dyDescent="0.2">
      <c r="A964">
        <v>919</v>
      </c>
      <c r="B964" t="s">
        <v>1979</v>
      </c>
      <c r="C964">
        <v>22</v>
      </c>
      <c r="D964" t="s">
        <v>437</v>
      </c>
      <c r="E964" t="s">
        <v>340</v>
      </c>
      <c r="F964">
        <v>3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2</v>
      </c>
      <c r="T964">
        <v>0</v>
      </c>
      <c r="U964">
        <v>2</v>
      </c>
      <c r="V964" t="s">
        <v>2262</v>
      </c>
      <c r="W964" t="s">
        <v>1989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0</v>
      </c>
      <c r="AE964" t="s">
        <v>60</v>
      </c>
    </row>
    <row r="965" spans="1:31" x14ac:dyDescent="0.2">
      <c r="A965">
        <v>920</v>
      </c>
      <c r="B965" t="s">
        <v>1515</v>
      </c>
      <c r="C965">
        <v>26</v>
      </c>
      <c r="D965" t="s">
        <v>374</v>
      </c>
      <c r="E965" t="s">
        <v>322</v>
      </c>
      <c r="F965">
        <v>18</v>
      </c>
      <c r="G965">
        <v>0</v>
      </c>
      <c r="H965">
        <v>0</v>
      </c>
      <c r="I965">
        <v>0</v>
      </c>
      <c r="J965">
        <v>-6</v>
      </c>
      <c r="K965">
        <v>4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16</v>
      </c>
      <c r="T965">
        <v>0</v>
      </c>
      <c r="U965">
        <v>26</v>
      </c>
      <c r="V965" t="s">
        <v>2214</v>
      </c>
      <c r="W965" t="s">
        <v>2215</v>
      </c>
      <c r="X965">
        <v>22</v>
      </c>
      <c r="Y965">
        <v>36</v>
      </c>
      <c r="Z965">
        <v>37.9</v>
      </c>
      <c r="AA965">
        <v>6</v>
      </c>
      <c r="AB965">
        <v>19</v>
      </c>
      <c r="AC965">
        <v>2</v>
      </c>
      <c r="AD965">
        <v>3</v>
      </c>
      <c r="AE965" t="s">
        <v>60</v>
      </c>
    </row>
    <row r="966" spans="1:31" x14ac:dyDescent="0.2">
      <c r="A966">
        <v>921</v>
      </c>
      <c r="B966" t="s">
        <v>1516</v>
      </c>
      <c r="C966">
        <v>27</v>
      </c>
      <c r="D966" t="s">
        <v>356</v>
      </c>
      <c r="E966" t="s">
        <v>3</v>
      </c>
      <c r="F966">
        <v>32</v>
      </c>
      <c r="G966">
        <v>0</v>
      </c>
      <c r="H966">
        <v>0</v>
      </c>
      <c r="I966">
        <v>0</v>
      </c>
      <c r="J966">
        <v>0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1</v>
      </c>
      <c r="V966" t="s">
        <v>2699</v>
      </c>
      <c r="W966" t="s">
        <v>2679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12</v>
      </c>
      <c r="AE966" t="s">
        <v>60</v>
      </c>
    </row>
    <row r="967" spans="1:31" x14ac:dyDescent="0.2">
      <c r="A967">
        <v>922</v>
      </c>
      <c r="B967" t="s">
        <v>2017</v>
      </c>
      <c r="C967">
        <v>25</v>
      </c>
      <c r="D967" t="s">
        <v>418</v>
      </c>
      <c r="E967" t="s">
        <v>3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t="s">
        <v>481</v>
      </c>
      <c r="W967" t="s">
        <v>481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0</v>
      </c>
      <c r="AE967" t="s">
        <v>60</v>
      </c>
    </row>
    <row r="968" spans="1:31" x14ac:dyDescent="0.2">
      <c r="A968">
        <v>923</v>
      </c>
      <c r="B968" t="s">
        <v>1517</v>
      </c>
      <c r="C968">
        <v>26</v>
      </c>
      <c r="D968" t="s">
        <v>374</v>
      </c>
      <c r="E968" t="s">
        <v>3</v>
      </c>
      <c r="F968">
        <v>14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t="s">
        <v>1934</v>
      </c>
      <c r="W968" t="s">
        <v>1935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9</v>
      </c>
      <c r="AE968" t="s">
        <v>60</v>
      </c>
    </row>
    <row r="969" spans="1:31" x14ac:dyDescent="0.2">
      <c r="A969">
        <v>924</v>
      </c>
      <c r="B969" t="s">
        <v>1597</v>
      </c>
      <c r="C969">
        <v>24</v>
      </c>
      <c r="D969" t="s">
        <v>360</v>
      </c>
      <c r="E969" t="s">
        <v>349</v>
      </c>
      <c r="F969">
        <v>4</v>
      </c>
      <c r="G969">
        <v>0</v>
      </c>
      <c r="H969">
        <v>0</v>
      </c>
      <c r="I969">
        <v>0</v>
      </c>
      <c r="J969">
        <v>-1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4</v>
      </c>
      <c r="T969">
        <v>0</v>
      </c>
      <c r="U969">
        <v>5</v>
      </c>
      <c r="V969" t="s">
        <v>1654</v>
      </c>
      <c r="W969" t="s">
        <v>1353</v>
      </c>
      <c r="X969">
        <v>0</v>
      </c>
      <c r="Y969">
        <v>0</v>
      </c>
      <c r="AA969">
        <v>4</v>
      </c>
      <c r="AB969">
        <v>3</v>
      </c>
      <c r="AC969">
        <v>0</v>
      </c>
      <c r="AD969">
        <v>1</v>
      </c>
      <c r="AE969" t="s">
        <v>60</v>
      </c>
    </row>
    <row r="970" spans="1:31" x14ac:dyDescent="0.2">
      <c r="A970">
        <v>925</v>
      </c>
      <c r="B970" t="s">
        <v>1518</v>
      </c>
      <c r="C970">
        <v>25</v>
      </c>
      <c r="D970" t="s">
        <v>449</v>
      </c>
      <c r="E970" t="s">
        <v>3</v>
      </c>
      <c r="F970">
        <v>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t="s">
        <v>2216</v>
      </c>
      <c r="W970" t="s">
        <v>2217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2</v>
      </c>
      <c r="AE970" t="s">
        <v>60</v>
      </c>
    </row>
    <row r="971" spans="1:31" x14ac:dyDescent="0.2">
      <c r="A971">
        <v>926</v>
      </c>
      <c r="B971" t="s">
        <v>1618</v>
      </c>
      <c r="C971">
        <v>23</v>
      </c>
      <c r="D971" t="s">
        <v>367</v>
      </c>
      <c r="E971" t="s">
        <v>335</v>
      </c>
      <c r="F971">
        <v>2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1</v>
      </c>
      <c r="T971">
        <v>0</v>
      </c>
      <c r="U971">
        <v>3</v>
      </c>
      <c r="V971" t="s">
        <v>1550</v>
      </c>
      <c r="W971" t="s">
        <v>1445</v>
      </c>
      <c r="X971">
        <v>0</v>
      </c>
      <c r="Y971">
        <v>0</v>
      </c>
      <c r="AA971">
        <v>2</v>
      </c>
      <c r="AB971">
        <v>1</v>
      </c>
      <c r="AC971">
        <v>1</v>
      </c>
      <c r="AD971">
        <v>1</v>
      </c>
      <c r="AE971" t="s">
        <v>60</v>
      </c>
    </row>
    <row r="972" spans="1:31" x14ac:dyDescent="0.2">
      <c r="A972">
        <v>927</v>
      </c>
      <c r="B972" t="s">
        <v>2067</v>
      </c>
      <c r="C972">
        <v>33</v>
      </c>
      <c r="D972" t="s">
        <v>321</v>
      </c>
      <c r="E972" t="s">
        <v>322</v>
      </c>
      <c r="F972">
        <v>1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1</v>
      </c>
      <c r="V972" t="s">
        <v>2068</v>
      </c>
      <c r="W972" t="s">
        <v>2068</v>
      </c>
      <c r="X972">
        <v>4</v>
      </c>
      <c r="Y972">
        <v>6</v>
      </c>
      <c r="Z972">
        <v>40</v>
      </c>
      <c r="AA972">
        <v>0</v>
      </c>
      <c r="AB972">
        <v>0</v>
      </c>
      <c r="AC972">
        <v>0</v>
      </c>
      <c r="AD972">
        <v>0</v>
      </c>
      <c r="AE972" t="s">
        <v>60</v>
      </c>
    </row>
    <row r="973" spans="1:31" x14ac:dyDescent="0.2">
      <c r="A973">
        <v>928</v>
      </c>
      <c r="B973" t="s">
        <v>1519</v>
      </c>
      <c r="C973">
        <v>32</v>
      </c>
      <c r="D973" t="s">
        <v>418</v>
      </c>
      <c r="E973" t="s">
        <v>3</v>
      </c>
      <c r="F973">
        <v>28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1</v>
      </c>
      <c r="V973" t="s">
        <v>1768</v>
      </c>
      <c r="W973" t="s">
        <v>1769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6</v>
      </c>
      <c r="AE973" t="s">
        <v>60</v>
      </c>
    </row>
    <row r="974" spans="1:31" x14ac:dyDescent="0.2">
      <c r="A974">
        <v>929</v>
      </c>
      <c r="B974" t="s">
        <v>1521</v>
      </c>
      <c r="C974">
        <v>29</v>
      </c>
      <c r="D974" t="s">
        <v>356</v>
      </c>
      <c r="E974" t="s">
        <v>325</v>
      </c>
      <c r="F974">
        <v>10</v>
      </c>
      <c r="G974">
        <v>0</v>
      </c>
      <c r="H974">
        <v>0</v>
      </c>
      <c r="I974">
        <v>0</v>
      </c>
      <c r="J974">
        <v>-1</v>
      </c>
      <c r="K974">
        <v>30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11</v>
      </c>
      <c r="T974">
        <v>0</v>
      </c>
      <c r="U974">
        <v>21</v>
      </c>
      <c r="V974" t="s">
        <v>1701</v>
      </c>
      <c r="W974" t="s">
        <v>1064</v>
      </c>
      <c r="X974">
        <v>1</v>
      </c>
      <c r="Y974">
        <v>1</v>
      </c>
      <c r="Z974">
        <v>50</v>
      </c>
      <c r="AA974">
        <v>4</v>
      </c>
      <c r="AB974">
        <v>27</v>
      </c>
      <c r="AC974">
        <v>1</v>
      </c>
      <c r="AD974">
        <v>2</v>
      </c>
      <c r="AE974" t="s">
        <v>60</v>
      </c>
    </row>
    <row r="975" spans="1:31" x14ac:dyDescent="0.2">
      <c r="A975">
        <v>930</v>
      </c>
      <c r="B975" t="s">
        <v>2069</v>
      </c>
      <c r="C975">
        <v>22</v>
      </c>
      <c r="D975" t="s">
        <v>374</v>
      </c>
      <c r="E975" t="s">
        <v>340</v>
      </c>
      <c r="F975">
        <v>2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2</v>
      </c>
      <c r="T975">
        <v>0</v>
      </c>
      <c r="U975">
        <v>3</v>
      </c>
      <c r="V975" t="s">
        <v>2032</v>
      </c>
      <c r="W975" t="s">
        <v>1747</v>
      </c>
      <c r="X975">
        <v>0</v>
      </c>
      <c r="Y975">
        <v>0</v>
      </c>
      <c r="AA975">
        <v>0</v>
      </c>
      <c r="AB975">
        <v>3</v>
      </c>
      <c r="AC975">
        <v>1</v>
      </c>
      <c r="AD975">
        <v>1</v>
      </c>
      <c r="AE975" t="s">
        <v>60</v>
      </c>
    </row>
    <row r="976" spans="1:31" x14ac:dyDescent="0.2">
      <c r="A976">
        <v>931</v>
      </c>
      <c r="B976" t="s">
        <v>1522</v>
      </c>
      <c r="C976">
        <v>28</v>
      </c>
      <c r="D976" t="s">
        <v>408</v>
      </c>
      <c r="E976" t="s">
        <v>3</v>
      </c>
      <c r="F976">
        <v>28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t="s">
        <v>2894</v>
      </c>
      <c r="W976" t="s">
        <v>2895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7</v>
      </c>
      <c r="AE976" t="s">
        <v>60</v>
      </c>
    </row>
    <row r="977" spans="1:31" x14ac:dyDescent="0.2">
      <c r="A977">
        <v>932</v>
      </c>
      <c r="B977" t="s">
        <v>1523</v>
      </c>
      <c r="C977">
        <v>23</v>
      </c>
      <c r="D977" t="s">
        <v>358</v>
      </c>
      <c r="E977" t="s">
        <v>3</v>
      </c>
      <c r="F977">
        <v>19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t="s">
        <v>2218</v>
      </c>
      <c r="W977" t="s">
        <v>2219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11</v>
      </c>
      <c r="AE977" t="s">
        <v>60</v>
      </c>
    </row>
    <row r="978" spans="1:31" x14ac:dyDescent="0.2">
      <c r="A978">
        <v>933</v>
      </c>
      <c r="B978" t="s">
        <v>2018</v>
      </c>
      <c r="C978">
        <v>24</v>
      </c>
      <c r="D978" t="s">
        <v>337</v>
      </c>
      <c r="E978" t="s">
        <v>325</v>
      </c>
      <c r="F978">
        <v>3</v>
      </c>
      <c r="G978">
        <v>0</v>
      </c>
      <c r="H978">
        <v>0</v>
      </c>
      <c r="I978">
        <v>0</v>
      </c>
      <c r="J978">
        <v>-2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1</v>
      </c>
      <c r="V978" t="s">
        <v>2700</v>
      </c>
      <c r="W978" t="s">
        <v>1139</v>
      </c>
      <c r="X978">
        <v>11</v>
      </c>
      <c r="Y978">
        <v>9</v>
      </c>
      <c r="Z978">
        <v>55</v>
      </c>
      <c r="AA978">
        <v>1</v>
      </c>
      <c r="AB978">
        <v>4</v>
      </c>
      <c r="AC978">
        <v>1</v>
      </c>
      <c r="AD978">
        <v>2</v>
      </c>
      <c r="AE978" t="s">
        <v>60</v>
      </c>
    </row>
    <row r="979" spans="1:31" x14ac:dyDescent="0.2">
      <c r="A979">
        <v>934</v>
      </c>
      <c r="B979" t="s">
        <v>1525</v>
      </c>
      <c r="C979">
        <v>24</v>
      </c>
      <c r="D979" t="s">
        <v>437</v>
      </c>
      <c r="E979" t="s">
        <v>3</v>
      </c>
      <c r="F979">
        <v>36</v>
      </c>
      <c r="G979">
        <v>0</v>
      </c>
      <c r="H979">
        <v>0</v>
      </c>
      <c r="I979">
        <v>0</v>
      </c>
      <c r="J979">
        <v>0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t="s">
        <v>2701</v>
      </c>
      <c r="W979" t="s">
        <v>2702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19</v>
      </c>
      <c r="AE979" t="s">
        <v>60</v>
      </c>
    </row>
    <row r="980" spans="1:31" x14ac:dyDescent="0.2">
      <c r="A980">
        <v>935</v>
      </c>
      <c r="B980" t="s">
        <v>1526</v>
      </c>
      <c r="C980">
        <v>27</v>
      </c>
      <c r="D980" t="s">
        <v>360</v>
      </c>
      <c r="E980" t="s">
        <v>3</v>
      </c>
      <c r="F980">
        <v>18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t="s">
        <v>2220</v>
      </c>
      <c r="W980" t="s">
        <v>1913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8</v>
      </c>
      <c r="AE980" t="s">
        <v>60</v>
      </c>
    </row>
    <row r="981" spans="1:31" x14ac:dyDescent="0.2">
      <c r="A981">
        <v>936</v>
      </c>
      <c r="B981" t="s">
        <v>2019</v>
      </c>
      <c r="C981">
        <v>22</v>
      </c>
      <c r="D981" t="s">
        <v>346</v>
      </c>
      <c r="E981" t="s">
        <v>322</v>
      </c>
      <c r="F981">
        <v>4</v>
      </c>
      <c r="G981">
        <v>0</v>
      </c>
      <c r="H981">
        <v>0</v>
      </c>
      <c r="I981">
        <v>0</v>
      </c>
      <c r="J981">
        <v>2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2</v>
      </c>
      <c r="T981">
        <v>0</v>
      </c>
      <c r="U981">
        <v>5</v>
      </c>
      <c r="V981" t="s">
        <v>2703</v>
      </c>
      <c r="W981" t="s">
        <v>2704</v>
      </c>
      <c r="X981">
        <v>6</v>
      </c>
      <c r="Y981">
        <v>13</v>
      </c>
      <c r="Z981">
        <v>31.6</v>
      </c>
      <c r="AA981">
        <v>4</v>
      </c>
      <c r="AB981">
        <v>3</v>
      </c>
      <c r="AC981">
        <v>0</v>
      </c>
      <c r="AD981">
        <v>1</v>
      </c>
      <c r="AE981" t="s">
        <v>60</v>
      </c>
    </row>
    <row r="982" spans="1:31" x14ac:dyDescent="0.2">
      <c r="B982" t="s">
        <v>1527</v>
      </c>
      <c r="D982" t="s">
        <v>60</v>
      </c>
      <c r="E982" t="s">
        <v>60</v>
      </c>
      <c r="T982">
        <v>10.9</v>
      </c>
      <c r="V982" t="s">
        <v>60</v>
      </c>
      <c r="W982" t="s">
        <v>401</v>
      </c>
      <c r="Z982">
        <v>50</v>
      </c>
      <c r="AE982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2026-01-15T18:04:51Z</dcterms:modified>
</cp:coreProperties>
</file>