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umail-my.sharepoint.com/personal/aac01075_su_suffolk_edu/Documents/Prediction Models/NHL/"/>
    </mc:Choice>
  </mc:AlternateContent>
  <xr:revisionPtr revIDLastSave="2429" documentId="14_{BC0C37BD-5950-BD49-823D-87212FE79B51}" xr6:coauthVersionLast="47" xr6:coauthVersionMax="47" xr10:uidLastSave="{7E623CAF-CBD7-4A42-A301-1D8DD537E95B}"/>
  <bookViews>
    <workbookView xWindow="-20" yWindow="660" windowWidth="29400" windowHeight="17300" activeTab="4" xr2:uid="{7CE34565-0E34-CB48-A9A7-C6944B417D9B}"/>
  </bookViews>
  <sheets>
    <sheet name="NHL2025-26Results" sheetId="3" r:id="rId1"/>
    <sheet name="NHL Model" sheetId="1" r:id="rId2"/>
    <sheet name="NHL HomeIce Model" sheetId="4" r:id="rId3"/>
    <sheet name="Standings" sheetId="5" r:id="rId4"/>
    <sheet name="ML Prediction Model" sheetId="12" r:id="rId5"/>
    <sheet name="NHL2025-26PlayerStats" sheetId="13" r:id="rId6"/>
    <sheet name="Sheet2" sheetId="9" r:id="rId7"/>
  </sheets>
  <definedNames>
    <definedName name="ExternalData_1" localSheetId="5" hidden="1">'NHL2025-26PlayerStats'!$A$1:$AE$1030</definedName>
    <definedName name="ExternalData_1" localSheetId="0" hidden="1">'NHL2025-26Results'!$A$1:$J$1313</definedName>
    <definedName name="ExternalData_4" localSheetId="4" hidden="1">'ML Prediction Model'!$A$1:$T$505</definedName>
    <definedName name="HomeEdge">'NHL Model'!$B$1</definedName>
    <definedName name="solver_adj" localSheetId="2" hidden="1">'NHL HomeIce Model'!$T$10</definedName>
    <definedName name="solver_adj" localSheetId="1" hidden="1">'NHL Model'!$B$1,'NHL Model'!$B$7:$B$38</definedName>
    <definedName name="solver_cvg" localSheetId="2" hidden="1">0.0001</definedName>
    <definedName name="solver_cvg" localSheetId="1" hidden="1">0.0001</definedName>
    <definedName name="solver_cvg" localSheetId="3" hidden="1">0.0001</definedName>
    <definedName name="solver_drv" localSheetId="2" hidden="1">1</definedName>
    <definedName name="solver_drv" localSheetId="1" hidden="1">1</definedName>
    <definedName name="solver_drv" localSheetId="3" hidden="1">1</definedName>
    <definedName name="solver_eng" localSheetId="2" hidden="1">1</definedName>
    <definedName name="solver_eng" localSheetId="1" hidden="1">1</definedName>
    <definedName name="solver_itr" localSheetId="2" hidden="1">2147483647</definedName>
    <definedName name="solver_itr" localSheetId="1" hidden="1">2147483647</definedName>
    <definedName name="solver_itr" localSheetId="3" hidden="1">2147483647</definedName>
    <definedName name="solver_lhs1" localSheetId="2" hidden="1">'NHL HomeIce Model'!$T$10</definedName>
    <definedName name="solver_lhs1" localSheetId="1" hidden="1">'NHL Model'!$B$3</definedName>
    <definedName name="solver_lhs2" localSheetId="2" hidden="1">'NHL HomeIce Model'!$T$10</definedName>
    <definedName name="solver_lin" localSheetId="2" hidden="1">2</definedName>
    <definedName name="solver_lin" localSheetId="1" hidden="1">2</definedName>
    <definedName name="solver_mip" localSheetId="2" hidden="1">2147483647</definedName>
    <definedName name="solver_mip" localSheetId="1" hidden="1">2147483647</definedName>
    <definedName name="solver_mip" localSheetId="3" hidden="1">2147483647</definedName>
    <definedName name="solver_mni" localSheetId="2" hidden="1">30</definedName>
    <definedName name="solver_mni" localSheetId="1" hidden="1">30</definedName>
    <definedName name="solver_mni" localSheetId="3" hidden="1">30</definedName>
    <definedName name="solver_mrt" localSheetId="2" hidden="1">0.075</definedName>
    <definedName name="solver_mrt" localSheetId="1" hidden="1">0.075</definedName>
    <definedName name="solver_mrt" localSheetId="3" hidden="1">0.075</definedName>
    <definedName name="solver_msl" localSheetId="2" hidden="1">2</definedName>
    <definedName name="solver_msl" localSheetId="1" hidden="1">2</definedName>
    <definedName name="solver_msl" localSheetId="3" hidden="1">2</definedName>
    <definedName name="solver_neg" localSheetId="2" hidden="1">2</definedName>
    <definedName name="solver_neg" localSheetId="1" hidden="1">2</definedName>
    <definedName name="solver_neg" localSheetId="3" hidden="1">2</definedName>
    <definedName name="solver_nod" localSheetId="2" hidden="1">2147483647</definedName>
    <definedName name="solver_nod" localSheetId="1" hidden="1">2147483647</definedName>
    <definedName name="solver_nod" localSheetId="3" hidden="1">2147483647</definedName>
    <definedName name="solver_num" localSheetId="2" hidden="1">1</definedName>
    <definedName name="solver_num" localSheetId="1" hidden="1">1</definedName>
    <definedName name="solver_opt" localSheetId="2" hidden="1">'NHL HomeIce Model'!$T$8</definedName>
    <definedName name="solver_opt" localSheetId="1" hidden="1">'NHL Model'!$J$3</definedName>
    <definedName name="solver_opt" localSheetId="3" hidden="1">Standings!$J$3</definedName>
    <definedName name="solver_pre" localSheetId="2" hidden="1">0.000001</definedName>
    <definedName name="solver_pre" localSheetId="1" hidden="1">0.000001</definedName>
    <definedName name="solver_pre" localSheetId="3" hidden="1">0.000001</definedName>
    <definedName name="solver_rbv" localSheetId="2" hidden="1">1</definedName>
    <definedName name="solver_rbv" localSheetId="1" hidden="1">1</definedName>
    <definedName name="solver_rbv" localSheetId="3" hidden="1">1</definedName>
    <definedName name="solver_rel1" localSheetId="2" hidden="1">1</definedName>
    <definedName name="solver_rel1" localSheetId="1" hidden="1">2</definedName>
    <definedName name="solver_rel2" localSheetId="2" hidden="1">3</definedName>
    <definedName name="solver_rhs1" localSheetId="2" hidden="1">0.5</definedName>
    <definedName name="solver_rhs1" localSheetId="1" hidden="1">0</definedName>
    <definedName name="solver_rhs2" localSheetId="2" hidden="1">0.05</definedName>
    <definedName name="solver_rlx" localSheetId="2" hidden="1">2</definedName>
    <definedName name="solver_rlx" localSheetId="1" hidden="1">2</definedName>
    <definedName name="solver_rlx" localSheetId="3" hidden="1">2</definedName>
    <definedName name="solver_rsd" localSheetId="2" hidden="1">0</definedName>
    <definedName name="solver_rsd" localSheetId="1" hidden="1">0</definedName>
    <definedName name="solver_rsd" localSheetId="3" hidden="1">0</definedName>
    <definedName name="solver_scl" localSheetId="2" hidden="1">1</definedName>
    <definedName name="solver_scl" localSheetId="1" hidden="1">1</definedName>
    <definedName name="solver_scl" localSheetId="3" hidden="1">1</definedName>
    <definedName name="solver_sho" localSheetId="2" hidden="1">2</definedName>
    <definedName name="solver_sho" localSheetId="1" hidden="1">2</definedName>
    <definedName name="solver_sho" localSheetId="3" hidden="1">2</definedName>
    <definedName name="solver_ssz" localSheetId="2" hidden="1">100</definedName>
    <definedName name="solver_ssz" localSheetId="1" hidden="1">100</definedName>
    <definedName name="solver_ssz" localSheetId="3" hidden="1">100</definedName>
    <definedName name="solver_tim" localSheetId="2" hidden="1">2147483647</definedName>
    <definedName name="solver_tim" localSheetId="1" hidden="1">2147483647</definedName>
    <definedName name="solver_tim" localSheetId="3" hidden="1">2147483647</definedName>
    <definedName name="solver_tol" localSheetId="2" hidden="1">0.01</definedName>
    <definedName name="solver_tol" localSheetId="1" hidden="1">0.01</definedName>
    <definedName name="solver_tol" localSheetId="3" hidden="1">0.01</definedName>
    <definedName name="solver_typ" localSheetId="2" hidden="1">2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2</definedName>
    <definedName name="solver_ver" localSheetId="1" hidden="1">2</definedName>
  </definedNames>
  <calcPr calcId="191029"/>
  <pivotCaches>
    <pivotCache cacheId="0" r:id="rId8"/>
    <pivotCache cacheId="1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4" i="1" l="1"/>
  <c r="E915" i="1"/>
  <c r="E916" i="1"/>
  <c r="E917" i="1"/>
  <c r="E918" i="1"/>
  <c r="E919" i="1"/>
  <c r="E920" i="1"/>
  <c r="E921" i="1"/>
  <c r="G914" i="1"/>
  <c r="H914" i="1" s="1"/>
  <c r="I914" i="1"/>
  <c r="G915" i="1"/>
  <c r="I915" i="1"/>
  <c r="G916" i="1"/>
  <c r="H916" i="1" s="1"/>
  <c r="I916" i="1"/>
  <c r="G917" i="1"/>
  <c r="H917" i="1" s="1"/>
  <c r="I917" i="1"/>
  <c r="G918" i="1"/>
  <c r="H918" i="1" s="1"/>
  <c r="I918" i="1"/>
  <c r="G919" i="1"/>
  <c r="I919" i="1"/>
  <c r="G920" i="1"/>
  <c r="I920" i="1"/>
  <c r="G921" i="1"/>
  <c r="I921" i="1"/>
  <c r="E907" i="1"/>
  <c r="E908" i="1"/>
  <c r="E909" i="1"/>
  <c r="E910" i="1"/>
  <c r="E911" i="1"/>
  <c r="E912" i="1"/>
  <c r="E913" i="1"/>
  <c r="G907" i="1"/>
  <c r="I907" i="1"/>
  <c r="G908" i="1"/>
  <c r="I908" i="1"/>
  <c r="G909" i="1"/>
  <c r="I909" i="1"/>
  <c r="G910" i="1"/>
  <c r="I910" i="1"/>
  <c r="G911" i="1"/>
  <c r="I911" i="1"/>
  <c r="G912" i="1"/>
  <c r="I912" i="1"/>
  <c r="G913" i="1"/>
  <c r="I913" i="1"/>
  <c r="J917" i="1" l="1"/>
  <c r="J916" i="1"/>
  <c r="J918" i="1"/>
  <c r="J914" i="1"/>
  <c r="H920" i="1"/>
  <c r="J920" i="1" s="1"/>
  <c r="H915" i="1"/>
  <c r="J915" i="1" s="1"/>
  <c r="H919" i="1"/>
  <c r="J919" i="1" s="1"/>
  <c r="H921" i="1"/>
  <c r="J921" i="1" s="1"/>
  <c r="H911" i="1"/>
  <c r="H910" i="1"/>
  <c r="H909" i="1"/>
  <c r="H908" i="1"/>
  <c r="J909" i="1"/>
  <c r="J911" i="1"/>
  <c r="J910" i="1"/>
  <c r="J908" i="1"/>
  <c r="H913" i="1"/>
  <c r="J913" i="1" s="1"/>
  <c r="H907" i="1"/>
  <c r="J907" i="1" s="1"/>
  <c r="H912" i="1"/>
  <c r="J912" i="1" s="1"/>
  <c r="E897" i="1"/>
  <c r="E898" i="1"/>
  <c r="E899" i="1"/>
  <c r="E900" i="1"/>
  <c r="E901" i="1"/>
  <c r="E902" i="1"/>
  <c r="E903" i="1"/>
  <c r="E904" i="1"/>
  <c r="E905" i="1"/>
  <c r="E906" i="1"/>
  <c r="G906" i="1"/>
  <c r="I906" i="1"/>
  <c r="G904" i="1"/>
  <c r="I904" i="1"/>
  <c r="G905" i="1"/>
  <c r="I905" i="1"/>
  <c r="G897" i="1"/>
  <c r="H897" i="1" s="1"/>
  <c r="I897" i="1"/>
  <c r="G898" i="1"/>
  <c r="I898" i="1"/>
  <c r="G899" i="1"/>
  <c r="I899" i="1"/>
  <c r="G900" i="1"/>
  <c r="I900" i="1"/>
  <c r="G901" i="1"/>
  <c r="I901" i="1"/>
  <c r="G902" i="1"/>
  <c r="I902" i="1"/>
  <c r="G903" i="1"/>
  <c r="I903" i="1"/>
  <c r="E890" i="1"/>
  <c r="E891" i="1"/>
  <c r="E892" i="1"/>
  <c r="E893" i="1"/>
  <c r="E894" i="1"/>
  <c r="E895" i="1"/>
  <c r="E896" i="1"/>
  <c r="G890" i="1"/>
  <c r="I890" i="1"/>
  <c r="G891" i="1"/>
  <c r="H891" i="1"/>
  <c r="I891" i="1"/>
  <c r="G892" i="1"/>
  <c r="I892" i="1"/>
  <c r="G893" i="1"/>
  <c r="I893" i="1"/>
  <c r="G894" i="1"/>
  <c r="I894" i="1"/>
  <c r="G895" i="1"/>
  <c r="I895" i="1"/>
  <c r="G896" i="1"/>
  <c r="I896" i="1"/>
  <c r="E880" i="1"/>
  <c r="E881" i="1"/>
  <c r="E882" i="1"/>
  <c r="E883" i="1"/>
  <c r="E884" i="1"/>
  <c r="E885" i="1"/>
  <c r="E886" i="1"/>
  <c r="E887" i="1"/>
  <c r="E888" i="1"/>
  <c r="E889" i="1"/>
  <c r="G888" i="1"/>
  <c r="I888" i="1"/>
  <c r="G889" i="1"/>
  <c r="I889" i="1"/>
  <c r="G880" i="1"/>
  <c r="I880" i="1"/>
  <c r="G881" i="1"/>
  <c r="I881" i="1"/>
  <c r="G882" i="1"/>
  <c r="H882" i="1" s="1"/>
  <c r="I882" i="1"/>
  <c r="G883" i="1"/>
  <c r="H883" i="1" s="1"/>
  <c r="I883" i="1"/>
  <c r="G884" i="1"/>
  <c r="I884" i="1"/>
  <c r="G885" i="1"/>
  <c r="I885" i="1"/>
  <c r="G886" i="1"/>
  <c r="I886" i="1"/>
  <c r="G887" i="1"/>
  <c r="I887" i="1"/>
  <c r="E877" i="1"/>
  <c r="E878" i="1"/>
  <c r="E879" i="1"/>
  <c r="G877" i="1"/>
  <c r="I877" i="1"/>
  <c r="G878" i="1"/>
  <c r="I878" i="1"/>
  <c r="G879" i="1"/>
  <c r="I879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G863" i="1"/>
  <c r="I863" i="1"/>
  <c r="G864" i="1"/>
  <c r="I864" i="1"/>
  <c r="G865" i="1"/>
  <c r="I865" i="1"/>
  <c r="G866" i="1"/>
  <c r="I866" i="1"/>
  <c r="G867" i="1"/>
  <c r="I867" i="1"/>
  <c r="G868" i="1"/>
  <c r="I868" i="1"/>
  <c r="G869" i="1"/>
  <c r="I869" i="1"/>
  <c r="G870" i="1"/>
  <c r="I870" i="1"/>
  <c r="G871" i="1"/>
  <c r="I871" i="1"/>
  <c r="G872" i="1"/>
  <c r="I872" i="1"/>
  <c r="G873" i="1"/>
  <c r="I873" i="1"/>
  <c r="G874" i="1"/>
  <c r="I874" i="1"/>
  <c r="G875" i="1"/>
  <c r="I875" i="1"/>
  <c r="G876" i="1"/>
  <c r="I876" i="1"/>
  <c r="E862" i="1"/>
  <c r="G862" i="1"/>
  <c r="I862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G847" i="1"/>
  <c r="I847" i="1"/>
  <c r="G848" i="1"/>
  <c r="I848" i="1"/>
  <c r="G849" i="1"/>
  <c r="I849" i="1"/>
  <c r="G850" i="1"/>
  <c r="I850" i="1"/>
  <c r="G851" i="1"/>
  <c r="I851" i="1"/>
  <c r="G852" i="1"/>
  <c r="I852" i="1"/>
  <c r="G853" i="1"/>
  <c r="I853" i="1"/>
  <c r="G854" i="1"/>
  <c r="I854" i="1"/>
  <c r="G855" i="1"/>
  <c r="I855" i="1"/>
  <c r="G856" i="1"/>
  <c r="H856" i="1" s="1"/>
  <c r="I856" i="1"/>
  <c r="G857" i="1"/>
  <c r="I857" i="1"/>
  <c r="G858" i="1"/>
  <c r="I858" i="1"/>
  <c r="G859" i="1"/>
  <c r="I859" i="1"/>
  <c r="G860" i="1"/>
  <c r="I860" i="1"/>
  <c r="G861" i="1"/>
  <c r="I861" i="1"/>
  <c r="E844" i="1"/>
  <c r="E845" i="1"/>
  <c r="E846" i="1"/>
  <c r="G844" i="1"/>
  <c r="I844" i="1"/>
  <c r="G845" i="1"/>
  <c r="I845" i="1"/>
  <c r="G846" i="1"/>
  <c r="I846" i="1"/>
  <c r="E843" i="1"/>
  <c r="E834" i="1"/>
  <c r="E835" i="1"/>
  <c r="E836" i="1"/>
  <c r="E837" i="1"/>
  <c r="E838" i="1"/>
  <c r="E839" i="1"/>
  <c r="E840" i="1"/>
  <c r="E841" i="1"/>
  <c r="E842" i="1"/>
  <c r="G834" i="1"/>
  <c r="I834" i="1"/>
  <c r="G835" i="1"/>
  <c r="I835" i="1"/>
  <c r="G836" i="1"/>
  <c r="I836" i="1"/>
  <c r="G837" i="1"/>
  <c r="I837" i="1"/>
  <c r="G838" i="1"/>
  <c r="I838" i="1"/>
  <c r="G839" i="1"/>
  <c r="I839" i="1"/>
  <c r="G840" i="1"/>
  <c r="I840" i="1"/>
  <c r="G841" i="1"/>
  <c r="H841" i="1" s="1"/>
  <c r="I841" i="1"/>
  <c r="G842" i="1"/>
  <c r="I842" i="1"/>
  <c r="G843" i="1"/>
  <c r="I843" i="1"/>
  <c r="H905" i="1" l="1"/>
  <c r="H904" i="1"/>
  <c r="H881" i="1"/>
  <c r="J881" i="1" s="1"/>
  <c r="H884" i="1"/>
  <c r="H886" i="1"/>
  <c r="J886" i="1" s="1"/>
  <c r="H892" i="1"/>
  <c r="J892" i="1" s="1"/>
  <c r="H901" i="1"/>
  <c r="J901" i="1" s="1"/>
  <c r="H896" i="1"/>
  <c r="J896" i="1" s="1"/>
  <c r="H894" i="1"/>
  <c r="J894" i="1" s="1"/>
  <c r="H906" i="1"/>
  <c r="J897" i="1"/>
  <c r="J906" i="1"/>
  <c r="J905" i="1"/>
  <c r="H902" i="1"/>
  <c r="J902" i="1" s="1"/>
  <c r="H898" i="1"/>
  <c r="J898" i="1" s="1"/>
  <c r="H900" i="1"/>
  <c r="J900" i="1" s="1"/>
  <c r="H903" i="1"/>
  <c r="J903" i="1" s="1"/>
  <c r="H899" i="1"/>
  <c r="J899" i="1" s="1"/>
  <c r="J904" i="1"/>
  <c r="H880" i="1"/>
  <c r="J880" i="1" s="1"/>
  <c r="H895" i="1"/>
  <c r="J895" i="1" s="1"/>
  <c r="H893" i="1"/>
  <c r="J893" i="1" s="1"/>
  <c r="H888" i="1"/>
  <c r="J888" i="1" s="1"/>
  <c r="H890" i="1"/>
  <c r="J890" i="1" s="1"/>
  <c r="H872" i="1"/>
  <c r="J872" i="1" s="1"/>
  <c r="H864" i="1"/>
  <c r="J864" i="1" s="1"/>
  <c r="H871" i="1"/>
  <c r="J871" i="1" s="1"/>
  <c r="H863" i="1"/>
  <c r="J863" i="1" s="1"/>
  <c r="H868" i="1"/>
  <c r="J868" i="1" s="1"/>
  <c r="J891" i="1"/>
  <c r="H889" i="1"/>
  <c r="J889" i="1" s="1"/>
  <c r="H887" i="1"/>
  <c r="J887" i="1" s="1"/>
  <c r="H867" i="1"/>
  <c r="J867" i="1" s="1"/>
  <c r="H865" i="1"/>
  <c r="J865" i="1" s="1"/>
  <c r="H877" i="1"/>
  <c r="J877" i="1" s="1"/>
  <c r="J883" i="1"/>
  <c r="J884" i="1"/>
  <c r="J882" i="1"/>
  <c r="H885" i="1"/>
  <c r="J885" i="1" s="1"/>
  <c r="H874" i="1"/>
  <c r="J874" i="1" s="1"/>
  <c r="H873" i="1"/>
  <c r="J873" i="1" s="1"/>
  <c r="H875" i="1"/>
  <c r="J875" i="1" s="1"/>
  <c r="H870" i="1"/>
  <c r="J870" i="1" s="1"/>
  <c r="H879" i="1"/>
  <c r="J879" i="1" s="1"/>
  <c r="H878" i="1"/>
  <c r="J878" i="1" s="1"/>
  <c r="H876" i="1"/>
  <c r="J876" i="1" s="1"/>
  <c r="H869" i="1"/>
  <c r="J869" i="1" s="1"/>
  <c r="H866" i="1"/>
  <c r="J866" i="1" s="1"/>
  <c r="H860" i="1"/>
  <c r="J860" i="1" s="1"/>
  <c r="H848" i="1"/>
  <c r="J848" i="1" s="1"/>
  <c r="H862" i="1"/>
  <c r="J862" i="1" s="1"/>
  <c r="H857" i="1"/>
  <c r="J857" i="1" s="1"/>
  <c r="H846" i="1"/>
  <c r="J846" i="1" s="1"/>
  <c r="H859" i="1"/>
  <c r="J859" i="1" s="1"/>
  <c r="H847" i="1"/>
  <c r="J847" i="1" s="1"/>
  <c r="H855" i="1"/>
  <c r="J855" i="1" s="1"/>
  <c r="H858" i="1"/>
  <c r="J858" i="1" s="1"/>
  <c r="H850" i="1"/>
  <c r="J850" i="1" s="1"/>
  <c r="H852" i="1"/>
  <c r="J852" i="1" s="1"/>
  <c r="H851" i="1"/>
  <c r="J851" i="1" s="1"/>
  <c r="H854" i="1"/>
  <c r="J854" i="1" s="1"/>
  <c r="H849" i="1"/>
  <c r="J849" i="1" s="1"/>
  <c r="H842" i="1"/>
  <c r="J842" i="1" s="1"/>
  <c r="H861" i="1"/>
  <c r="J861" i="1" s="1"/>
  <c r="H853" i="1"/>
  <c r="J853" i="1" s="1"/>
  <c r="H844" i="1"/>
  <c r="J844" i="1" s="1"/>
  <c r="J856" i="1"/>
  <c r="H838" i="1"/>
  <c r="J838" i="1" s="1"/>
  <c r="H837" i="1"/>
  <c r="J837" i="1" s="1"/>
  <c r="H843" i="1"/>
  <c r="J843" i="1" s="1"/>
  <c r="H839" i="1"/>
  <c r="J839" i="1" s="1"/>
  <c r="H845" i="1"/>
  <c r="J845" i="1" s="1"/>
  <c r="H836" i="1"/>
  <c r="J836" i="1" s="1"/>
  <c r="H835" i="1"/>
  <c r="J835" i="1" s="1"/>
  <c r="H834" i="1"/>
  <c r="J834" i="1" s="1"/>
  <c r="J841" i="1"/>
  <c r="H840" i="1"/>
  <c r="J840" i="1" s="1"/>
  <c r="E830" i="1"/>
  <c r="E831" i="1"/>
  <c r="E832" i="1"/>
  <c r="E833" i="1"/>
  <c r="G830" i="1"/>
  <c r="I830" i="1"/>
  <c r="G831" i="1"/>
  <c r="I831" i="1"/>
  <c r="G832" i="1"/>
  <c r="I832" i="1"/>
  <c r="G833" i="1"/>
  <c r="I833" i="1"/>
  <c r="G1008" i="4"/>
  <c r="I1008" i="4"/>
  <c r="M1008" i="4"/>
  <c r="N1008" i="4" s="1"/>
  <c r="E824" i="1"/>
  <c r="E825" i="1"/>
  <c r="E826" i="1"/>
  <c r="E827" i="1"/>
  <c r="E828" i="1"/>
  <c r="E829" i="1"/>
  <c r="G824" i="1"/>
  <c r="I824" i="1"/>
  <c r="G825" i="1"/>
  <c r="I825" i="1"/>
  <c r="G826" i="1"/>
  <c r="I826" i="1"/>
  <c r="G827" i="1"/>
  <c r="I827" i="1"/>
  <c r="G828" i="1"/>
  <c r="I828" i="1"/>
  <c r="G829" i="1"/>
  <c r="I829" i="1"/>
  <c r="E815" i="1"/>
  <c r="E816" i="1"/>
  <c r="E817" i="1"/>
  <c r="E818" i="1"/>
  <c r="E819" i="1"/>
  <c r="E820" i="1"/>
  <c r="E821" i="1"/>
  <c r="E822" i="1"/>
  <c r="E823" i="1"/>
  <c r="G815" i="1"/>
  <c r="I815" i="1"/>
  <c r="G816" i="1"/>
  <c r="I816" i="1"/>
  <c r="G817" i="1"/>
  <c r="I817" i="1"/>
  <c r="G818" i="1"/>
  <c r="I818" i="1"/>
  <c r="G819" i="1"/>
  <c r="I819" i="1"/>
  <c r="G820" i="1"/>
  <c r="I820" i="1"/>
  <c r="G821" i="1"/>
  <c r="I821" i="1"/>
  <c r="G822" i="1"/>
  <c r="I822" i="1"/>
  <c r="G823" i="1"/>
  <c r="I823" i="1"/>
  <c r="E807" i="1"/>
  <c r="E808" i="1"/>
  <c r="E809" i="1"/>
  <c r="E810" i="1"/>
  <c r="E811" i="1"/>
  <c r="E812" i="1"/>
  <c r="E813" i="1"/>
  <c r="E814" i="1"/>
  <c r="G807" i="1"/>
  <c r="H807" i="1" s="1"/>
  <c r="I807" i="1"/>
  <c r="G808" i="1"/>
  <c r="I808" i="1"/>
  <c r="G809" i="1"/>
  <c r="I809" i="1"/>
  <c r="G810" i="1"/>
  <c r="I810" i="1"/>
  <c r="G811" i="1"/>
  <c r="I811" i="1"/>
  <c r="G812" i="1"/>
  <c r="I812" i="1"/>
  <c r="G813" i="1"/>
  <c r="I813" i="1"/>
  <c r="G814" i="1"/>
  <c r="I814" i="1"/>
  <c r="E799" i="1"/>
  <c r="E800" i="1"/>
  <c r="E801" i="1"/>
  <c r="E802" i="1"/>
  <c r="E803" i="1"/>
  <c r="E804" i="1"/>
  <c r="E805" i="1"/>
  <c r="E806" i="1"/>
  <c r="G799" i="1"/>
  <c r="I799" i="1"/>
  <c r="G800" i="1"/>
  <c r="I800" i="1"/>
  <c r="G801" i="1"/>
  <c r="I801" i="1"/>
  <c r="G802" i="1"/>
  <c r="I802" i="1"/>
  <c r="G803" i="1"/>
  <c r="I803" i="1"/>
  <c r="G804" i="1"/>
  <c r="I804" i="1"/>
  <c r="G805" i="1"/>
  <c r="I805" i="1"/>
  <c r="G806" i="1"/>
  <c r="I806" i="1"/>
  <c r="E793" i="1"/>
  <c r="E794" i="1"/>
  <c r="E795" i="1"/>
  <c r="E796" i="1"/>
  <c r="E797" i="1"/>
  <c r="E798" i="1"/>
  <c r="G793" i="1"/>
  <c r="I793" i="1"/>
  <c r="G794" i="1"/>
  <c r="I794" i="1"/>
  <c r="G795" i="1"/>
  <c r="I795" i="1"/>
  <c r="G796" i="1"/>
  <c r="I796" i="1"/>
  <c r="G797" i="1"/>
  <c r="I797" i="1"/>
  <c r="G798" i="1"/>
  <c r="I798" i="1"/>
  <c r="G792" i="1"/>
  <c r="I792" i="1"/>
  <c r="E785" i="1"/>
  <c r="E786" i="1"/>
  <c r="E787" i="1"/>
  <c r="E788" i="1"/>
  <c r="E789" i="1"/>
  <c r="E790" i="1"/>
  <c r="E791" i="1"/>
  <c r="E792" i="1"/>
  <c r="G785" i="1"/>
  <c r="H785" i="1" s="1"/>
  <c r="I785" i="1"/>
  <c r="G786" i="1"/>
  <c r="I786" i="1"/>
  <c r="G787" i="1"/>
  <c r="I787" i="1"/>
  <c r="G788" i="1"/>
  <c r="I788" i="1"/>
  <c r="G789" i="1"/>
  <c r="I789" i="1"/>
  <c r="G790" i="1"/>
  <c r="I790" i="1"/>
  <c r="G791" i="1"/>
  <c r="I791" i="1"/>
  <c r="E775" i="1"/>
  <c r="E776" i="1"/>
  <c r="E777" i="1"/>
  <c r="E778" i="1"/>
  <c r="E779" i="1"/>
  <c r="E780" i="1"/>
  <c r="E781" i="1"/>
  <c r="E782" i="1"/>
  <c r="E783" i="1"/>
  <c r="E784" i="1"/>
  <c r="G775" i="1"/>
  <c r="I775" i="1"/>
  <c r="G776" i="1"/>
  <c r="I776" i="1"/>
  <c r="G777" i="1"/>
  <c r="I777" i="1"/>
  <c r="G778" i="1"/>
  <c r="I778" i="1"/>
  <c r="G779" i="1"/>
  <c r="I779" i="1"/>
  <c r="G780" i="1"/>
  <c r="I780" i="1"/>
  <c r="G781" i="1"/>
  <c r="I781" i="1"/>
  <c r="G782" i="1"/>
  <c r="I782" i="1"/>
  <c r="G783" i="1"/>
  <c r="I783" i="1"/>
  <c r="G784" i="1"/>
  <c r="I784" i="1"/>
  <c r="E772" i="1"/>
  <c r="E773" i="1"/>
  <c r="E774" i="1"/>
  <c r="G772" i="1"/>
  <c r="I772" i="1"/>
  <c r="G773" i="1"/>
  <c r="I773" i="1"/>
  <c r="G774" i="1"/>
  <c r="I774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G770" i="1"/>
  <c r="I770" i="1"/>
  <c r="G771" i="1"/>
  <c r="I771" i="1"/>
  <c r="G759" i="1"/>
  <c r="I759" i="1"/>
  <c r="G760" i="1"/>
  <c r="I760" i="1"/>
  <c r="G761" i="1"/>
  <c r="I761" i="1"/>
  <c r="G762" i="1"/>
  <c r="I762" i="1"/>
  <c r="G763" i="1"/>
  <c r="I763" i="1"/>
  <c r="G764" i="1"/>
  <c r="I764" i="1"/>
  <c r="G765" i="1"/>
  <c r="I765" i="1"/>
  <c r="G766" i="1"/>
  <c r="I766" i="1"/>
  <c r="G767" i="1"/>
  <c r="I767" i="1"/>
  <c r="G768" i="1"/>
  <c r="I768" i="1"/>
  <c r="G769" i="1"/>
  <c r="I769" i="1"/>
  <c r="E754" i="1"/>
  <c r="E755" i="1"/>
  <c r="E756" i="1"/>
  <c r="E757" i="1"/>
  <c r="E758" i="1"/>
  <c r="G754" i="1"/>
  <c r="I754" i="1"/>
  <c r="G755" i="1"/>
  <c r="I755" i="1"/>
  <c r="G756" i="1"/>
  <c r="I756" i="1"/>
  <c r="G757" i="1"/>
  <c r="I757" i="1"/>
  <c r="G758" i="1"/>
  <c r="I758" i="1"/>
  <c r="E753" i="1"/>
  <c r="E744" i="1"/>
  <c r="E745" i="1"/>
  <c r="E746" i="1"/>
  <c r="E747" i="1"/>
  <c r="E748" i="1"/>
  <c r="E749" i="1"/>
  <c r="E750" i="1"/>
  <c r="E751" i="1"/>
  <c r="E752" i="1"/>
  <c r="G744" i="1"/>
  <c r="I744" i="1"/>
  <c r="G745" i="1"/>
  <c r="I745" i="1"/>
  <c r="G746" i="1"/>
  <c r="I746" i="1"/>
  <c r="G747" i="1"/>
  <c r="I747" i="1"/>
  <c r="G748" i="1"/>
  <c r="I748" i="1"/>
  <c r="G749" i="1"/>
  <c r="I749" i="1"/>
  <c r="G750" i="1"/>
  <c r="I750" i="1"/>
  <c r="G751" i="1"/>
  <c r="I751" i="1"/>
  <c r="G752" i="1"/>
  <c r="I752" i="1"/>
  <c r="G753" i="1"/>
  <c r="I753" i="1"/>
  <c r="E740" i="1"/>
  <c r="E741" i="1"/>
  <c r="E742" i="1"/>
  <c r="E743" i="1"/>
  <c r="G740" i="1"/>
  <c r="I740" i="1"/>
  <c r="G741" i="1"/>
  <c r="I741" i="1"/>
  <c r="G742" i="1"/>
  <c r="I742" i="1"/>
  <c r="G743" i="1"/>
  <c r="I743" i="1"/>
  <c r="E730" i="1"/>
  <c r="E731" i="1"/>
  <c r="E732" i="1"/>
  <c r="E733" i="1"/>
  <c r="E734" i="1"/>
  <c r="E735" i="1"/>
  <c r="E736" i="1"/>
  <c r="E737" i="1"/>
  <c r="E738" i="1"/>
  <c r="E739" i="1"/>
  <c r="G730" i="1"/>
  <c r="I730" i="1"/>
  <c r="G731" i="1"/>
  <c r="I731" i="1"/>
  <c r="G732" i="1"/>
  <c r="I732" i="1"/>
  <c r="G733" i="1"/>
  <c r="I733" i="1"/>
  <c r="G734" i="1"/>
  <c r="I734" i="1"/>
  <c r="G735" i="1"/>
  <c r="I735" i="1"/>
  <c r="G736" i="1"/>
  <c r="I736" i="1"/>
  <c r="G737" i="1"/>
  <c r="I737" i="1"/>
  <c r="G738" i="1"/>
  <c r="I738" i="1"/>
  <c r="G739" i="1"/>
  <c r="I739" i="1"/>
  <c r="H795" i="1" l="1"/>
  <c r="H832" i="1"/>
  <c r="H830" i="1"/>
  <c r="H833" i="1"/>
  <c r="J833" i="1" s="1"/>
  <c r="H831" i="1"/>
  <c r="J831" i="1" s="1"/>
  <c r="J830" i="1"/>
  <c r="J832" i="1"/>
  <c r="H829" i="1"/>
  <c r="J829" i="1" s="1"/>
  <c r="H800" i="1"/>
  <c r="J800" i="1" s="1"/>
  <c r="H808" i="1"/>
  <c r="J808" i="1" s="1"/>
  <c r="H827" i="1"/>
  <c r="J827" i="1" s="1"/>
  <c r="H824" i="1"/>
  <c r="J824" i="1" s="1"/>
  <c r="H823" i="1"/>
  <c r="J823" i="1" s="1"/>
  <c r="H815" i="1"/>
  <c r="J815" i="1" s="1"/>
  <c r="H803" i="1"/>
  <c r="J803" i="1" s="1"/>
  <c r="H825" i="1"/>
  <c r="J825" i="1" s="1"/>
  <c r="H828" i="1"/>
  <c r="J828" i="1" s="1"/>
  <c r="H826" i="1"/>
  <c r="J826" i="1" s="1"/>
  <c r="H811" i="1"/>
  <c r="J811" i="1" s="1"/>
  <c r="H809" i="1"/>
  <c r="J809" i="1" s="1"/>
  <c r="H812" i="1"/>
  <c r="J812" i="1" s="1"/>
  <c r="H821" i="1"/>
  <c r="J821" i="1" s="1"/>
  <c r="H817" i="1"/>
  <c r="J817" i="1" s="1"/>
  <c r="H816" i="1"/>
  <c r="J816" i="1" s="1"/>
  <c r="H819" i="1"/>
  <c r="J819" i="1" s="1"/>
  <c r="H820" i="1"/>
  <c r="J820" i="1" s="1"/>
  <c r="H822" i="1"/>
  <c r="J822" i="1" s="1"/>
  <c r="H818" i="1"/>
  <c r="J818" i="1" s="1"/>
  <c r="H801" i="1"/>
  <c r="J801" i="1" s="1"/>
  <c r="H814" i="1"/>
  <c r="J814" i="1" s="1"/>
  <c r="H813" i="1"/>
  <c r="J813" i="1" s="1"/>
  <c r="H802" i="1"/>
  <c r="J802" i="1" s="1"/>
  <c r="J807" i="1"/>
  <c r="H810" i="1"/>
  <c r="J810" i="1" s="1"/>
  <c r="H806" i="1"/>
  <c r="J806" i="1" s="1"/>
  <c r="H805" i="1"/>
  <c r="J805" i="1" s="1"/>
  <c r="H804" i="1"/>
  <c r="J804" i="1" s="1"/>
  <c r="H799" i="1"/>
  <c r="J799" i="1" s="1"/>
  <c r="H777" i="1"/>
  <c r="J777" i="1" s="1"/>
  <c r="H787" i="1"/>
  <c r="J787" i="1" s="1"/>
  <c r="H796" i="1"/>
  <c r="J796" i="1" s="1"/>
  <c r="H798" i="1"/>
  <c r="J798" i="1" s="1"/>
  <c r="H791" i="1"/>
  <c r="J791" i="1" s="1"/>
  <c r="H794" i="1"/>
  <c r="J794" i="1" s="1"/>
  <c r="H797" i="1"/>
  <c r="J797" i="1" s="1"/>
  <c r="H793" i="1"/>
  <c r="J793" i="1" s="1"/>
  <c r="J795" i="1"/>
  <c r="H789" i="1"/>
  <c r="J789" i="1" s="1"/>
  <c r="H792" i="1"/>
  <c r="J792" i="1" s="1"/>
  <c r="H786" i="1"/>
  <c r="J786" i="1" s="1"/>
  <c r="H790" i="1"/>
  <c r="J790" i="1" s="1"/>
  <c r="H782" i="1"/>
  <c r="J782" i="1" s="1"/>
  <c r="J785" i="1"/>
  <c r="H788" i="1"/>
  <c r="J788" i="1" s="1"/>
  <c r="H784" i="1"/>
  <c r="J784" i="1" s="1"/>
  <c r="H776" i="1"/>
  <c r="J776" i="1" s="1"/>
  <c r="H783" i="1"/>
  <c r="J783" i="1" s="1"/>
  <c r="H775" i="1"/>
  <c r="J775" i="1" s="1"/>
  <c r="H767" i="1"/>
  <c r="J767" i="1" s="1"/>
  <c r="H781" i="1"/>
  <c r="J781" i="1" s="1"/>
  <c r="H780" i="1"/>
  <c r="J780" i="1" s="1"/>
  <c r="H779" i="1"/>
  <c r="J779" i="1" s="1"/>
  <c r="H778" i="1"/>
  <c r="J778" i="1" s="1"/>
  <c r="H759" i="1"/>
  <c r="J759" i="1" s="1"/>
  <c r="H772" i="1"/>
  <c r="J772" i="1" s="1"/>
  <c r="H751" i="1"/>
  <c r="J751" i="1" s="1"/>
  <c r="H768" i="1"/>
  <c r="J768" i="1" s="1"/>
  <c r="H760" i="1"/>
  <c r="J760" i="1" s="1"/>
  <c r="H774" i="1"/>
  <c r="J774" i="1" s="1"/>
  <c r="H769" i="1"/>
  <c r="J769" i="1" s="1"/>
  <c r="H756" i="1"/>
  <c r="J756" i="1" s="1"/>
  <c r="H773" i="1"/>
  <c r="J773" i="1" s="1"/>
  <c r="H765" i="1"/>
  <c r="J765" i="1" s="1"/>
  <c r="H761" i="1"/>
  <c r="J761" i="1" s="1"/>
  <c r="H770" i="1"/>
  <c r="J770" i="1" s="1"/>
  <c r="H764" i="1"/>
  <c r="J764" i="1" s="1"/>
  <c r="H763" i="1"/>
  <c r="J763" i="1" s="1"/>
  <c r="H766" i="1"/>
  <c r="J766" i="1" s="1"/>
  <c r="H762" i="1"/>
  <c r="J762" i="1" s="1"/>
  <c r="H771" i="1"/>
  <c r="J771" i="1" s="1"/>
  <c r="H752" i="1"/>
  <c r="J752" i="1" s="1"/>
  <c r="H744" i="1"/>
  <c r="J744" i="1" s="1"/>
  <c r="H741" i="1"/>
  <c r="J741" i="1" s="1"/>
  <c r="H753" i="1"/>
  <c r="J753" i="1" s="1"/>
  <c r="H755" i="1"/>
  <c r="J755" i="1" s="1"/>
  <c r="H758" i="1"/>
  <c r="J758" i="1" s="1"/>
  <c r="H754" i="1"/>
  <c r="J754" i="1" s="1"/>
  <c r="H757" i="1"/>
  <c r="J757" i="1" s="1"/>
  <c r="H750" i="1"/>
  <c r="J750" i="1" s="1"/>
  <c r="H746" i="1"/>
  <c r="J746" i="1" s="1"/>
  <c r="H745" i="1"/>
  <c r="J745" i="1" s="1"/>
  <c r="H740" i="1"/>
  <c r="J740" i="1" s="1"/>
  <c r="H747" i="1"/>
  <c r="J747" i="1" s="1"/>
  <c r="H749" i="1"/>
  <c r="J749" i="1" s="1"/>
  <c r="H748" i="1"/>
  <c r="J748" i="1" s="1"/>
  <c r="H738" i="1"/>
  <c r="J738" i="1" s="1"/>
  <c r="H730" i="1"/>
  <c r="J730" i="1" s="1"/>
  <c r="H739" i="1"/>
  <c r="J739" i="1" s="1"/>
  <c r="H742" i="1"/>
  <c r="J742" i="1" s="1"/>
  <c r="H743" i="1"/>
  <c r="J743" i="1" s="1"/>
  <c r="H736" i="1"/>
  <c r="J736" i="1" s="1"/>
  <c r="H732" i="1"/>
  <c r="J732" i="1" s="1"/>
  <c r="H735" i="1"/>
  <c r="J735" i="1" s="1"/>
  <c r="H731" i="1"/>
  <c r="J731" i="1" s="1"/>
  <c r="H734" i="1"/>
  <c r="J734" i="1" s="1"/>
  <c r="H733" i="1"/>
  <c r="J733" i="1" s="1"/>
  <c r="H737" i="1"/>
  <c r="J737" i="1" s="1"/>
  <c r="E721" i="1" l="1"/>
  <c r="E722" i="1"/>
  <c r="E723" i="1"/>
  <c r="E724" i="1"/>
  <c r="E725" i="1"/>
  <c r="E726" i="1"/>
  <c r="E727" i="1"/>
  <c r="E728" i="1"/>
  <c r="E729" i="1"/>
  <c r="G721" i="1"/>
  <c r="I721" i="1"/>
  <c r="G722" i="1"/>
  <c r="I722" i="1"/>
  <c r="G723" i="1"/>
  <c r="I723" i="1"/>
  <c r="G724" i="1"/>
  <c r="I724" i="1"/>
  <c r="G725" i="1"/>
  <c r="I725" i="1"/>
  <c r="G726" i="1"/>
  <c r="I726" i="1"/>
  <c r="G727" i="1"/>
  <c r="I727" i="1"/>
  <c r="G728" i="1"/>
  <c r="I728" i="1"/>
  <c r="G729" i="1"/>
  <c r="I729" i="1"/>
  <c r="E716" i="1"/>
  <c r="E717" i="1"/>
  <c r="E718" i="1"/>
  <c r="E719" i="1"/>
  <c r="E720" i="1"/>
  <c r="G716" i="1"/>
  <c r="I716" i="1"/>
  <c r="G717" i="1"/>
  <c r="I717" i="1"/>
  <c r="G718" i="1"/>
  <c r="I718" i="1"/>
  <c r="G719" i="1"/>
  <c r="I719" i="1"/>
  <c r="G720" i="1"/>
  <c r="I720" i="1"/>
  <c r="E714" i="1"/>
  <c r="E715" i="1"/>
  <c r="G715" i="1"/>
  <c r="I715" i="1"/>
  <c r="G702" i="1"/>
  <c r="I702" i="1"/>
  <c r="G703" i="1"/>
  <c r="I703" i="1"/>
  <c r="G704" i="1"/>
  <c r="I704" i="1"/>
  <c r="G705" i="1"/>
  <c r="I705" i="1"/>
  <c r="G706" i="1"/>
  <c r="I706" i="1"/>
  <c r="G707" i="1"/>
  <c r="I707" i="1"/>
  <c r="G708" i="1"/>
  <c r="I708" i="1"/>
  <c r="G709" i="1"/>
  <c r="I709" i="1"/>
  <c r="G710" i="1"/>
  <c r="I710" i="1"/>
  <c r="G711" i="1"/>
  <c r="I711" i="1"/>
  <c r="G712" i="1"/>
  <c r="I712" i="1"/>
  <c r="G713" i="1"/>
  <c r="I713" i="1"/>
  <c r="G714" i="1"/>
  <c r="I714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699" i="1"/>
  <c r="E700" i="1"/>
  <c r="E701" i="1"/>
  <c r="G699" i="1"/>
  <c r="I699" i="1"/>
  <c r="G700" i="1"/>
  <c r="I700" i="1"/>
  <c r="G701" i="1"/>
  <c r="I701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G687" i="1"/>
  <c r="I687" i="1"/>
  <c r="G688" i="1"/>
  <c r="I688" i="1"/>
  <c r="G689" i="1"/>
  <c r="I689" i="1"/>
  <c r="G690" i="1"/>
  <c r="I690" i="1"/>
  <c r="G691" i="1"/>
  <c r="I691" i="1"/>
  <c r="G692" i="1"/>
  <c r="I692" i="1"/>
  <c r="G693" i="1"/>
  <c r="I693" i="1"/>
  <c r="G694" i="1"/>
  <c r="I694" i="1"/>
  <c r="G695" i="1"/>
  <c r="I695" i="1"/>
  <c r="G696" i="1"/>
  <c r="I696" i="1"/>
  <c r="G697" i="1"/>
  <c r="I697" i="1"/>
  <c r="G698" i="1"/>
  <c r="I698" i="1"/>
  <c r="E682" i="1"/>
  <c r="E683" i="1"/>
  <c r="E684" i="1"/>
  <c r="E685" i="1"/>
  <c r="E686" i="1"/>
  <c r="G682" i="1"/>
  <c r="I682" i="1"/>
  <c r="G683" i="1"/>
  <c r="I683" i="1"/>
  <c r="G684" i="1"/>
  <c r="I684" i="1"/>
  <c r="G685" i="1"/>
  <c r="I685" i="1"/>
  <c r="G686" i="1"/>
  <c r="I686" i="1"/>
  <c r="E672" i="1"/>
  <c r="E673" i="1"/>
  <c r="E674" i="1"/>
  <c r="E675" i="1"/>
  <c r="E676" i="1"/>
  <c r="E677" i="1"/>
  <c r="E678" i="1"/>
  <c r="E679" i="1"/>
  <c r="E680" i="1"/>
  <c r="E681" i="1"/>
  <c r="G672" i="1"/>
  <c r="I672" i="1"/>
  <c r="G673" i="1"/>
  <c r="I673" i="1"/>
  <c r="G674" i="1"/>
  <c r="I674" i="1"/>
  <c r="G675" i="1"/>
  <c r="I675" i="1"/>
  <c r="G676" i="1"/>
  <c r="I676" i="1"/>
  <c r="G677" i="1"/>
  <c r="I677" i="1"/>
  <c r="G678" i="1"/>
  <c r="I678" i="1"/>
  <c r="G679" i="1"/>
  <c r="I679" i="1"/>
  <c r="G680" i="1"/>
  <c r="I680" i="1"/>
  <c r="G681" i="1"/>
  <c r="I681" i="1"/>
  <c r="E667" i="1"/>
  <c r="E668" i="1"/>
  <c r="E669" i="1"/>
  <c r="E670" i="1"/>
  <c r="E671" i="1"/>
  <c r="G667" i="1"/>
  <c r="I667" i="1"/>
  <c r="G668" i="1"/>
  <c r="I668" i="1"/>
  <c r="G669" i="1"/>
  <c r="I669" i="1"/>
  <c r="G670" i="1"/>
  <c r="I670" i="1"/>
  <c r="G671" i="1"/>
  <c r="I671" i="1"/>
  <c r="G662" i="1"/>
  <c r="I662" i="1"/>
  <c r="G663" i="1"/>
  <c r="I663" i="1"/>
  <c r="G664" i="1"/>
  <c r="I664" i="1"/>
  <c r="G665" i="1"/>
  <c r="I665" i="1"/>
  <c r="G666" i="1"/>
  <c r="I666" i="1"/>
  <c r="E662" i="1"/>
  <c r="E663" i="1"/>
  <c r="E664" i="1"/>
  <c r="E665" i="1"/>
  <c r="E666" i="1"/>
  <c r="E661" i="1"/>
  <c r="G649" i="1"/>
  <c r="I649" i="1"/>
  <c r="G650" i="1"/>
  <c r="I650" i="1"/>
  <c r="G651" i="1"/>
  <c r="I651" i="1"/>
  <c r="G652" i="1"/>
  <c r="I652" i="1"/>
  <c r="G653" i="1"/>
  <c r="I653" i="1"/>
  <c r="G654" i="1"/>
  <c r="I654" i="1"/>
  <c r="G655" i="1"/>
  <c r="I655" i="1"/>
  <c r="G656" i="1"/>
  <c r="I656" i="1"/>
  <c r="G657" i="1"/>
  <c r="I657" i="1"/>
  <c r="G658" i="1"/>
  <c r="I658" i="1"/>
  <c r="G659" i="1"/>
  <c r="I659" i="1"/>
  <c r="G660" i="1"/>
  <c r="I660" i="1"/>
  <c r="G661" i="1"/>
  <c r="I661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G645" i="1"/>
  <c r="I645" i="1"/>
  <c r="G646" i="1"/>
  <c r="I646" i="1"/>
  <c r="G647" i="1"/>
  <c r="I647" i="1"/>
  <c r="G648" i="1"/>
  <c r="I648" i="1"/>
  <c r="E645" i="1"/>
  <c r="E646" i="1"/>
  <c r="E647" i="1"/>
  <c r="E648" i="1"/>
  <c r="E637" i="1"/>
  <c r="E638" i="1"/>
  <c r="E639" i="1"/>
  <c r="E640" i="1"/>
  <c r="E641" i="1"/>
  <c r="E642" i="1"/>
  <c r="E643" i="1"/>
  <c r="E644" i="1"/>
  <c r="G637" i="1"/>
  <c r="I637" i="1"/>
  <c r="G638" i="1"/>
  <c r="I638" i="1"/>
  <c r="G639" i="1"/>
  <c r="I639" i="1"/>
  <c r="G640" i="1"/>
  <c r="I640" i="1"/>
  <c r="G641" i="1"/>
  <c r="I641" i="1"/>
  <c r="G642" i="1"/>
  <c r="I642" i="1"/>
  <c r="G643" i="1"/>
  <c r="I643" i="1"/>
  <c r="G644" i="1"/>
  <c r="I644" i="1"/>
  <c r="G627" i="1"/>
  <c r="I627" i="1"/>
  <c r="G628" i="1"/>
  <c r="I628" i="1"/>
  <c r="G629" i="1"/>
  <c r="I629" i="1"/>
  <c r="G630" i="1"/>
  <c r="I630" i="1"/>
  <c r="G631" i="1"/>
  <c r="I631" i="1"/>
  <c r="G632" i="1"/>
  <c r="I632" i="1"/>
  <c r="G633" i="1"/>
  <c r="I633" i="1"/>
  <c r="G634" i="1"/>
  <c r="I634" i="1"/>
  <c r="G635" i="1"/>
  <c r="I635" i="1"/>
  <c r="G636" i="1"/>
  <c r="I636" i="1"/>
  <c r="E627" i="1"/>
  <c r="E628" i="1"/>
  <c r="E629" i="1"/>
  <c r="E630" i="1"/>
  <c r="E631" i="1"/>
  <c r="E632" i="1"/>
  <c r="E633" i="1"/>
  <c r="E634" i="1"/>
  <c r="E635" i="1"/>
  <c r="E636" i="1"/>
  <c r="G622" i="1"/>
  <c r="I622" i="1"/>
  <c r="G623" i="1"/>
  <c r="I623" i="1"/>
  <c r="G624" i="1"/>
  <c r="I624" i="1"/>
  <c r="G625" i="1"/>
  <c r="I625" i="1"/>
  <c r="G626" i="1"/>
  <c r="I626" i="1"/>
  <c r="E622" i="1"/>
  <c r="E623" i="1"/>
  <c r="E624" i="1"/>
  <c r="E625" i="1"/>
  <c r="E626" i="1"/>
  <c r="G611" i="1"/>
  <c r="I611" i="1"/>
  <c r="G612" i="1"/>
  <c r="I612" i="1"/>
  <c r="G613" i="1"/>
  <c r="I613" i="1"/>
  <c r="G614" i="1"/>
  <c r="I614" i="1"/>
  <c r="G615" i="1"/>
  <c r="I615" i="1"/>
  <c r="G616" i="1"/>
  <c r="I616" i="1"/>
  <c r="G617" i="1"/>
  <c r="I617" i="1"/>
  <c r="G618" i="1"/>
  <c r="I618" i="1"/>
  <c r="G619" i="1"/>
  <c r="I619" i="1"/>
  <c r="G620" i="1"/>
  <c r="I620" i="1"/>
  <c r="G621" i="1"/>
  <c r="I621" i="1"/>
  <c r="E621" i="1"/>
  <c r="E620" i="1"/>
  <c r="E611" i="1"/>
  <c r="E612" i="1"/>
  <c r="E613" i="1"/>
  <c r="E614" i="1"/>
  <c r="E615" i="1"/>
  <c r="E616" i="1"/>
  <c r="E617" i="1"/>
  <c r="E618" i="1"/>
  <c r="E619" i="1"/>
  <c r="G606" i="1"/>
  <c r="I606" i="1"/>
  <c r="G607" i="1"/>
  <c r="I607" i="1"/>
  <c r="G608" i="1"/>
  <c r="I608" i="1"/>
  <c r="G609" i="1"/>
  <c r="I609" i="1"/>
  <c r="G610" i="1"/>
  <c r="I610" i="1"/>
  <c r="E606" i="1"/>
  <c r="E607" i="1"/>
  <c r="E608" i="1"/>
  <c r="E609" i="1"/>
  <c r="E610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G593" i="1"/>
  <c r="I593" i="1"/>
  <c r="G594" i="1"/>
  <c r="I594" i="1"/>
  <c r="G595" i="1"/>
  <c r="I595" i="1"/>
  <c r="G596" i="1"/>
  <c r="H596" i="1" s="1"/>
  <c r="I596" i="1"/>
  <c r="G597" i="1"/>
  <c r="I597" i="1"/>
  <c r="G598" i="1"/>
  <c r="I598" i="1"/>
  <c r="G599" i="1"/>
  <c r="I599" i="1"/>
  <c r="G600" i="1"/>
  <c r="I600" i="1"/>
  <c r="G601" i="1"/>
  <c r="I601" i="1"/>
  <c r="G602" i="1"/>
  <c r="I602" i="1"/>
  <c r="G603" i="1"/>
  <c r="I603" i="1"/>
  <c r="G604" i="1"/>
  <c r="I604" i="1"/>
  <c r="G605" i="1"/>
  <c r="I605" i="1"/>
  <c r="G580" i="1"/>
  <c r="I580" i="1"/>
  <c r="G581" i="1"/>
  <c r="I581" i="1"/>
  <c r="G582" i="1"/>
  <c r="I582" i="1"/>
  <c r="G583" i="1"/>
  <c r="I583" i="1"/>
  <c r="G584" i="1"/>
  <c r="I584" i="1"/>
  <c r="G585" i="1"/>
  <c r="I585" i="1"/>
  <c r="G586" i="1"/>
  <c r="I586" i="1"/>
  <c r="G587" i="1"/>
  <c r="I587" i="1"/>
  <c r="G588" i="1"/>
  <c r="I588" i="1"/>
  <c r="G589" i="1"/>
  <c r="I589" i="1"/>
  <c r="G590" i="1"/>
  <c r="I590" i="1"/>
  <c r="G591" i="1"/>
  <c r="I591" i="1"/>
  <c r="G592" i="1"/>
  <c r="I592" i="1"/>
  <c r="E592" i="1"/>
  <c r="E588" i="1"/>
  <c r="E589" i="1"/>
  <c r="E590" i="1"/>
  <c r="E591" i="1"/>
  <c r="E580" i="1"/>
  <c r="E581" i="1"/>
  <c r="E582" i="1"/>
  <c r="E583" i="1"/>
  <c r="E584" i="1"/>
  <c r="E585" i="1"/>
  <c r="E586" i="1"/>
  <c r="E587" i="1"/>
  <c r="G576" i="1"/>
  <c r="I576" i="1"/>
  <c r="G577" i="1"/>
  <c r="I577" i="1"/>
  <c r="G578" i="1"/>
  <c r="I578" i="1"/>
  <c r="G579" i="1"/>
  <c r="I579" i="1"/>
  <c r="E576" i="1"/>
  <c r="E577" i="1"/>
  <c r="E578" i="1"/>
  <c r="E579" i="1"/>
  <c r="G567" i="1"/>
  <c r="I567" i="1"/>
  <c r="G568" i="1"/>
  <c r="I568" i="1"/>
  <c r="G569" i="1"/>
  <c r="I569" i="1"/>
  <c r="G570" i="1"/>
  <c r="I570" i="1"/>
  <c r="G571" i="1"/>
  <c r="I571" i="1"/>
  <c r="G572" i="1"/>
  <c r="I572" i="1"/>
  <c r="G573" i="1"/>
  <c r="I573" i="1"/>
  <c r="G574" i="1"/>
  <c r="I574" i="1"/>
  <c r="G575" i="1"/>
  <c r="I575" i="1"/>
  <c r="E574" i="1"/>
  <c r="E575" i="1"/>
  <c r="E567" i="1"/>
  <c r="E568" i="1"/>
  <c r="E569" i="1"/>
  <c r="E570" i="1"/>
  <c r="E571" i="1"/>
  <c r="E572" i="1"/>
  <c r="E573" i="1"/>
  <c r="G566" i="1"/>
  <c r="I566" i="1"/>
  <c r="G554" i="1"/>
  <c r="I554" i="1"/>
  <c r="G555" i="1"/>
  <c r="I555" i="1"/>
  <c r="G556" i="1"/>
  <c r="I556" i="1"/>
  <c r="G557" i="1"/>
  <c r="I557" i="1"/>
  <c r="G558" i="1"/>
  <c r="I558" i="1"/>
  <c r="G559" i="1"/>
  <c r="I559" i="1"/>
  <c r="G560" i="1"/>
  <c r="I560" i="1"/>
  <c r="G561" i="1"/>
  <c r="I561" i="1"/>
  <c r="G562" i="1"/>
  <c r="I562" i="1"/>
  <c r="G563" i="1"/>
  <c r="I563" i="1"/>
  <c r="G564" i="1"/>
  <c r="I564" i="1"/>
  <c r="G565" i="1"/>
  <c r="I565" i="1"/>
  <c r="E566" i="1"/>
  <c r="E565" i="1"/>
  <c r="E554" i="1"/>
  <c r="E555" i="1"/>
  <c r="E556" i="1"/>
  <c r="E557" i="1"/>
  <c r="E558" i="1"/>
  <c r="E559" i="1"/>
  <c r="E560" i="1"/>
  <c r="E561" i="1"/>
  <c r="E562" i="1"/>
  <c r="E563" i="1"/>
  <c r="E564" i="1"/>
  <c r="G549" i="1"/>
  <c r="I549" i="1"/>
  <c r="G550" i="1"/>
  <c r="I550" i="1"/>
  <c r="G551" i="1"/>
  <c r="I551" i="1"/>
  <c r="G552" i="1"/>
  <c r="I552" i="1"/>
  <c r="G553" i="1"/>
  <c r="I553" i="1"/>
  <c r="E549" i="1"/>
  <c r="E550" i="1"/>
  <c r="E551" i="1"/>
  <c r="E552" i="1"/>
  <c r="E553" i="1"/>
  <c r="G539" i="1"/>
  <c r="I539" i="1"/>
  <c r="G540" i="1"/>
  <c r="I540" i="1"/>
  <c r="G541" i="1"/>
  <c r="I541" i="1"/>
  <c r="G542" i="1"/>
  <c r="I542" i="1"/>
  <c r="G543" i="1"/>
  <c r="I543" i="1"/>
  <c r="G544" i="1"/>
  <c r="I544" i="1"/>
  <c r="G545" i="1"/>
  <c r="I545" i="1"/>
  <c r="G546" i="1"/>
  <c r="I546" i="1"/>
  <c r="G547" i="1"/>
  <c r="I547" i="1"/>
  <c r="G548" i="1"/>
  <c r="I548" i="1"/>
  <c r="E539" i="1"/>
  <c r="E540" i="1"/>
  <c r="E541" i="1"/>
  <c r="E542" i="1"/>
  <c r="E543" i="1"/>
  <c r="E544" i="1"/>
  <c r="E545" i="1"/>
  <c r="E546" i="1"/>
  <c r="E547" i="1"/>
  <c r="E548" i="1"/>
  <c r="G534" i="1"/>
  <c r="I534" i="1"/>
  <c r="G535" i="1"/>
  <c r="I535" i="1"/>
  <c r="G536" i="1"/>
  <c r="I536" i="1"/>
  <c r="G537" i="1"/>
  <c r="I537" i="1"/>
  <c r="G538" i="1"/>
  <c r="I538" i="1"/>
  <c r="E534" i="1"/>
  <c r="E535" i="1"/>
  <c r="E536" i="1"/>
  <c r="E537" i="1"/>
  <c r="E538" i="1"/>
  <c r="G524" i="1"/>
  <c r="I524" i="1"/>
  <c r="G525" i="1"/>
  <c r="I525" i="1"/>
  <c r="G526" i="1"/>
  <c r="I526" i="1"/>
  <c r="G527" i="1"/>
  <c r="I527" i="1"/>
  <c r="G528" i="1"/>
  <c r="I528" i="1"/>
  <c r="G529" i="1"/>
  <c r="I529" i="1"/>
  <c r="G530" i="1"/>
  <c r="I530" i="1"/>
  <c r="G531" i="1"/>
  <c r="I531" i="1"/>
  <c r="G532" i="1"/>
  <c r="I532" i="1"/>
  <c r="G533" i="1"/>
  <c r="I533" i="1"/>
  <c r="E524" i="1"/>
  <c r="E525" i="1"/>
  <c r="E526" i="1"/>
  <c r="E527" i="1"/>
  <c r="E528" i="1"/>
  <c r="E529" i="1"/>
  <c r="E530" i="1"/>
  <c r="E531" i="1"/>
  <c r="E532" i="1"/>
  <c r="E533" i="1"/>
  <c r="G519" i="1"/>
  <c r="I519" i="1"/>
  <c r="G520" i="1"/>
  <c r="I520" i="1"/>
  <c r="G521" i="1"/>
  <c r="I521" i="1"/>
  <c r="G522" i="1"/>
  <c r="I522" i="1"/>
  <c r="G523" i="1"/>
  <c r="I523" i="1"/>
  <c r="E519" i="1"/>
  <c r="E520" i="1"/>
  <c r="E521" i="1"/>
  <c r="E522" i="1"/>
  <c r="E523" i="1"/>
  <c r="G513" i="1"/>
  <c r="I513" i="1"/>
  <c r="G514" i="1"/>
  <c r="I514" i="1"/>
  <c r="G515" i="1"/>
  <c r="I515" i="1"/>
  <c r="G516" i="1"/>
  <c r="I516" i="1"/>
  <c r="G517" i="1"/>
  <c r="I517" i="1"/>
  <c r="G518" i="1"/>
  <c r="I518" i="1"/>
  <c r="E518" i="1"/>
  <c r="E513" i="1"/>
  <c r="E514" i="1"/>
  <c r="E515" i="1"/>
  <c r="E516" i="1"/>
  <c r="E517" i="1"/>
  <c r="G500" i="1"/>
  <c r="I500" i="1"/>
  <c r="G501" i="1"/>
  <c r="I501" i="1"/>
  <c r="G502" i="1"/>
  <c r="I502" i="1"/>
  <c r="G503" i="1"/>
  <c r="I503" i="1"/>
  <c r="G504" i="1"/>
  <c r="I504" i="1"/>
  <c r="G505" i="1"/>
  <c r="I505" i="1"/>
  <c r="G506" i="1"/>
  <c r="I506" i="1"/>
  <c r="G507" i="1"/>
  <c r="I507" i="1"/>
  <c r="G508" i="1"/>
  <c r="I508" i="1"/>
  <c r="G509" i="1"/>
  <c r="I509" i="1"/>
  <c r="G510" i="1"/>
  <c r="I510" i="1"/>
  <c r="G511" i="1"/>
  <c r="I511" i="1"/>
  <c r="G512" i="1"/>
  <c r="I512" i="1"/>
  <c r="E511" i="1"/>
  <c r="E512" i="1"/>
  <c r="E509" i="1"/>
  <c r="E510" i="1"/>
  <c r="E500" i="1"/>
  <c r="E501" i="1"/>
  <c r="E502" i="1"/>
  <c r="E503" i="1"/>
  <c r="E504" i="1"/>
  <c r="E505" i="1"/>
  <c r="E506" i="1"/>
  <c r="E507" i="1"/>
  <c r="E508" i="1"/>
  <c r="G498" i="1"/>
  <c r="I498" i="1"/>
  <c r="G499" i="1"/>
  <c r="I499" i="1"/>
  <c r="E498" i="1"/>
  <c r="E499" i="1"/>
  <c r="G485" i="1"/>
  <c r="I485" i="1"/>
  <c r="G486" i="1"/>
  <c r="I486" i="1"/>
  <c r="G487" i="1"/>
  <c r="I487" i="1"/>
  <c r="G488" i="1"/>
  <c r="I488" i="1"/>
  <c r="G489" i="1"/>
  <c r="I489" i="1"/>
  <c r="G490" i="1"/>
  <c r="I490" i="1"/>
  <c r="G491" i="1"/>
  <c r="I491" i="1"/>
  <c r="G492" i="1"/>
  <c r="I492" i="1"/>
  <c r="G493" i="1"/>
  <c r="I493" i="1"/>
  <c r="G494" i="1"/>
  <c r="I494" i="1"/>
  <c r="G495" i="1"/>
  <c r="I495" i="1"/>
  <c r="G496" i="1"/>
  <c r="I496" i="1"/>
  <c r="G497" i="1"/>
  <c r="I497" i="1"/>
  <c r="E497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G481" i="1"/>
  <c r="I481" i="1"/>
  <c r="G482" i="1"/>
  <c r="I482" i="1"/>
  <c r="G483" i="1"/>
  <c r="I483" i="1"/>
  <c r="G484" i="1"/>
  <c r="I484" i="1"/>
  <c r="E481" i="1"/>
  <c r="E482" i="1"/>
  <c r="E483" i="1"/>
  <c r="E484" i="1"/>
  <c r="G471" i="1"/>
  <c r="I471" i="1"/>
  <c r="G472" i="1"/>
  <c r="I472" i="1"/>
  <c r="G473" i="1"/>
  <c r="I473" i="1"/>
  <c r="G474" i="1"/>
  <c r="I474" i="1"/>
  <c r="G475" i="1"/>
  <c r="I475" i="1"/>
  <c r="G476" i="1"/>
  <c r="I476" i="1"/>
  <c r="G477" i="1"/>
  <c r="I477" i="1"/>
  <c r="G478" i="1"/>
  <c r="I478" i="1"/>
  <c r="G479" i="1"/>
  <c r="I479" i="1"/>
  <c r="G480" i="1"/>
  <c r="I480" i="1"/>
  <c r="E471" i="1"/>
  <c r="E472" i="1"/>
  <c r="E473" i="1"/>
  <c r="E474" i="1"/>
  <c r="E475" i="1"/>
  <c r="E476" i="1"/>
  <c r="E477" i="1"/>
  <c r="E478" i="1"/>
  <c r="E479" i="1"/>
  <c r="E480" i="1"/>
  <c r="G466" i="1"/>
  <c r="I466" i="1"/>
  <c r="G467" i="1"/>
  <c r="I467" i="1"/>
  <c r="G468" i="1"/>
  <c r="I468" i="1"/>
  <c r="G469" i="1"/>
  <c r="I469" i="1"/>
  <c r="G470" i="1"/>
  <c r="I470" i="1"/>
  <c r="E466" i="1"/>
  <c r="E467" i="1"/>
  <c r="E468" i="1"/>
  <c r="E469" i="1"/>
  <c r="E470" i="1"/>
  <c r="V3" i="4"/>
  <c r="H587" i="1" l="1"/>
  <c r="H729" i="1"/>
  <c r="J729" i="1" s="1"/>
  <c r="H721" i="1"/>
  <c r="J721" i="1" s="1"/>
  <c r="H717" i="1"/>
  <c r="J717" i="1" s="1"/>
  <c r="H719" i="1"/>
  <c r="J719" i="1" s="1"/>
  <c r="H718" i="1"/>
  <c r="J718" i="1" s="1"/>
  <c r="H727" i="1"/>
  <c r="J727" i="1" s="1"/>
  <c r="H723" i="1"/>
  <c r="J723" i="1" s="1"/>
  <c r="H713" i="1"/>
  <c r="J713" i="1" s="1"/>
  <c r="H722" i="1"/>
  <c r="J722" i="1" s="1"/>
  <c r="H706" i="1"/>
  <c r="J706" i="1" s="1"/>
  <c r="H725" i="1"/>
  <c r="J725" i="1" s="1"/>
  <c r="H726" i="1"/>
  <c r="J726" i="1" s="1"/>
  <c r="H728" i="1"/>
  <c r="J728" i="1" s="1"/>
  <c r="H724" i="1"/>
  <c r="J724" i="1" s="1"/>
  <c r="H716" i="1"/>
  <c r="J716" i="1" s="1"/>
  <c r="H708" i="1"/>
  <c r="J708" i="1" s="1"/>
  <c r="H710" i="1"/>
  <c r="J710" i="1" s="1"/>
  <c r="H711" i="1"/>
  <c r="J711" i="1" s="1"/>
  <c r="H707" i="1"/>
  <c r="J707" i="1" s="1"/>
  <c r="H720" i="1"/>
  <c r="J720" i="1" s="1"/>
  <c r="H712" i="1"/>
  <c r="J712" i="1" s="1"/>
  <c r="H704" i="1"/>
  <c r="J704" i="1" s="1"/>
  <c r="H714" i="1"/>
  <c r="J714" i="1" s="1"/>
  <c r="H689" i="1"/>
  <c r="J689" i="1" s="1"/>
  <c r="H709" i="1"/>
  <c r="J709" i="1" s="1"/>
  <c r="H691" i="1"/>
  <c r="J691" i="1" s="1"/>
  <c r="H705" i="1"/>
  <c r="J705" i="1" s="1"/>
  <c r="H702" i="1"/>
  <c r="J702" i="1" s="1"/>
  <c r="H703" i="1"/>
  <c r="J703" i="1" s="1"/>
  <c r="H697" i="1"/>
  <c r="J697" i="1" s="1"/>
  <c r="H699" i="1"/>
  <c r="J699" i="1" s="1"/>
  <c r="H715" i="1"/>
  <c r="J715" i="1" s="1"/>
  <c r="H683" i="1"/>
  <c r="J683" i="1" s="1"/>
  <c r="H687" i="1"/>
  <c r="J687" i="1" s="1"/>
  <c r="H701" i="1"/>
  <c r="J701" i="1" s="1"/>
  <c r="H695" i="1"/>
  <c r="J695" i="1" s="1"/>
  <c r="H700" i="1"/>
  <c r="J700" i="1" s="1"/>
  <c r="H674" i="1"/>
  <c r="J674" i="1" s="1"/>
  <c r="H696" i="1"/>
  <c r="J696" i="1" s="1"/>
  <c r="H676" i="1"/>
  <c r="J676" i="1" s="1"/>
  <c r="H684" i="1"/>
  <c r="J684" i="1" s="1"/>
  <c r="H698" i="1"/>
  <c r="J698" i="1" s="1"/>
  <c r="H693" i="1"/>
  <c r="J693" i="1" s="1"/>
  <c r="H682" i="1"/>
  <c r="J682" i="1" s="1"/>
  <c r="H694" i="1"/>
  <c r="J694" i="1" s="1"/>
  <c r="H690" i="1"/>
  <c r="J690" i="1" s="1"/>
  <c r="H685" i="1"/>
  <c r="J685" i="1" s="1"/>
  <c r="H692" i="1"/>
  <c r="J692" i="1" s="1"/>
  <c r="H688" i="1"/>
  <c r="J688" i="1" s="1"/>
  <c r="H665" i="1"/>
  <c r="J665" i="1" s="1"/>
  <c r="H680" i="1"/>
  <c r="J680" i="1" s="1"/>
  <c r="H672" i="1"/>
  <c r="J672" i="1" s="1"/>
  <c r="H678" i="1"/>
  <c r="J678" i="1" s="1"/>
  <c r="H677" i="1"/>
  <c r="J677" i="1" s="1"/>
  <c r="H686" i="1"/>
  <c r="J686" i="1" s="1"/>
  <c r="H668" i="1"/>
  <c r="J668" i="1" s="1"/>
  <c r="H675" i="1"/>
  <c r="J675" i="1" s="1"/>
  <c r="H673" i="1"/>
  <c r="J673" i="1" s="1"/>
  <c r="H679" i="1"/>
  <c r="J679" i="1" s="1"/>
  <c r="H681" i="1"/>
  <c r="J681" i="1" s="1"/>
  <c r="H667" i="1"/>
  <c r="J667" i="1" s="1"/>
  <c r="H669" i="1"/>
  <c r="J669" i="1" s="1"/>
  <c r="H670" i="1"/>
  <c r="J670" i="1" s="1"/>
  <c r="H671" i="1"/>
  <c r="J671" i="1" s="1"/>
  <c r="H664" i="1"/>
  <c r="J664" i="1" s="1"/>
  <c r="H663" i="1"/>
  <c r="J663" i="1" s="1"/>
  <c r="H666" i="1"/>
  <c r="J666" i="1" s="1"/>
  <c r="H662" i="1"/>
  <c r="J662" i="1" s="1"/>
  <c r="H651" i="1"/>
  <c r="J651" i="1" s="1"/>
  <c r="H661" i="1"/>
  <c r="J661" i="1" s="1"/>
  <c r="H659" i="1"/>
  <c r="J659" i="1" s="1"/>
  <c r="H657" i="1"/>
  <c r="J657" i="1" s="1"/>
  <c r="H643" i="1"/>
  <c r="J643" i="1" s="1"/>
  <c r="H653" i="1"/>
  <c r="J653" i="1" s="1"/>
  <c r="H655" i="1"/>
  <c r="J655" i="1" s="1"/>
  <c r="H656" i="1"/>
  <c r="J656" i="1" s="1"/>
  <c r="H654" i="1"/>
  <c r="J654" i="1" s="1"/>
  <c r="H650" i="1"/>
  <c r="J650" i="1" s="1"/>
  <c r="H658" i="1"/>
  <c r="J658" i="1" s="1"/>
  <c r="H660" i="1"/>
  <c r="J660" i="1" s="1"/>
  <c r="H652" i="1"/>
  <c r="J652" i="1" s="1"/>
  <c r="H649" i="1"/>
  <c r="J649" i="1" s="1"/>
  <c r="H647" i="1"/>
  <c r="J647" i="1" s="1"/>
  <c r="H648" i="1"/>
  <c r="J648" i="1" s="1"/>
  <c r="H638" i="1"/>
  <c r="J638" i="1" s="1"/>
  <c r="H622" i="1"/>
  <c r="J622" i="1" s="1"/>
  <c r="H637" i="1"/>
  <c r="J637" i="1" s="1"/>
  <c r="H612" i="1"/>
  <c r="J612" i="1" s="1"/>
  <c r="H641" i="1"/>
  <c r="J641" i="1" s="1"/>
  <c r="H646" i="1"/>
  <c r="J646" i="1" s="1"/>
  <c r="H605" i="1"/>
  <c r="J605" i="1" s="1"/>
  <c r="H645" i="1"/>
  <c r="J645" i="1" s="1"/>
  <c r="H644" i="1"/>
  <c r="J644" i="1" s="1"/>
  <c r="H639" i="1"/>
  <c r="J639" i="1" s="1"/>
  <c r="H632" i="1"/>
  <c r="J632" i="1" s="1"/>
  <c r="H582" i="1"/>
  <c r="J582" i="1" s="1"/>
  <c r="H642" i="1"/>
  <c r="J642" i="1" s="1"/>
  <c r="H640" i="1"/>
  <c r="J640" i="1" s="1"/>
  <c r="H634" i="1"/>
  <c r="J634" i="1" s="1"/>
  <c r="H635" i="1"/>
  <c r="J635" i="1" s="1"/>
  <c r="H630" i="1"/>
  <c r="J630" i="1" s="1"/>
  <c r="H626" i="1"/>
  <c r="J626" i="1" s="1"/>
  <c r="H633" i="1"/>
  <c r="J633" i="1" s="1"/>
  <c r="H629" i="1"/>
  <c r="J629" i="1" s="1"/>
  <c r="H625" i="1"/>
  <c r="J625" i="1" s="1"/>
  <c r="H628" i="1"/>
  <c r="J628" i="1" s="1"/>
  <c r="H636" i="1"/>
  <c r="J636" i="1" s="1"/>
  <c r="H631" i="1"/>
  <c r="J631" i="1" s="1"/>
  <c r="H627" i="1"/>
  <c r="J627" i="1" s="1"/>
  <c r="H624" i="1"/>
  <c r="J624" i="1" s="1"/>
  <c r="H623" i="1"/>
  <c r="J623" i="1" s="1"/>
  <c r="H604" i="1"/>
  <c r="J604" i="1" s="1"/>
  <c r="H556" i="1"/>
  <c r="J556" i="1" s="1"/>
  <c r="H601" i="1"/>
  <c r="J601" i="1" s="1"/>
  <c r="H621" i="1"/>
  <c r="J621" i="1" s="1"/>
  <c r="H618" i="1"/>
  <c r="J618" i="1" s="1"/>
  <c r="H616" i="1"/>
  <c r="J616" i="1" s="1"/>
  <c r="H614" i="1"/>
  <c r="J614" i="1" s="1"/>
  <c r="H617" i="1"/>
  <c r="J617" i="1" s="1"/>
  <c r="H613" i="1"/>
  <c r="J613" i="1" s="1"/>
  <c r="H619" i="1"/>
  <c r="J619" i="1" s="1"/>
  <c r="H615" i="1"/>
  <c r="J615" i="1" s="1"/>
  <c r="H602" i="1"/>
  <c r="J602" i="1" s="1"/>
  <c r="H620" i="1"/>
  <c r="J620" i="1" s="1"/>
  <c r="H611" i="1"/>
  <c r="J611" i="1" s="1"/>
  <c r="H580" i="1"/>
  <c r="J580" i="1" s="1"/>
  <c r="H607" i="1"/>
  <c r="J607" i="1" s="1"/>
  <c r="H610" i="1"/>
  <c r="J610" i="1" s="1"/>
  <c r="H608" i="1"/>
  <c r="J608" i="1" s="1"/>
  <c r="H595" i="1"/>
  <c r="J595" i="1" s="1"/>
  <c r="H606" i="1"/>
  <c r="J606" i="1" s="1"/>
  <c r="H593" i="1"/>
  <c r="J593" i="1" s="1"/>
  <c r="H609" i="1"/>
  <c r="J609" i="1" s="1"/>
  <c r="H588" i="1"/>
  <c r="J588" i="1" s="1"/>
  <c r="H585" i="1"/>
  <c r="J585" i="1" s="1"/>
  <c r="H586" i="1"/>
  <c r="J586" i="1" s="1"/>
  <c r="H603" i="1"/>
  <c r="J603" i="1" s="1"/>
  <c r="H590" i="1"/>
  <c r="J590" i="1" s="1"/>
  <c r="H581" i="1"/>
  <c r="J581" i="1" s="1"/>
  <c r="H599" i="1"/>
  <c r="J599" i="1" s="1"/>
  <c r="H591" i="1"/>
  <c r="J591" i="1" s="1"/>
  <c r="H600" i="1"/>
  <c r="J600" i="1" s="1"/>
  <c r="H592" i="1"/>
  <c r="J592" i="1" s="1"/>
  <c r="H597" i="1"/>
  <c r="J597" i="1" s="1"/>
  <c r="H594" i="1"/>
  <c r="J594" i="1" s="1"/>
  <c r="J596" i="1"/>
  <c r="H598" i="1"/>
  <c r="J598" i="1" s="1"/>
  <c r="H584" i="1"/>
  <c r="J584" i="1" s="1"/>
  <c r="H589" i="1"/>
  <c r="J589" i="1" s="1"/>
  <c r="H583" i="1"/>
  <c r="J583" i="1" s="1"/>
  <c r="J587" i="1"/>
  <c r="H578" i="1"/>
  <c r="J578" i="1" s="1"/>
  <c r="H562" i="1"/>
  <c r="J562" i="1" s="1"/>
  <c r="H559" i="1"/>
  <c r="J559" i="1" s="1"/>
  <c r="H575" i="1"/>
  <c r="J575" i="1" s="1"/>
  <c r="H572" i="1"/>
  <c r="J572" i="1" s="1"/>
  <c r="H568" i="1"/>
  <c r="J568" i="1" s="1"/>
  <c r="H579" i="1"/>
  <c r="J579" i="1" s="1"/>
  <c r="H577" i="1"/>
  <c r="J577" i="1" s="1"/>
  <c r="H576" i="1"/>
  <c r="J576" i="1" s="1"/>
  <c r="H573" i="1"/>
  <c r="J573" i="1" s="1"/>
  <c r="H567" i="1"/>
  <c r="J567" i="1" s="1"/>
  <c r="H574" i="1"/>
  <c r="J574" i="1" s="1"/>
  <c r="H570" i="1"/>
  <c r="J570" i="1" s="1"/>
  <c r="H569" i="1"/>
  <c r="J569" i="1" s="1"/>
  <c r="H571" i="1"/>
  <c r="J571" i="1" s="1"/>
  <c r="H558" i="1"/>
  <c r="J558" i="1" s="1"/>
  <c r="H566" i="1"/>
  <c r="J566" i="1" s="1"/>
  <c r="H564" i="1"/>
  <c r="J564" i="1" s="1"/>
  <c r="H552" i="1"/>
  <c r="J552" i="1" s="1"/>
  <c r="H560" i="1"/>
  <c r="J560" i="1" s="1"/>
  <c r="H563" i="1"/>
  <c r="J563" i="1" s="1"/>
  <c r="H554" i="1"/>
  <c r="J554" i="1" s="1"/>
  <c r="H538" i="1"/>
  <c r="J538" i="1" s="1"/>
  <c r="H541" i="1"/>
  <c r="J541" i="1" s="1"/>
  <c r="H546" i="1"/>
  <c r="J546" i="1" s="1"/>
  <c r="H557" i="1"/>
  <c r="J557" i="1" s="1"/>
  <c r="H549" i="1"/>
  <c r="J549" i="1" s="1"/>
  <c r="H555" i="1"/>
  <c r="J555" i="1" s="1"/>
  <c r="H565" i="1"/>
  <c r="J565" i="1" s="1"/>
  <c r="H547" i="1"/>
  <c r="J547" i="1" s="1"/>
  <c r="H561" i="1"/>
  <c r="J561" i="1" s="1"/>
  <c r="H551" i="1"/>
  <c r="J551" i="1" s="1"/>
  <c r="H540" i="1"/>
  <c r="J540" i="1" s="1"/>
  <c r="H553" i="1"/>
  <c r="J553" i="1" s="1"/>
  <c r="H548" i="1"/>
  <c r="J548" i="1" s="1"/>
  <c r="H550" i="1"/>
  <c r="J550" i="1" s="1"/>
  <c r="H539" i="1"/>
  <c r="J539" i="1" s="1"/>
  <c r="H545" i="1"/>
  <c r="J545" i="1" s="1"/>
  <c r="H543" i="1"/>
  <c r="J543" i="1" s="1"/>
  <c r="H544" i="1"/>
  <c r="J544" i="1" s="1"/>
  <c r="H542" i="1"/>
  <c r="J542" i="1" s="1"/>
  <c r="H536" i="1"/>
  <c r="J536" i="1" s="1"/>
  <c r="H523" i="1"/>
  <c r="J523" i="1" s="1"/>
  <c r="H537" i="1"/>
  <c r="J537" i="1" s="1"/>
  <c r="H535" i="1"/>
  <c r="J535" i="1" s="1"/>
  <c r="H534" i="1"/>
  <c r="J534" i="1" s="1"/>
  <c r="H530" i="1"/>
  <c r="J530" i="1" s="1"/>
  <c r="H526" i="1"/>
  <c r="J526" i="1" s="1"/>
  <c r="H533" i="1"/>
  <c r="J533" i="1" s="1"/>
  <c r="H532" i="1"/>
  <c r="J532" i="1" s="1"/>
  <c r="H528" i="1"/>
  <c r="J528" i="1" s="1"/>
  <c r="H524" i="1"/>
  <c r="J524" i="1" s="1"/>
  <c r="H527" i="1"/>
  <c r="J527" i="1" s="1"/>
  <c r="H522" i="1"/>
  <c r="J522" i="1" s="1"/>
  <c r="H531" i="1"/>
  <c r="J531" i="1" s="1"/>
  <c r="H525" i="1"/>
  <c r="J525" i="1" s="1"/>
  <c r="H529" i="1"/>
  <c r="J529" i="1" s="1"/>
  <c r="H515" i="1"/>
  <c r="J515" i="1" s="1"/>
  <c r="H520" i="1"/>
  <c r="J520" i="1" s="1"/>
  <c r="H518" i="1"/>
  <c r="J518" i="1" s="1"/>
  <c r="H521" i="1"/>
  <c r="J521" i="1" s="1"/>
  <c r="H517" i="1"/>
  <c r="J517" i="1" s="1"/>
  <c r="H516" i="1"/>
  <c r="J516" i="1" s="1"/>
  <c r="H510" i="1"/>
  <c r="J510" i="1" s="1"/>
  <c r="H519" i="1"/>
  <c r="J519" i="1" s="1"/>
  <c r="H509" i="1"/>
  <c r="J509" i="1" s="1"/>
  <c r="H499" i="1"/>
  <c r="J499" i="1" s="1"/>
  <c r="H504" i="1"/>
  <c r="J504" i="1" s="1"/>
  <c r="H514" i="1"/>
  <c r="J514" i="1" s="1"/>
  <c r="H511" i="1"/>
  <c r="J511" i="1" s="1"/>
  <c r="H505" i="1"/>
  <c r="J505" i="1" s="1"/>
  <c r="H501" i="1"/>
  <c r="J501" i="1" s="1"/>
  <c r="H507" i="1"/>
  <c r="J507" i="1" s="1"/>
  <c r="H506" i="1"/>
  <c r="J506" i="1" s="1"/>
  <c r="H513" i="1"/>
  <c r="J513" i="1" s="1"/>
  <c r="H502" i="1"/>
  <c r="J502" i="1" s="1"/>
  <c r="H508" i="1"/>
  <c r="J508" i="1" s="1"/>
  <c r="H500" i="1"/>
  <c r="J500" i="1" s="1"/>
  <c r="H503" i="1"/>
  <c r="J503" i="1" s="1"/>
  <c r="H512" i="1"/>
  <c r="J512" i="1" s="1"/>
  <c r="H492" i="1"/>
  <c r="J492" i="1" s="1"/>
  <c r="H498" i="1"/>
  <c r="J498" i="1" s="1"/>
  <c r="H491" i="1"/>
  <c r="J491" i="1" s="1"/>
  <c r="H483" i="1"/>
  <c r="J483" i="1" s="1"/>
  <c r="H493" i="1"/>
  <c r="J493" i="1" s="1"/>
  <c r="H485" i="1"/>
  <c r="J485" i="1" s="1"/>
  <c r="H495" i="1"/>
  <c r="J495" i="1" s="1"/>
  <c r="H487" i="1"/>
  <c r="J487" i="1" s="1"/>
  <c r="H497" i="1"/>
  <c r="J497" i="1" s="1"/>
  <c r="H489" i="1"/>
  <c r="J489" i="1" s="1"/>
  <c r="H486" i="1"/>
  <c r="J486" i="1" s="1"/>
  <c r="H494" i="1"/>
  <c r="J494" i="1" s="1"/>
  <c r="H490" i="1"/>
  <c r="J490" i="1" s="1"/>
  <c r="H484" i="1"/>
  <c r="J484" i="1" s="1"/>
  <c r="H496" i="1"/>
  <c r="J496" i="1" s="1"/>
  <c r="H482" i="1"/>
  <c r="J482" i="1" s="1"/>
  <c r="H488" i="1"/>
  <c r="J488" i="1" s="1"/>
  <c r="H478" i="1"/>
  <c r="J478" i="1" s="1"/>
  <c r="H479" i="1"/>
  <c r="J479" i="1" s="1"/>
  <c r="H473" i="1"/>
  <c r="J473" i="1" s="1"/>
  <c r="H474" i="1"/>
  <c r="J474" i="1" s="1"/>
  <c r="H481" i="1"/>
  <c r="J481" i="1" s="1"/>
  <c r="H480" i="1"/>
  <c r="J480" i="1" s="1"/>
  <c r="H477" i="1"/>
  <c r="J477" i="1" s="1"/>
  <c r="H476" i="1"/>
  <c r="J476" i="1" s="1"/>
  <c r="H472" i="1"/>
  <c r="J472" i="1" s="1"/>
  <c r="H475" i="1"/>
  <c r="J475" i="1" s="1"/>
  <c r="H471" i="1"/>
  <c r="J471" i="1" s="1"/>
  <c r="H469" i="1"/>
  <c r="J469" i="1" s="1"/>
  <c r="H467" i="1"/>
  <c r="J467" i="1" s="1"/>
  <c r="H470" i="1"/>
  <c r="J470" i="1" s="1"/>
  <c r="H468" i="1"/>
  <c r="J468" i="1" s="1"/>
  <c r="H466" i="1"/>
  <c r="J466" i="1" s="1"/>
  <c r="G458" i="1" l="1"/>
  <c r="I458" i="1"/>
  <c r="G459" i="1"/>
  <c r="I459" i="1"/>
  <c r="G460" i="1"/>
  <c r="I460" i="1"/>
  <c r="G461" i="1"/>
  <c r="I461" i="1"/>
  <c r="G462" i="1"/>
  <c r="I462" i="1"/>
  <c r="G463" i="1"/>
  <c r="I463" i="1"/>
  <c r="G464" i="1"/>
  <c r="I464" i="1"/>
  <c r="G465" i="1"/>
  <c r="I465" i="1"/>
  <c r="E458" i="1"/>
  <c r="E459" i="1"/>
  <c r="E460" i="1"/>
  <c r="E461" i="1"/>
  <c r="E462" i="1"/>
  <c r="E463" i="1"/>
  <c r="E464" i="1"/>
  <c r="E465" i="1"/>
  <c r="G446" i="1"/>
  <c r="I446" i="1"/>
  <c r="G447" i="1"/>
  <c r="I447" i="1"/>
  <c r="G448" i="1"/>
  <c r="I448" i="1"/>
  <c r="G449" i="1"/>
  <c r="I449" i="1"/>
  <c r="G450" i="1"/>
  <c r="I450" i="1"/>
  <c r="G451" i="1"/>
  <c r="I451" i="1"/>
  <c r="G452" i="1"/>
  <c r="I452" i="1"/>
  <c r="G453" i="1"/>
  <c r="I453" i="1"/>
  <c r="G454" i="1"/>
  <c r="I454" i="1"/>
  <c r="G455" i="1"/>
  <c r="I455" i="1"/>
  <c r="G456" i="1"/>
  <c r="I456" i="1"/>
  <c r="G457" i="1"/>
  <c r="I457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G441" i="1"/>
  <c r="I441" i="1"/>
  <c r="G442" i="1"/>
  <c r="I442" i="1"/>
  <c r="G443" i="1"/>
  <c r="I443" i="1"/>
  <c r="G444" i="1"/>
  <c r="I444" i="1"/>
  <c r="G445" i="1"/>
  <c r="I445" i="1"/>
  <c r="E445" i="1"/>
  <c r="E441" i="1"/>
  <c r="E442" i="1"/>
  <c r="E443" i="1"/>
  <c r="E444" i="1"/>
  <c r="G431" i="1"/>
  <c r="I431" i="1"/>
  <c r="G432" i="1"/>
  <c r="I432" i="1"/>
  <c r="G433" i="1"/>
  <c r="I433" i="1"/>
  <c r="G434" i="1"/>
  <c r="I434" i="1"/>
  <c r="G435" i="1"/>
  <c r="I435" i="1"/>
  <c r="G436" i="1"/>
  <c r="I436" i="1"/>
  <c r="G437" i="1"/>
  <c r="I437" i="1"/>
  <c r="G438" i="1"/>
  <c r="I438" i="1"/>
  <c r="G439" i="1"/>
  <c r="I439" i="1"/>
  <c r="G440" i="1"/>
  <c r="I440" i="1"/>
  <c r="E431" i="1"/>
  <c r="E432" i="1"/>
  <c r="E433" i="1"/>
  <c r="E434" i="1"/>
  <c r="E435" i="1"/>
  <c r="E436" i="1"/>
  <c r="E437" i="1"/>
  <c r="E438" i="1"/>
  <c r="E439" i="1"/>
  <c r="E440" i="1"/>
  <c r="G426" i="1"/>
  <c r="I426" i="1"/>
  <c r="G427" i="1"/>
  <c r="I427" i="1"/>
  <c r="G428" i="1"/>
  <c r="I428" i="1"/>
  <c r="G429" i="1"/>
  <c r="I429" i="1"/>
  <c r="G430" i="1"/>
  <c r="I430" i="1"/>
  <c r="E426" i="1"/>
  <c r="E427" i="1"/>
  <c r="E428" i="1"/>
  <c r="E429" i="1"/>
  <c r="E430" i="1"/>
  <c r="E425" i="1"/>
  <c r="G425" i="1"/>
  <c r="I425" i="1"/>
  <c r="G424" i="1"/>
  <c r="I424" i="1"/>
  <c r="E424" i="1"/>
  <c r="G416" i="1"/>
  <c r="I416" i="1"/>
  <c r="G417" i="1"/>
  <c r="I417" i="1"/>
  <c r="G418" i="1"/>
  <c r="I418" i="1"/>
  <c r="G419" i="1"/>
  <c r="I419" i="1"/>
  <c r="G420" i="1"/>
  <c r="I420" i="1"/>
  <c r="G421" i="1"/>
  <c r="I421" i="1"/>
  <c r="G422" i="1"/>
  <c r="I422" i="1"/>
  <c r="G423" i="1"/>
  <c r="I423" i="1"/>
  <c r="E416" i="1"/>
  <c r="E417" i="1"/>
  <c r="E418" i="1"/>
  <c r="E419" i="1"/>
  <c r="E420" i="1"/>
  <c r="E421" i="1"/>
  <c r="E422" i="1"/>
  <c r="E423" i="1"/>
  <c r="V4" i="4"/>
  <c r="G411" i="1"/>
  <c r="I411" i="1"/>
  <c r="G412" i="1"/>
  <c r="I412" i="1"/>
  <c r="G413" i="1"/>
  <c r="I413" i="1"/>
  <c r="G414" i="1"/>
  <c r="I414" i="1"/>
  <c r="G415" i="1"/>
  <c r="I415" i="1"/>
  <c r="E411" i="1"/>
  <c r="E412" i="1"/>
  <c r="E413" i="1"/>
  <c r="E414" i="1"/>
  <c r="E415" i="1"/>
  <c r="G407" i="1"/>
  <c r="I407" i="1"/>
  <c r="G408" i="1"/>
  <c r="I408" i="1"/>
  <c r="G409" i="1"/>
  <c r="I409" i="1"/>
  <c r="G410" i="1"/>
  <c r="I410" i="1"/>
  <c r="E407" i="1"/>
  <c r="E408" i="1"/>
  <c r="E409" i="1"/>
  <c r="E410" i="1"/>
  <c r="G396" i="1"/>
  <c r="I396" i="1"/>
  <c r="G397" i="1"/>
  <c r="I397" i="1"/>
  <c r="G398" i="1"/>
  <c r="I398" i="1"/>
  <c r="G399" i="1"/>
  <c r="I399" i="1"/>
  <c r="G400" i="1"/>
  <c r="I400" i="1"/>
  <c r="G401" i="1"/>
  <c r="I401" i="1"/>
  <c r="G402" i="1"/>
  <c r="I402" i="1"/>
  <c r="G403" i="1"/>
  <c r="I403" i="1"/>
  <c r="G404" i="1"/>
  <c r="I404" i="1"/>
  <c r="G405" i="1"/>
  <c r="I405" i="1"/>
  <c r="G406" i="1"/>
  <c r="I406" i="1"/>
  <c r="E396" i="1"/>
  <c r="E397" i="1"/>
  <c r="E398" i="1"/>
  <c r="E399" i="1"/>
  <c r="E400" i="1"/>
  <c r="E401" i="1"/>
  <c r="E402" i="1"/>
  <c r="E403" i="1"/>
  <c r="E404" i="1"/>
  <c r="E405" i="1"/>
  <c r="E406" i="1"/>
  <c r="G381" i="1"/>
  <c r="I381" i="1"/>
  <c r="G382" i="1"/>
  <c r="I382" i="1"/>
  <c r="G383" i="1"/>
  <c r="I383" i="1"/>
  <c r="G384" i="1"/>
  <c r="I384" i="1"/>
  <c r="G385" i="1"/>
  <c r="I385" i="1"/>
  <c r="G386" i="1"/>
  <c r="I386" i="1"/>
  <c r="G387" i="1"/>
  <c r="I387" i="1"/>
  <c r="G388" i="1"/>
  <c r="I388" i="1"/>
  <c r="G389" i="1"/>
  <c r="I389" i="1"/>
  <c r="G390" i="1"/>
  <c r="I390" i="1"/>
  <c r="G391" i="1"/>
  <c r="I391" i="1"/>
  <c r="G392" i="1"/>
  <c r="I392" i="1"/>
  <c r="G393" i="1"/>
  <c r="I393" i="1"/>
  <c r="G394" i="1"/>
  <c r="I394" i="1"/>
  <c r="G395" i="1"/>
  <c r="I395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72" i="1"/>
  <c r="E371" i="1"/>
  <c r="E370" i="1"/>
  <c r="E369" i="1"/>
  <c r="E368" i="1"/>
  <c r="E367" i="1"/>
  <c r="E366" i="1"/>
  <c r="E365" i="1"/>
  <c r="E364" i="1"/>
  <c r="E363" i="1"/>
  <c r="G365" i="1"/>
  <c r="I365" i="1"/>
  <c r="G366" i="1"/>
  <c r="I366" i="1"/>
  <c r="G367" i="1"/>
  <c r="I367" i="1"/>
  <c r="G368" i="1"/>
  <c r="I368" i="1"/>
  <c r="G369" i="1"/>
  <c r="I369" i="1"/>
  <c r="G370" i="1"/>
  <c r="I370" i="1"/>
  <c r="G371" i="1"/>
  <c r="I371" i="1"/>
  <c r="G372" i="1"/>
  <c r="H372" i="1" s="1"/>
  <c r="I372" i="1"/>
  <c r="G373" i="1"/>
  <c r="I373" i="1"/>
  <c r="G374" i="1"/>
  <c r="I374" i="1"/>
  <c r="G375" i="1"/>
  <c r="I375" i="1"/>
  <c r="G376" i="1"/>
  <c r="I376" i="1"/>
  <c r="G377" i="1"/>
  <c r="I377" i="1"/>
  <c r="G378" i="1"/>
  <c r="I378" i="1"/>
  <c r="G379" i="1"/>
  <c r="I379" i="1"/>
  <c r="G380" i="1"/>
  <c r="I380" i="1"/>
  <c r="E380" i="1"/>
  <c r="E373" i="1"/>
  <c r="E374" i="1"/>
  <c r="E375" i="1"/>
  <c r="E376" i="1"/>
  <c r="E377" i="1"/>
  <c r="E378" i="1"/>
  <c r="E379" i="1"/>
  <c r="G358" i="1"/>
  <c r="I358" i="1"/>
  <c r="G359" i="1"/>
  <c r="I359" i="1"/>
  <c r="G360" i="1"/>
  <c r="I360" i="1"/>
  <c r="G361" i="1"/>
  <c r="I361" i="1"/>
  <c r="G362" i="1"/>
  <c r="I362" i="1"/>
  <c r="G363" i="1"/>
  <c r="I363" i="1"/>
  <c r="G364" i="1"/>
  <c r="I364" i="1"/>
  <c r="E358" i="1"/>
  <c r="E359" i="1"/>
  <c r="E360" i="1"/>
  <c r="E361" i="1"/>
  <c r="E362" i="1"/>
  <c r="H395" i="1" l="1"/>
  <c r="J395" i="1" s="1"/>
  <c r="H428" i="1"/>
  <c r="J428" i="1" s="1"/>
  <c r="H459" i="1"/>
  <c r="J459" i="1" s="1"/>
  <c r="H456" i="1"/>
  <c r="J456" i="1" s="1"/>
  <c r="H448" i="1"/>
  <c r="J448" i="1" s="1"/>
  <c r="H460" i="1"/>
  <c r="J460" i="1" s="1"/>
  <c r="V5" i="4"/>
  <c r="V6" i="4" s="1"/>
  <c r="H461" i="1"/>
  <c r="J461" i="1" s="1"/>
  <c r="H465" i="1"/>
  <c r="J465" i="1" s="1"/>
  <c r="H452" i="1"/>
  <c r="J452" i="1" s="1"/>
  <c r="H463" i="1"/>
  <c r="J463" i="1" s="1"/>
  <c r="H443" i="1"/>
  <c r="J443" i="1" s="1"/>
  <c r="H464" i="1"/>
  <c r="J464" i="1" s="1"/>
  <c r="H458" i="1"/>
  <c r="J458" i="1" s="1"/>
  <c r="H453" i="1"/>
  <c r="J453" i="1" s="1"/>
  <c r="H462" i="1"/>
  <c r="J462" i="1" s="1"/>
  <c r="H449" i="1"/>
  <c r="J449" i="1" s="1"/>
  <c r="H447" i="1"/>
  <c r="J447" i="1" s="1"/>
  <c r="H454" i="1"/>
  <c r="J454" i="1" s="1"/>
  <c r="H450" i="1"/>
  <c r="J450" i="1" s="1"/>
  <c r="H446" i="1"/>
  <c r="J446" i="1" s="1"/>
  <c r="H455" i="1"/>
  <c r="J455" i="1" s="1"/>
  <c r="H451" i="1"/>
  <c r="J451" i="1" s="1"/>
  <c r="H442" i="1"/>
  <c r="J442" i="1" s="1"/>
  <c r="H457" i="1"/>
  <c r="J457" i="1" s="1"/>
  <c r="H430" i="1"/>
  <c r="J430" i="1" s="1"/>
  <c r="H438" i="1"/>
  <c r="J438" i="1" s="1"/>
  <c r="H436" i="1"/>
  <c r="J436" i="1" s="1"/>
  <c r="H445" i="1"/>
  <c r="J445" i="1" s="1"/>
  <c r="H441" i="1"/>
  <c r="J441" i="1" s="1"/>
  <c r="H434" i="1"/>
  <c r="J434" i="1" s="1"/>
  <c r="H444" i="1"/>
  <c r="J444" i="1" s="1"/>
  <c r="H437" i="1"/>
  <c r="J437" i="1" s="1"/>
  <c r="H440" i="1"/>
  <c r="J440" i="1" s="1"/>
  <c r="H419" i="1"/>
  <c r="J419" i="1" s="1"/>
  <c r="H433" i="1"/>
  <c r="J433" i="1" s="1"/>
  <c r="H439" i="1"/>
  <c r="J439" i="1" s="1"/>
  <c r="H435" i="1"/>
  <c r="J435" i="1" s="1"/>
  <c r="H431" i="1"/>
  <c r="J431" i="1" s="1"/>
  <c r="H429" i="1"/>
  <c r="J429" i="1" s="1"/>
  <c r="H432" i="1"/>
  <c r="J432" i="1" s="1"/>
  <c r="H418" i="1"/>
  <c r="J418" i="1" s="1"/>
  <c r="H427" i="1"/>
  <c r="J427" i="1" s="1"/>
  <c r="H426" i="1"/>
  <c r="J426" i="1" s="1"/>
  <c r="H420" i="1"/>
  <c r="J420" i="1" s="1"/>
  <c r="H422" i="1"/>
  <c r="J422" i="1" s="1"/>
  <c r="H415" i="1"/>
  <c r="J415" i="1" s="1"/>
  <c r="H421" i="1"/>
  <c r="J421" i="1" s="1"/>
  <c r="H417" i="1"/>
  <c r="J417" i="1" s="1"/>
  <c r="H413" i="1"/>
  <c r="J413" i="1" s="1"/>
  <c r="H396" i="1"/>
  <c r="J396" i="1" s="1"/>
  <c r="H409" i="1"/>
  <c r="J409" i="1" s="1"/>
  <c r="H423" i="1"/>
  <c r="J423" i="1" s="1"/>
  <c r="H416" i="1"/>
  <c r="J416" i="1" s="1"/>
  <c r="H424" i="1"/>
  <c r="J424" i="1" s="1"/>
  <c r="H425" i="1"/>
  <c r="J425" i="1" s="1"/>
  <c r="H411" i="1"/>
  <c r="J411" i="1" s="1"/>
  <c r="H412" i="1"/>
  <c r="J412" i="1" s="1"/>
  <c r="H376" i="1"/>
  <c r="J376" i="1" s="1"/>
  <c r="H408" i="1"/>
  <c r="J408" i="1" s="1"/>
  <c r="H414" i="1"/>
  <c r="J414" i="1" s="1"/>
  <c r="H405" i="1"/>
  <c r="J405" i="1" s="1"/>
  <c r="H401" i="1"/>
  <c r="J401" i="1" s="1"/>
  <c r="H397" i="1"/>
  <c r="J397" i="1" s="1"/>
  <c r="H410" i="1"/>
  <c r="J410" i="1" s="1"/>
  <c r="H407" i="1"/>
  <c r="J407" i="1" s="1"/>
  <c r="H400" i="1"/>
  <c r="J400" i="1" s="1"/>
  <c r="H404" i="1"/>
  <c r="J404" i="1" s="1"/>
  <c r="H403" i="1"/>
  <c r="J403" i="1" s="1"/>
  <c r="H406" i="1"/>
  <c r="J406" i="1" s="1"/>
  <c r="H369" i="1"/>
  <c r="J369" i="1" s="1"/>
  <c r="H402" i="1"/>
  <c r="J402" i="1" s="1"/>
  <c r="H398" i="1"/>
  <c r="J398" i="1" s="1"/>
  <c r="H399" i="1"/>
  <c r="J399" i="1" s="1"/>
  <c r="H377" i="1"/>
  <c r="J377" i="1" s="1"/>
  <c r="H375" i="1"/>
  <c r="J375" i="1" s="1"/>
  <c r="H391" i="1"/>
  <c r="J391" i="1" s="1"/>
  <c r="H387" i="1"/>
  <c r="J387" i="1" s="1"/>
  <c r="H383" i="1"/>
  <c r="J383" i="1" s="1"/>
  <c r="H388" i="1"/>
  <c r="J388" i="1" s="1"/>
  <c r="H394" i="1"/>
  <c r="J394" i="1" s="1"/>
  <c r="H386" i="1"/>
  <c r="J386" i="1" s="1"/>
  <c r="H379" i="1"/>
  <c r="J379" i="1" s="1"/>
  <c r="H365" i="1"/>
  <c r="J365" i="1" s="1"/>
  <c r="H393" i="1"/>
  <c r="J393" i="1" s="1"/>
  <c r="H389" i="1"/>
  <c r="J389" i="1" s="1"/>
  <c r="H385" i="1"/>
  <c r="J385" i="1" s="1"/>
  <c r="H381" i="1"/>
  <c r="J381" i="1" s="1"/>
  <c r="H384" i="1"/>
  <c r="J384" i="1" s="1"/>
  <c r="H390" i="1"/>
  <c r="J390" i="1" s="1"/>
  <c r="H392" i="1"/>
  <c r="J392" i="1" s="1"/>
  <c r="H370" i="1"/>
  <c r="J370" i="1" s="1"/>
  <c r="H382" i="1"/>
  <c r="J382" i="1" s="1"/>
  <c r="H364" i="1"/>
  <c r="J364" i="1" s="1"/>
  <c r="H371" i="1"/>
  <c r="J371" i="1" s="1"/>
  <c r="H367" i="1"/>
  <c r="J367" i="1" s="1"/>
  <c r="H374" i="1"/>
  <c r="J374" i="1" s="1"/>
  <c r="H368" i="1"/>
  <c r="J368" i="1" s="1"/>
  <c r="H380" i="1"/>
  <c r="J380" i="1" s="1"/>
  <c r="H366" i="1"/>
  <c r="J366" i="1" s="1"/>
  <c r="H360" i="1"/>
  <c r="J360" i="1" s="1"/>
  <c r="H373" i="1"/>
  <c r="J373" i="1" s="1"/>
  <c r="H378" i="1"/>
  <c r="J378" i="1" s="1"/>
  <c r="J372" i="1"/>
  <c r="H361" i="1"/>
  <c r="J361" i="1" s="1"/>
  <c r="H359" i="1"/>
  <c r="J359" i="1" s="1"/>
  <c r="H363" i="1"/>
  <c r="J363" i="1" s="1"/>
  <c r="H362" i="1"/>
  <c r="J362" i="1" s="1"/>
  <c r="H358" i="1"/>
  <c r="J358" i="1" s="1"/>
  <c r="I352" i="1" l="1"/>
  <c r="G357" i="1"/>
  <c r="G356" i="1"/>
  <c r="G355" i="1"/>
  <c r="G354" i="1"/>
  <c r="G353" i="1"/>
  <c r="G352" i="1"/>
  <c r="E357" i="1"/>
  <c r="E356" i="1"/>
  <c r="E355" i="1"/>
  <c r="E354" i="1"/>
  <c r="E353" i="1"/>
  <c r="E352" i="1"/>
  <c r="I353" i="1"/>
  <c r="I354" i="1"/>
  <c r="I355" i="1"/>
  <c r="I356" i="1"/>
  <c r="I357" i="1"/>
  <c r="E348" i="1"/>
  <c r="E347" i="1"/>
  <c r="E346" i="1"/>
  <c r="E345" i="1"/>
  <c r="E344" i="1"/>
  <c r="E343" i="1"/>
  <c r="E342" i="1"/>
  <c r="E341" i="1"/>
  <c r="E340" i="1"/>
  <c r="G340" i="1"/>
  <c r="I340" i="1"/>
  <c r="G341" i="1"/>
  <c r="I341" i="1"/>
  <c r="G342" i="1"/>
  <c r="I342" i="1"/>
  <c r="G343" i="1"/>
  <c r="I343" i="1"/>
  <c r="G344" i="1"/>
  <c r="I344" i="1"/>
  <c r="G345" i="1"/>
  <c r="I345" i="1"/>
  <c r="G346" i="1"/>
  <c r="I346" i="1"/>
  <c r="G347" i="1"/>
  <c r="I347" i="1"/>
  <c r="G348" i="1"/>
  <c r="I348" i="1"/>
  <c r="G349" i="1"/>
  <c r="I349" i="1"/>
  <c r="G350" i="1"/>
  <c r="I350" i="1"/>
  <c r="G351" i="1"/>
  <c r="I351" i="1"/>
  <c r="E349" i="1"/>
  <c r="E350" i="1"/>
  <c r="E351" i="1"/>
  <c r="H340" i="1" l="1"/>
  <c r="J340" i="1" s="1"/>
  <c r="H347" i="1"/>
  <c r="H355" i="1"/>
  <c r="H345" i="1"/>
  <c r="J345" i="1" s="1"/>
  <c r="H357" i="1"/>
  <c r="J357" i="1" s="1"/>
  <c r="H341" i="1"/>
  <c r="J341" i="1" s="1"/>
  <c r="H348" i="1"/>
  <c r="J348" i="1" s="1"/>
  <c r="H356" i="1"/>
  <c r="J356" i="1" s="1"/>
  <c r="H349" i="1"/>
  <c r="J349" i="1" s="1"/>
  <c r="H353" i="1"/>
  <c r="J353" i="1" s="1"/>
  <c r="H343" i="1"/>
  <c r="J343" i="1" s="1"/>
  <c r="H350" i="1"/>
  <c r="J350" i="1" s="1"/>
  <c r="H352" i="1"/>
  <c r="J352" i="1" s="1"/>
  <c r="H354" i="1"/>
  <c r="J354" i="1" s="1"/>
  <c r="J355" i="1"/>
  <c r="H351" i="1"/>
  <c r="J351" i="1" s="1"/>
  <c r="H346" i="1"/>
  <c r="J346" i="1" s="1"/>
  <c r="H342" i="1"/>
  <c r="J342" i="1" s="1"/>
  <c r="H344" i="1"/>
  <c r="J344" i="1" s="1"/>
  <c r="J347" i="1"/>
  <c r="G336" i="1" l="1"/>
  <c r="I336" i="1"/>
  <c r="G337" i="1"/>
  <c r="I337" i="1"/>
  <c r="G338" i="1"/>
  <c r="I338" i="1"/>
  <c r="G339" i="1"/>
  <c r="I339" i="1"/>
  <c r="E336" i="1"/>
  <c r="E337" i="1"/>
  <c r="E338" i="1"/>
  <c r="E339" i="1"/>
  <c r="G324" i="1"/>
  <c r="I324" i="1"/>
  <c r="G325" i="1"/>
  <c r="I325" i="1"/>
  <c r="G326" i="1"/>
  <c r="I326" i="1"/>
  <c r="G327" i="1"/>
  <c r="I327" i="1"/>
  <c r="G328" i="1"/>
  <c r="I328" i="1"/>
  <c r="G329" i="1"/>
  <c r="I329" i="1"/>
  <c r="G330" i="1"/>
  <c r="I330" i="1"/>
  <c r="G331" i="1"/>
  <c r="I331" i="1"/>
  <c r="G332" i="1"/>
  <c r="I332" i="1"/>
  <c r="G333" i="1"/>
  <c r="I333" i="1"/>
  <c r="G334" i="1"/>
  <c r="I334" i="1"/>
  <c r="G335" i="1"/>
  <c r="I335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G320" i="1"/>
  <c r="I320" i="1"/>
  <c r="G321" i="1"/>
  <c r="I321" i="1"/>
  <c r="G322" i="1"/>
  <c r="I322" i="1"/>
  <c r="G323" i="1"/>
  <c r="I323" i="1"/>
  <c r="E320" i="1"/>
  <c r="E321" i="1"/>
  <c r="E322" i="1"/>
  <c r="E323" i="1"/>
  <c r="I319" i="1"/>
  <c r="I318" i="1"/>
  <c r="I317" i="1"/>
  <c r="I316" i="1"/>
  <c r="I315" i="1"/>
  <c r="I314" i="1"/>
  <c r="I313" i="1"/>
  <c r="I312" i="1"/>
  <c r="G319" i="1"/>
  <c r="G318" i="1"/>
  <c r="G317" i="1"/>
  <c r="G316" i="1"/>
  <c r="G315" i="1"/>
  <c r="G314" i="1"/>
  <c r="G313" i="1"/>
  <c r="G312" i="1"/>
  <c r="G311" i="1"/>
  <c r="E319" i="1"/>
  <c r="E318" i="1"/>
  <c r="E317" i="1"/>
  <c r="E316" i="1"/>
  <c r="E315" i="1"/>
  <c r="E314" i="1"/>
  <c r="E313" i="1"/>
  <c r="E312" i="1"/>
  <c r="E311" i="1"/>
  <c r="V8" i="4"/>
  <c r="E309" i="1"/>
  <c r="E308" i="1"/>
  <c r="E307" i="1"/>
  <c r="E306" i="1"/>
  <c r="G306" i="1"/>
  <c r="I306" i="1"/>
  <c r="G307" i="1"/>
  <c r="I307" i="1"/>
  <c r="G308" i="1"/>
  <c r="I308" i="1"/>
  <c r="G309" i="1"/>
  <c r="I309" i="1"/>
  <c r="G310" i="1"/>
  <c r="I310" i="1"/>
  <c r="I311" i="1"/>
  <c r="E310" i="1"/>
  <c r="H320" i="1" l="1"/>
  <c r="J320" i="1" s="1"/>
  <c r="H332" i="1"/>
  <c r="J332" i="1" s="1"/>
  <c r="H338" i="1"/>
  <c r="J338" i="1" s="1"/>
  <c r="H306" i="1"/>
  <c r="J306" i="1" s="1"/>
  <c r="H313" i="1"/>
  <c r="J313" i="1" s="1"/>
  <c r="H333" i="1"/>
  <c r="J333" i="1" s="1"/>
  <c r="H339" i="1"/>
  <c r="J339" i="1" s="1"/>
  <c r="H328" i="1"/>
  <c r="J328" i="1" s="1"/>
  <c r="H334" i="1"/>
  <c r="J334" i="1" s="1"/>
  <c r="H314" i="1"/>
  <c r="J314" i="1" s="1"/>
  <c r="H335" i="1"/>
  <c r="J335" i="1" s="1"/>
  <c r="H331" i="1"/>
  <c r="J331" i="1" s="1"/>
  <c r="H330" i="1"/>
  <c r="J330" i="1" s="1"/>
  <c r="H337" i="1"/>
  <c r="J337" i="1" s="1"/>
  <c r="H322" i="1"/>
  <c r="J322" i="1" s="1"/>
  <c r="H327" i="1"/>
  <c r="J327" i="1" s="1"/>
  <c r="H336" i="1"/>
  <c r="J336" i="1" s="1"/>
  <c r="H309" i="1"/>
  <c r="J309" i="1" s="1"/>
  <c r="H329" i="1"/>
  <c r="J329" i="1" s="1"/>
  <c r="H325" i="1"/>
  <c r="J325" i="1" s="1"/>
  <c r="H326" i="1"/>
  <c r="J326" i="1" s="1"/>
  <c r="H321" i="1"/>
  <c r="J321" i="1" s="1"/>
  <c r="H316" i="1"/>
  <c r="J316" i="1" s="1"/>
  <c r="H324" i="1"/>
  <c r="J324" i="1" s="1"/>
  <c r="H323" i="1"/>
  <c r="J323" i="1" s="1"/>
  <c r="H310" i="1"/>
  <c r="J310" i="1" s="1"/>
  <c r="H317" i="1"/>
  <c r="J317" i="1" s="1"/>
  <c r="H318" i="1"/>
  <c r="J318" i="1" s="1"/>
  <c r="H311" i="1"/>
  <c r="J311" i="1" s="1"/>
  <c r="H312" i="1"/>
  <c r="J312" i="1" s="1"/>
  <c r="H315" i="1"/>
  <c r="J315" i="1" s="1"/>
  <c r="H319" i="1"/>
  <c r="J319" i="1" s="1"/>
  <c r="H307" i="1"/>
  <c r="J307" i="1" s="1"/>
  <c r="H308" i="1"/>
  <c r="J308" i="1" s="1"/>
  <c r="P3" i="5" l="1"/>
  <c r="P2" i="5"/>
  <c r="O3" i="5"/>
  <c r="O2" i="5"/>
  <c r="G303" i="4"/>
  <c r="I303" i="4"/>
  <c r="I305" i="1"/>
  <c r="I304" i="1"/>
  <c r="I303" i="1"/>
  <c r="I302" i="1"/>
  <c r="I301" i="1"/>
  <c r="G305" i="1"/>
  <c r="G304" i="1"/>
  <c r="G303" i="1"/>
  <c r="G302" i="1"/>
  <c r="G301" i="1"/>
  <c r="E302" i="1"/>
  <c r="E301" i="1"/>
  <c r="E303" i="1"/>
  <c r="E304" i="1"/>
  <c r="E305" i="1"/>
  <c r="H302" i="1" l="1"/>
  <c r="J302" i="1" s="1"/>
  <c r="H305" i="1"/>
  <c r="J305" i="1" s="1"/>
  <c r="H301" i="1"/>
  <c r="J301" i="1" s="1"/>
  <c r="H304" i="1"/>
  <c r="J304" i="1" s="1"/>
  <c r="H303" i="1"/>
  <c r="J303" i="1" s="1"/>
  <c r="G290" i="1" l="1"/>
  <c r="G288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I288" i="1"/>
  <c r="G289" i="1"/>
  <c r="I289" i="1"/>
  <c r="I290" i="1"/>
  <c r="G291" i="1"/>
  <c r="I291" i="1"/>
  <c r="G292" i="1"/>
  <c r="I292" i="1"/>
  <c r="G293" i="1"/>
  <c r="I293" i="1"/>
  <c r="G294" i="1"/>
  <c r="I294" i="1"/>
  <c r="G295" i="1"/>
  <c r="I295" i="1"/>
  <c r="G296" i="1"/>
  <c r="I296" i="1"/>
  <c r="G297" i="1"/>
  <c r="I297" i="1"/>
  <c r="G298" i="1"/>
  <c r="I298" i="1"/>
  <c r="G299" i="1"/>
  <c r="H299" i="1" s="1"/>
  <c r="I299" i="1"/>
  <c r="G300" i="1"/>
  <c r="I300" i="1"/>
  <c r="J4" i="5"/>
  <c r="L3" i="5"/>
  <c r="O4" i="5"/>
  <c r="I287" i="1"/>
  <c r="I286" i="1"/>
  <c r="I285" i="1"/>
  <c r="I284" i="1"/>
  <c r="G287" i="1"/>
  <c r="G286" i="1"/>
  <c r="G285" i="1"/>
  <c r="G284" i="1"/>
  <c r="G283" i="1"/>
  <c r="E287" i="1"/>
  <c r="E286" i="1"/>
  <c r="E285" i="1"/>
  <c r="E284" i="1"/>
  <c r="H290" i="1" l="1"/>
  <c r="H293" i="1"/>
  <c r="J293" i="1" s="1"/>
  <c r="H288" i="1"/>
  <c r="H291" i="1"/>
  <c r="H284" i="1"/>
  <c r="J284" i="1" s="1"/>
  <c r="H285" i="1"/>
  <c r="J285" i="1" s="1"/>
  <c r="H298" i="1"/>
  <c r="J298" i="1" s="1"/>
  <c r="H296" i="1"/>
  <c r="J296" i="1" s="1"/>
  <c r="H295" i="1"/>
  <c r="J295" i="1" s="1"/>
  <c r="H292" i="1"/>
  <c r="J292" i="1" s="1"/>
  <c r="H300" i="1"/>
  <c r="J300" i="1" s="1"/>
  <c r="H297" i="1"/>
  <c r="J297" i="1" s="1"/>
  <c r="H289" i="1"/>
  <c r="J289" i="1" s="1"/>
  <c r="H294" i="1"/>
  <c r="J294" i="1" s="1"/>
  <c r="J288" i="1"/>
  <c r="J291" i="1"/>
  <c r="J290" i="1"/>
  <c r="J299" i="1"/>
  <c r="H286" i="1"/>
  <c r="J286" i="1" s="1"/>
  <c r="H287" i="1"/>
  <c r="J287" i="1" s="1"/>
  <c r="E277" i="1" l="1"/>
  <c r="E275" i="1"/>
  <c r="E274" i="1"/>
  <c r="G274" i="1"/>
  <c r="I274" i="1"/>
  <c r="G275" i="1"/>
  <c r="I275" i="1"/>
  <c r="G276" i="1"/>
  <c r="I276" i="1"/>
  <c r="G277" i="1"/>
  <c r="H277" i="1" s="1"/>
  <c r="I277" i="1"/>
  <c r="G278" i="1"/>
  <c r="I278" i="1"/>
  <c r="G279" i="1"/>
  <c r="I279" i="1"/>
  <c r="G280" i="1"/>
  <c r="I280" i="1"/>
  <c r="G281" i="1"/>
  <c r="I281" i="1"/>
  <c r="G282" i="1"/>
  <c r="I282" i="1"/>
  <c r="I283" i="1"/>
  <c r="E283" i="1"/>
  <c r="H283" i="1" s="1"/>
  <c r="E276" i="1"/>
  <c r="E278" i="1"/>
  <c r="E279" i="1"/>
  <c r="E280" i="1"/>
  <c r="E281" i="1"/>
  <c r="E282" i="1"/>
  <c r="I273" i="1"/>
  <c r="I272" i="1"/>
  <c r="I271" i="1"/>
  <c r="I270" i="1"/>
  <c r="G273" i="1"/>
  <c r="G272" i="1"/>
  <c r="G271" i="1"/>
  <c r="G270" i="1"/>
  <c r="E272" i="1"/>
  <c r="E271" i="1"/>
  <c r="E270" i="1"/>
  <c r="E273" i="1"/>
  <c r="H276" i="1" l="1"/>
  <c r="J276" i="1" s="1"/>
  <c r="H280" i="1"/>
  <c r="J280" i="1" s="1"/>
  <c r="H274" i="1"/>
  <c r="J274" i="1" s="1"/>
  <c r="H278" i="1"/>
  <c r="J278" i="1" s="1"/>
  <c r="H281" i="1"/>
  <c r="J281" i="1" s="1"/>
  <c r="H270" i="1"/>
  <c r="J270" i="1" s="1"/>
  <c r="H271" i="1"/>
  <c r="J271" i="1" s="1"/>
  <c r="H272" i="1"/>
  <c r="J272" i="1" s="1"/>
  <c r="H273" i="1"/>
  <c r="J273" i="1" s="1"/>
  <c r="H282" i="1"/>
  <c r="J282" i="1" s="1"/>
  <c r="H279" i="1"/>
  <c r="J279" i="1" s="1"/>
  <c r="H275" i="1"/>
  <c r="J275" i="1" s="1"/>
  <c r="J283" i="1"/>
  <c r="J277" i="1"/>
  <c r="E268" i="1" l="1"/>
  <c r="E267" i="1"/>
  <c r="E266" i="1"/>
  <c r="E265" i="1"/>
  <c r="E264" i="1"/>
  <c r="E263" i="1"/>
  <c r="E262" i="1"/>
  <c r="E261" i="1"/>
  <c r="E260" i="1"/>
  <c r="G261" i="1"/>
  <c r="I261" i="1"/>
  <c r="G262" i="1"/>
  <c r="I262" i="1"/>
  <c r="G263" i="1"/>
  <c r="I263" i="1"/>
  <c r="G264" i="1"/>
  <c r="I264" i="1"/>
  <c r="G265" i="1"/>
  <c r="I265" i="1"/>
  <c r="G266" i="1"/>
  <c r="I266" i="1"/>
  <c r="G267" i="1"/>
  <c r="I267" i="1"/>
  <c r="G268" i="1"/>
  <c r="I268" i="1"/>
  <c r="G269" i="1"/>
  <c r="I269" i="1"/>
  <c r="E269" i="1"/>
  <c r="I258" i="1"/>
  <c r="I260" i="1"/>
  <c r="I259" i="1"/>
  <c r="I257" i="1"/>
  <c r="G260" i="1"/>
  <c r="H260" i="1" s="1"/>
  <c r="G259" i="1"/>
  <c r="G258" i="1"/>
  <c r="G257" i="1"/>
  <c r="E259" i="1"/>
  <c r="E258" i="1"/>
  <c r="E257" i="1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I256" i="1"/>
  <c r="I255" i="1"/>
  <c r="I254" i="1"/>
  <c r="I253" i="1"/>
  <c r="I252" i="1"/>
  <c r="I251" i="1"/>
  <c r="I250" i="1"/>
  <c r="I249" i="1"/>
  <c r="I248" i="1"/>
  <c r="I247" i="1"/>
  <c r="G256" i="1"/>
  <c r="G255" i="1"/>
  <c r="G254" i="1"/>
  <c r="G253" i="1"/>
  <c r="G252" i="1"/>
  <c r="G251" i="1"/>
  <c r="G250" i="1"/>
  <c r="G249" i="1"/>
  <c r="E255" i="1"/>
  <c r="E254" i="1"/>
  <c r="E253" i="1"/>
  <c r="E252" i="1"/>
  <c r="E251" i="1"/>
  <c r="E250" i="1"/>
  <c r="E249" i="1"/>
  <c r="E256" i="1"/>
  <c r="G247" i="1"/>
  <c r="G246" i="1"/>
  <c r="G244" i="1"/>
  <c r="G243" i="1"/>
  <c r="G242" i="1"/>
  <c r="G241" i="1"/>
  <c r="G240" i="1"/>
  <c r="G239" i="1"/>
  <c r="G238" i="1"/>
  <c r="G237" i="1"/>
  <c r="G236" i="1"/>
  <c r="I236" i="1"/>
  <c r="I237" i="1"/>
  <c r="I238" i="1"/>
  <c r="I239" i="1"/>
  <c r="I240" i="1"/>
  <c r="I241" i="1"/>
  <c r="I242" i="1"/>
  <c r="I243" i="1"/>
  <c r="I244" i="1"/>
  <c r="G245" i="1"/>
  <c r="I245" i="1"/>
  <c r="I246" i="1"/>
  <c r="G248" i="1"/>
  <c r="E241" i="1"/>
  <c r="E240" i="1"/>
  <c r="E239" i="1"/>
  <c r="E238" i="1"/>
  <c r="E237" i="1"/>
  <c r="E236" i="1"/>
  <c r="E242" i="1"/>
  <c r="E243" i="1"/>
  <c r="E244" i="1"/>
  <c r="E245" i="1"/>
  <c r="E246" i="1"/>
  <c r="E247" i="1"/>
  <c r="E248" i="1"/>
  <c r="H261" i="1" l="1"/>
  <c r="H269" i="1"/>
  <c r="J269" i="1" s="1"/>
  <c r="H238" i="1"/>
  <c r="J238" i="1" s="1"/>
  <c r="H252" i="1"/>
  <c r="J252" i="1" s="1"/>
  <c r="H264" i="1"/>
  <c r="J264" i="1" s="1"/>
  <c r="H257" i="1"/>
  <c r="J257" i="1" s="1"/>
  <c r="H262" i="1"/>
  <c r="J262" i="1" s="1"/>
  <c r="H267" i="1"/>
  <c r="J267" i="1" s="1"/>
  <c r="H265" i="1"/>
  <c r="J265" i="1" s="1"/>
  <c r="H254" i="1"/>
  <c r="J254" i="1" s="1"/>
  <c r="H263" i="1"/>
  <c r="J263" i="1" s="1"/>
  <c r="H266" i="1"/>
  <c r="J266" i="1" s="1"/>
  <c r="H256" i="1"/>
  <c r="J256" i="1" s="1"/>
  <c r="H236" i="1"/>
  <c r="J236" i="1" s="1"/>
  <c r="H240" i="1"/>
  <c r="J240" i="1" s="1"/>
  <c r="H250" i="1"/>
  <c r="J250" i="1" s="1"/>
  <c r="H242" i="1"/>
  <c r="J242" i="1" s="1"/>
  <c r="H258" i="1"/>
  <c r="J258" i="1" s="1"/>
  <c r="H253" i="1"/>
  <c r="J253" i="1" s="1"/>
  <c r="H259" i="1"/>
  <c r="J259" i="1" s="1"/>
  <c r="H268" i="1"/>
  <c r="J268" i="1" s="1"/>
  <c r="H255" i="1"/>
  <c r="J255" i="1" s="1"/>
  <c r="J261" i="1"/>
  <c r="H251" i="1"/>
  <c r="J251" i="1" s="1"/>
  <c r="H244" i="1"/>
  <c r="J244" i="1" s="1"/>
  <c r="H241" i="1"/>
  <c r="J241" i="1" s="1"/>
  <c r="H237" i="1"/>
  <c r="J237" i="1" s="1"/>
  <c r="H248" i="1"/>
  <c r="J248" i="1" s="1"/>
  <c r="H247" i="1"/>
  <c r="J247" i="1" s="1"/>
  <c r="H239" i="1"/>
  <c r="J239" i="1" s="1"/>
  <c r="J260" i="1"/>
  <c r="H243" i="1"/>
  <c r="J243" i="1" s="1"/>
  <c r="H249" i="1"/>
  <c r="J249" i="1" s="1"/>
  <c r="H245" i="1"/>
  <c r="J245" i="1" s="1"/>
  <c r="H246" i="1"/>
  <c r="J246" i="1" s="1"/>
  <c r="I235" i="1" l="1"/>
  <c r="I234" i="1"/>
  <c r="I233" i="1"/>
  <c r="I232" i="1"/>
  <c r="I231" i="1"/>
  <c r="E235" i="1"/>
  <c r="E234" i="1"/>
  <c r="E233" i="1"/>
  <c r="E232" i="1"/>
  <c r="E231" i="1"/>
  <c r="G235" i="1"/>
  <c r="G234" i="1"/>
  <c r="G233" i="1"/>
  <c r="G232" i="1"/>
  <c r="H232" i="1" s="1"/>
  <c r="I224" i="1"/>
  <c r="I223" i="1"/>
  <c r="I222" i="1"/>
  <c r="G231" i="1"/>
  <c r="H231" i="1" s="1"/>
  <c r="G230" i="1"/>
  <c r="G229" i="1"/>
  <c r="G228" i="1"/>
  <c r="G227" i="1"/>
  <c r="G226" i="1"/>
  <c r="G225" i="1"/>
  <c r="G224" i="1"/>
  <c r="G223" i="1"/>
  <c r="G222" i="1"/>
  <c r="E230" i="1"/>
  <c r="E229" i="1"/>
  <c r="E228" i="1"/>
  <c r="E227" i="1"/>
  <c r="E226" i="1"/>
  <c r="E225" i="1"/>
  <c r="E224" i="1"/>
  <c r="E223" i="1"/>
  <c r="I225" i="1"/>
  <c r="I226" i="1"/>
  <c r="I227" i="1"/>
  <c r="I228" i="1"/>
  <c r="I229" i="1"/>
  <c r="I230" i="1"/>
  <c r="G20" i="5"/>
  <c r="G218" i="1"/>
  <c r="I218" i="1"/>
  <c r="G219" i="1"/>
  <c r="I219" i="1"/>
  <c r="G220" i="1"/>
  <c r="I220" i="1"/>
  <c r="G221" i="1"/>
  <c r="I221" i="1"/>
  <c r="E218" i="1"/>
  <c r="E219" i="1"/>
  <c r="E220" i="1"/>
  <c r="E221" i="1"/>
  <c r="E222" i="1"/>
  <c r="G204" i="1"/>
  <c r="I204" i="1"/>
  <c r="G205" i="1"/>
  <c r="I205" i="1"/>
  <c r="G206" i="1"/>
  <c r="I206" i="1"/>
  <c r="G207" i="1"/>
  <c r="I207" i="1"/>
  <c r="G208" i="1"/>
  <c r="I208" i="1"/>
  <c r="G209" i="1"/>
  <c r="I209" i="1"/>
  <c r="G210" i="1"/>
  <c r="I210" i="1"/>
  <c r="G211" i="1"/>
  <c r="I211" i="1"/>
  <c r="G212" i="1"/>
  <c r="I212" i="1"/>
  <c r="G213" i="1"/>
  <c r="I213" i="1"/>
  <c r="G214" i="1"/>
  <c r="I214" i="1"/>
  <c r="G215" i="1"/>
  <c r="I215" i="1"/>
  <c r="G216" i="1"/>
  <c r="I216" i="1"/>
  <c r="G217" i="1"/>
  <c r="I217" i="1"/>
  <c r="E216" i="1"/>
  <c r="E217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G199" i="1"/>
  <c r="I199" i="1"/>
  <c r="G200" i="1"/>
  <c r="I200" i="1"/>
  <c r="G201" i="1"/>
  <c r="I201" i="1"/>
  <c r="G202" i="1"/>
  <c r="I202" i="1"/>
  <c r="G203" i="1"/>
  <c r="I203" i="1"/>
  <c r="E199" i="1"/>
  <c r="E200" i="1"/>
  <c r="E201" i="1"/>
  <c r="E202" i="1"/>
  <c r="E203" i="1"/>
  <c r="G183" i="1"/>
  <c r="I183" i="1"/>
  <c r="G184" i="1"/>
  <c r="I184" i="1"/>
  <c r="G185" i="1"/>
  <c r="I185" i="1"/>
  <c r="G186" i="1"/>
  <c r="I186" i="1"/>
  <c r="G187" i="1"/>
  <c r="I187" i="1"/>
  <c r="G188" i="1"/>
  <c r="I188" i="1"/>
  <c r="G189" i="1"/>
  <c r="I189" i="1"/>
  <c r="G190" i="1"/>
  <c r="I190" i="1"/>
  <c r="G191" i="1"/>
  <c r="I191" i="1"/>
  <c r="G192" i="1"/>
  <c r="I192" i="1"/>
  <c r="G193" i="1"/>
  <c r="I193" i="1"/>
  <c r="G194" i="1"/>
  <c r="I194" i="1"/>
  <c r="G195" i="1"/>
  <c r="I195" i="1"/>
  <c r="G196" i="1"/>
  <c r="I196" i="1"/>
  <c r="G197" i="1"/>
  <c r="I197" i="1"/>
  <c r="G198" i="1"/>
  <c r="I198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G172" i="1"/>
  <c r="I172" i="1"/>
  <c r="G173" i="1"/>
  <c r="I173" i="1"/>
  <c r="G174" i="1"/>
  <c r="I174" i="1"/>
  <c r="G175" i="1"/>
  <c r="I175" i="1"/>
  <c r="G176" i="1"/>
  <c r="I176" i="1"/>
  <c r="G177" i="1"/>
  <c r="I177" i="1"/>
  <c r="G178" i="1"/>
  <c r="I178" i="1"/>
  <c r="G179" i="1"/>
  <c r="I179" i="1"/>
  <c r="G180" i="1"/>
  <c r="I180" i="1"/>
  <c r="G181" i="1"/>
  <c r="I181" i="1"/>
  <c r="G182" i="1"/>
  <c r="I182" i="1"/>
  <c r="E172" i="1"/>
  <c r="E173" i="1"/>
  <c r="E174" i="1"/>
  <c r="E175" i="1"/>
  <c r="E176" i="1"/>
  <c r="E177" i="1"/>
  <c r="E178" i="1"/>
  <c r="E179" i="1"/>
  <c r="E180" i="1"/>
  <c r="E181" i="1"/>
  <c r="E182" i="1"/>
  <c r="G155" i="1"/>
  <c r="I155" i="1"/>
  <c r="G156" i="1"/>
  <c r="I156" i="1"/>
  <c r="G157" i="1"/>
  <c r="I157" i="1"/>
  <c r="G158" i="1"/>
  <c r="I158" i="1"/>
  <c r="G159" i="1"/>
  <c r="I159" i="1"/>
  <c r="G160" i="1"/>
  <c r="I160" i="1"/>
  <c r="G161" i="1"/>
  <c r="I161" i="1"/>
  <c r="G162" i="1"/>
  <c r="I162" i="1"/>
  <c r="G163" i="1"/>
  <c r="I163" i="1"/>
  <c r="G164" i="1"/>
  <c r="I164" i="1"/>
  <c r="G165" i="1"/>
  <c r="I165" i="1"/>
  <c r="G166" i="1"/>
  <c r="I166" i="1"/>
  <c r="G167" i="1"/>
  <c r="I167" i="1"/>
  <c r="G168" i="1"/>
  <c r="I168" i="1"/>
  <c r="G169" i="1"/>
  <c r="I169" i="1"/>
  <c r="G170" i="1"/>
  <c r="I170" i="1"/>
  <c r="G171" i="1"/>
  <c r="I171" i="1"/>
  <c r="E155" i="1"/>
  <c r="E156" i="1"/>
  <c r="E157" i="1"/>
  <c r="E158" i="1"/>
  <c r="E159" i="1"/>
  <c r="E160" i="1"/>
  <c r="E161" i="1"/>
  <c r="E162" i="1"/>
  <c r="E163" i="1"/>
  <c r="E164" i="1"/>
  <c r="E165" i="1"/>
  <c r="H165" i="1" s="1"/>
  <c r="E166" i="1"/>
  <c r="E167" i="1"/>
  <c r="E168" i="1"/>
  <c r="E169" i="1"/>
  <c r="E170" i="1"/>
  <c r="E171" i="1"/>
  <c r="G153" i="1"/>
  <c r="I153" i="1"/>
  <c r="G154" i="1"/>
  <c r="I154" i="1"/>
  <c r="E153" i="1"/>
  <c r="E154" i="1"/>
  <c r="G145" i="1"/>
  <c r="I145" i="1"/>
  <c r="G146" i="1"/>
  <c r="I146" i="1"/>
  <c r="G147" i="1"/>
  <c r="I147" i="1"/>
  <c r="G148" i="1"/>
  <c r="I148" i="1"/>
  <c r="G149" i="1"/>
  <c r="I149" i="1"/>
  <c r="G150" i="1"/>
  <c r="I150" i="1"/>
  <c r="G151" i="1"/>
  <c r="I151" i="1"/>
  <c r="G152" i="1"/>
  <c r="I152" i="1"/>
  <c r="E145" i="1"/>
  <c r="E146" i="1"/>
  <c r="E147" i="1"/>
  <c r="E148" i="1"/>
  <c r="E149" i="1"/>
  <c r="E150" i="1"/>
  <c r="E151" i="1"/>
  <c r="E152" i="1"/>
  <c r="G131" i="1"/>
  <c r="I131" i="1"/>
  <c r="G132" i="1"/>
  <c r="I132" i="1"/>
  <c r="G133" i="1"/>
  <c r="I133" i="1"/>
  <c r="G134" i="1"/>
  <c r="I134" i="1"/>
  <c r="G135" i="1"/>
  <c r="I135" i="1"/>
  <c r="G136" i="1"/>
  <c r="I136" i="1"/>
  <c r="G137" i="1"/>
  <c r="I137" i="1"/>
  <c r="G138" i="1"/>
  <c r="I138" i="1"/>
  <c r="G139" i="1"/>
  <c r="I139" i="1"/>
  <c r="G140" i="1"/>
  <c r="I140" i="1"/>
  <c r="G141" i="1"/>
  <c r="I141" i="1"/>
  <c r="G142" i="1"/>
  <c r="I142" i="1"/>
  <c r="G143" i="1"/>
  <c r="I143" i="1"/>
  <c r="G144" i="1"/>
  <c r="I144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I128" i="1"/>
  <c r="I129" i="1"/>
  <c r="I130" i="1"/>
  <c r="G130" i="1"/>
  <c r="G128" i="1"/>
  <c r="G129" i="1"/>
  <c r="E128" i="1"/>
  <c r="E129" i="1"/>
  <c r="E130" i="1"/>
  <c r="G116" i="1"/>
  <c r="I116" i="1"/>
  <c r="G117" i="1"/>
  <c r="I117" i="1"/>
  <c r="G118" i="1"/>
  <c r="I118" i="1"/>
  <c r="G119" i="1"/>
  <c r="I119" i="1"/>
  <c r="G120" i="1"/>
  <c r="I120" i="1"/>
  <c r="G121" i="1"/>
  <c r="I121" i="1"/>
  <c r="G122" i="1"/>
  <c r="I122" i="1"/>
  <c r="G123" i="1"/>
  <c r="I123" i="1"/>
  <c r="G124" i="1"/>
  <c r="I124" i="1"/>
  <c r="G125" i="1"/>
  <c r="I125" i="1"/>
  <c r="G126" i="1"/>
  <c r="I126" i="1"/>
  <c r="G127" i="1"/>
  <c r="I127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G113" i="1"/>
  <c r="I113" i="1"/>
  <c r="G114" i="1"/>
  <c r="I114" i="1"/>
  <c r="G115" i="1"/>
  <c r="I115" i="1"/>
  <c r="E113" i="1"/>
  <c r="E114" i="1"/>
  <c r="E115" i="1"/>
  <c r="G103" i="1"/>
  <c r="I103" i="1"/>
  <c r="G104" i="1"/>
  <c r="I104" i="1"/>
  <c r="G105" i="1"/>
  <c r="I105" i="1"/>
  <c r="G106" i="1"/>
  <c r="I106" i="1"/>
  <c r="G107" i="1"/>
  <c r="I107" i="1"/>
  <c r="G108" i="1"/>
  <c r="I108" i="1"/>
  <c r="G109" i="1"/>
  <c r="I109" i="1"/>
  <c r="G110" i="1"/>
  <c r="I110" i="1"/>
  <c r="G111" i="1"/>
  <c r="I111" i="1"/>
  <c r="G112" i="1"/>
  <c r="I112" i="1"/>
  <c r="E103" i="1"/>
  <c r="E104" i="1"/>
  <c r="E105" i="1"/>
  <c r="E106" i="1"/>
  <c r="E107" i="1"/>
  <c r="E108" i="1"/>
  <c r="E109" i="1"/>
  <c r="E110" i="1"/>
  <c r="H110" i="1" s="1"/>
  <c r="E111" i="1"/>
  <c r="E112" i="1"/>
  <c r="G98" i="1"/>
  <c r="I98" i="1"/>
  <c r="G99" i="1"/>
  <c r="I99" i="1"/>
  <c r="G100" i="1"/>
  <c r="I100" i="1"/>
  <c r="G101" i="1"/>
  <c r="I101" i="1"/>
  <c r="G102" i="1"/>
  <c r="I102" i="1"/>
  <c r="E98" i="1"/>
  <c r="E99" i="1"/>
  <c r="E100" i="1"/>
  <c r="E101" i="1"/>
  <c r="E102" i="1"/>
  <c r="G94" i="1"/>
  <c r="I94" i="1"/>
  <c r="G95" i="1"/>
  <c r="I95" i="1"/>
  <c r="G96" i="1"/>
  <c r="I96" i="1"/>
  <c r="G97" i="1"/>
  <c r="I97" i="1"/>
  <c r="E94" i="1"/>
  <c r="E95" i="1"/>
  <c r="E96" i="1"/>
  <c r="E97" i="1"/>
  <c r="G81" i="1"/>
  <c r="I81" i="1"/>
  <c r="G82" i="1"/>
  <c r="I82" i="1"/>
  <c r="G83" i="1"/>
  <c r="I83" i="1"/>
  <c r="G84" i="1"/>
  <c r="I84" i="1"/>
  <c r="G85" i="1"/>
  <c r="I85" i="1"/>
  <c r="G86" i="1"/>
  <c r="I86" i="1"/>
  <c r="G87" i="1"/>
  <c r="I87" i="1"/>
  <c r="G88" i="1"/>
  <c r="I88" i="1"/>
  <c r="G89" i="1"/>
  <c r="I89" i="1"/>
  <c r="G90" i="1"/>
  <c r="H90" i="1" s="1"/>
  <c r="I90" i="1"/>
  <c r="G91" i="1"/>
  <c r="I91" i="1"/>
  <c r="G92" i="1"/>
  <c r="I92" i="1"/>
  <c r="G93" i="1"/>
  <c r="I93" i="1"/>
  <c r="E87" i="1"/>
  <c r="E88" i="1"/>
  <c r="E89" i="1"/>
  <c r="E90" i="1"/>
  <c r="E91" i="1"/>
  <c r="E92" i="1"/>
  <c r="E93" i="1"/>
  <c r="E81" i="1"/>
  <c r="E82" i="1"/>
  <c r="E83" i="1"/>
  <c r="E84" i="1"/>
  <c r="E85" i="1"/>
  <c r="E86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E80" i="1"/>
  <c r="E79" i="1"/>
  <c r="E78" i="1"/>
  <c r="E77" i="1"/>
  <c r="E65" i="1"/>
  <c r="E66" i="1"/>
  <c r="E67" i="1"/>
  <c r="E68" i="1"/>
  <c r="E69" i="1"/>
  <c r="E70" i="1"/>
  <c r="E71" i="1"/>
  <c r="E72" i="1"/>
  <c r="E73" i="1"/>
  <c r="E74" i="1"/>
  <c r="E75" i="1"/>
  <c r="E76" i="1"/>
  <c r="L2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J2" i="5"/>
  <c r="J3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E4" i="5"/>
  <c r="E3" i="5"/>
  <c r="E2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C2" i="5"/>
  <c r="I62" i="1"/>
  <c r="I63" i="1"/>
  <c r="I64" i="1"/>
  <c r="G62" i="1"/>
  <c r="G63" i="1"/>
  <c r="G64" i="1"/>
  <c r="E62" i="1"/>
  <c r="E63" i="1"/>
  <c r="E64" i="1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I2" i="4"/>
  <c r="G2" i="4"/>
  <c r="I54" i="1"/>
  <c r="I55" i="1"/>
  <c r="I56" i="1"/>
  <c r="I57" i="1"/>
  <c r="I58" i="1"/>
  <c r="I59" i="1"/>
  <c r="I60" i="1"/>
  <c r="I61" i="1"/>
  <c r="G54" i="1"/>
  <c r="G55" i="1"/>
  <c r="G56" i="1"/>
  <c r="G57" i="1"/>
  <c r="G58" i="1"/>
  <c r="G59" i="1"/>
  <c r="G60" i="1"/>
  <c r="G61" i="1"/>
  <c r="E54" i="1"/>
  <c r="E55" i="1"/>
  <c r="E56" i="1"/>
  <c r="E57" i="1"/>
  <c r="E58" i="1"/>
  <c r="E59" i="1"/>
  <c r="E60" i="1"/>
  <c r="E6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6" i="1"/>
  <c r="I44" i="1"/>
  <c r="I45" i="1"/>
  <c r="I46" i="1"/>
  <c r="I47" i="1"/>
  <c r="I48" i="1"/>
  <c r="I49" i="1"/>
  <c r="I50" i="1"/>
  <c r="I51" i="1"/>
  <c r="I52" i="1"/>
  <c r="I53" i="1"/>
  <c r="B1" i="4"/>
  <c r="J1008" i="4" s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6" i="1"/>
  <c r="H114" i="1" l="1"/>
  <c r="K1008" i="4"/>
  <c r="H75" i="1"/>
  <c r="J75" i="1" s="1"/>
  <c r="H67" i="1"/>
  <c r="J67" i="1" s="1"/>
  <c r="H93" i="1"/>
  <c r="J93" i="1" s="1"/>
  <c r="H96" i="1"/>
  <c r="J96" i="1" s="1"/>
  <c r="H129" i="1"/>
  <c r="J129" i="1" s="1"/>
  <c r="B4" i="5"/>
  <c r="B3" i="5"/>
  <c r="B2" i="5"/>
  <c r="H122" i="1"/>
  <c r="J122" i="1" s="1"/>
  <c r="H100" i="1"/>
  <c r="J100" i="1" s="1"/>
  <c r="H123" i="1"/>
  <c r="J123" i="1" s="1"/>
  <c r="H115" i="1"/>
  <c r="J115" i="1" s="1"/>
  <c r="H82" i="1"/>
  <c r="J82" i="1" s="1"/>
  <c r="F4" i="5"/>
  <c r="H222" i="1"/>
  <c r="J222" i="1" s="1"/>
  <c r="H84" i="1"/>
  <c r="J84" i="1" s="1"/>
  <c r="H91" i="1"/>
  <c r="J91" i="1" s="1"/>
  <c r="H126" i="1"/>
  <c r="J126" i="1" s="1"/>
  <c r="H118" i="1"/>
  <c r="J118" i="1" s="1"/>
  <c r="J332" i="4"/>
  <c r="H88" i="1"/>
  <c r="J88" i="1" s="1"/>
  <c r="H81" i="1"/>
  <c r="J81" i="1" s="1"/>
  <c r="H108" i="1"/>
  <c r="J108" i="1" s="1"/>
  <c r="H86" i="1"/>
  <c r="J86" i="1" s="1"/>
  <c r="H120" i="1"/>
  <c r="J120" i="1" s="1"/>
  <c r="H77" i="1"/>
  <c r="J77" i="1" s="1"/>
  <c r="H101" i="1"/>
  <c r="J101" i="1" s="1"/>
  <c r="H109" i="1"/>
  <c r="J109" i="1" s="1"/>
  <c r="H117" i="1"/>
  <c r="J117" i="1" s="1"/>
  <c r="H124" i="1"/>
  <c r="J124" i="1" s="1"/>
  <c r="H116" i="1"/>
  <c r="J116" i="1" s="1"/>
  <c r="H104" i="1"/>
  <c r="J104" i="1" s="1"/>
  <c r="H74" i="1"/>
  <c r="J74" i="1" s="1"/>
  <c r="N32" i="5"/>
  <c r="M32" i="5"/>
  <c r="M16" i="5"/>
  <c r="N24" i="5"/>
  <c r="N16" i="5"/>
  <c r="N8" i="5"/>
  <c r="H66" i="1"/>
  <c r="J66" i="1" s="1"/>
  <c r="H78" i="1"/>
  <c r="J78" i="1" s="1"/>
  <c r="H70" i="1"/>
  <c r="J70" i="1" s="1"/>
  <c r="H89" i="1"/>
  <c r="J89" i="1" s="1"/>
  <c r="H87" i="1"/>
  <c r="J87" i="1" s="1"/>
  <c r="H83" i="1"/>
  <c r="J83" i="1" s="1"/>
  <c r="H94" i="1"/>
  <c r="J94" i="1" s="1"/>
  <c r="H112" i="1"/>
  <c r="J112" i="1" s="1"/>
  <c r="H125" i="1"/>
  <c r="J125" i="1" s="1"/>
  <c r="H130" i="1"/>
  <c r="J130" i="1" s="1"/>
  <c r="M23" i="5"/>
  <c r="H179" i="1"/>
  <c r="J179" i="1" s="1"/>
  <c r="M13" i="5"/>
  <c r="H95" i="1"/>
  <c r="J95" i="1" s="1"/>
  <c r="J308" i="4"/>
  <c r="K308" i="4" s="1"/>
  <c r="M308" i="4" s="1"/>
  <c r="J314" i="4"/>
  <c r="J313" i="4"/>
  <c r="J312" i="4"/>
  <c r="K312" i="4" s="1"/>
  <c r="M312" i="4" s="1"/>
  <c r="J311" i="4"/>
  <c r="J310" i="4"/>
  <c r="K310" i="4" s="1"/>
  <c r="M310" i="4" s="1"/>
  <c r="J309" i="4"/>
  <c r="J315" i="4"/>
  <c r="K315" i="4" s="1"/>
  <c r="M315" i="4" s="1"/>
  <c r="M8" i="5"/>
  <c r="H121" i="1"/>
  <c r="J121" i="1" s="1"/>
  <c r="H106" i="1"/>
  <c r="J106" i="1" s="1"/>
  <c r="J9" i="4"/>
  <c r="J17" i="4"/>
  <c r="J25" i="4"/>
  <c r="J33" i="4"/>
  <c r="J41" i="4"/>
  <c r="J49" i="4"/>
  <c r="K49" i="4" s="1"/>
  <c r="M49" i="4" s="1"/>
  <c r="J57" i="4"/>
  <c r="J65" i="4"/>
  <c r="J73" i="4"/>
  <c r="J81" i="4"/>
  <c r="K81" i="4" s="1"/>
  <c r="M81" i="4" s="1"/>
  <c r="J89" i="4"/>
  <c r="J97" i="4"/>
  <c r="J105" i="4"/>
  <c r="J113" i="4"/>
  <c r="J121" i="4"/>
  <c r="J129" i="4"/>
  <c r="K129" i="4" s="1"/>
  <c r="M129" i="4" s="1"/>
  <c r="J137" i="4"/>
  <c r="J145" i="4"/>
  <c r="J153" i="4"/>
  <c r="J161" i="4"/>
  <c r="K161" i="4" s="1"/>
  <c r="M161" i="4" s="1"/>
  <c r="J169" i="4"/>
  <c r="J177" i="4"/>
  <c r="J185" i="4"/>
  <c r="J193" i="4"/>
  <c r="J201" i="4"/>
  <c r="J209" i="4"/>
  <c r="J217" i="4"/>
  <c r="J225" i="4"/>
  <c r="J233" i="4"/>
  <c r="J241" i="4"/>
  <c r="Q241" i="4" s="1"/>
  <c r="J249" i="4"/>
  <c r="J257" i="4"/>
  <c r="J265" i="4"/>
  <c r="J273" i="4"/>
  <c r="J281" i="4"/>
  <c r="J289" i="4"/>
  <c r="J297" i="4"/>
  <c r="J306" i="4"/>
  <c r="K306" i="4" s="1"/>
  <c r="M306" i="4" s="1"/>
  <c r="J323" i="4"/>
  <c r="K323" i="4" s="1"/>
  <c r="M323" i="4" s="1"/>
  <c r="J331" i="4"/>
  <c r="J339" i="4"/>
  <c r="K339" i="4" s="1"/>
  <c r="M339" i="4" s="1"/>
  <c r="J347" i="4"/>
  <c r="J355" i="4"/>
  <c r="J363" i="4"/>
  <c r="J371" i="4"/>
  <c r="J379" i="4"/>
  <c r="J387" i="4"/>
  <c r="J395" i="4"/>
  <c r="J403" i="4"/>
  <c r="J411" i="4"/>
  <c r="J419" i="4"/>
  <c r="J427" i="4"/>
  <c r="J435" i="4"/>
  <c r="J443" i="4"/>
  <c r="J451" i="4"/>
  <c r="J459" i="4"/>
  <c r="J467" i="4"/>
  <c r="J475" i="4"/>
  <c r="J483" i="4"/>
  <c r="J491" i="4"/>
  <c r="J499" i="4"/>
  <c r="J507" i="4"/>
  <c r="J515" i="4"/>
  <c r="J523" i="4"/>
  <c r="J531" i="4"/>
  <c r="J539" i="4"/>
  <c r="J547" i="4"/>
  <c r="J555" i="4"/>
  <c r="K555" i="4" s="1"/>
  <c r="M555" i="4" s="1"/>
  <c r="J563" i="4"/>
  <c r="J571" i="4"/>
  <c r="J579" i="4"/>
  <c r="J587" i="4"/>
  <c r="J595" i="4"/>
  <c r="J603" i="4"/>
  <c r="K603" i="4" s="1"/>
  <c r="M603" i="4" s="1"/>
  <c r="J611" i="4"/>
  <c r="J619" i="4"/>
  <c r="J2" i="4"/>
  <c r="J10" i="4"/>
  <c r="J18" i="4"/>
  <c r="K18" i="4" s="1"/>
  <c r="M18" i="4" s="1"/>
  <c r="J26" i="4"/>
  <c r="J34" i="4"/>
  <c r="J42" i="4"/>
  <c r="K42" i="4" s="1"/>
  <c r="M42" i="4" s="1"/>
  <c r="J50" i="4"/>
  <c r="J58" i="4"/>
  <c r="J66" i="4"/>
  <c r="J74" i="4"/>
  <c r="J82" i="4"/>
  <c r="J90" i="4"/>
  <c r="J98" i="4"/>
  <c r="J106" i="4"/>
  <c r="J114" i="4"/>
  <c r="J122" i="4"/>
  <c r="J130" i="4"/>
  <c r="J138" i="4"/>
  <c r="J146" i="4"/>
  <c r="K146" i="4" s="1"/>
  <c r="M146" i="4" s="1"/>
  <c r="J154" i="4"/>
  <c r="J162" i="4"/>
  <c r="J170" i="4"/>
  <c r="J178" i="4"/>
  <c r="K178" i="4" s="1"/>
  <c r="M178" i="4" s="1"/>
  <c r="J186" i="4"/>
  <c r="J194" i="4"/>
  <c r="J202" i="4"/>
  <c r="J210" i="4"/>
  <c r="J218" i="4"/>
  <c r="J226" i="4"/>
  <c r="J234" i="4"/>
  <c r="Q234" i="4" s="1"/>
  <c r="J242" i="4"/>
  <c r="J250" i="4"/>
  <c r="J258" i="4"/>
  <c r="J266" i="4"/>
  <c r="K266" i="4" s="1"/>
  <c r="M266" i="4" s="1"/>
  <c r="J274" i="4"/>
  <c r="K274" i="4" s="1"/>
  <c r="M274" i="4" s="1"/>
  <c r="J282" i="4"/>
  <c r="J290" i="4"/>
  <c r="J298" i="4"/>
  <c r="J307" i="4"/>
  <c r="K307" i="4" s="1"/>
  <c r="M307" i="4" s="1"/>
  <c r="J316" i="4"/>
  <c r="J324" i="4"/>
  <c r="K324" i="4" s="1"/>
  <c r="M324" i="4" s="1"/>
  <c r="J340" i="4"/>
  <c r="J348" i="4"/>
  <c r="J356" i="4"/>
  <c r="J364" i="4"/>
  <c r="J372" i="4"/>
  <c r="J380" i="4"/>
  <c r="J388" i="4"/>
  <c r="J396" i="4"/>
  <c r="J404" i="4"/>
  <c r="J412" i="4"/>
  <c r="J420" i="4"/>
  <c r="J428" i="4"/>
  <c r="J436" i="4"/>
  <c r="K436" i="4" s="1"/>
  <c r="M436" i="4" s="1"/>
  <c r="J444" i="4"/>
  <c r="K444" i="4" s="1"/>
  <c r="M444" i="4" s="1"/>
  <c r="J452" i="4"/>
  <c r="J460" i="4"/>
  <c r="J468" i="4"/>
  <c r="J476" i="4"/>
  <c r="J484" i="4"/>
  <c r="J492" i="4"/>
  <c r="J500" i="4"/>
  <c r="J508" i="4"/>
  <c r="J516" i="4"/>
  <c r="J524" i="4"/>
  <c r="J532" i="4"/>
  <c r="J540" i="4"/>
  <c r="J548" i="4"/>
  <c r="J556" i="4"/>
  <c r="J564" i="4"/>
  <c r="J572" i="4"/>
  <c r="J580" i="4"/>
  <c r="J588" i="4"/>
  <c r="J596" i="4"/>
  <c r="J604" i="4"/>
  <c r="J612" i="4"/>
  <c r="J620" i="4"/>
  <c r="J628" i="4"/>
  <c r="J636" i="4"/>
  <c r="J3" i="4"/>
  <c r="K3" i="4" s="1"/>
  <c r="M3" i="4" s="1"/>
  <c r="J11" i="4"/>
  <c r="J19" i="4"/>
  <c r="J27" i="4"/>
  <c r="J35" i="4"/>
  <c r="J43" i="4"/>
  <c r="J51" i="4"/>
  <c r="K51" i="4" s="1"/>
  <c r="M51" i="4" s="1"/>
  <c r="J59" i="4"/>
  <c r="K59" i="4" s="1"/>
  <c r="M59" i="4" s="1"/>
  <c r="J67" i="4"/>
  <c r="K67" i="4" s="1"/>
  <c r="M67" i="4" s="1"/>
  <c r="J75" i="4"/>
  <c r="J83" i="4"/>
  <c r="J91" i="4"/>
  <c r="J99" i="4"/>
  <c r="K99" i="4" s="1"/>
  <c r="M99" i="4" s="1"/>
  <c r="J107" i="4"/>
  <c r="J115" i="4"/>
  <c r="J123" i="4"/>
  <c r="J131" i="4"/>
  <c r="J139" i="4"/>
  <c r="J147" i="4"/>
  <c r="J155" i="4"/>
  <c r="K155" i="4" s="1"/>
  <c r="M155" i="4" s="1"/>
  <c r="J163" i="4"/>
  <c r="J171" i="4"/>
  <c r="J179" i="4"/>
  <c r="J187" i="4"/>
  <c r="J195" i="4"/>
  <c r="K195" i="4" s="1"/>
  <c r="M195" i="4" s="1"/>
  <c r="J203" i="4"/>
  <c r="J211" i="4"/>
  <c r="J219" i="4"/>
  <c r="J227" i="4"/>
  <c r="K227" i="4" s="1"/>
  <c r="M227" i="4" s="1"/>
  <c r="J235" i="4"/>
  <c r="Q235" i="4" s="1"/>
  <c r="J243" i="4"/>
  <c r="J251" i="4"/>
  <c r="J259" i="4"/>
  <c r="K259" i="4" s="1"/>
  <c r="M259" i="4" s="1"/>
  <c r="J267" i="4"/>
  <c r="K267" i="4" s="1"/>
  <c r="M267" i="4" s="1"/>
  <c r="J275" i="4"/>
  <c r="K275" i="4" s="1"/>
  <c r="M275" i="4" s="1"/>
  <c r="J283" i="4"/>
  <c r="J291" i="4"/>
  <c r="J299" i="4"/>
  <c r="K299" i="4" s="1"/>
  <c r="M299" i="4" s="1"/>
  <c r="J317" i="4"/>
  <c r="K317" i="4" s="1"/>
  <c r="M317" i="4" s="1"/>
  <c r="J325" i="4"/>
  <c r="K325" i="4" s="1"/>
  <c r="M325" i="4" s="1"/>
  <c r="J333" i="4"/>
  <c r="J341" i="4"/>
  <c r="J349" i="4"/>
  <c r="J357" i="4"/>
  <c r="J365" i="4"/>
  <c r="J373" i="4"/>
  <c r="K373" i="4" s="1"/>
  <c r="M373" i="4" s="1"/>
  <c r="J381" i="4"/>
  <c r="J389" i="4"/>
  <c r="J397" i="4"/>
  <c r="J405" i="4"/>
  <c r="K405" i="4" s="1"/>
  <c r="M405" i="4" s="1"/>
  <c r="J413" i="4"/>
  <c r="J421" i="4"/>
  <c r="J429" i="4"/>
  <c r="J437" i="4"/>
  <c r="J445" i="4"/>
  <c r="J453" i="4"/>
  <c r="J461" i="4"/>
  <c r="J469" i="4"/>
  <c r="K469" i="4" s="1"/>
  <c r="M469" i="4" s="1"/>
  <c r="J477" i="4"/>
  <c r="J485" i="4"/>
  <c r="J493" i="4"/>
  <c r="K493" i="4" s="1"/>
  <c r="M493" i="4" s="1"/>
  <c r="J501" i="4"/>
  <c r="J509" i="4"/>
  <c r="J517" i="4"/>
  <c r="K517" i="4" s="1"/>
  <c r="M517" i="4" s="1"/>
  <c r="J525" i="4"/>
  <c r="K525" i="4" s="1"/>
  <c r="M525" i="4" s="1"/>
  <c r="J533" i="4"/>
  <c r="K533" i="4" s="1"/>
  <c r="M533" i="4" s="1"/>
  <c r="J541" i="4"/>
  <c r="J549" i="4"/>
  <c r="J557" i="4"/>
  <c r="J565" i="4"/>
  <c r="J573" i="4"/>
  <c r="J581" i="4"/>
  <c r="J589" i="4"/>
  <c r="J597" i="4"/>
  <c r="J605" i="4"/>
  <c r="J613" i="4"/>
  <c r="K613" i="4" s="1"/>
  <c r="M613" i="4" s="1"/>
  <c r="J621" i="4"/>
  <c r="J8" i="4"/>
  <c r="J16" i="4"/>
  <c r="J24" i="4"/>
  <c r="J32" i="4"/>
  <c r="J40" i="4"/>
  <c r="J48" i="4"/>
  <c r="J56" i="4"/>
  <c r="K56" i="4" s="1"/>
  <c r="M56" i="4" s="1"/>
  <c r="J64" i="4"/>
  <c r="J72" i="4"/>
  <c r="J80" i="4"/>
  <c r="J88" i="4"/>
  <c r="J96" i="4"/>
  <c r="K96" i="4" s="1"/>
  <c r="M96" i="4" s="1"/>
  <c r="J104" i="4"/>
  <c r="J112" i="4"/>
  <c r="K112" i="4" s="1"/>
  <c r="M112" i="4" s="1"/>
  <c r="J120" i="4"/>
  <c r="J128" i="4"/>
  <c r="J136" i="4"/>
  <c r="K136" i="4" s="1"/>
  <c r="M136" i="4" s="1"/>
  <c r="J144" i="4"/>
  <c r="J152" i="4"/>
  <c r="J160" i="4"/>
  <c r="J168" i="4"/>
  <c r="J176" i="4"/>
  <c r="J184" i="4"/>
  <c r="J192" i="4"/>
  <c r="J200" i="4"/>
  <c r="J208" i="4"/>
  <c r="J216" i="4"/>
  <c r="J224" i="4"/>
  <c r="J232" i="4"/>
  <c r="J240" i="4"/>
  <c r="J248" i="4"/>
  <c r="J256" i="4"/>
  <c r="J264" i="4"/>
  <c r="J272" i="4"/>
  <c r="K272" i="4" s="1"/>
  <c r="M272" i="4" s="1"/>
  <c r="J280" i="4"/>
  <c r="J288" i="4"/>
  <c r="J296" i="4"/>
  <c r="K296" i="4" s="1"/>
  <c r="M296" i="4" s="1"/>
  <c r="J305" i="4"/>
  <c r="J322" i="4"/>
  <c r="J330" i="4"/>
  <c r="J338" i="4"/>
  <c r="K338" i="4" s="1"/>
  <c r="M338" i="4" s="1"/>
  <c r="J346" i="4"/>
  <c r="J354" i="4"/>
  <c r="J362" i="4"/>
  <c r="J370" i="4"/>
  <c r="J378" i="4"/>
  <c r="J386" i="4"/>
  <c r="J394" i="4"/>
  <c r="J402" i="4"/>
  <c r="K402" i="4" s="1"/>
  <c r="M402" i="4" s="1"/>
  <c r="J410" i="4"/>
  <c r="J418" i="4"/>
  <c r="J426" i="4"/>
  <c r="J434" i="4"/>
  <c r="J442" i="4"/>
  <c r="J450" i="4"/>
  <c r="K450" i="4" s="1"/>
  <c r="M450" i="4" s="1"/>
  <c r="J458" i="4"/>
  <c r="J466" i="4"/>
  <c r="J474" i="4"/>
  <c r="J482" i="4"/>
  <c r="J490" i="4"/>
  <c r="K490" i="4" s="1"/>
  <c r="M490" i="4" s="1"/>
  <c r="J498" i="4"/>
  <c r="J506" i="4"/>
  <c r="K506" i="4" s="1"/>
  <c r="M506" i="4" s="1"/>
  <c r="J514" i="4"/>
  <c r="J522" i="4"/>
  <c r="J530" i="4"/>
  <c r="J538" i="4"/>
  <c r="J546" i="4"/>
  <c r="J554" i="4"/>
  <c r="J562" i="4"/>
  <c r="J570" i="4"/>
  <c r="K570" i="4" s="1"/>
  <c r="M570" i="4" s="1"/>
  <c r="J578" i="4"/>
  <c r="J586" i="4"/>
  <c r="J594" i="4"/>
  <c r="J602" i="4"/>
  <c r="J610" i="4"/>
  <c r="J618" i="4"/>
  <c r="J626" i="4"/>
  <c r="J634" i="4"/>
  <c r="J642" i="4"/>
  <c r="J650" i="4"/>
  <c r="K650" i="4" s="1"/>
  <c r="M650" i="4" s="1"/>
  <c r="J658" i="4"/>
  <c r="K658" i="4" s="1"/>
  <c r="M658" i="4" s="1"/>
  <c r="J666" i="4"/>
  <c r="J674" i="4"/>
  <c r="J682" i="4"/>
  <c r="J4" i="4"/>
  <c r="K4" i="4" s="1"/>
  <c r="M4" i="4" s="1"/>
  <c r="J20" i="4"/>
  <c r="J36" i="4"/>
  <c r="J52" i="4"/>
  <c r="J68" i="4"/>
  <c r="J84" i="4"/>
  <c r="J100" i="4"/>
  <c r="J116" i="4"/>
  <c r="J132" i="4"/>
  <c r="J148" i="4"/>
  <c r="J164" i="4"/>
  <c r="J180" i="4"/>
  <c r="J196" i="4"/>
  <c r="K196" i="4" s="1"/>
  <c r="M196" i="4" s="1"/>
  <c r="J212" i="4"/>
  <c r="J228" i="4"/>
  <c r="J244" i="4"/>
  <c r="J260" i="4"/>
  <c r="J276" i="4"/>
  <c r="J292" i="4"/>
  <c r="K292" i="4" s="1"/>
  <c r="M292" i="4" s="1"/>
  <c r="J326" i="4"/>
  <c r="J342" i="4"/>
  <c r="K342" i="4" s="1"/>
  <c r="M342" i="4" s="1"/>
  <c r="J358" i="4"/>
  <c r="K358" i="4" s="1"/>
  <c r="M358" i="4" s="1"/>
  <c r="J374" i="4"/>
  <c r="J390" i="4"/>
  <c r="J406" i="4"/>
  <c r="J422" i="4"/>
  <c r="K422" i="4" s="1"/>
  <c r="M422" i="4" s="1"/>
  <c r="J438" i="4"/>
  <c r="J454" i="4"/>
  <c r="J470" i="4"/>
  <c r="J486" i="4"/>
  <c r="J502" i="4"/>
  <c r="J518" i="4"/>
  <c r="J534" i="4"/>
  <c r="J550" i="4"/>
  <c r="J566" i="4"/>
  <c r="J582" i="4"/>
  <c r="J598" i="4"/>
  <c r="J614" i="4"/>
  <c r="J627" i="4"/>
  <c r="J638" i="4"/>
  <c r="K638" i="4" s="1"/>
  <c r="M638" i="4" s="1"/>
  <c r="J647" i="4"/>
  <c r="J656" i="4"/>
  <c r="J665" i="4"/>
  <c r="J675" i="4"/>
  <c r="K675" i="4" s="1"/>
  <c r="M675" i="4" s="1"/>
  <c r="J684" i="4"/>
  <c r="J692" i="4"/>
  <c r="J700" i="4"/>
  <c r="J708" i="4"/>
  <c r="J716" i="4"/>
  <c r="J724" i="4"/>
  <c r="J732" i="4"/>
  <c r="K732" i="4" s="1"/>
  <c r="M732" i="4" s="1"/>
  <c r="J740" i="4"/>
  <c r="K740" i="4" s="1"/>
  <c r="M740" i="4" s="1"/>
  <c r="J748" i="4"/>
  <c r="J756" i="4"/>
  <c r="J764" i="4"/>
  <c r="J772" i="4"/>
  <c r="J780" i="4"/>
  <c r="J788" i="4"/>
  <c r="K788" i="4" s="1"/>
  <c r="M788" i="4" s="1"/>
  <c r="J796" i="4"/>
  <c r="J804" i="4"/>
  <c r="K804" i="4" s="1"/>
  <c r="M804" i="4" s="1"/>
  <c r="J812" i="4"/>
  <c r="J820" i="4"/>
  <c r="J827" i="4"/>
  <c r="J835" i="4"/>
  <c r="J843" i="4"/>
  <c r="J851" i="4"/>
  <c r="J859" i="4"/>
  <c r="J867" i="4"/>
  <c r="J875" i="4"/>
  <c r="K875" i="4" s="1"/>
  <c r="M875" i="4" s="1"/>
  <c r="J883" i="4"/>
  <c r="J891" i="4"/>
  <c r="J899" i="4"/>
  <c r="K899" i="4" s="1"/>
  <c r="M899" i="4" s="1"/>
  <c r="J907" i="4"/>
  <c r="J915" i="4"/>
  <c r="J923" i="4"/>
  <c r="J931" i="4"/>
  <c r="J939" i="4"/>
  <c r="J947" i="4"/>
  <c r="J955" i="4"/>
  <c r="K955" i="4" s="1"/>
  <c r="M955" i="4" s="1"/>
  <c r="J963" i="4"/>
  <c r="J971" i="4"/>
  <c r="K971" i="4" s="1"/>
  <c r="M971" i="4" s="1"/>
  <c r="J979" i="4"/>
  <c r="J987" i="4"/>
  <c r="J995" i="4"/>
  <c r="K995" i="4" s="1"/>
  <c r="M995" i="4" s="1"/>
  <c r="J5" i="4"/>
  <c r="K5" i="4" s="1"/>
  <c r="M5" i="4" s="1"/>
  <c r="J21" i="4"/>
  <c r="K21" i="4" s="1"/>
  <c r="M21" i="4" s="1"/>
  <c r="J37" i="4"/>
  <c r="J53" i="4"/>
  <c r="J69" i="4"/>
  <c r="J85" i="4"/>
  <c r="J101" i="4"/>
  <c r="J117" i="4"/>
  <c r="J133" i="4"/>
  <c r="J149" i="4"/>
  <c r="K149" i="4" s="1"/>
  <c r="M149" i="4" s="1"/>
  <c r="J165" i="4"/>
  <c r="J181" i="4"/>
  <c r="J197" i="4"/>
  <c r="J213" i="4"/>
  <c r="K213" i="4" s="1"/>
  <c r="M213" i="4" s="1"/>
  <c r="J229" i="4"/>
  <c r="J245" i="4"/>
  <c r="J261" i="4"/>
  <c r="J277" i="4"/>
  <c r="J293" i="4"/>
  <c r="J327" i="4"/>
  <c r="J343" i="4"/>
  <c r="J359" i="4"/>
  <c r="K359" i="4" s="1"/>
  <c r="M359" i="4" s="1"/>
  <c r="J375" i="4"/>
  <c r="J391" i="4"/>
  <c r="J407" i="4"/>
  <c r="J423" i="4"/>
  <c r="J439" i="4"/>
  <c r="J455" i="4"/>
  <c r="J471" i="4"/>
  <c r="J487" i="4"/>
  <c r="J503" i="4"/>
  <c r="J519" i="4"/>
  <c r="J535" i="4"/>
  <c r="J551" i="4"/>
  <c r="J567" i="4"/>
  <c r="J583" i="4"/>
  <c r="K583" i="4" s="1"/>
  <c r="M583" i="4" s="1"/>
  <c r="J599" i="4"/>
  <c r="J615" i="4"/>
  <c r="J629" i="4"/>
  <c r="J639" i="4"/>
  <c r="J648" i="4"/>
  <c r="K648" i="4" s="1"/>
  <c r="M648" i="4" s="1"/>
  <c r="J657" i="4"/>
  <c r="J667" i="4"/>
  <c r="J676" i="4"/>
  <c r="K676" i="4" s="1"/>
  <c r="M676" i="4" s="1"/>
  <c r="J685" i="4"/>
  <c r="J693" i="4"/>
  <c r="J701" i="4"/>
  <c r="J709" i="4"/>
  <c r="J717" i="4"/>
  <c r="J725" i="4"/>
  <c r="J733" i="4"/>
  <c r="J741" i="4"/>
  <c r="J749" i="4"/>
  <c r="J757" i="4"/>
  <c r="J765" i="4"/>
  <c r="J773" i="4"/>
  <c r="J781" i="4"/>
  <c r="J789" i="4"/>
  <c r="J797" i="4"/>
  <c r="K797" i="4" s="1"/>
  <c r="M797" i="4" s="1"/>
  <c r="J805" i="4"/>
  <c r="J813" i="4"/>
  <c r="J821" i="4"/>
  <c r="J828" i="4"/>
  <c r="J836" i="4"/>
  <c r="K836" i="4" s="1"/>
  <c r="M836" i="4" s="1"/>
  <c r="J844" i="4"/>
  <c r="J852" i="4"/>
  <c r="K852" i="4" s="1"/>
  <c r="M852" i="4" s="1"/>
  <c r="J860" i="4"/>
  <c r="J868" i="4"/>
  <c r="J876" i="4"/>
  <c r="J884" i="4"/>
  <c r="J892" i="4"/>
  <c r="K892" i="4" s="1"/>
  <c r="M892" i="4" s="1"/>
  <c r="J900" i="4"/>
  <c r="J908" i="4"/>
  <c r="K908" i="4" s="1"/>
  <c r="M908" i="4" s="1"/>
  <c r="J916" i="4"/>
  <c r="K916" i="4" s="1"/>
  <c r="M916" i="4" s="1"/>
  <c r="J924" i="4"/>
  <c r="J932" i="4"/>
  <c r="J940" i="4"/>
  <c r="J6" i="4"/>
  <c r="J22" i="4"/>
  <c r="J38" i="4"/>
  <c r="K38" i="4" s="1"/>
  <c r="M38" i="4" s="1"/>
  <c r="J54" i="4"/>
  <c r="K54" i="4" s="1"/>
  <c r="M54" i="4" s="1"/>
  <c r="J70" i="4"/>
  <c r="J86" i="4"/>
  <c r="J102" i="4"/>
  <c r="J118" i="4"/>
  <c r="J134" i="4"/>
  <c r="J150" i="4"/>
  <c r="J166" i="4"/>
  <c r="J182" i="4"/>
  <c r="J198" i="4"/>
  <c r="J214" i="4"/>
  <c r="J230" i="4"/>
  <c r="J246" i="4"/>
  <c r="J262" i="4"/>
  <c r="J278" i="4"/>
  <c r="J294" i="4"/>
  <c r="J328" i="4"/>
  <c r="J344" i="4"/>
  <c r="J360" i="4"/>
  <c r="J376" i="4"/>
  <c r="J392" i="4"/>
  <c r="J408" i="4"/>
  <c r="J424" i="4"/>
  <c r="K424" i="4" s="1"/>
  <c r="M424" i="4" s="1"/>
  <c r="J440" i="4"/>
  <c r="J456" i="4"/>
  <c r="J472" i="4"/>
  <c r="J488" i="4"/>
  <c r="J504" i="4"/>
  <c r="J520" i="4"/>
  <c r="J536" i="4"/>
  <c r="J552" i="4"/>
  <c r="J568" i="4"/>
  <c r="J584" i="4"/>
  <c r="K584" i="4" s="1"/>
  <c r="M584" i="4" s="1"/>
  <c r="J600" i="4"/>
  <c r="J616" i="4"/>
  <c r="J630" i="4"/>
  <c r="J640" i="4"/>
  <c r="J649" i="4"/>
  <c r="J659" i="4"/>
  <c r="J668" i="4"/>
  <c r="J677" i="4"/>
  <c r="J686" i="4"/>
  <c r="J694" i="4"/>
  <c r="J702" i="4"/>
  <c r="J710" i="4"/>
  <c r="J718" i="4"/>
  <c r="J726" i="4"/>
  <c r="J734" i="4"/>
  <c r="K734" i="4" s="1"/>
  <c r="M734" i="4" s="1"/>
  <c r="J742" i="4"/>
  <c r="J750" i="4"/>
  <c r="J758" i="4"/>
  <c r="J766" i="4"/>
  <c r="J774" i="4"/>
  <c r="J782" i="4"/>
  <c r="J790" i="4"/>
  <c r="J798" i="4"/>
  <c r="J806" i="4"/>
  <c r="J814" i="4"/>
  <c r="K814" i="4" s="1"/>
  <c r="M814" i="4" s="1"/>
  <c r="J822" i="4"/>
  <c r="J829" i="4"/>
  <c r="J837" i="4"/>
  <c r="J845" i="4"/>
  <c r="J853" i="4"/>
  <c r="J861" i="4"/>
  <c r="J869" i="4"/>
  <c r="J877" i="4"/>
  <c r="K877" i="4" s="1"/>
  <c r="M877" i="4" s="1"/>
  <c r="J885" i="4"/>
  <c r="J893" i="4"/>
  <c r="K893" i="4" s="1"/>
  <c r="M893" i="4" s="1"/>
  <c r="J901" i="4"/>
  <c r="J909" i="4"/>
  <c r="J917" i="4"/>
  <c r="J925" i="4"/>
  <c r="J933" i="4"/>
  <c r="J941" i="4"/>
  <c r="K941" i="4" s="1"/>
  <c r="M941" i="4" s="1"/>
  <c r="J7" i="4"/>
  <c r="J12" i="4"/>
  <c r="J13" i="4"/>
  <c r="J14" i="4"/>
  <c r="J15" i="4"/>
  <c r="J31" i="4"/>
  <c r="J47" i="4"/>
  <c r="J63" i="4"/>
  <c r="J79" i="4"/>
  <c r="J95" i="4"/>
  <c r="J111" i="4"/>
  <c r="J127" i="4"/>
  <c r="J143" i="4"/>
  <c r="K143" i="4" s="1"/>
  <c r="M143" i="4" s="1"/>
  <c r="J159" i="4"/>
  <c r="J175" i="4"/>
  <c r="J191" i="4"/>
  <c r="J207" i="4"/>
  <c r="J223" i="4"/>
  <c r="J239" i="4"/>
  <c r="Q239" i="4" s="1"/>
  <c r="J255" i="4"/>
  <c r="J271" i="4"/>
  <c r="K271" i="4" s="1"/>
  <c r="M271" i="4" s="1"/>
  <c r="J287" i="4"/>
  <c r="J304" i="4"/>
  <c r="J321" i="4"/>
  <c r="K321" i="4" s="1"/>
  <c r="M321" i="4" s="1"/>
  <c r="J337" i="4"/>
  <c r="J353" i="4"/>
  <c r="J369" i="4"/>
  <c r="K369" i="4" s="1"/>
  <c r="M369" i="4" s="1"/>
  <c r="J385" i="4"/>
  <c r="J401" i="4"/>
  <c r="J417" i="4"/>
  <c r="J433" i="4"/>
  <c r="J449" i="4"/>
  <c r="J465" i="4"/>
  <c r="K465" i="4" s="1"/>
  <c r="M465" i="4" s="1"/>
  <c r="J481" i="4"/>
  <c r="J497" i="4"/>
  <c r="J513" i="4"/>
  <c r="J529" i="4"/>
  <c r="J545" i="4"/>
  <c r="K545" i="4" s="1"/>
  <c r="M545" i="4" s="1"/>
  <c r="J561" i="4"/>
  <c r="J577" i="4"/>
  <c r="J593" i="4"/>
  <c r="J609" i="4"/>
  <c r="J625" i="4"/>
  <c r="J637" i="4"/>
  <c r="J646" i="4"/>
  <c r="J655" i="4"/>
  <c r="K655" i="4" s="1"/>
  <c r="M655" i="4" s="1"/>
  <c r="J664" i="4"/>
  <c r="J673" i="4"/>
  <c r="J683" i="4"/>
  <c r="K683" i="4" s="1"/>
  <c r="M683" i="4" s="1"/>
  <c r="J691" i="4"/>
  <c r="J699" i="4"/>
  <c r="J707" i="4"/>
  <c r="K707" i="4" s="1"/>
  <c r="M707" i="4" s="1"/>
  <c r="J715" i="4"/>
  <c r="J723" i="4"/>
  <c r="K723" i="4" s="1"/>
  <c r="M723" i="4" s="1"/>
  <c r="J731" i="4"/>
  <c r="J739" i="4"/>
  <c r="K739" i="4" s="1"/>
  <c r="M739" i="4" s="1"/>
  <c r="J747" i="4"/>
  <c r="J755" i="4"/>
  <c r="J763" i="4"/>
  <c r="K763" i="4" s="1"/>
  <c r="M763" i="4" s="1"/>
  <c r="J771" i="4"/>
  <c r="J779" i="4"/>
  <c r="J787" i="4"/>
  <c r="K787" i="4" s="1"/>
  <c r="M787" i="4" s="1"/>
  <c r="J795" i="4"/>
  <c r="J803" i="4"/>
  <c r="J811" i="4"/>
  <c r="J819" i="4"/>
  <c r="K819" i="4" s="1"/>
  <c r="M819" i="4" s="1"/>
  <c r="J826" i="4"/>
  <c r="J834" i="4"/>
  <c r="J842" i="4"/>
  <c r="J850" i="4"/>
  <c r="J858" i="4"/>
  <c r="J866" i="4"/>
  <c r="J874" i="4"/>
  <c r="J882" i="4"/>
  <c r="K882" i="4" s="1"/>
  <c r="M882" i="4" s="1"/>
  <c r="J890" i="4"/>
  <c r="J898" i="4"/>
  <c r="J906" i="4"/>
  <c r="J914" i="4"/>
  <c r="K914" i="4" s="1"/>
  <c r="M914" i="4" s="1"/>
  <c r="J922" i="4"/>
  <c r="K922" i="4" s="1"/>
  <c r="M922" i="4" s="1"/>
  <c r="J930" i="4"/>
  <c r="J938" i="4"/>
  <c r="J23" i="4"/>
  <c r="J55" i="4"/>
  <c r="J87" i="4"/>
  <c r="K87" i="4" s="1"/>
  <c r="M87" i="4" s="1"/>
  <c r="J119" i="4"/>
  <c r="J151" i="4"/>
  <c r="J183" i="4"/>
  <c r="J215" i="4"/>
  <c r="J247" i="4"/>
  <c r="K247" i="4" s="1"/>
  <c r="M247" i="4" s="1"/>
  <c r="J279" i="4"/>
  <c r="J345" i="4"/>
  <c r="J377" i="4"/>
  <c r="J409" i="4"/>
  <c r="J441" i="4"/>
  <c r="K441" i="4" s="1"/>
  <c r="M441" i="4" s="1"/>
  <c r="J473" i="4"/>
  <c r="J505" i="4"/>
  <c r="J537" i="4"/>
  <c r="J569" i="4"/>
  <c r="J601" i="4"/>
  <c r="J631" i="4"/>
  <c r="J651" i="4"/>
  <c r="K651" i="4" s="1"/>
  <c r="M651" i="4" s="1"/>
  <c r="J669" i="4"/>
  <c r="J687" i="4"/>
  <c r="J703" i="4"/>
  <c r="K703" i="4" s="1"/>
  <c r="M703" i="4" s="1"/>
  <c r="J719" i="4"/>
  <c r="J735" i="4"/>
  <c r="J751" i="4"/>
  <c r="K751" i="4" s="1"/>
  <c r="M751" i="4" s="1"/>
  <c r="J767" i="4"/>
  <c r="J783" i="4"/>
  <c r="K783" i="4" s="1"/>
  <c r="M783" i="4" s="1"/>
  <c r="J799" i="4"/>
  <c r="J815" i="4"/>
  <c r="J830" i="4"/>
  <c r="K830" i="4" s="1"/>
  <c r="M830" i="4" s="1"/>
  <c r="J846" i="4"/>
  <c r="J862" i="4"/>
  <c r="K862" i="4" s="1"/>
  <c r="M862" i="4" s="1"/>
  <c r="J878" i="4"/>
  <c r="J894" i="4"/>
  <c r="J910" i="4"/>
  <c r="J926" i="4"/>
  <c r="J942" i="4"/>
  <c r="J951" i="4"/>
  <c r="J960" i="4"/>
  <c r="J969" i="4"/>
  <c r="J978" i="4"/>
  <c r="J988" i="4"/>
  <c r="K988" i="4" s="1"/>
  <c r="M988" i="4" s="1"/>
  <c r="J997" i="4"/>
  <c r="J1005" i="4"/>
  <c r="J1014" i="4"/>
  <c r="J1022" i="4"/>
  <c r="J1030" i="4"/>
  <c r="J1038" i="4"/>
  <c r="J1046" i="4"/>
  <c r="J1054" i="4"/>
  <c r="J1062" i="4"/>
  <c r="J1070" i="4"/>
  <c r="J1078" i="4"/>
  <c r="J1086" i="4"/>
  <c r="J1094" i="4"/>
  <c r="J1102" i="4"/>
  <c r="J1110" i="4"/>
  <c r="J1118" i="4"/>
  <c r="J1126" i="4"/>
  <c r="J1134" i="4"/>
  <c r="J1142" i="4"/>
  <c r="J1150" i="4"/>
  <c r="J1158" i="4"/>
  <c r="J1166" i="4"/>
  <c r="J1174" i="4"/>
  <c r="J1182" i="4"/>
  <c r="J1190" i="4"/>
  <c r="J1198" i="4"/>
  <c r="K1198" i="4" s="1"/>
  <c r="M1198" i="4" s="1"/>
  <c r="J1206" i="4"/>
  <c r="J1214" i="4"/>
  <c r="J1222" i="4"/>
  <c r="K1222" i="4" s="1"/>
  <c r="M1222" i="4" s="1"/>
  <c r="J1230" i="4"/>
  <c r="J1238" i="4"/>
  <c r="K1238" i="4" s="1"/>
  <c r="M1238" i="4" s="1"/>
  <c r="J1246" i="4"/>
  <c r="J1254" i="4"/>
  <c r="J1262" i="4"/>
  <c r="J1270" i="4"/>
  <c r="J1278" i="4"/>
  <c r="J1286" i="4"/>
  <c r="J1294" i="4"/>
  <c r="J1302" i="4"/>
  <c r="J1310" i="4"/>
  <c r="K1310" i="4" s="1"/>
  <c r="M1310" i="4" s="1"/>
  <c r="J28" i="4"/>
  <c r="J60" i="4"/>
  <c r="J92" i="4"/>
  <c r="J124" i="4"/>
  <c r="J156" i="4"/>
  <c r="J188" i="4"/>
  <c r="J220" i="4"/>
  <c r="K220" i="4" s="1"/>
  <c r="M220" i="4" s="1"/>
  <c r="J252" i="4"/>
  <c r="J284" i="4"/>
  <c r="J318" i="4"/>
  <c r="J350" i="4"/>
  <c r="J382" i="4"/>
  <c r="J414" i="4"/>
  <c r="J446" i="4"/>
  <c r="J478" i="4"/>
  <c r="J510" i="4"/>
  <c r="J542" i="4"/>
  <c r="J574" i="4"/>
  <c r="J606" i="4"/>
  <c r="J632" i="4"/>
  <c r="J652" i="4"/>
  <c r="J670" i="4"/>
  <c r="J688" i="4"/>
  <c r="K688" i="4" s="1"/>
  <c r="M688" i="4" s="1"/>
  <c r="J704" i="4"/>
  <c r="J720" i="4"/>
  <c r="J736" i="4"/>
  <c r="J752" i="4"/>
  <c r="J768" i="4"/>
  <c r="J784" i="4"/>
  <c r="J800" i="4"/>
  <c r="J816" i="4"/>
  <c r="K816" i="4" s="1"/>
  <c r="M816" i="4" s="1"/>
  <c r="J831" i="4"/>
  <c r="J847" i="4"/>
  <c r="J863" i="4"/>
  <c r="K863" i="4" s="1"/>
  <c r="M863" i="4" s="1"/>
  <c r="J879" i="4"/>
  <c r="J895" i="4"/>
  <c r="K895" i="4" s="1"/>
  <c r="M895" i="4" s="1"/>
  <c r="J911" i="4"/>
  <c r="J927" i="4"/>
  <c r="J943" i="4"/>
  <c r="J952" i="4"/>
  <c r="J961" i="4"/>
  <c r="K961" i="4" s="1"/>
  <c r="M961" i="4" s="1"/>
  <c r="J970" i="4"/>
  <c r="J980" i="4"/>
  <c r="J989" i="4"/>
  <c r="J998" i="4"/>
  <c r="J1006" i="4"/>
  <c r="J1015" i="4"/>
  <c r="J1023" i="4"/>
  <c r="J1031" i="4"/>
  <c r="J1039" i="4"/>
  <c r="J1047" i="4"/>
  <c r="K1047" i="4" s="1"/>
  <c r="M1047" i="4" s="1"/>
  <c r="J1055" i="4"/>
  <c r="J1063" i="4"/>
  <c r="J1071" i="4"/>
  <c r="J1079" i="4"/>
  <c r="K1079" i="4" s="1"/>
  <c r="M1079" i="4" s="1"/>
  <c r="J1087" i="4"/>
  <c r="J1095" i="4"/>
  <c r="J1103" i="4"/>
  <c r="J1111" i="4"/>
  <c r="J1119" i="4"/>
  <c r="J1127" i="4"/>
  <c r="J1135" i="4"/>
  <c r="J1143" i="4"/>
  <c r="J1151" i="4"/>
  <c r="J1159" i="4"/>
  <c r="J1167" i="4"/>
  <c r="J1175" i="4"/>
  <c r="J1183" i="4"/>
  <c r="J1191" i="4"/>
  <c r="K1191" i="4" s="1"/>
  <c r="M1191" i="4" s="1"/>
  <c r="J1199" i="4"/>
  <c r="J1207" i="4"/>
  <c r="J1215" i="4"/>
  <c r="J1223" i="4"/>
  <c r="J1231" i="4"/>
  <c r="J1239" i="4"/>
  <c r="J1247" i="4"/>
  <c r="J1255" i="4"/>
  <c r="J1263" i="4"/>
  <c r="J1271" i="4"/>
  <c r="J1279" i="4"/>
  <c r="J1287" i="4"/>
  <c r="J1295" i="4"/>
  <c r="J1303" i="4"/>
  <c r="J1311" i="4"/>
  <c r="J29" i="4"/>
  <c r="J61" i="4"/>
  <c r="J93" i="4"/>
  <c r="J125" i="4"/>
  <c r="J157" i="4"/>
  <c r="J189" i="4"/>
  <c r="J221" i="4"/>
  <c r="J253" i="4"/>
  <c r="J285" i="4"/>
  <c r="J319" i="4"/>
  <c r="J351" i="4"/>
  <c r="J383" i="4"/>
  <c r="J415" i="4"/>
  <c r="J447" i="4"/>
  <c r="J479" i="4"/>
  <c r="J511" i="4"/>
  <c r="J543" i="4"/>
  <c r="J575" i="4"/>
  <c r="J607" i="4"/>
  <c r="J633" i="4"/>
  <c r="J653" i="4"/>
  <c r="K653" i="4" s="1"/>
  <c r="M653" i="4" s="1"/>
  <c r="J671" i="4"/>
  <c r="J689" i="4"/>
  <c r="J705" i="4"/>
  <c r="J721" i="4"/>
  <c r="J737" i="4"/>
  <c r="J753" i="4"/>
  <c r="J769" i="4"/>
  <c r="J785" i="4"/>
  <c r="J801" i="4"/>
  <c r="J817" i="4"/>
  <c r="J832" i="4"/>
  <c r="K832" i="4" s="1"/>
  <c r="M832" i="4" s="1"/>
  <c r="J848" i="4"/>
  <c r="J864" i="4"/>
  <c r="J880" i="4"/>
  <c r="J896" i="4"/>
  <c r="J912" i="4"/>
  <c r="J928" i="4"/>
  <c r="J944" i="4"/>
  <c r="J953" i="4"/>
  <c r="J962" i="4"/>
  <c r="J972" i="4"/>
  <c r="J981" i="4"/>
  <c r="J990" i="4"/>
  <c r="J999" i="4"/>
  <c r="J1007" i="4"/>
  <c r="J1016" i="4"/>
  <c r="J1024" i="4"/>
  <c r="J1032" i="4"/>
  <c r="J1040" i="4"/>
  <c r="J1048" i="4"/>
  <c r="J1056" i="4"/>
  <c r="J1064" i="4"/>
  <c r="J1072" i="4"/>
  <c r="J1080" i="4"/>
  <c r="J1088" i="4"/>
  <c r="K1088" i="4" s="1"/>
  <c r="M1088" i="4" s="1"/>
  <c r="J1096" i="4"/>
  <c r="J1104" i="4"/>
  <c r="J1112" i="4"/>
  <c r="K1112" i="4" s="1"/>
  <c r="M1112" i="4" s="1"/>
  <c r="J1120" i="4"/>
  <c r="J1128" i="4"/>
  <c r="J1136" i="4"/>
  <c r="K1136" i="4" s="1"/>
  <c r="M1136" i="4" s="1"/>
  <c r="J1144" i="4"/>
  <c r="J1152" i="4"/>
  <c r="J1160" i="4"/>
  <c r="J1168" i="4"/>
  <c r="J1176" i="4"/>
  <c r="J1184" i="4"/>
  <c r="J1192" i="4"/>
  <c r="K1192" i="4" s="1"/>
  <c r="M1192" i="4" s="1"/>
  <c r="J1200" i="4"/>
  <c r="K1200" i="4" s="1"/>
  <c r="M1200" i="4" s="1"/>
  <c r="J1208" i="4"/>
  <c r="J1216" i="4"/>
  <c r="J1224" i="4"/>
  <c r="J1232" i="4"/>
  <c r="J1240" i="4"/>
  <c r="K1240" i="4" s="1"/>
  <c r="M1240" i="4" s="1"/>
  <c r="J1248" i="4"/>
  <c r="J1256" i="4"/>
  <c r="J1264" i="4"/>
  <c r="J1272" i="4"/>
  <c r="K1272" i="4" s="1"/>
  <c r="M1272" i="4" s="1"/>
  <c r="J1280" i="4"/>
  <c r="J1288" i="4"/>
  <c r="J1296" i="4"/>
  <c r="J1304" i="4"/>
  <c r="J1312" i="4"/>
  <c r="J46" i="4"/>
  <c r="J78" i="4"/>
  <c r="J110" i="4"/>
  <c r="J142" i="4"/>
  <c r="J174" i="4"/>
  <c r="J206" i="4"/>
  <c r="K206" i="4" s="1"/>
  <c r="M206" i="4" s="1"/>
  <c r="J238" i="4"/>
  <c r="Q238" i="4" s="1"/>
  <c r="J270" i="4"/>
  <c r="J302" i="4"/>
  <c r="J336" i="4"/>
  <c r="K336" i="4" s="1"/>
  <c r="M336" i="4" s="1"/>
  <c r="J368" i="4"/>
  <c r="J400" i="4"/>
  <c r="J432" i="4"/>
  <c r="K432" i="4" s="1"/>
  <c r="M432" i="4" s="1"/>
  <c r="J464" i="4"/>
  <c r="J496" i="4"/>
  <c r="J528" i="4"/>
  <c r="K528" i="4" s="1"/>
  <c r="M528" i="4" s="1"/>
  <c r="J560" i="4"/>
  <c r="J592" i="4"/>
  <c r="J624" i="4"/>
  <c r="J645" i="4"/>
  <c r="J663" i="4"/>
  <c r="J681" i="4"/>
  <c r="J698" i="4"/>
  <c r="J714" i="4"/>
  <c r="J730" i="4"/>
  <c r="J746" i="4"/>
  <c r="J762" i="4"/>
  <c r="J778" i="4"/>
  <c r="J794" i="4"/>
  <c r="J810" i="4"/>
  <c r="J841" i="4"/>
  <c r="J857" i="4"/>
  <c r="J873" i="4"/>
  <c r="K873" i="4" s="1"/>
  <c r="M873" i="4" s="1"/>
  <c r="J889" i="4"/>
  <c r="J905" i="4"/>
  <c r="J921" i="4"/>
  <c r="J937" i="4"/>
  <c r="K937" i="4" s="1"/>
  <c r="M937" i="4" s="1"/>
  <c r="J950" i="4"/>
  <c r="K950" i="4" s="1"/>
  <c r="M950" i="4" s="1"/>
  <c r="J959" i="4"/>
  <c r="J968" i="4"/>
  <c r="J977" i="4"/>
  <c r="J986" i="4"/>
  <c r="J996" i="4"/>
  <c r="J1004" i="4"/>
  <c r="J1013" i="4"/>
  <c r="J1021" i="4"/>
  <c r="J1029" i="4"/>
  <c r="J1037" i="4"/>
  <c r="K1037" i="4" s="1"/>
  <c r="M1037" i="4" s="1"/>
  <c r="J1045" i="4"/>
  <c r="K1045" i="4" s="1"/>
  <c r="M1045" i="4" s="1"/>
  <c r="J1053" i="4"/>
  <c r="J1061" i="4"/>
  <c r="J1069" i="4"/>
  <c r="J1077" i="4"/>
  <c r="J1085" i="4"/>
  <c r="J1093" i="4"/>
  <c r="J1101" i="4"/>
  <c r="J1109" i="4"/>
  <c r="J1117" i="4"/>
  <c r="J1125" i="4"/>
  <c r="J1133" i="4"/>
  <c r="J1141" i="4"/>
  <c r="J1149" i="4"/>
  <c r="J1157" i="4"/>
  <c r="J1165" i="4"/>
  <c r="K1165" i="4" s="1"/>
  <c r="M1165" i="4" s="1"/>
  <c r="J1173" i="4"/>
  <c r="J1181" i="4"/>
  <c r="K1181" i="4" s="1"/>
  <c r="M1181" i="4" s="1"/>
  <c r="J1189" i="4"/>
  <c r="J1197" i="4"/>
  <c r="J1205" i="4"/>
  <c r="J1213" i="4"/>
  <c r="J1221" i="4"/>
  <c r="J1229" i="4"/>
  <c r="J1237" i="4"/>
  <c r="J1245" i="4"/>
  <c r="J1253" i="4"/>
  <c r="J1261" i="4"/>
  <c r="J1269" i="4"/>
  <c r="J1277" i="4"/>
  <c r="J1285" i="4"/>
  <c r="K1285" i="4" s="1"/>
  <c r="M1285" i="4" s="1"/>
  <c r="J1293" i="4"/>
  <c r="J1301" i="4"/>
  <c r="J1309" i="4"/>
  <c r="J30" i="4"/>
  <c r="J94" i="4"/>
  <c r="J158" i="4"/>
  <c r="J222" i="4"/>
  <c r="J286" i="4"/>
  <c r="J352" i="4"/>
  <c r="J416" i="4"/>
  <c r="J480" i="4"/>
  <c r="K480" i="4" s="1"/>
  <c r="M480" i="4" s="1"/>
  <c r="J544" i="4"/>
  <c r="K544" i="4" s="1"/>
  <c r="M544" i="4" s="1"/>
  <c r="J608" i="4"/>
  <c r="J654" i="4"/>
  <c r="J690" i="4"/>
  <c r="J722" i="4"/>
  <c r="J754" i="4"/>
  <c r="J786" i="4"/>
  <c r="J818" i="4"/>
  <c r="J849" i="4"/>
  <c r="J881" i="4"/>
  <c r="J913" i="4"/>
  <c r="J945" i="4"/>
  <c r="J964" i="4"/>
  <c r="J982" i="4"/>
  <c r="J1000" i="4"/>
  <c r="J1017" i="4"/>
  <c r="J1033" i="4"/>
  <c r="J1049" i="4"/>
  <c r="J1065" i="4"/>
  <c r="K1065" i="4" s="1"/>
  <c r="M1065" i="4" s="1"/>
  <c r="J1081" i="4"/>
  <c r="K1081" i="4" s="1"/>
  <c r="M1081" i="4" s="1"/>
  <c r="J1097" i="4"/>
  <c r="J1113" i="4"/>
  <c r="J1129" i="4"/>
  <c r="J1145" i="4"/>
  <c r="J1161" i="4"/>
  <c r="K1161" i="4" s="1"/>
  <c r="M1161" i="4" s="1"/>
  <c r="J1177" i="4"/>
  <c r="K1177" i="4" s="1"/>
  <c r="M1177" i="4" s="1"/>
  <c r="J1193" i="4"/>
  <c r="J1209" i="4"/>
  <c r="K1209" i="4" s="1"/>
  <c r="M1209" i="4" s="1"/>
  <c r="J1225" i="4"/>
  <c r="J1241" i="4"/>
  <c r="K1241" i="4" s="1"/>
  <c r="M1241" i="4" s="1"/>
  <c r="J1257" i="4"/>
  <c r="J1273" i="4"/>
  <c r="J1289" i="4"/>
  <c r="J1305" i="4"/>
  <c r="K1305" i="4" s="1"/>
  <c r="M1305" i="4" s="1"/>
  <c r="J173" i="4"/>
  <c r="K173" i="4" s="1"/>
  <c r="M173" i="4" s="1"/>
  <c r="J301" i="4"/>
  <c r="J431" i="4"/>
  <c r="J495" i="4"/>
  <c r="K495" i="4" s="1"/>
  <c r="M495" i="4" s="1"/>
  <c r="J623" i="4"/>
  <c r="K623" i="4" s="1"/>
  <c r="M623" i="4" s="1"/>
  <c r="J697" i="4"/>
  <c r="J761" i="4"/>
  <c r="J825" i="4"/>
  <c r="K825" i="4" s="1"/>
  <c r="M825" i="4" s="1"/>
  <c r="J888" i="4"/>
  <c r="J949" i="4"/>
  <c r="K949" i="4" s="1"/>
  <c r="M949" i="4" s="1"/>
  <c r="J985" i="4"/>
  <c r="K985" i="4" s="1"/>
  <c r="M985" i="4" s="1"/>
  <c r="J1020" i="4"/>
  <c r="K1020" i="4" s="1"/>
  <c r="M1020" i="4" s="1"/>
  <c r="J1052" i="4"/>
  <c r="J1100" i="4"/>
  <c r="J1148" i="4"/>
  <c r="J1180" i="4"/>
  <c r="J1212" i="4"/>
  <c r="J1244" i="4"/>
  <c r="K1244" i="4" s="1"/>
  <c r="M1244" i="4" s="1"/>
  <c r="J1276" i="4"/>
  <c r="K1276" i="4" s="1"/>
  <c r="M1276" i="4" s="1"/>
  <c r="J1308" i="4"/>
  <c r="K1308" i="4" s="1"/>
  <c r="M1308" i="4" s="1"/>
  <c r="J126" i="4"/>
  <c r="J384" i="4"/>
  <c r="K384" i="4" s="1"/>
  <c r="M384" i="4" s="1"/>
  <c r="J576" i="4"/>
  <c r="J738" i="4"/>
  <c r="J865" i="4"/>
  <c r="J973" i="4"/>
  <c r="J1041" i="4"/>
  <c r="J1089" i="4"/>
  <c r="J1169" i="4"/>
  <c r="K1169" i="4" s="1"/>
  <c r="M1169" i="4" s="1"/>
  <c r="J1249" i="4"/>
  <c r="K1249" i="4" s="1"/>
  <c r="M1249" i="4" s="1"/>
  <c r="J263" i="4"/>
  <c r="J1298" i="4"/>
  <c r="J140" i="4"/>
  <c r="J334" i="4"/>
  <c r="J590" i="4"/>
  <c r="K590" i="4" s="1"/>
  <c r="M590" i="4" s="1"/>
  <c r="J712" i="4"/>
  <c r="J776" i="4"/>
  <c r="K776" i="4" s="1"/>
  <c r="M776" i="4" s="1"/>
  <c r="J839" i="4"/>
  <c r="J903" i="4"/>
  <c r="J957" i="4"/>
  <c r="J1011" i="4"/>
  <c r="J1043" i="4"/>
  <c r="J1075" i="4"/>
  <c r="J1107" i="4"/>
  <c r="J1139" i="4"/>
  <c r="J1171" i="4"/>
  <c r="J1203" i="4"/>
  <c r="J1235" i="4"/>
  <c r="J1267" i="4"/>
  <c r="J1299" i="4"/>
  <c r="K1299" i="4" s="1"/>
  <c r="M1299" i="4" s="1"/>
  <c r="J39" i="4"/>
  <c r="J103" i="4"/>
  <c r="J167" i="4"/>
  <c r="J231" i="4"/>
  <c r="K231" i="4" s="1"/>
  <c r="M231" i="4" s="1"/>
  <c r="J295" i="4"/>
  <c r="J361" i="4"/>
  <c r="J425" i="4"/>
  <c r="J489" i="4"/>
  <c r="J553" i="4"/>
  <c r="J617" i="4"/>
  <c r="J660" i="4"/>
  <c r="J695" i="4"/>
  <c r="J727" i="4"/>
  <c r="J759" i="4"/>
  <c r="J791" i="4"/>
  <c r="J823" i="4"/>
  <c r="J854" i="4"/>
  <c r="J886" i="4"/>
  <c r="J918" i="4"/>
  <c r="K918" i="4" s="1"/>
  <c r="M918" i="4" s="1"/>
  <c r="J946" i="4"/>
  <c r="J965" i="4"/>
  <c r="J983" i="4"/>
  <c r="J1001" i="4"/>
  <c r="J1018" i="4"/>
  <c r="J1034" i="4"/>
  <c r="J1050" i="4"/>
  <c r="J1066" i="4"/>
  <c r="J1082" i="4"/>
  <c r="J1098" i="4"/>
  <c r="J1114" i="4"/>
  <c r="K1114" i="4" s="1"/>
  <c r="M1114" i="4" s="1"/>
  <c r="J1130" i="4"/>
  <c r="J1146" i="4"/>
  <c r="J1162" i="4"/>
  <c r="J1178" i="4"/>
  <c r="J1194" i="4"/>
  <c r="J1210" i="4"/>
  <c r="J1226" i="4"/>
  <c r="J1242" i="4"/>
  <c r="J1258" i="4"/>
  <c r="J1274" i="4"/>
  <c r="J1290" i="4"/>
  <c r="J1306" i="4"/>
  <c r="K1306" i="4" s="1"/>
  <c r="M1306" i="4" s="1"/>
  <c r="J109" i="4"/>
  <c r="J367" i="4"/>
  <c r="J559" i="4"/>
  <c r="J662" i="4"/>
  <c r="J729" i="4"/>
  <c r="J793" i="4"/>
  <c r="J856" i="4"/>
  <c r="J920" i="4"/>
  <c r="K920" i="4" s="1"/>
  <c r="M920" i="4" s="1"/>
  <c r="J967" i="4"/>
  <c r="J1003" i="4"/>
  <c r="J1036" i="4"/>
  <c r="K1036" i="4" s="1"/>
  <c r="M1036" i="4" s="1"/>
  <c r="J1068" i="4"/>
  <c r="J1116" i="4"/>
  <c r="K1116" i="4" s="1"/>
  <c r="M1116" i="4" s="1"/>
  <c r="J1132" i="4"/>
  <c r="K1132" i="4" s="1"/>
  <c r="M1132" i="4" s="1"/>
  <c r="J1164" i="4"/>
  <c r="J1196" i="4"/>
  <c r="J1228" i="4"/>
  <c r="J1292" i="4"/>
  <c r="K1292" i="4" s="1"/>
  <c r="M1292" i="4" s="1"/>
  <c r="J62" i="4"/>
  <c r="J320" i="4"/>
  <c r="J448" i="4"/>
  <c r="K448" i="4" s="1"/>
  <c r="M448" i="4" s="1"/>
  <c r="J512" i="4"/>
  <c r="K512" i="4" s="1"/>
  <c r="M512" i="4" s="1"/>
  <c r="J635" i="4"/>
  <c r="K635" i="4" s="1"/>
  <c r="M635" i="4" s="1"/>
  <c r="J706" i="4"/>
  <c r="K706" i="4" s="1"/>
  <c r="M706" i="4" s="1"/>
  <c r="J770" i="4"/>
  <c r="J833" i="4"/>
  <c r="K833" i="4" s="1"/>
  <c r="M833" i="4" s="1"/>
  <c r="J954" i="4"/>
  <c r="K954" i="4" s="1"/>
  <c r="M954" i="4" s="1"/>
  <c r="J1025" i="4"/>
  <c r="J1105" i="4"/>
  <c r="J1153" i="4"/>
  <c r="J1217" i="4"/>
  <c r="J1297" i="4"/>
  <c r="J199" i="4"/>
  <c r="J329" i="4"/>
  <c r="J393" i="4"/>
  <c r="K393" i="4" s="1"/>
  <c r="M393" i="4" s="1"/>
  <c r="J585" i="4"/>
  <c r="J678" i="4"/>
  <c r="J775" i="4"/>
  <c r="J870" i="4"/>
  <c r="K870" i="4" s="1"/>
  <c r="M870" i="4" s="1"/>
  <c r="J956" i="4"/>
  <c r="J992" i="4"/>
  <c r="K992" i="4" s="1"/>
  <c r="M992" i="4" s="1"/>
  <c r="J1042" i="4"/>
  <c r="K1042" i="4" s="1"/>
  <c r="M1042" i="4" s="1"/>
  <c r="J1090" i="4"/>
  <c r="J1138" i="4"/>
  <c r="J1186" i="4"/>
  <c r="J1234" i="4"/>
  <c r="J1282" i="4"/>
  <c r="K1282" i="4" s="1"/>
  <c r="M1282" i="4" s="1"/>
  <c r="J76" i="4"/>
  <c r="J204" i="4"/>
  <c r="J268" i="4"/>
  <c r="J398" i="4"/>
  <c r="J643" i="4"/>
  <c r="J679" i="4"/>
  <c r="J744" i="4"/>
  <c r="J808" i="4"/>
  <c r="J871" i="4"/>
  <c r="J935" i="4"/>
  <c r="J975" i="4"/>
  <c r="J993" i="4"/>
  <c r="J1027" i="4"/>
  <c r="J1059" i="4"/>
  <c r="J1091" i="4"/>
  <c r="J1123" i="4"/>
  <c r="J1155" i="4"/>
  <c r="J1187" i="4"/>
  <c r="J1219" i="4"/>
  <c r="J1251" i="4"/>
  <c r="J1283" i="4"/>
  <c r="J44" i="4"/>
  <c r="J108" i="4"/>
  <c r="J172" i="4"/>
  <c r="K172" i="4" s="1"/>
  <c r="M172" i="4" s="1"/>
  <c r="J236" i="4"/>
  <c r="J300" i="4"/>
  <c r="J366" i="4"/>
  <c r="K366" i="4" s="1"/>
  <c r="M366" i="4" s="1"/>
  <c r="J430" i="4"/>
  <c r="J494" i="4"/>
  <c r="J558" i="4"/>
  <c r="J622" i="4"/>
  <c r="K622" i="4" s="1"/>
  <c r="M622" i="4" s="1"/>
  <c r="J661" i="4"/>
  <c r="K661" i="4" s="1"/>
  <c r="M661" i="4" s="1"/>
  <c r="J696" i="4"/>
  <c r="J728" i="4"/>
  <c r="J760" i="4"/>
  <c r="J792" i="4"/>
  <c r="J824" i="4"/>
  <c r="J855" i="4"/>
  <c r="J887" i="4"/>
  <c r="J919" i="4"/>
  <c r="J948" i="4"/>
  <c r="J966" i="4"/>
  <c r="J984" i="4"/>
  <c r="J1002" i="4"/>
  <c r="J1019" i="4"/>
  <c r="J1035" i="4"/>
  <c r="J1051" i="4"/>
  <c r="K1051" i="4" s="1"/>
  <c r="M1051" i="4" s="1"/>
  <c r="J1067" i="4"/>
  <c r="J1083" i="4"/>
  <c r="J1099" i="4"/>
  <c r="J1115" i="4"/>
  <c r="J1131" i="4"/>
  <c r="J1147" i="4"/>
  <c r="K1147" i="4" s="1"/>
  <c r="M1147" i="4" s="1"/>
  <c r="J1163" i="4"/>
  <c r="K1163" i="4" s="1"/>
  <c r="M1163" i="4" s="1"/>
  <c r="J1179" i="4"/>
  <c r="J1195" i="4"/>
  <c r="K1195" i="4" s="1"/>
  <c r="M1195" i="4" s="1"/>
  <c r="J1211" i="4"/>
  <c r="J1227" i="4"/>
  <c r="J1243" i="4"/>
  <c r="J1259" i="4"/>
  <c r="J1275" i="4"/>
  <c r="J1291" i="4"/>
  <c r="J1307" i="4"/>
  <c r="J45" i="4"/>
  <c r="J1084" i="4"/>
  <c r="J1260" i="4"/>
  <c r="J190" i="4"/>
  <c r="J672" i="4"/>
  <c r="J802" i="4"/>
  <c r="K802" i="4" s="1"/>
  <c r="M802" i="4" s="1"/>
  <c r="J897" i="4"/>
  <c r="J991" i="4"/>
  <c r="K991" i="4" s="1"/>
  <c r="M991" i="4" s="1"/>
  <c r="J1009" i="4"/>
  <c r="J1073" i="4"/>
  <c r="J1137" i="4"/>
  <c r="J1185" i="4"/>
  <c r="J1233" i="4"/>
  <c r="J1265" i="4"/>
  <c r="J1313" i="4"/>
  <c r="J135" i="4"/>
  <c r="J457" i="4"/>
  <c r="J641" i="4"/>
  <c r="K641" i="4" s="1"/>
  <c r="M641" i="4" s="1"/>
  <c r="J743" i="4"/>
  <c r="J838" i="4"/>
  <c r="J934" i="4"/>
  <c r="J1010" i="4"/>
  <c r="J1058" i="4"/>
  <c r="J1122" i="4"/>
  <c r="J1170" i="4"/>
  <c r="K1170" i="4" s="1"/>
  <c r="M1170" i="4" s="1"/>
  <c r="J1218" i="4"/>
  <c r="K1218" i="4" s="1"/>
  <c r="M1218" i="4" s="1"/>
  <c r="J1266" i="4"/>
  <c r="J526" i="4"/>
  <c r="J77" i="4"/>
  <c r="J141" i="4"/>
  <c r="K141" i="4" s="1"/>
  <c r="M141" i="4" s="1"/>
  <c r="J205" i="4"/>
  <c r="K205" i="4" s="1"/>
  <c r="M205" i="4" s="1"/>
  <c r="J269" i="4"/>
  <c r="J335" i="4"/>
  <c r="J399" i="4"/>
  <c r="J463" i="4"/>
  <c r="J527" i="4"/>
  <c r="J591" i="4"/>
  <c r="J644" i="4"/>
  <c r="J680" i="4"/>
  <c r="J713" i="4"/>
  <c r="J745" i="4"/>
  <c r="J777" i="4"/>
  <c r="J809" i="4"/>
  <c r="K809" i="4" s="1"/>
  <c r="M809" i="4" s="1"/>
  <c r="J840" i="4"/>
  <c r="J872" i="4"/>
  <c r="J904" i="4"/>
  <c r="J936" i="4"/>
  <c r="J958" i="4"/>
  <c r="J976" i="4"/>
  <c r="J994" i="4"/>
  <c r="J1012" i="4"/>
  <c r="J1028" i="4"/>
  <c r="J1044" i="4"/>
  <c r="K1044" i="4" s="1"/>
  <c r="M1044" i="4" s="1"/>
  <c r="J1060" i="4"/>
  <c r="J1076" i="4"/>
  <c r="J1092" i="4"/>
  <c r="J1108" i="4"/>
  <c r="J1124" i="4"/>
  <c r="J1140" i="4"/>
  <c r="J1156" i="4"/>
  <c r="K1156" i="4" s="1"/>
  <c r="M1156" i="4" s="1"/>
  <c r="J1172" i="4"/>
  <c r="J1188" i="4"/>
  <c r="J1204" i="4"/>
  <c r="J1220" i="4"/>
  <c r="J1236" i="4"/>
  <c r="K1236" i="4" s="1"/>
  <c r="M1236" i="4" s="1"/>
  <c r="J1252" i="4"/>
  <c r="J1268" i="4"/>
  <c r="J1284" i="4"/>
  <c r="J1300" i="4"/>
  <c r="J237" i="4"/>
  <c r="Q237" i="4" s="1"/>
  <c r="J254" i="4"/>
  <c r="J929" i="4"/>
  <c r="J1057" i="4"/>
  <c r="J1121" i="4"/>
  <c r="J1201" i="4"/>
  <c r="J1281" i="4"/>
  <c r="J71" i="4"/>
  <c r="J521" i="4"/>
  <c r="J711" i="4"/>
  <c r="K711" i="4" s="1"/>
  <c r="M711" i="4" s="1"/>
  <c r="J807" i="4"/>
  <c r="J902" i="4"/>
  <c r="J974" i="4"/>
  <c r="K974" i="4" s="1"/>
  <c r="M974" i="4" s="1"/>
  <c r="J1026" i="4"/>
  <c r="K1026" i="4" s="1"/>
  <c r="M1026" i="4" s="1"/>
  <c r="J1074" i="4"/>
  <c r="J1106" i="4"/>
  <c r="K1106" i="4" s="1"/>
  <c r="M1106" i="4" s="1"/>
  <c r="J1154" i="4"/>
  <c r="J1202" i="4"/>
  <c r="J1250" i="4"/>
  <c r="J462" i="4"/>
  <c r="J303" i="4"/>
  <c r="H40" i="1"/>
  <c r="J40" i="1" s="1"/>
  <c r="H32" i="1"/>
  <c r="J32" i="1" s="1"/>
  <c r="F28" i="5"/>
  <c r="F12" i="5"/>
  <c r="H97" i="1"/>
  <c r="J97" i="1" s="1"/>
  <c r="H111" i="1"/>
  <c r="J111" i="1" s="1"/>
  <c r="F31" i="5"/>
  <c r="H79" i="1"/>
  <c r="J79" i="1" s="1"/>
  <c r="H71" i="1"/>
  <c r="J71" i="1" s="1"/>
  <c r="H85" i="1"/>
  <c r="J85" i="1" s="1"/>
  <c r="H105" i="1"/>
  <c r="J105" i="1" s="1"/>
  <c r="H127" i="1"/>
  <c r="J127" i="1" s="1"/>
  <c r="H119" i="1"/>
  <c r="J119" i="1" s="1"/>
  <c r="H152" i="1"/>
  <c r="J152" i="1" s="1"/>
  <c r="M22" i="5"/>
  <c r="M20" i="5"/>
  <c r="F7" i="5"/>
  <c r="M4" i="5"/>
  <c r="H175" i="1"/>
  <c r="J175" i="1" s="1"/>
  <c r="H192" i="1"/>
  <c r="J192" i="1" s="1"/>
  <c r="H203" i="1"/>
  <c r="J203" i="1" s="1"/>
  <c r="M17" i="5"/>
  <c r="H149" i="1"/>
  <c r="J149" i="1" s="1"/>
  <c r="H197" i="1"/>
  <c r="J197" i="1" s="1"/>
  <c r="H193" i="1"/>
  <c r="J193" i="1" s="1"/>
  <c r="H189" i="1"/>
  <c r="J189" i="1" s="1"/>
  <c r="H185" i="1"/>
  <c r="J185" i="1" s="1"/>
  <c r="H49" i="1"/>
  <c r="J49" i="1" s="1"/>
  <c r="H25" i="1"/>
  <c r="J25" i="1" s="1"/>
  <c r="H17" i="1"/>
  <c r="J17" i="1" s="1"/>
  <c r="M18" i="5"/>
  <c r="H35" i="1"/>
  <c r="J35" i="1" s="1"/>
  <c r="B17" i="5"/>
  <c r="F30" i="5"/>
  <c r="F22" i="5"/>
  <c r="F14" i="5"/>
  <c r="N4" i="5"/>
  <c r="N20" i="5"/>
  <c r="H16" i="1"/>
  <c r="J16" i="1" s="1"/>
  <c r="B29" i="5"/>
  <c r="B21" i="5"/>
  <c r="F13" i="5"/>
  <c r="M27" i="5"/>
  <c r="B20" i="5"/>
  <c r="H44" i="1"/>
  <c r="J44" i="1" s="1"/>
  <c r="F10" i="5"/>
  <c r="M24" i="5"/>
  <c r="M15" i="5"/>
  <c r="M7" i="5"/>
  <c r="F9" i="5"/>
  <c r="B7" i="5"/>
  <c r="N13" i="5"/>
  <c r="H140" i="1"/>
  <c r="J140" i="1" s="1"/>
  <c r="H132" i="1"/>
  <c r="J132" i="1" s="1"/>
  <c r="H150" i="1"/>
  <c r="J150" i="1" s="1"/>
  <c r="M19" i="5"/>
  <c r="M11" i="5"/>
  <c r="M3" i="5"/>
  <c r="N27" i="5"/>
  <c r="N19" i="5"/>
  <c r="N11" i="5"/>
  <c r="F5" i="5"/>
  <c r="B27" i="5"/>
  <c r="F19" i="5"/>
  <c r="F11" i="5"/>
  <c r="H59" i="1"/>
  <c r="J59" i="1" s="1"/>
  <c r="F33" i="5"/>
  <c r="F25" i="5"/>
  <c r="H63" i="1"/>
  <c r="J63" i="1" s="1"/>
  <c r="F16" i="5"/>
  <c r="B9" i="5"/>
  <c r="H56" i="1"/>
  <c r="J56" i="1" s="1"/>
  <c r="H69" i="1"/>
  <c r="J69" i="1" s="1"/>
  <c r="H73" i="1"/>
  <c r="J73" i="1" s="1"/>
  <c r="H65" i="1"/>
  <c r="J65" i="1" s="1"/>
  <c r="H92" i="1"/>
  <c r="J92" i="1" s="1"/>
  <c r="H99" i="1"/>
  <c r="J99" i="1" s="1"/>
  <c r="H103" i="1"/>
  <c r="J103" i="1" s="1"/>
  <c r="F18" i="5"/>
  <c r="H142" i="1"/>
  <c r="J142" i="1" s="1"/>
  <c r="H102" i="1"/>
  <c r="J102" i="1" s="1"/>
  <c r="B32" i="5"/>
  <c r="N21" i="5"/>
  <c r="H204" i="1"/>
  <c r="J204" i="1" s="1"/>
  <c r="H215" i="1"/>
  <c r="J215" i="1" s="1"/>
  <c r="H207" i="1"/>
  <c r="J207" i="1" s="1"/>
  <c r="H221" i="1"/>
  <c r="J221" i="1" s="1"/>
  <c r="H10" i="1"/>
  <c r="J10" i="1" s="1"/>
  <c r="H57" i="1"/>
  <c r="J57" i="1" s="1"/>
  <c r="B24" i="5"/>
  <c r="H9" i="1"/>
  <c r="J9" i="1" s="1"/>
  <c r="H8" i="1"/>
  <c r="J8" i="1" s="1"/>
  <c r="H136" i="1"/>
  <c r="J136" i="1" s="1"/>
  <c r="H98" i="1"/>
  <c r="J98" i="1" s="1"/>
  <c r="H107" i="1"/>
  <c r="J107" i="1" s="1"/>
  <c r="H128" i="1"/>
  <c r="J128" i="1" s="1"/>
  <c r="H76" i="1"/>
  <c r="J76" i="1" s="1"/>
  <c r="H68" i="1"/>
  <c r="J68" i="1" s="1"/>
  <c r="H80" i="1"/>
  <c r="J80" i="1" s="1"/>
  <c r="H72" i="1"/>
  <c r="J72" i="1" s="1"/>
  <c r="H113" i="1"/>
  <c r="J113" i="1" s="1"/>
  <c r="H43" i="1"/>
  <c r="J43" i="1" s="1"/>
  <c r="H19" i="1"/>
  <c r="J19" i="1" s="1"/>
  <c r="F6" i="5"/>
  <c r="B14" i="5"/>
  <c r="M30" i="5"/>
  <c r="M5" i="5"/>
  <c r="N29" i="5"/>
  <c r="N5" i="5"/>
  <c r="H172" i="1"/>
  <c r="J172" i="1" s="1"/>
  <c r="H226" i="1"/>
  <c r="J226" i="1" s="1"/>
  <c r="H50" i="1"/>
  <c r="J50" i="1" s="1"/>
  <c r="H34" i="1"/>
  <c r="J34" i="1" s="1"/>
  <c r="H18" i="1"/>
  <c r="J18" i="1" s="1"/>
  <c r="H41" i="1"/>
  <c r="J41" i="1" s="1"/>
  <c r="H33" i="1"/>
  <c r="J33" i="1" s="1"/>
  <c r="B31" i="5"/>
  <c r="B23" i="5"/>
  <c r="B15" i="5"/>
  <c r="H141" i="1"/>
  <c r="J141" i="1" s="1"/>
  <c r="H133" i="1"/>
  <c r="J133" i="1" s="1"/>
  <c r="H151" i="1"/>
  <c r="J151" i="1" s="1"/>
  <c r="H147" i="1"/>
  <c r="J147" i="1" s="1"/>
  <c r="H48" i="1"/>
  <c r="J48" i="1" s="1"/>
  <c r="H24" i="1"/>
  <c r="J24" i="1" s="1"/>
  <c r="H55" i="1"/>
  <c r="J55" i="1" s="1"/>
  <c r="H138" i="1"/>
  <c r="J138" i="1" s="1"/>
  <c r="H148" i="1"/>
  <c r="J148" i="1" s="1"/>
  <c r="H157" i="1"/>
  <c r="J157" i="1" s="1"/>
  <c r="H228" i="1"/>
  <c r="J228" i="1" s="1"/>
  <c r="H233" i="1"/>
  <c r="J233" i="1" s="1"/>
  <c r="B26" i="5"/>
  <c r="H139" i="1"/>
  <c r="J139" i="1" s="1"/>
  <c r="H219" i="1"/>
  <c r="J219" i="1" s="1"/>
  <c r="H42" i="1"/>
  <c r="J42" i="1" s="1"/>
  <c r="B11" i="5"/>
  <c r="N10" i="5"/>
  <c r="H164" i="1"/>
  <c r="J164" i="1" s="1"/>
  <c r="H156" i="1"/>
  <c r="J156" i="1" s="1"/>
  <c r="B13" i="5"/>
  <c r="F15" i="5"/>
  <c r="H134" i="1"/>
  <c r="J134" i="1" s="1"/>
  <c r="H161" i="1"/>
  <c r="J161" i="1" s="1"/>
  <c r="H171" i="1"/>
  <c r="J171" i="1" s="1"/>
  <c r="H167" i="1"/>
  <c r="J167" i="1" s="1"/>
  <c r="H209" i="1"/>
  <c r="J209" i="1" s="1"/>
  <c r="H225" i="1"/>
  <c r="J225" i="1" s="1"/>
  <c r="N2" i="5"/>
  <c r="M26" i="5"/>
  <c r="N26" i="5"/>
  <c r="F2" i="5"/>
  <c r="F27" i="5"/>
  <c r="B19" i="5"/>
  <c r="F17" i="5"/>
  <c r="B33" i="5"/>
  <c r="B25" i="5"/>
  <c r="M25" i="5"/>
  <c r="H227" i="1"/>
  <c r="J227" i="1" s="1"/>
  <c r="H22" i="1"/>
  <c r="J22" i="1" s="1"/>
  <c r="H61" i="1"/>
  <c r="J61" i="1" s="1"/>
  <c r="H64" i="1"/>
  <c r="J64" i="1" s="1"/>
  <c r="M10" i="5"/>
  <c r="M2" i="5"/>
  <c r="N18" i="5"/>
  <c r="B12" i="5"/>
  <c r="H37" i="1"/>
  <c r="J37" i="1" s="1"/>
  <c r="H29" i="1"/>
  <c r="J29" i="1" s="1"/>
  <c r="H13" i="1"/>
  <c r="J13" i="1" s="1"/>
  <c r="H60" i="1"/>
  <c r="J60" i="1" s="1"/>
  <c r="H36" i="1"/>
  <c r="J36" i="1" s="1"/>
  <c r="H28" i="1"/>
  <c r="J28" i="1" s="1"/>
  <c r="H62" i="1"/>
  <c r="J62" i="1" s="1"/>
  <c r="F3" i="5"/>
  <c r="F26" i="5"/>
  <c r="B18" i="5"/>
  <c r="B10" i="5"/>
  <c r="H146" i="1"/>
  <c r="J146" i="1" s="1"/>
  <c r="H200" i="1"/>
  <c r="J200" i="1" s="1"/>
  <c r="H211" i="1"/>
  <c r="J211" i="1" s="1"/>
  <c r="H51" i="1"/>
  <c r="J51" i="1" s="1"/>
  <c r="H27" i="1"/>
  <c r="J27" i="1" s="1"/>
  <c r="F23" i="5"/>
  <c r="H229" i="1"/>
  <c r="J229" i="1" s="1"/>
  <c r="H143" i="1"/>
  <c r="J143" i="1" s="1"/>
  <c r="H135" i="1"/>
  <c r="J135" i="1" s="1"/>
  <c r="H131" i="1"/>
  <c r="J131" i="1" s="1"/>
  <c r="H145" i="1"/>
  <c r="J145" i="1" s="1"/>
  <c r="H173" i="1"/>
  <c r="J173" i="1" s="1"/>
  <c r="B30" i="5"/>
  <c r="B28" i="5"/>
  <c r="H199" i="1"/>
  <c r="J199" i="1" s="1"/>
  <c r="H26" i="1"/>
  <c r="J26" i="1" s="1"/>
  <c r="H190" i="1"/>
  <c r="J190" i="1" s="1"/>
  <c r="H224" i="1"/>
  <c r="J224" i="1" s="1"/>
  <c r="H168" i="1"/>
  <c r="J168" i="1" s="1"/>
  <c r="H182" i="1"/>
  <c r="J182" i="1" s="1"/>
  <c r="H174" i="1"/>
  <c r="J174" i="1" s="1"/>
  <c r="H196" i="1"/>
  <c r="J196" i="1" s="1"/>
  <c r="H188" i="1"/>
  <c r="J188" i="1" s="1"/>
  <c r="H202" i="1"/>
  <c r="J202" i="1" s="1"/>
  <c r="H214" i="1"/>
  <c r="J214" i="1" s="1"/>
  <c r="H216" i="1"/>
  <c r="J216" i="1" s="1"/>
  <c r="F21" i="5"/>
  <c r="M9" i="5"/>
  <c r="N33" i="5"/>
  <c r="N25" i="5"/>
  <c r="N17" i="5"/>
  <c r="N9" i="5"/>
  <c r="F29" i="5"/>
  <c r="B5" i="5"/>
  <c r="F20" i="5"/>
  <c r="N6" i="5"/>
  <c r="J231" i="1"/>
  <c r="H38" i="1"/>
  <c r="J38" i="1" s="1"/>
  <c r="H47" i="1"/>
  <c r="J47" i="1" s="1"/>
  <c r="H54" i="1"/>
  <c r="J54" i="1" s="1"/>
  <c r="H6" i="1"/>
  <c r="J6" i="1" s="1"/>
  <c r="H46" i="1"/>
  <c r="J46" i="1" s="1"/>
  <c r="H30" i="1"/>
  <c r="J30" i="1" s="1"/>
  <c r="H14" i="1"/>
  <c r="J14" i="1" s="1"/>
  <c r="B22" i="5"/>
  <c r="B6" i="5"/>
  <c r="F8" i="5"/>
  <c r="B8" i="5"/>
  <c r="H11" i="1"/>
  <c r="J11" i="1" s="1"/>
  <c r="B16" i="5"/>
  <c r="H20" i="1"/>
  <c r="J20" i="1" s="1"/>
  <c r="H12" i="1"/>
  <c r="J12" i="1" s="1"/>
  <c r="F24" i="5"/>
  <c r="F32" i="5"/>
  <c r="H21" i="1"/>
  <c r="J21" i="1" s="1"/>
  <c r="N14" i="5"/>
  <c r="H154" i="1"/>
  <c r="J154" i="1" s="1"/>
  <c r="H169" i="1"/>
  <c r="J169" i="1" s="1"/>
  <c r="H195" i="1"/>
  <c r="J195" i="1" s="1"/>
  <c r="H191" i="1"/>
  <c r="J191" i="1" s="1"/>
  <c r="H187" i="1"/>
  <c r="J187" i="1" s="1"/>
  <c r="H183" i="1"/>
  <c r="J183" i="1" s="1"/>
  <c r="M6" i="5"/>
  <c r="N22" i="5"/>
  <c r="H153" i="1"/>
  <c r="J153" i="1" s="1"/>
  <c r="H163" i="1"/>
  <c r="J163" i="1" s="1"/>
  <c r="H159" i="1"/>
  <c r="J159" i="1" s="1"/>
  <c r="H155" i="1"/>
  <c r="J155" i="1" s="1"/>
  <c r="H181" i="1"/>
  <c r="J181" i="1" s="1"/>
  <c r="H177" i="1"/>
  <c r="J177" i="1" s="1"/>
  <c r="H198" i="1"/>
  <c r="J198" i="1" s="1"/>
  <c r="H210" i="1"/>
  <c r="J210" i="1" s="1"/>
  <c r="H206" i="1"/>
  <c r="J206" i="1" s="1"/>
  <c r="H220" i="1"/>
  <c r="J220" i="1" s="1"/>
  <c r="H160" i="1"/>
  <c r="J160" i="1" s="1"/>
  <c r="H217" i="1"/>
  <c r="J217" i="1" s="1"/>
  <c r="M31" i="5"/>
  <c r="N3" i="5"/>
  <c r="M28" i="5"/>
  <c r="M12" i="5"/>
  <c r="N28" i="5"/>
  <c r="N12" i="5"/>
  <c r="H170" i="1"/>
  <c r="J170" i="1" s="1"/>
  <c r="H158" i="1"/>
  <c r="J158" i="1" s="1"/>
  <c r="H180" i="1"/>
  <c r="J180" i="1" s="1"/>
  <c r="H218" i="1"/>
  <c r="J218" i="1" s="1"/>
  <c r="J114" i="1"/>
  <c r="M29" i="5"/>
  <c r="H144" i="1"/>
  <c r="J144" i="1" s="1"/>
  <c r="H194" i="1"/>
  <c r="J194" i="1" s="1"/>
  <c r="H186" i="1"/>
  <c r="J186" i="1" s="1"/>
  <c r="H205" i="1"/>
  <c r="J205" i="1" s="1"/>
  <c r="H208" i="1"/>
  <c r="J208" i="1" s="1"/>
  <c r="M14" i="5"/>
  <c r="N31" i="5"/>
  <c r="N23" i="5"/>
  <c r="M33" i="5"/>
  <c r="H201" i="1"/>
  <c r="J201" i="1" s="1"/>
  <c r="H212" i="1"/>
  <c r="J212" i="1" s="1"/>
  <c r="M21" i="5"/>
  <c r="N30" i="5"/>
  <c r="N15" i="5"/>
  <c r="N7" i="5"/>
  <c r="H178" i="1"/>
  <c r="J178" i="1" s="1"/>
  <c r="H223" i="1"/>
  <c r="J223" i="1" s="1"/>
  <c r="H234" i="1"/>
  <c r="J234" i="1" s="1"/>
  <c r="H230" i="1"/>
  <c r="J230" i="1" s="1"/>
  <c r="H235" i="1"/>
  <c r="J235" i="1" s="1"/>
  <c r="J165" i="1"/>
  <c r="J110" i="1"/>
  <c r="J90" i="1"/>
  <c r="J232" i="1"/>
  <c r="H39" i="1"/>
  <c r="J39" i="1" s="1"/>
  <c r="H31" i="1"/>
  <c r="J31" i="1" s="1"/>
  <c r="H23" i="1"/>
  <c r="J23" i="1" s="1"/>
  <c r="H15" i="1"/>
  <c r="J15" i="1" s="1"/>
  <c r="H7" i="1"/>
  <c r="J7" i="1" s="1"/>
  <c r="H58" i="1"/>
  <c r="J58" i="1" s="1"/>
  <c r="H53" i="1"/>
  <c r="J53" i="1" s="1"/>
  <c r="H45" i="1"/>
  <c r="J45" i="1" s="1"/>
  <c r="H52" i="1"/>
  <c r="J52" i="1" s="1"/>
  <c r="H137" i="1"/>
  <c r="J137" i="1" s="1"/>
  <c r="H166" i="1"/>
  <c r="J166" i="1" s="1"/>
  <c r="H162" i="1"/>
  <c r="J162" i="1" s="1"/>
  <c r="H176" i="1"/>
  <c r="J176" i="1" s="1"/>
  <c r="H184" i="1"/>
  <c r="J184" i="1" s="1"/>
  <c r="H213" i="1"/>
  <c r="J213" i="1" s="1"/>
  <c r="J3" i="1" l="1"/>
  <c r="L1008" i="4"/>
  <c r="L477" i="4"/>
  <c r="L427" i="4"/>
  <c r="L341" i="4"/>
  <c r="L939" i="4"/>
  <c r="L374" i="4"/>
  <c r="L1201" i="4"/>
  <c r="L226" i="4"/>
  <c r="L489" i="4"/>
  <c r="L1300" i="4"/>
  <c r="L1233" i="4"/>
  <c r="L1131" i="4"/>
  <c r="L849" i="4"/>
  <c r="L1119" i="4"/>
  <c r="L183" i="4"/>
  <c r="L1260" i="4"/>
  <c r="L1099" i="4"/>
  <c r="L300" i="4"/>
  <c r="L109" i="4"/>
  <c r="L1066" i="4"/>
  <c r="L786" i="4"/>
  <c r="L592" i="4"/>
  <c r="L1007" i="4"/>
  <c r="L1295" i="4"/>
  <c r="L1167" i="4"/>
  <c r="L1103" i="4"/>
  <c r="L1039" i="4"/>
  <c r="L1005" i="4"/>
  <c r="L669" i="4"/>
  <c r="L257" i="4"/>
  <c r="L994" i="4"/>
  <c r="L871" i="4"/>
  <c r="L712" i="4"/>
  <c r="L857" i="4"/>
  <c r="L1064" i="4"/>
  <c r="L1057" i="4"/>
  <c r="L147" i="4"/>
  <c r="L83" i="4"/>
  <c r="L210" i="4"/>
  <c r="L82" i="4"/>
  <c r="L168" i="4"/>
  <c r="L897" i="4"/>
  <c r="L678" i="4"/>
  <c r="L729" i="4"/>
  <c r="L618" i="4"/>
  <c r="L1154" i="4"/>
  <c r="L644" i="4"/>
  <c r="L494" i="4"/>
  <c r="L1242" i="4"/>
  <c r="L1298" i="4"/>
  <c r="L794" i="4"/>
  <c r="L627" i="4"/>
  <c r="L1090" i="4"/>
  <c r="L576" i="4"/>
  <c r="L198" i="4"/>
  <c r="L657" i="4"/>
  <c r="L664" i="4"/>
  <c r="L304" i="4"/>
  <c r="L47" i="4"/>
  <c r="L806" i="4"/>
  <c r="L328" i="4"/>
  <c r="L165" i="4"/>
  <c r="L293" i="4"/>
  <c r="L314" i="4"/>
  <c r="L19" i="4"/>
  <c r="L104" i="4"/>
  <c r="L40" i="4"/>
  <c r="L318" i="4"/>
  <c r="L60" i="4"/>
  <c r="L933" i="4"/>
  <c r="L770" i="4"/>
  <c r="L1257" i="4"/>
  <c r="L1231" i="4"/>
  <c r="L1237" i="4"/>
  <c r="L1264" i="4"/>
  <c r="L1220" i="4"/>
  <c r="L1092" i="4"/>
  <c r="L958" i="4"/>
  <c r="L1234" i="4"/>
  <c r="L1018" i="4"/>
  <c r="L334" i="4"/>
  <c r="L945" i="4"/>
  <c r="L690" i="4"/>
  <c r="L1149" i="4"/>
  <c r="L1085" i="4"/>
  <c r="L496" i="4"/>
  <c r="L1304" i="4"/>
  <c r="L880" i="4"/>
  <c r="L351" i="4"/>
  <c r="L943" i="4"/>
  <c r="L478" i="4"/>
  <c r="L601" i="4"/>
  <c r="L345" i="4"/>
  <c r="L513" i="4"/>
  <c r="L255" i="4"/>
  <c r="L649" i="4"/>
  <c r="L536" i="4"/>
  <c r="L408" i="4"/>
  <c r="L150" i="4"/>
  <c r="L828" i="4"/>
  <c r="L701" i="4"/>
  <c r="L503" i="4"/>
  <c r="L229" i="4"/>
  <c r="L859" i="4"/>
  <c r="L586" i="4"/>
  <c r="L458" i="4"/>
  <c r="L394" i="4"/>
  <c r="L264" i="4"/>
  <c r="L200" i="4"/>
  <c r="L8" i="4"/>
  <c r="L565" i="4"/>
  <c r="L437" i="4"/>
  <c r="L171" i="4"/>
  <c r="L364" i="4"/>
  <c r="L298" i="4"/>
  <c r="L106" i="4"/>
  <c r="L539" i="4"/>
  <c r="L254" i="4"/>
  <c r="L1035" i="4"/>
  <c r="L44" i="4"/>
  <c r="L679" i="4"/>
  <c r="L1105" i="4"/>
  <c r="L1258" i="4"/>
  <c r="L865" i="4"/>
  <c r="L888" i="4"/>
  <c r="L913" i="4"/>
  <c r="L654" i="4"/>
  <c r="L1269" i="4"/>
  <c r="L1077" i="4"/>
  <c r="L810" i="4"/>
  <c r="L464" i="4"/>
  <c r="L1232" i="4"/>
  <c r="L864" i="4"/>
  <c r="L737" i="4"/>
  <c r="L575" i="4"/>
  <c r="L927" i="4"/>
  <c r="L800" i="4"/>
  <c r="L446" i="4"/>
  <c r="L188" i="4"/>
  <c r="L1166" i="4"/>
  <c r="L569" i="4"/>
  <c r="L313" i="4"/>
  <c r="L826" i="4"/>
  <c r="L699" i="4"/>
  <c r="L625" i="4"/>
  <c r="L901" i="4"/>
  <c r="L837" i="4"/>
  <c r="L134" i="4"/>
  <c r="L884" i="4"/>
  <c r="L615" i="4"/>
  <c r="L85" i="4"/>
  <c r="L915" i="4"/>
  <c r="L724" i="4"/>
  <c r="L656" i="4"/>
  <c r="L578" i="4"/>
  <c r="L256" i="4"/>
  <c r="L192" i="4"/>
  <c r="L128" i="4"/>
  <c r="L163" i="4"/>
  <c r="L420" i="4"/>
  <c r="L356" i="4"/>
  <c r="L34" i="4"/>
  <c r="L531" i="4"/>
  <c r="L467" i="4"/>
  <c r="L273" i="4"/>
  <c r="L17" i="4"/>
  <c r="L521" i="4"/>
  <c r="L1188" i="4"/>
  <c r="L1060" i="4"/>
  <c r="L824" i="4"/>
  <c r="L1068" i="4"/>
  <c r="L759" i="4"/>
  <c r="L1180" i="4"/>
  <c r="L1049" i="4"/>
  <c r="L1197" i="4"/>
  <c r="L1133" i="4"/>
  <c r="L1069" i="4"/>
  <c r="L962" i="4"/>
  <c r="L848" i="4"/>
  <c r="L721" i="4"/>
  <c r="L543" i="4"/>
  <c r="L285" i="4"/>
  <c r="L1255" i="4"/>
  <c r="L1063" i="4"/>
  <c r="L911" i="4"/>
  <c r="L652" i="4"/>
  <c r="L1286" i="4"/>
  <c r="L1094" i="4"/>
  <c r="L1030" i="4"/>
  <c r="L719" i="4"/>
  <c r="L23" i="4"/>
  <c r="L755" i="4"/>
  <c r="L691" i="4"/>
  <c r="L353" i="4"/>
  <c r="L829" i="4"/>
  <c r="L702" i="4"/>
  <c r="L504" i="4"/>
  <c r="L246" i="4"/>
  <c r="L876" i="4"/>
  <c r="L599" i="4"/>
  <c r="L69" i="4"/>
  <c r="L907" i="4"/>
  <c r="L843" i="4"/>
  <c r="L716" i="4"/>
  <c r="L647" i="4"/>
  <c r="L534" i="4"/>
  <c r="L406" i="4"/>
  <c r="L248" i="4"/>
  <c r="L184" i="4"/>
  <c r="L120" i="4"/>
  <c r="L485" i="4"/>
  <c r="L357" i="4"/>
  <c r="L91" i="4"/>
  <c r="L604" i="4"/>
  <c r="L348" i="4"/>
  <c r="L587" i="4"/>
  <c r="L265" i="4"/>
  <c r="L137" i="4"/>
  <c r="L362" i="4"/>
  <c r="L1002" i="4"/>
  <c r="L792" i="4"/>
  <c r="L430" i="4"/>
  <c r="L398" i="4"/>
  <c r="L62" i="4"/>
  <c r="L559" i="4"/>
  <c r="L1226" i="4"/>
  <c r="L1289" i="4"/>
  <c r="L1033" i="4"/>
  <c r="L1125" i="4"/>
  <c r="L1061" i="4"/>
  <c r="L778" i="4"/>
  <c r="L400" i="4"/>
  <c r="L705" i="4"/>
  <c r="L511" i="4"/>
  <c r="L1247" i="4"/>
  <c r="L1183" i="4"/>
  <c r="L768" i="4"/>
  <c r="L632" i="4"/>
  <c r="L382" i="4"/>
  <c r="L124" i="4"/>
  <c r="L1214" i="4"/>
  <c r="L1086" i="4"/>
  <c r="L1022" i="4"/>
  <c r="L951" i="4"/>
  <c r="L505" i="4"/>
  <c r="L938" i="4"/>
  <c r="L811" i="4"/>
  <c r="L593" i="4"/>
  <c r="L79" i="4"/>
  <c r="L360" i="4"/>
  <c r="L741" i="4"/>
  <c r="L390" i="4"/>
  <c r="L260" i="4"/>
  <c r="L626" i="4"/>
  <c r="L562" i="4"/>
  <c r="L498" i="4"/>
  <c r="L305" i="4"/>
  <c r="L176" i="4"/>
  <c r="L413" i="4"/>
  <c r="L872" i="4"/>
  <c r="L77" i="4"/>
  <c r="L1259" i="4"/>
  <c r="L1074" i="4"/>
  <c r="L840" i="4"/>
  <c r="L1185" i="4"/>
  <c r="L190" i="4"/>
  <c r="L1243" i="4"/>
  <c r="L1115" i="4"/>
  <c r="L760" i="4"/>
  <c r="L975" i="4"/>
  <c r="L329" i="4"/>
  <c r="L1082" i="4"/>
  <c r="L946" i="4"/>
  <c r="L1145" i="4"/>
  <c r="L368" i="4"/>
  <c r="L1208" i="4"/>
  <c r="L817" i="4"/>
  <c r="L221" i="4"/>
  <c r="L1303" i="4"/>
  <c r="L1175" i="4"/>
  <c r="L350" i="4"/>
  <c r="L942" i="4"/>
  <c r="L866" i="4"/>
  <c r="L191" i="4"/>
  <c r="L472" i="4"/>
  <c r="L860" i="4"/>
  <c r="L439" i="4"/>
  <c r="L203" i="4"/>
  <c r="L75" i="4"/>
  <c r="L396" i="4"/>
  <c r="L138" i="4"/>
  <c r="L74" i="4"/>
  <c r="L507" i="4"/>
  <c r="L443" i="4"/>
  <c r="L379" i="4"/>
  <c r="L57" i="4"/>
  <c r="L167" i="4"/>
  <c r="L1129" i="4"/>
  <c r="L277" i="4"/>
  <c r="L947" i="4"/>
  <c r="L228" i="4"/>
  <c r="L482" i="4"/>
  <c r="L288" i="4"/>
  <c r="L224" i="4"/>
  <c r="L32" i="4"/>
  <c r="L589" i="4"/>
  <c r="L461" i="4"/>
  <c r="L397" i="4"/>
  <c r="L131" i="4"/>
  <c r="L516" i="4"/>
  <c r="L388" i="4"/>
  <c r="L66" i="4"/>
  <c r="L2" i="4"/>
  <c r="L435" i="4"/>
  <c r="L371" i="4"/>
  <c r="L1073" i="4"/>
  <c r="L948" i="4"/>
  <c r="L1196" i="4"/>
  <c r="L1050" i="4"/>
  <c r="L103" i="4"/>
  <c r="L1089" i="4"/>
  <c r="L1113" i="4"/>
  <c r="L982" i="4"/>
  <c r="L352" i="4"/>
  <c r="L1293" i="4"/>
  <c r="L1229" i="4"/>
  <c r="L1101" i="4"/>
  <c r="L1128" i="4"/>
  <c r="L999" i="4"/>
  <c r="L912" i="4"/>
  <c r="L415" i="4"/>
  <c r="L1287" i="4"/>
  <c r="L1095" i="4"/>
  <c r="L1031" i="4"/>
  <c r="L847" i="4"/>
  <c r="L720" i="4"/>
  <c r="L1254" i="4"/>
  <c r="L409" i="4"/>
  <c r="L287" i="4"/>
  <c r="L925" i="4"/>
  <c r="L798" i="4"/>
  <c r="L668" i="4"/>
  <c r="L568" i="4"/>
  <c r="L812" i="4"/>
  <c r="L598" i="4"/>
  <c r="L212" i="4"/>
  <c r="L216" i="4"/>
  <c r="L152" i="4"/>
  <c r="L24" i="4"/>
  <c r="L453" i="4"/>
  <c r="L389" i="4"/>
  <c r="L636" i="4"/>
  <c r="L572" i="4"/>
  <c r="L186" i="4"/>
  <c r="L122" i="4"/>
  <c r="L58" i="4"/>
  <c r="L363" i="4"/>
  <c r="L297" i="4"/>
  <c r="L462" i="4"/>
  <c r="L745" i="4"/>
  <c r="L335" i="4"/>
  <c r="L457" i="4"/>
  <c r="L1009" i="4"/>
  <c r="L45" i="4"/>
  <c r="L1123" i="4"/>
  <c r="L808" i="4"/>
  <c r="L1290" i="4"/>
  <c r="L1162" i="4"/>
  <c r="L39" i="4"/>
  <c r="L1225" i="4"/>
  <c r="L964" i="4"/>
  <c r="L722" i="4"/>
  <c r="L1093" i="4"/>
  <c r="L714" i="4"/>
  <c r="L1248" i="4"/>
  <c r="L1184" i="4"/>
  <c r="L896" i="4"/>
  <c r="L633" i="4"/>
  <c r="L1151" i="4"/>
  <c r="L510" i="4"/>
  <c r="L252" i="4"/>
  <c r="L1182" i="4"/>
  <c r="L894" i="4"/>
  <c r="L767" i="4"/>
  <c r="L631" i="4"/>
  <c r="L119" i="4"/>
  <c r="L779" i="4"/>
  <c r="L715" i="4"/>
  <c r="L853" i="4"/>
  <c r="L790" i="4"/>
  <c r="L659" i="4"/>
  <c r="L709" i="4"/>
  <c r="L594" i="4"/>
  <c r="L530" i="4"/>
  <c r="L144" i="4"/>
  <c r="L80" i="4"/>
  <c r="L445" i="4"/>
  <c r="L179" i="4"/>
  <c r="L115" i="4"/>
  <c r="L564" i="4"/>
  <c r="L500" i="4"/>
  <c r="L372" i="4"/>
  <c r="L114" i="4"/>
  <c r="L547" i="4"/>
  <c r="L483" i="4"/>
  <c r="L419" i="4"/>
  <c r="L355" i="4"/>
  <c r="L225" i="4"/>
  <c r="L97" i="4"/>
  <c r="L33" i="4"/>
  <c r="L686" i="4"/>
  <c r="L553" i="4"/>
  <c r="L381" i="4"/>
  <c r="L284" i="4"/>
  <c r="L1277" i="4"/>
  <c r="L93" i="4"/>
  <c r="L574" i="4"/>
  <c r="L431" i="4"/>
  <c r="L1111" i="4"/>
  <c r="L9" i="4"/>
  <c r="L529" i="4"/>
  <c r="L449" i="4"/>
  <c r="L673" i="4"/>
  <c r="L935" i="4"/>
  <c r="L535" i="4"/>
  <c r="L111" i="4"/>
  <c r="L280" i="4"/>
  <c r="L281" i="4"/>
  <c r="L214" i="4"/>
  <c r="L870" i="4"/>
  <c r="N870" i="4" s="1"/>
  <c r="L1200" i="4"/>
  <c r="N1200" i="4" s="1"/>
  <c r="K9" i="4"/>
  <c r="M9" i="4" s="1"/>
  <c r="L1136" i="4"/>
  <c r="N1136" i="4" s="1"/>
  <c r="L1222" i="4"/>
  <c r="N1222" i="4" s="1"/>
  <c r="K599" i="4"/>
  <c r="M599" i="4" s="1"/>
  <c r="K907" i="4"/>
  <c r="M907" i="4" s="1"/>
  <c r="K111" i="4"/>
  <c r="M111" i="4" s="1"/>
  <c r="K119" i="4"/>
  <c r="M119" i="4" s="1"/>
  <c r="L336" i="4"/>
  <c r="N336" i="4" s="1"/>
  <c r="K381" i="4"/>
  <c r="M381" i="4" s="1"/>
  <c r="K767" i="4"/>
  <c r="M767" i="4" s="1"/>
  <c r="L292" i="4"/>
  <c r="N292" i="4" s="1"/>
  <c r="L231" i="4"/>
  <c r="N231" i="4" s="1"/>
  <c r="L1192" i="4"/>
  <c r="N1192" i="4" s="1"/>
  <c r="L1240" i="4"/>
  <c r="N1240" i="4" s="1"/>
  <c r="L776" i="4"/>
  <c r="N776" i="4" s="1"/>
  <c r="K431" i="4"/>
  <c r="M431" i="4" s="1"/>
  <c r="L1106" i="4"/>
  <c r="N1106" i="4" s="1"/>
  <c r="L243" i="4"/>
  <c r="Q243" i="4"/>
  <c r="L244" i="4"/>
  <c r="Q244" i="4"/>
  <c r="L242" i="4"/>
  <c r="Q242" i="4"/>
  <c r="K240" i="4"/>
  <c r="M240" i="4" s="1"/>
  <c r="Q240" i="4"/>
  <c r="L232" i="4"/>
  <c r="Q232" i="4"/>
  <c r="L233" i="4"/>
  <c r="Q233" i="4"/>
  <c r="K236" i="4"/>
  <c r="M236" i="4" s="1"/>
  <c r="Q236" i="4"/>
  <c r="K964" i="4"/>
  <c r="M964" i="4" s="1"/>
  <c r="K1111" i="4"/>
  <c r="M1111" i="4" s="1"/>
  <c r="L1177" i="4"/>
  <c r="N1177" i="4" s="1"/>
  <c r="K786" i="4"/>
  <c r="M786" i="4" s="1"/>
  <c r="K840" i="4"/>
  <c r="M840" i="4" s="1"/>
  <c r="K1162" i="4"/>
  <c r="M1162" i="4" s="1"/>
  <c r="K824" i="4"/>
  <c r="M824" i="4" s="1"/>
  <c r="K415" i="4"/>
  <c r="M415" i="4" s="1"/>
  <c r="K994" i="4"/>
  <c r="M994" i="4" s="1"/>
  <c r="N994" i="4" s="1"/>
  <c r="K913" i="4"/>
  <c r="M913" i="4" s="1"/>
  <c r="N913" i="4" s="1"/>
  <c r="K896" i="4"/>
  <c r="M896" i="4" s="1"/>
  <c r="N896" i="4" s="1"/>
  <c r="L734" i="4"/>
  <c r="N734" i="4" s="1"/>
  <c r="K792" i="4"/>
  <c r="M792" i="4" s="1"/>
  <c r="K894" i="4"/>
  <c r="M894" i="4" s="1"/>
  <c r="K505" i="4"/>
  <c r="M505" i="4" s="1"/>
  <c r="L1036" i="4"/>
  <c r="N1036" i="4" s="1"/>
  <c r="K516" i="4"/>
  <c r="M516" i="4" s="1"/>
  <c r="K252" i="4"/>
  <c r="M252" i="4" s="1"/>
  <c r="L178" i="4"/>
  <c r="N178" i="4" s="1"/>
  <c r="K457" i="4"/>
  <c r="M457" i="4" s="1"/>
  <c r="L819" i="4"/>
  <c r="N819" i="4" s="1"/>
  <c r="K884" i="4"/>
  <c r="M884" i="4" s="1"/>
  <c r="K1257" i="4"/>
  <c r="M1257" i="4" s="1"/>
  <c r="N1257" i="4" s="1"/>
  <c r="K604" i="4"/>
  <c r="M604" i="4" s="1"/>
  <c r="L274" i="4"/>
  <c r="N274" i="4" s="1"/>
  <c r="K982" i="4"/>
  <c r="M982" i="4" s="1"/>
  <c r="K329" i="4"/>
  <c r="M329" i="4" s="1"/>
  <c r="K529" i="4"/>
  <c r="M529" i="4" s="1"/>
  <c r="K60" i="4"/>
  <c r="M60" i="4" s="1"/>
  <c r="K1085" i="4"/>
  <c r="M1085" i="4" s="1"/>
  <c r="N1085" i="4" s="1"/>
  <c r="L172" i="4"/>
  <c r="N172" i="4" s="1"/>
  <c r="K686" i="4"/>
  <c r="M686" i="4" s="1"/>
  <c r="L971" i="4"/>
  <c r="N971" i="4" s="1"/>
  <c r="K778" i="4"/>
  <c r="M778" i="4" s="1"/>
  <c r="K1231" i="4"/>
  <c r="M1231" i="4" s="1"/>
  <c r="N1231" i="4" s="1"/>
  <c r="K1303" i="4"/>
  <c r="M1303" i="4" s="1"/>
  <c r="N1303" i="4" s="1"/>
  <c r="K1115" i="4"/>
  <c r="M1115" i="4" s="1"/>
  <c r="N1115" i="4" s="1"/>
  <c r="L1026" i="4"/>
  <c r="N1026" i="4" s="1"/>
  <c r="K947" i="4"/>
  <c r="M947" i="4" s="1"/>
  <c r="K1298" i="4"/>
  <c r="M1298" i="4" s="1"/>
  <c r="N1298" i="4" s="1"/>
  <c r="K389" i="4"/>
  <c r="M389" i="4" s="1"/>
  <c r="K511" i="4"/>
  <c r="M511" i="4" s="1"/>
  <c r="K572" i="4"/>
  <c r="M572" i="4" s="1"/>
  <c r="L87" i="4"/>
  <c r="N87" i="4" s="1"/>
  <c r="L1209" i="4"/>
  <c r="N1209" i="4" s="1"/>
  <c r="K58" i="4"/>
  <c r="M58" i="4" s="1"/>
  <c r="K1007" i="4"/>
  <c r="M1007" i="4" s="1"/>
  <c r="N1007" i="4" s="1"/>
  <c r="L988" i="4"/>
  <c r="N988" i="4" s="1"/>
  <c r="K673" i="4"/>
  <c r="M673" i="4" s="1"/>
  <c r="L703" i="4"/>
  <c r="N703" i="4" s="1"/>
  <c r="K935" i="4"/>
  <c r="M935" i="4" s="1"/>
  <c r="L38" i="4"/>
  <c r="N38" i="4" s="1"/>
  <c r="L1305" i="4"/>
  <c r="N1305" i="4" s="1"/>
  <c r="K167" i="4"/>
  <c r="M167" i="4" s="1"/>
  <c r="K1095" i="4"/>
  <c r="M1095" i="4" s="1"/>
  <c r="L974" i="4"/>
  <c r="N974" i="4" s="1"/>
  <c r="L324" i="4"/>
  <c r="N324" i="4" s="1"/>
  <c r="L506" i="4"/>
  <c r="N506" i="4" s="1"/>
  <c r="K260" i="4"/>
  <c r="M260" i="4" s="1"/>
  <c r="K1077" i="4"/>
  <c r="M1077" i="4" s="1"/>
  <c r="N1077" i="4" s="1"/>
  <c r="L1272" i="4"/>
  <c r="N1272" i="4" s="1"/>
  <c r="K848" i="4"/>
  <c r="M848" i="4" s="1"/>
  <c r="L1044" i="4"/>
  <c r="N1044" i="4" s="1"/>
  <c r="L441" i="4"/>
  <c r="N441" i="4" s="1"/>
  <c r="L1282" i="4"/>
  <c r="N1282" i="4" s="1"/>
  <c r="K912" i="4"/>
  <c r="M912" i="4" s="1"/>
  <c r="K103" i="4"/>
  <c r="M103" i="4" s="1"/>
  <c r="K601" i="4"/>
  <c r="M601" i="4" s="1"/>
  <c r="K828" i="4"/>
  <c r="M828" i="4" s="1"/>
  <c r="K1242" i="4"/>
  <c r="M1242" i="4" s="1"/>
  <c r="N1242" i="4" s="1"/>
  <c r="L1079" i="4"/>
  <c r="N1079" i="4" s="1"/>
  <c r="L916" i="4"/>
  <c r="N916" i="4" s="1"/>
  <c r="L1114" i="4"/>
  <c r="N1114" i="4" s="1"/>
  <c r="K586" i="4"/>
  <c r="M586" i="4" s="1"/>
  <c r="L545" i="4"/>
  <c r="N545" i="4" s="1"/>
  <c r="K150" i="4"/>
  <c r="M150" i="4" s="1"/>
  <c r="L830" i="4"/>
  <c r="N830" i="4" s="1"/>
  <c r="K214" i="4"/>
  <c r="M214" i="4" s="1"/>
  <c r="L81" i="4"/>
  <c r="N81" i="4" s="1"/>
  <c r="K461" i="4"/>
  <c r="M461" i="4" s="1"/>
  <c r="K335" i="4"/>
  <c r="M335" i="4" s="1"/>
  <c r="K958" i="4"/>
  <c r="M958" i="4" s="1"/>
  <c r="N958" i="4" s="1"/>
  <c r="K255" i="4"/>
  <c r="M255" i="4" s="1"/>
  <c r="L1241" i="4"/>
  <c r="N1241" i="4" s="1"/>
  <c r="K1089" i="4"/>
  <c r="M1089" i="4" s="1"/>
  <c r="K866" i="4"/>
  <c r="M866" i="4" s="1"/>
  <c r="L1310" i="4"/>
  <c r="N1310" i="4" s="1"/>
  <c r="K124" i="4"/>
  <c r="M124" i="4" s="1"/>
  <c r="K397" i="4"/>
  <c r="M397" i="4" s="1"/>
  <c r="K1220" i="4"/>
  <c r="M1220" i="4" s="1"/>
  <c r="K1214" i="4"/>
  <c r="M1214" i="4" s="1"/>
  <c r="N1214" i="4" s="1"/>
  <c r="K191" i="4"/>
  <c r="M191" i="4" s="1"/>
  <c r="K357" i="4"/>
  <c r="M357" i="4" s="1"/>
  <c r="K1068" i="4"/>
  <c r="M1068" i="4" s="1"/>
  <c r="L1308" i="4"/>
  <c r="N1308" i="4" s="1"/>
  <c r="K446" i="4"/>
  <c r="M446" i="4" s="1"/>
  <c r="K198" i="4"/>
  <c r="M198" i="4" s="1"/>
  <c r="K485" i="4"/>
  <c r="M485" i="4" s="1"/>
  <c r="L1156" i="4"/>
  <c r="N1156" i="4" s="1"/>
  <c r="L173" i="4"/>
  <c r="N173" i="4" s="1"/>
  <c r="K1066" i="4"/>
  <c r="M1066" i="4" s="1"/>
  <c r="K265" i="4"/>
  <c r="M265" i="4" s="1"/>
  <c r="K853" i="4"/>
  <c r="M853" i="4" s="1"/>
  <c r="N853" i="4" s="1"/>
  <c r="L1249" i="4"/>
  <c r="N1249" i="4" s="1"/>
  <c r="K273" i="4"/>
  <c r="M273" i="4" s="1"/>
  <c r="L797" i="4"/>
  <c r="N797" i="4" s="1"/>
  <c r="L141" i="4"/>
  <c r="N141" i="4" s="1"/>
  <c r="K449" i="4"/>
  <c r="M449" i="4" s="1"/>
  <c r="L1191" i="4"/>
  <c r="N1191" i="4" s="1"/>
  <c r="K1151" i="4"/>
  <c r="M1151" i="4" s="1"/>
  <c r="L49" i="4"/>
  <c r="N49" i="4" s="1"/>
  <c r="K478" i="4"/>
  <c r="M478" i="4" s="1"/>
  <c r="K190" i="4"/>
  <c r="M190" i="4" s="1"/>
  <c r="K345" i="4"/>
  <c r="M345" i="4" s="1"/>
  <c r="L18" i="4"/>
  <c r="N18" i="4" s="1"/>
  <c r="K93" i="4"/>
  <c r="M93" i="4" s="1"/>
  <c r="L342" i="4"/>
  <c r="N342" i="4" s="1"/>
  <c r="K1287" i="4"/>
  <c r="M1287" i="4" s="1"/>
  <c r="K574" i="4"/>
  <c r="M574" i="4" s="1"/>
  <c r="K348" i="4"/>
  <c r="K901" i="4"/>
  <c r="M901" i="4" s="1"/>
  <c r="K562" i="4"/>
  <c r="M562" i="4" s="1"/>
  <c r="K594" i="4"/>
  <c r="M594" i="4" s="1"/>
  <c r="N594" i="4" s="1"/>
  <c r="K806" i="4"/>
  <c r="M806" i="4" s="1"/>
  <c r="L321" i="4"/>
  <c r="N321" i="4" s="1"/>
  <c r="L873" i="4"/>
  <c r="N873" i="4" s="1"/>
  <c r="K1208" i="4"/>
  <c r="M1208" i="4" s="1"/>
  <c r="N1208" i="4" s="1"/>
  <c r="K1009" i="4"/>
  <c r="M1009" i="4" s="1"/>
  <c r="L809" i="4"/>
  <c r="N809" i="4" s="1"/>
  <c r="L1020" i="4"/>
  <c r="N1020" i="4" s="1"/>
  <c r="L196" i="4"/>
  <c r="N196" i="4" s="1"/>
  <c r="L583" i="4"/>
  <c r="N583" i="4" s="1"/>
  <c r="L307" i="4"/>
  <c r="N307" i="4" s="1"/>
  <c r="L1116" i="4"/>
  <c r="N1116" i="4" s="1"/>
  <c r="K1295" i="4"/>
  <c r="M1295" i="4" s="1"/>
  <c r="N1295" i="4" s="1"/>
  <c r="K2" i="4"/>
  <c r="M2" i="4" s="1"/>
  <c r="L143" i="4"/>
  <c r="N143" i="4" s="1"/>
  <c r="L99" i="4"/>
  <c r="N99" i="4" s="1"/>
  <c r="K1277" i="4"/>
  <c r="M1277" i="4" s="1"/>
  <c r="K74" i="4"/>
  <c r="M74" i="4" s="1"/>
  <c r="K1094" i="4"/>
  <c r="M1094" i="4" s="1"/>
  <c r="N1094" i="4" s="1"/>
  <c r="K97" i="4"/>
  <c r="M97" i="4" s="1"/>
  <c r="K1033" i="4"/>
  <c r="M1033" i="4" s="1"/>
  <c r="N1033" i="4" s="1"/>
  <c r="K212" i="4"/>
  <c r="M212" i="4" s="1"/>
  <c r="L991" i="4"/>
  <c r="N991" i="4" s="1"/>
  <c r="K374" i="4"/>
  <c r="M374" i="4" s="1"/>
  <c r="K1060" i="4"/>
  <c r="M1060" i="4" s="1"/>
  <c r="N1060" i="4" s="1"/>
  <c r="L648" i="4"/>
  <c r="N648" i="4" s="1"/>
  <c r="L266" i="4"/>
  <c r="N266" i="4" s="1"/>
  <c r="K724" i="4"/>
  <c r="M724" i="4" s="1"/>
  <c r="K553" i="4"/>
  <c r="M553" i="4" s="1"/>
  <c r="L1276" i="4"/>
  <c r="N1276" i="4" s="1"/>
  <c r="L369" i="4"/>
  <c r="N369" i="4" s="1"/>
  <c r="L783" i="4"/>
  <c r="N783" i="4" s="1"/>
  <c r="K122" i="4"/>
  <c r="M122" i="4" s="1"/>
  <c r="L950" i="4"/>
  <c r="N950" i="4" s="1"/>
  <c r="K1304" i="4"/>
  <c r="M1304" i="4" s="1"/>
  <c r="N1304" i="4" s="1"/>
  <c r="K1260" i="4"/>
  <c r="M1260" i="4" s="1"/>
  <c r="N1260" i="4" s="1"/>
  <c r="L992" i="4"/>
  <c r="N992" i="4" s="1"/>
  <c r="K1018" i="4"/>
  <c r="M1018" i="4" s="1"/>
  <c r="N1018" i="4" s="1"/>
  <c r="K225" i="4"/>
  <c r="M225" i="4" s="1"/>
  <c r="K82" i="4"/>
  <c r="M82" i="4" s="1"/>
  <c r="K458" i="4"/>
  <c r="M458" i="4" s="1"/>
  <c r="L908" i="4"/>
  <c r="N908" i="4" s="1"/>
  <c r="K691" i="4"/>
  <c r="M691" i="4" s="1"/>
  <c r="K633" i="4"/>
  <c r="M633" i="4" s="1"/>
  <c r="L444" i="4"/>
  <c r="N444" i="4" s="1"/>
  <c r="K535" i="4"/>
  <c r="M535" i="4" s="1"/>
  <c r="L788" i="4"/>
  <c r="N788" i="4" s="1"/>
  <c r="K598" i="4"/>
  <c r="M598" i="4" s="1"/>
  <c r="L832" i="4"/>
  <c r="N832" i="4" s="1"/>
  <c r="K578" i="4"/>
  <c r="M578" i="4" s="1"/>
  <c r="L325" i="4"/>
  <c r="N325" i="4" s="1"/>
  <c r="K503" i="4"/>
  <c r="M503" i="4" s="1"/>
  <c r="K1093" i="4"/>
  <c r="M1093" i="4" s="1"/>
  <c r="N1093" i="4" s="1"/>
  <c r="K587" i="4"/>
  <c r="M587" i="4" s="1"/>
  <c r="L490" i="4"/>
  <c r="N490" i="4" s="1"/>
  <c r="L852" i="4"/>
  <c r="N852" i="4" s="1"/>
  <c r="K171" i="4"/>
  <c r="M171" i="4" s="1"/>
  <c r="K530" i="4"/>
  <c r="M530" i="4" s="1"/>
  <c r="K147" i="4"/>
  <c r="M147" i="4" s="1"/>
  <c r="L146" i="4"/>
  <c r="N146" i="4" s="1"/>
  <c r="L51" i="4"/>
  <c r="N51" i="4" s="1"/>
  <c r="K362" i="4"/>
  <c r="M362" i="4" s="1"/>
  <c r="K1092" i="4"/>
  <c r="M1092" i="4" s="1"/>
  <c r="N1092" i="4" s="1"/>
  <c r="K79" i="4"/>
  <c r="M79" i="4" s="1"/>
  <c r="K413" i="4"/>
  <c r="M413" i="4" s="1"/>
  <c r="K1074" i="4"/>
  <c r="M1074" i="4" s="1"/>
  <c r="N1074" i="4" s="1"/>
  <c r="K794" i="4"/>
  <c r="M794" i="4" s="1"/>
  <c r="L1244" i="4"/>
  <c r="N1244" i="4" s="1"/>
  <c r="K388" i="4"/>
  <c r="M388" i="4" s="1"/>
  <c r="K1293" i="4"/>
  <c r="M1293" i="4" s="1"/>
  <c r="L1169" i="4"/>
  <c r="N1169" i="4" s="1"/>
  <c r="K1133" i="4"/>
  <c r="M1133" i="4" s="1"/>
  <c r="N1133" i="4" s="1"/>
  <c r="K1061" i="4"/>
  <c r="M1061" i="4" s="1"/>
  <c r="N1061" i="4" s="1"/>
  <c r="K593" i="4"/>
  <c r="M593" i="4" s="1"/>
  <c r="K737" i="4"/>
  <c r="M737" i="4" s="1"/>
  <c r="K1234" i="4"/>
  <c r="M1234" i="4" s="1"/>
  <c r="N1234" i="4" s="1"/>
  <c r="K559" i="4"/>
  <c r="M559" i="4" s="1"/>
  <c r="K1101" i="4"/>
  <c r="M1101" i="4" s="1"/>
  <c r="K521" i="4"/>
  <c r="M521" i="4" s="1"/>
  <c r="L941" i="4"/>
  <c r="N941" i="4" s="1"/>
  <c r="K183" i="4"/>
  <c r="M183" i="4" s="1"/>
  <c r="L220" i="4"/>
  <c r="N220" i="4" s="1"/>
  <c r="L271" i="4"/>
  <c r="N271" i="4" s="1"/>
  <c r="K257" i="4"/>
  <c r="M257" i="4" s="1"/>
  <c r="K701" i="4"/>
  <c r="M701" i="4" s="1"/>
  <c r="K945" i="4"/>
  <c r="M945" i="4" s="1"/>
  <c r="N945" i="4" s="1"/>
  <c r="L641" i="4"/>
  <c r="N641" i="4" s="1"/>
  <c r="K1090" i="4"/>
  <c r="M1090" i="4" s="1"/>
  <c r="N1090" i="4" s="1"/>
  <c r="K482" i="4"/>
  <c r="M482" i="4" s="1"/>
  <c r="K1259" i="4"/>
  <c r="M1259" i="4" s="1"/>
  <c r="N1259" i="4" s="1"/>
  <c r="K1119" i="4"/>
  <c r="M1119" i="4" s="1"/>
  <c r="N1119" i="4" s="1"/>
  <c r="K1131" i="4"/>
  <c r="M1131" i="4" s="1"/>
  <c r="K1166" i="4"/>
  <c r="M1166" i="4" s="1"/>
  <c r="N1166" i="4" s="1"/>
  <c r="L1088" i="4"/>
  <c r="N1088" i="4" s="1"/>
  <c r="K1128" i="4"/>
  <c r="M1128" i="4" s="1"/>
  <c r="K394" i="4"/>
  <c r="M394" i="4" s="1"/>
  <c r="L54" i="4"/>
  <c r="N54" i="4" s="1"/>
  <c r="K1154" i="4"/>
  <c r="M1154" i="4" s="1"/>
  <c r="N1154" i="4" s="1"/>
  <c r="K165" i="4"/>
  <c r="M165" i="4" s="1"/>
  <c r="L3" i="4"/>
  <c r="N3" i="4" s="1"/>
  <c r="K1247" i="4"/>
  <c r="M1247" i="4" s="1"/>
  <c r="K618" i="4"/>
  <c r="M618" i="4" s="1"/>
  <c r="K1086" i="4"/>
  <c r="M1086" i="4" s="1"/>
  <c r="N1086" i="4" s="1"/>
  <c r="K1057" i="4"/>
  <c r="M1057" i="4" s="1"/>
  <c r="L424" i="4"/>
  <c r="N424" i="4" s="1"/>
  <c r="K1232" i="4"/>
  <c r="M1232" i="4" s="1"/>
  <c r="N1232" i="4" s="1"/>
  <c r="K341" i="4"/>
  <c r="M341" i="4" s="1"/>
  <c r="K859" i="4"/>
  <c r="M859" i="4" s="1"/>
  <c r="K649" i="4"/>
  <c r="M649" i="4" s="1"/>
  <c r="K719" i="4"/>
  <c r="M719" i="4" s="1"/>
  <c r="K714" i="4"/>
  <c r="M714" i="4" s="1"/>
  <c r="K705" i="4"/>
  <c r="M705" i="4" s="1"/>
  <c r="L613" i="4"/>
  <c r="N613" i="4" s="1"/>
  <c r="L1195" i="4"/>
  <c r="N1195" i="4" s="1"/>
  <c r="L1042" i="4"/>
  <c r="N1042" i="4" s="1"/>
  <c r="L985" i="4"/>
  <c r="N985" i="4" s="1"/>
  <c r="K626" i="4"/>
  <c r="M626" i="4" s="1"/>
  <c r="K203" i="4"/>
  <c r="M203" i="4" s="1"/>
  <c r="L1198" i="4"/>
  <c r="N1198" i="4" s="1"/>
  <c r="L893" i="4"/>
  <c r="N893" i="4" s="1"/>
  <c r="L1037" i="4"/>
  <c r="N1037" i="4" s="1"/>
  <c r="K1050" i="4"/>
  <c r="M1050" i="4" s="1"/>
  <c r="N1050" i="4" s="1"/>
  <c r="K800" i="4"/>
  <c r="M800" i="4" s="1"/>
  <c r="K168" i="4"/>
  <c r="M168" i="4" s="1"/>
  <c r="K755" i="4"/>
  <c r="M755" i="4" s="1"/>
  <c r="L306" i="4"/>
  <c r="N306" i="4" s="1"/>
  <c r="K244" i="4"/>
  <c r="M244" i="4" s="1"/>
  <c r="L675" i="4"/>
  <c r="N675" i="4" s="1"/>
  <c r="L42" i="4"/>
  <c r="N42" i="4" s="1"/>
  <c r="K1145" i="4"/>
  <c r="M1145" i="4" s="1"/>
  <c r="N1145" i="4" s="1"/>
  <c r="L21" i="4"/>
  <c r="N21" i="4" s="1"/>
  <c r="K120" i="4"/>
  <c r="M120" i="4" s="1"/>
  <c r="K66" i="4"/>
  <c r="M66" i="4" s="1"/>
  <c r="K500" i="4"/>
  <c r="M500" i="4" s="1"/>
  <c r="K1183" i="4"/>
  <c r="M1183" i="4" s="1"/>
  <c r="N1183" i="4" s="1"/>
  <c r="L136" i="4"/>
  <c r="N136" i="4" s="1"/>
  <c r="L339" i="4"/>
  <c r="N339" i="4" s="1"/>
  <c r="L763" i="4"/>
  <c r="N763" i="4" s="1"/>
  <c r="K1286" i="4"/>
  <c r="M1286" i="4" s="1"/>
  <c r="K1201" i="4"/>
  <c r="M1201" i="4" s="1"/>
  <c r="N1201" i="4" s="1"/>
  <c r="L59" i="4"/>
  <c r="N59" i="4" s="1"/>
  <c r="K1049" i="4"/>
  <c r="M1049" i="4" s="1"/>
  <c r="N1049" i="4" s="1"/>
  <c r="L825" i="4"/>
  <c r="N825" i="4" s="1"/>
  <c r="L149" i="4"/>
  <c r="N149" i="4" s="1"/>
  <c r="K351" i="4"/>
  <c r="M351" i="4" s="1"/>
  <c r="L937" i="4"/>
  <c r="N937" i="4" s="1"/>
  <c r="L450" i="4"/>
  <c r="N450" i="4" s="1"/>
  <c r="L920" i="4"/>
  <c r="N920" i="4" s="1"/>
  <c r="L1306" i="4"/>
  <c r="N1306" i="4" s="1"/>
  <c r="K462" i="4"/>
  <c r="M462" i="4" s="1"/>
  <c r="K589" i="4"/>
  <c r="M589" i="4" s="1"/>
  <c r="K999" i="4"/>
  <c r="M999" i="4" s="1"/>
  <c r="N999" i="4" s="1"/>
  <c r="K826" i="4"/>
  <c r="M826" i="4" s="1"/>
  <c r="K300" i="4"/>
  <c r="M300" i="4" s="1"/>
  <c r="K138" i="4"/>
  <c r="M138" i="4" s="1"/>
  <c r="K1069" i="4"/>
  <c r="M1069" i="4" s="1"/>
  <c r="N1069" i="4" s="1"/>
  <c r="K1185" i="4"/>
  <c r="M1185" i="4" s="1"/>
  <c r="N1185" i="4" s="1"/>
  <c r="K644" i="4"/>
  <c r="M644" i="4" s="1"/>
  <c r="K871" i="4"/>
  <c r="M871" i="4" s="1"/>
  <c r="K350" i="4"/>
  <c r="M350" i="4" s="1"/>
  <c r="L1051" i="4"/>
  <c r="N1051" i="4" s="1"/>
  <c r="L56" i="4"/>
  <c r="N56" i="4" s="1"/>
  <c r="K494" i="4"/>
  <c r="M494" i="4" s="1"/>
  <c r="L323" i="4"/>
  <c r="N323" i="4" s="1"/>
  <c r="K915" i="4"/>
  <c r="M915" i="4" s="1"/>
  <c r="K709" i="4"/>
  <c r="M709" i="4" s="1"/>
  <c r="L622" i="4"/>
  <c r="N622" i="4" s="1"/>
  <c r="K810" i="4"/>
  <c r="M810" i="4" s="1"/>
  <c r="K1064" i="4"/>
  <c r="M1064" i="4" s="1"/>
  <c r="N1064" i="4" s="1"/>
  <c r="K106" i="4"/>
  <c r="M106" i="4" s="1"/>
  <c r="L739" i="4"/>
  <c r="N739" i="4" s="1"/>
  <c r="K398" i="4"/>
  <c r="M398" i="4" s="1"/>
  <c r="K277" i="4"/>
  <c r="M277" i="4" s="1"/>
  <c r="K77" i="4"/>
  <c r="M77" i="4" s="1"/>
  <c r="K228" i="4"/>
  <c r="M228" i="4" s="1"/>
  <c r="K678" i="4"/>
  <c r="M678" i="4" s="1"/>
  <c r="K293" i="4"/>
  <c r="M293" i="4" s="1"/>
  <c r="K865" i="4"/>
  <c r="M865" i="4" s="1"/>
  <c r="L892" i="4"/>
  <c r="N892" i="4" s="1"/>
  <c r="K654" i="4"/>
  <c r="M654" i="4" s="1"/>
  <c r="K745" i="4"/>
  <c r="M745" i="4" s="1"/>
  <c r="L236" i="4"/>
  <c r="K379" i="4"/>
  <c r="M379" i="4" s="1"/>
  <c r="K948" i="4"/>
  <c r="M948" i="4" s="1"/>
  <c r="K353" i="4"/>
  <c r="M353" i="4" s="1"/>
  <c r="L922" i="4"/>
  <c r="N922" i="4" s="1"/>
  <c r="L1161" i="4"/>
  <c r="N1161" i="4" s="1"/>
  <c r="K864" i="4"/>
  <c r="M864" i="4" s="1"/>
  <c r="L555" i="4"/>
  <c r="N555" i="4" s="1"/>
  <c r="L638" i="4"/>
  <c r="N638" i="4" s="1"/>
  <c r="L1163" i="4"/>
  <c r="N1163" i="4" s="1"/>
  <c r="K45" i="4"/>
  <c r="M45" i="4" s="1"/>
  <c r="K489" i="4"/>
  <c r="M489" i="4" s="1"/>
  <c r="K817" i="4"/>
  <c r="M817" i="4" s="1"/>
  <c r="L653" i="4"/>
  <c r="N653" i="4" s="1"/>
  <c r="K188" i="4"/>
  <c r="M188" i="4" s="1"/>
  <c r="L436" i="4"/>
  <c r="N436" i="4" s="1"/>
  <c r="K298" i="4"/>
  <c r="M298" i="4" s="1"/>
  <c r="K1269" i="4"/>
  <c r="M1269" i="4" s="1"/>
  <c r="N1269" i="4" s="1"/>
  <c r="K1022" i="4"/>
  <c r="M1022" i="4" s="1"/>
  <c r="K534" i="4"/>
  <c r="M534" i="4" s="1"/>
  <c r="K437" i="4"/>
  <c r="M437" i="4" s="1"/>
  <c r="K17" i="4"/>
  <c r="M17" i="4" s="1"/>
  <c r="K33" i="4"/>
  <c r="M33" i="4" s="1"/>
  <c r="L570" i="4"/>
  <c r="N570" i="4" s="1"/>
  <c r="K1182" i="4"/>
  <c r="M1182" i="4" s="1"/>
  <c r="K1149" i="4"/>
  <c r="M1149" i="4" s="1"/>
  <c r="K897" i="4"/>
  <c r="M897" i="4" s="1"/>
  <c r="N897" i="4" s="1"/>
  <c r="K1225" i="4"/>
  <c r="M1225" i="4" s="1"/>
  <c r="N1225" i="4" s="1"/>
  <c r="K543" i="4"/>
  <c r="M543" i="4" s="1"/>
  <c r="K668" i="4"/>
  <c r="M668" i="4" s="1"/>
  <c r="K1300" i="4"/>
  <c r="M1300" i="4" s="1"/>
  <c r="N1300" i="4" s="1"/>
  <c r="K221" i="4"/>
  <c r="M221" i="4" s="1"/>
  <c r="L1045" i="4"/>
  <c r="N1045" i="4" s="1"/>
  <c r="K498" i="4"/>
  <c r="M498" i="4" s="1"/>
  <c r="K857" i="4"/>
  <c r="M857" i="4" s="1"/>
  <c r="L359" i="4"/>
  <c r="N359" i="4" s="1"/>
  <c r="K880" i="4"/>
  <c r="M880" i="4" s="1"/>
  <c r="K1237" i="4"/>
  <c r="M1237" i="4" s="1"/>
  <c r="N1237" i="4" s="1"/>
  <c r="K876" i="4"/>
  <c r="M876" i="4" s="1"/>
  <c r="L422" i="4"/>
  <c r="N422" i="4" s="1"/>
  <c r="K938" i="4"/>
  <c r="M938" i="4" s="1"/>
  <c r="N938" i="4" s="1"/>
  <c r="K1123" i="4"/>
  <c r="M1123" i="4" s="1"/>
  <c r="L317" i="4"/>
  <c r="N317" i="4" s="1"/>
  <c r="K716" i="4"/>
  <c r="M716" i="4" s="1"/>
  <c r="K636" i="4"/>
  <c r="M636" i="4" s="1"/>
  <c r="L706" i="4"/>
  <c r="N706" i="4" s="1"/>
  <c r="K246" i="4"/>
  <c r="M246" i="4" s="1"/>
  <c r="L465" i="4"/>
  <c r="N465" i="4" s="1"/>
  <c r="K679" i="4"/>
  <c r="M679" i="4" s="1"/>
  <c r="K134" i="4"/>
  <c r="M134" i="4" s="1"/>
  <c r="K364" i="4"/>
  <c r="M364" i="4" s="1"/>
  <c r="L1299" i="4"/>
  <c r="N1299" i="4" s="1"/>
  <c r="K281" i="4"/>
  <c r="M281" i="4" s="1"/>
  <c r="K40" i="4"/>
  <c r="M40" i="4" s="1"/>
  <c r="L469" i="4"/>
  <c r="N469" i="4" s="1"/>
  <c r="K47" i="4"/>
  <c r="M47" i="4" s="1"/>
  <c r="K702" i="4"/>
  <c r="M702" i="4" s="1"/>
  <c r="K186" i="4"/>
  <c r="M186" i="4" s="1"/>
  <c r="L240" i="4"/>
  <c r="L683" i="4"/>
  <c r="N683" i="4" s="1"/>
  <c r="K951" i="4"/>
  <c r="M951" i="4" s="1"/>
  <c r="N951" i="4" s="1"/>
  <c r="K254" i="4"/>
  <c r="M254" i="4" s="1"/>
  <c r="K114" i="4"/>
  <c r="M114" i="4" s="1"/>
  <c r="K575" i="4"/>
  <c r="M575" i="4" s="1"/>
  <c r="L661" i="4"/>
  <c r="N661" i="4" s="1"/>
  <c r="K334" i="4"/>
  <c r="M334" i="4" s="1"/>
  <c r="L995" i="4"/>
  <c r="N995" i="4" s="1"/>
  <c r="L402" i="4"/>
  <c r="N402" i="4" s="1"/>
  <c r="L1132" i="4"/>
  <c r="N1132" i="4" s="1"/>
  <c r="L877" i="4"/>
  <c r="N877" i="4" s="1"/>
  <c r="L525" i="4"/>
  <c r="N525" i="4" s="1"/>
  <c r="K1103" i="4"/>
  <c r="M1103" i="4" s="1"/>
  <c r="N1103" i="4" s="1"/>
  <c r="L658" i="4"/>
  <c r="N658" i="4" s="1"/>
  <c r="K396" i="4"/>
  <c r="M396" i="4" s="1"/>
  <c r="K420" i="4"/>
  <c r="M420" i="4" s="1"/>
  <c r="L366" i="4"/>
  <c r="N366" i="4" s="1"/>
  <c r="K439" i="4"/>
  <c r="M439" i="4" s="1"/>
  <c r="K445" i="4"/>
  <c r="M445" i="4" s="1"/>
  <c r="L882" i="4"/>
  <c r="N882" i="4" s="1"/>
  <c r="K946" i="4"/>
  <c r="M946" i="4" s="1"/>
  <c r="N946" i="4" s="1"/>
  <c r="L833" i="4"/>
  <c r="N833" i="4" s="1"/>
  <c r="K83" i="4"/>
  <c r="M83" i="4" s="1"/>
  <c r="K812" i="4"/>
  <c r="M812" i="4" s="1"/>
  <c r="L914" i="4"/>
  <c r="N914" i="4" s="1"/>
  <c r="L814" i="4"/>
  <c r="N814" i="4" s="1"/>
  <c r="K1233" i="4"/>
  <c r="M1233" i="4" s="1"/>
  <c r="N1233" i="4" s="1"/>
  <c r="L802" i="4"/>
  <c r="N802" i="4" s="1"/>
  <c r="K1099" i="4"/>
  <c r="M1099" i="4" s="1"/>
  <c r="N1099" i="4" s="1"/>
  <c r="L740" i="4"/>
  <c r="N740" i="4" s="1"/>
  <c r="K363" i="4"/>
  <c r="M363" i="4" s="1"/>
  <c r="L650" i="4"/>
  <c r="N650" i="4" s="1"/>
  <c r="L1238" i="4"/>
  <c r="N1238" i="4" s="1"/>
  <c r="L96" i="4"/>
  <c r="N96" i="4" s="1"/>
  <c r="K372" i="4"/>
  <c r="M372" i="4" s="1"/>
  <c r="K229" i="4"/>
  <c r="M229" i="4" s="1"/>
  <c r="L603" i="4"/>
  <c r="N603" i="4" s="1"/>
  <c r="K811" i="4"/>
  <c r="M811" i="4" s="1"/>
  <c r="K531" i="4"/>
  <c r="M531" i="4" s="1"/>
  <c r="L358" i="4"/>
  <c r="N358" i="4" s="1"/>
  <c r="L1112" i="4"/>
  <c r="N1112" i="4" s="1"/>
  <c r="K888" i="4"/>
  <c r="M888" i="4" s="1"/>
  <c r="N888" i="4" s="1"/>
  <c r="K356" i="4"/>
  <c r="M356" i="4" s="1"/>
  <c r="K242" i="4"/>
  <c r="M242" i="4" s="1"/>
  <c r="K837" i="4"/>
  <c r="M837" i="4" s="1"/>
  <c r="K729" i="4"/>
  <c r="M729" i="4" s="1"/>
  <c r="K8" i="4"/>
  <c r="M8" i="4" s="1"/>
  <c r="L1181" i="4"/>
  <c r="N1181" i="4" s="1"/>
  <c r="L949" i="4"/>
  <c r="N949" i="4" s="1"/>
  <c r="K115" i="4"/>
  <c r="M115" i="4" s="1"/>
  <c r="L623" i="4"/>
  <c r="N623" i="4" s="1"/>
  <c r="K1035" i="4"/>
  <c r="M1035" i="4" s="1"/>
  <c r="N1035" i="4" s="1"/>
  <c r="K137" i="4"/>
  <c r="M137" i="4" s="1"/>
  <c r="K430" i="4"/>
  <c r="M430" i="4" s="1"/>
  <c r="K657" i="4"/>
  <c r="M657" i="4" s="1"/>
  <c r="L1170" i="4"/>
  <c r="N1170" i="4" s="1"/>
  <c r="K843" i="4"/>
  <c r="M843" i="4" s="1"/>
  <c r="L1285" i="4"/>
  <c r="N1285" i="4" s="1"/>
  <c r="K925" i="4"/>
  <c r="M925" i="4" s="1"/>
  <c r="N925" i="4" s="1"/>
  <c r="K1184" i="4"/>
  <c r="M1184" i="4" s="1"/>
  <c r="L1047" i="4"/>
  <c r="N1047" i="4" s="1"/>
  <c r="K409" i="4"/>
  <c r="M409" i="4" s="1"/>
  <c r="L899" i="4"/>
  <c r="N899" i="4" s="1"/>
  <c r="L590" i="4"/>
  <c r="N590" i="4" s="1"/>
  <c r="L875" i="4"/>
  <c r="N875" i="4" s="1"/>
  <c r="K631" i="4"/>
  <c r="M631" i="4" s="1"/>
  <c r="K34" i="4"/>
  <c r="M34" i="4" s="1"/>
  <c r="L804" i="4"/>
  <c r="N804" i="4" s="1"/>
  <c r="K1264" i="4"/>
  <c r="M1264" i="4" s="1"/>
  <c r="N1264" i="4" s="1"/>
  <c r="K233" i="4"/>
  <c r="M233" i="4" s="1"/>
  <c r="K1113" i="4"/>
  <c r="M1113" i="4" s="1"/>
  <c r="N1113" i="4" s="1"/>
  <c r="K625" i="4"/>
  <c r="M625" i="4" s="1"/>
  <c r="K355" i="4"/>
  <c r="M355" i="4" s="1"/>
  <c r="K1188" i="4"/>
  <c r="M1188" i="4" s="1"/>
  <c r="N1188" i="4" s="1"/>
  <c r="K69" i="4"/>
  <c r="M69" i="4" s="1"/>
  <c r="K933" i="4"/>
  <c r="M933" i="4" s="1"/>
  <c r="N933" i="4" s="1"/>
  <c r="L1065" i="4"/>
  <c r="N1065" i="4" s="1"/>
  <c r="K690" i="4"/>
  <c r="M690" i="4" s="1"/>
  <c r="K872" i="4"/>
  <c r="M872" i="4" s="1"/>
  <c r="L723" i="4"/>
  <c r="N723" i="4" s="1"/>
  <c r="K1125" i="4"/>
  <c r="M1125" i="4" s="1"/>
  <c r="N1125" i="4" s="1"/>
  <c r="L205" i="4"/>
  <c r="N205" i="4" s="1"/>
  <c r="K1002" i="4"/>
  <c r="M1002" i="4" s="1"/>
  <c r="N1002" i="4" s="1"/>
  <c r="K669" i="4"/>
  <c r="M669" i="4" s="1"/>
  <c r="L512" i="4"/>
  <c r="N512" i="4" s="1"/>
  <c r="L393" i="4"/>
  <c r="N393" i="4" s="1"/>
  <c r="K565" i="4"/>
  <c r="M565" i="4" s="1"/>
  <c r="K285" i="4"/>
  <c r="M285" i="4" s="1"/>
  <c r="L676" i="4"/>
  <c r="N676" i="4" s="1"/>
  <c r="K1005" i="4"/>
  <c r="M1005" i="4" s="1"/>
  <c r="K939" i="4"/>
  <c r="M939" i="4" s="1"/>
  <c r="N939" i="4" s="1"/>
  <c r="K860" i="4"/>
  <c r="M860" i="4" s="1"/>
  <c r="L213" i="4"/>
  <c r="N213" i="4" s="1"/>
  <c r="K176" i="4"/>
  <c r="M176" i="4" s="1"/>
  <c r="L448" i="4"/>
  <c r="N448" i="4" s="1"/>
  <c r="K790" i="4"/>
  <c r="M790" i="4" s="1"/>
  <c r="K849" i="4"/>
  <c r="M849" i="4" s="1"/>
  <c r="L961" i="4"/>
  <c r="N961" i="4" s="1"/>
  <c r="K1196" i="4"/>
  <c r="M1196" i="4" s="1"/>
  <c r="N1196" i="4" s="1"/>
  <c r="K382" i="4"/>
  <c r="M382" i="4" s="1"/>
  <c r="L787" i="4"/>
  <c r="N787" i="4" s="1"/>
  <c r="K406" i="4"/>
  <c r="M406" i="4" s="1"/>
  <c r="K569" i="4"/>
  <c r="M569" i="4" s="1"/>
  <c r="K1289" i="4"/>
  <c r="M1289" i="4" s="1"/>
  <c r="L310" i="4"/>
  <c r="N310" i="4" s="1"/>
  <c r="K131" i="4"/>
  <c r="M131" i="4" s="1"/>
  <c r="L296" i="4"/>
  <c r="N296" i="4" s="1"/>
  <c r="L384" i="4"/>
  <c r="N384" i="4" s="1"/>
  <c r="L711" i="4"/>
  <c r="N711" i="4" s="1"/>
  <c r="K44" i="4"/>
  <c r="M44" i="4" s="1"/>
  <c r="L1081" i="4"/>
  <c r="N1081" i="4" s="1"/>
  <c r="K1229" i="4"/>
  <c r="M1229" i="4" s="1"/>
  <c r="N1229" i="4" s="1"/>
  <c r="K770" i="4"/>
  <c r="M770" i="4" s="1"/>
  <c r="K1063" i="4"/>
  <c r="M1063" i="4" s="1"/>
  <c r="N1063" i="4" s="1"/>
  <c r="K504" i="4"/>
  <c r="M504" i="4" s="1"/>
  <c r="K390" i="4"/>
  <c r="M390" i="4" s="1"/>
  <c r="L5" i="4"/>
  <c r="N5" i="4" s="1"/>
  <c r="L227" i="4"/>
  <c r="N227" i="4" s="1"/>
  <c r="K652" i="4"/>
  <c r="M652" i="4" s="1"/>
  <c r="K23" i="4"/>
  <c r="M23" i="4" s="1"/>
  <c r="L1147" i="4"/>
  <c r="N1147" i="4" s="1"/>
  <c r="K368" i="4"/>
  <c r="M368" i="4" s="1"/>
  <c r="L315" i="4"/>
  <c r="N315" i="4" s="1"/>
  <c r="K232" i="4"/>
  <c r="M232" i="4" s="1"/>
  <c r="K1039" i="4"/>
  <c r="M1039" i="4" s="1"/>
  <c r="N1039" i="4" s="1"/>
  <c r="L955" i="4"/>
  <c r="N955" i="4" s="1"/>
  <c r="K592" i="4"/>
  <c r="M592" i="4" s="1"/>
  <c r="K798" i="4"/>
  <c r="M798" i="4" s="1"/>
  <c r="K287" i="4"/>
  <c r="M287" i="4" s="1"/>
  <c r="L4" i="4"/>
  <c r="N4" i="4" s="1"/>
  <c r="K507" i="4"/>
  <c r="M507" i="4" s="1"/>
  <c r="K57" i="4"/>
  <c r="M57" i="4" s="1"/>
  <c r="L206" i="4"/>
  <c r="N206" i="4" s="1"/>
  <c r="K314" i="4"/>
  <c r="M314" i="4" s="1"/>
  <c r="L1292" i="4"/>
  <c r="N1292" i="4" s="1"/>
  <c r="K1254" i="4"/>
  <c r="M1254" i="4" s="1"/>
  <c r="N1254" i="4" s="1"/>
  <c r="K615" i="4"/>
  <c r="M615" i="4" s="1"/>
  <c r="K216" i="4"/>
  <c r="M216" i="4" s="1"/>
  <c r="K510" i="4"/>
  <c r="M510" i="4" s="1"/>
  <c r="K942" i="4"/>
  <c r="M942" i="4" s="1"/>
  <c r="N942" i="4" s="1"/>
  <c r="K1226" i="4"/>
  <c r="M1226" i="4" s="1"/>
  <c r="N1226" i="4" s="1"/>
  <c r="K1248" i="4"/>
  <c r="M1248" i="4" s="1"/>
  <c r="N1248" i="4" s="1"/>
  <c r="K62" i="4"/>
  <c r="M62" i="4" s="1"/>
  <c r="L918" i="4"/>
  <c r="N918" i="4" s="1"/>
  <c r="K1030" i="4"/>
  <c r="M1030" i="4" s="1"/>
  <c r="N1030" i="4" s="1"/>
  <c r="K1175" i="4"/>
  <c r="M1175" i="4" s="1"/>
  <c r="N1175" i="4" s="1"/>
  <c r="K975" i="4"/>
  <c r="M975" i="4" s="1"/>
  <c r="N975" i="4" s="1"/>
  <c r="K496" i="4"/>
  <c r="M496" i="4" s="1"/>
  <c r="L495" i="4"/>
  <c r="N495" i="4" s="1"/>
  <c r="L836" i="4"/>
  <c r="N836" i="4" s="1"/>
  <c r="L247" i="4"/>
  <c r="N247" i="4" s="1"/>
  <c r="K288" i="4"/>
  <c r="M288" i="4" s="1"/>
  <c r="L816" i="4"/>
  <c r="N816" i="4" s="1"/>
  <c r="K109" i="4"/>
  <c r="M109" i="4" s="1"/>
  <c r="K539" i="4"/>
  <c r="M539" i="4" s="1"/>
  <c r="L267" i="4"/>
  <c r="N267" i="4" s="1"/>
  <c r="K715" i="4"/>
  <c r="M715" i="4" s="1"/>
  <c r="L275" i="4"/>
  <c r="N275" i="4" s="1"/>
  <c r="K453" i="4"/>
  <c r="M453" i="4" s="1"/>
  <c r="K360" i="4"/>
  <c r="M360" i="4" s="1"/>
  <c r="K128" i="4"/>
  <c r="M128" i="4" s="1"/>
  <c r="L161" i="4"/>
  <c r="N161" i="4" s="1"/>
  <c r="L517" i="4"/>
  <c r="N517" i="4" s="1"/>
  <c r="K759" i="4"/>
  <c r="M759" i="4" s="1"/>
  <c r="K576" i="4"/>
  <c r="M576" i="4" s="1"/>
  <c r="L533" i="4"/>
  <c r="N533" i="4" s="1"/>
  <c r="K943" i="4"/>
  <c r="M943" i="4" s="1"/>
  <c r="N943" i="4" s="1"/>
  <c r="K829" i="4"/>
  <c r="M829" i="4" s="1"/>
  <c r="K179" i="4"/>
  <c r="M179" i="4" s="1"/>
  <c r="L299" i="4"/>
  <c r="N299" i="4" s="1"/>
  <c r="K779" i="4"/>
  <c r="M779" i="4" s="1"/>
  <c r="K722" i="4"/>
  <c r="M722" i="4" s="1"/>
  <c r="L1165" i="4"/>
  <c r="N1165" i="4" s="1"/>
  <c r="K1073" i="4"/>
  <c r="M1073" i="4" s="1"/>
  <c r="L432" i="4"/>
  <c r="N432" i="4" s="1"/>
  <c r="K104" i="4"/>
  <c r="M104" i="4" s="1"/>
  <c r="K721" i="4"/>
  <c r="M721" i="4" s="1"/>
  <c r="K80" i="4"/>
  <c r="M80" i="4" s="1"/>
  <c r="K200" i="4"/>
  <c r="M200" i="4" s="1"/>
  <c r="K297" i="4"/>
  <c r="M297" i="4" s="1"/>
  <c r="K467" i="4"/>
  <c r="M467" i="4" s="1"/>
  <c r="L129" i="4"/>
  <c r="N129" i="4" s="1"/>
  <c r="L1284" i="4"/>
  <c r="K1284" i="4"/>
  <c r="M1284" i="4" s="1"/>
  <c r="L835" i="4"/>
  <c r="K835" i="4"/>
  <c r="M835" i="4" s="1"/>
  <c r="L867" i="4"/>
  <c r="K867" i="4"/>
  <c r="M867" i="4" s="1"/>
  <c r="L1078" i="4"/>
  <c r="K1078" i="4"/>
  <c r="M1078" i="4" s="1"/>
  <c r="L241" i="4"/>
  <c r="K241" i="4"/>
  <c r="M241" i="4" s="1"/>
  <c r="L522" i="4"/>
  <c r="K522" i="4"/>
  <c r="M522" i="4" s="1"/>
  <c r="L7" i="4"/>
  <c r="K7" i="4"/>
  <c r="M7" i="4" s="1"/>
  <c r="K1210" i="4"/>
  <c r="M1210" i="4" s="1"/>
  <c r="L1210" i="4"/>
  <c r="L249" i="4"/>
  <c r="K249" i="4"/>
  <c r="M249" i="4" s="1"/>
  <c r="L1017" i="4"/>
  <c r="K1017" i="4"/>
  <c r="M1017" i="4" s="1"/>
  <c r="K1148" i="4"/>
  <c r="M1148" i="4" s="1"/>
  <c r="L1148" i="4"/>
  <c r="L1076" i="4"/>
  <c r="K1076" i="4"/>
  <c r="M1076" i="4" s="1"/>
  <c r="L195" i="4"/>
  <c r="N195" i="4" s="1"/>
  <c r="K152" i="4"/>
  <c r="M152" i="4" s="1"/>
  <c r="K24" i="4"/>
  <c r="M24" i="4" s="1"/>
  <c r="L651" i="4"/>
  <c r="N651" i="4" s="1"/>
  <c r="K483" i="4"/>
  <c r="M483" i="4" s="1"/>
  <c r="L845" i="4"/>
  <c r="K845" i="4"/>
  <c r="M845" i="4" s="1"/>
  <c r="L560" i="4"/>
  <c r="K560" i="4"/>
  <c r="M560" i="4" s="1"/>
  <c r="K1258" i="4"/>
  <c r="M1258" i="4" s="1"/>
  <c r="L112" i="4"/>
  <c r="N112" i="4" s="1"/>
  <c r="K39" i="4"/>
  <c r="M39" i="4" s="1"/>
  <c r="K32" i="4"/>
  <c r="M32" i="4" s="1"/>
  <c r="K427" i="4"/>
  <c r="M427" i="4" s="1"/>
  <c r="K741" i="4"/>
  <c r="M741" i="4" s="1"/>
  <c r="L373" i="4"/>
  <c r="N373" i="4" s="1"/>
  <c r="L155" i="4"/>
  <c r="N155" i="4" s="1"/>
  <c r="K1197" i="4"/>
  <c r="M1197" i="4" s="1"/>
  <c r="N1197" i="4" s="1"/>
  <c r="K847" i="4"/>
  <c r="M847" i="4" s="1"/>
  <c r="L1236" i="4"/>
  <c r="N1236" i="4" s="1"/>
  <c r="L862" i="4"/>
  <c r="N862" i="4" s="1"/>
  <c r="L528" i="4"/>
  <c r="N528" i="4" s="1"/>
  <c r="L954" i="4"/>
  <c r="N954" i="4" s="1"/>
  <c r="L635" i="4"/>
  <c r="N635" i="4" s="1"/>
  <c r="K75" i="4"/>
  <c r="M75" i="4" s="1"/>
  <c r="L782" i="4"/>
  <c r="K782" i="4"/>
  <c r="M782" i="4" s="1"/>
  <c r="K580" i="4"/>
  <c r="M580" i="4" s="1"/>
  <c r="L580" i="4"/>
  <c r="L159" i="4"/>
  <c r="K159" i="4"/>
  <c r="M159" i="4" s="1"/>
  <c r="L12" i="4"/>
  <c r="K12" i="4"/>
  <c r="M12" i="4" s="1"/>
  <c r="L486" i="4"/>
  <c r="K486" i="4"/>
  <c r="M486" i="4" s="1"/>
  <c r="L708" i="4"/>
  <c r="K708" i="4"/>
  <c r="M708" i="4" s="1"/>
  <c r="L563" i="4"/>
  <c r="K563" i="4"/>
  <c r="M563" i="4" s="1"/>
  <c r="L102" i="4"/>
  <c r="K102" i="4"/>
  <c r="M102" i="4" s="1"/>
  <c r="L885" i="4"/>
  <c r="K885" i="4"/>
  <c r="M885" i="4" s="1"/>
  <c r="L175" i="4"/>
  <c r="K175" i="4"/>
  <c r="M175" i="4" s="1"/>
  <c r="L22" i="4"/>
  <c r="K22" i="4"/>
  <c r="M22" i="4" s="1"/>
  <c r="L1040" i="4"/>
  <c r="K1040" i="4"/>
  <c r="M1040" i="4" s="1"/>
  <c r="K548" i="4"/>
  <c r="M548" i="4" s="1"/>
  <c r="L548" i="4"/>
  <c r="L969" i="4"/>
  <c r="K969" i="4"/>
  <c r="M969" i="4" s="1"/>
  <c r="L919" i="4"/>
  <c r="K919" i="4"/>
  <c r="M919" i="4" s="1"/>
  <c r="L471" i="4"/>
  <c r="K471" i="4"/>
  <c r="M471" i="4" s="1"/>
  <c r="L322" i="4"/>
  <c r="K322" i="4"/>
  <c r="M322" i="4" s="1"/>
  <c r="L551" i="4"/>
  <c r="K551" i="4"/>
  <c r="M551" i="4" s="1"/>
  <c r="L414" i="4"/>
  <c r="K414" i="4"/>
  <c r="M414" i="4" s="1"/>
  <c r="L1054" i="4"/>
  <c r="K1054" i="4"/>
  <c r="M1054" i="4" s="1"/>
  <c r="L13" i="4"/>
  <c r="K13" i="4"/>
  <c r="M13" i="4" s="1"/>
  <c r="L1016" i="4"/>
  <c r="K1016" i="4"/>
  <c r="M1016" i="4" s="1"/>
  <c r="L174" i="4"/>
  <c r="K174" i="4"/>
  <c r="M174" i="4" s="1"/>
  <c r="L237" i="4"/>
  <c r="K237" i="4"/>
  <c r="M237" i="4" s="1"/>
  <c r="K1290" i="4"/>
  <c r="M1290" i="4" s="1"/>
  <c r="N1290" i="4" s="1"/>
  <c r="L655" i="4"/>
  <c r="N655" i="4" s="1"/>
  <c r="K352" i="4"/>
  <c r="M352" i="4" s="1"/>
  <c r="K699" i="4"/>
  <c r="M699" i="4" s="1"/>
  <c r="K443" i="4"/>
  <c r="M443" i="4" s="1"/>
  <c r="L338" i="4"/>
  <c r="N338" i="4" s="1"/>
  <c r="L1187" i="4"/>
  <c r="K1187" i="4"/>
  <c r="M1187" i="4" s="1"/>
  <c r="L1137" i="4"/>
  <c r="K1137" i="4"/>
  <c r="M1137" i="4" s="1"/>
  <c r="L403" i="4"/>
  <c r="K403" i="4"/>
  <c r="M403" i="4" s="1"/>
  <c r="L621" i="4"/>
  <c r="K621" i="4"/>
  <c r="M621" i="4" s="1"/>
  <c r="L1091" i="4"/>
  <c r="K1091" i="4"/>
  <c r="M1091" i="4" s="1"/>
  <c r="L207" i="4"/>
  <c r="K207" i="4"/>
  <c r="M207" i="4" s="1"/>
  <c r="K264" i="4"/>
  <c r="M264" i="4" s="1"/>
  <c r="L480" i="4"/>
  <c r="N480" i="4" s="1"/>
  <c r="K1180" i="4"/>
  <c r="M1180" i="4" s="1"/>
  <c r="N1180" i="4" s="1"/>
  <c r="L732" i="4"/>
  <c r="N732" i="4" s="1"/>
  <c r="K305" i="4"/>
  <c r="M305" i="4" s="1"/>
  <c r="K371" i="4"/>
  <c r="M371" i="4" s="1"/>
  <c r="K808" i="4"/>
  <c r="M808" i="4" s="1"/>
  <c r="K568" i="4"/>
  <c r="M568" i="4" s="1"/>
  <c r="K144" i="4"/>
  <c r="M144" i="4" s="1"/>
  <c r="K1167" i="4"/>
  <c r="M1167" i="4" s="1"/>
  <c r="N1167" i="4" s="1"/>
  <c r="L116" i="4"/>
  <c r="K116" i="4"/>
  <c r="M116" i="4" s="1"/>
  <c r="L558" i="4"/>
  <c r="K558" i="4"/>
  <c r="M558" i="4" s="1"/>
  <c r="L1059" i="4"/>
  <c r="K1059" i="4"/>
  <c r="M1059" i="4" s="1"/>
  <c r="L777" i="4"/>
  <c r="K777" i="4"/>
  <c r="M777" i="4" s="1"/>
  <c r="K1105" i="4"/>
  <c r="M1105" i="4" s="1"/>
  <c r="N1105" i="4" s="1"/>
  <c r="K226" i="4"/>
  <c r="M226" i="4" s="1"/>
  <c r="K659" i="4"/>
  <c r="M659" i="4" s="1"/>
  <c r="K547" i="4"/>
  <c r="M547" i="4" s="1"/>
  <c r="K163" i="4"/>
  <c r="M163" i="4" s="1"/>
  <c r="L481" i="4"/>
  <c r="K481" i="4"/>
  <c r="M481" i="4" s="1"/>
  <c r="L268" i="4"/>
  <c r="K268" i="4"/>
  <c r="M268" i="4" s="1"/>
  <c r="K65" i="4"/>
  <c r="M65" i="4" s="1"/>
  <c r="L65" i="4"/>
  <c r="L805" i="4"/>
  <c r="K805" i="4"/>
  <c r="M805" i="4" s="1"/>
  <c r="L278" i="4"/>
  <c r="K278" i="4"/>
  <c r="M278" i="4" s="1"/>
  <c r="K313" i="4"/>
  <c r="M313" i="4" s="1"/>
  <c r="K318" i="4"/>
  <c r="M318" i="4" s="1"/>
  <c r="K1129" i="4"/>
  <c r="M1129" i="4" s="1"/>
  <c r="N1129" i="4" s="1"/>
  <c r="L863" i="4"/>
  <c r="N863" i="4" s="1"/>
  <c r="K656" i="4"/>
  <c r="M656" i="4" s="1"/>
  <c r="L751" i="4"/>
  <c r="N751" i="4" s="1"/>
  <c r="K720" i="4"/>
  <c r="M720" i="4" s="1"/>
  <c r="L67" i="4"/>
  <c r="N67" i="4" s="1"/>
  <c r="K962" i="4"/>
  <c r="M962" i="4" s="1"/>
  <c r="N962" i="4" s="1"/>
  <c r="L707" i="4"/>
  <c r="N707" i="4" s="1"/>
  <c r="L259" i="4"/>
  <c r="N259" i="4" s="1"/>
  <c r="L493" i="4"/>
  <c r="N493" i="4" s="1"/>
  <c r="L405" i="4"/>
  <c r="N405" i="4" s="1"/>
  <c r="L978" i="4"/>
  <c r="K978" i="4"/>
  <c r="M978" i="4" s="1"/>
  <c r="L154" i="4"/>
  <c r="K154" i="4"/>
  <c r="M154" i="4" s="1"/>
  <c r="L211" i="4"/>
  <c r="K211" i="4"/>
  <c r="M211" i="4" s="1"/>
  <c r="L1179" i="4"/>
  <c r="K1179" i="4"/>
  <c r="M1179" i="4" s="1"/>
  <c r="L663" i="4"/>
  <c r="K663" i="4"/>
  <c r="M663" i="4" s="1"/>
  <c r="L135" i="4"/>
  <c r="K135" i="4"/>
  <c r="M135" i="4" s="1"/>
  <c r="L645" i="4"/>
  <c r="K645" i="4"/>
  <c r="M645" i="4" s="1"/>
  <c r="L125" i="4"/>
  <c r="K125" i="4"/>
  <c r="M125" i="4" s="1"/>
  <c r="L1062" i="4"/>
  <c r="K1062" i="4"/>
  <c r="M1062" i="4" s="1"/>
  <c r="K1301" i="4"/>
  <c r="M1301" i="4" s="1"/>
  <c r="L1301" i="4"/>
  <c r="K917" i="4"/>
  <c r="M917" i="4" s="1"/>
  <c r="L917" i="4"/>
  <c r="L773" i="4"/>
  <c r="K773" i="4"/>
  <c r="M773" i="4" s="1"/>
  <c r="L1176" i="4"/>
  <c r="K1176" i="4"/>
  <c r="M1176" i="4" s="1"/>
  <c r="L966" i="4"/>
  <c r="K966" i="4"/>
  <c r="M966" i="4" s="1"/>
  <c r="L343" i="4"/>
  <c r="K343" i="4"/>
  <c r="M343" i="4" s="1"/>
  <c r="L1038" i="4"/>
  <c r="K1038" i="4"/>
  <c r="M1038" i="4" s="1"/>
  <c r="L319" i="4"/>
  <c r="K319" i="4"/>
  <c r="M319" i="4" s="1"/>
  <c r="L1178" i="4"/>
  <c r="K1178" i="4"/>
  <c r="M1178" i="4" s="1"/>
  <c r="L180" i="4"/>
  <c r="K180" i="4"/>
  <c r="M180" i="4" s="1"/>
  <c r="L1215" i="4"/>
  <c r="K1215" i="4"/>
  <c r="M1215" i="4" s="1"/>
  <c r="L822" i="4"/>
  <c r="K822" i="4"/>
  <c r="M822" i="4" s="1"/>
  <c r="L1291" i="4"/>
  <c r="K1291" i="4"/>
  <c r="M1291" i="4" s="1"/>
  <c r="L666" i="4"/>
  <c r="K666" i="4"/>
  <c r="M666" i="4" s="1"/>
  <c r="L105" i="4"/>
  <c r="K105" i="4"/>
  <c r="M105" i="4" s="1"/>
  <c r="L92" i="4"/>
  <c r="K92" i="4"/>
  <c r="M92" i="4" s="1"/>
  <c r="L126" i="4"/>
  <c r="K126" i="4"/>
  <c r="M126" i="4" s="1"/>
  <c r="L743" i="4"/>
  <c r="K743" i="4"/>
  <c r="M743" i="4" s="1"/>
  <c r="L1153" i="4"/>
  <c r="K1153" i="4"/>
  <c r="M1153" i="4" s="1"/>
  <c r="L689" i="4"/>
  <c r="K689" i="4"/>
  <c r="M689" i="4" s="1"/>
  <c r="L573" i="4"/>
  <c r="K573" i="4"/>
  <c r="M573" i="4" s="1"/>
  <c r="L960" i="4"/>
  <c r="K960" i="4"/>
  <c r="M960" i="4" s="1"/>
  <c r="L349" i="4"/>
  <c r="K349" i="4"/>
  <c r="M349" i="4" s="1"/>
  <c r="L710" i="4"/>
  <c r="K710" i="4"/>
  <c r="M710" i="4" s="1"/>
  <c r="L670" i="4"/>
  <c r="K670" i="4"/>
  <c r="M670" i="4" s="1"/>
  <c r="L455" i="4"/>
  <c r="K455" i="4"/>
  <c r="M455" i="4" s="1"/>
  <c r="K145" i="4"/>
  <c r="M145" i="4" s="1"/>
  <c r="L145" i="4"/>
  <c r="L1302" i="4"/>
  <c r="K1302" i="4"/>
  <c r="M1302" i="4" s="1"/>
  <c r="L540" i="4"/>
  <c r="K540" i="4"/>
  <c r="M540" i="4" s="1"/>
  <c r="L1203" i="4"/>
  <c r="K1203" i="4"/>
  <c r="M1203" i="4" s="1"/>
  <c r="K383" i="4"/>
  <c r="M383" i="4" s="1"/>
  <c r="L383" i="4"/>
  <c r="K375" i="4"/>
  <c r="M375" i="4" s="1"/>
  <c r="L375" i="4"/>
  <c r="L1143" i="4"/>
  <c r="K1143" i="4"/>
  <c r="M1143" i="4" s="1"/>
  <c r="L532" i="4"/>
  <c r="K532" i="4"/>
  <c r="M532" i="4" s="1"/>
  <c r="L391" i="4"/>
  <c r="K391" i="4"/>
  <c r="M391" i="4" s="1"/>
  <c r="L665" i="4"/>
  <c r="K665" i="4"/>
  <c r="M665" i="4" s="1"/>
  <c r="L1172" i="4"/>
  <c r="K1172" i="4"/>
  <c r="M1172" i="4" s="1"/>
  <c r="L1011" i="4"/>
  <c r="K1011" i="4"/>
  <c r="M1011" i="4" s="1"/>
  <c r="L194" i="4"/>
  <c r="K194" i="4"/>
  <c r="M194" i="4" s="1"/>
  <c r="L6" i="4"/>
  <c r="K6" i="4"/>
  <c r="M6" i="4" s="1"/>
  <c r="L807" i="4"/>
  <c r="K807" i="4"/>
  <c r="M807" i="4" s="1"/>
  <c r="L1199" i="4"/>
  <c r="K1199" i="4"/>
  <c r="M1199" i="4" s="1"/>
  <c r="L838" i="4"/>
  <c r="K838" i="4"/>
  <c r="M838" i="4" s="1"/>
  <c r="L566" i="4"/>
  <c r="K566" i="4"/>
  <c r="M566" i="4" s="1"/>
  <c r="L989" i="4"/>
  <c r="K989" i="4"/>
  <c r="M989" i="4" s="1"/>
  <c r="L799" i="4"/>
  <c r="K799" i="4"/>
  <c r="M799" i="4" s="1"/>
  <c r="L28" i="4"/>
  <c r="K28" i="4"/>
  <c r="M28" i="4" s="1"/>
  <c r="L286" i="4"/>
  <c r="K286" i="4"/>
  <c r="M286" i="4" s="1"/>
  <c r="L671" i="4"/>
  <c r="K671" i="4"/>
  <c r="M671" i="4" s="1"/>
  <c r="L861" i="4"/>
  <c r="K861" i="4"/>
  <c r="M861" i="4" s="1"/>
  <c r="L1134" i="4"/>
  <c r="K1134" i="4"/>
  <c r="M1134" i="4" s="1"/>
  <c r="L1070" i="4"/>
  <c r="K1070" i="4"/>
  <c r="M1070" i="4" s="1"/>
  <c r="L230" i="4"/>
  <c r="K230" i="4"/>
  <c r="M230" i="4" s="1"/>
  <c r="K88" i="4"/>
  <c r="M88" i="4" s="1"/>
  <c r="L88" i="4"/>
  <c r="L900" i="4"/>
  <c r="K900" i="4"/>
  <c r="M900" i="4" s="1"/>
  <c r="L841" i="4"/>
  <c r="K841" i="4"/>
  <c r="M841" i="4" s="1"/>
  <c r="L170" i="4"/>
  <c r="K170" i="4"/>
  <c r="M170" i="4" s="1"/>
  <c r="L1204" i="4"/>
  <c r="K1204" i="4"/>
  <c r="M1204" i="4" s="1"/>
  <c r="K854" i="4"/>
  <c r="M854" i="4" s="1"/>
  <c r="L854" i="4"/>
  <c r="K684" i="4"/>
  <c r="M684" i="4" s="1"/>
  <c r="L684" i="4"/>
  <c r="L1281" i="4"/>
  <c r="K1281" i="4"/>
  <c r="M1281" i="4" s="1"/>
  <c r="L262" i="4"/>
  <c r="K262" i="4"/>
  <c r="M262" i="4" s="1"/>
  <c r="L851" i="4"/>
  <c r="K851" i="4"/>
  <c r="M851" i="4" s="1"/>
  <c r="L612" i="4"/>
  <c r="K612" i="4"/>
  <c r="M612" i="4" s="1"/>
  <c r="L1186" i="4"/>
  <c r="K1186" i="4"/>
  <c r="M1186" i="4" s="1"/>
  <c r="L156" i="4"/>
  <c r="K156" i="4"/>
  <c r="M156" i="4" s="1"/>
  <c r="L1014" i="4"/>
  <c r="K1014" i="4"/>
  <c r="M1014" i="4" s="1"/>
  <c r="L46" i="4"/>
  <c r="K46" i="4"/>
  <c r="M46" i="4" s="1"/>
  <c r="L1205" i="4"/>
  <c r="K1205" i="4"/>
  <c r="M1205" i="4" s="1"/>
  <c r="L1206" i="4"/>
  <c r="K1206" i="4"/>
  <c r="M1206" i="4" s="1"/>
  <c r="L70" i="4"/>
  <c r="K70" i="4"/>
  <c r="M70" i="4" s="1"/>
  <c r="L775" i="4"/>
  <c r="K775" i="4"/>
  <c r="M775" i="4" s="1"/>
  <c r="L261" i="4"/>
  <c r="K261" i="4"/>
  <c r="M261" i="4" s="1"/>
  <c r="L399" i="4"/>
  <c r="K399" i="4"/>
  <c r="M399" i="4" s="1"/>
  <c r="L965" i="4"/>
  <c r="K965" i="4"/>
  <c r="M965" i="4" s="1"/>
  <c r="L73" i="4"/>
  <c r="K73" i="4"/>
  <c r="M73" i="4" s="1"/>
  <c r="L412" i="4"/>
  <c r="K412" i="4"/>
  <c r="M412" i="4" s="1"/>
  <c r="K477" i="4"/>
  <c r="M477" i="4" s="1"/>
  <c r="L199" i="4"/>
  <c r="K199" i="4"/>
  <c r="M199" i="4" s="1"/>
  <c r="L327" i="4"/>
  <c r="K327" i="4"/>
  <c r="M327" i="4" s="1"/>
  <c r="L898" i="4"/>
  <c r="K898" i="4"/>
  <c r="M898" i="4" s="1"/>
  <c r="L235" i="4"/>
  <c r="K235" i="4"/>
  <c r="M235" i="4" s="1"/>
  <c r="L16" i="4"/>
  <c r="K16" i="4"/>
  <c r="M16" i="4" s="1"/>
  <c r="L1032" i="4"/>
  <c r="K1032" i="4"/>
  <c r="M1032" i="4" s="1"/>
  <c r="L502" i="4"/>
  <c r="K502" i="4"/>
  <c r="M502" i="4" s="1"/>
  <c r="L856" i="4"/>
  <c r="K856" i="4"/>
  <c r="M856" i="4" s="1"/>
  <c r="L245" i="4"/>
  <c r="K245" i="4"/>
  <c r="M245" i="4" s="1"/>
  <c r="L132" i="4"/>
  <c r="K132" i="4"/>
  <c r="M132" i="4" s="1"/>
  <c r="L515" i="4"/>
  <c r="K515" i="4"/>
  <c r="M515" i="4" s="1"/>
  <c r="L332" i="4"/>
  <c r="K332" i="4"/>
  <c r="M332" i="4" s="1"/>
  <c r="K928" i="4"/>
  <c r="M928" i="4" s="1"/>
  <c r="L928" i="4"/>
  <c r="K979" i="4"/>
  <c r="M979" i="4" s="1"/>
  <c r="L979" i="4"/>
  <c r="L423" i="4"/>
  <c r="K423" i="4"/>
  <c r="M423" i="4" s="1"/>
  <c r="L970" i="4"/>
  <c r="K970" i="4"/>
  <c r="M970" i="4" s="1"/>
  <c r="L523" i="4"/>
  <c r="K523" i="4"/>
  <c r="M523" i="4" s="1"/>
  <c r="L492" i="4"/>
  <c r="K492" i="4"/>
  <c r="M492" i="4" s="1"/>
  <c r="L1048" i="4"/>
  <c r="K1048" i="4"/>
  <c r="M1048" i="4" s="1"/>
  <c r="L279" i="4"/>
  <c r="K279" i="4"/>
  <c r="M279" i="4" s="1"/>
  <c r="L1216" i="4"/>
  <c r="K1216" i="4"/>
  <c r="M1216" i="4" s="1"/>
  <c r="L554" i="4"/>
  <c r="K554" i="4"/>
  <c r="M554" i="4" s="1"/>
  <c r="L725" i="4"/>
  <c r="K725" i="4"/>
  <c r="M725" i="4" s="1"/>
  <c r="L973" i="4"/>
  <c r="K973" i="4"/>
  <c r="M973" i="4" s="1"/>
  <c r="L209" i="4"/>
  <c r="K209" i="4"/>
  <c r="M209" i="4" s="1"/>
  <c r="L643" i="4"/>
  <c r="K643" i="4"/>
  <c r="M643" i="4" s="1"/>
  <c r="L956" i="4"/>
  <c r="K956" i="4"/>
  <c r="M956" i="4" s="1"/>
  <c r="L757" i="4"/>
  <c r="K757" i="4"/>
  <c r="M757" i="4" s="1"/>
  <c r="L1104" i="4"/>
  <c r="K1104" i="4"/>
  <c r="M1104" i="4" s="1"/>
  <c r="L1130" i="4"/>
  <c r="K1130" i="4"/>
  <c r="M1130" i="4" s="1"/>
  <c r="L677" i="4"/>
  <c r="K677" i="4"/>
  <c r="M677" i="4" s="1"/>
  <c r="L685" i="4"/>
  <c r="K685" i="4"/>
  <c r="M685" i="4" s="1"/>
  <c r="L827" i="4"/>
  <c r="K827" i="4"/>
  <c r="M827" i="4" s="1"/>
  <c r="L253" i="4"/>
  <c r="K253" i="4"/>
  <c r="M253" i="4" s="1"/>
  <c r="K91" i="4"/>
  <c r="M91" i="4" s="1"/>
  <c r="L890" i="4"/>
  <c r="K890" i="4"/>
  <c r="M890" i="4" s="1"/>
  <c r="L72" i="4"/>
  <c r="K72" i="4"/>
  <c r="M72" i="4" s="1"/>
  <c r="L1004" i="4"/>
  <c r="K1004" i="4"/>
  <c r="M1004" i="4" s="1"/>
  <c r="K497" i="4"/>
  <c r="M497" i="4" s="1"/>
  <c r="L497" i="4"/>
  <c r="K14" i="4"/>
  <c r="M14" i="4" s="1"/>
  <c r="L14" i="4"/>
  <c r="L858" i="4"/>
  <c r="K858" i="4"/>
  <c r="M858" i="4" s="1"/>
  <c r="K850" i="4"/>
  <c r="M850" i="4" s="1"/>
  <c r="L850" i="4"/>
  <c r="L1158" i="4"/>
  <c r="K1158" i="4"/>
  <c r="M1158" i="4" s="1"/>
  <c r="L169" i="4"/>
  <c r="K169" i="4"/>
  <c r="M169" i="4" s="1"/>
  <c r="L428" i="4"/>
  <c r="K428" i="4"/>
  <c r="M428" i="4" s="1"/>
  <c r="L238" i="4"/>
  <c r="K238" i="4"/>
  <c r="M238" i="4" s="1"/>
  <c r="L71" i="4"/>
  <c r="K71" i="4"/>
  <c r="M71" i="4" s="1"/>
  <c r="L442" i="4"/>
  <c r="K442" i="4"/>
  <c r="M442" i="4" s="1"/>
  <c r="L886" i="4"/>
  <c r="K886" i="4"/>
  <c r="M886" i="4" s="1"/>
  <c r="L940" i="4"/>
  <c r="K940" i="4"/>
  <c r="M940" i="4" s="1"/>
  <c r="L1219" i="4"/>
  <c r="K1219" i="4"/>
  <c r="M1219" i="4" s="1"/>
  <c r="L158" i="4"/>
  <c r="K158" i="4"/>
  <c r="M158" i="4" s="1"/>
  <c r="L1296" i="4"/>
  <c r="K1296" i="4"/>
  <c r="M1296" i="4" s="1"/>
  <c r="L1261" i="4"/>
  <c r="K1261" i="4"/>
  <c r="M1261" i="4" s="1"/>
  <c r="L518" i="4"/>
  <c r="K518" i="4"/>
  <c r="M518" i="4" s="1"/>
  <c r="L303" i="4"/>
  <c r="K303" i="4"/>
  <c r="M303" i="4" s="1"/>
  <c r="L84" i="4"/>
  <c r="K84" i="4"/>
  <c r="M84" i="4" s="1"/>
  <c r="L764" i="4"/>
  <c r="K764" i="4"/>
  <c r="M764" i="4" s="1"/>
  <c r="L596" i="4"/>
  <c r="K596" i="4"/>
  <c r="M596" i="4" s="1"/>
  <c r="L1155" i="4"/>
  <c r="K1155" i="4"/>
  <c r="M1155" i="4" s="1"/>
  <c r="N1155" i="4" s="1"/>
  <c r="K718" i="4"/>
  <c r="M718" i="4" s="1"/>
  <c r="L718" i="4"/>
  <c r="L519" i="4"/>
  <c r="K519" i="4"/>
  <c r="M519" i="4" s="1"/>
  <c r="L1140" i="4"/>
  <c r="K1140" i="4"/>
  <c r="M1140" i="4" s="1"/>
  <c r="L1263" i="4"/>
  <c r="K1263" i="4"/>
  <c r="M1263" i="4" s="1"/>
  <c r="N1263" i="4" s="1"/>
  <c r="L272" i="4"/>
  <c r="N272" i="4" s="1"/>
  <c r="K280" i="4"/>
  <c r="M280" i="4" s="1"/>
  <c r="K712" i="4"/>
  <c r="M712" i="4" s="1"/>
  <c r="K210" i="4"/>
  <c r="M210" i="4" s="1"/>
  <c r="K224" i="4"/>
  <c r="M224" i="4" s="1"/>
  <c r="L895" i="4"/>
  <c r="N895" i="4" s="1"/>
  <c r="K664" i="4"/>
  <c r="M664" i="4" s="1"/>
  <c r="K760" i="4"/>
  <c r="M760" i="4" s="1"/>
  <c r="K243" i="4"/>
  <c r="M243" i="4" s="1"/>
  <c r="K627" i="4"/>
  <c r="M627" i="4" s="1"/>
  <c r="K419" i="4"/>
  <c r="M419" i="4" s="1"/>
  <c r="L834" i="4"/>
  <c r="K834" i="4"/>
  <c r="M834" i="4" s="1"/>
  <c r="L64" i="4"/>
  <c r="K64" i="4"/>
  <c r="M64" i="4" s="1"/>
  <c r="L595" i="4"/>
  <c r="K595" i="4"/>
  <c r="M595" i="4" s="1"/>
  <c r="L94" i="4"/>
  <c r="K94" i="4"/>
  <c r="M94" i="4" s="1"/>
  <c r="L330" i="4"/>
  <c r="K330" i="4"/>
  <c r="M330" i="4" s="1"/>
  <c r="L717" i="4"/>
  <c r="K717" i="4"/>
  <c r="M717" i="4" s="1"/>
  <c r="L86" i="4"/>
  <c r="K86" i="4"/>
  <c r="M86" i="4" s="1"/>
  <c r="L164" i="4"/>
  <c r="K164" i="4"/>
  <c r="M164" i="4" s="1"/>
  <c r="L378" i="4"/>
  <c r="K378" i="4"/>
  <c r="M378" i="4" s="1"/>
  <c r="L1080" i="4"/>
  <c r="K1080" i="4"/>
  <c r="M1080" i="4" s="1"/>
  <c r="L1108" i="4"/>
  <c r="K1108" i="4"/>
  <c r="M1108" i="4" s="1"/>
  <c r="L1279" i="4"/>
  <c r="K1279" i="4"/>
  <c r="M1279" i="4" s="1"/>
  <c r="L309" i="4"/>
  <c r="K309" i="4"/>
  <c r="M309" i="4" s="1"/>
  <c r="K795" i="4"/>
  <c r="M795" i="4" s="1"/>
  <c r="L795" i="4"/>
  <c r="L910" i="4"/>
  <c r="K910" i="4"/>
  <c r="M910" i="4" s="1"/>
  <c r="L1109" i="4"/>
  <c r="K1109" i="4"/>
  <c r="M1109" i="4" s="1"/>
  <c r="L340" i="4"/>
  <c r="K340" i="4"/>
  <c r="M340" i="4" s="1"/>
  <c r="L263" i="4"/>
  <c r="K263" i="4"/>
  <c r="M263" i="4" s="1"/>
  <c r="L148" i="4"/>
  <c r="K148" i="4"/>
  <c r="M148" i="4" s="1"/>
  <c r="L501" i="4"/>
  <c r="K501" i="4"/>
  <c r="M501" i="4" s="1"/>
  <c r="L1246" i="4"/>
  <c r="K1246" i="4"/>
  <c r="M1246" i="4" s="1"/>
  <c r="L687" i="4"/>
  <c r="K687" i="4"/>
  <c r="M687" i="4" s="1"/>
  <c r="L290" i="4"/>
  <c r="K290" i="4"/>
  <c r="M290" i="4" s="1"/>
  <c r="L692" i="4"/>
  <c r="K692" i="4"/>
  <c r="M692" i="4" s="1"/>
  <c r="L223" i="4"/>
  <c r="K223" i="4"/>
  <c r="M223" i="4" s="1"/>
  <c r="L239" i="4"/>
  <c r="K239" i="4"/>
  <c r="M239" i="4" s="1"/>
  <c r="L201" i="4"/>
  <c r="K201" i="4"/>
  <c r="M201" i="4" s="1"/>
  <c r="L1275" i="4"/>
  <c r="K1275" i="4"/>
  <c r="M1275" i="4" s="1"/>
  <c r="L269" i="4"/>
  <c r="K269" i="4"/>
  <c r="M269" i="4" s="1"/>
  <c r="L606" i="4"/>
  <c r="K606" i="4"/>
  <c r="M606" i="4" s="1"/>
  <c r="L609" i="4"/>
  <c r="K609" i="4"/>
  <c r="M609" i="4" s="1"/>
  <c r="L468" i="4"/>
  <c r="K468" i="4"/>
  <c r="M468" i="4" s="1"/>
  <c r="L761" i="4"/>
  <c r="K761" i="4"/>
  <c r="M761" i="4" s="1"/>
  <c r="K1255" i="4"/>
  <c r="M1255" i="4" s="1"/>
  <c r="N1255" i="4" s="1"/>
  <c r="K513" i="4"/>
  <c r="M513" i="4" s="1"/>
  <c r="K1243" i="4"/>
  <c r="M1243" i="4" s="1"/>
  <c r="K1031" i="4"/>
  <c r="M1031" i="4" s="1"/>
  <c r="N1031" i="4" s="1"/>
  <c r="K85" i="4"/>
  <c r="M85" i="4" s="1"/>
  <c r="K472" i="4"/>
  <c r="M472" i="4" s="1"/>
  <c r="K1082" i="4"/>
  <c r="M1082" i="4" s="1"/>
  <c r="N1082" i="4" s="1"/>
  <c r="K614" i="4"/>
  <c r="M614" i="4" s="1"/>
  <c r="L614" i="4"/>
  <c r="K1097" i="4"/>
  <c r="M1097" i="4" s="1"/>
  <c r="L1097" i="4"/>
  <c r="L582" i="4"/>
  <c r="K582" i="4"/>
  <c r="M582" i="4" s="1"/>
  <c r="L1001" i="4"/>
  <c r="K1001" i="4"/>
  <c r="M1001" i="4" s="1"/>
  <c r="L695" i="4"/>
  <c r="K695" i="4"/>
  <c r="M695" i="4" s="1"/>
  <c r="K1311" i="4"/>
  <c r="M1311" i="4" s="1"/>
  <c r="L1311" i="4"/>
  <c r="L931" i="4"/>
  <c r="K931" i="4"/>
  <c r="M931" i="4" s="1"/>
  <c r="L258" i="4"/>
  <c r="K258" i="4"/>
  <c r="M258" i="4" s="1"/>
  <c r="L1071" i="4"/>
  <c r="K1071" i="4"/>
  <c r="M1071" i="4" s="1"/>
  <c r="L1083" i="4"/>
  <c r="K1083" i="4"/>
  <c r="M1083" i="4" s="1"/>
  <c r="N1083" i="4" s="1"/>
  <c r="L1021" i="4"/>
  <c r="K1021" i="4"/>
  <c r="M1021" i="4" s="1"/>
  <c r="L61" i="4"/>
  <c r="K61" i="4"/>
  <c r="M61" i="4" s="1"/>
  <c r="L1202" i="4"/>
  <c r="K1202" i="4"/>
  <c r="M1202" i="4" s="1"/>
  <c r="L1224" i="4"/>
  <c r="K1224" i="4"/>
  <c r="M1224" i="4" s="1"/>
  <c r="N1224" i="4" s="1"/>
  <c r="L367" i="4"/>
  <c r="K367" i="4"/>
  <c r="M367" i="4" s="1"/>
  <c r="L418" i="4"/>
  <c r="K418" i="4"/>
  <c r="M418" i="4" s="1"/>
  <c r="L883" i="4"/>
  <c r="K883" i="4"/>
  <c r="M883" i="4" s="1"/>
  <c r="L130" i="4"/>
  <c r="K130" i="4"/>
  <c r="M130" i="4" s="1"/>
  <c r="L1253" i="4"/>
  <c r="K1253" i="4"/>
  <c r="M1253" i="4" s="1"/>
  <c r="L1207" i="4"/>
  <c r="K1207" i="4"/>
  <c r="M1207" i="4" s="1"/>
  <c r="L524" i="4"/>
  <c r="K524" i="4"/>
  <c r="M524" i="4" s="1"/>
  <c r="L1003" i="4"/>
  <c r="K1003" i="4"/>
  <c r="M1003" i="4" s="1"/>
  <c r="N1003" i="4" s="1"/>
  <c r="L451" i="4"/>
  <c r="K451" i="4"/>
  <c r="M451" i="4" s="1"/>
  <c r="L181" i="4"/>
  <c r="K181" i="4"/>
  <c r="M181" i="4" s="1"/>
  <c r="L460" i="4"/>
  <c r="K460" i="4"/>
  <c r="M460" i="4" s="1"/>
  <c r="L1034" i="4"/>
  <c r="K1034" i="4"/>
  <c r="M1034" i="4" s="1"/>
  <c r="N1034" i="4" s="1"/>
  <c r="L868" i="4"/>
  <c r="K868" i="4"/>
  <c r="M868" i="4" s="1"/>
  <c r="L1006" i="4"/>
  <c r="K1006" i="4"/>
  <c r="M1006" i="4" s="1"/>
  <c r="L610" i="4"/>
  <c r="K610" i="4"/>
  <c r="M610" i="4" s="1"/>
  <c r="L1273" i="4"/>
  <c r="K1273" i="4"/>
  <c r="M1273" i="4" s="1"/>
  <c r="N1273" i="4" s="1"/>
  <c r="L438" i="4"/>
  <c r="K438" i="4"/>
  <c r="M438" i="4" s="1"/>
  <c r="K564" i="4"/>
  <c r="M564" i="4" s="1"/>
  <c r="L584" i="4"/>
  <c r="N584" i="4" s="1"/>
  <c r="K19" i="4"/>
  <c r="M19" i="4" s="1"/>
  <c r="K647" i="4"/>
  <c r="M647" i="4" s="1"/>
  <c r="K435" i="4"/>
  <c r="M435" i="4" s="1"/>
  <c r="K48" i="4"/>
  <c r="M48" i="4" s="1"/>
  <c r="L48" i="4"/>
  <c r="K694" i="4"/>
  <c r="M694" i="4" s="1"/>
  <c r="L694" i="4"/>
  <c r="L1023" i="4"/>
  <c r="K1023" i="4"/>
  <c r="M1023" i="4" s="1"/>
  <c r="L166" i="4"/>
  <c r="K166" i="4"/>
  <c r="M166" i="4" s="1"/>
  <c r="L785" i="4"/>
  <c r="K785" i="4"/>
  <c r="M785" i="4" s="1"/>
  <c r="L953" i="4"/>
  <c r="K953" i="4"/>
  <c r="M953" i="4" s="1"/>
  <c r="L591" i="4"/>
  <c r="K591" i="4"/>
  <c r="M591" i="4" s="1"/>
  <c r="K1265" i="4"/>
  <c r="M1265" i="4" s="1"/>
  <c r="L1265" i="4"/>
  <c r="L889" i="4"/>
  <c r="K889" i="4"/>
  <c r="M889" i="4" s="1"/>
  <c r="L90" i="4"/>
  <c r="K90" i="4"/>
  <c r="M90" i="4" s="1"/>
  <c r="L250" i="4"/>
  <c r="K250" i="4"/>
  <c r="M250" i="4" s="1"/>
  <c r="L63" i="4"/>
  <c r="K63" i="4"/>
  <c r="M63" i="4" s="1"/>
  <c r="L1193" i="4"/>
  <c r="K1193" i="4"/>
  <c r="M1193" i="4" s="1"/>
  <c r="L934" i="4"/>
  <c r="K934" i="4"/>
  <c r="M934" i="4" s="1"/>
  <c r="K821" i="4"/>
  <c r="M821" i="4" s="1"/>
  <c r="L821" i="4"/>
  <c r="K878" i="4"/>
  <c r="M878" i="4" s="1"/>
  <c r="L878" i="4"/>
  <c r="L1271" i="4"/>
  <c r="K1271" i="4"/>
  <c r="M1271" i="4" s="1"/>
  <c r="L1239" i="4"/>
  <c r="K1239" i="4"/>
  <c r="M1239" i="4" s="1"/>
  <c r="L881" i="4"/>
  <c r="K881" i="4"/>
  <c r="M881" i="4" s="1"/>
  <c r="L844" i="4"/>
  <c r="K844" i="4"/>
  <c r="M844" i="4" s="1"/>
  <c r="L401" i="4"/>
  <c r="K401" i="4"/>
  <c r="M401" i="4" s="1"/>
  <c r="L538" i="4"/>
  <c r="K538" i="4"/>
  <c r="M538" i="4" s="1"/>
  <c r="L932" i="4"/>
  <c r="K932" i="4"/>
  <c r="M932" i="4" s="1"/>
  <c r="L793" i="4"/>
  <c r="K793" i="4"/>
  <c r="M793" i="4" s="1"/>
  <c r="L346" i="4"/>
  <c r="K346" i="4"/>
  <c r="M346" i="4" s="1"/>
  <c r="L110" i="4"/>
  <c r="K110" i="4"/>
  <c r="M110" i="4" s="1"/>
  <c r="L15" i="4"/>
  <c r="K15" i="4"/>
  <c r="M15" i="4" s="1"/>
  <c r="L1127" i="4"/>
  <c r="K1127" i="4"/>
  <c r="M1127" i="4" s="1"/>
  <c r="L753" i="4"/>
  <c r="K753" i="4"/>
  <c r="M753" i="4" s="1"/>
  <c r="L781" i="4"/>
  <c r="K781" i="4"/>
  <c r="M781" i="4" s="1"/>
  <c r="K768" i="4"/>
  <c r="M768" i="4" s="1"/>
  <c r="K304" i="4"/>
  <c r="M304" i="4" s="1"/>
  <c r="L688" i="4"/>
  <c r="N688" i="4" s="1"/>
  <c r="L544" i="4"/>
  <c r="N544" i="4" s="1"/>
  <c r="L879" i="4"/>
  <c r="K879" i="4"/>
  <c r="M879" i="4" s="1"/>
  <c r="L784" i="4"/>
  <c r="K784" i="4"/>
  <c r="M784" i="4" s="1"/>
  <c r="L640" i="4"/>
  <c r="K640" i="4"/>
  <c r="M640" i="4" s="1"/>
  <c r="K552" i="4"/>
  <c r="M552" i="4" s="1"/>
  <c r="L552" i="4"/>
  <c r="K344" i="4"/>
  <c r="M344" i="4" s="1"/>
  <c r="L344" i="4"/>
  <c r="L1029" i="4"/>
  <c r="K1029" i="4"/>
  <c r="M1029" i="4" s="1"/>
  <c r="L738" i="4"/>
  <c r="K738" i="4"/>
  <c r="M738" i="4" s="1"/>
  <c r="L1294" i="4"/>
  <c r="K1294" i="4"/>
  <c r="M1294" i="4" s="1"/>
  <c r="K347" i="4"/>
  <c r="M347" i="4" s="1"/>
  <c r="L347" i="4"/>
  <c r="L637" i="4"/>
  <c r="K637" i="4"/>
  <c r="M637" i="4" s="1"/>
  <c r="L370" i="4"/>
  <c r="K370" i="4"/>
  <c r="M370" i="4" s="1"/>
  <c r="L1067" i="4"/>
  <c r="K1067" i="4"/>
  <c r="M1067" i="4" s="1"/>
  <c r="L1124" i="4"/>
  <c r="K1124" i="4"/>
  <c r="M1124" i="4" s="1"/>
  <c r="L1142" i="4"/>
  <c r="K1142" i="4"/>
  <c r="M1142" i="4" s="1"/>
  <c r="L1267" i="4"/>
  <c r="K1267" i="4"/>
  <c r="M1267" i="4" s="1"/>
  <c r="L142" i="4"/>
  <c r="K142" i="4"/>
  <c r="M142" i="4" s="1"/>
  <c r="L1015" i="4"/>
  <c r="K1015" i="4"/>
  <c r="M1015" i="4" s="1"/>
  <c r="L1313" i="4"/>
  <c r="K1313" i="4"/>
  <c r="M1313" i="4" s="1"/>
  <c r="L421" i="4"/>
  <c r="K421" i="4"/>
  <c r="M421" i="4" s="1"/>
  <c r="L425" i="4"/>
  <c r="K425" i="4"/>
  <c r="M425" i="4" s="1"/>
  <c r="L1194" i="4"/>
  <c r="K1194" i="4"/>
  <c r="M1194" i="4" s="1"/>
  <c r="L470" i="4"/>
  <c r="K470" i="4"/>
  <c r="M470" i="4" s="1"/>
  <c r="L140" i="4"/>
  <c r="K140" i="4"/>
  <c r="M140" i="4" s="1"/>
  <c r="L924" i="4"/>
  <c r="K924" i="4"/>
  <c r="M924" i="4" s="1"/>
  <c r="K127" i="4"/>
  <c r="M127" i="4" s="1"/>
  <c r="L127" i="4"/>
  <c r="K1144" i="4"/>
  <c r="M1144" i="4" s="1"/>
  <c r="L1144" i="4"/>
  <c r="L326" i="4"/>
  <c r="K326" i="4"/>
  <c r="M326" i="4" s="1"/>
  <c r="K733" i="4"/>
  <c r="M733" i="4" s="1"/>
  <c r="L733" i="4"/>
  <c r="L380" i="4"/>
  <c r="K380" i="4"/>
  <c r="M380" i="4" s="1"/>
  <c r="L121" i="4"/>
  <c r="K121" i="4"/>
  <c r="M121" i="4" s="1"/>
  <c r="L133" i="4"/>
  <c r="K133" i="4"/>
  <c r="M133" i="4" s="1"/>
  <c r="L1141" i="4"/>
  <c r="K1141" i="4"/>
  <c r="M1141" i="4" s="1"/>
  <c r="L662" i="4"/>
  <c r="K662" i="4"/>
  <c r="M662" i="4" s="1"/>
  <c r="L1041" i="4"/>
  <c r="K1041" i="4"/>
  <c r="M1041" i="4" s="1"/>
  <c r="L1027" i="4"/>
  <c r="K1027" i="4"/>
  <c r="M1027" i="4" s="1"/>
  <c r="L217" i="4"/>
  <c r="K217" i="4"/>
  <c r="M217" i="4" s="1"/>
  <c r="L891" i="4"/>
  <c r="K891" i="4"/>
  <c r="M891" i="4" s="1"/>
  <c r="L769" i="4"/>
  <c r="K769" i="4"/>
  <c r="M769" i="4" s="1"/>
  <c r="L1117" i="4"/>
  <c r="K1117" i="4"/>
  <c r="M1117" i="4" s="1"/>
  <c r="K874" i="4"/>
  <c r="M874" i="4" s="1"/>
  <c r="L874" i="4"/>
  <c r="L921" i="4"/>
  <c r="K921" i="4"/>
  <c r="M921" i="4" s="1"/>
  <c r="L434" i="4"/>
  <c r="K434" i="4"/>
  <c r="M434" i="4" s="1"/>
  <c r="L1098" i="4"/>
  <c r="K1098" i="4"/>
  <c r="M1098" i="4" s="1"/>
  <c r="L697" i="4"/>
  <c r="K697" i="4"/>
  <c r="M697" i="4" s="1"/>
  <c r="L1227" i="4"/>
  <c r="K1227" i="4"/>
  <c r="M1227" i="4" s="1"/>
  <c r="L700" i="4"/>
  <c r="K700" i="4"/>
  <c r="M700" i="4" s="1"/>
  <c r="L967" i="4"/>
  <c r="K967" i="4"/>
  <c r="M967" i="4" s="1"/>
  <c r="L463" i="4"/>
  <c r="K463" i="4"/>
  <c r="M463" i="4" s="1"/>
  <c r="L26" i="4"/>
  <c r="K26" i="4"/>
  <c r="M26" i="4" s="1"/>
  <c r="L959" i="4"/>
  <c r="K959" i="4"/>
  <c r="M959" i="4" s="1"/>
  <c r="L704" i="4"/>
  <c r="K704" i="4"/>
  <c r="M704" i="4" s="1"/>
  <c r="L151" i="4"/>
  <c r="K151" i="4"/>
  <c r="M151" i="4" s="1"/>
  <c r="L1122" i="4"/>
  <c r="K1122" i="4"/>
  <c r="M1122" i="4" s="1"/>
  <c r="L177" i="4"/>
  <c r="K177" i="4"/>
  <c r="M177" i="4" s="1"/>
  <c r="L602" i="4"/>
  <c r="K602" i="4"/>
  <c r="M602" i="4" s="1"/>
  <c r="L567" i="4"/>
  <c r="K567" i="4"/>
  <c r="M567" i="4" s="1"/>
  <c r="L316" i="4"/>
  <c r="K316" i="4"/>
  <c r="M316" i="4" s="1"/>
  <c r="L1307" i="4"/>
  <c r="K1307" i="4"/>
  <c r="M1307" i="4" s="1"/>
  <c r="L630" i="4"/>
  <c r="K630" i="4"/>
  <c r="M630" i="4" s="1"/>
  <c r="L508" i="4"/>
  <c r="K508" i="4"/>
  <c r="M508" i="4" s="1"/>
  <c r="L550" i="4"/>
  <c r="K550" i="4"/>
  <c r="M550" i="4" s="1"/>
  <c r="L904" i="4"/>
  <c r="K904" i="4"/>
  <c r="M904" i="4" s="1"/>
  <c r="L772" i="4"/>
  <c r="K772" i="4"/>
  <c r="M772" i="4" s="1"/>
  <c r="K417" i="4"/>
  <c r="M417" i="4" s="1"/>
  <c r="L417" i="4"/>
  <c r="L682" i="4"/>
  <c r="K682" i="4"/>
  <c r="M682" i="4" s="1"/>
  <c r="L1013" i="4"/>
  <c r="K1013" i="4"/>
  <c r="M1013" i="4" s="1"/>
  <c r="K411" i="4"/>
  <c r="M411" i="4" s="1"/>
  <c r="L411" i="4"/>
  <c r="L1157" i="4"/>
  <c r="K1157" i="4"/>
  <c r="M1157" i="4" s="1"/>
  <c r="K730" i="4"/>
  <c r="M730" i="4" s="1"/>
  <c r="L730" i="4"/>
  <c r="K1212" i="4"/>
  <c r="M1212" i="4" s="1"/>
  <c r="L1212" i="4"/>
  <c r="L789" i="4"/>
  <c r="K789" i="4"/>
  <c r="M789" i="4" s="1"/>
  <c r="K139" i="4"/>
  <c r="M139" i="4" s="1"/>
  <c r="L139" i="4"/>
  <c r="K748" i="4"/>
  <c r="M748" i="4" s="1"/>
  <c r="L748" i="4"/>
  <c r="L157" i="4"/>
  <c r="K157" i="4"/>
  <c r="M157" i="4" s="1"/>
  <c r="K1000" i="4"/>
  <c r="M1000" i="4" s="1"/>
  <c r="L1000" i="4"/>
  <c r="L998" i="4"/>
  <c r="K998" i="4"/>
  <c r="M998" i="4" s="1"/>
  <c r="L1019" i="4"/>
  <c r="K1019" i="4"/>
  <c r="M1019" i="4" s="1"/>
  <c r="L952" i="4"/>
  <c r="K952" i="4"/>
  <c r="M952" i="4" s="1"/>
  <c r="K526" i="4"/>
  <c r="M526" i="4" s="1"/>
  <c r="L526" i="4"/>
  <c r="L395" i="4"/>
  <c r="K395" i="4"/>
  <c r="M395" i="4" s="1"/>
  <c r="L1252" i="4"/>
  <c r="K1252" i="4"/>
  <c r="M1252" i="4" s="1"/>
  <c r="L639" i="4"/>
  <c r="K639" i="4"/>
  <c r="M639" i="4" s="1"/>
  <c r="K361" i="4"/>
  <c r="M361" i="4" s="1"/>
  <c r="L361" i="4"/>
  <c r="L1223" i="4"/>
  <c r="K1223" i="4"/>
  <c r="M1223" i="4" s="1"/>
  <c r="L902" i="4"/>
  <c r="K902" i="4"/>
  <c r="M902" i="4" s="1"/>
  <c r="L842" i="4"/>
  <c r="K842" i="4"/>
  <c r="M842" i="4" s="1"/>
  <c r="L617" i="4"/>
  <c r="K617" i="4"/>
  <c r="M617" i="4" s="1"/>
  <c r="L771" i="4"/>
  <c r="K771" i="4"/>
  <c r="M771" i="4" s="1"/>
  <c r="L193" i="4"/>
  <c r="K193" i="4"/>
  <c r="M193" i="4" s="1"/>
  <c r="L37" i="4"/>
  <c r="K37" i="4"/>
  <c r="M37" i="4" s="1"/>
  <c r="L1024" i="4"/>
  <c r="K1024" i="4"/>
  <c r="M1024" i="4" s="1"/>
  <c r="L855" i="4"/>
  <c r="K855" i="4"/>
  <c r="M855" i="4" s="1"/>
  <c r="L696" i="4"/>
  <c r="K696" i="4"/>
  <c r="M696" i="4" s="1"/>
  <c r="L624" i="4"/>
  <c r="K624" i="4"/>
  <c r="M624" i="4" s="1"/>
  <c r="L392" i="4"/>
  <c r="K392" i="4"/>
  <c r="M392" i="4" s="1"/>
  <c r="L320" i="4"/>
  <c r="K320" i="4"/>
  <c r="M320" i="4" s="1"/>
  <c r="L479" i="4"/>
  <c r="K479" i="4"/>
  <c r="M479" i="4" s="1"/>
  <c r="L756" i="4"/>
  <c r="K756" i="4"/>
  <c r="M756" i="4" s="1"/>
  <c r="L976" i="4"/>
  <c r="K976" i="4"/>
  <c r="M976" i="4" s="1"/>
  <c r="K218" i="4"/>
  <c r="M218" i="4" s="1"/>
  <c r="L218" i="4"/>
  <c r="L823" i="4"/>
  <c r="K823" i="4"/>
  <c r="M823" i="4" s="1"/>
  <c r="L541" i="4"/>
  <c r="K541" i="4"/>
  <c r="M541" i="4" s="1"/>
  <c r="L331" i="4"/>
  <c r="K331" i="4"/>
  <c r="M331" i="4" s="1"/>
  <c r="L11" i="4"/>
  <c r="K11" i="4"/>
  <c r="M11" i="4" s="1"/>
  <c r="K197" i="4"/>
  <c r="M197" i="4" s="1"/>
  <c r="L197" i="4"/>
  <c r="L906" i="4"/>
  <c r="K906" i="4"/>
  <c r="M906" i="4" s="1"/>
  <c r="L815" i="4"/>
  <c r="K815" i="4"/>
  <c r="M815" i="4" s="1"/>
  <c r="K276" i="4"/>
  <c r="M276" i="4" s="1"/>
  <c r="L276" i="4"/>
  <c r="L1278" i="4"/>
  <c r="K1278" i="4"/>
  <c r="M1278" i="4" s="1"/>
  <c r="L27" i="4"/>
  <c r="K27" i="4"/>
  <c r="M27" i="4" s="1"/>
  <c r="L1245" i="4"/>
  <c r="K1245" i="4"/>
  <c r="M1245" i="4" s="1"/>
  <c r="L429" i="4"/>
  <c r="K429" i="4"/>
  <c r="M429" i="4" s="1"/>
  <c r="L1139" i="4"/>
  <c r="K1139" i="4"/>
  <c r="M1139" i="4" s="1"/>
  <c r="L1072" i="4"/>
  <c r="K1072" i="4"/>
  <c r="M1072" i="4" s="1"/>
  <c r="L628" i="4"/>
  <c r="K628" i="4"/>
  <c r="M628" i="4" s="1"/>
  <c r="L681" i="4"/>
  <c r="K681" i="4"/>
  <c r="M681" i="4" s="1"/>
  <c r="K117" i="4"/>
  <c r="M117" i="4" s="1"/>
  <c r="L117" i="4"/>
  <c r="L41" i="4"/>
  <c r="K41" i="4"/>
  <c r="M41" i="4" s="1"/>
  <c r="L404" i="4"/>
  <c r="K404" i="4"/>
  <c r="M404" i="4" s="1"/>
  <c r="L487" i="4"/>
  <c r="K487" i="4"/>
  <c r="M487" i="4" s="1"/>
  <c r="L993" i="4"/>
  <c r="K993" i="4"/>
  <c r="M993" i="4" s="1"/>
  <c r="L968" i="4"/>
  <c r="K968" i="4"/>
  <c r="M968" i="4" s="1"/>
  <c r="L549" i="4"/>
  <c r="K549" i="4"/>
  <c r="M549" i="4" s="1"/>
  <c r="L202" i="4"/>
  <c r="K202" i="4"/>
  <c r="M202" i="4" s="1"/>
  <c r="K1228" i="4"/>
  <c r="M1228" i="4" s="1"/>
  <c r="L1228" i="4"/>
  <c r="L433" i="4"/>
  <c r="K433" i="4"/>
  <c r="M433" i="4" s="1"/>
  <c r="L52" i="4"/>
  <c r="K52" i="4"/>
  <c r="M52" i="4" s="1"/>
  <c r="L1174" i="4"/>
  <c r="K1174" i="4"/>
  <c r="M1174" i="4" s="1"/>
  <c r="L1138" i="4"/>
  <c r="K1138" i="4"/>
  <c r="M1138" i="4" s="1"/>
  <c r="L801" i="4"/>
  <c r="K801" i="4"/>
  <c r="M801" i="4" s="1"/>
  <c r="L746" i="4"/>
  <c r="K746" i="4"/>
  <c r="M746" i="4" s="1"/>
  <c r="L25" i="4"/>
  <c r="K25" i="4"/>
  <c r="M25" i="4" s="1"/>
  <c r="L185" i="4"/>
  <c r="K185" i="4"/>
  <c r="M185" i="4" s="1"/>
  <c r="L752" i="4"/>
  <c r="K752" i="4"/>
  <c r="M752" i="4" s="1"/>
  <c r="L608" i="4"/>
  <c r="K608" i="4"/>
  <c r="M608" i="4" s="1"/>
  <c r="L456" i="4"/>
  <c r="K456" i="4"/>
  <c r="M456" i="4" s="1"/>
  <c r="L377" i="4"/>
  <c r="K377" i="4"/>
  <c r="M377" i="4" s="1"/>
  <c r="L162" i="4"/>
  <c r="K162" i="4"/>
  <c r="M162" i="4" s="1"/>
  <c r="L561" i="4"/>
  <c r="K561" i="4"/>
  <c r="M561" i="4" s="1"/>
  <c r="L727" i="4"/>
  <c r="K727" i="4"/>
  <c r="M727" i="4" s="1"/>
  <c r="L698" i="4"/>
  <c r="K698" i="4"/>
  <c r="M698" i="4" s="1"/>
  <c r="L556" i="4"/>
  <c r="K556" i="4"/>
  <c r="M556" i="4" s="1"/>
  <c r="L731" i="4"/>
  <c r="K731" i="4"/>
  <c r="M731" i="4" s="1"/>
  <c r="K1084" i="4"/>
  <c r="M1084" i="4" s="1"/>
  <c r="L1084" i="4"/>
  <c r="L1251" i="4"/>
  <c r="K1251" i="4"/>
  <c r="M1251" i="4" s="1"/>
  <c r="L1010" i="4"/>
  <c r="K1010" i="4"/>
  <c r="M1010" i="4" s="1"/>
  <c r="K766" i="4"/>
  <c r="M766" i="4" s="1"/>
  <c r="L766" i="4"/>
  <c r="L1283" i="4"/>
  <c r="K1283" i="4"/>
  <c r="M1283" i="4" s="1"/>
  <c r="L282" i="4"/>
  <c r="K282" i="4"/>
  <c r="M282" i="4" s="1"/>
  <c r="L1171" i="4"/>
  <c r="K1171" i="4"/>
  <c r="M1171" i="4" s="1"/>
  <c r="K780" i="4"/>
  <c r="M780" i="4" s="1"/>
  <c r="L780" i="4"/>
  <c r="L977" i="4"/>
  <c r="K977" i="4"/>
  <c r="M977" i="4" s="1"/>
  <c r="L1052" i="4"/>
  <c r="K1052" i="4"/>
  <c r="M1052" i="4" s="1"/>
  <c r="L749" i="4"/>
  <c r="K749" i="4"/>
  <c r="M749" i="4" s="1"/>
  <c r="L337" i="4"/>
  <c r="K337" i="4"/>
  <c r="M337" i="4" s="1"/>
  <c r="L123" i="4"/>
  <c r="K123" i="4"/>
  <c r="M123" i="4" s="1"/>
  <c r="K1235" i="4"/>
  <c r="M1235" i="4" s="1"/>
  <c r="L1235" i="4"/>
  <c r="L803" i="4"/>
  <c r="K803" i="4"/>
  <c r="M803" i="4" s="1"/>
  <c r="L89" i="4"/>
  <c r="K89" i="4"/>
  <c r="M89" i="4" s="1"/>
  <c r="L1266" i="4"/>
  <c r="K1266" i="4"/>
  <c r="M1266" i="4" s="1"/>
  <c r="L1135" i="4"/>
  <c r="K1135" i="4"/>
  <c r="M1135" i="4" s="1"/>
  <c r="L611" i="4"/>
  <c r="K611" i="4"/>
  <c r="M611" i="4" s="1"/>
  <c r="K629" i="4"/>
  <c r="M629" i="4" s="1"/>
  <c r="L629" i="4"/>
  <c r="L588" i="4"/>
  <c r="K588" i="4"/>
  <c r="M588" i="4" s="1"/>
  <c r="K1055" i="4"/>
  <c r="M1055" i="4" s="1"/>
  <c r="L1055" i="4"/>
  <c r="L791" i="4"/>
  <c r="K791" i="4"/>
  <c r="M791" i="4" s="1"/>
  <c r="L1164" i="4"/>
  <c r="K1164" i="4"/>
  <c r="M1164" i="4" s="1"/>
  <c r="L295" i="4"/>
  <c r="K295" i="4"/>
  <c r="M295" i="4" s="1"/>
  <c r="L923" i="4"/>
  <c r="K923" i="4"/>
  <c r="M923" i="4" s="1"/>
  <c r="L55" i="4"/>
  <c r="K55" i="4"/>
  <c r="M55" i="4" s="1"/>
  <c r="L1110" i="4"/>
  <c r="K1110" i="4"/>
  <c r="M1110" i="4" s="1"/>
  <c r="K754" i="4"/>
  <c r="M754" i="4" s="1"/>
  <c r="L754" i="4"/>
  <c r="L20" i="4"/>
  <c r="K20" i="4"/>
  <c r="M20" i="4" s="1"/>
  <c r="L1268" i="4"/>
  <c r="K1268" i="4"/>
  <c r="M1268" i="4" s="1"/>
  <c r="K153" i="4"/>
  <c r="M153" i="4" s="1"/>
  <c r="L153" i="4"/>
  <c r="L839" i="4"/>
  <c r="K839" i="4"/>
  <c r="M839" i="4" s="1"/>
  <c r="K600" i="4"/>
  <c r="M600" i="4" s="1"/>
  <c r="L600" i="4"/>
  <c r="L376" i="4"/>
  <c r="K376" i="4"/>
  <c r="M376" i="4" s="1"/>
  <c r="L1280" i="4"/>
  <c r="K1280" i="4"/>
  <c r="M1280" i="4" s="1"/>
  <c r="L53" i="4"/>
  <c r="K53" i="4"/>
  <c r="M53" i="4" s="1"/>
  <c r="L577" i="4"/>
  <c r="K577" i="4"/>
  <c r="M577" i="4" s="1"/>
  <c r="L1043" i="4"/>
  <c r="K1043" i="4"/>
  <c r="M1043" i="4" s="1"/>
  <c r="L452" i="4"/>
  <c r="K452" i="4"/>
  <c r="M452" i="4" s="1"/>
  <c r="L846" i="4"/>
  <c r="K846" i="4"/>
  <c r="M846" i="4" s="1"/>
  <c r="L571" i="4"/>
  <c r="K571" i="4"/>
  <c r="M571" i="4" s="1"/>
  <c r="L936" i="4"/>
  <c r="K936" i="4"/>
  <c r="M936" i="4" s="1"/>
  <c r="L113" i="4"/>
  <c r="K113" i="4"/>
  <c r="M113" i="4" s="1"/>
  <c r="L108" i="4"/>
  <c r="K108" i="4"/>
  <c r="M108" i="4" s="1"/>
  <c r="L1146" i="4"/>
  <c r="K1146" i="4"/>
  <c r="M1146" i="4" s="1"/>
  <c r="L909" i="4"/>
  <c r="K909" i="4"/>
  <c r="M909" i="4" s="1"/>
  <c r="L476" i="4"/>
  <c r="K476" i="4"/>
  <c r="M476" i="4" s="1"/>
  <c r="L765" i="4"/>
  <c r="K765" i="4"/>
  <c r="M765" i="4" s="1"/>
  <c r="L1160" i="4"/>
  <c r="K1160" i="4"/>
  <c r="M1160" i="4" s="1"/>
  <c r="L1012" i="4"/>
  <c r="K1012" i="4"/>
  <c r="M1012" i="4" s="1"/>
  <c r="L1121" i="4"/>
  <c r="K1121" i="4"/>
  <c r="M1121" i="4" s="1"/>
  <c r="K983" i="4"/>
  <c r="M983" i="4" s="1"/>
  <c r="L983" i="4"/>
  <c r="L36" i="4"/>
  <c r="K36" i="4"/>
  <c r="M36" i="4" s="1"/>
  <c r="K459" i="4"/>
  <c r="M459" i="4" s="1"/>
  <c r="L459" i="4"/>
  <c r="L667" i="4"/>
  <c r="K667" i="4"/>
  <c r="M667" i="4" s="1"/>
  <c r="L447" i="4"/>
  <c r="K447" i="4"/>
  <c r="M447" i="4" s="1"/>
  <c r="L1056" i="4"/>
  <c r="K1056" i="4"/>
  <c r="M1056" i="4" s="1"/>
  <c r="L499" i="4"/>
  <c r="K499" i="4"/>
  <c r="M499" i="4" s="1"/>
  <c r="L905" i="4"/>
  <c r="K905" i="4"/>
  <c r="M905" i="4" s="1"/>
  <c r="L818" i="4"/>
  <c r="K818" i="4"/>
  <c r="M818" i="4" s="1"/>
  <c r="L1270" i="4"/>
  <c r="K1270" i="4"/>
  <c r="M1270" i="4" s="1"/>
  <c r="L546" i="4"/>
  <c r="K546" i="4"/>
  <c r="M546" i="4" s="1"/>
  <c r="L813" i="4"/>
  <c r="K813" i="4"/>
  <c r="M813" i="4" s="1"/>
  <c r="L204" i="4"/>
  <c r="K204" i="4"/>
  <c r="M204" i="4" s="1"/>
  <c r="K735" i="4"/>
  <c r="M735" i="4" s="1"/>
  <c r="L735" i="4"/>
  <c r="L557" i="4"/>
  <c r="K557" i="4"/>
  <c r="M557" i="4" s="1"/>
  <c r="L537" i="4"/>
  <c r="K537" i="4"/>
  <c r="M537" i="4" s="1"/>
  <c r="L986" i="4"/>
  <c r="K986" i="4"/>
  <c r="M986" i="4" s="1"/>
  <c r="L101" i="4"/>
  <c r="K101" i="4"/>
  <c r="M101" i="4" s="1"/>
  <c r="L1107" i="4"/>
  <c r="K1107" i="4"/>
  <c r="M1107" i="4" s="1"/>
  <c r="L1190" i="4"/>
  <c r="K1190" i="4"/>
  <c r="M1190" i="4" s="1"/>
  <c r="L386" i="4"/>
  <c r="K386" i="4"/>
  <c r="M386" i="4" s="1"/>
  <c r="K284" i="4"/>
  <c r="M284" i="4" s="1"/>
  <c r="L1102" i="4"/>
  <c r="K1102" i="4"/>
  <c r="M1102" i="4" s="1"/>
  <c r="N1102" i="4" s="1"/>
  <c r="L291" i="4"/>
  <c r="K291" i="4"/>
  <c r="M291" i="4" s="1"/>
  <c r="L820" i="4"/>
  <c r="K820" i="4"/>
  <c r="M820" i="4" s="1"/>
  <c r="L35" i="4"/>
  <c r="K35" i="4"/>
  <c r="M35" i="4" s="1"/>
  <c r="K248" i="4"/>
  <c r="M248" i="4" s="1"/>
  <c r="K192" i="4"/>
  <c r="M192" i="4" s="1"/>
  <c r="L312" i="4"/>
  <c r="N312" i="4" s="1"/>
  <c r="K536" i="4"/>
  <c r="M536" i="4" s="1"/>
  <c r="K911" i="4"/>
  <c r="M911" i="4" s="1"/>
  <c r="N911" i="4" s="1"/>
  <c r="K632" i="4"/>
  <c r="M632" i="4" s="1"/>
  <c r="L903" i="4"/>
  <c r="K903" i="4"/>
  <c r="M903" i="4" s="1"/>
  <c r="L831" i="4"/>
  <c r="K831" i="4"/>
  <c r="M831" i="4" s="1"/>
  <c r="L736" i="4"/>
  <c r="K736" i="4"/>
  <c r="M736" i="4" s="1"/>
  <c r="L672" i="4"/>
  <c r="K672" i="4"/>
  <c r="M672" i="4" s="1"/>
  <c r="K440" i="4"/>
  <c r="M440" i="4" s="1"/>
  <c r="L440" i="4"/>
  <c r="L160" i="4"/>
  <c r="K160" i="4"/>
  <c r="M160" i="4" s="1"/>
  <c r="L509" i="4"/>
  <c r="K509" i="4"/>
  <c r="M509" i="4" s="1"/>
  <c r="L410" i="4"/>
  <c r="K410" i="4"/>
  <c r="M410" i="4" s="1"/>
  <c r="L742" i="4"/>
  <c r="K742" i="4"/>
  <c r="M742" i="4" s="1"/>
  <c r="L926" i="4"/>
  <c r="K926" i="4"/>
  <c r="M926" i="4" s="1"/>
  <c r="N926" i="4" s="1"/>
  <c r="L1126" i="4"/>
  <c r="K1126" i="4"/>
  <c r="M1126" i="4" s="1"/>
  <c r="K944" i="4"/>
  <c r="M944" i="4" s="1"/>
  <c r="L944" i="4"/>
  <c r="L78" i="4"/>
  <c r="K78" i="4"/>
  <c r="M78" i="4" s="1"/>
  <c r="L634" i="4"/>
  <c r="K634" i="4"/>
  <c r="M634" i="4" s="1"/>
  <c r="L997" i="4"/>
  <c r="K997" i="4"/>
  <c r="M997" i="4" s="1"/>
  <c r="K484" i="4"/>
  <c r="M484" i="4" s="1"/>
  <c r="L484" i="4"/>
  <c r="L294" i="4"/>
  <c r="K294" i="4"/>
  <c r="M294" i="4" s="1"/>
  <c r="L619" i="4"/>
  <c r="K619" i="4"/>
  <c r="M619" i="4" s="1"/>
  <c r="L215" i="4"/>
  <c r="K215" i="4"/>
  <c r="M215" i="4" s="1"/>
  <c r="L385" i="4"/>
  <c r="K385" i="4"/>
  <c r="M385" i="4" s="1"/>
  <c r="L1211" i="4"/>
  <c r="K1211" i="4"/>
  <c r="M1211" i="4" s="1"/>
  <c r="N1211" i="4" s="1"/>
  <c r="L990" i="4"/>
  <c r="K990" i="4"/>
  <c r="M990" i="4" s="1"/>
  <c r="N990" i="4" s="1"/>
  <c r="L693" i="4"/>
  <c r="K693" i="4"/>
  <c r="M693" i="4" s="1"/>
  <c r="K1159" i="4"/>
  <c r="M1159" i="4" s="1"/>
  <c r="L1159" i="4"/>
  <c r="L10" i="4"/>
  <c r="K10" i="4"/>
  <c r="M10" i="4" s="1"/>
  <c r="K1189" i="4"/>
  <c r="M1189" i="4" s="1"/>
  <c r="L1189" i="4"/>
  <c r="K1150" i="4"/>
  <c r="M1150" i="4" s="1"/>
  <c r="L1150" i="4"/>
  <c r="L50" i="4"/>
  <c r="K50" i="4"/>
  <c r="M50" i="4" s="1"/>
  <c r="L308" i="4"/>
  <c r="N308" i="4" s="1"/>
  <c r="L491" i="4"/>
  <c r="K491" i="4"/>
  <c r="M491" i="4" s="1"/>
  <c r="L605" i="4"/>
  <c r="K605" i="4"/>
  <c r="M605" i="4" s="1"/>
  <c r="L98" i="4"/>
  <c r="K98" i="4"/>
  <c r="M98" i="4" s="1"/>
  <c r="L30" i="4"/>
  <c r="K30" i="4"/>
  <c r="M30" i="4" s="1"/>
  <c r="L475" i="4"/>
  <c r="K475" i="4"/>
  <c r="M475" i="4" s="1"/>
  <c r="L1262" i="4"/>
  <c r="K1262" i="4"/>
  <c r="M1262" i="4" s="1"/>
  <c r="L222" i="4"/>
  <c r="K222" i="4"/>
  <c r="M222" i="4" s="1"/>
  <c r="K527" i="4"/>
  <c r="M527" i="4" s="1"/>
  <c r="L527" i="4"/>
  <c r="L620" i="4"/>
  <c r="K620" i="4"/>
  <c r="M620" i="4" s="1"/>
  <c r="K1046" i="4"/>
  <c r="M1046" i="4" s="1"/>
  <c r="L1046" i="4"/>
  <c r="L1274" i="4"/>
  <c r="K1274" i="4"/>
  <c r="M1274" i="4" s="1"/>
  <c r="L1256" i="4"/>
  <c r="K1256" i="4"/>
  <c r="M1256" i="4" s="1"/>
  <c r="L107" i="4"/>
  <c r="K107" i="4"/>
  <c r="M107" i="4" s="1"/>
  <c r="L95" i="4"/>
  <c r="K95" i="4"/>
  <c r="M95" i="4" s="1"/>
  <c r="L674" i="4"/>
  <c r="K674" i="4"/>
  <c r="M674" i="4" s="1"/>
  <c r="L1221" i="4"/>
  <c r="K1221" i="4"/>
  <c r="M1221" i="4" s="1"/>
  <c r="L1250" i="4"/>
  <c r="K1250" i="4"/>
  <c r="M1250" i="4" s="1"/>
  <c r="L744" i="4"/>
  <c r="K744" i="4"/>
  <c r="M744" i="4" s="1"/>
  <c r="K400" i="4"/>
  <c r="M400" i="4" s="1"/>
  <c r="K927" i="4"/>
  <c r="M927" i="4" s="1"/>
  <c r="N927" i="4" s="1"/>
  <c r="K464" i="4"/>
  <c r="M464" i="4" s="1"/>
  <c r="K328" i="4"/>
  <c r="M328" i="4" s="1"/>
  <c r="L728" i="4"/>
  <c r="K728" i="4"/>
  <c r="M728" i="4" s="1"/>
  <c r="L1213" i="4"/>
  <c r="K1213" i="4"/>
  <c r="M1213" i="4" s="1"/>
  <c r="L283" i="4"/>
  <c r="K283" i="4"/>
  <c r="M283" i="4" s="1"/>
  <c r="L1309" i="4"/>
  <c r="K1309" i="4"/>
  <c r="M1309" i="4" s="1"/>
  <c r="L1173" i="4"/>
  <c r="K1173" i="4"/>
  <c r="M1173" i="4" s="1"/>
  <c r="K68" i="4"/>
  <c r="M68" i="4" s="1"/>
  <c r="L68" i="4"/>
  <c r="K118" i="4"/>
  <c r="M118" i="4" s="1"/>
  <c r="L118" i="4"/>
  <c r="K980" i="4"/>
  <c r="M980" i="4" s="1"/>
  <c r="L980" i="4"/>
  <c r="L473" i="4"/>
  <c r="K473" i="4"/>
  <c r="M473" i="4" s="1"/>
  <c r="K758" i="4"/>
  <c r="M758" i="4" s="1"/>
  <c r="L758" i="4"/>
  <c r="L182" i="4"/>
  <c r="K182" i="4"/>
  <c r="M182" i="4" s="1"/>
  <c r="L289" i="4"/>
  <c r="K289" i="4"/>
  <c r="M289" i="4" s="1"/>
  <c r="L1217" i="4"/>
  <c r="K1217" i="4"/>
  <c r="M1217" i="4" s="1"/>
  <c r="L579" i="4"/>
  <c r="K579" i="4"/>
  <c r="M579" i="4" s="1"/>
  <c r="L43" i="4"/>
  <c r="K43" i="4"/>
  <c r="M43" i="4" s="1"/>
  <c r="L996" i="4"/>
  <c r="K996" i="4"/>
  <c r="M996" i="4" s="1"/>
  <c r="K984" i="4"/>
  <c r="M984" i="4" s="1"/>
  <c r="L984" i="4"/>
  <c r="L1058" i="4"/>
  <c r="K1058" i="4"/>
  <c r="M1058" i="4" s="1"/>
  <c r="L607" i="4"/>
  <c r="K607" i="4"/>
  <c r="M607" i="4" s="1"/>
  <c r="L1075" i="4"/>
  <c r="K1075" i="4"/>
  <c r="M1075" i="4" s="1"/>
  <c r="L187" i="4"/>
  <c r="K187" i="4"/>
  <c r="M187" i="4" s="1"/>
  <c r="L1100" i="4"/>
  <c r="K1100" i="4"/>
  <c r="M1100" i="4" s="1"/>
  <c r="L311" i="4"/>
  <c r="K311" i="4"/>
  <c r="M311" i="4" s="1"/>
  <c r="L1025" i="4"/>
  <c r="K1025" i="4"/>
  <c r="M1025" i="4" s="1"/>
  <c r="L387" i="4"/>
  <c r="K387" i="4"/>
  <c r="M387" i="4" s="1"/>
  <c r="L234" i="4"/>
  <c r="K234" i="4"/>
  <c r="M234" i="4" s="1"/>
  <c r="L774" i="4"/>
  <c r="K774" i="4"/>
  <c r="M774" i="4" s="1"/>
  <c r="L1096" i="4"/>
  <c r="K1096" i="4"/>
  <c r="M1096" i="4" s="1"/>
  <c r="L981" i="4"/>
  <c r="K981" i="4"/>
  <c r="M981" i="4" s="1"/>
  <c r="L474" i="4"/>
  <c r="K474" i="4"/>
  <c r="M474" i="4" s="1"/>
  <c r="L726" i="4"/>
  <c r="K726" i="4"/>
  <c r="M726" i="4" s="1"/>
  <c r="K597" i="4"/>
  <c r="M597" i="4" s="1"/>
  <c r="L597" i="4"/>
  <c r="L646" i="4"/>
  <c r="K646" i="4"/>
  <c r="M646" i="4" s="1"/>
  <c r="L251" i="4"/>
  <c r="K251" i="4"/>
  <c r="M251" i="4" s="1"/>
  <c r="K365" i="4"/>
  <c r="M365" i="4" s="1"/>
  <c r="L365" i="4"/>
  <c r="K762" i="4"/>
  <c r="M762" i="4" s="1"/>
  <c r="L762" i="4"/>
  <c r="L796" i="4"/>
  <c r="K796" i="4"/>
  <c r="M796" i="4" s="1"/>
  <c r="L426" i="4"/>
  <c r="K426" i="4"/>
  <c r="M426" i="4" s="1"/>
  <c r="L1053" i="4"/>
  <c r="K1053" i="4"/>
  <c r="M1053" i="4" s="1"/>
  <c r="K354" i="4"/>
  <c r="L354" i="4"/>
  <c r="L750" i="4"/>
  <c r="K750" i="4"/>
  <c r="M750" i="4" s="1"/>
  <c r="L929" i="4"/>
  <c r="K929" i="4"/>
  <c r="M929" i="4" s="1"/>
  <c r="K680" i="4"/>
  <c r="M680" i="4" s="1"/>
  <c r="L680" i="4"/>
  <c r="K184" i="4"/>
  <c r="M184" i="4" s="1"/>
  <c r="K256" i="4"/>
  <c r="M256" i="4" s="1"/>
  <c r="L1218" i="4"/>
  <c r="N1218" i="4" s="1"/>
  <c r="K408" i="4"/>
  <c r="M408" i="4" s="1"/>
  <c r="L887" i="4"/>
  <c r="K887" i="4"/>
  <c r="M887" i="4" s="1"/>
  <c r="L488" i="4"/>
  <c r="K488" i="4"/>
  <c r="M488" i="4" s="1"/>
  <c r="L416" i="4"/>
  <c r="K416" i="4"/>
  <c r="M416" i="4" s="1"/>
  <c r="L208" i="4"/>
  <c r="K208" i="4"/>
  <c r="M208" i="4" s="1"/>
  <c r="L972" i="4"/>
  <c r="K972" i="4"/>
  <c r="M972" i="4" s="1"/>
  <c r="L76" i="4"/>
  <c r="K76" i="4"/>
  <c r="M76" i="4" s="1"/>
  <c r="L1230" i="4"/>
  <c r="K1230" i="4"/>
  <c r="M1230" i="4" s="1"/>
  <c r="L957" i="4"/>
  <c r="K957" i="4"/>
  <c r="M957" i="4" s="1"/>
  <c r="K1297" i="4"/>
  <c r="M1297" i="4" s="1"/>
  <c r="L1297" i="4"/>
  <c r="L987" i="4"/>
  <c r="K987" i="4"/>
  <c r="M987" i="4" s="1"/>
  <c r="L1087" i="4"/>
  <c r="K1087" i="4"/>
  <c r="M1087" i="4" s="1"/>
  <c r="L302" i="4"/>
  <c r="K302" i="4"/>
  <c r="M302" i="4" s="1"/>
  <c r="L189" i="4"/>
  <c r="K189" i="4"/>
  <c r="M189" i="4" s="1"/>
  <c r="L869" i="4"/>
  <c r="K869" i="4"/>
  <c r="M869" i="4" s="1"/>
  <c r="L642" i="4"/>
  <c r="K642" i="4"/>
  <c r="M642" i="4" s="1"/>
  <c r="L1118" i="4"/>
  <c r="K1118" i="4"/>
  <c r="M1118" i="4" s="1"/>
  <c r="L29" i="4"/>
  <c r="K29" i="4"/>
  <c r="M29" i="4" s="1"/>
  <c r="L454" i="4"/>
  <c r="K454" i="4"/>
  <c r="M454" i="4" s="1"/>
  <c r="L660" i="4"/>
  <c r="K660" i="4"/>
  <c r="M660" i="4" s="1"/>
  <c r="L270" i="4"/>
  <c r="K270" i="4"/>
  <c r="M270" i="4" s="1"/>
  <c r="K616" i="4"/>
  <c r="M616" i="4" s="1"/>
  <c r="L616" i="4"/>
  <c r="L520" i="4"/>
  <c r="K520" i="4"/>
  <c r="M520" i="4" s="1"/>
  <c r="L713" i="4"/>
  <c r="K713" i="4"/>
  <c r="M713" i="4" s="1"/>
  <c r="K1120" i="4"/>
  <c r="M1120" i="4" s="1"/>
  <c r="L1120" i="4"/>
  <c r="L747" i="4"/>
  <c r="K747" i="4"/>
  <c r="M747" i="4" s="1"/>
  <c r="L466" i="4"/>
  <c r="K466" i="4"/>
  <c r="M466" i="4" s="1"/>
  <c r="L514" i="4"/>
  <c r="K514" i="4"/>
  <c r="M514" i="4" s="1"/>
  <c r="L581" i="4"/>
  <c r="K581" i="4"/>
  <c r="M581" i="4" s="1"/>
  <c r="L1168" i="4"/>
  <c r="K1168" i="4"/>
  <c r="M1168" i="4" s="1"/>
  <c r="L333" i="4"/>
  <c r="K333" i="4"/>
  <c r="M333" i="4" s="1"/>
  <c r="L585" i="4"/>
  <c r="K585" i="4"/>
  <c r="M585" i="4" s="1"/>
  <c r="L301" i="4"/>
  <c r="K301" i="4"/>
  <c r="M301" i="4" s="1"/>
  <c r="L1152" i="4"/>
  <c r="K1152" i="4"/>
  <c r="M1152" i="4" s="1"/>
  <c r="L31" i="4"/>
  <c r="K31" i="4"/>
  <c r="M31" i="4" s="1"/>
  <c r="L1028" i="4"/>
  <c r="K1028" i="4"/>
  <c r="M1028" i="4" s="1"/>
  <c r="L1312" i="4"/>
  <c r="K1312" i="4"/>
  <c r="M1312" i="4" s="1"/>
  <c r="K963" i="4"/>
  <c r="M963" i="4" s="1"/>
  <c r="L963" i="4"/>
  <c r="L100" i="4"/>
  <c r="K100" i="4"/>
  <c r="M100" i="4" s="1"/>
  <c r="L930" i="4"/>
  <c r="K930" i="4"/>
  <c r="M930" i="4" s="1"/>
  <c r="L407" i="4"/>
  <c r="K407" i="4"/>
  <c r="M407" i="4" s="1"/>
  <c r="L1288" i="4"/>
  <c r="K1288" i="4"/>
  <c r="M1288" i="4" s="1"/>
  <c r="L542" i="4"/>
  <c r="K542" i="4"/>
  <c r="M542" i="4" s="1"/>
  <c r="L219" i="4"/>
  <c r="K219" i="4"/>
  <c r="M219" i="4" s="1"/>
  <c r="N915" i="4" l="1"/>
  <c r="N901" i="4"/>
  <c r="N907" i="4"/>
  <c r="N903" i="4"/>
  <c r="N884" i="4"/>
  <c r="N880" i="4"/>
  <c r="N890" i="4"/>
  <c r="N871" i="4"/>
  <c r="N876" i="4"/>
  <c r="N865" i="4"/>
  <c r="N872" i="4"/>
  <c r="N864" i="4"/>
  <c r="N859" i="4"/>
  <c r="N860" i="4"/>
  <c r="N849" i="4"/>
  <c r="N847" i="4"/>
  <c r="N857" i="4"/>
  <c r="N843" i="4"/>
  <c r="N840" i="4"/>
  <c r="N831" i="4"/>
  <c r="N400" i="4"/>
  <c r="N770" i="4"/>
  <c r="N826" i="4"/>
  <c r="N705" i="4"/>
  <c r="N755" i="4"/>
  <c r="N144" i="4"/>
  <c r="N806" i="4"/>
  <c r="N824" i="4"/>
  <c r="N811" i="4"/>
  <c r="N828" i="4"/>
  <c r="N808" i="4"/>
  <c r="N759" i="4"/>
  <c r="N669" i="4"/>
  <c r="N786" i="4"/>
  <c r="N817" i="4"/>
  <c r="N794" i="4"/>
  <c r="N678" i="4"/>
  <c r="N810" i="4"/>
  <c r="N798" i="4"/>
  <c r="N800" i="4"/>
  <c r="N673" i="4"/>
  <c r="N712" i="4"/>
  <c r="N778" i="4"/>
  <c r="N701" i="4"/>
  <c r="N768" i="4"/>
  <c r="N760" i="4"/>
  <c r="N724" i="4"/>
  <c r="N691" i="4"/>
  <c r="N719" i="4"/>
  <c r="N737" i="4"/>
  <c r="N690" i="4"/>
  <c r="N702" i="4"/>
  <c r="N679" i="4"/>
  <c r="N721" i="4"/>
  <c r="N716" i="4"/>
  <c r="N720" i="4"/>
  <c r="N742" i="4"/>
  <c r="N722" i="4"/>
  <c r="N699" i="4"/>
  <c r="N664" i="4"/>
  <c r="N668" i="4"/>
  <c r="N257" i="4"/>
  <c r="N498" i="4"/>
  <c r="N644" i="4"/>
  <c r="N659" i="4"/>
  <c r="N647" i="4"/>
  <c r="N657" i="4"/>
  <c r="N649" i="4"/>
  <c r="N654" i="4"/>
  <c r="N656" i="4"/>
  <c r="N652" i="4"/>
  <c r="N104" i="4"/>
  <c r="N636" i="4"/>
  <c r="N634" i="4"/>
  <c r="N625" i="4"/>
  <c r="N505" i="4"/>
  <c r="N334" i="4"/>
  <c r="N632" i="4"/>
  <c r="N618" i="4"/>
  <c r="N631" i="4"/>
  <c r="N619" i="4"/>
  <c r="N536" i="4"/>
  <c r="N576" i="4"/>
  <c r="N513" i="4"/>
  <c r="N300" i="4"/>
  <c r="N19" i="4"/>
  <c r="N615" i="4"/>
  <c r="N592" i="4"/>
  <c r="N200" i="4"/>
  <c r="N539" i="4"/>
  <c r="N165" i="4"/>
  <c r="N575" i="4"/>
  <c r="N314" i="4"/>
  <c r="N496" i="4"/>
  <c r="N601" i="4"/>
  <c r="N543" i="4"/>
  <c r="N569" i="4"/>
  <c r="N565" i="4"/>
  <c r="N586" i="4"/>
  <c r="N593" i="4"/>
  <c r="N599" i="4"/>
  <c r="N589" i="4"/>
  <c r="N598" i="4"/>
  <c r="N510" i="4"/>
  <c r="N534" i="4"/>
  <c r="N578" i="4"/>
  <c r="N530" i="4"/>
  <c r="N489" i="4"/>
  <c r="N168" i="4"/>
  <c r="N341" i="4"/>
  <c r="N564" i="4"/>
  <c r="N568" i="4"/>
  <c r="N559" i="4"/>
  <c r="N562" i="4"/>
  <c r="N547" i="4"/>
  <c r="N408" i="4"/>
  <c r="N427" i="4"/>
  <c r="N40" i="4"/>
  <c r="N109" i="4"/>
  <c r="N503" i="4"/>
  <c r="N462" i="4"/>
  <c r="N521" i="4"/>
  <c r="N192" i="4"/>
  <c r="N85" i="4"/>
  <c r="N226" i="4"/>
  <c r="N467" i="4"/>
  <c r="N47" i="4"/>
  <c r="N446" i="4"/>
  <c r="N264" i="4"/>
  <c r="N106" i="4"/>
  <c r="N464" i="4"/>
  <c r="N44" i="4"/>
  <c r="N437" i="4"/>
  <c r="N91" i="4"/>
  <c r="N210" i="4"/>
  <c r="N83" i="4"/>
  <c r="N472" i="4"/>
  <c r="N504" i="4"/>
  <c r="N150" i="4"/>
  <c r="N494" i="4"/>
  <c r="N82" i="4"/>
  <c r="N507" i="4"/>
  <c r="N458" i="4"/>
  <c r="N75" i="4"/>
  <c r="N482" i="4"/>
  <c r="N483" i="4"/>
  <c r="N439" i="4"/>
  <c r="N693" i="4"/>
  <c r="N997" i="4"/>
  <c r="N1126" i="4"/>
  <c r="N509" i="4"/>
  <c r="N736" i="4"/>
  <c r="N790" i="4"/>
  <c r="N812" i="4"/>
  <c r="N948" i="4"/>
  <c r="N287" i="4"/>
  <c r="N435" i="4"/>
  <c r="N430" i="4"/>
  <c r="N443" i="4"/>
  <c r="N246" i="4"/>
  <c r="N453" i="4"/>
  <c r="N442" i="4"/>
  <c r="N357" i="4"/>
  <c r="N360" i="4"/>
  <c r="N352" i="4"/>
  <c r="N413" i="4"/>
  <c r="N715" i="4"/>
  <c r="N388" i="4"/>
  <c r="N587" i="4"/>
  <c r="N792" i="4"/>
  <c r="N304" i="4"/>
  <c r="N351" i="4"/>
  <c r="N345" i="4"/>
  <c r="N273" i="4"/>
  <c r="N137" i="4"/>
  <c r="N293" i="4"/>
  <c r="N183" i="4"/>
  <c r="N390" i="4"/>
  <c r="N34" i="4"/>
  <c r="N60" i="4"/>
  <c r="N353" i="4"/>
  <c r="N1120" i="4"/>
  <c r="N1123" i="4"/>
  <c r="N912" i="4"/>
  <c r="N511" i="4"/>
  <c r="N626" i="4"/>
  <c r="N604" i="4"/>
  <c r="N128" i="4"/>
  <c r="N420" i="4"/>
  <c r="N419" i="4"/>
  <c r="N406" i="4"/>
  <c r="N382" i="4"/>
  <c r="N163" i="4"/>
  <c r="N457" i="4"/>
  <c r="N1258" i="4"/>
  <c r="N829" i="4"/>
  <c r="N1289" i="4"/>
  <c r="N1022" i="4"/>
  <c r="N1057" i="4"/>
  <c r="N394" i="4"/>
  <c r="N531" i="4"/>
  <c r="N1149" i="4"/>
  <c r="N714" i="4"/>
  <c r="N485" i="4"/>
  <c r="N1220" i="4"/>
  <c r="N627" i="4"/>
  <c r="N729" i="4"/>
  <c r="N298" i="4"/>
  <c r="N741" i="4"/>
  <c r="N837" i="4"/>
  <c r="N1247" i="4"/>
  <c r="N478" i="4"/>
  <c r="N461" i="4"/>
  <c r="N1243" i="4"/>
  <c r="N318" i="4"/>
  <c r="N1131" i="4"/>
  <c r="N984" i="4"/>
  <c r="N1286" i="4"/>
  <c r="N1068" i="4"/>
  <c r="N848" i="4"/>
  <c r="N1005" i="4"/>
  <c r="N1066" i="4"/>
  <c r="N398" i="4"/>
  <c r="N396" i="4"/>
  <c r="N376" i="4"/>
  <c r="N410" i="4"/>
  <c r="N672" i="4"/>
  <c r="N385" i="4"/>
  <c r="N379" i="4"/>
  <c r="N610" i="4"/>
  <c r="N460" i="4"/>
  <c r="N524" i="4"/>
  <c r="N883" i="4"/>
  <c r="N1202" i="4"/>
  <c r="N1071" i="4"/>
  <c r="N695" i="4"/>
  <c r="N1140" i="4"/>
  <c r="N596" i="4"/>
  <c r="N518" i="4"/>
  <c r="N1219" i="4"/>
  <c r="N1158" i="4"/>
  <c r="N1301" i="4"/>
  <c r="N745" i="4"/>
  <c r="N1184" i="4"/>
  <c r="N1089" i="4"/>
  <c r="N982" i="4"/>
  <c r="N866" i="4"/>
  <c r="N8" i="4"/>
  <c r="N248" i="4"/>
  <c r="N57" i="4"/>
  <c r="N370" i="4"/>
  <c r="N364" i="4"/>
  <c r="N367" i="4"/>
  <c r="N363" i="4"/>
  <c r="N374" i="4"/>
  <c r="N365" i="4"/>
  <c r="N375" i="4"/>
  <c r="N372" i="4"/>
  <c r="N371" i="4"/>
  <c r="N368" i="4"/>
  <c r="N362" i="4"/>
  <c r="N1006" i="4"/>
  <c r="N1207" i="4"/>
  <c r="N418" i="4"/>
  <c r="N1001" i="4"/>
  <c r="N519" i="4"/>
  <c r="N764" i="4"/>
  <c r="N1261" i="4"/>
  <c r="N940" i="4"/>
  <c r="N1004" i="4"/>
  <c r="N572" i="4"/>
  <c r="N1046" i="4"/>
  <c r="N1212" i="4"/>
  <c r="N1144" i="4"/>
  <c r="N963" i="4"/>
  <c r="N616" i="4"/>
  <c r="N1297" i="4"/>
  <c r="N758" i="4"/>
  <c r="N459" i="4"/>
  <c r="N762" i="4"/>
  <c r="N597" i="4"/>
  <c r="N980" i="4"/>
  <c r="N527" i="4"/>
  <c r="N754" i="4"/>
  <c r="N1084" i="4"/>
  <c r="N552" i="4"/>
  <c r="N1265" i="4"/>
  <c r="N795" i="4"/>
  <c r="N983" i="4"/>
  <c r="N417" i="4"/>
  <c r="N874" i="4"/>
  <c r="N733" i="4"/>
  <c r="N878" i="4"/>
  <c r="N767" i="4"/>
  <c r="N553" i="4"/>
  <c r="N1095" i="4"/>
  <c r="N356" i="4"/>
  <c r="N120" i="4"/>
  <c r="N254" i="4"/>
  <c r="N17" i="4"/>
  <c r="M354" i="4"/>
  <c r="N354" i="4" s="1"/>
  <c r="N355" i="4"/>
  <c r="N1277" i="4"/>
  <c r="N1128" i="4"/>
  <c r="N947" i="4"/>
  <c r="N415" i="4"/>
  <c r="N350" i="4"/>
  <c r="M348" i="4"/>
  <c r="N348" i="4" s="1"/>
  <c r="N328" i="4"/>
  <c r="N600" i="4"/>
  <c r="N1235" i="4"/>
  <c r="N347" i="4"/>
  <c r="N344" i="4"/>
  <c r="N735" i="4"/>
  <c r="N1055" i="4"/>
  <c r="N1228" i="4"/>
  <c r="N748" i="4"/>
  <c r="N730" i="4"/>
  <c r="N445" i="4"/>
  <c r="N633" i="4"/>
  <c r="N894" i="4"/>
  <c r="N77" i="4"/>
  <c r="N329" i="4"/>
  <c r="N780" i="4"/>
  <c r="N766" i="4"/>
  <c r="N361" i="4"/>
  <c r="N526" i="4"/>
  <c r="N1000" i="4"/>
  <c r="N821" i="4"/>
  <c r="N979" i="4"/>
  <c r="N684" i="4"/>
  <c r="N805" i="4"/>
  <c r="N548" i="4"/>
  <c r="N1284" i="4"/>
  <c r="N935" i="4"/>
  <c r="N629" i="4"/>
  <c r="N411" i="4"/>
  <c r="N481" i="4"/>
  <c r="N580" i="4"/>
  <c r="N1017" i="4"/>
  <c r="N522" i="4"/>
  <c r="N835" i="4"/>
  <c r="N381" i="4"/>
  <c r="N845" i="4"/>
  <c r="N131" i="4"/>
  <c r="N184" i="4"/>
  <c r="N285" i="4"/>
  <c r="N171" i="4"/>
  <c r="N305" i="4"/>
  <c r="N176" i="4"/>
  <c r="N198" i="4"/>
  <c r="N32" i="4"/>
  <c r="N69" i="4"/>
  <c r="N221" i="4"/>
  <c r="N256" i="4"/>
  <c r="N147" i="4"/>
  <c r="N134" i="4"/>
  <c r="N224" i="4"/>
  <c r="N24" i="4"/>
  <c r="N284" i="4"/>
  <c r="N79" i="4"/>
  <c r="N542" i="4"/>
  <c r="N333" i="4"/>
  <c r="N466" i="4"/>
  <c r="N520" i="4"/>
  <c r="N454" i="4"/>
  <c r="N869" i="4"/>
  <c r="N987" i="4"/>
  <c r="N488" i="4"/>
  <c r="N1053" i="4"/>
  <c r="N726" i="4"/>
  <c r="N774" i="4"/>
  <c r="N607" i="4"/>
  <c r="N674" i="4"/>
  <c r="N1274" i="4"/>
  <c r="N953" i="4"/>
  <c r="N1275" i="4"/>
  <c r="N692" i="4"/>
  <c r="N501" i="4"/>
  <c r="N1109" i="4"/>
  <c r="N1279" i="4"/>
  <c r="N827" i="4"/>
  <c r="N1104" i="4"/>
  <c r="N1216" i="4"/>
  <c r="N523" i="4"/>
  <c r="N965" i="4"/>
  <c r="N1014" i="4"/>
  <c r="N851" i="4"/>
  <c r="N900" i="4"/>
  <c r="N1134" i="4"/>
  <c r="N838" i="4"/>
  <c r="N391" i="4"/>
  <c r="N349" i="4"/>
  <c r="N1153" i="4"/>
  <c r="N1215" i="4"/>
  <c r="N1038" i="4"/>
  <c r="N773" i="4"/>
  <c r="N1179" i="4"/>
  <c r="N558" i="4"/>
  <c r="N1091" i="4"/>
  <c r="N1187" i="4"/>
  <c r="N1054" i="4"/>
  <c r="N471" i="4"/>
  <c r="N1040" i="4"/>
  <c r="N560" i="4"/>
  <c r="N718" i="4"/>
  <c r="N343" i="4"/>
  <c r="N645" i="4"/>
  <c r="N621" i="4"/>
  <c r="N414" i="4"/>
  <c r="N919" i="4"/>
  <c r="N563" i="4"/>
  <c r="N1210" i="4"/>
  <c r="N867" i="4"/>
  <c r="N1190" i="4"/>
  <c r="N537" i="4"/>
  <c r="N813" i="4"/>
  <c r="N905" i="4"/>
  <c r="N667" i="4"/>
  <c r="N1121" i="4"/>
  <c r="N476" i="4"/>
  <c r="N452" i="4"/>
  <c r="N1280" i="4"/>
  <c r="N1110" i="4"/>
  <c r="N1164" i="4"/>
  <c r="N337" i="4"/>
  <c r="N731" i="4"/>
  <c r="N561" i="4"/>
  <c r="N608" i="4"/>
  <c r="N746" i="4"/>
  <c r="N549" i="4"/>
  <c r="N404" i="4"/>
  <c r="N628" i="4"/>
  <c r="N1245" i="4"/>
  <c r="N815" i="4"/>
  <c r="N331" i="4"/>
  <c r="N976" i="4"/>
  <c r="N392" i="4"/>
  <c r="N1024" i="4"/>
  <c r="N617" i="4"/>
  <c r="N789" i="4"/>
  <c r="N772" i="4"/>
  <c r="N630" i="4"/>
  <c r="N602" i="4"/>
  <c r="N704" i="4"/>
  <c r="N967" i="4"/>
  <c r="N1098" i="4"/>
  <c r="N1117" i="4"/>
  <c r="N1027" i="4"/>
  <c r="N326" i="4"/>
  <c r="N421" i="4"/>
  <c r="N1267" i="4"/>
  <c r="N738" i="4"/>
  <c r="N640" i="4"/>
  <c r="N932" i="4"/>
  <c r="N881" i="4"/>
  <c r="N591" i="4"/>
  <c r="N1023" i="4"/>
  <c r="N1159" i="4"/>
  <c r="N484" i="4"/>
  <c r="N944" i="4"/>
  <c r="N680" i="4"/>
  <c r="N1288" i="4"/>
  <c r="N1152" i="4"/>
  <c r="N1168" i="4"/>
  <c r="N747" i="4"/>
  <c r="N972" i="4"/>
  <c r="N887" i="4"/>
  <c r="N929" i="4"/>
  <c r="N426" i="4"/>
  <c r="N474" i="4"/>
  <c r="N1100" i="4"/>
  <c r="N1058" i="4"/>
  <c r="N579" i="4"/>
  <c r="N1213" i="4"/>
  <c r="N744" i="4"/>
  <c r="N1262" i="4"/>
  <c r="N605" i="4"/>
  <c r="N1150" i="4"/>
  <c r="N1107" i="4"/>
  <c r="N557" i="4"/>
  <c r="N546" i="4"/>
  <c r="N499" i="4"/>
  <c r="N1012" i="4"/>
  <c r="N909" i="4"/>
  <c r="N936" i="4"/>
  <c r="N1043" i="4"/>
  <c r="N1268" i="4"/>
  <c r="N791" i="4"/>
  <c r="N611" i="4"/>
  <c r="N803" i="4"/>
  <c r="N749" i="4"/>
  <c r="N1171" i="4"/>
  <c r="N1010" i="4"/>
  <c r="N556" i="4"/>
  <c r="N752" i="4"/>
  <c r="N801" i="4"/>
  <c r="N433" i="4"/>
  <c r="N968" i="4"/>
  <c r="N1072" i="4"/>
  <c r="N906" i="4"/>
  <c r="N541" i="4"/>
  <c r="N756" i="4"/>
  <c r="N624" i="4"/>
  <c r="N842" i="4"/>
  <c r="N639" i="4"/>
  <c r="N952" i="4"/>
  <c r="N407" i="4"/>
  <c r="N1312" i="4"/>
  <c r="N581" i="4"/>
  <c r="N1118" i="4"/>
  <c r="N957" i="4"/>
  <c r="N750" i="4"/>
  <c r="N796" i="4"/>
  <c r="N646" i="4"/>
  <c r="N981" i="4"/>
  <c r="N387" i="4"/>
  <c r="N1217" i="4"/>
  <c r="N473" i="4"/>
  <c r="N1173" i="4"/>
  <c r="N728" i="4"/>
  <c r="N1250" i="4"/>
  <c r="N620" i="4"/>
  <c r="N475" i="4"/>
  <c r="N491" i="4"/>
  <c r="N1189" i="4"/>
  <c r="N1270" i="4"/>
  <c r="N1056" i="4"/>
  <c r="N1160" i="4"/>
  <c r="N1146" i="4"/>
  <c r="N571" i="4"/>
  <c r="N577" i="4"/>
  <c r="N923" i="4"/>
  <c r="N1135" i="4"/>
  <c r="N1052" i="4"/>
  <c r="N1251" i="4"/>
  <c r="N698" i="4"/>
  <c r="N377" i="4"/>
  <c r="N1138" i="4"/>
  <c r="N993" i="4"/>
  <c r="N1139" i="4"/>
  <c r="N1278" i="4"/>
  <c r="N820" i="4"/>
  <c r="N930" i="4"/>
  <c r="N1028" i="4"/>
  <c r="N585" i="4"/>
  <c r="N514" i="4"/>
  <c r="N713" i="4"/>
  <c r="N660" i="4"/>
  <c r="N642" i="4"/>
  <c r="N1087" i="4"/>
  <c r="N1230" i="4"/>
  <c r="N416" i="4"/>
  <c r="N1096" i="4"/>
  <c r="N1025" i="4"/>
  <c r="N1075" i="4"/>
  <c r="N996" i="4"/>
  <c r="N1309" i="4"/>
  <c r="N1221" i="4"/>
  <c r="N1256" i="4"/>
  <c r="N440" i="4"/>
  <c r="N386" i="4"/>
  <c r="N986" i="4"/>
  <c r="N818" i="4"/>
  <c r="N447" i="4"/>
  <c r="N765" i="4"/>
  <c r="N846" i="4"/>
  <c r="N839" i="4"/>
  <c r="N588" i="4"/>
  <c r="N1266" i="4"/>
  <c r="N977" i="4"/>
  <c r="N917" i="4"/>
  <c r="N574" i="4"/>
  <c r="N1283" i="4"/>
  <c r="N727" i="4"/>
  <c r="N456" i="4"/>
  <c r="N1174" i="4"/>
  <c r="N487" i="4"/>
  <c r="N681" i="4"/>
  <c r="N429" i="4"/>
  <c r="N320" i="4"/>
  <c r="N855" i="4"/>
  <c r="N771" i="4"/>
  <c r="N1223" i="4"/>
  <c r="N395" i="4"/>
  <c r="N998" i="4"/>
  <c r="N1157" i="4"/>
  <c r="N508" i="4"/>
  <c r="N567" i="4"/>
  <c r="N463" i="4"/>
  <c r="N697" i="4"/>
  <c r="N1141" i="4"/>
  <c r="N924" i="4"/>
  <c r="N425" i="4"/>
  <c r="N1067" i="4"/>
  <c r="N1294" i="4"/>
  <c r="N1127" i="4"/>
  <c r="N793" i="4"/>
  <c r="N844" i="4"/>
  <c r="N1311" i="4"/>
  <c r="N1097" i="4"/>
  <c r="N606" i="4"/>
  <c r="N687" i="4"/>
  <c r="N1080" i="4"/>
  <c r="N717" i="4"/>
  <c r="N677" i="4"/>
  <c r="N956" i="4"/>
  <c r="N725" i="4"/>
  <c r="N1048" i="4"/>
  <c r="N423" i="4"/>
  <c r="N515" i="4"/>
  <c r="N502" i="4"/>
  <c r="N898" i="4"/>
  <c r="N412" i="4"/>
  <c r="N1205" i="4"/>
  <c r="N1186" i="4"/>
  <c r="N1281" i="4"/>
  <c r="N671" i="4"/>
  <c r="N989" i="4"/>
  <c r="N807" i="4"/>
  <c r="N1172" i="4"/>
  <c r="N1143" i="4"/>
  <c r="N540" i="4"/>
  <c r="N670" i="4"/>
  <c r="N573" i="4"/>
  <c r="N1291" i="4"/>
  <c r="N1178" i="4"/>
  <c r="N966" i="4"/>
  <c r="N777" i="4"/>
  <c r="N403" i="4"/>
  <c r="N1016" i="4"/>
  <c r="N551" i="4"/>
  <c r="N969" i="4"/>
  <c r="N708" i="4"/>
  <c r="N1148" i="4"/>
  <c r="N779" i="4"/>
  <c r="N1287" i="4"/>
  <c r="N1151" i="4"/>
  <c r="N1162" i="4"/>
  <c r="N614" i="4"/>
  <c r="N761" i="4"/>
  <c r="N1246" i="4"/>
  <c r="N340" i="4"/>
  <c r="N378" i="4"/>
  <c r="N330" i="4"/>
  <c r="N834" i="4"/>
  <c r="N497" i="4"/>
  <c r="N1130" i="4"/>
  <c r="N643" i="4"/>
  <c r="N554" i="4"/>
  <c r="N492" i="4"/>
  <c r="N1032" i="4"/>
  <c r="N327" i="4"/>
  <c r="N775" i="4"/>
  <c r="N612" i="4"/>
  <c r="N841" i="4"/>
  <c r="N1070" i="4"/>
  <c r="N566" i="4"/>
  <c r="N665" i="4"/>
  <c r="N1302" i="4"/>
  <c r="N710" i="4"/>
  <c r="N689" i="4"/>
  <c r="N822" i="4"/>
  <c r="N319" i="4"/>
  <c r="N1176" i="4"/>
  <c r="N1062" i="4"/>
  <c r="N663" i="4"/>
  <c r="N978" i="4"/>
  <c r="N1059" i="4"/>
  <c r="N1137" i="4"/>
  <c r="N322" i="4"/>
  <c r="N885" i="4"/>
  <c r="N486" i="4"/>
  <c r="N782" i="4"/>
  <c r="N449" i="4"/>
  <c r="N529" i="4"/>
  <c r="N1013" i="4"/>
  <c r="N904" i="4"/>
  <c r="N1307" i="4"/>
  <c r="N959" i="4"/>
  <c r="N700" i="4"/>
  <c r="N434" i="4"/>
  <c r="N769" i="4"/>
  <c r="N1041" i="4"/>
  <c r="N470" i="4"/>
  <c r="N1313" i="4"/>
  <c r="N1142" i="4"/>
  <c r="N637" i="4"/>
  <c r="N1029" i="4"/>
  <c r="N784" i="4"/>
  <c r="N781" i="4"/>
  <c r="N538" i="4"/>
  <c r="N1239" i="4"/>
  <c r="N934" i="4"/>
  <c r="N468" i="4"/>
  <c r="N850" i="4"/>
  <c r="N1111" i="4"/>
  <c r="N694" i="4"/>
  <c r="N438" i="4"/>
  <c r="N868" i="4"/>
  <c r="N451" i="4"/>
  <c r="N1253" i="4"/>
  <c r="N1021" i="4"/>
  <c r="N931" i="4"/>
  <c r="N582" i="4"/>
  <c r="N1296" i="4"/>
  <c r="N886" i="4"/>
  <c r="N428" i="4"/>
  <c r="N858" i="4"/>
  <c r="N928" i="4"/>
  <c r="N854" i="4"/>
  <c r="N383" i="4"/>
  <c r="N1076" i="4"/>
  <c r="N1078" i="4"/>
  <c r="N1073" i="4"/>
  <c r="N409" i="4"/>
  <c r="N1182" i="4"/>
  <c r="N709" i="4"/>
  <c r="N500" i="4"/>
  <c r="N1101" i="4"/>
  <c r="N1293" i="4"/>
  <c r="N397" i="4"/>
  <c r="N335" i="4"/>
  <c r="N389" i="4"/>
  <c r="N516" i="4"/>
  <c r="N964" i="4"/>
  <c r="N431" i="4"/>
  <c r="N823" i="4"/>
  <c r="N479" i="4"/>
  <c r="N696" i="4"/>
  <c r="N902" i="4"/>
  <c r="N1252" i="4"/>
  <c r="N1019" i="4"/>
  <c r="N682" i="4"/>
  <c r="N550" i="4"/>
  <c r="N316" i="4"/>
  <c r="N1122" i="4"/>
  <c r="N1227" i="4"/>
  <c r="N921" i="4"/>
  <c r="N891" i="4"/>
  <c r="N662" i="4"/>
  <c r="N380" i="4"/>
  <c r="N1194" i="4"/>
  <c r="N1015" i="4"/>
  <c r="N1124" i="4"/>
  <c r="N879" i="4"/>
  <c r="N753" i="4"/>
  <c r="N346" i="4"/>
  <c r="N401" i="4"/>
  <c r="N1271" i="4"/>
  <c r="N1193" i="4"/>
  <c r="N889" i="4"/>
  <c r="N785" i="4"/>
  <c r="N609" i="4"/>
  <c r="N910" i="4"/>
  <c r="N1108" i="4"/>
  <c r="N595" i="4"/>
  <c r="N685" i="4"/>
  <c r="N757" i="4"/>
  <c r="N973" i="4"/>
  <c r="N970" i="4"/>
  <c r="N332" i="4"/>
  <c r="N856" i="4"/>
  <c r="N477" i="4"/>
  <c r="N399" i="4"/>
  <c r="N1206" i="4"/>
  <c r="N1204" i="4"/>
  <c r="N861" i="4"/>
  <c r="N799" i="4"/>
  <c r="N1199" i="4"/>
  <c r="N1011" i="4"/>
  <c r="N532" i="4"/>
  <c r="N1203" i="4"/>
  <c r="N455" i="4"/>
  <c r="N960" i="4"/>
  <c r="N743" i="4"/>
  <c r="N666" i="4"/>
  <c r="N535" i="4"/>
  <c r="N1009" i="4"/>
  <c r="N686" i="4"/>
  <c r="N255" i="4"/>
  <c r="N124" i="4"/>
  <c r="N216" i="4"/>
  <c r="N179" i="4"/>
  <c r="N288" i="4"/>
  <c r="N23" i="4"/>
  <c r="N297" i="4"/>
  <c r="N229" i="4"/>
  <c r="N188" i="4"/>
  <c r="N138" i="4"/>
  <c r="N265" i="4"/>
  <c r="N39" i="4"/>
  <c r="N80" i="4"/>
  <c r="N190" i="4"/>
  <c r="N74" i="4"/>
  <c r="N277" i="4"/>
  <c r="N186" i="4"/>
  <c r="N66" i="4"/>
  <c r="N191" i="4"/>
  <c r="N152" i="4"/>
  <c r="N45" i="4"/>
  <c r="N122" i="4"/>
  <c r="N260" i="4"/>
  <c r="N33" i="4"/>
  <c r="N114" i="4"/>
  <c r="N311" i="4"/>
  <c r="N309" i="4"/>
  <c r="N167" i="4"/>
  <c r="N225" i="4"/>
  <c r="N212" i="4"/>
  <c r="N313" i="4"/>
  <c r="N228" i="4"/>
  <c r="N203" i="4"/>
  <c r="N115" i="4"/>
  <c r="N103" i="4"/>
  <c r="N62" i="4"/>
  <c r="N252" i="4"/>
  <c r="N119" i="4"/>
  <c r="N97" i="4"/>
  <c r="N58" i="4"/>
  <c r="D4" i="9"/>
  <c r="D5" i="9"/>
  <c r="D6" i="9"/>
  <c r="D7" i="9"/>
  <c r="D8" i="9"/>
  <c r="N302" i="4"/>
  <c r="N303" i="4"/>
  <c r="N93" i="4"/>
  <c r="N280" i="4"/>
  <c r="N301" i="4"/>
  <c r="N281" i="4"/>
  <c r="N9" i="4"/>
  <c r="N295" i="4"/>
  <c r="N289" i="4"/>
  <c r="N291" i="4"/>
  <c r="N290" i="4"/>
  <c r="N294" i="4"/>
  <c r="N286" i="4"/>
  <c r="N111" i="4"/>
  <c r="N282" i="4"/>
  <c r="N283" i="4"/>
  <c r="N270" i="4"/>
  <c r="N279" i="4"/>
  <c r="N278" i="4"/>
  <c r="N276" i="4"/>
  <c r="N261" i="4"/>
  <c r="N258" i="4"/>
  <c r="N214" i="4"/>
  <c r="N269" i="4"/>
  <c r="N262" i="4"/>
  <c r="N263" i="4"/>
  <c r="N268" i="4"/>
  <c r="N253" i="4"/>
  <c r="N249" i="4"/>
  <c r="N250" i="4"/>
  <c r="N245" i="4"/>
  <c r="N251" i="4"/>
  <c r="N240" i="4"/>
  <c r="N235" i="4"/>
  <c r="N234" i="4"/>
  <c r="N238" i="4"/>
  <c r="N243" i="4"/>
  <c r="N233" i="4"/>
  <c r="N242" i="4"/>
  <c r="N244" i="4"/>
  <c r="N239" i="4"/>
  <c r="N237" i="4"/>
  <c r="N241" i="4"/>
  <c r="N232" i="4"/>
  <c r="N236" i="4"/>
  <c r="N2" i="4"/>
  <c r="N219" i="4"/>
  <c r="N64" i="4"/>
  <c r="N16" i="4"/>
  <c r="N86" i="4"/>
  <c r="N132" i="4"/>
  <c r="N89" i="4"/>
  <c r="N15" i="4"/>
  <c r="N158" i="4"/>
  <c r="N169" i="4"/>
  <c r="N28" i="4"/>
  <c r="N194" i="4"/>
  <c r="N25" i="4"/>
  <c r="N202" i="4"/>
  <c r="N11" i="4"/>
  <c r="N110" i="4"/>
  <c r="N90" i="4"/>
  <c r="N116" i="4"/>
  <c r="N13" i="4"/>
  <c r="N159" i="4"/>
  <c r="N7" i="4"/>
  <c r="N102" i="4"/>
  <c r="N121" i="4"/>
  <c r="N63" i="4"/>
  <c r="N166" i="4"/>
  <c r="N72" i="4"/>
  <c r="N6" i="4"/>
  <c r="N174" i="4"/>
  <c r="N199" i="4"/>
  <c r="N70" i="4"/>
  <c r="N65" i="4"/>
  <c r="N207" i="4"/>
  <c r="N12" i="4"/>
  <c r="N43" i="4"/>
  <c r="N182" i="4"/>
  <c r="N95" i="4"/>
  <c r="N215" i="4"/>
  <c r="N160" i="4"/>
  <c r="N35" i="4"/>
  <c r="N113" i="4"/>
  <c r="N123" i="4"/>
  <c r="N164" i="4"/>
  <c r="N94" i="4"/>
  <c r="N22" i="4"/>
  <c r="N175" i="4"/>
  <c r="N48" i="4"/>
  <c r="N209" i="4"/>
  <c r="N211" i="4"/>
  <c r="N36" i="4"/>
  <c r="N55" i="4"/>
  <c r="N170" i="4"/>
  <c r="N230" i="4"/>
  <c r="N180" i="4"/>
  <c r="N208" i="4"/>
  <c r="N222" i="4"/>
  <c r="N98" i="4"/>
  <c r="N50" i="4"/>
  <c r="N204" i="4"/>
  <c r="N108" i="4"/>
  <c r="N53" i="4"/>
  <c r="N20" i="4"/>
  <c r="N162" i="4"/>
  <c r="N117" i="4"/>
  <c r="N197" i="4"/>
  <c r="N193" i="4"/>
  <c r="N84" i="4"/>
  <c r="N73" i="4"/>
  <c r="N46" i="4"/>
  <c r="N130" i="4"/>
  <c r="N223" i="4"/>
  <c r="N126" i="4"/>
  <c r="N135" i="4"/>
  <c r="N154" i="4"/>
  <c r="N139" i="4"/>
  <c r="N127" i="4"/>
  <c r="N14" i="4"/>
  <c r="N145" i="4"/>
  <c r="N92" i="4"/>
  <c r="N71" i="4"/>
  <c r="N156" i="4"/>
  <c r="N181" i="4"/>
  <c r="N61" i="4"/>
  <c r="N201" i="4"/>
  <c r="N148" i="4"/>
  <c r="N88" i="4"/>
  <c r="N105" i="4"/>
  <c r="N125" i="4"/>
  <c r="N29" i="4"/>
  <c r="N189" i="4"/>
  <c r="N68" i="4"/>
  <c r="N153" i="4"/>
  <c r="N41" i="4"/>
  <c r="N27" i="4"/>
  <c r="N217" i="4"/>
  <c r="N142" i="4"/>
  <c r="N76" i="4"/>
  <c r="N187" i="4"/>
  <c r="N30" i="4"/>
  <c r="N10" i="4"/>
  <c r="N78" i="4"/>
  <c r="N101" i="4"/>
  <c r="N185" i="4"/>
  <c r="N37" i="4"/>
  <c r="N157" i="4"/>
  <c r="N177" i="4"/>
  <c r="N133" i="4"/>
  <c r="N140" i="4"/>
  <c r="N218" i="4"/>
  <c r="N100" i="4"/>
  <c r="N31" i="4"/>
  <c r="N118" i="4"/>
  <c r="N52" i="4"/>
  <c r="N151" i="4"/>
  <c r="N26" i="4"/>
  <c r="N107" i="4"/>
  <c r="T8" i="4" l="1"/>
  <c r="T3" i="4"/>
  <c r="T4" i="4"/>
  <c r="T5" i="4" l="1"/>
  <c r="T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29D4F1-9CEA-C145-A073-B9B240CD7A90}" keepAlive="1" name="Query - ml_predictions_log_scores(1)" description="Connection to the 'ml_predictions_log_scores' query in the workbook." type="5" refreshedVersion="8" background="1" saveData="1">
    <dbPr connection="Provider=Microsoft.Mashup.OleDb.1;Data Source=$Workbook$;Location=ml_predictions_log_scores;Extended Properties=&quot;&quot;" command="SELECT * FROM [ml_predictions_log_scores]"/>
  </connection>
  <connection id="2" xr16:uid="{2D2C2669-7766-204E-B3DC-7937547EF1A6}" keepAlive="1" name="Query - nhl_predictions" description="Connection to the 'nhl_predictions' query in the workbook." type="5" refreshedVersion="8" background="1" saveData="1">
    <dbPr connection="Provider=Microsoft.Mashup.OleDb.1;Data Source=$Workbook$;Location=nhl_predictions;Extended Properties=&quot;&quot;" command="SELECT * FROM [nhl_predictions]"/>
  </connection>
  <connection id="3" xr16:uid="{34AB1088-4939-A149-BD10-A91AACEF0B10}" keepAlive="1" name="Query - nhl_predictions_daily_migrated" description="Connection to the 'nhl_predictions_daily_migrated' query in the workbook." type="5" refreshedVersion="8" background="1" saveData="1">
    <dbPr connection="Provider=Microsoft.Mashup.OleDb.1;Data Source=$Workbook$;Location=nhl_predictions_daily_migrated;Extended Properties=&quot;&quot;" command="SELECT * FROM [nhl_predictions_daily_migrated]"/>
  </connection>
  <connection id="4" xr16:uid="{225D0DBE-532C-8649-B511-294D12F40C04}" keepAlive="1" name="Query - NHL2025-26PlayerStats" description="Connection to the 'NHL2025-26PlayerStats' query in the workbook." type="5" refreshedVersion="8" background="1" saveData="1">
    <dbPr connection="Provider=Microsoft.Mashup.OleDb.1;Data Source=$Workbook$;Location=NHL2025-26PlayerStats;Extended Properties=&quot;&quot;" command="SELECT * FROM [NHL2025-26PlayerStats]"/>
  </connection>
  <connection id="5" xr16:uid="{7DE68077-B829-5F47-9C9D-BEF3C413E8D1}" keepAlive="1" name="Query - NHL2025-26PlayerStats (2)" description="Connection to the 'NHL2025-26PlayerStats (2)' query in the workbook." type="5" refreshedVersion="0" background="1" saveData="1">
    <dbPr connection="Provider=Microsoft.Mashup.OleDb.1;Data Source=$Workbook$;Location=&quot;NHL2025-26PlayerStats (2)&quot;;Extended Properties=&quot;&quot;" command="SELECT * FROM [NHL2025-26PlayerStats (2)]"/>
  </connection>
  <connection id="6" xr16:uid="{00000000-0015-0000-FFFF-FFFF00000000}" keepAlive="1" name="Query - NHL2025-26Results" description="Connection to the 'NHL2025-26Results' query in the workbook." type="5" refreshedVersion="8" background="1" saveData="1">
    <dbPr connection="Provider=Microsoft.Mashup.OleDb.1;Data Source=$Workbook$;Location=NHL2025-26Results;Extended Properties=&quot;&quot;" command="SELECT * FROM [NHL2025-26Results]"/>
  </connection>
</connections>
</file>

<file path=xl/sharedStrings.xml><?xml version="1.0" encoding="utf-8"?>
<sst xmlns="http://schemas.openxmlformats.org/spreadsheetml/2006/main" count="26628" uniqueCount="3000">
  <si>
    <t>Date</t>
  </si>
  <si>
    <t>Time</t>
  </si>
  <si>
    <t>Visitor</t>
  </si>
  <si>
    <t>G</t>
  </si>
  <si>
    <t>Home</t>
  </si>
  <si>
    <t>G_1</t>
  </si>
  <si>
    <t>Winning Team</t>
  </si>
  <si>
    <t>Losing Team</t>
  </si>
  <si>
    <t>Winning_G</t>
  </si>
  <si>
    <t>Losing_G</t>
  </si>
  <si>
    <t>Chicago Blackhawks</t>
  </si>
  <si>
    <t>Florida Panthers</t>
  </si>
  <si>
    <t>Colorado Avalanche</t>
  </si>
  <si>
    <t>Los Angeles Kings</t>
  </si>
  <si>
    <t>Pittsburgh Penguins</t>
  </si>
  <si>
    <t>New York Rangers</t>
  </si>
  <si>
    <t>Calgary Flames</t>
  </si>
  <si>
    <t>Edmonton Oilers</t>
  </si>
  <si>
    <t>Montreal Canadiens</t>
  </si>
  <si>
    <t>Toronto Maple Leafs</t>
  </si>
  <si>
    <t>Vegas Golden Knights</t>
  </si>
  <si>
    <t>Boston Bruins</t>
  </si>
  <si>
    <t>Washington Capitals</t>
  </si>
  <si>
    <t>Buffalo Sabres</t>
  </si>
  <si>
    <t>New Jersey Devils</t>
  </si>
  <si>
    <t>Carolina Hurricanes</t>
  </si>
  <si>
    <t>Detroit Red Wings</t>
  </si>
  <si>
    <t>Philadelphia Flyers</t>
  </si>
  <si>
    <t>Columbus Blue Jackets</t>
  </si>
  <si>
    <t>Nashville Predators</t>
  </si>
  <si>
    <t>New York Islanders</t>
  </si>
  <si>
    <t>Anaheim Ducks</t>
  </si>
  <si>
    <t>Seattle Kraken</t>
  </si>
  <si>
    <t>San Jose Sharks</t>
  </si>
  <si>
    <t>Minnesota Wild</t>
  </si>
  <si>
    <t>St. Louis Blues</t>
  </si>
  <si>
    <t>Ottawa Senators</t>
  </si>
  <si>
    <t>Tampa Bay Lightning</t>
  </si>
  <si>
    <t>Vancouver Canucks</t>
  </si>
  <si>
    <t>Dallas Stars</t>
  </si>
  <si>
    <t>Winnipeg Jets</t>
  </si>
  <si>
    <t>HomeEdge</t>
  </si>
  <si>
    <t>Teams</t>
  </si>
  <si>
    <t>Rating</t>
  </si>
  <si>
    <t>Row Labels</t>
  </si>
  <si>
    <t>Grand Total</t>
  </si>
  <si>
    <t>HomeMargin</t>
  </si>
  <si>
    <t>HomeForecast</t>
  </si>
  <si>
    <t>Squared Difference</t>
  </si>
  <si>
    <t>SSE</t>
  </si>
  <si>
    <t>Home Differential</t>
  </si>
  <si>
    <t>Away Differential</t>
  </si>
  <si>
    <t>HomeIce Differential</t>
  </si>
  <si>
    <t>Predicted Winner</t>
  </si>
  <si>
    <t>Sum of Rating</t>
  </si>
  <si>
    <t>Utah Mammoth</t>
  </si>
  <si>
    <t>Team</t>
  </si>
  <si>
    <t>GP</t>
  </si>
  <si>
    <t>W</t>
  </si>
  <si>
    <t>L</t>
  </si>
  <si>
    <t/>
  </si>
  <si>
    <t>SO</t>
  </si>
  <si>
    <t>OT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</si>
  <si>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</si>
  <si>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</si>
  <si>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</si>
  <si>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</si>
  <si>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</si>
  <si>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</si>
  <si>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</si>
  <si>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</si>
  <si>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</si>
  <si>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</si>
  <si>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</si>
  <si>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</si>
  <si>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</si>
  <si>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</si>
  <si>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</si>
  <si>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</si>
  <si>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</si>
  <si>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</si>
  <si>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</si>
  <si>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</si>
  <si>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</si>
  <si>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</si>
  <si>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</si>
  <si>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</si>
  <si>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</si>
  <si>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</si>
  <si>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</si>
  <si>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</si>
  <si>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</si>
  <si>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</si>
  <si>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</si>
  <si>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</si>
  <si>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</si>
  <si>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</si>
  <si>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</si>
  <si>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</si>
  <si>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</si>
  <si>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</si>
  <si>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</si>
  <si>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</si>
  <si>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</si>
  <si>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</si>
  <si>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</si>
  <si>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</si>
  <si>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</si>
  <si>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</si>
  <si>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</si>
  <si>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</si>
  <si>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</si>
  <si>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</si>
  <si>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</si>
  <si>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</si>
  <si>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</si>
  <si>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</si>
  <si>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</si>
  <si>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</si>
  <si>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</si>
  <si>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</si>
  <si>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</si>
  <si>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</si>
  <si>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</si>
  <si>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</si>
  <si>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</si>
  <si>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</si>
  <si>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</si>
  <si>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</si>
  <si>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</si>
  <si>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</si>
  <si>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</si>
  <si>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</si>
  <si>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</si>
  <si>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</si>
  <si>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</si>
  <si>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</si>
  <si>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</si>
  <si>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</si>
  <si>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</si>
  <si>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</si>
  <si>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</si>
  <si>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</si>
  <si>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</si>
  <si>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</si>
  <si>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</si>
  <si>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</si>
  <si>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</si>
  <si>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</si>
  <si>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</si>
  <si>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</si>
  <si>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</si>
  <si>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</si>
  <si>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</si>
  <si>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</si>
  <si>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</si>
  <si>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</si>
  <si>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</si>
  <si>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</si>
  <si>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2026-04-11</t>
  </si>
  <si>
    <t>2026-04-12</t>
  </si>
  <si>
    <t>2026-04-13</t>
  </si>
  <si>
    <t>2026-04-14</t>
  </si>
  <si>
    <t>2026-04-15</t>
  </si>
  <si>
    <t>2026-04-16</t>
  </si>
  <si>
    <t>OTL</t>
  </si>
  <si>
    <t>PTS</t>
  </si>
  <si>
    <t>AwayWin%</t>
  </si>
  <si>
    <t>HomeWins</t>
  </si>
  <si>
    <t>AwayWins</t>
  </si>
  <si>
    <t>HomeLoss</t>
  </si>
  <si>
    <t>AwayLoss</t>
  </si>
  <si>
    <t>HomeOTL</t>
  </si>
  <si>
    <t>AwayOTL</t>
  </si>
  <si>
    <t>HomeWin%</t>
  </si>
  <si>
    <t>Column1</t>
  </si>
  <si>
    <t>2025-10-07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</si>
  <si>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</si>
  <si>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</si>
  <si>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</si>
  <si>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</si>
  <si>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</si>
  <si>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</si>
  <si>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</si>
  <si>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</si>
  <si>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</si>
  <si>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</si>
  <si>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</si>
  <si>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</si>
  <si>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</si>
  <si>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</si>
  <si>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</si>
  <si>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</si>
  <si>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</si>
  <si>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</si>
  <si>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</si>
  <si>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</si>
  <si>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</si>
  <si>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</si>
  <si>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</si>
  <si>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</si>
  <si>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</si>
  <si>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</si>
  <si>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</si>
  <si>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</si>
  <si>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</si>
  <si>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</si>
  <si>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</si>
  <si>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</si>
  <si>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</si>
  <si>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</si>
  <si>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</si>
  <si>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</si>
  <si>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</si>
  <si>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</si>
  <si>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</si>
  <si>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</si>
  <si>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</si>
  <si>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</si>
  <si>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</si>
  <si>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</si>
  <si>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</si>
  <si>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</si>
  <si>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</si>
  <si>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</si>
  <si>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</si>
  <si>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</si>
  <si>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</si>
  <si>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</si>
  <si>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</si>
  <si>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</si>
  <si>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</si>
  <si>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</si>
  <si>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</si>
  <si>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</si>
  <si>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</si>
  <si>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</si>
  <si>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</si>
  <si>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</si>
  <si>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</si>
  <si>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</si>
  <si>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Sum of HomeWin%</t>
  </si>
  <si>
    <t>Error</t>
  </si>
  <si>
    <t>Weight</t>
  </si>
  <si>
    <t>Strength of Win</t>
  </si>
  <si>
    <t>Locked Prediction</t>
  </si>
  <si>
    <t>Locked Correct</t>
  </si>
  <si>
    <t>Locked HomeIce Differential</t>
  </si>
  <si>
    <t>YES</t>
  </si>
  <si>
    <t>NO</t>
  </si>
  <si>
    <t>Mammoth</t>
  </si>
  <si>
    <t>Adjusted Correct</t>
  </si>
  <si>
    <t>Live Accuracy</t>
  </si>
  <si>
    <t>Locked Accuracy</t>
  </si>
  <si>
    <t>TEST Model</t>
  </si>
  <si>
    <t>Locked Strength of Win</t>
  </si>
  <si>
    <t>Home Goals per Game</t>
  </si>
  <si>
    <t>Away Goals per Game</t>
  </si>
  <si>
    <t>Home Goals Against</t>
  </si>
  <si>
    <t>Away Goals Against</t>
  </si>
  <si>
    <t>game_time</t>
  </si>
  <si>
    <t>home_team</t>
  </si>
  <si>
    <t>away_team</t>
  </si>
  <si>
    <t>ml_confidence</t>
  </si>
  <si>
    <t>actual_winner</t>
  </si>
  <si>
    <t>ml_correct</t>
  </si>
  <si>
    <t>excel_correct</t>
  </si>
  <si>
    <t>Range</t>
  </si>
  <si>
    <t>Count</t>
  </si>
  <si>
    <t>actual_home_score</t>
  </si>
  <si>
    <t>actual_away_score</t>
  </si>
  <si>
    <t>game_date</t>
  </si>
  <si>
    <t>ml_winner</t>
  </si>
  <si>
    <t>ml_away_score</t>
  </si>
  <si>
    <t>ml_home_score</t>
  </si>
  <si>
    <t>ml_ot</t>
  </si>
  <si>
    <t>excel_winner</t>
  </si>
  <si>
    <t>excel_away_score</t>
  </si>
  <si>
    <t>excel_home_score</t>
  </si>
  <si>
    <t>excel_homeice</t>
  </si>
  <si>
    <t>actual_ot</t>
  </si>
  <si>
    <t>PENDING</t>
  </si>
  <si>
    <t>status</t>
  </si>
  <si>
    <t>5.0</t>
  </si>
  <si>
    <t>2.0</t>
  </si>
  <si>
    <t>0.0</t>
  </si>
  <si>
    <t>COMPLETED</t>
  </si>
  <si>
    <t>1.0</t>
  </si>
  <si>
    <t>6.0</t>
  </si>
  <si>
    <t>4.0</t>
  </si>
  <si>
    <t>9.0</t>
  </si>
  <si>
    <t>3.0</t>
  </si>
  <si>
    <t>7.0</t>
  </si>
  <si>
    <t>Rk</t>
  </si>
  <si>
    <t>Player</t>
  </si>
  <si>
    <t>Age</t>
  </si>
  <si>
    <t>Pos</t>
  </si>
  <si>
    <t>A</t>
  </si>
  <si>
    <t>+/-</t>
  </si>
  <si>
    <t>PIM</t>
  </si>
  <si>
    <t>EVG_Goals</t>
  </si>
  <si>
    <t>PPG_Goals</t>
  </si>
  <si>
    <t>SHG_Goals</t>
  </si>
  <si>
    <t>GWG_Goals</t>
  </si>
  <si>
    <t>EV_Assists</t>
  </si>
  <si>
    <t>PP_Assists</t>
  </si>
  <si>
    <t>SH_Assists</t>
  </si>
  <si>
    <t>SOG</t>
  </si>
  <si>
    <t>SPCT</t>
  </si>
  <si>
    <t>TSA</t>
  </si>
  <si>
    <t>TOI</t>
  </si>
  <si>
    <t>ATOI</t>
  </si>
  <si>
    <t>FOW</t>
  </si>
  <si>
    <t>FOL</t>
  </si>
  <si>
    <t>FO%</t>
  </si>
  <si>
    <t>BLK</t>
  </si>
  <si>
    <t>HIT</t>
  </si>
  <si>
    <t>TAKE</t>
  </si>
  <si>
    <t>GIVE</t>
  </si>
  <si>
    <t>Awards</t>
  </si>
  <si>
    <t>Nathan MacKinnon</t>
  </si>
  <si>
    <t>COL</t>
  </si>
  <si>
    <t>C</t>
  </si>
  <si>
    <t>Macklin Celebrini</t>
  </si>
  <si>
    <t>SJS</t>
  </si>
  <si>
    <t>F</t>
  </si>
  <si>
    <t>Connor McDavid</t>
  </si>
  <si>
    <t>EDM</t>
  </si>
  <si>
    <t>Connor Bedard</t>
  </si>
  <si>
    <t>CHI</t>
  </si>
  <si>
    <t>Martin Neas</t>
  </si>
  <si>
    <t>20:58</t>
  </si>
  <si>
    <t>Mikko Rantanen</t>
  </si>
  <si>
    <t>DAL</t>
  </si>
  <si>
    <t>RW</t>
  </si>
  <si>
    <t>Leo Carlsson</t>
  </si>
  <si>
    <t>ANA</t>
  </si>
  <si>
    <t>Jason Robertson</t>
  </si>
  <si>
    <t>LW</t>
  </si>
  <si>
    <t>20:00</t>
  </si>
  <si>
    <t>Leon Draisaitl</t>
  </si>
  <si>
    <t>Jack Eichel</t>
  </si>
  <si>
    <t>VEG</t>
  </si>
  <si>
    <t>Mark Scheifele</t>
  </si>
  <si>
    <t>WPG</t>
  </si>
  <si>
    <t>Kyle Connor</t>
  </si>
  <si>
    <t>Cale Makar</t>
  </si>
  <si>
    <t>D</t>
  </si>
  <si>
    <t>Wyatt Johnston</t>
  </si>
  <si>
    <t>Nikita Kucherov</t>
  </si>
  <si>
    <t>TBL</t>
  </si>
  <si>
    <t>Cutter Gauthier</t>
  </si>
  <si>
    <t>Morgan Geekie</t>
  </si>
  <si>
    <t>BOS</t>
  </si>
  <si>
    <t>Kirill Kaprizov</t>
  </si>
  <si>
    <t>MIN</t>
  </si>
  <si>
    <t>William Nylander</t>
  </si>
  <si>
    <t>TOR</t>
  </si>
  <si>
    <t>Artemi Panarin</t>
  </si>
  <si>
    <t>NYR</t>
  </si>
  <si>
    <t>Nick Suzuki</t>
  </si>
  <si>
    <t>MTL</t>
  </si>
  <si>
    <t>20:36</t>
  </si>
  <si>
    <t>Tom Wilson</t>
  </si>
  <si>
    <t>WSH</t>
  </si>
  <si>
    <t>Matt Boldy</t>
  </si>
  <si>
    <t>Cole Caufield</t>
  </si>
  <si>
    <t>Dylan Larkin</t>
  </si>
  <si>
    <t>DET</t>
  </si>
  <si>
    <t>Brad Marchand</t>
  </si>
  <si>
    <t>FLA</t>
  </si>
  <si>
    <t>Lucas Raymond</t>
  </si>
  <si>
    <t>Sidney Crosby</t>
  </si>
  <si>
    <t>PIT</t>
  </si>
  <si>
    <t>Alex DeBrincat</t>
  </si>
  <si>
    <t>Troy Terry</t>
  </si>
  <si>
    <t>Zach Werenski</t>
  </si>
  <si>
    <t>CBJ</t>
  </si>
  <si>
    <t>Brandon Hagel</t>
  </si>
  <si>
    <t>Bo Horvat</t>
  </si>
  <si>
    <t>NYI</t>
  </si>
  <si>
    <t>Evgeni Malkin</t>
  </si>
  <si>
    <t>17:30</t>
  </si>
  <si>
    <t>Alex Ovechkin</t>
  </si>
  <si>
    <t>David Pastrk</t>
  </si>
  <si>
    <t>John Tavares</t>
  </si>
  <si>
    <t>Jake Guentzel</t>
  </si>
  <si>
    <t>Matthew Knies</t>
  </si>
  <si>
    <t>Will Smith</t>
  </si>
  <si>
    <t>Evan Bouchard</t>
  </si>
  <si>
    <t>Mitch Marner</t>
  </si>
  <si>
    <t>Sam Reinhart</t>
  </si>
  <si>
    <t>Sebastian Aho</t>
  </si>
  <si>
    <t>CAR</t>
  </si>
  <si>
    <t>Jesper Bratt</t>
  </si>
  <si>
    <t>NJD</t>
  </si>
  <si>
    <t>18:47</t>
  </si>
  <si>
    <t>Adam Fox</t>
  </si>
  <si>
    <t>Miro Heiskanen</t>
  </si>
  <si>
    <t>Nico Hischier</t>
  </si>
  <si>
    <t>Clayton Keller</t>
  </si>
  <si>
    <t>UTA</t>
  </si>
  <si>
    <t>Trevor Zegras</t>
  </si>
  <si>
    <t>PHI</t>
  </si>
  <si>
    <t>Tyler Bertuzzi</t>
  </si>
  <si>
    <t>Jakob Chychrun</t>
  </si>
  <si>
    <t>Roope Hintz</t>
  </si>
  <si>
    <t>Artturi Lehkonen</t>
  </si>
  <si>
    <t>Nick Schmaltz</t>
  </si>
  <si>
    <t>Gabriel Vilardi</t>
  </si>
  <si>
    <t>18:44</t>
  </si>
  <si>
    <t>Drake Batherson</t>
  </si>
  <si>
    <t>OTT</t>
  </si>
  <si>
    <t>Seth Jarvis</t>
  </si>
  <si>
    <t>Adrian Kempe</t>
  </si>
  <si>
    <t>LAK</t>
  </si>
  <si>
    <t>Kirill Marchenko</t>
  </si>
  <si>
    <t>Josh Morrissey</t>
  </si>
  <si>
    <t>Beckett Sennecke</t>
  </si>
  <si>
    <t>16:41</t>
  </si>
  <si>
    <t>Tim Sttzle</t>
  </si>
  <si>
    <t>20:24</t>
  </si>
  <si>
    <t>Alex Tuch</t>
  </si>
  <si>
    <t>BUF</t>
  </si>
  <si>
    <t>Mika Zibanejad</t>
  </si>
  <si>
    <t>Ivan Barbashev</t>
  </si>
  <si>
    <t>John Carlson</t>
  </si>
  <si>
    <t>Logan Cooley</t>
  </si>
  <si>
    <t>17:49</t>
  </si>
  <si>
    <t>Nazem Kadri</t>
  </si>
  <si>
    <t>CGY</t>
  </si>
  <si>
    <t>Travis Konecny</t>
  </si>
  <si>
    <t>Timo Meier</t>
  </si>
  <si>
    <t>Jake Sanderson</t>
  </si>
  <si>
    <t>Dylan Strome</t>
  </si>
  <si>
    <t>Mathew Barzal</t>
  </si>
  <si>
    <t>Ivan Demidov</t>
  </si>
  <si>
    <t>Dylan Guenther</t>
  </si>
  <si>
    <t>Tom Hertl</t>
  </si>
  <si>
    <t>Quinn Hughes</t>
  </si>
  <si>
    <t>VAN</t>
  </si>
  <si>
    <t>Lane Hutson</t>
  </si>
  <si>
    <t>Anton Lundell</t>
  </si>
  <si>
    <t>Ryan Nugent-Hopkins</t>
  </si>
  <si>
    <t>JJ Peterka</t>
  </si>
  <si>
    <t>Elias Pettersson</t>
  </si>
  <si>
    <t>Moritz Seider</t>
  </si>
  <si>
    <t>Tage Thompson</t>
  </si>
  <si>
    <t>Shayne Gostisbehere</t>
  </si>
  <si>
    <t>Chris Kreider</t>
  </si>
  <si>
    <t>Dawson Mercer</t>
  </si>
  <si>
    <t>Ryan O'Reilly</t>
  </si>
  <si>
    <t>NSH</t>
  </si>
  <si>
    <t>Morgan Rielly</t>
  </si>
  <si>
    <t>Bryan Rust</t>
  </si>
  <si>
    <t>Matthew Schaefer</t>
  </si>
  <si>
    <t>Carter Verhaeghe</t>
  </si>
  <si>
    <t>Pavel Zacha</t>
  </si>
  <si>
    <t>Rasmus Andersson</t>
  </si>
  <si>
    <t>Oliver Ekman-Larsson</t>
  </si>
  <si>
    <t>Adam Fantilli</t>
  </si>
  <si>
    <t>Jack Hughes</t>
  </si>
  <si>
    <t>Marcus Johansson</t>
  </si>
  <si>
    <t>16:20</t>
  </si>
  <si>
    <t>Mason McTavish</t>
  </si>
  <si>
    <t>Frank Nazar</t>
  </si>
  <si>
    <t>Aliaksei Protas</t>
  </si>
  <si>
    <t>Mark Stone</t>
  </si>
  <si>
    <t>Dmitri Voronkov</t>
  </si>
  <si>
    <t>Quinton Byfield</t>
  </si>
  <si>
    <t>Charlie Coyle</t>
  </si>
  <si>
    <t>Josh Doan</t>
  </si>
  <si>
    <t>15:32</t>
  </si>
  <si>
    <t>Nikolaj Ehlers</t>
  </si>
  <si>
    <t>Luke Evangelista</t>
  </si>
  <si>
    <t>Kevin Fiala</t>
  </si>
  <si>
    <t>Filip Forsberg</t>
  </si>
  <si>
    <t>Patrick Kane</t>
  </si>
  <si>
    <t>Auston Matthews</t>
  </si>
  <si>
    <t>Brock Nelson</t>
  </si>
  <si>
    <t>Mikhail Sergachev</t>
  </si>
  <si>
    <t>Owen Tippett</t>
  </si>
  <si>
    <t>Jackson Blake</t>
  </si>
  <si>
    <t>Andr Burakovsky</t>
  </si>
  <si>
    <t>17:15</t>
  </si>
  <si>
    <t>Rasmus Dahlin</t>
  </si>
  <si>
    <t>Noah Dobson</t>
  </si>
  <si>
    <t>Pavel Dorofeyev</t>
  </si>
  <si>
    <t>William Eklund</t>
  </si>
  <si>
    <t>Erik Karlsson</t>
  </si>
  <si>
    <t>Ryan Leonard</t>
  </si>
  <si>
    <t>J.T. Miller</t>
  </si>
  <si>
    <t>Victor Olofsson</t>
  </si>
  <si>
    <t>Kyle Palmieri</t>
  </si>
  <si>
    <t>471:55</t>
  </si>
  <si>
    <t>18:53</t>
  </si>
  <si>
    <t>Shane Pinto</t>
  </si>
  <si>
    <t>18:58</t>
  </si>
  <si>
    <t>Darren Raddysh</t>
  </si>
  <si>
    <t>Jack Roslovic</t>
  </si>
  <si>
    <t>Shea Theodore</t>
  </si>
  <si>
    <t>Robert Thomas</t>
  </si>
  <si>
    <t>STL</t>
  </si>
  <si>
    <t>Tyler Toffoli</t>
  </si>
  <si>
    <t>Sam Bennett</t>
  </si>
  <si>
    <t>Michael Bunting</t>
  </si>
  <si>
    <t>Anthony Cirelli</t>
  </si>
  <si>
    <t>Sean Couturier</t>
  </si>
  <si>
    <t>Dylan Cozens</t>
  </si>
  <si>
    <t>Christian Dvorak</t>
  </si>
  <si>
    <t>Claude Giroux</t>
  </si>
  <si>
    <t>17:12</t>
  </si>
  <si>
    <t>Dylan Holloway</t>
  </si>
  <si>
    <t>Alexis Lafrenire</t>
  </si>
  <si>
    <t>Elias Lindholm</t>
  </si>
  <si>
    <t>Tyler Seguin</t>
  </si>
  <si>
    <t>449:52</t>
  </si>
  <si>
    <t>16:40</t>
  </si>
  <si>
    <t>Teuvo Tervinen</t>
  </si>
  <si>
    <t>Matty Beniers</t>
  </si>
  <si>
    <t>SEA</t>
  </si>
  <si>
    <t>Brock Boeser</t>
  </si>
  <si>
    <t>Matthew Coronato</t>
  </si>
  <si>
    <t>William Cuylle</t>
  </si>
  <si>
    <t>17:22</t>
  </si>
  <si>
    <t>Jordan Eberle</t>
  </si>
  <si>
    <t>Joel Eriksson Ek</t>
  </si>
  <si>
    <t>Morgan Frost</t>
  </si>
  <si>
    <t>Erik Haula</t>
  </si>
  <si>
    <t>Emil Heineman</t>
  </si>
  <si>
    <t>15:28</t>
  </si>
  <si>
    <t>Filip Hronek</t>
  </si>
  <si>
    <t>Seth Jones</t>
  </si>
  <si>
    <t>Jordan Kyrou</t>
  </si>
  <si>
    <t>Jackson LaCombe</t>
  </si>
  <si>
    <t>Anders Lee</t>
  </si>
  <si>
    <t>Anthony Mantha</t>
  </si>
  <si>
    <t>14:59</t>
  </si>
  <si>
    <t>Mike Matheson</t>
  </si>
  <si>
    <t>Matvei Michkov</t>
  </si>
  <si>
    <t>Sean Monahan</t>
  </si>
  <si>
    <t>Dmitry Orlov</t>
  </si>
  <si>
    <t>Kiefer Sherwood</t>
  </si>
  <si>
    <t>17:33</t>
  </si>
  <si>
    <t>Juraj Slafkovsky</t>
  </si>
  <si>
    <t>18:01</t>
  </si>
  <si>
    <t>Jason Zucker</t>
  </si>
  <si>
    <t>Mikael Backlund</t>
  </si>
  <si>
    <t>Noah Cates</t>
  </si>
  <si>
    <t>Jonathan Drouin</t>
  </si>
  <si>
    <t>Brock Faber</t>
  </si>
  <si>
    <t>Conor Garland</t>
  </si>
  <si>
    <t>Luke Hughes</t>
  </si>
  <si>
    <t>Evander Kane</t>
  </si>
  <si>
    <t>Philipp Kurashev</t>
  </si>
  <si>
    <t>Sam Malinski</t>
  </si>
  <si>
    <t>Connor McMichael</t>
  </si>
  <si>
    <t>16:34</t>
  </si>
  <si>
    <t>Brandon Montour</t>
  </si>
  <si>
    <t>Simon Nemec</t>
  </si>
  <si>
    <t>Nino Niederreiter</t>
  </si>
  <si>
    <t>Jack Quinn</t>
  </si>
  <si>
    <t>Jaden Schwartz</t>
  </si>
  <si>
    <t>17:13</t>
  </si>
  <si>
    <t>Andrei Svechnikov</t>
  </si>
  <si>
    <t>Alexander Wennberg</t>
  </si>
  <si>
    <t>Pavel Buchnevich</t>
  </si>
  <si>
    <t>Brent Burns</t>
  </si>
  <si>
    <t>Brandt Clarke</t>
  </si>
  <si>
    <t>Ross Colton</t>
  </si>
  <si>
    <t>Vince Dunn</t>
  </si>
  <si>
    <t>Mattias Ekholm</t>
  </si>
  <si>
    <t>Joel Farabee</t>
  </si>
  <si>
    <t>Justin Faulk</t>
  </si>
  <si>
    <t>Emmitt Finnie</t>
  </si>
  <si>
    <t>Gustav Forsling</t>
  </si>
  <si>
    <t>Taylor Hall</t>
  </si>
  <si>
    <t>Jonathan Huberdeau</t>
  </si>
  <si>
    <t>Oliver Kapanen</t>
  </si>
  <si>
    <t>Ane Kopitar</t>
  </si>
  <si>
    <t>Gabriel Landeskog</t>
  </si>
  <si>
    <t>Artyom Levshunov</t>
  </si>
  <si>
    <t>16:39</t>
  </si>
  <si>
    <t>John Marino</t>
  </si>
  <si>
    <t>Charlie McAvoy</t>
  </si>
  <si>
    <t>Ryan McLeod</t>
  </si>
  <si>
    <t>Bobby McMann</t>
  </si>
  <si>
    <t>Valeri Nichushkin</t>
  </si>
  <si>
    <t>Corey Perry</t>
  </si>
  <si>
    <t>13:53</t>
  </si>
  <si>
    <t>Ryan Pulock</t>
  </si>
  <si>
    <t>Evan Rodrigues</t>
  </si>
  <si>
    <t>Mackie Samoskevich</t>
  </si>
  <si>
    <t>Pius Suter</t>
  </si>
  <si>
    <t>Vincent Trocheck</t>
  </si>
  <si>
    <t>Jacob Trouba</t>
  </si>
  <si>
    <t>Viktor Arvidsson</t>
  </si>
  <si>
    <t>Zachary Bolduc</t>
  </si>
  <si>
    <t>Zeev Buium</t>
  </si>
  <si>
    <t>Bowen Byram</t>
  </si>
  <si>
    <t>Jake DeBrusk</t>
  </si>
  <si>
    <t>Ryan Donato</t>
  </si>
  <si>
    <t>Tyson Foerster</t>
  </si>
  <si>
    <t>17:27</t>
  </si>
  <si>
    <t>Vladislav Gavrikov</t>
  </si>
  <si>
    <t>Arseny Gritsyuk</t>
  </si>
  <si>
    <t>Kris Letang</t>
  </si>
  <si>
    <t>Thomas Novak</t>
  </si>
  <si>
    <t>David Perron</t>
  </si>
  <si>
    <t>Marco Rossi</t>
  </si>
  <si>
    <t>307:42</t>
  </si>
  <si>
    <t>18:06</t>
  </si>
  <si>
    <t>Brayden Schenn</t>
  </si>
  <si>
    <t>Cole Sillinger</t>
  </si>
  <si>
    <t>16:33</t>
  </si>
  <si>
    <t>Chandler Stephenson</t>
  </si>
  <si>
    <t>20:03</t>
  </si>
  <si>
    <t>Eeli Tolvanen</t>
  </si>
  <si>
    <t>Nick Blankenburg</t>
  </si>
  <si>
    <t>Justin Brazeau</t>
  </si>
  <si>
    <t>Bobby Brink</t>
  </si>
  <si>
    <t>Blake Coleman</t>
  </si>
  <si>
    <t>Andrew Copp</t>
  </si>
  <si>
    <t>Lawson Crouse</t>
  </si>
  <si>
    <t>Dylan DeMelo</t>
  </si>
  <si>
    <t>Michael Eyssimont</t>
  </si>
  <si>
    <t>Cam Fowler</t>
  </si>
  <si>
    <t>Collin Graf</t>
  </si>
  <si>
    <t>A.J. Greer</t>
  </si>
  <si>
    <t>10:47</t>
  </si>
  <si>
    <t>Victor Hedman</t>
  </si>
  <si>
    <t>Tanner Jeannot</t>
  </si>
  <si>
    <t>13:46</t>
  </si>
  <si>
    <t>Parker Kelly</t>
  </si>
  <si>
    <t>Alex Laferriere</t>
  </si>
  <si>
    <t>Mason Lohrei</t>
  </si>
  <si>
    <t>Denton Mateychuk</t>
  </si>
  <si>
    <t>K'Andre Miller</t>
  </si>
  <si>
    <t>Casey Mittelstadt</t>
  </si>
  <si>
    <t>Trevor Moore</t>
  </si>
  <si>
    <t>Jake Neighbours</t>
  </si>
  <si>
    <t>Alex Newhook</t>
  </si>
  <si>
    <t>248:54</t>
  </si>
  <si>
    <t>14:38</t>
  </si>
  <si>
    <t>Drew O'Connor</t>
  </si>
  <si>
    <t>13:45</t>
  </si>
  <si>
    <t>Jean-Gabriel Pageau</t>
  </si>
  <si>
    <t>15:24</t>
  </si>
  <si>
    <t>Vasily Podkolzin</t>
  </si>
  <si>
    <t>15:17</t>
  </si>
  <si>
    <t>Nicholas Robertson</t>
  </si>
  <si>
    <t>Mattias Samuelsson</t>
  </si>
  <si>
    <t>Logan Stankoven</t>
  </si>
  <si>
    <t>Matthew Wood</t>
  </si>
  <si>
    <t>Miles Wood</t>
  </si>
  <si>
    <t>Shane Wright</t>
  </si>
  <si>
    <t>Cameron York</t>
  </si>
  <si>
    <t>Olen Zellweger</t>
  </si>
  <si>
    <t>Mats Zuccarello</t>
  </si>
  <si>
    <t>Michael Amadio</t>
  </si>
  <si>
    <t>15:19</t>
  </si>
  <si>
    <t>Joel Armia</t>
  </si>
  <si>
    <t>Anthony Beauvillier</t>
  </si>
  <si>
    <t>Zach Benson</t>
  </si>
  <si>
    <t>Ian Cole</t>
  </si>
  <si>
    <t>Tony DeAngelo</t>
  </si>
  <si>
    <t>Max Domi</t>
  </si>
  <si>
    <t>Jamie Drysdale</t>
  </si>
  <si>
    <t>Joel Edmundson</t>
  </si>
  <si>
    <t>Eetu Luostarinen</t>
  </si>
  <si>
    <t>Mason Marchment</t>
  </si>
  <si>
    <t>Jake McCabe</t>
  </si>
  <si>
    <t>Brayden Point</t>
  </si>
  <si>
    <t>Ivan Provorov</t>
  </si>
  <si>
    <t>Aatu Rty</t>
  </si>
  <si>
    <t>Travis Sanheim</t>
  </si>
  <si>
    <t>Nate Schmidt</t>
  </si>
  <si>
    <t>Jimmy Snuggerud</t>
  </si>
  <si>
    <t>Jordan Staal</t>
  </si>
  <si>
    <t>Steven Stamkos</t>
  </si>
  <si>
    <t>Artem Zub</t>
  </si>
  <si>
    <t>Philip Broberg</t>
  </si>
  <si>
    <t>Michael Carcone</t>
  </si>
  <si>
    <t>Thomas Chabot</t>
  </si>
  <si>
    <t>J.T. Compher</t>
  </si>
  <si>
    <t>15:50</t>
  </si>
  <si>
    <t>Louis Crevier</t>
  </si>
  <si>
    <t>Drew Doughty</t>
  </si>
  <si>
    <t>Jack Drury</t>
  </si>
  <si>
    <t>15:09</t>
  </si>
  <si>
    <t>Radek Faksa</t>
  </si>
  <si>
    <t>Martin Fehrvry</t>
  </si>
  <si>
    <t>18:56</t>
  </si>
  <si>
    <t>Ethen Frank</t>
  </si>
  <si>
    <t>Brendan Gallagher</t>
  </si>
  <si>
    <t>Adam Gaudette</t>
  </si>
  <si>
    <t>12:04</t>
  </si>
  <si>
    <t>Yanni Gourde</t>
  </si>
  <si>
    <t>Thomas Harley</t>
  </si>
  <si>
    <t>Boone Jenner</t>
  </si>
  <si>
    <t>Roman Josi</t>
  </si>
  <si>
    <t>Linus Karlsson</t>
  </si>
  <si>
    <t>Benjamin Kindel</t>
  </si>
  <si>
    <t>Esa Lindell</t>
  </si>
  <si>
    <t>Hampus Lindholm</t>
  </si>
  <si>
    <t>22:08</t>
  </si>
  <si>
    <t>Andrew Mangiapane</t>
  </si>
  <si>
    <t>Jordan Martinook</t>
  </si>
  <si>
    <t>Darnell Nurse</t>
  </si>
  <si>
    <t>Matt Roy</t>
  </si>
  <si>
    <t>Nicolas Roy</t>
  </si>
  <si>
    <t>Matthew Savoie</t>
  </si>
  <si>
    <t>Ryan Shea</t>
  </si>
  <si>
    <t>Jordan Spence</t>
  </si>
  <si>
    <t>Sam Steel</t>
  </si>
  <si>
    <t>Oskar Sundqvist</t>
  </si>
  <si>
    <t>Vladimir Tarasenko</t>
  </si>
  <si>
    <t>Devon Toews</t>
  </si>
  <si>
    <t>Jake Walman</t>
  </si>
  <si>
    <t>Parker Wotherspoon</t>
  </si>
  <si>
    <t>Fabian Zetterlund</t>
  </si>
  <si>
    <t>Mason Appleton</t>
  </si>
  <si>
    <t>Jamie Benn</t>
  </si>
  <si>
    <t>13:16</t>
  </si>
  <si>
    <t>Oliver Bjorkstrand</t>
  </si>
  <si>
    <t>Mavrik Bourque</t>
  </si>
  <si>
    <t>Braeden Bowman</t>
  </si>
  <si>
    <t>16:32</t>
  </si>
  <si>
    <t>Jonas Brodin</t>
  </si>
  <si>
    <t>Connor Brown</t>
  </si>
  <si>
    <t>Ty Dellandrea</t>
  </si>
  <si>
    <t>Connor Dewar</t>
  </si>
  <si>
    <t>Brenden Dillon</t>
  </si>
  <si>
    <t>Anthony Duclair</t>
  </si>
  <si>
    <t>Simon Edvinsson</t>
  </si>
  <si>
    <t>Mikael Granlund</t>
  </si>
  <si>
    <t>Ryan Greene</t>
  </si>
  <si>
    <t>Drew Helleson</t>
  </si>
  <si>
    <t>Adam Henrique</t>
  </si>
  <si>
    <t>14:28</t>
  </si>
  <si>
    <t>Simon Holmstrm</t>
  </si>
  <si>
    <t>Brett Howden</t>
  </si>
  <si>
    <t>Alex Iafallo</t>
  </si>
  <si>
    <t>Mark Kastelic</t>
  </si>
  <si>
    <t>Alex Killorn</t>
  </si>
  <si>
    <t>John Klingberg</t>
  </si>
  <si>
    <t>Matias Maccelli</t>
  </si>
  <si>
    <t>Fraser Minten</t>
  </si>
  <si>
    <t>Alexander Nikishin</t>
  </si>
  <si>
    <t>Mathieu Olivier</t>
  </si>
  <si>
    <t>Colton Parayko</t>
  </si>
  <si>
    <t>Damon Severson</t>
  </si>
  <si>
    <t>Max Shabanov</t>
  </si>
  <si>
    <t>Logan Stanley</t>
  </si>
  <si>
    <t>Spencer Stastney</t>
  </si>
  <si>
    <t>Jonathan Toews</t>
  </si>
  <si>
    <t>Nathan Walker</t>
  </si>
  <si>
    <t>Sean Walker</t>
  </si>
  <si>
    <t>Nikita Zadorov</t>
  </si>
  <si>
    <t>Josh Anderson</t>
  </si>
  <si>
    <t>14:54</t>
  </si>
  <si>
    <t>Alexandre Carrier</t>
  </si>
  <si>
    <t>Ben Chiarot</t>
  </si>
  <si>
    <t>Easton Cowan</t>
  </si>
  <si>
    <t>Charle-Edouard D'Astous</t>
  </si>
  <si>
    <t>Jake Evans</t>
  </si>
  <si>
    <t>Ridly Greig</t>
  </si>
  <si>
    <t>Dougie Hamilton</t>
  </si>
  <si>
    <t>Ryan Hartman</t>
  </si>
  <si>
    <t>Justin Hryckowian</t>
  </si>
  <si>
    <t>Ben Hutton</t>
  </si>
  <si>
    <t>Mathieu Joseph</t>
  </si>
  <si>
    <t>Dakota Joshua</t>
  </si>
  <si>
    <t>12:30</t>
  </si>
  <si>
    <t>Andrei Kuzmenko</t>
  </si>
  <si>
    <t>Noah Laba</t>
  </si>
  <si>
    <t>Jonathan Marchessault</t>
  </si>
  <si>
    <t>Jack McBain</t>
  </si>
  <si>
    <t>Oliver Moore</t>
  </si>
  <si>
    <t>Vladislav Namestnikov</t>
  </si>
  <si>
    <t>Nikita Nesterenko</t>
  </si>
  <si>
    <t>12:10</t>
  </si>
  <si>
    <t>Alexander Petrovic</t>
  </si>
  <si>
    <t>Rickard Rakell</t>
  </si>
  <si>
    <t>Michael Rasmussen</t>
  </si>
  <si>
    <t>11:59</t>
  </si>
  <si>
    <t>Sam Rinzel</t>
  </si>
  <si>
    <t>Axel Sandin Pellikka</t>
  </si>
  <si>
    <t>Yegor Sharangovich</t>
  </si>
  <si>
    <t>Alex Steeves</t>
  </si>
  <si>
    <t>Yakov Trenin</t>
  </si>
  <si>
    <t>Tom Willander</t>
  </si>
  <si>
    <t>Michael Anderson</t>
  </si>
  <si>
    <t>Emil Andrae</t>
  </si>
  <si>
    <t>Morgan Barron</t>
  </si>
  <si>
    <t>Gavin Brindley</t>
  </si>
  <si>
    <t>Casey Cizikas</t>
  </si>
  <si>
    <t>10:12</t>
  </si>
  <si>
    <t>Nick Cousins</t>
  </si>
  <si>
    <t>10:37</t>
  </si>
  <si>
    <t>Kirby Dach</t>
  </si>
  <si>
    <t>Aaron Ekblad</t>
  </si>
  <si>
    <t>Mario Ferraro</t>
  </si>
  <si>
    <t>Gage Goncalves</t>
  </si>
  <si>
    <t>Nicolas Hague</t>
  </si>
  <si>
    <t>Ross Johnston</t>
  </si>
  <si>
    <t>William Karlsson</t>
  </si>
  <si>
    <t>212:03</t>
  </si>
  <si>
    <t>Marat Khusnutdinov</t>
  </si>
  <si>
    <t>13:54</t>
  </si>
  <si>
    <t>Peyton Krebs</t>
  </si>
  <si>
    <t>Adam Larsson</t>
  </si>
  <si>
    <t>Steven Lorentz</t>
  </si>
  <si>
    <t>Ilya Mikheyev</t>
  </si>
  <si>
    <t>Pavel Mintyukov</t>
  </si>
  <si>
    <t>J.J. Moser</t>
  </si>
  <si>
    <t>Tyler Myers</t>
  </si>
  <si>
    <t>Owen Power</t>
  </si>
  <si>
    <t>Taylor Raddysh</t>
  </si>
  <si>
    <t>Eric Robinson</t>
  </si>
  <si>
    <t>Isak Rosen</t>
  </si>
  <si>
    <t>Rasmus Sandin</t>
  </si>
  <si>
    <t>Max Sasson</t>
  </si>
  <si>
    <t>10:52</t>
  </si>
  <si>
    <t>Conor Sheary</t>
  </si>
  <si>
    <t>Jeff Skinner</t>
  </si>
  <si>
    <t>Brady Skjei</t>
  </si>
  <si>
    <t>Justin Sourdif</t>
  </si>
  <si>
    <t>12:59</t>
  </si>
  <si>
    <t>Brady Tkachuk</t>
  </si>
  <si>
    <t>James van Riemsdyk</t>
  </si>
  <si>
    <t>Kailer Yamamoto</t>
  </si>
  <si>
    <t>11:42</t>
  </si>
  <si>
    <t>Danila Yurov</t>
  </si>
  <si>
    <t>Kevin Bahl</t>
  </si>
  <si>
    <t>21:13</t>
  </si>
  <si>
    <t>Jonatan Berggren</t>
  </si>
  <si>
    <t>Colin Blackwell</t>
  </si>
  <si>
    <t>Jesper Boqvist</t>
  </si>
  <si>
    <t>Sam Carrick</t>
  </si>
  <si>
    <t>William Carrier</t>
  </si>
  <si>
    <t>Cody Ceci</t>
  </si>
  <si>
    <t>Paul Cotter</t>
  </si>
  <si>
    <t>12:16</t>
  </si>
  <si>
    <t>Colton Dach</t>
  </si>
  <si>
    <t>Brandon Duhaime</t>
  </si>
  <si>
    <t>Brian Dumoulin</t>
  </si>
  <si>
    <t>Lars Eller</t>
  </si>
  <si>
    <t>Ty Emberson</t>
  </si>
  <si>
    <t>Ryker Evans</t>
  </si>
  <si>
    <t>Warren Foegele</t>
  </si>
  <si>
    <t>Nick Foligno</t>
  </si>
  <si>
    <t>13:57</t>
  </si>
  <si>
    <t>Zemgus Girgensons</t>
  </si>
  <si>
    <t>Radko Gudas</t>
  </si>
  <si>
    <t>Pontus Holmberg</t>
  </si>
  <si>
    <t>12:36</t>
  </si>
  <si>
    <t>Zach Hyman</t>
  </si>
  <si>
    <t>19:22</t>
  </si>
  <si>
    <t>Nick Jensen</t>
  </si>
  <si>
    <t>Kent Johnson</t>
  </si>
  <si>
    <t>Henri Jokiharju</t>
  </si>
  <si>
    <t>Sean Kuraly</t>
  </si>
  <si>
    <t>14:08</t>
  </si>
  <si>
    <t>Josh Manson</t>
  </si>
  <si>
    <t>Emil Martinsen Lilleberg</t>
  </si>
  <si>
    <t>Jared McCann</t>
  </si>
  <si>
    <t>Ryan McDonagh</t>
  </si>
  <si>
    <t>Sonny Milano</t>
  </si>
  <si>
    <t>Gustav Nyquist</t>
  </si>
  <si>
    <t>Noah Ostlund</t>
  </si>
  <si>
    <t>12:45</t>
  </si>
  <si>
    <t>Nick Paul</t>
  </si>
  <si>
    <t>Jeff Petry</t>
  </si>
  <si>
    <t>Ryan Poehling</t>
  </si>
  <si>
    <t>Braden Schneider</t>
  </si>
  <si>
    <t>Reilly Smith</t>
  </si>
  <si>
    <t>Carson Soucy</t>
  </si>
  <si>
    <t>Kevin Stenlund</t>
  </si>
  <si>
    <t>Conor Timmins</t>
  </si>
  <si>
    <t>Alex Turcotte</t>
  </si>
  <si>
    <t>Connor Zary</t>
  </si>
  <si>
    <t>Arshdeep Bains</t>
  </si>
  <si>
    <t>Uvis Balinskis</t>
  </si>
  <si>
    <t>Zakhar Bardakov</t>
  </si>
  <si>
    <t>Nick Bjugstad</t>
  </si>
  <si>
    <t>Jonny Brodzinski</t>
  </si>
  <si>
    <t>Berkly Catton</t>
  </si>
  <si>
    <t>Phillip Danault</t>
  </si>
  <si>
    <t>Nate Danielson</t>
  </si>
  <si>
    <t>Nic Dowd</t>
  </si>
  <si>
    <t>Noah Hanifin</t>
  </si>
  <si>
    <t>Barrett Hayton</t>
  </si>
  <si>
    <t>Vinnie Hinostroza</t>
  </si>
  <si>
    <t>Dominic James</t>
  </si>
  <si>
    <t>12:19</t>
  </si>
  <si>
    <t>Mattias Janmark</t>
  </si>
  <si>
    <t>Wyatt Kaiser</t>
  </si>
  <si>
    <t>Tye Kartye</t>
  </si>
  <si>
    <t>Adam Klapka</t>
  </si>
  <si>
    <t>Cole Koepke</t>
  </si>
  <si>
    <t>Jesperi Kotkaniemi</t>
  </si>
  <si>
    <t>Jiri Kulich</t>
  </si>
  <si>
    <t>196:22</t>
  </si>
  <si>
    <t>16:22</t>
  </si>
  <si>
    <t>Hendrix Lapierre</t>
  </si>
  <si>
    <t>Blake Lizotte</t>
  </si>
  <si>
    <t>Isac Lundestrm</t>
  </si>
  <si>
    <t>Ilya Lyubushkin</t>
  </si>
  <si>
    <t>16:57</t>
  </si>
  <si>
    <t>Beck Malenstyn</t>
  </si>
  <si>
    <t>11:32</t>
  </si>
  <si>
    <t>Michael McCarron</t>
  </si>
  <si>
    <t>Jacob Middleton</t>
  </si>
  <si>
    <t>Shakir Mukhamadullin</t>
  </si>
  <si>
    <t>Joshua Norris</t>
  </si>
  <si>
    <t>Jamie Oleksiak</t>
  </si>
  <si>
    <t>Ondej Palt</t>
  </si>
  <si>
    <t>Tanner Pearson</t>
  </si>
  <si>
    <t>11:04</t>
  </si>
  <si>
    <t>Andrew Peeke</t>
  </si>
  <si>
    <t>Marcus Pettersson</t>
  </si>
  <si>
    <t>Neal Pionk</t>
  </si>
  <si>
    <t>Mike Reilly</t>
  </si>
  <si>
    <t>16:26</t>
  </si>
  <si>
    <t>Calum Ritchie</t>
  </si>
  <si>
    <t>Ryan Strome</t>
  </si>
  <si>
    <t>141:26</t>
  </si>
  <si>
    <t>David Tomasek</t>
  </si>
  <si>
    <t>Trevor van Riemsdyk</t>
  </si>
  <si>
    <t>Alex Vlasic</t>
  </si>
  <si>
    <t>MacKenzie Weegar</t>
  </si>
  <si>
    <t>Lukas Reichel</t>
  </si>
  <si>
    <t>2TM</t>
  </si>
  <si>
    <t>232:49</t>
  </si>
  <si>
    <t>12:15</t>
  </si>
  <si>
    <t>49:19</t>
  </si>
  <si>
    <t>9:52</t>
  </si>
  <si>
    <t>183:30</t>
  </si>
  <si>
    <t>13:06</t>
  </si>
  <si>
    <t>Noel Acciari</t>
  </si>
  <si>
    <t>Oskar Back</t>
  </si>
  <si>
    <t>Justin Barron</t>
  </si>
  <si>
    <t>William Borgen</t>
  </si>
  <si>
    <t>Kyle Capobianco</t>
  </si>
  <si>
    <t>12:27</t>
  </si>
  <si>
    <t>Erik ernk</t>
  </si>
  <si>
    <t>Jalen Chatfield</t>
  </si>
  <si>
    <t>Jason Dickinson</t>
  </si>
  <si>
    <t>Dalibor Dvorsky</t>
  </si>
  <si>
    <t>Adam Edstrom</t>
  </si>
  <si>
    <t>229:36</t>
  </si>
  <si>
    <t>9:34</t>
  </si>
  <si>
    <t>Dante Fabbro</t>
  </si>
  <si>
    <t>Cody Glass</t>
  </si>
  <si>
    <t>12:37</t>
  </si>
  <si>
    <t>Nikita Grebenkin</t>
  </si>
  <si>
    <t>10:16</t>
  </si>
  <si>
    <t>Matt Grzelcyk</t>
  </si>
  <si>
    <t>Filip Hallander</t>
  </si>
  <si>
    <t>170:51</t>
  </si>
  <si>
    <t>13:09</t>
  </si>
  <si>
    <t>Joel Hanley</t>
  </si>
  <si>
    <t>Kevin Hayes</t>
  </si>
  <si>
    <t>14:02</t>
  </si>
  <si>
    <t>Samuel Honzek</t>
  </si>
  <si>
    <t>222:09</t>
  </si>
  <si>
    <t>12:21</t>
  </si>
  <si>
    <t>Mark Jankowski</t>
  </si>
  <si>
    <t>Calle Jrnkrok</t>
  </si>
  <si>
    <t>Tyson Jost</t>
  </si>
  <si>
    <t>Tyler Kleven</t>
  </si>
  <si>
    <t>Keegan Kolesar</t>
  </si>
  <si>
    <t>10:45</t>
  </si>
  <si>
    <t>Tyson Kozak</t>
  </si>
  <si>
    <t>Jeremy Lauzon</t>
  </si>
  <si>
    <t>Timothy Liljegren</t>
  </si>
  <si>
    <t>Mackenzie MacEachern</t>
  </si>
  <si>
    <t>81:28</t>
  </si>
  <si>
    <t>10:11</t>
  </si>
  <si>
    <t>Nikolas Matinpalo</t>
  </si>
  <si>
    <t>Niko Mikkola</t>
  </si>
  <si>
    <t>Ian Moore</t>
  </si>
  <si>
    <t>Jani Nyman</t>
  </si>
  <si>
    <t>Nicklaus Perbix</t>
  </si>
  <si>
    <t>Cole Perfetti</t>
  </si>
  <si>
    <t>Cole Reinhardt</t>
  </si>
  <si>
    <t>Brandon Saad</t>
  </si>
  <si>
    <t>13:52</t>
  </si>
  <si>
    <t>Dylan Samberg</t>
  </si>
  <si>
    <t>Luke Schenn</t>
  </si>
  <si>
    <t>Jared Spurgeon</t>
  </si>
  <si>
    <t>Troy Stecher</t>
  </si>
  <si>
    <t>17:14</t>
  </si>
  <si>
    <t>81:44</t>
  </si>
  <si>
    <t>13:37</t>
  </si>
  <si>
    <t>Jayden Struble</t>
  </si>
  <si>
    <t>Fedor Svechkov</t>
  </si>
  <si>
    <t>Tyler Tucker</t>
  </si>
  <si>
    <t>Frank Vatrano</t>
  </si>
  <si>
    <t>Ozzy Wiesblatt</t>
  </si>
  <si>
    <t>Ryan Winterton</t>
  </si>
  <si>
    <t>Zach Aston-Reese</t>
  </si>
  <si>
    <t>Nathan Bastian</t>
  </si>
  <si>
    <t>8:15</t>
  </si>
  <si>
    <t>Simon Benoit</t>
  </si>
  <si>
    <t>Lian Bichsel</t>
  </si>
  <si>
    <t>15:49</t>
  </si>
  <si>
    <t>Sammy Blais</t>
  </si>
  <si>
    <t>66:17</t>
  </si>
  <si>
    <t>8:17</t>
  </si>
  <si>
    <t>Jacob Bryson</t>
  </si>
  <si>
    <t>Filip Chytil</t>
  </si>
  <si>
    <t>15:38</t>
  </si>
  <si>
    <t>Maxwell Crozier</t>
  </si>
  <si>
    <t>Nick DeSimone</t>
  </si>
  <si>
    <t>Mathew Dumba</t>
  </si>
  <si>
    <t>164:18</t>
  </si>
  <si>
    <t>14:56</t>
  </si>
  <si>
    <t>Joshua Dunne</t>
  </si>
  <si>
    <t>Adam Erne</t>
  </si>
  <si>
    <t>Trent Frederic</t>
  </si>
  <si>
    <t>11:44</t>
  </si>
  <si>
    <t>Jonah Gadjovich</t>
  </si>
  <si>
    <t>79:26</t>
  </si>
  <si>
    <t>7:57</t>
  </si>
  <si>
    <t>Frdrick Gaudreau</t>
  </si>
  <si>
    <t>Brendan Gaunce</t>
  </si>
  <si>
    <t>Luke Glendening</t>
  </si>
  <si>
    <t>Barclay Goodrow</t>
  </si>
  <si>
    <t>Jordan Greenway</t>
  </si>
  <si>
    <t>Isaac Howard</t>
  </si>
  <si>
    <t>9:30</t>
  </si>
  <si>
    <t>Albert Johansson</t>
  </si>
  <si>
    <t>Noah Juulsen</t>
  </si>
  <si>
    <t>Kaapo Kakko</t>
  </si>
  <si>
    <t>Marco Kasper</t>
  </si>
  <si>
    <t>Ville Koivunen</t>
  </si>
  <si>
    <t>Vladislav Kolyachonok</t>
  </si>
  <si>
    <t>Kaedan Korczak</t>
  </si>
  <si>
    <t>Yan Kuznetsov</t>
  </si>
  <si>
    <t>Scott Laughton</t>
  </si>
  <si>
    <t>Nick Leddy</t>
  </si>
  <si>
    <t>Ryan Lindgren</t>
  </si>
  <si>
    <t>Adam Lowry</t>
  </si>
  <si>
    <t>Nils Lundkvist</t>
  </si>
  <si>
    <t>Scott Mayfield</t>
  </si>
  <si>
    <t>Ben Meyers</t>
  </si>
  <si>
    <t>Michael Misa</t>
  </si>
  <si>
    <t>Connor Murphy</t>
  </si>
  <si>
    <t>Stefan Noesen</t>
  </si>
  <si>
    <t>Joel Nystrom</t>
  </si>
  <si>
    <t>Brayden Pachal</t>
  </si>
  <si>
    <t>Juuso Prssinen</t>
  </si>
  <si>
    <t>125:01</t>
  </si>
  <si>
    <t>8:56</t>
  </si>
  <si>
    <t>Adam Pelech</t>
  </si>
  <si>
    <t>Brett Pesce</t>
  </si>
  <si>
    <t>Noah Philp</t>
  </si>
  <si>
    <t>150:36</t>
  </si>
  <si>
    <t>10:02</t>
  </si>
  <si>
    <t>Matthew Robertson</t>
  </si>
  <si>
    <t>Nick Seeler</t>
  </si>
  <si>
    <t>Colton Sissons</t>
  </si>
  <si>
    <t>Cole Smith</t>
  </si>
  <si>
    <t>13:26</t>
  </si>
  <si>
    <t>Urho Vaakanainen</t>
  </si>
  <si>
    <t>Zach Whitecloud</t>
  </si>
  <si>
    <t>Adam Wilsby</t>
  </si>
  <si>
    <t>Alexandre Texier</t>
  </si>
  <si>
    <t>82:03</t>
  </si>
  <si>
    <t>10:15</t>
  </si>
  <si>
    <t>Jake Bean</t>
  </si>
  <si>
    <t>255:16</t>
  </si>
  <si>
    <t>15:57</t>
  </si>
  <si>
    <t>Brandon Carlo</t>
  </si>
  <si>
    <t>Declan Chisholm</t>
  </si>
  <si>
    <t>14:47</t>
  </si>
  <si>
    <t>Vincent Desharnais</t>
  </si>
  <si>
    <t>Sam Dickinson</t>
  </si>
  <si>
    <t>Curtis Douglas</t>
  </si>
  <si>
    <t>Matt Duchene</t>
  </si>
  <si>
    <t>14:44</t>
  </si>
  <si>
    <t>Sean Durzi</t>
  </si>
  <si>
    <t>Jack Finley</t>
  </si>
  <si>
    <t>9:02</t>
  </si>
  <si>
    <t>Marcus Foligno</t>
  </si>
  <si>
    <t>Samuel Girard</t>
  </si>
  <si>
    <t>Kaiden Guhle</t>
  </si>
  <si>
    <t>19:14</t>
  </si>
  <si>
    <t>Stephen Halliday</t>
  </si>
  <si>
    <t>Jansen Harkins</t>
  </si>
  <si>
    <t>Jordan Harris</t>
  </si>
  <si>
    <t>78:09</t>
  </si>
  <si>
    <t>Kasperi Kapanen</t>
  </si>
  <si>
    <t>Matthew Kessel</t>
  </si>
  <si>
    <t>Joel Kiviranta</t>
  </si>
  <si>
    <t>Brett Kulak</t>
  </si>
  <si>
    <t>Luke Kunin</t>
  </si>
  <si>
    <t>9:20</t>
  </si>
  <si>
    <t>Curtis Lazar</t>
  </si>
  <si>
    <t>9:47</t>
  </si>
  <si>
    <t>Charles-Alexis Legault</t>
  </si>
  <si>
    <t>106:09</t>
  </si>
  <si>
    <t>Jonathan Lekkerimki</t>
  </si>
  <si>
    <t>Kyle MacLean</t>
  </si>
  <si>
    <t>Josh Mahura</t>
  </si>
  <si>
    <t xml:space="preserve">Jeff Malott </t>
  </si>
  <si>
    <t>Jacob Markstrm</t>
  </si>
  <si>
    <t>Liam O'Brien</t>
  </si>
  <si>
    <t>Ryan Reaves</t>
  </si>
  <si>
    <t>7:34</t>
  </si>
  <si>
    <t>Pavol Regenda</t>
  </si>
  <si>
    <t>Scott Sabourin</t>
  </si>
  <si>
    <t>Cole Schwindt</t>
  </si>
  <si>
    <t>Donovan Sebrango</t>
  </si>
  <si>
    <t>30:27</t>
  </si>
  <si>
    <t>15:14</t>
  </si>
  <si>
    <t>Jonas Siegenthaler</t>
  </si>
  <si>
    <t>Brendan Smith</t>
  </si>
  <si>
    <t>Nico Sturm</t>
  </si>
  <si>
    <t>Chris Tanev</t>
  </si>
  <si>
    <t>Alexey Toropchenko</t>
  </si>
  <si>
    <t>11:30</t>
  </si>
  <si>
    <t>Marshall Warren</t>
  </si>
  <si>
    <t>12:08</t>
  </si>
  <si>
    <t>John Beecher</t>
  </si>
  <si>
    <t>62:26</t>
  </si>
  <si>
    <t>10:24</t>
  </si>
  <si>
    <t>Rodrigo Abols</t>
  </si>
  <si>
    <t>Jack Ahcan</t>
  </si>
  <si>
    <t>Jonathan Aspirot</t>
  </si>
  <si>
    <t>Jacob Bernard-Docker</t>
  </si>
  <si>
    <t>Jordan Binnington</t>
  </si>
  <si>
    <t>Teddy Blueger</t>
  </si>
  <si>
    <t>Sergei Bobrovsky</t>
  </si>
  <si>
    <t>Zach Bogosian</t>
  </si>
  <si>
    <t>Adam Boqvist</t>
  </si>
  <si>
    <t>Michael Brandsegg-Nygard</t>
  </si>
  <si>
    <t>112:03</t>
  </si>
  <si>
    <t>Harrison Brunicke</t>
  </si>
  <si>
    <t>15:43</t>
  </si>
  <si>
    <t>Brandon Bussi</t>
  </si>
  <si>
    <t>Ethan Cardwell</t>
  </si>
  <si>
    <t>Declan Carlile</t>
  </si>
  <si>
    <t>Dennis Cholowski</t>
  </si>
  <si>
    <t>Jake Christiansen</t>
  </si>
  <si>
    <t>Connor Clattenburg</t>
  </si>
  <si>
    <t>36:02</t>
  </si>
  <si>
    <t>7:12</t>
  </si>
  <si>
    <t>Sam Colangelo</t>
  </si>
  <si>
    <t>Joey Daccord</t>
  </si>
  <si>
    <t>Jared Davidson</t>
  </si>
  <si>
    <t>Luca Del Bel Belluz</t>
  </si>
  <si>
    <t>Colten Ellis</t>
  </si>
  <si>
    <t>Cale Fleury</t>
  </si>
  <si>
    <t>Parker Ford</t>
  </si>
  <si>
    <t>108:00</t>
  </si>
  <si>
    <t>9:49</t>
  </si>
  <si>
    <t>Marc Gatcomb</t>
  </si>
  <si>
    <t>Conor Geekie</t>
  </si>
  <si>
    <t>60:09</t>
  </si>
  <si>
    <t>John Gibson</t>
  </si>
  <si>
    <t>Patrick Giles</t>
  </si>
  <si>
    <t>26:36</t>
  </si>
  <si>
    <t>8:52</t>
  </si>
  <si>
    <t>Ryan Graves</t>
  </si>
  <si>
    <t>Noah Gregor</t>
  </si>
  <si>
    <t>Matvei Gridin</t>
  </si>
  <si>
    <t>Brian Halonen</t>
  </si>
  <si>
    <t>67:31</t>
  </si>
  <si>
    <t>7:30</t>
  </si>
  <si>
    <t>Travis Hamonic</t>
  </si>
  <si>
    <t>Danton Heinen</t>
  </si>
  <si>
    <t>Daemon Hunt</t>
  </si>
  <si>
    <t>Ivan Ivan</t>
  </si>
  <si>
    <t>Caleb Jones</t>
  </si>
  <si>
    <t>120:12</t>
  </si>
  <si>
    <t>17:10</t>
  </si>
  <si>
    <t>Pierre-Olivier Joseph</t>
  </si>
  <si>
    <t>Arthur Kaliyev</t>
  </si>
  <si>
    <t>Justin Kirkland</t>
  </si>
  <si>
    <t>Spencer Knight</t>
  </si>
  <si>
    <t>Joona Koppanen</t>
  </si>
  <si>
    <t>124:40</t>
  </si>
  <si>
    <t>12:28</t>
  </si>
  <si>
    <t>Sam Lafferty</t>
  </si>
  <si>
    <t>Patrik Laine</t>
  </si>
  <si>
    <t>63:02</t>
  </si>
  <si>
    <t>Brad Lambert</t>
  </si>
  <si>
    <t>36:06</t>
  </si>
  <si>
    <t>Maveric Lamoureux</t>
  </si>
  <si>
    <t>Kevin Lankinen</t>
  </si>
  <si>
    <t>Charlie Lindgren</t>
  </si>
  <si>
    <t>Ryan Lomberg</t>
  </si>
  <si>
    <t>Olle Lycksell</t>
  </si>
  <si>
    <t>Olli Mtt</t>
  </si>
  <si>
    <t>Logan Mailloux</t>
  </si>
  <si>
    <t>Brady Martin</t>
  </si>
  <si>
    <t>34:15</t>
  </si>
  <si>
    <t>11:25</t>
  </si>
  <si>
    <t>Brayden McNabb</t>
  </si>
  <si>
    <t>Dakota Mermis</t>
  </si>
  <si>
    <t>Elvis Merzikins</t>
  </si>
  <si>
    <t>Oscar Fisker Molgaard</t>
  </si>
  <si>
    <t>Scott Morrow</t>
  </si>
  <si>
    <t>Philippe Myers</t>
  </si>
  <si>
    <t>Bradly Nadeau</t>
  </si>
  <si>
    <t>Alex Nedeljkovic</t>
  </si>
  <si>
    <t>Tristen Nielsen</t>
  </si>
  <si>
    <t>25:13</t>
  </si>
  <si>
    <t>6:18</t>
  </si>
  <si>
    <t>Zayne Parekh</t>
  </si>
  <si>
    <t>14:46</t>
  </si>
  <si>
    <t>Gabriel Perreault</t>
  </si>
  <si>
    <t>Matt Rempe</t>
  </si>
  <si>
    <t>Justin Robidas</t>
  </si>
  <si>
    <t>21:22</t>
  </si>
  <si>
    <t>10:41</t>
  </si>
  <si>
    <t>Alexander Romanov</t>
  </si>
  <si>
    <t>19:27</t>
  </si>
  <si>
    <t>Kevin Rooney</t>
  </si>
  <si>
    <t>9:44</t>
  </si>
  <si>
    <t>Steven Santini</t>
  </si>
  <si>
    <t>Reid Schaefer</t>
  </si>
  <si>
    <t>Arturs Silovs</t>
  </si>
  <si>
    <t>Dmitriy Simashev</t>
  </si>
  <si>
    <t>371:21</t>
  </si>
  <si>
    <t>Landon Slaggert</t>
  </si>
  <si>
    <t>Elmer Sderblom</t>
  </si>
  <si>
    <t>Cam Talbot</t>
  </si>
  <si>
    <t>Brandon Tanev</t>
  </si>
  <si>
    <t>Logan Thompson</t>
  </si>
  <si>
    <t>Philip Tomasino</t>
  </si>
  <si>
    <t>109:33</t>
  </si>
  <si>
    <t>Maxim Tsyplakov</t>
  </si>
  <si>
    <t>9:29</t>
  </si>
  <si>
    <t>Riley Tufte</t>
  </si>
  <si>
    <t>46:41</t>
  </si>
  <si>
    <t>11:40</t>
  </si>
  <si>
    <t>Vtek Vanek</t>
  </si>
  <si>
    <t>Karel Vejmelka</t>
  </si>
  <si>
    <t>Joe Veleno</t>
  </si>
  <si>
    <t>Scott Wedgewood</t>
  </si>
  <si>
    <t>Arber Xhekaj</t>
  </si>
  <si>
    <t>Florian Xhekaj</t>
  </si>
  <si>
    <t>47:59</t>
  </si>
  <si>
    <t>9:36</t>
  </si>
  <si>
    <t>Egor Zamula</t>
  </si>
  <si>
    <t>182:23</t>
  </si>
  <si>
    <t>Andrew Agozzino</t>
  </si>
  <si>
    <t>6:08</t>
  </si>
  <si>
    <t>Jake Allen</t>
  </si>
  <si>
    <t>Nils man</t>
  </si>
  <si>
    <t>17:19</t>
  </si>
  <si>
    <t>8:40</t>
  </si>
  <si>
    <t>Frederik Andersen</t>
  </si>
  <si>
    <t>Justus Annunen</t>
  </si>
  <si>
    <t>Yaroslav Askarov</t>
  </si>
  <si>
    <t>Owen Beck</t>
  </si>
  <si>
    <t>Brett Berard</t>
  </si>
  <si>
    <t>Mackenzie Blackwood</t>
  </si>
  <si>
    <t>Matj Blmel</t>
  </si>
  <si>
    <t>43:28</t>
  </si>
  <si>
    <t>Tristan Broz</t>
  </si>
  <si>
    <t>Danil But</t>
  </si>
  <si>
    <t>Michael Callahan</t>
  </si>
  <si>
    <t>64:57</t>
  </si>
  <si>
    <t>Seamus Casey</t>
  </si>
  <si>
    <t>36:01</t>
  </si>
  <si>
    <t>Mitchell Chaffee</t>
  </si>
  <si>
    <t>66:26</t>
  </si>
  <si>
    <t>Nikita Chibrikov</t>
  </si>
  <si>
    <t>73:34</t>
  </si>
  <si>
    <t>9:12</t>
  </si>
  <si>
    <t>Jaroslav Chmelar</t>
  </si>
  <si>
    <t>Connor Clifton</t>
  </si>
  <si>
    <t>Eric Comrie</t>
  </si>
  <si>
    <t>Devin Cooley</t>
  </si>
  <si>
    <t>Braeden Cootes</t>
  </si>
  <si>
    <t>32:20</t>
  </si>
  <si>
    <t>Angus Crookshank</t>
  </si>
  <si>
    <t>Evgenii Dadonov</t>
  </si>
  <si>
    <t>Justin Danforth</t>
  </si>
  <si>
    <t>46:49</t>
  </si>
  <si>
    <t>Nico Daws</t>
  </si>
  <si>
    <t>60:00</t>
  </si>
  <si>
    <t>Ethan Del Mastro</t>
  </si>
  <si>
    <t>Thatcher Demko</t>
  </si>
  <si>
    <t>Nicolas Deslauriers</t>
  </si>
  <si>
    <t>Casey DeSmith</t>
  </si>
  <si>
    <t>Jack Devine</t>
  </si>
  <si>
    <t>50:38</t>
  </si>
  <si>
    <t>8:26</t>
  </si>
  <si>
    <t>Jakub Dobes</t>
  </si>
  <si>
    <t>Luk Dostl</t>
  </si>
  <si>
    <t>Pierre-Luc Dubois</t>
  </si>
  <si>
    <t>Adam Engstrom</t>
  </si>
  <si>
    <t>12:06</t>
  </si>
  <si>
    <t>Samuel Ersson</t>
  </si>
  <si>
    <t>Domenick Fensore</t>
  </si>
  <si>
    <t>Haydn Fleury</t>
  </si>
  <si>
    <t>14:52</t>
  </si>
  <si>
    <t>Derek Forbort</t>
  </si>
  <si>
    <t>27:52</t>
  </si>
  <si>
    <t>13:56</t>
  </si>
  <si>
    <t>Anton Forsberg</t>
  </si>
  <si>
    <t>Jacob Gaucher</t>
  </si>
  <si>
    <t>26:18</t>
  </si>
  <si>
    <t>8:46</t>
  </si>
  <si>
    <t>Mason Geertsen</t>
  </si>
  <si>
    <t>4:07</t>
  </si>
  <si>
    <t>Dennis Gilbert</t>
  </si>
  <si>
    <t>13:50</t>
  </si>
  <si>
    <t>Adam Ginning</t>
  </si>
  <si>
    <t>76:42</t>
  </si>
  <si>
    <t>15:20</t>
  </si>
  <si>
    <t>Jet Greaves</t>
  </si>
  <si>
    <t>Philipp Grubauer</t>
  </si>
  <si>
    <t>Carl Grundstrm</t>
  </si>
  <si>
    <t>Erik Gudbranson</t>
  </si>
  <si>
    <t>Erik Gustafsson</t>
  </si>
  <si>
    <t>Filip Gustavsson</t>
  </si>
  <si>
    <t>Hunter Haight</t>
  </si>
  <si>
    <t>Carter Hart</t>
  </si>
  <si>
    <t>Garnet Hathaway</t>
  </si>
  <si>
    <t>John Hayden</t>
  </si>
  <si>
    <t>30:14</t>
  </si>
  <si>
    <t>10:05</t>
  </si>
  <si>
    <t>Samuel Helenius</t>
  </si>
  <si>
    <t>Connor Hellebuyck</t>
  </si>
  <si>
    <t>Dennis Hildeby</t>
  </si>
  <si>
    <t>Adin Hill</t>
  </si>
  <si>
    <t>Hayden Hodgson</t>
  </si>
  <si>
    <t>57:15</t>
  </si>
  <si>
    <t>6:22</t>
  </si>
  <si>
    <t>Joel Hofer</t>
  </si>
  <si>
    <t>Alexander Holtz</t>
  </si>
  <si>
    <t>Dryden Hunt</t>
  </si>
  <si>
    <t>Ville Husso</t>
  </si>
  <si>
    <t>Bokondji Imama</t>
  </si>
  <si>
    <t>7:39</t>
  </si>
  <si>
    <t>Vincent Iorio</t>
  </si>
  <si>
    <t>Tristan Jarry</t>
  </si>
  <si>
    <t>David Jiek</t>
  </si>
  <si>
    <t>Jonas Johansson</t>
  </si>
  <si>
    <t>Ryan Johnson</t>
  </si>
  <si>
    <t>27:00</t>
  </si>
  <si>
    <t>9:00</t>
  </si>
  <si>
    <t>Ben Jones</t>
  </si>
  <si>
    <t>David Kmpf</t>
  </si>
  <si>
    <t>15:07</t>
  </si>
  <si>
    <t>Aleksanteri Kaskimaki</t>
  </si>
  <si>
    <t>Boris Katchouk</t>
  </si>
  <si>
    <t>36:34</t>
  </si>
  <si>
    <t>12:11</t>
  </si>
  <si>
    <t>Joakim Kemell</t>
  </si>
  <si>
    <t>Rory Kerins</t>
  </si>
  <si>
    <t>31:42</t>
  </si>
  <si>
    <t>15:51</t>
  </si>
  <si>
    <t>Michael Kesselring</t>
  </si>
  <si>
    <t>Pyotr Kochetkov</t>
  </si>
  <si>
    <t>Aleksei Kolosov</t>
  </si>
  <si>
    <t>Joonas Korpisalo</t>
  </si>
  <si>
    <t>Darcy Kuemper</t>
  </si>
  <si>
    <t>Dmitry Kulikov</t>
  </si>
  <si>
    <t>21:33</t>
  </si>
  <si>
    <t>Joseph LaBate</t>
  </si>
  <si>
    <t>9:32</t>
  </si>
  <si>
    <t>Shane Lachance</t>
  </si>
  <si>
    <t>7:25</t>
  </si>
  <si>
    <t>Juho Lammikko</t>
  </si>
  <si>
    <t>9:53</t>
  </si>
  <si>
    <t>Nathan Legare</t>
  </si>
  <si>
    <t>Carl Lindbom</t>
  </si>
  <si>
    <t>Jett Luchanko</t>
  </si>
  <si>
    <t>35:52</t>
  </si>
  <si>
    <t>8:58</t>
  </si>
  <si>
    <t>Matt Luff</t>
  </si>
  <si>
    <t>Ukko-Pekka Luukkonen</t>
  </si>
  <si>
    <t>Alex Lyon</t>
  </si>
  <si>
    <t>Kurtis MacDermid</t>
  </si>
  <si>
    <t>Zack MacEwen</t>
  </si>
  <si>
    <t>19:00</t>
  </si>
  <si>
    <t>6:20</t>
  </si>
  <si>
    <t>Taylor Makar</t>
  </si>
  <si>
    <t>Victor Mancini</t>
  </si>
  <si>
    <t>10:32</t>
  </si>
  <si>
    <t>Dysin Mayo</t>
  </si>
  <si>
    <t>Rutger McGroarty</t>
  </si>
  <si>
    <t>Dylan McIlrath</t>
  </si>
  <si>
    <t>Leevi Merilainen</t>
  </si>
  <si>
    <t>Georgii Merkulov</t>
  </si>
  <si>
    <t>10:35</t>
  </si>
  <si>
    <t>Zach Metsa</t>
  </si>
  <si>
    <t>Thomas Milic</t>
  </si>
  <si>
    <t>138:38</t>
  </si>
  <si>
    <t>46:13</t>
  </si>
  <si>
    <t>Colin Miller</t>
  </si>
  <si>
    <t>Trent Miner</t>
  </si>
  <si>
    <t>Daniil Miromanov</t>
  </si>
  <si>
    <t>Travis Mitchell</t>
  </si>
  <si>
    <t>Sam Montembeault</t>
  </si>
  <si>
    <t>Sam Morton</t>
  </si>
  <si>
    <t>28:00</t>
  </si>
  <si>
    <t>Jacob Moverare</t>
  </si>
  <si>
    <t>Petr Mrzek</t>
  </si>
  <si>
    <t>Sergey Murashov</t>
  </si>
  <si>
    <t>Matt Murray</t>
  </si>
  <si>
    <t>216:53</t>
  </si>
  <si>
    <t>43:23</t>
  </si>
  <si>
    <t>Jake Oettinger</t>
  </si>
  <si>
    <t>Liam Ohgren</t>
  </si>
  <si>
    <t>Zack Ostapchuk</t>
  </si>
  <si>
    <t>Brennan Othmann</t>
  </si>
  <si>
    <t>Ji Patera</t>
  </si>
  <si>
    <t>56:49</t>
  </si>
  <si>
    <t>Jakob Pelletier</t>
  </si>
  <si>
    <t>Calvin Pickard</t>
  </si>
  <si>
    <t>Owen Pickering</t>
  </si>
  <si>
    <t>48:23</t>
  </si>
  <si>
    <t>Luca Pinelli</t>
  </si>
  <si>
    <t>41:18</t>
  </si>
  <si>
    <t>Tyler Pitlick</t>
  </si>
  <si>
    <t>Jason Polin</t>
  </si>
  <si>
    <t>11:57</t>
  </si>
  <si>
    <t>5:59</t>
  </si>
  <si>
    <t>Samuel Poulin</t>
  </si>
  <si>
    <t>27:38</t>
  </si>
  <si>
    <t>13:49</t>
  </si>
  <si>
    <t>Cayden Primeau</t>
  </si>
  <si>
    <t>181:28</t>
  </si>
  <si>
    <t>60:29</t>
  </si>
  <si>
    <t>Jonathan Quick</t>
  </si>
  <si>
    <t>Jacob Quillan</t>
  </si>
  <si>
    <t>Alec Regula</t>
  </si>
  <si>
    <t>David Rittich</t>
  </si>
  <si>
    <t>Joshua Roy</t>
  </si>
  <si>
    <t>29:22</t>
  </si>
  <si>
    <t>Elias Salomonsson</t>
  </si>
  <si>
    <t>Juuse Saros</t>
  </si>
  <si>
    <t>Akira Schmid</t>
  </si>
  <si>
    <t>Igor Shesterkin</t>
  </si>
  <si>
    <t>Hunter Skinner</t>
  </si>
  <si>
    <t>Stuart Skinner</t>
  </si>
  <si>
    <t>Jaccob Slavin</t>
  </si>
  <si>
    <t>18:32</t>
  </si>
  <si>
    <t>Arvid Sderblom</t>
  </si>
  <si>
    <t>Victor Sderstrm</t>
  </si>
  <si>
    <t>Ilya Solovyov</t>
  </si>
  <si>
    <t>Ilya Sorokin</t>
  </si>
  <si>
    <t>Anthony Stolarz</t>
  </si>
  <si>
    <t>Jack Studnicka</t>
  </si>
  <si>
    <t>Jeremy Swayman</t>
  </si>
  <si>
    <t>Daniil Tarasov</t>
  </si>
  <si>
    <t>Nikita Tolopilo</t>
  </si>
  <si>
    <t>Linus Ullmark</t>
  </si>
  <si>
    <t>Andrei Vasilevskiy</t>
  </si>
  <si>
    <t>Jeffrey Viel</t>
  </si>
  <si>
    <t>Daniel Vlada</t>
  </si>
  <si>
    <t>Jesper Wallstedt</t>
  </si>
  <si>
    <t>Colton White</t>
  </si>
  <si>
    <t>Dustin Wolf</t>
  </si>
  <si>
    <t>Joseph Woll</t>
  </si>
  <si>
    <t>League Average</t>
  </si>
  <si>
    <t>16:01</t>
  </si>
  <si>
    <t>14:39</t>
  </si>
  <si>
    <t>9:08</t>
  </si>
  <si>
    <t>20:48</t>
  </si>
  <si>
    <t>14:15</t>
  </si>
  <si>
    <t>8:43</t>
  </si>
  <si>
    <t>143:18</t>
  </si>
  <si>
    <t>13:02</t>
  </si>
  <si>
    <t>Nils Hglander</t>
  </si>
  <si>
    <t>18:21</t>
  </si>
  <si>
    <t>16:53</t>
  </si>
  <si>
    <t>13:38</t>
  </si>
  <si>
    <t>15:40</t>
  </si>
  <si>
    <t>21:05</t>
  </si>
  <si>
    <t>21:03</t>
  </si>
  <si>
    <t>11:27</t>
  </si>
  <si>
    <t>Vyacheslav Buteyets</t>
  </si>
  <si>
    <t>Ty Murchison</t>
  </si>
  <si>
    <t>19:05</t>
  </si>
  <si>
    <t>17:26</t>
  </si>
  <si>
    <t>19:07</t>
  </si>
  <si>
    <t>20:01</t>
  </si>
  <si>
    <t>12:09</t>
  </si>
  <si>
    <t>10:58</t>
  </si>
  <si>
    <t>489:40</t>
  </si>
  <si>
    <t>16:19</t>
  </si>
  <si>
    <t>73:16</t>
  </si>
  <si>
    <t>Hunter Brzustewicz</t>
  </si>
  <si>
    <t>15:47</t>
  </si>
  <si>
    <t>8.0</t>
  </si>
  <si>
    <t>18:28</t>
  </si>
  <si>
    <t>16:07</t>
  </si>
  <si>
    <t>713:08</t>
  </si>
  <si>
    <t>27:26</t>
  </si>
  <si>
    <t>18:09</t>
  </si>
  <si>
    <t>572:19</t>
  </si>
  <si>
    <t>12:26</t>
  </si>
  <si>
    <t>445:59</t>
  </si>
  <si>
    <t>21:21</t>
  </si>
  <si>
    <t>179:45</t>
  </si>
  <si>
    <t>138:51</t>
  </si>
  <si>
    <t>548:52</t>
  </si>
  <si>
    <t>17:42</t>
  </si>
  <si>
    <t>87:10</t>
  </si>
  <si>
    <t>Robby Fabbri</t>
  </si>
  <si>
    <t>Hugh McGing</t>
  </si>
  <si>
    <t>Jacob Fowler</t>
  </si>
  <si>
    <t>810:45</t>
  </si>
  <si>
    <t>57:55</t>
  </si>
  <si>
    <t>51:58</t>
  </si>
  <si>
    <t>Trevor Kuntar</t>
  </si>
  <si>
    <t>5:12</t>
  </si>
  <si>
    <t>171:36</t>
  </si>
  <si>
    <t>Xavier Parent</t>
  </si>
  <si>
    <t>1316:39</t>
  </si>
  <si>
    <t>Henry Thrun</t>
  </si>
  <si>
    <t>14:24</t>
  </si>
  <si>
    <t>15:26</t>
  </si>
  <si>
    <t>11:55</t>
  </si>
  <si>
    <t>13:44</t>
  </si>
  <si>
    <t>236:41</t>
  </si>
  <si>
    <t>10:46</t>
  </si>
  <si>
    <t>Artur Akhtyamov</t>
  </si>
  <si>
    <t>Nicolas Aub-Kubel</t>
  </si>
  <si>
    <t>Brandon Halverson</t>
  </si>
  <si>
    <t>0:06</t>
  </si>
  <si>
    <t>Matt Kiersted</t>
  </si>
  <si>
    <t>Nick Lardis</t>
  </si>
  <si>
    <t>45:01</t>
  </si>
  <si>
    <t>15:00</t>
  </si>
  <si>
    <t>Dominic Toninato</t>
  </si>
  <si>
    <t>Bogdan Trineyev</t>
  </si>
  <si>
    <t>16:21</t>
  </si>
  <si>
    <t>216:56</t>
  </si>
  <si>
    <t>Max Jones</t>
  </si>
  <si>
    <t>Jacob Melanson</t>
  </si>
  <si>
    <t>281:17</t>
  </si>
  <si>
    <t>56:15</t>
  </si>
  <si>
    <t>32:37</t>
  </si>
  <si>
    <t>10:42</t>
  </si>
  <si>
    <t>Igor Chernyshov</t>
  </si>
  <si>
    <t>John Leonard</t>
  </si>
  <si>
    <t>226:18</t>
  </si>
  <si>
    <t>103:50</t>
  </si>
  <si>
    <t>47:08</t>
  </si>
  <si>
    <t>7:51</t>
  </si>
  <si>
    <t>32:42</t>
  </si>
  <si>
    <t>Quinn Hutson</t>
  </si>
  <si>
    <t>Rasmus Ristolainen</t>
  </si>
  <si>
    <t>Jack St. Ivany</t>
  </si>
  <si>
    <t>Otto Stenberg</t>
  </si>
  <si>
    <t>20:50</t>
  </si>
  <si>
    <t>491:34</t>
  </si>
  <si>
    <t>634:48</t>
  </si>
  <si>
    <t>151:41</t>
  </si>
  <si>
    <t>48:32</t>
  </si>
  <si>
    <t>45:40</t>
  </si>
  <si>
    <t>Carson Lambos</t>
  </si>
  <si>
    <t>Riley Stillman</t>
  </si>
  <si>
    <t>59:27</t>
  </si>
  <si>
    <t>68:51</t>
  </si>
  <si>
    <t>8:36</t>
  </si>
  <si>
    <t>Alexander Kerfoot</t>
  </si>
  <si>
    <t>42:52</t>
  </si>
  <si>
    <t>8:34</t>
  </si>
  <si>
    <t>17:53</t>
  </si>
  <si>
    <t>19:37</t>
  </si>
  <si>
    <t>17:28</t>
  </si>
  <si>
    <t>15:39</t>
  </si>
  <si>
    <t>15:53</t>
  </si>
  <si>
    <t>15:29</t>
  </si>
  <si>
    <t>18:13</t>
  </si>
  <si>
    <t>18:42</t>
  </si>
  <si>
    <t>17:32</t>
  </si>
  <si>
    <t>13:29</t>
  </si>
  <si>
    <t>15:12</t>
  </si>
  <si>
    <t>14:20</t>
  </si>
  <si>
    <t>17:34</t>
  </si>
  <si>
    <t>16:23</t>
  </si>
  <si>
    <t>9:57</t>
  </si>
  <si>
    <t>14:32</t>
  </si>
  <si>
    <t>298:42</t>
  </si>
  <si>
    <t>10:18</t>
  </si>
  <si>
    <t>12:14</t>
  </si>
  <si>
    <t>15:04</t>
  </si>
  <si>
    <t>11:34</t>
  </si>
  <si>
    <t>11:47</t>
  </si>
  <si>
    <t>9:37</t>
  </si>
  <si>
    <t>Denver Barkey</t>
  </si>
  <si>
    <t>69:08</t>
  </si>
  <si>
    <t>490:09</t>
  </si>
  <si>
    <t>54:28</t>
  </si>
  <si>
    <t>Ivan Miroshnichenko</t>
  </si>
  <si>
    <t>8:12</t>
  </si>
  <si>
    <t>95:03</t>
  </si>
  <si>
    <t>24:11</t>
  </si>
  <si>
    <t>17:58</t>
  </si>
  <si>
    <t>11:51</t>
  </si>
  <si>
    <t>16:56</t>
  </si>
  <si>
    <t>13:14</t>
  </si>
  <si>
    <t>13:40</t>
  </si>
  <si>
    <t>12:32</t>
  </si>
  <si>
    <t>109:25</t>
  </si>
  <si>
    <t>13:41</t>
  </si>
  <si>
    <t>Connor Ingram</t>
  </si>
  <si>
    <t>9:39</t>
  </si>
  <si>
    <t>16:30</t>
  </si>
  <si>
    <t>22:06</t>
  </si>
  <si>
    <t>256:55</t>
  </si>
  <si>
    <t>13:36</t>
  </si>
  <si>
    <t>114:04</t>
  </si>
  <si>
    <t>21:11</t>
  </si>
  <si>
    <t>15:52</t>
  </si>
  <si>
    <t>14:35</t>
  </si>
  <si>
    <t>11:49</t>
  </si>
  <si>
    <t>308:05</t>
  </si>
  <si>
    <t>9:01</t>
  </si>
  <si>
    <t>94:48</t>
  </si>
  <si>
    <t>83:31</t>
  </si>
  <si>
    <t>11:56</t>
  </si>
  <si>
    <t>Pheonix Copley</t>
  </si>
  <si>
    <t>58:34</t>
  </si>
  <si>
    <t>20:42</t>
  </si>
  <si>
    <t>20:55</t>
  </si>
  <si>
    <t>10:20</t>
  </si>
  <si>
    <t>22:35</t>
  </si>
  <si>
    <t>14:04</t>
  </si>
  <si>
    <t>11:54</t>
  </si>
  <si>
    <t>469:05</t>
  </si>
  <si>
    <t>11:29</t>
  </si>
  <si>
    <t>163:02</t>
  </si>
  <si>
    <t>5:58</t>
  </si>
  <si>
    <t>9:11</t>
  </si>
  <si>
    <t>104:02</t>
  </si>
  <si>
    <t>45:59</t>
  </si>
  <si>
    <t>Xavier Bourgault</t>
  </si>
  <si>
    <t>59:00</t>
  </si>
  <si>
    <t>16:54</t>
  </si>
  <si>
    <t>443:33</t>
  </si>
  <si>
    <t>11:03</t>
  </si>
  <si>
    <t>197:42</t>
  </si>
  <si>
    <t>Maxim Groshev</t>
  </si>
  <si>
    <t>20:02</t>
  </si>
  <si>
    <t>22:11</t>
  </si>
  <si>
    <t>18:45</t>
  </si>
  <si>
    <t>20:14</t>
  </si>
  <si>
    <t>18:08</t>
  </si>
  <si>
    <t>18:59</t>
  </si>
  <si>
    <t>19:11</t>
  </si>
  <si>
    <t>19:23</t>
  </si>
  <si>
    <t>20:43</t>
  </si>
  <si>
    <t>17:39</t>
  </si>
  <si>
    <t>22:47</t>
  </si>
  <si>
    <t>16:29</t>
  </si>
  <si>
    <t>18:49</t>
  </si>
  <si>
    <t>15:13</t>
  </si>
  <si>
    <t>13:01</t>
  </si>
  <si>
    <t>16:50</t>
  </si>
  <si>
    <t>14:07</t>
  </si>
  <si>
    <t>19:20</t>
  </si>
  <si>
    <t>13:42</t>
  </si>
  <si>
    <t>23:29</t>
  </si>
  <si>
    <t>14:16</t>
  </si>
  <si>
    <t>15:48</t>
  </si>
  <si>
    <t>16:15</t>
  </si>
  <si>
    <t>12:02</t>
  </si>
  <si>
    <t>20:12</t>
  </si>
  <si>
    <t>14:27</t>
  </si>
  <si>
    <t>17:00</t>
  </si>
  <si>
    <t>11:36</t>
  </si>
  <si>
    <t>12:44</t>
  </si>
  <si>
    <t>12:01</t>
  </si>
  <si>
    <t>14:06</t>
  </si>
  <si>
    <t>12:41</t>
  </si>
  <si>
    <t>18:12</t>
  </si>
  <si>
    <t>14:53</t>
  </si>
  <si>
    <t>539:23</t>
  </si>
  <si>
    <t>17:35</t>
  </si>
  <si>
    <t>20:23</t>
  </si>
  <si>
    <t>15:11</t>
  </si>
  <si>
    <t>14:05</t>
  </si>
  <si>
    <t>11:05</t>
  </si>
  <si>
    <t>13:59</t>
  </si>
  <si>
    <t>10:17</t>
  </si>
  <si>
    <t>91:49</t>
  </si>
  <si>
    <t>60:34</t>
  </si>
  <si>
    <t>12:42</t>
  </si>
  <si>
    <t>166:10</t>
  </si>
  <si>
    <t>14:10</t>
  </si>
  <si>
    <t>64:17</t>
  </si>
  <si>
    <t>4:01</t>
  </si>
  <si>
    <t>17:09</t>
  </si>
  <si>
    <t>8:35</t>
  </si>
  <si>
    <t>54:23</t>
  </si>
  <si>
    <t>137:56</t>
  </si>
  <si>
    <t>Marcus Hgberg</t>
  </si>
  <si>
    <t>18:46</t>
  </si>
  <si>
    <t>23:34</t>
  </si>
  <si>
    <t>939:36</t>
  </si>
  <si>
    <t>24:59</t>
  </si>
  <si>
    <t>17:17</t>
  </si>
  <si>
    <t>11:39</t>
  </si>
  <si>
    <t>11:45</t>
  </si>
  <si>
    <t>18:34</t>
  </si>
  <si>
    <t>Justin Dowling</t>
  </si>
  <si>
    <t>Jaycob Megna</t>
  </si>
  <si>
    <t>19:25</t>
  </si>
  <si>
    <t>18:20</t>
  </si>
  <si>
    <t>19:01</t>
  </si>
  <si>
    <t>16:35</t>
  </si>
  <si>
    <t>17:29</t>
  </si>
  <si>
    <t>15:46</t>
  </si>
  <si>
    <t>23:09</t>
  </si>
  <si>
    <t>14:23</t>
  </si>
  <si>
    <t>20:59</t>
  </si>
  <si>
    <t>13:15</t>
  </si>
  <si>
    <t>309:29</t>
  </si>
  <si>
    <t>10:19</t>
  </si>
  <si>
    <t>9:38</t>
  </si>
  <si>
    <t>9:03</t>
  </si>
  <si>
    <t>245:29</t>
  </si>
  <si>
    <t>183:03</t>
  </si>
  <si>
    <t>31:59</t>
  </si>
  <si>
    <t>59:05</t>
  </si>
  <si>
    <t>Matt Benning</t>
  </si>
  <si>
    <t>Cole McWard</t>
  </si>
  <si>
    <t>18:26</t>
  </si>
  <si>
    <t>12:03</t>
  </si>
  <si>
    <t>19:44</t>
  </si>
  <si>
    <t>342:29</t>
  </si>
  <si>
    <t>12:34</t>
  </si>
  <si>
    <t>60:05</t>
  </si>
  <si>
    <t>18:33</t>
  </si>
  <si>
    <t>707:10</t>
  </si>
  <si>
    <t>604:57</t>
  </si>
  <si>
    <t>12:24</t>
  </si>
  <si>
    <t>11:00</t>
  </si>
  <si>
    <t>21:20</t>
  </si>
  <si>
    <t>10:57</t>
  </si>
  <si>
    <t>281:53</t>
  </si>
  <si>
    <t>169:02</t>
  </si>
  <si>
    <t>9:13</t>
  </si>
  <si>
    <t>54:48</t>
  </si>
  <si>
    <t>Anton Blidh</t>
  </si>
  <si>
    <t>236:45</t>
  </si>
  <si>
    <t>515:53</t>
  </si>
  <si>
    <t>51:35</t>
  </si>
  <si>
    <t>Hunter Shepard</t>
  </si>
  <si>
    <t>35:47</t>
  </si>
  <si>
    <t>2006:00</t>
  </si>
  <si>
    <t>8:18</t>
  </si>
  <si>
    <t>Brett Leason</t>
  </si>
  <si>
    <t>Andre Lee</t>
  </si>
  <si>
    <t>William Stromgren</t>
  </si>
  <si>
    <t>Taylor Ward</t>
  </si>
  <si>
    <t>748:10</t>
  </si>
  <si>
    <t>480:40</t>
  </si>
  <si>
    <t>12:12</t>
  </si>
  <si>
    <t>7:17</t>
  </si>
  <si>
    <t>11:09</t>
  </si>
  <si>
    <t>446:40</t>
  </si>
  <si>
    <t>108:11</t>
  </si>
  <si>
    <t>193:52</t>
  </si>
  <si>
    <t>8:05</t>
  </si>
  <si>
    <t>Dylan Coghlan</t>
  </si>
  <si>
    <t>659:18</t>
  </si>
  <si>
    <t>54:57</t>
  </si>
  <si>
    <t>41:12</t>
  </si>
  <si>
    <t>864:08</t>
  </si>
  <si>
    <t>54:01</t>
  </si>
  <si>
    <t>Mikael Pyyhtia</t>
  </si>
  <si>
    <t>48:08</t>
  </si>
  <si>
    <t>Mads Sgaard</t>
  </si>
  <si>
    <t>Tim Washe</t>
  </si>
  <si>
    <t>Danil Zhilkin</t>
  </si>
  <si>
    <t>15:35</t>
  </si>
  <si>
    <t>Drew Commesso</t>
  </si>
  <si>
    <t>Kevin Korchinski</t>
  </si>
  <si>
    <t>796:20</t>
  </si>
  <si>
    <t>771:44</t>
  </si>
  <si>
    <t>580:15</t>
  </si>
  <si>
    <t>58:05</t>
  </si>
  <si>
    <t>1115:52</t>
  </si>
  <si>
    <t>55:48</t>
  </si>
  <si>
    <t>27:57</t>
  </si>
  <si>
    <t>59:09</t>
  </si>
  <si>
    <t>120:00</t>
  </si>
  <si>
    <t>Spencer Martin</t>
  </si>
  <si>
    <t>T.J. Tynan</t>
  </si>
  <si>
    <t>8:13</t>
  </si>
  <si>
    <t>Sandis Vilmanis</t>
  </si>
  <si>
    <t>10.0</t>
  </si>
  <si>
    <t>394:57</t>
  </si>
  <si>
    <t>422:34</t>
  </si>
  <si>
    <t>Johnathan Kovacevic</t>
  </si>
  <si>
    <t>58:46</t>
  </si>
  <si>
    <t>206:22</t>
  </si>
  <si>
    <t>59:58</t>
  </si>
  <si>
    <t>895:59</t>
  </si>
  <si>
    <t>8:55</t>
  </si>
  <si>
    <t>137:50</t>
  </si>
  <si>
    <t>58:15</t>
  </si>
  <si>
    <t>236:34</t>
  </si>
  <si>
    <t>127:17</t>
  </si>
  <si>
    <t>7:04</t>
  </si>
  <si>
    <t>20:15</t>
  </si>
  <si>
    <t>19:09</t>
  </si>
  <si>
    <t>19:43</t>
  </si>
  <si>
    <t>21:52</t>
  </si>
  <si>
    <t>16:45</t>
  </si>
  <si>
    <t>16:36</t>
  </si>
  <si>
    <t>23:54</t>
  </si>
  <si>
    <t>14:11</t>
  </si>
  <si>
    <t>16:09</t>
  </si>
  <si>
    <t>16:48</t>
  </si>
  <si>
    <t>21:54</t>
  </si>
  <si>
    <t>16:05</t>
  </si>
  <si>
    <t>17:01</t>
  </si>
  <si>
    <t>22:31</t>
  </si>
  <si>
    <t>13:31</t>
  </si>
  <si>
    <t>17:37</t>
  </si>
  <si>
    <t>14:29</t>
  </si>
  <si>
    <t>15:01</t>
  </si>
  <si>
    <t>20:57</t>
  </si>
  <si>
    <t>16:18</t>
  </si>
  <si>
    <t>12:31</t>
  </si>
  <si>
    <t>19:10</t>
  </si>
  <si>
    <t>22:25</t>
  </si>
  <si>
    <t>11:43</t>
  </si>
  <si>
    <t>18:55</t>
  </si>
  <si>
    <t>12:07</t>
  </si>
  <si>
    <t>16:13</t>
  </si>
  <si>
    <t>14:55</t>
  </si>
  <si>
    <t>14:37</t>
  </si>
  <si>
    <t>355:27</t>
  </si>
  <si>
    <t>Egor Chinakhov</t>
  </si>
  <si>
    <t>911:36</t>
  </si>
  <si>
    <t>11:38</t>
  </si>
  <si>
    <t>11:10</t>
  </si>
  <si>
    <t>12:20</t>
  </si>
  <si>
    <t>11:28</t>
  </si>
  <si>
    <t>14:41</t>
  </si>
  <si>
    <t>20:51</t>
  </si>
  <si>
    <t>11:18</t>
  </si>
  <si>
    <t>14:42</t>
  </si>
  <si>
    <t>8:49</t>
  </si>
  <si>
    <t>10:27</t>
  </si>
  <si>
    <t>18:25</t>
  </si>
  <si>
    <t>10:50</t>
  </si>
  <si>
    <t>13:17</t>
  </si>
  <si>
    <t>10:13</t>
  </si>
  <si>
    <t>25:12</t>
  </si>
  <si>
    <t>8:24</t>
  </si>
  <si>
    <t>59:20</t>
  </si>
  <si>
    <t>59:47</t>
  </si>
  <si>
    <t>32:57</t>
  </si>
  <si>
    <t>8:14</t>
  </si>
  <si>
    <t>24:10</t>
  </si>
  <si>
    <t>16:06</t>
  </si>
  <si>
    <t>22:29</t>
  </si>
  <si>
    <t>24:14</t>
  </si>
  <si>
    <t>13:51</t>
  </si>
  <si>
    <t>14:30</t>
  </si>
  <si>
    <t>21:10</t>
  </si>
  <si>
    <t>17:07</t>
  </si>
  <si>
    <t>10:44</t>
  </si>
  <si>
    <t>16:43</t>
  </si>
  <si>
    <t>11:20</t>
  </si>
  <si>
    <t>20:22</t>
  </si>
  <si>
    <t>15:45</t>
  </si>
  <si>
    <t>18:04</t>
  </si>
  <si>
    <t>56:08</t>
  </si>
  <si>
    <t>58:32</t>
  </si>
  <si>
    <t>19:45</t>
  </si>
  <si>
    <t>16:42</t>
  </si>
  <si>
    <t>15:55</t>
  </si>
  <si>
    <t>22:52</t>
  </si>
  <si>
    <t>18:39</t>
  </si>
  <si>
    <t>17:43</t>
  </si>
  <si>
    <t>23:42</t>
  </si>
  <si>
    <t>14:31</t>
  </si>
  <si>
    <t>13:55</t>
  </si>
  <si>
    <t>12:05</t>
  </si>
  <si>
    <t>10:30</t>
  </si>
  <si>
    <t>176:56</t>
  </si>
  <si>
    <t>110:39</t>
  </si>
  <si>
    <t>8:31</t>
  </si>
  <si>
    <t>494:37</t>
  </si>
  <si>
    <t>346:24</t>
  </si>
  <si>
    <t>281:27</t>
  </si>
  <si>
    <t>14:00</t>
  </si>
  <si>
    <t>51:18</t>
  </si>
  <si>
    <t>595:11</t>
  </si>
  <si>
    <t>59:31</t>
  </si>
  <si>
    <t>26:48</t>
  </si>
  <si>
    <t>Tanner Laczynski</t>
  </si>
  <si>
    <t>8:53</t>
  </si>
  <si>
    <t>David Spacek</t>
  </si>
  <si>
    <t>12:35</t>
  </si>
  <si>
    <t>13:07</t>
  </si>
  <si>
    <t>183:05</t>
  </si>
  <si>
    <t>18:41</t>
  </si>
  <si>
    <t>20:13</t>
  </si>
  <si>
    <t>457:23</t>
  </si>
  <si>
    <t>10:28</t>
  </si>
  <si>
    <t>332:35</t>
  </si>
  <si>
    <t>59:32</t>
  </si>
  <si>
    <t>20:44</t>
  </si>
  <si>
    <t>18:51</t>
  </si>
  <si>
    <t>18:05</t>
  </si>
  <si>
    <t>24:31</t>
  </si>
  <si>
    <t>907:40</t>
  </si>
  <si>
    <t>17:41</t>
  </si>
  <si>
    <t>1163:19</t>
  </si>
  <si>
    <t>14:58</t>
  </si>
  <si>
    <t>602:28</t>
  </si>
  <si>
    <t>22:19</t>
  </si>
  <si>
    <t>791:51</t>
  </si>
  <si>
    <t>18:27</t>
  </si>
  <si>
    <t>12:39</t>
  </si>
  <si>
    <t>15:10</t>
  </si>
  <si>
    <t>674:49</t>
  </si>
  <si>
    <t>630:13</t>
  </si>
  <si>
    <t>22:07</t>
  </si>
  <si>
    <t>366:19</t>
  </si>
  <si>
    <t>441:02</t>
  </si>
  <si>
    <t>11:35</t>
  </si>
  <si>
    <t>20:18</t>
  </si>
  <si>
    <t>11:02</t>
  </si>
  <si>
    <t>19:02</t>
  </si>
  <si>
    <t>882:04</t>
  </si>
  <si>
    <t>9:41</t>
  </si>
  <si>
    <t>257:46</t>
  </si>
  <si>
    <t>18:30</t>
  </si>
  <si>
    <t>9:59</t>
  </si>
  <si>
    <t>71:59</t>
  </si>
  <si>
    <t>9:55</t>
  </si>
  <si>
    <t>8:33</t>
  </si>
  <si>
    <t>291:41</t>
  </si>
  <si>
    <t>Tobias Bjrnfot</t>
  </si>
  <si>
    <t>59:52</t>
  </si>
  <si>
    <t>120:01</t>
  </si>
  <si>
    <t>30:00</t>
  </si>
  <si>
    <t>51:29</t>
  </si>
  <si>
    <t>1094:29</t>
  </si>
  <si>
    <t>54:43</t>
  </si>
  <si>
    <t>9:21</t>
  </si>
  <si>
    <t>7:48</t>
  </si>
  <si>
    <t>21:40</t>
  </si>
  <si>
    <t>20:52</t>
  </si>
  <si>
    <t>13:10</t>
  </si>
  <si>
    <t>James Reimer</t>
  </si>
  <si>
    <t>855:29</t>
  </si>
  <si>
    <t>1129:53</t>
  </si>
  <si>
    <t>23:04</t>
  </si>
  <si>
    <t>22:22</t>
  </si>
  <si>
    <t>13:25</t>
  </si>
  <si>
    <t>19:33</t>
  </si>
  <si>
    <t>17:04</t>
  </si>
  <si>
    <t>711:33</t>
  </si>
  <si>
    <t>21:23</t>
  </si>
  <si>
    <t>516:32</t>
  </si>
  <si>
    <t>236:48</t>
  </si>
  <si>
    <t>15:02</t>
  </si>
  <si>
    <t>9:40</t>
  </si>
  <si>
    <t>185:03</t>
  </si>
  <si>
    <t>Alex Barr-Boulet</t>
  </si>
  <si>
    <t>3:46</t>
  </si>
  <si>
    <t>54:12</t>
  </si>
  <si>
    <t>7:45</t>
  </si>
  <si>
    <t>21:30</t>
  </si>
  <si>
    <t>Lenni Hameenaho</t>
  </si>
  <si>
    <t>Konsta Helenius</t>
  </si>
  <si>
    <t>950:36</t>
  </si>
  <si>
    <t>50:02</t>
  </si>
  <si>
    <t>42:29</t>
  </si>
  <si>
    <t>41:49</t>
  </si>
  <si>
    <t>Lane Pederson</t>
  </si>
  <si>
    <t>Isaak Phillips</t>
  </si>
  <si>
    <t>Matthew Tkachuk</t>
  </si>
  <si>
    <t>658:22</t>
  </si>
  <si>
    <t>19:24</t>
  </si>
  <si>
    <t>10:33</t>
  </si>
  <si>
    <t>297:34</t>
  </si>
  <si>
    <t>19:53</t>
  </si>
  <si>
    <t>249:54</t>
  </si>
  <si>
    <t>11:41</t>
  </si>
  <si>
    <t>419:36</t>
  </si>
  <si>
    <t>223:48</t>
  </si>
  <si>
    <t>59:01</t>
  </si>
  <si>
    <t>55:08</t>
  </si>
  <si>
    <t>24:05</t>
  </si>
  <si>
    <t>17:03</t>
  </si>
  <si>
    <t>16:58</t>
  </si>
  <si>
    <t>655:18</t>
  </si>
  <si>
    <t>1083:44</t>
  </si>
  <si>
    <t>16:49</t>
  </si>
  <si>
    <t>16:51</t>
  </si>
  <si>
    <t>8:54</t>
  </si>
  <si>
    <t>566:44</t>
  </si>
  <si>
    <t>294:06</t>
  </si>
  <si>
    <t>Martin Pospisil</t>
  </si>
  <si>
    <t>19:35</t>
  </si>
  <si>
    <t>922:21</t>
  </si>
  <si>
    <t>518:08</t>
  </si>
  <si>
    <t>13:32</t>
  </si>
  <si>
    <t>22:44</t>
  </si>
  <si>
    <t>771:04</t>
  </si>
  <si>
    <t>765:46</t>
  </si>
  <si>
    <t>15:56</t>
  </si>
  <si>
    <t>409:03</t>
  </si>
  <si>
    <t>57:49</t>
  </si>
  <si>
    <t>59:59</t>
  </si>
  <si>
    <t>55:56</t>
  </si>
  <si>
    <t>57:42</t>
  </si>
  <si>
    <t>1049:43</t>
  </si>
  <si>
    <t>21:32</t>
  </si>
  <si>
    <t>13:18</t>
  </si>
  <si>
    <t>734:38</t>
  </si>
  <si>
    <t>16:12</t>
  </si>
  <si>
    <t>251:32</t>
  </si>
  <si>
    <t>13:35</t>
  </si>
  <si>
    <t>54:40</t>
  </si>
  <si>
    <t>57:53</t>
  </si>
  <si>
    <t>Jonas Rndbjerg</t>
  </si>
  <si>
    <t>23:01</t>
  </si>
  <si>
    <t>933:21</t>
  </si>
  <si>
    <t>23:44</t>
  </si>
  <si>
    <t>23:00</t>
  </si>
  <si>
    <t>12:53</t>
  </si>
  <si>
    <t>12:50</t>
  </si>
  <si>
    <t>561:13</t>
  </si>
  <si>
    <t>252:00</t>
  </si>
  <si>
    <t>16:00</t>
  </si>
  <si>
    <t>289:05</t>
  </si>
  <si>
    <t>456:40</t>
  </si>
  <si>
    <t>Isaiah George</t>
  </si>
  <si>
    <t>59:23</t>
  </si>
  <si>
    <t>1091:03</t>
  </si>
  <si>
    <t>57:25</t>
  </si>
  <si>
    <t>Simon Lundmark</t>
  </si>
  <si>
    <t>1125:32</t>
  </si>
  <si>
    <t>649:58</t>
  </si>
  <si>
    <t>265:42</t>
  </si>
  <si>
    <t>266:02</t>
  </si>
  <si>
    <t>341:00</t>
  </si>
  <si>
    <t>58:07</t>
  </si>
  <si>
    <t>103:00</t>
  </si>
  <si>
    <t>30:34</t>
  </si>
  <si>
    <t>77:25</t>
  </si>
  <si>
    <t>38:43</t>
  </si>
  <si>
    <t>1087:20</t>
  </si>
  <si>
    <t>769:33</t>
  </si>
  <si>
    <t>24:50</t>
  </si>
  <si>
    <t>23:07</t>
  </si>
  <si>
    <t>758:32</t>
  </si>
  <si>
    <t>676:04</t>
  </si>
  <si>
    <t>592:48</t>
  </si>
  <si>
    <t>590:05</t>
  </si>
  <si>
    <t>386:25</t>
  </si>
  <si>
    <t>260:29</t>
  </si>
  <si>
    <t>55:11</t>
  </si>
  <si>
    <t>250:08</t>
  </si>
  <si>
    <t>26:35</t>
  </si>
  <si>
    <t>56:13</t>
  </si>
  <si>
    <t>8:00</t>
  </si>
  <si>
    <t>819:22</t>
  </si>
  <si>
    <t>Andreas Englund</t>
  </si>
  <si>
    <t>662:06</t>
  </si>
  <si>
    <t>136:24</t>
  </si>
  <si>
    <t>Josh Samanski</t>
  </si>
  <si>
    <t>Keaton Middleton</t>
  </si>
  <si>
    <t>290:39</t>
  </si>
  <si>
    <t>48:27</t>
  </si>
  <si>
    <t>44:19</t>
  </si>
  <si>
    <t>926:30</t>
  </si>
  <si>
    <t>1104:48</t>
  </si>
  <si>
    <t>997:51</t>
  </si>
  <si>
    <t>525:42</t>
  </si>
  <si>
    <t>443:39</t>
  </si>
  <si>
    <t>581:32</t>
  </si>
  <si>
    <t>23:10</t>
  </si>
  <si>
    <t>838:08</t>
  </si>
  <si>
    <t>251:46</t>
  </si>
  <si>
    <t>196:27</t>
  </si>
  <si>
    <t>91:36</t>
  </si>
  <si>
    <t>1067:10</t>
  </si>
  <si>
    <t>59:17</t>
  </si>
  <si>
    <t>137:03</t>
  </si>
  <si>
    <t>1384:37</t>
  </si>
  <si>
    <t>Matthew Poitras</t>
  </si>
  <si>
    <t>7:58</t>
  </si>
  <si>
    <t>987:22</t>
  </si>
  <si>
    <t>326:10</t>
  </si>
  <si>
    <t>169:01</t>
  </si>
  <si>
    <t>937:41</t>
  </si>
  <si>
    <t>558:18</t>
  </si>
  <si>
    <t>599:13</t>
  </si>
  <si>
    <t>46:47</t>
  </si>
  <si>
    <t>352:29</t>
  </si>
  <si>
    <t>11:24</t>
  </si>
  <si>
    <t>438:53</t>
  </si>
  <si>
    <t>327:35</t>
  </si>
  <si>
    <t>145:12</t>
  </si>
  <si>
    <t>32:16</t>
  </si>
  <si>
    <t>158:32</t>
  </si>
  <si>
    <t>1342:20</t>
  </si>
  <si>
    <t>1389:18</t>
  </si>
  <si>
    <t>60:24</t>
  </si>
  <si>
    <t>1324:59</t>
  </si>
  <si>
    <t>60:14</t>
  </si>
  <si>
    <t>37:29</t>
  </si>
  <si>
    <t>292:47</t>
  </si>
  <si>
    <t>101:05</t>
  </si>
  <si>
    <t>Marshall Rifai</t>
  </si>
  <si>
    <t>Clay Stevenson</t>
  </si>
  <si>
    <t>23:26</t>
  </si>
  <si>
    <t>482:26</t>
  </si>
  <si>
    <t>543:54</t>
  </si>
  <si>
    <t>48:19</t>
  </si>
  <si>
    <t>2242:38</t>
  </si>
  <si>
    <t>692:54</t>
  </si>
  <si>
    <t>923:20</t>
  </si>
  <si>
    <t>472:00</t>
  </si>
  <si>
    <t>292:15</t>
  </si>
  <si>
    <t>224:28</t>
  </si>
  <si>
    <t>407:24</t>
  </si>
  <si>
    <t>180:04</t>
  </si>
  <si>
    <t>366:39</t>
  </si>
  <si>
    <t>1403:08</t>
  </si>
  <si>
    <t>59:19</t>
  </si>
  <si>
    <t>1562:53</t>
  </si>
  <si>
    <t>26:27</t>
  </si>
  <si>
    <t>1653:55</t>
  </si>
  <si>
    <t>1379:24</t>
  </si>
  <si>
    <t>1785:51</t>
  </si>
  <si>
    <t>2298:15</t>
  </si>
  <si>
    <t>56:03</t>
  </si>
  <si>
    <t>1419:42</t>
  </si>
  <si>
    <t>56:47</t>
  </si>
  <si>
    <t>775:46</t>
  </si>
  <si>
    <t>719:25</t>
  </si>
  <si>
    <t>724:12</t>
  </si>
  <si>
    <t>664:33</t>
  </si>
  <si>
    <t>747:46</t>
  </si>
  <si>
    <t>631:59</t>
  </si>
  <si>
    <t>552:16</t>
  </si>
  <si>
    <t>981:21</t>
  </si>
  <si>
    <t>275:23</t>
  </si>
  <si>
    <t>514:52</t>
  </si>
  <si>
    <t>9:54</t>
  </si>
  <si>
    <t>237:00</t>
  </si>
  <si>
    <t>1704:46</t>
  </si>
  <si>
    <t>56:50</t>
  </si>
  <si>
    <t>374:25</t>
  </si>
  <si>
    <t>174:25</t>
  </si>
  <si>
    <t>732:12</t>
  </si>
  <si>
    <t>56:19</t>
  </si>
  <si>
    <t>1236:48</t>
  </si>
  <si>
    <t>1187:45</t>
  </si>
  <si>
    <t>56:34</t>
  </si>
  <si>
    <t>2087:44</t>
  </si>
  <si>
    <t>58:00</t>
  </si>
  <si>
    <t>771:05</t>
  </si>
  <si>
    <t>180:07</t>
  </si>
  <si>
    <t>60:02</t>
  </si>
  <si>
    <t>1220:28</t>
  </si>
  <si>
    <t>1165:25</t>
  </si>
  <si>
    <t>1058:50</t>
  </si>
  <si>
    <t>1297:31</t>
  </si>
  <si>
    <t>1091:02</t>
  </si>
  <si>
    <t>1180:54</t>
  </si>
  <si>
    <t>1371:03</t>
  </si>
  <si>
    <t>26:22</t>
  </si>
  <si>
    <t>1040:00</t>
  </si>
  <si>
    <t>1351:15</t>
  </si>
  <si>
    <t>1037:59</t>
  </si>
  <si>
    <t>1448:46</t>
  </si>
  <si>
    <t>735:38</t>
  </si>
  <si>
    <t>28:18</t>
  </si>
  <si>
    <t>976:01</t>
  </si>
  <si>
    <t>1177:36</t>
  </si>
  <si>
    <t>836:55</t>
  </si>
  <si>
    <t>877:54</t>
  </si>
  <si>
    <t>1030:03</t>
  </si>
  <si>
    <t>994:42</t>
  </si>
  <si>
    <t>991:51</t>
  </si>
  <si>
    <t>1053:39</t>
  </si>
  <si>
    <t>1378:43</t>
  </si>
  <si>
    <t>24:37</t>
  </si>
  <si>
    <t>1007:46</t>
  </si>
  <si>
    <t>1089:34</t>
  </si>
  <si>
    <t>1087:34</t>
  </si>
  <si>
    <t>762:35</t>
  </si>
  <si>
    <t>1295:43</t>
  </si>
  <si>
    <t>1488:23</t>
  </si>
  <si>
    <t>25:40</t>
  </si>
  <si>
    <t>1448:40</t>
  </si>
  <si>
    <t>839:35</t>
  </si>
  <si>
    <t>1144:15</t>
  </si>
  <si>
    <t>1048:40</t>
  </si>
  <si>
    <t>872:55</t>
  </si>
  <si>
    <t>992:08</t>
  </si>
  <si>
    <t>1045:15</t>
  </si>
  <si>
    <t>991:24</t>
  </si>
  <si>
    <t>716:07</t>
  </si>
  <si>
    <t>735:47</t>
  </si>
  <si>
    <t>761:57</t>
  </si>
  <si>
    <t>813:39</t>
  </si>
  <si>
    <t>891:25</t>
  </si>
  <si>
    <t>856:32</t>
  </si>
  <si>
    <t>764:07</t>
  </si>
  <si>
    <t>870:48</t>
  </si>
  <si>
    <t>1281:17</t>
  </si>
  <si>
    <t>915:19</t>
  </si>
  <si>
    <t>847:49</t>
  </si>
  <si>
    <t>651:01</t>
  </si>
  <si>
    <t>1341:18</t>
  </si>
  <si>
    <t>708:24</t>
  </si>
  <si>
    <t>857:18</t>
  </si>
  <si>
    <t>697:08</t>
  </si>
  <si>
    <t>913:14</t>
  </si>
  <si>
    <t>901:07</t>
  </si>
  <si>
    <t>745:40</t>
  </si>
  <si>
    <t>849:16</t>
  </si>
  <si>
    <t>743:06</t>
  </si>
  <si>
    <t>854:35</t>
  </si>
  <si>
    <t>906:34</t>
  </si>
  <si>
    <t>695:21</t>
  </si>
  <si>
    <t>966:26</t>
  </si>
  <si>
    <t>613:27</t>
  </si>
  <si>
    <t>954:52</t>
  </si>
  <si>
    <t>725:07</t>
  </si>
  <si>
    <t>770:59</t>
  </si>
  <si>
    <t>942:20</t>
  </si>
  <si>
    <t>865:47</t>
  </si>
  <si>
    <t>919:29</t>
  </si>
  <si>
    <t>1175:48</t>
  </si>
  <si>
    <t>789:23</t>
  </si>
  <si>
    <t>905:24</t>
  </si>
  <si>
    <t>808:45</t>
  </si>
  <si>
    <t>688:26</t>
  </si>
  <si>
    <t>1232:36</t>
  </si>
  <si>
    <t>900:38</t>
  </si>
  <si>
    <t>570:44</t>
  </si>
  <si>
    <t>1139:56</t>
  </si>
  <si>
    <t>783:04</t>
  </si>
  <si>
    <t>530:33</t>
  </si>
  <si>
    <t>704:05</t>
  </si>
  <si>
    <t>868:02</t>
  </si>
  <si>
    <t>1421:48</t>
  </si>
  <si>
    <t>25:23</t>
  </si>
  <si>
    <t>842:11</t>
  </si>
  <si>
    <t>1297:35</t>
  </si>
  <si>
    <t>1289:10</t>
  </si>
  <si>
    <t>879:45</t>
  </si>
  <si>
    <t>731:02</t>
  </si>
  <si>
    <t>950:59</t>
  </si>
  <si>
    <t>764:51</t>
  </si>
  <si>
    <t>1114:26</t>
  </si>
  <si>
    <t>1217:13</t>
  </si>
  <si>
    <t>749:57</t>
  </si>
  <si>
    <t>967:05</t>
  </si>
  <si>
    <t>483:49</t>
  </si>
  <si>
    <t>654:37</t>
  </si>
  <si>
    <t>756:08</t>
  </si>
  <si>
    <t>541:31</t>
  </si>
  <si>
    <t>624:06</t>
  </si>
  <si>
    <t>1162:04</t>
  </si>
  <si>
    <t>545:14</t>
  </si>
  <si>
    <t>1213:59</t>
  </si>
  <si>
    <t>21:41</t>
  </si>
  <si>
    <t>789:55</t>
  </si>
  <si>
    <t>592:52</t>
  </si>
  <si>
    <t>458:39</t>
  </si>
  <si>
    <t>881:32</t>
  </si>
  <si>
    <t>681:33</t>
  </si>
  <si>
    <t>661:07</t>
  </si>
  <si>
    <t>675:13</t>
  </si>
  <si>
    <t>569:25</t>
  </si>
  <si>
    <t>1175:25</t>
  </si>
  <si>
    <t>823:17</t>
  </si>
  <si>
    <t>333:37</t>
  </si>
  <si>
    <t>1204:10</t>
  </si>
  <si>
    <t>675:47</t>
  </si>
  <si>
    <t>777:25</t>
  </si>
  <si>
    <t>912:00</t>
  </si>
  <si>
    <t>1277:20</t>
  </si>
  <si>
    <t>736:19</t>
  </si>
  <si>
    <t>474:49</t>
  </si>
  <si>
    <t>1217:05</t>
  </si>
  <si>
    <t>324:16</t>
  </si>
  <si>
    <t>1148:05</t>
  </si>
  <si>
    <t>707:28</t>
  </si>
  <si>
    <t>970:14</t>
  </si>
  <si>
    <t>1092:27</t>
  </si>
  <si>
    <t>268:39</t>
  </si>
  <si>
    <t>583:45</t>
  </si>
  <si>
    <t>940:17</t>
  </si>
  <si>
    <t>1098:39</t>
  </si>
  <si>
    <t>546:27</t>
  </si>
  <si>
    <t>573:07</t>
  </si>
  <si>
    <t>655:42</t>
  </si>
  <si>
    <t>850:15</t>
  </si>
  <si>
    <t>453:31</t>
  </si>
  <si>
    <t>424:53</t>
  </si>
  <si>
    <t>460:46</t>
  </si>
  <si>
    <t>1067:15</t>
  </si>
  <si>
    <t>185:11</t>
  </si>
  <si>
    <t>611:04</t>
  </si>
  <si>
    <t>850:03</t>
  </si>
  <si>
    <t>531:29</t>
  </si>
  <si>
    <t>390:51</t>
  </si>
  <si>
    <t>804:06</t>
  </si>
  <si>
    <t>428:01</t>
  </si>
  <si>
    <t>446:14</t>
  </si>
  <si>
    <t>212:48</t>
  </si>
  <si>
    <t>1152:12</t>
  </si>
  <si>
    <t>548:24</t>
  </si>
  <si>
    <t>612:36</t>
  </si>
  <si>
    <t>947:01</t>
  </si>
  <si>
    <t>646:15</t>
  </si>
  <si>
    <t>500:01</t>
  </si>
  <si>
    <t>372:58</t>
  </si>
  <si>
    <t>377:38</t>
  </si>
  <si>
    <t>310:34</t>
  </si>
  <si>
    <t>328:47</t>
  </si>
  <si>
    <t>281:29</t>
  </si>
  <si>
    <t>129:48</t>
  </si>
  <si>
    <t>630:27</t>
  </si>
  <si>
    <t>467:46</t>
  </si>
  <si>
    <t>188:55</t>
  </si>
  <si>
    <t>318:49</t>
  </si>
  <si>
    <t>313:44</t>
  </si>
  <si>
    <t>9:48</t>
  </si>
  <si>
    <t>599:50</t>
  </si>
  <si>
    <t>113:17</t>
  </si>
  <si>
    <t>252:57</t>
  </si>
  <si>
    <t>263:31</t>
  </si>
  <si>
    <t>151:49</t>
  </si>
  <si>
    <t>584:16</t>
  </si>
  <si>
    <t>288:29</t>
  </si>
  <si>
    <t>408:53</t>
  </si>
  <si>
    <t>356:52</t>
  </si>
  <si>
    <t>241:40</t>
  </si>
  <si>
    <t>1774:32</t>
  </si>
  <si>
    <t>55:27</t>
  </si>
  <si>
    <t>1058:52</t>
  </si>
  <si>
    <t>55:44</t>
  </si>
  <si>
    <t>2155:11</t>
  </si>
  <si>
    <t>2137:36</t>
  </si>
  <si>
    <t>2334:47</t>
  </si>
  <si>
    <t>1749:06</t>
  </si>
  <si>
    <t>6:14</t>
  </si>
  <si>
    <t>2195:10</t>
  </si>
  <si>
    <t>194:47</t>
  </si>
  <si>
    <t>36:21</t>
  </si>
  <si>
    <t>1685:30</t>
  </si>
  <si>
    <t>1903:34</t>
  </si>
  <si>
    <t>1282:14</t>
  </si>
  <si>
    <t>55:45</t>
  </si>
  <si>
    <t>2198:16</t>
  </si>
  <si>
    <t>59:25</t>
  </si>
  <si>
    <t>2152:01</t>
  </si>
  <si>
    <t>1199:32</t>
  </si>
  <si>
    <t>54:31</t>
  </si>
  <si>
    <t>2081:29</t>
  </si>
  <si>
    <t>74:31</t>
  </si>
  <si>
    <t>6:13</t>
  </si>
  <si>
    <t>1291:56</t>
  </si>
  <si>
    <t>56:10</t>
  </si>
  <si>
    <t>75:11</t>
  </si>
  <si>
    <t>2515:42</t>
  </si>
  <si>
    <t>57:11</t>
  </si>
  <si>
    <t>Kai Uchacz</t>
  </si>
  <si>
    <t>1362:27</t>
  </si>
  <si>
    <t>23:06</t>
  </si>
  <si>
    <t>1059:31</t>
  </si>
  <si>
    <t>1235:25</t>
  </si>
  <si>
    <t>22:04</t>
  </si>
  <si>
    <t>1203:52</t>
  </si>
  <si>
    <t>21:07</t>
  </si>
  <si>
    <t>1064:00</t>
  </si>
  <si>
    <t>21:17</t>
  </si>
  <si>
    <t>1155:05</t>
  </si>
  <si>
    <t>19:55</t>
  </si>
  <si>
    <t>1456:54</t>
  </si>
  <si>
    <t>24:42</t>
  </si>
  <si>
    <t>1206:08</t>
  </si>
  <si>
    <t>1109:31</t>
  </si>
  <si>
    <t>20:56</t>
  </si>
  <si>
    <t>1162:26</t>
  </si>
  <si>
    <t>1169:53</t>
  </si>
  <si>
    <t>20:31</t>
  </si>
  <si>
    <t>1111:19</t>
  </si>
  <si>
    <t>1148:40</t>
  </si>
  <si>
    <t>801:17</t>
  </si>
  <si>
    <t>1096:53</t>
  </si>
  <si>
    <t>1108:25</t>
  </si>
  <si>
    <t>1402:55</t>
  </si>
  <si>
    <t>25:03</t>
  </si>
  <si>
    <t>1137:53</t>
  </si>
  <si>
    <t>19:58</t>
  </si>
  <si>
    <t>1126:30</t>
  </si>
  <si>
    <t>19:46</t>
  </si>
  <si>
    <t>1149:13</t>
  </si>
  <si>
    <t>20:10</t>
  </si>
  <si>
    <t>1106:36</t>
  </si>
  <si>
    <t>1220:51</t>
  </si>
  <si>
    <t>21:25</t>
  </si>
  <si>
    <t>1006:20</t>
  </si>
  <si>
    <t>1064:37</t>
  </si>
  <si>
    <t>760:45</t>
  </si>
  <si>
    <t>1147:16</t>
  </si>
  <si>
    <t>19:47</t>
  </si>
  <si>
    <t>1128:41</t>
  </si>
  <si>
    <t>22:34</t>
  </si>
  <si>
    <t>1175:17</t>
  </si>
  <si>
    <t>1179:51</t>
  </si>
  <si>
    <t>1067:35</t>
  </si>
  <si>
    <t>972:30</t>
  </si>
  <si>
    <t>1012:48</t>
  </si>
  <si>
    <t>1081:11</t>
  </si>
  <si>
    <t>19:18</t>
  </si>
  <si>
    <t>959:52</t>
  </si>
  <si>
    <t>17:47</t>
  </si>
  <si>
    <t>965:03</t>
  </si>
  <si>
    <t>1084:53</t>
  </si>
  <si>
    <t>966:38</t>
  </si>
  <si>
    <t>968:50</t>
  </si>
  <si>
    <t>1067:37</t>
  </si>
  <si>
    <t>1325:12</t>
  </si>
  <si>
    <t>24:32</t>
  </si>
  <si>
    <t>1095:50</t>
  </si>
  <si>
    <t>1037:11</t>
  </si>
  <si>
    <t>1067:17</t>
  </si>
  <si>
    <t>1036:59</t>
  </si>
  <si>
    <t>1072:07</t>
  </si>
  <si>
    <t>873:53</t>
  </si>
  <si>
    <t>1372:40</t>
  </si>
  <si>
    <t>23:40</t>
  </si>
  <si>
    <t>1072:57</t>
  </si>
  <si>
    <t>1454:15</t>
  </si>
  <si>
    <t>25:58</t>
  </si>
  <si>
    <t>961:36</t>
  </si>
  <si>
    <t>1073:53</t>
  </si>
  <si>
    <t>18:31</t>
  </si>
  <si>
    <t>1257:29</t>
  </si>
  <si>
    <t>1017:21</t>
  </si>
  <si>
    <t>1426:14</t>
  </si>
  <si>
    <t>25:01</t>
  </si>
  <si>
    <t>992:20</t>
  </si>
  <si>
    <t>17:25</t>
  </si>
  <si>
    <t>844:21</t>
  </si>
  <si>
    <t>720:23</t>
  </si>
  <si>
    <t>1005:03</t>
  </si>
  <si>
    <t>17:38</t>
  </si>
  <si>
    <t>978:40</t>
  </si>
  <si>
    <t>953:50</t>
  </si>
  <si>
    <t>16:44</t>
  </si>
  <si>
    <t>932:44</t>
  </si>
  <si>
    <t>939:38</t>
  </si>
  <si>
    <t>18:29</t>
  </si>
  <si>
    <t>1097:17</t>
  </si>
  <si>
    <t>940:07</t>
  </si>
  <si>
    <t>16:47</t>
  </si>
  <si>
    <t>1212:48</t>
  </si>
  <si>
    <t>1069:13</t>
  </si>
  <si>
    <t>19:06</t>
  </si>
  <si>
    <t>835:04</t>
  </si>
  <si>
    <t>986:38</t>
  </si>
  <si>
    <t>1029:21</t>
  </si>
  <si>
    <t>17:45</t>
  </si>
  <si>
    <t>1070:48</t>
  </si>
  <si>
    <t>899:32</t>
  </si>
  <si>
    <t>20:27</t>
  </si>
  <si>
    <t>1042:09</t>
  </si>
  <si>
    <t>1047:26</t>
  </si>
  <si>
    <t>18:23</t>
  </si>
  <si>
    <t>987:50</t>
  </si>
  <si>
    <t>933:34</t>
  </si>
  <si>
    <t>974:20</t>
  </si>
  <si>
    <t>17:06</t>
  </si>
  <si>
    <t>1096:01</t>
  </si>
  <si>
    <t>24:21</t>
  </si>
  <si>
    <t>1396:51</t>
  </si>
  <si>
    <t>1416:01</t>
  </si>
  <si>
    <t>24:25</t>
  </si>
  <si>
    <t>1028:50</t>
  </si>
  <si>
    <t>795:07</t>
  </si>
  <si>
    <t>1394:33</t>
  </si>
  <si>
    <t>24:28</t>
  </si>
  <si>
    <t>956:00</t>
  </si>
  <si>
    <t>1113:59</t>
  </si>
  <si>
    <t>809:20</t>
  </si>
  <si>
    <t>913:31</t>
  </si>
  <si>
    <t>631:25</t>
  </si>
  <si>
    <t>991:40</t>
  </si>
  <si>
    <t>20:40</t>
  </si>
  <si>
    <t>1083:43</t>
  </si>
  <si>
    <t>19:42</t>
  </si>
  <si>
    <t>901:01</t>
  </si>
  <si>
    <t>1207:25</t>
  </si>
  <si>
    <t>848:18</t>
  </si>
  <si>
    <t>18:03</t>
  </si>
  <si>
    <t>972:23</t>
  </si>
  <si>
    <t>937:00</t>
  </si>
  <si>
    <t>1241:48</t>
  </si>
  <si>
    <t>1010:20</t>
  </si>
  <si>
    <t>1205:42</t>
  </si>
  <si>
    <t>20:47</t>
  </si>
  <si>
    <t>1292:15</t>
  </si>
  <si>
    <t>23:05</t>
  </si>
  <si>
    <t>1362:20</t>
  </si>
  <si>
    <t>199:01</t>
  </si>
  <si>
    <t>937:53</t>
  </si>
  <si>
    <t>16:27</t>
  </si>
  <si>
    <t>689:36</t>
  </si>
  <si>
    <t>1120:36</t>
  </si>
  <si>
    <t>1421:47</t>
  </si>
  <si>
    <t>863:33</t>
  </si>
  <si>
    <t>972:13</t>
  </si>
  <si>
    <t>873:39</t>
  </si>
  <si>
    <t>847:11</t>
  </si>
  <si>
    <t>15:08</t>
  </si>
  <si>
    <t>894:28</t>
  </si>
  <si>
    <t>15:25</t>
  </si>
  <si>
    <t>548:22</t>
  </si>
  <si>
    <t>16:37</t>
  </si>
  <si>
    <t>953:27</t>
  </si>
  <si>
    <t>17:02</t>
  </si>
  <si>
    <t>850:43</t>
  </si>
  <si>
    <t>762:44</t>
  </si>
  <si>
    <t>1184:29</t>
  </si>
  <si>
    <t>912:45</t>
  </si>
  <si>
    <t>847:50</t>
  </si>
  <si>
    <t>769:01</t>
  </si>
  <si>
    <t>1059:06</t>
  </si>
  <si>
    <t>18:16</t>
  </si>
  <si>
    <t>1305:49</t>
  </si>
  <si>
    <t>1101:54</t>
  </si>
  <si>
    <t>942:29</t>
  </si>
  <si>
    <t>1232:43</t>
  </si>
  <si>
    <t>20:54</t>
  </si>
  <si>
    <t>944:17</t>
  </si>
  <si>
    <t>926:50</t>
  </si>
  <si>
    <t>989:55</t>
  </si>
  <si>
    <t>818:21</t>
  </si>
  <si>
    <t>882:35</t>
  </si>
  <si>
    <t>620:53</t>
  </si>
  <si>
    <t>980:15</t>
  </si>
  <si>
    <t>1182:46</t>
  </si>
  <si>
    <t>652:16</t>
  </si>
  <si>
    <t>785:26</t>
  </si>
  <si>
    <t>543:26</t>
  </si>
  <si>
    <t>12:56</t>
  </si>
  <si>
    <t>1091:26</t>
  </si>
  <si>
    <t>19:29</t>
  </si>
  <si>
    <t>932:19</t>
  </si>
  <si>
    <t>978:23</t>
  </si>
  <si>
    <t>802:50</t>
  </si>
  <si>
    <t>817:47</t>
  </si>
  <si>
    <t>793:38</t>
  </si>
  <si>
    <t>1090:30</t>
  </si>
  <si>
    <t>971:36</t>
  </si>
  <si>
    <t>19:03</t>
  </si>
  <si>
    <t>958:46</t>
  </si>
  <si>
    <t>957:03</t>
  </si>
  <si>
    <t>991:04</t>
  </si>
  <si>
    <t>17:23</t>
  </si>
  <si>
    <t>945:04</t>
  </si>
  <si>
    <t>902:04</t>
  </si>
  <si>
    <t>687:03</t>
  </si>
  <si>
    <t>821:59</t>
  </si>
  <si>
    <t>866:08</t>
  </si>
  <si>
    <t>16:02</t>
  </si>
  <si>
    <t>1261:37</t>
  </si>
  <si>
    <t>22:32</t>
  </si>
  <si>
    <t>780:23</t>
  </si>
  <si>
    <t>15:18</t>
  </si>
  <si>
    <t>899:58</t>
  </si>
  <si>
    <t>867:31</t>
  </si>
  <si>
    <t>1063:10</t>
  </si>
  <si>
    <t>775:37</t>
  </si>
  <si>
    <t>1017:44</t>
  </si>
  <si>
    <t>18:10</t>
  </si>
  <si>
    <t>756:30</t>
  </si>
  <si>
    <t>738:21</t>
  </si>
  <si>
    <t>16:03</t>
  </si>
  <si>
    <t>1367:23</t>
  </si>
  <si>
    <t>23:59</t>
  </si>
  <si>
    <t>867:15</t>
  </si>
  <si>
    <t>534:07</t>
  </si>
  <si>
    <t>17:48</t>
  </si>
  <si>
    <t>1088:46</t>
  </si>
  <si>
    <t>763:27</t>
  </si>
  <si>
    <t>633:32</t>
  </si>
  <si>
    <t>11:31</t>
  </si>
  <si>
    <t>824:08</t>
  </si>
  <si>
    <t>688:34</t>
  </si>
  <si>
    <t>774:27</t>
  </si>
  <si>
    <t>939:31</t>
  </si>
  <si>
    <t>838:28</t>
  </si>
  <si>
    <t>1163:25</t>
  </si>
  <si>
    <t>629:42</t>
  </si>
  <si>
    <t>12:51</t>
  </si>
  <si>
    <t>820:23</t>
  </si>
  <si>
    <t>977:27</t>
  </si>
  <si>
    <t>702:32</t>
  </si>
  <si>
    <t>12:33</t>
  </si>
  <si>
    <t>775:17</t>
  </si>
  <si>
    <t>668:52</t>
  </si>
  <si>
    <t>1376:58</t>
  </si>
  <si>
    <t>1101:40</t>
  </si>
  <si>
    <t>1178:29</t>
  </si>
  <si>
    <t>897:55</t>
  </si>
  <si>
    <t>453:37</t>
  </si>
  <si>
    <t>585:49</t>
  </si>
  <si>
    <t>856:38</t>
  </si>
  <si>
    <t>917:40</t>
  </si>
  <si>
    <t>21:51</t>
  </si>
  <si>
    <t>687:48</t>
  </si>
  <si>
    <t>524:30</t>
  </si>
  <si>
    <t>15:54</t>
  </si>
  <si>
    <t>926:49</t>
  </si>
  <si>
    <t>870:30</t>
  </si>
  <si>
    <t>1026:26</t>
  </si>
  <si>
    <t>814:55</t>
  </si>
  <si>
    <t>14:03</t>
  </si>
  <si>
    <t>718:58</t>
  </si>
  <si>
    <t>1066:16</t>
  </si>
  <si>
    <t>794:36</t>
  </si>
  <si>
    <t>1139:54</t>
  </si>
  <si>
    <t>22:48</t>
  </si>
  <si>
    <t>778:56</t>
  </si>
  <si>
    <t>1292:45</t>
  </si>
  <si>
    <t>22:41</t>
  </si>
  <si>
    <t>1371:23</t>
  </si>
  <si>
    <t>24:04</t>
  </si>
  <si>
    <t>671:35</t>
  </si>
  <si>
    <t>1147:51</t>
  </si>
  <si>
    <t>21:39</t>
  </si>
  <si>
    <t>814:28</t>
  </si>
  <si>
    <t>15:22</t>
  </si>
  <si>
    <t>782:57</t>
  </si>
  <si>
    <t>14:14</t>
  </si>
  <si>
    <t>819:06</t>
  </si>
  <si>
    <t>754:49</t>
  </si>
  <si>
    <t>948:44</t>
  </si>
  <si>
    <t>881:02</t>
  </si>
  <si>
    <t>1122:15</t>
  </si>
  <si>
    <t>635:04</t>
  </si>
  <si>
    <t>12:13</t>
  </si>
  <si>
    <t>1101:13</t>
  </si>
  <si>
    <t>863:05</t>
  </si>
  <si>
    <t>816:04</t>
  </si>
  <si>
    <t>867:10</t>
  </si>
  <si>
    <t>807:52</t>
  </si>
  <si>
    <t>997:02</t>
  </si>
  <si>
    <t>424:43</t>
  </si>
  <si>
    <t>848:57</t>
  </si>
  <si>
    <t>834:26</t>
  </si>
  <si>
    <t>748:12</t>
  </si>
  <si>
    <t>626:39</t>
  </si>
  <si>
    <t>703:31</t>
  </si>
  <si>
    <t>926:07</t>
  </si>
  <si>
    <t>1193:51</t>
  </si>
  <si>
    <t>1229:27</t>
  </si>
  <si>
    <t>624:28</t>
  </si>
  <si>
    <t>632:10</t>
  </si>
  <si>
    <t>1000:34</t>
  </si>
  <si>
    <t>613:19</t>
  </si>
  <si>
    <t>828:27</t>
  </si>
  <si>
    <t>17:16</t>
  </si>
  <si>
    <t>861:38</t>
  </si>
  <si>
    <t>1147:04</t>
  </si>
  <si>
    <t>20:29</t>
  </si>
  <si>
    <t>987:16</t>
  </si>
  <si>
    <t>1129:01</t>
  </si>
  <si>
    <t>671:10</t>
  </si>
  <si>
    <t>797:54</t>
  </si>
  <si>
    <t>1249:03</t>
  </si>
  <si>
    <t>22:18</t>
  </si>
  <si>
    <t>1161:43</t>
  </si>
  <si>
    <t>936:01</t>
  </si>
  <si>
    <t>544:17</t>
  </si>
  <si>
    <t>245:35</t>
  </si>
  <si>
    <t>13:39</t>
  </si>
  <si>
    <t>602:25</t>
  </si>
  <si>
    <t>1228:15</t>
  </si>
  <si>
    <t>716:59</t>
  </si>
  <si>
    <t>626:41</t>
  </si>
  <si>
    <t>317:12</t>
  </si>
  <si>
    <t>1235:08</t>
  </si>
  <si>
    <t>1279:50</t>
  </si>
  <si>
    <t>22:27</t>
  </si>
  <si>
    <t>418:19</t>
  </si>
  <si>
    <t>11:37</t>
  </si>
  <si>
    <t>1063:41</t>
  </si>
  <si>
    <t>605:38</t>
  </si>
  <si>
    <t>10:49</t>
  </si>
  <si>
    <t>810:27</t>
  </si>
  <si>
    <t>1048:06</t>
  </si>
  <si>
    <t>718:17</t>
  </si>
  <si>
    <t>702:48</t>
  </si>
  <si>
    <t>664:31</t>
  </si>
  <si>
    <t>752:50</t>
  </si>
  <si>
    <t>911:32</t>
  </si>
  <si>
    <t>676:38</t>
  </si>
  <si>
    <t>1238:14</t>
  </si>
  <si>
    <t>21:43</t>
  </si>
  <si>
    <t>647:42</t>
  </si>
  <si>
    <t>936:57</t>
  </si>
  <si>
    <t>714:08</t>
  </si>
  <si>
    <t>501:49</t>
  </si>
  <si>
    <t>1179:43</t>
  </si>
  <si>
    <t>596:17</t>
  </si>
  <si>
    <t>641:13</t>
  </si>
  <si>
    <t>474:26</t>
  </si>
  <si>
    <t>18:15</t>
  </si>
  <si>
    <t>166:44</t>
  </si>
  <si>
    <t>788:02</t>
  </si>
  <si>
    <t>16:25</t>
  </si>
  <si>
    <t>1124:30</t>
  </si>
  <si>
    <t>22:57</t>
  </si>
  <si>
    <t>746:02</t>
  </si>
  <si>
    <t>532:30</t>
  </si>
  <si>
    <t>598:48</t>
  </si>
  <si>
    <t>1266:11</t>
  </si>
  <si>
    <t>22:13</t>
  </si>
  <si>
    <t>1003:28</t>
  </si>
  <si>
    <t>20:04</t>
  </si>
  <si>
    <t>731:22</t>
  </si>
  <si>
    <t>437:16</t>
  </si>
  <si>
    <t>496:10</t>
  </si>
  <si>
    <t>500:03</t>
  </si>
  <si>
    <t>11:07</t>
  </si>
  <si>
    <t>786:20</t>
  </si>
  <si>
    <t>645:57</t>
  </si>
  <si>
    <t>11:58</t>
  </si>
  <si>
    <t>961:08</t>
  </si>
  <si>
    <t>22:21</t>
  </si>
  <si>
    <t>744:08</t>
  </si>
  <si>
    <t>13:03</t>
  </si>
  <si>
    <t>94:10</t>
  </si>
  <si>
    <t>15:42</t>
  </si>
  <si>
    <t>518:22</t>
  </si>
  <si>
    <t>11:16</t>
  </si>
  <si>
    <t>1044:57</t>
  </si>
  <si>
    <t>1054:22</t>
  </si>
  <si>
    <t>485:45</t>
  </si>
  <si>
    <t>979:04</t>
  </si>
  <si>
    <t>632:36</t>
  </si>
  <si>
    <t>813:13</t>
  </si>
  <si>
    <t>839:43</t>
  </si>
  <si>
    <t>549:07</t>
  </si>
  <si>
    <t>10:59</t>
  </si>
  <si>
    <t>727:51</t>
  </si>
  <si>
    <t>436:11</t>
  </si>
  <si>
    <t>10:09</t>
  </si>
  <si>
    <t>509:15</t>
  </si>
  <si>
    <t>12:25</t>
  </si>
  <si>
    <t>862:34</t>
  </si>
  <si>
    <t>15:58</t>
  </si>
  <si>
    <t>739:35</t>
  </si>
  <si>
    <t>829:02</t>
  </si>
  <si>
    <t>19:17</t>
  </si>
  <si>
    <t>203:30</t>
  </si>
  <si>
    <t>8:08</t>
  </si>
  <si>
    <t>866:02</t>
  </si>
  <si>
    <t>408:39</t>
  </si>
  <si>
    <t>9:58</t>
  </si>
  <si>
    <t>547:01</t>
  </si>
  <si>
    <t>373:02</t>
  </si>
  <si>
    <t>1230:10</t>
  </si>
  <si>
    <t>810:23</t>
  </si>
  <si>
    <t>1158:06</t>
  </si>
  <si>
    <t>20:19</t>
  </si>
  <si>
    <t>869:26</t>
  </si>
  <si>
    <t>19:19</t>
  </si>
  <si>
    <t>787:42</t>
  </si>
  <si>
    <t>434:53</t>
  </si>
  <si>
    <t>630:12</t>
  </si>
  <si>
    <t>343:42</t>
  </si>
  <si>
    <t>12:17</t>
  </si>
  <si>
    <t>607:31</t>
  </si>
  <si>
    <t>13:48</t>
  </si>
  <si>
    <t>482:48</t>
  </si>
  <si>
    <t>8:28</t>
  </si>
  <si>
    <t>454:11</t>
  </si>
  <si>
    <t>600:10</t>
  </si>
  <si>
    <t>14:17</t>
  </si>
  <si>
    <t>519:59</t>
  </si>
  <si>
    <t>1210:59</t>
  </si>
  <si>
    <t>20:53</t>
  </si>
  <si>
    <t>872:28</t>
  </si>
  <si>
    <t>550:29</t>
  </si>
  <si>
    <t>894:13</t>
  </si>
  <si>
    <t>448:14</t>
  </si>
  <si>
    <t>1100:41</t>
  </si>
  <si>
    <t>306:59</t>
  </si>
  <si>
    <t>7:08</t>
  </si>
  <si>
    <t>312:40</t>
  </si>
  <si>
    <t>598:38</t>
  </si>
  <si>
    <t>514:07</t>
  </si>
  <si>
    <t>313:24</t>
  </si>
  <si>
    <t>600:35</t>
  </si>
  <si>
    <t>13:58</t>
  </si>
  <si>
    <t>395:32</t>
  </si>
  <si>
    <t>774:23</t>
  </si>
  <si>
    <t>17:36</t>
  </si>
  <si>
    <t>1054:02</t>
  </si>
  <si>
    <t>1157:17</t>
  </si>
  <si>
    <t>468:40</t>
  </si>
  <si>
    <t>524:12</t>
  </si>
  <si>
    <t>352:36</t>
  </si>
  <si>
    <t>13:04</t>
  </si>
  <si>
    <t>934:38</t>
  </si>
  <si>
    <t>1045:32</t>
  </si>
  <si>
    <t>791:02</t>
  </si>
  <si>
    <t>15:31</t>
  </si>
  <si>
    <t>880:18</t>
  </si>
  <si>
    <t>88:27</t>
  </si>
  <si>
    <t>14:45</t>
  </si>
  <si>
    <t>3TM</t>
  </si>
  <si>
    <t>1076:03</t>
  </si>
  <si>
    <t>508:08</t>
  </si>
  <si>
    <t>20:20</t>
  </si>
  <si>
    <t>587:42</t>
  </si>
  <si>
    <t>180:02</t>
  </si>
  <si>
    <t>553:18</t>
  </si>
  <si>
    <t>10:51</t>
  </si>
  <si>
    <t>998:13</t>
  </si>
  <si>
    <t>17:31</t>
  </si>
  <si>
    <t>646:44</t>
  </si>
  <si>
    <t>509:54</t>
  </si>
  <si>
    <t>495:26</t>
  </si>
  <si>
    <t>636:57</t>
  </si>
  <si>
    <t>360:17</t>
  </si>
  <si>
    <t>977:31</t>
  </si>
  <si>
    <t>359:15</t>
  </si>
  <si>
    <t>817:35</t>
  </si>
  <si>
    <t>697:14</t>
  </si>
  <si>
    <t>554:46</t>
  </si>
  <si>
    <t>497:27</t>
  </si>
  <si>
    <t>186:52</t>
  </si>
  <si>
    <t>717:21</t>
  </si>
  <si>
    <t>15:36</t>
  </si>
  <si>
    <t>428:41</t>
  </si>
  <si>
    <t>10:39</t>
  </si>
  <si>
    <t>543:36</t>
  </si>
  <si>
    <t>682:39</t>
  </si>
  <si>
    <t>432:37</t>
  </si>
  <si>
    <t>11:23</t>
  </si>
  <si>
    <t>292:24</t>
  </si>
  <si>
    <t>505:55</t>
  </si>
  <si>
    <t>401:32</t>
  </si>
  <si>
    <t>200:58</t>
  </si>
  <si>
    <t>590:22</t>
  </si>
  <si>
    <t>1063:24</t>
  </si>
  <si>
    <t>1144:30</t>
  </si>
  <si>
    <t>924:48</t>
  </si>
  <si>
    <t>662:13</t>
  </si>
  <si>
    <t>325:51</t>
  </si>
  <si>
    <t>531:23</t>
  </si>
  <si>
    <t>450:30</t>
  </si>
  <si>
    <t>564:33</t>
  </si>
  <si>
    <t>690:59</t>
  </si>
  <si>
    <t>400:46</t>
  </si>
  <si>
    <t>276:02</t>
  </si>
  <si>
    <t>254:12</t>
  </si>
  <si>
    <t>69:09</t>
  </si>
  <si>
    <t>447:02</t>
  </si>
  <si>
    <t>351:14</t>
  </si>
  <si>
    <t>684:57</t>
  </si>
  <si>
    <t>19:34</t>
  </si>
  <si>
    <t>307:16</t>
  </si>
  <si>
    <t>299:03</t>
  </si>
  <si>
    <t>237:31</t>
  </si>
  <si>
    <t>7:55</t>
  </si>
  <si>
    <t>107:42</t>
  </si>
  <si>
    <t>312:21</t>
  </si>
  <si>
    <t>236:18</t>
  </si>
  <si>
    <t>811:24</t>
  </si>
  <si>
    <t>277:32</t>
  </si>
  <si>
    <t>236:29</t>
  </si>
  <si>
    <t>9:28</t>
  </si>
  <si>
    <t>299:46</t>
  </si>
  <si>
    <t>131:12</t>
  </si>
  <si>
    <t>107:11</t>
  </si>
  <si>
    <t>295:15</t>
  </si>
  <si>
    <t>410:12</t>
  </si>
  <si>
    <t>371:29</t>
  </si>
  <si>
    <t>8:38</t>
  </si>
  <si>
    <t>218:05</t>
  </si>
  <si>
    <t>187:12</t>
  </si>
  <si>
    <t>374:57</t>
  </si>
  <si>
    <t>146:24</t>
  </si>
  <si>
    <t>164:15</t>
  </si>
  <si>
    <t>309:50</t>
  </si>
  <si>
    <t>210:08</t>
  </si>
  <si>
    <t>864:25</t>
  </si>
  <si>
    <t>425:33</t>
  </si>
  <si>
    <t>491:38</t>
  </si>
  <si>
    <t>425:19</t>
  </si>
  <si>
    <t>1983:43</t>
  </si>
  <si>
    <t>58:21</t>
  </si>
  <si>
    <t>185:08</t>
  </si>
  <si>
    <t>8:25</t>
  </si>
  <si>
    <t>604:27</t>
  </si>
  <si>
    <t>10:48</t>
  </si>
  <si>
    <t>360:39</t>
  </si>
  <si>
    <t>16:24</t>
  </si>
  <si>
    <t>95:09</t>
  </si>
  <si>
    <t>7:56</t>
  </si>
  <si>
    <t>343:19</t>
  </si>
  <si>
    <t>226:34</t>
  </si>
  <si>
    <t>131:31</t>
  </si>
  <si>
    <t>173:09</t>
  </si>
  <si>
    <t>127:44</t>
  </si>
  <si>
    <t>491:05</t>
  </si>
  <si>
    <t>10:14</t>
  </si>
  <si>
    <t>Avery Hayes</t>
  </si>
  <si>
    <t>204:04</t>
  </si>
  <si>
    <t>260:48</t>
  </si>
  <si>
    <t>241:12</t>
  </si>
  <si>
    <t>210:45</t>
  </si>
  <si>
    <t>1516:10</t>
  </si>
  <si>
    <t>58:19</t>
  </si>
  <si>
    <t>422:59</t>
  </si>
  <si>
    <t>9:24</t>
  </si>
  <si>
    <t>303:13</t>
  </si>
  <si>
    <t>42:44</t>
  </si>
  <si>
    <t>2643:41</t>
  </si>
  <si>
    <t>58:45</t>
  </si>
  <si>
    <t>164:35</t>
  </si>
  <si>
    <t>1704:05</t>
  </si>
  <si>
    <t>30:49</t>
  </si>
  <si>
    <t>7:42</t>
  </si>
  <si>
    <t>2317:51</t>
  </si>
  <si>
    <t>57:57</t>
  </si>
  <si>
    <t>1638:15</t>
  </si>
  <si>
    <t>60:41</t>
  </si>
  <si>
    <t>701:20</t>
  </si>
  <si>
    <t>53:57</t>
  </si>
  <si>
    <t>731:34</t>
  </si>
  <si>
    <t>52:15</t>
  </si>
  <si>
    <t>104:25</t>
  </si>
  <si>
    <t>352:49</t>
  </si>
  <si>
    <t>1501:55</t>
  </si>
  <si>
    <t>55:38</t>
  </si>
  <si>
    <t>1122:39</t>
  </si>
  <si>
    <t>2364:22</t>
  </si>
  <si>
    <t>59:07</t>
  </si>
  <si>
    <t>2279:10</t>
  </si>
  <si>
    <t>1858:44</t>
  </si>
  <si>
    <t>909:34</t>
  </si>
  <si>
    <t>50:32</t>
  </si>
  <si>
    <t>45:10</t>
  </si>
  <si>
    <t>15:03</t>
  </si>
  <si>
    <t>1117:35</t>
  </si>
  <si>
    <t>55:53</t>
  </si>
  <si>
    <t>188:47</t>
  </si>
  <si>
    <t>11:06</t>
  </si>
  <si>
    <t>1299:49</t>
  </si>
  <si>
    <t>2236:49</t>
  </si>
  <si>
    <t>57:21</t>
  </si>
  <si>
    <t>1316:19</t>
  </si>
  <si>
    <t>57:14</t>
  </si>
  <si>
    <t>Ville Heinola</t>
  </si>
  <si>
    <t>Mikulas Hovorka</t>
  </si>
  <si>
    <t>Arttu Hyry</t>
  </si>
  <si>
    <t>10:25</t>
  </si>
  <si>
    <t>1434:09</t>
  </si>
  <si>
    <t>55:10</t>
  </si>
  <si>
    <t>623:24</t>
  </si>
  <si>
    <t>51:57</t>
  </si>
  <si>
    <t>1246:58</t>
  </si>
  <si>
    <t>56:41</t>
  </si>
  <si>
    <t>118:17</t>
  </si>
  <si>
    <t>8:27</t>
  </si>
  <si>
    <t>414:24</t>
  </si>
  <si>
    <t>59:12</t>
  </si>
  <si>
    <t>240:54</t>
  </si>
  <si>
    <t>2091:04</t>
  </si>
  <si>
    <t>59:45</t>
  </si>
  <si>
    <t>933:27</t>
  </si>
  <si>
    <t>54:55</t>
  </si>
  <si>
    <t>1101:19</t>
  </si>
  <si>
    <t>57:58</t>
  </si>
  <si>
    <t>554:50</t>
  </si>
  <si>
    <t>55:29</t>
  </si>
  <si>
    <t>36:33</t>
  </si>
  <si>
    <t>1950:35</t>
  </si>
  <si>
    <t>57:22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</si>
</sst>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%"/>
  </numFmts>
  <fonts count="8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37415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/>
      <bottom style="thin">
        <color theme="9" tint="0.39997558519241921"/>
      </bottom>
      <diagonal/>
    </border>
    <border>
      <left/>
      <right style="thin">
        <color theme="9"/>
      </right>
      <top/>
      <bottom style="thin">
        <color theme="9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2" fillId="0" borderId="1" xfId="0" applyFont="1" applyBorder="1"/>
    <xf numFmtId="0" fontId="2" fillId="0" borderId="2" xfId="0" applyFont="1" applyBorder="1"/>
    <xf numFmtId="0" fontId="1" fillId="0" borderId="0" xfId="0" applyFont="1"/>
    <xf numFmtId="0" fontId="2" fillId="0" borderId="0" xfId="0" applyFont="1"/>
    <xf numFmtId="0" fontId="5" fillId="0" borderId="0" xfId="0" applyFont="1"/>
    <xf numFmtId="9" fontId="0" fillId="0" borderId="0" xfId="1" applyFont="1"/>
    <xf numFmtId="10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9" fontId="7" fillId="0" borderId="0" xfId="0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3" formatCode="0%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Conte" refreshedDate="46000.668938078707" createdVersion="8" refreshedVersion="8" minRefreshableVersion="3" recordCount="32" xr:uid="{351FAC1D-E8D9-6C41-93C8-9C8200E5A023}">
  <cacheSource type="worksheet">
    <worksheetSource ref="A6:B38" sheet="NHL Model"/>
  </cacheSource>
  <cacheFields count="2">
    <cacheField name="Teams" numFmtId="0">
      <sharedItems count="32">
        <s v="Anaheim Ducks"/>
        <s v="Boston Bruins"/>
        <s v="Buffalo Sabres"/>
        <s v="Calgary Flames"/>
        <s v="Carolina Hurricanes"/>
        <s v="Chicago Blackhawks"/>
        <s v="Colorado Avalanche"/>
        <s v="Columbus Blue Jackets"/>
        <s v="Dallas Stars"/>
        <s v="Detroit Red Wings"/>
        <s v="Edmonton Oilers"/>
        <s v="Florida Panthers"/>
        <s v="Los Angeles Kings"/>
        <s v="Minnesota Wild"/>
        <s v="Montreal Canadiens"/>
        <s v="Nashville Predators"/>
        <s v="New Jersey Devils"/>
        <s v="New York Islanders"/>
        <s v="New York Rangers"/>
        <s v="Ottawa Senators"/>
        <s v="Philadelphia Flyers"/>
        <s v="Pittsburgh Penguins"/>
        <s v="San Jose Sharks"/>
        <s v="Seattle Kraken"/>
        <s v="St. Louis Blues"/>
        <s v="Tampa Bay Lightning"/>
        <s v="Toronto Maple Leafs"/>
        <s v="Utah Mammoth"/>
        <s v="Vancouver Canucks"/>
        <s v="Vegas Golden Knights"/>
        <s v="Washington Capitals"/>
        <s v="Winnipeg Jets"/>
      </sharedItems>
    </cacheField>
    <cacheField name="Rating" numFmtId="0">
      <sharedItems containsSemiMixedTypes="0" containsString="0" containsNumber="1" minValue="-0.95902828912897697" maxValue="1.68568865768572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Conte" refreshedDate="46000.668938541668" createdVersion="8" refreshedVersion="8" minRefreshableVersion="3" recordCount="32" xr:uid="{08FE906C-B966-1C47-96E4-36DEA2271602}">
  <cacheSource type="worksheet">
    <worksheetSource name="Table1"/>
  </cacheSource>
  <cacheFields count="18">
    <cacheField name="Team" numFmtId="0">
      <sharedItems count="32">
        <s v="Anaheim Ducks"/>
        <s v="Boston Bruins"/>
        <s v="Buffalo Sabres"/>
        <s v="Calgary Flames"/>
        <s v="Carolina Hurricanes"/>
        <s v="Chicago Blackhawks"/>
        <s v="Colorado Avalanche"/>
        <s v="Columbus Blue Jackets"/>
        <s v="Dallas Stars"/>
        <s v="Detroit Red Wings"/>
        <s v="Edmonton Oilers"/>
        <s v="Florida Panthers"/>
        <s v="Los Angeles Kings"/>
        <s v="Minnesota Wild"/>
        <s v="Montreal Canadiens"/>
        <s v="Nashville Predators"/>
        <s v="New Jersey Devils"/>
        <s v="New York Islanders"/>
        <s v="New York Rangers"/>
        <s v="Ottawa Senators"/>
        <s v="Philadelphia Flyers"/>
        <s v="Pittsburgh Penguins"/>
        <s v="San Jose Sharks"/>
        <s v="Seattle Kraken"/>
        <s v="St. Louis Blues"/>
        <s v="Tampa Bay Lightning"/>
        <s v="Toronto Maple Leafs"/>
        <s v="Utah Mammoth"/>
        <s v="Vancouver Canucks"/>
        <s v="Vegas Golden Knights"/>
        <s v="Washington Capitals"/>
        <s v="Winnipeg Jets"/>
      </sharedItems>
    </cacheField>
    <cacheField name="GP" numFmtId="0">
      <sharedItems containsSemiMixedTypes="0" containsString="0" containsNumber="1" containsInteger="1" minValue="27" maxValue="31"/>
    </cacheField>
    <cacheField name="W" numFmtId="0">
      <sharedItems containsSemiMixedTypes="0" containsString="0" containsNumber="1" containsInteger="1" minValue="10" maxValue="21"/>
    </cacheField>
    <cacheField name="L" numFmtId="0">
      <sharedItems containsSemiMixedTypes="0" containsString="0" containsNumber="1" containsInteger="1" minValue="2" maxValue="16"/>
    </cacheField>
    <cacheField name="OTL" numFmtId="0">
      <sharedItems containsSemiMixedTypes="0" containsString="0" containsNumber="1" containsInteger="1" minValue="0" maxValue="8"/>
    </cacheField>
    <cacheField name="PTS" numFmtId="0">
      <sharedItems containsSemiMixedTypes="0" containsString="0" containsNumber="1" containsInteger="1" minValue="24" maxValue="48"/>
    </cacheField>
    <cacheField name="HomeWins" numFmtId="0">
      <sharedItems containsSemiMixedTypes="0" containsString="0" containsNumber="1" containsInteger="1" minValue="3" maxValue="11"/>
    </cacheField>
    <cacheField name="HomeLoss" numFmtId="0">
      <sharedItems containsSemiMixedTypes="0" containsString="0" containsNumber="1" containsInteger="1" minValue="0" maxValue="9"/>
    </cacheField>
    <cacheField name="HomeOTL" numFmtId="0">
      <sharedItems containsSemiMixedTypes="0" containsString="0" containsNumber="1" containsInteger="1" minValue="0" maxValue="4"/>
    </cacheField>
    <cacheField name="AwayWins" numFmtId="0">
      <sharedItems containsSemiMixedTypes="0" containsString="0" containsNumber="1" containsInteger="1" minValue="2" maxValue="12"/>
    </cacheField>
    <cacheField name="AwayLoss" numFmtId="0">
      <sharedItems containsSemiMixedTypes="0" containsString="0" containsNumber="1" containsInteger="1" minValue="1" maxValue="11"/>
    </cacheField>
    <cacheField name="AwayOTL" numFmtId="0">
      <sharedItems containsSemiMixedTypes="0" containsString="0" containsNumber="1" containsInteger="1" minValue="0" maxValue="4"/>
    </cacheField>
    <cacheField name="HomeWin%" numFmtId="9">
      <sharedItems containsSemiMixedTypes="0" containsString="0" containsNumber="1" minValue="0.21428571428571427" maxValue="0.84615384615384615"/>
    </cacheField>
    <cacheField name="AwayWin%" numFmtId="9">
      <sharedItems containsSemiMixedTypes="0" containsString="0" containsNumber="1" minValue="0.15384615384615385" maxValue="0.70588235294117652"/>
    </cacheField>
    <cacheField name="Home Goals per Game" numFmtId="2">
      <sharedItems containsSemiMixedTypes="0" containsString="0" containsNumber="1" minValue="2.1538461538461537" maxValue="4.6923076923076925"/>
    </cacheField>
    <cacheField name="Away Goals per Game" numFmtId="2">
      <sharedItems containsSemiMixedTypes="0" containsString="0" containsNumber="1" minValue="2.6153846153846154" maxValue="3.8461538461538463"/>
    </cacheField>
    <cacheField name="Home Goals Against" numFmtId="2">
      <sharedItems containsSemiMixedTypes="0" containsString="0" containsNumber="1" minValue="2.4166666666666665" maxValue="4.0714285714285712"/>
    </cacheField>
    <cacheField name="Away Goals Against" numFmtId="2">
      <sharedItems containsSemiMixedTypes="0" containsString="0" containsNumber="1" minValue="2.3571428571428572" maxValue="4.46153846153846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0.43613316262217472"/>
  </r>
  <r>
    <x v="1"/>
    <n v="0.20397886263987045"/>
  </r>
  <r>
    <x v="2"/>
    <n v="-0.44950550993553839"/>
  </r>
  <r>
    <x v="3"/>
    <n v="-0.57192591771422041"/>
  </r>
  <r>
    <x v="4"/>
    <n v="0.49088808424516167"/>
  </r>
  <r>
    <x v="5"/>
    <n v="-0.26132137825065499"/>
  </r>
  <r>
    <x v="6"/>
    <n v="1.6856886576857246"/>
  </r>
  <r>
    <x v="7"/>
    <n v="-0.25187088001983798"/>
  </r>
  <r>
    <x v="8"/>
    <n v="0.85025761579570769"/>
  </r>
  <r>
    <x v="9"/>
    <n v="-0.35553539726179545"/>
  </r>
  <r>
    <x v="10"/>
    <n v="-0.21956253576397294"/>
  </r>
  <r>
    <x v="11"/>
    <n v="-0.10058357576172909"/>
  </r>
  <r>
    <x v="12"/>
    <n v="0.15754466068345471"/>
  </r>
  <r>
    <x v="13"/>
    <n v="0.11674567966052608"/>
  </r>
  <r>
    <x v="14"/>
    <n v="-0.31957554563279467"/>
  </r>
  <r>
    <x v="15"/>
    <n v="-0.87778808109133233"/>
  </r>
  <r>
    <x v="16"/>
    <n v="-3.0328717719063224E-4"/>
  </r>
  <r>
    <x v="17"/>
    <n v="0.29798772063901746"/>
  </r>
  <r>
    <x v="18"/>
    <n v="0.15808020053782848"/>
  </r>
  <r>
    <x v="19"/>
    <n v="-0.18714922943714346"/>
  </r>
  <r>
    <x v="20"/>
    <n v="6.8528022263450963E-2"/>
  </r>
  <r>
    <x v="21"/>
    <n v="0.25778583807642019"/>
  </r>
  <r>
    <x v="22"/>
    <n v="-0.25953570246830515"/>
  </r>
  <r>
    <x v="23"/>
    <n v="-0.61063250539825409"/>
  </r>
  <r>
    <x v="24"/>
    <n v="-0.95902828912897697"/>
  </r>
  <r>
    <x v="25"/>
    <n v="0.58165461561244369"/>
  </r>
  <r>
    <x v="26"/>
    <n v="2.8027571166317201E-2"/>
  </r>
  <r>
    <x v="27"/>
    <n v="9.3374772766298117E-2"/>
  </r>
  <r>
    <x v="28"/>
    <n v="-0.71903499591874431"/>
  </r>
  <r>
    <x v="29"/>
    <n v="0.22370573841653135"/>
  </r>
  <r>
    <x v="30"/>
    <n v="0.95516228160340044"/>
  </r>
  <r>
    <x v="31"/>
    <n v="-0.10065430166587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29"/>
    <n v="18"/>
    <n v="10"/>
    <n v="1"/>
    <n v="37"/>
    <n v="11"/>
    <n v="4"/>
    <n v="0"/>
    <n v="7"/>
    <n v="6"/>
    <n v="1"/>
    <n v="0.73333333333333328"/>
    <n v="0.5"/>
    <n v="4.1428571428571432"/>
    <n v="3.7692307692307692"/>
    <n v="3"/>
    <n v="3.5714285714285716"/>
  </r>
  <r>
    <x v="1"/>
    <n v="30"/>
    <n v="17"/>
    <n v="13"/>
    <n v="0"/>
    <n v="34"/>
    <n v="11"/>
    <n v="5"/>
    <n v="0"/>
    <n v="6"/>
    <n v="8"/>
    <n v="0"/>
    <n v="0.6875"/>
    <n v="0.42857142857142855"/>
    <n v="3.4375"/>
    <n v="2.9285714285714284"/>
    <n v="2.875"/>
    <n v="3.4285714285714284"/>
  </r>
  <r>
    <x v="2"/>
    <n v="29"/>
    <n v="11"/>
    <n v="14"/>
    <n v="4"/>
    <n v="26"/>
    <n v="9"/>
    <n v="5"/>
    <n v="2"/>
    <n v="2"/>
    <n v="9"/>
    <n v="2"/>
    <n v="0.5625"/>
    <n v="0.15384615384615385"/>
    <n v="4.1538461538461542"/>
    <n v="2.6153846153846154"/>
    <n v="3"/>
    <n v="4.4615384615384617"/>
  </r>
  <r>
    <x v="3"/>
    <n v="31"/>
    <n v="12"/>
    <n v="15"/>
    <n v="4"/>
    <n v="28"/>
    <n v="7"/>
    <n v="4"/>
    <n v="2"/>
    <n v="5"/>
    <n v="11"/>
    <n v="2"/>
    <n v="0.53846153846153844"/>
    <n v="0.27777777777777779"/>
    <n v="3.0833333333333335"/>
    <n v="2.625"/>
    <n v="2.6363636363636362"/>
    <n v="3.5"/>
  </r>
  <r>
    <x v="4"/>
    <n v="28"/>
    <n v="17"/>
    <n v="9"/>
    <n v="2"/>
    <n v="36"/>
    <n v="9"/>
    <n v="5"/>
    <n v="1"/>
    <n v="8"/>
    <n v="4"/>
    <n v="1"/>
    <n v="0.6"/>
    <n v="0.61538461538461542"/>
    <n v="3.5333333333333332"/>
    <n v="3.1538461538461537"/>
    <n v="3.4285714285714284"/>
    <n v="2.8333333333333335"/>
  </r>
  <r>
    <x v="5"/>
    <n v="29"/>
    <n v="12"/>
    <n v="11"/>
    <n v="6"/>
    <n v="30"/>
    <n v="6"/>
    <n v="5"/>
    <n v="3"/>
    <n v="6"/>
    <n v="6"/>
    <n v="3"/>
    <n v="0.42857142857142855"/>
    <n v="0.4"/>
    <n v="3.1538461538461537"/>
    <n v="3.2142857142857144"/>
    <n v="2.6428571428571428"/>
    <n v="3.8571428571428572"/>
  </r>
  <r>
    <x v="6"/>
    <n v="29"/>
    <n v="21"/>
    <n v="2"/>
    <n v="6"/>
    <n v="48"/>
    <n v="11"/>
    <n v="0"/>
    <n v="2"/>
    <n v="10"/>
    <n v="2"/>
    <n v="4"/>
    <n v="0.84615384615384615"/>
    <n v="0.625"/>
    <n v="4.6923076923076925"/>
    <n v="3.375"/>
    <n v="2.4166666666666665"/>
    <n v="2.6428571428571428"/>
  </r>
  <r>
    <x v="7"/>
    <n v="29"/>
    <n v="13"/>
    <n v="10"/>
    <n v="6"/>
    <n v="32"/>
    <n v="6"/>
    <n v="3"/>
    <n v="3"/>
    <n v="7"/>
    <n v="7"/>
    <n v="3"/>
    <n v="0.5"/>
    <n v="0.41176470588235292"/>
    <n v="3"/>
    <n v="3.375"/>
    <n v="3.25"/>
    <n v="3.5294117647058822"/>
  </r>
  <r>
    <x v="8"/>
    <n v="30"/>
    <n v="20"/>
    <n v="5"/>
    <n v="5"/>
    <n v="45"/>
    <n v="10"/>
    <n v="4"/>
    <n v="1"/>
    <n v="10"/>
    <n v="1"/>
    <n v="4"/>
    <n v="0.66666666666666663"/>
    <n v="0.66666666666666663"/>
    <n v="3.3333333333333335"/>
    <n v="3.6666666666666665"/>
    <n v="2.7857142857142856"/>
    <n v="2.9230769230769229"/>
  </r>
  <r>
    <x v="9"/>
    <n v="30"/>
    <n v="16"/>
    <n v="11"/>
    <n v="3"/>
    <n v="35"/>
    <n v="9"/>
    <n v="6"/>
    <n v="1"/>
    <n v="7"/>
    <n v="5"/>
    <n v="2"/>
    <n v="0.5625"/>
    <n v="0.5"/>
    <n v="3.6"/>
    <n v="3.1538461538461537"/>
    <n v="3.6875"/>
    <n v="3.3076923076923075"/>
  </r>
  <r>
    <x v="10"/>
    <n v="29"/>
    <n v="13"/>
    <n v="11"/>
    <n v="5"/>
    <n v="31"/>
    <n v="7"/>
    <n v="3"/>
    <n v="2"/>
    <n v="6"/>
    <n v="8"/>
    <n v="3"/>
    <n v="0.58333333333333337"/>
    <n v="0.35294117647058826"/>
    <n v="4.3636363636363633"/>
    <n v="2.8235294117647061"/>
    <n v="3.9166666666666665"/>
    <n v="3.6666666666666665"/>
  </r>
  <r>
    <x v="11"/>
    <n v="28"/>
    <n v="14"/>
    <n v="12"/>
    <n v="2"/>
    <n v="30"/>
    <n v="10"/>
    <n v="6"/>
    <n v="2"/>
    <n v="4"/>
    <n v="6"/>
    <n v="0"/>
    <n v="0.55555555555555558"/>
    <n v="0.4"/>
    <n v="3.3333333333333335"/>
    <n v="3.1111111111111112"/>
    <n v="3.4375"/>
    <n v="3.5"/>
  </r>
  <r>
    <x v="12"/>
    <n v="29"/>
    <n v="14"/>
    <n v="8"/>
    <n v="7"/>
    <n v="35"/>
    <n v="4"/>
    <n v="6"/>
    <n v="3"/>
    <n v="10"/>
    <n v="2"/>
    <n v="4"/>
    <n v="0.30769230769230771"/>
    <n v="0.625"/>
    <n v="2.1538461538461537"/>
    <n v="3.25"/>
    <n v="3.0909090909090908"/>
    <n v="2.8666666666666667"/>
  </r>
  <r>
    <x v="13"/>
    <n v="30"/>
    <n v="16"/>
    <n v="9"/>
    <n v="5"/>
    <n v="37"/>
    <n v="8"/>
    <n v="3"/>
    <n v="4"/>
    <n v="8"/>
    <n v="6"/>
    <n v="1"/>
    <n v="0.53333333333333333"/>
    <n v="0.53333333333333333"/>
    <n v="2.9333333333333331"/>
    <n v="2.7333333333333334"/>
    <n v="3.5384615384615383"/>
    <n v="3.1818181818181817"/>
  </r>
  <r>
    <x v="14"/>
    <n v="28"/>
    <n v="15"/>
    <n v="10"/>
    <n v="3"/>
    <n v="33"/>
    <n v="7"/>
    <n v="7"/>
    <n v="1"/>
    <n v="8"/>
    <n v="3"/>
    <n v="2"/>
    <n v="0.46666666666666667"/>
    <n v="0.61538461538461542"/>
    <n v="3.5"/>
    <n v="3.3076923076923075"/>
    <n v="3.8666666666666667"/>
    <n v="3.1538461538461537"/>
  </r>
  <r>
    <x v="15"/>
    <n v="28"/>
    <n v="10"/>
    <n v="14"/>
    <n v="4"/>
    <n v="24"/>
    <n v="6"/>
    <n v="8"/>
    <n v="2"/>
    <n v="4"/>
    <n v="6"/>
    <n v="2"/>
    <n v="0.375"/>
    <n v="0.33333333333333331"/>
    <n v="2.8"/>
    <n v="2.9090909090909092"/>
    <n v="3.4375"/>
    <n v="3.75"/>
  </r>
  <r>
    <x v="16"/>
    <n v="29"/>
    <n v="16"/>
    <n v="12"/>
    <n v="1"/>
    <n v="33"/>
    <n v="9"/>
    <n v="4"/>
    <n v="1"/>
    <n v="7"/>
    <n v="8"/>
    <n v="0"/>
    <n v="0.6428571428571429"/>
    <n v="0.46666666666666667"/>
    <n v="3.3333333333333335"/>
    <n v="3.1428571428571428"/>
    <n v="2.6428571428571428"/>
    <n v="3.7142857142857144"/>
  </r>
  <r>
    <x v="17"/>
    <n v="30"/>
    <n v="16"/>
    <n v="11"/>
    <n v="3"/>
    <n v="35"/>
    <n v="7"/>
    <n v="6"/>
    <n v="2"/>
    <n v="9"/>
    <n v="5"/>
    <n v="1"/>
    <n v="0.46666666666666667"/>
    <n v="0.6"/>
    <n v="2.8"/>
    <n v="3"/>
    <n v="3.1428571428571428"/>
    <n v="3.4166666666666665"/>
  </r>
  <r>
    <x v="18"/>
    <n v="31"/>
    <n v="15"/>
    <n v="12"/>
    <n v="4"/>
    <n v="34"/>
    <n v="3"/>
    <n v="8"/>
    <n v="3"/>
    <n v="12"/>
    <n v="4"/>
    <n v="1"/>
    <n v="0.21428571428571427"/>
    <n v="0.70588235294117652"/>
    <n v="2.6666666666666665"/>
    <n v="3.4705882352941178"/>
    <n v="3"/>
    <n v="2.6"/>
  </r>
  <r>
    <x v="19"/>
    <n v="28"/>
    <n v="13"/>
    <n v="11"/>
    <n v="4"/>
    <n v="30"/>
    <n v="6"/>
    <n v="5"/>
    <n v="2"/>
    <n v="7"/>
    <n v="6"/>
    <n v="2"/>
    <n v="0.46153846153846156"/>
    <n v="0.46666666666666667"/>
    <n v="3.1666666666666665"/>
    <n v="3.2666666666666666"/>
    <n v="2.7692307692307692"/>
    <n v="3.7333333333333334"/>
  </r>
  <r>
    <x v="20"/>
    <n v="27"/>
    <n v="15"/>
    <n v="9"/>
    <n v="3"/>
    <n v="33"/>
    <n v="9"/>
    <n v="5"/>
    <n v="2"/>
    <n v="6"/>
    <n v="4"/>
    <n v="1"/>
    <n v="0.5625"/>
    <n v="0.54545454545454541"/>
    <n v="3"/>
    <n v="3.3"/>
    <n v="2.6875"/>
    <n v="3.0909090909090908"/>
  </r>
  <r>
    <x v="21"/>
    <n v="27"/>
    <n v="14"/>
    <n v="7"/>
    <n v="6"/>
    <n v="34"/>
    <n v="6"/>
    <n v="4"/>
    <n v="2"/>
    <n v="8"/>
    <n v="3"/>
    <n v="4"/>
    <n v="0.5"/>
    <n v="0.53333333333333333"/>
    <n v="3.5454545454545454"/>
    <n v="3.0666666666666669"/>
    <n v="3.7272727272727271"/>
    <n v="2.7692307692307692"/>
  </r>
  <r>
    <x v="22"/>
    <n v="30"/>
    <n v="14"/>
    <n v="13"/>
    <n v="3"/>
    <n v="31"/>
    <n v="9"/>
    <n v="5"/>
    <n v="3"/>
    <n v="5"/>
    <n v="8"/>
    <n v="0"/>
    <n v="0.52941176470588236"/>
    <n v="0.38461538461538464"/>
    <n v="3.125"/>
    <n v="3.2727272727272729"/>
    <n v="3.1176470588235294"/>
    <n v="3.5384615384615383"/>
  </r>
  <r>
    <x v="23"/>
    <n v="27"/>
    <n v="11"/>
    <n v="10"/>
    <n v="6"/>
    <n v="28"/>
    <n v="6"/>
    <n v="5"/>
    <n v="3"/>
    <n v="5"/>
    <n v="5"/>
    <n v="3"/>
    <n v="0.42857142857142855"/>
    <n v="0.38461538461538464"/>
    <n v="2.5384615384615383"/>
    <n v="2.8333333333333335"/>
    <n v="2.7857142857142856"/>
    <n v="3.6666666666666665"/>
  </r>
  <r>
    <x v="24"/>
    <n v="30"/>
    <n v="11"/>
    <n v="12"/>
    <n v="7"/>
    <n v="29"/>
    <n v="5"/>
    <n v="6"/>
    <n v="4"/>
    <n v="6"/>
    <n v="6"/>
    <n v="3"/>
    <n v="0.33333333333333331"/>
    <n v="0.4"/>
    <n v="2.6428571428571428"/>
    <n v="2.6666666666666665"/>
    <n v="4.0714285714285712"/>
    <n v="3.3571428571428572"/>
  </r>
  <r>
    <x v="25"/>
    <n v="29"/>
    <n v="16"/>
    <n v="11"/>
    <n v="2"/>
    <n v="34"/>
    <n v="8"/>
    <n v="7"/>
    <n v="0"/>
    <n v="8"/>
    <n v="4"/>
    <n v="2"/>
    <n v="0.53333333333333333"/>
    <n v="0.5714285714285714"/>
    <n v="3.0714285714285716"/>
    <n v="3.4615384615384617"/>
    <n v="3"/>
    <n v="2.3571428571428572"/>
  </r>
  <r>
    <x v="26"/>
    <n v="29"/>
    <n v="14"/>
    <n v="11"/>
    <n v="4"/>
    <n v="32"/>
    <n v="9"/>
    <n v="4"/>
    <n v="4"/>
    <n v="5"/>
    <n v="7"/>
    <n v="0"/>
    <n v="0.52941176470588236"/>
    <n v="0.41666666666666669"/>
    <n v="3.2941176470588234"/>
    <n v="3.4166666666666665"/>
    <n v="3.25"/>
    <n v="3.4166666666666665"/>
  </r>
  <r>
    <x v="27"/>
    <n v="31"/>
    <n v="14"/>
    <n v="14"/>
    <n v="3"/>
    <n v="31"/>
    <n v="7"/>
    <n v="4"/>
    <n v="1"/>
    <n v="7"/>
    <n v="10"/>
    <n v="2"/>
    <n v="0.58333333333333337"/>
    <n v="0.36842105263157893"/>
    <n v="3.25"/>
    <n v="3.1764705882352939"/>
    <n v="2.75"/>
    <n v="3.1666666666666665"/>
  </r>
  <r>
    <x v="28"/>
    <n v="30"/>
    <n v="11"/>
    <n v="16"/>
    <n v="3"/>
    <n v="25"/>
    <n v="4"/>
    <n v="9"/>
    <n v="1"/>
    <n v="7"/>
    <n v="7"/>
    <n v="2"/>
    <n v="0.2857142857142857"/>
    <n v="0.4375"/>
    <n v="3"/>
    <n v="3.0625"/>
    <n v="3.7142857142857144"/>
    <n v="3.5"/>
  </r>
  <r>
    <x v="29"/>
    <n v="28"/>
    <n v="14"/>
    <n v="6"/>
    <n v="8"/>
    <n v="36"/>
    <n v="7"/>
    <n v="4"/>
    <n v="4"/>
    <n v="7"/>
    <n v="2"/>
    <n v="4"/>
    <n v="0.46666666666666667"/>
    <n v="0.53846153846153844"/>
    <n v="3.3333333333333335"/>
    <n v="3"/>
    <n v="3.5714285714285716"/>
    <n v="2.5833333333333335"/>
  </r>
  <r>
    <x v="30"/>
    <n v="30"/>
    <n v="18"/>
    <n v="9"/>
    <n v="3"/>
    <n v="39"/>
    <n v="10"/>
    <n v="5"/>
    <n v="1"/>
    <n v="8"/>
    <n v="4"/>
    <n v="2"/>
    <n v="0.625"/>
    <n v="0.5714285714285714"/>
    <n v="3.3125"/>
    <n v="3.8461538461538463"/>
    <n v="2.7333333333333334"/>
    <n v="2.6153846153846154"/>
  </r>
  <r>
    <x v="31"/>
    <n v="28"/>
    <n v="14"/>
    <n v="13"/>
    <n v="1"/>
    <n v="29"/>
    <n v="7"/>
    <n v="5"/>
    <n v="0"/>
    <n v="7"/>
    <n v="8"/>
    <n v="1"/>
    <n v="0.58333333333333337"/>
    <n v="0.4375"/>
    <n v="4.0999999999999996"/>
    <n v="2.9333333333333331"/>
    <n v="2.6666666666666665"/>
    <n v="3.3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0C745-CAFA-E54D-921E-DF665E7200D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71" firstHeaderRow="1" firstDataRow="1" firstDataCol="1"/>
  <pivotFields count="18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numFmtId="9"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HomeWin%" fld="12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AB3F2-F676-3143-9A31-CE2A612338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2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Ratin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0000-000000000000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3" name="Visitor" tableColumnId="3"/>
      <queryTableField id="4" name="G" tableColumnId="4"/>
      <queryTableField id="5" name="Home" tableColumnId="5"/>
      <queryTableField id="6" name="G_1" tableColumnId="6"/>
      <queryTableField id="11" name="Column1" tableColumnId="11"/>
      <queryTableField id="7" name="Winning Team" tableColumnId="7"/>
      <queryTableField id="8" name="Losing Team" tableColumnId="8"/>
      <queryTableField id="9" name="Winning_G" tableColumnId="9"/>
      <queryTableField id="10" name="Losing_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FC3D48DD-11F0-0C40-982E-E48A6CAAB3C6}" autoFormatId="16" applyNumberFormats="0" applyBorderFormats="0" applyFontFormats="0" applyPatternFormats="0" applyAlignmentFormats="0" applyWidthHeightFormats="0">
  <queryTableRefresh nextId="21">
    <queryTableFields count="20">
      <queryTableField id="1" name="game_date" tableColumnId="1"/>
      <queryTableField id="2" name="game_time" tableColumnId="2"/>
      <queryTableField id="3" name="home_team" tableColumnId="3"/>
      <queryTableField id="4" name="away_team" tableColumnId="4"/>
      <queryTableField id="5" name="ml_winner" tableColumnId="5"/>
      <queryTableField id="6" name="ml_home_score" tableColumnId="6"/>
      <queryTableField id="7" name="ml_away_score" tableColumnId="7"/>
      <queryTableField id="8" name="ml_confidence" tableColumnId="8"/>
      <queryTableField id="9" name="ml_ot" tableColumnId="9"/>
      <queryTableField id="10" name="excel_winner" tableColumnId="10"/>
      <queryTableField id="11" name="excel_home_score" tableColumnId="11"/>
      <queryTableField id="12" name="excel_away_score" tableColumnId="12"/>
      <queryTableField id="13" name="excel_homeice" tableColumnId="13"/>
      <queryTableField id="14" name="actual_winner" tableColumnId="14"/>
      <queryTableField id="15" name="actual_home_score" tableColumnId="15"/>
      <queryTableField id="16" name="actual_away_score" tableColumnId="16"/>
      <queryTableField id="17" name="actual_ot" tableColumnId="17"/>
      <queryTableField id="18" name="ml_correct" tableColumnId="18"/>
      <queryTableField id="19" name="excel_correct" tableColumnId="19"/>
      <queryTableField id="20" name="statu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858EDEA-B270-D241-A916-078948414E13}" autoFormatId="16" applyNumberFormats="0" applyBorderFormats="0" applyFontFormats="0" applyPatternFormats="0" applyAlignmentFormats="0" applyWidthHeightFormats="0">
  <queryTableRefresh nextId="32">
    <queryTableFields count="31">
      <queryTableField id="1" name="Rk" tableColumnId="1"/>
      <queryTableField id="2" name="Player" tableColumnId="2"/>
      <queryTableField id="3" name="Age" tableColumnId="3"/>
      <queryTableField id="4" name="Team" tableColumnId="4"/>
      <queryTableField id="5" name="Pos" tableColumnId="5"/>
      <queryTableField id="6" name="GP" tableColumnId="6"/>
      <queryTableField id="7" name="G" tableColumnId="7"/>
      <queryTableField id="8" name="A" tableColumnId="8"/>
      <queryTableField id="9" name="PTS" tableColumnId="9"/>
      <queryTableField id="10" name="+/-" tableColumnId="10"/>
      <queryTableField id="11" name="PIM" tableColumnId="11"/>
      <queryTableField id="12" name="EVG_Goals" tableColumnId="12"/>
      <queryTableField id="13" name="PPG_Goals" tableColumnId="13"/>
      <queryTableField id="14" name="SHG_Goals" tableColumnId="14"/>
      <queryTableField id="15" name="GWG_Goals" tableColumnId="15"/>
      <queryTableField id="16" name="EV_Assists" tableColumnId="16"/>
      <queryTableField id="17" name="PP_Assists" tableColumnId="17"/>
      <queryTableField id="18" name="SH_Assists" tableColumnId="18"/>
      <queryTableField id="19" name="SOG" tableColumnId="19"/>
      <queryTableField id="20" name="SPCT" tableColumnId="20"/>
      <queryTableField id="21" name="TSA" tableColumnId="21"/>
      <queryTableField id="22" name="TOI" tableColumnId="22"/>
      <queryTableField id="23" name="ATOI" tableColumnId="23"/>
      <queryTableField id="24" name="FOW" tableColumnId="24"/>
      <queryTableField id="25" name="FOL" tableColumnId="25"/>
      <queryTableField id="26" name="FO%" tableColumnId="26"/>
      <queryTableField id="27" name="BLK" tableColumnId="27"/>
      <queryTableField id="28" name="HIT" tableColumnId="28"/>
      <queryTableField id="29" name="TAKE" tableColumnId="29"/>
      <queryTableField id="30" name="GIVE" tableColumnId="30"/>
      <queryTableField id="31" name="Awards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FDC429-DCD2-7140-8F5E-09F03E80DD20}" name="NHL2025_26Results" displayName="NHL2025_26Results" ref="A1:J1313" tableType="queryTable" totalsRowShown="0">
  <autoFilter ref="A1:J1313" xr:uid="{26FDC429-DCD2-7140-8F5E-09F03E80DD20}"/>
  <tableColumns count="10">
    <tableColumn id="1" xr3:uid="{EF1E8A3C-57D7-6744-AF93-B5FF0761D75C}" uniqueName="1" name="Date" queryTableFieldId="1" dataDxfId="58"/>
    <tableColumn id="3" xr3:uid="{2C87C5E2-BA51-8A42-89C8-535F9675CB8F}" uniqueName="3" name="Visitor" queryTableFieldId="3" dataDxfId="57"/>
    <tableColumn id="4" xr3:uid="{CE6ABB56-546F-BB46-9A09-2A1A92669C31}" uniqueName="4" name="G" queryTableFieldId="4" dataDxfId="56"/>
    <tableColumn id="5" xr3:uid="{C1234731-C200-EA4C-B756-2CA67776A39C}" uniqueName="5" name="Home" queryTableFieldId="5" dataDxfId="55"/>
    <tableColumn id="6" xr3:uid="{339325E9-BBA1-9A48-8657-C4AC5A969A45}" uniqueName="6" name="G_1" queryTableFieldId="6" dataDxfId="54"/>
    <tableColumn id="11" xr3:uid="{D5C53254-CDEF-7A46-97BA-0F3F94C9C0F8}" uniqueName="11" name="Column1" queryTableFieldId="11" dataDxfId="53"/>
    <tableColumn id="7" xr3:uid="{B5B6FE11-231C-D94F-89B8-2EC8FCBF8D0D}" uniqueName="7" name="Winning Team" queryTableFieldId="7"/>
    <tableColumn id="8" xr3:uid="{D8BF0E56-89E6-944B-A3C4-3E0975A135C8}" uniqueName="8" name="Losing Team" queryTableFieldId="8"/>
    <tableColumn id="9" xr3:uid="{B7FF8836-2F9F-D24F-AF10-9EA85E443DB0}" uniqueName="9" name="Winning_G" queryTableFieldId="9" dataDxfId="52"/>
    <tableColumn id="10" xr3:uid="{D8B4237A-01AB-6648-9F38-4F24C83C2F02}" uniqueName="10" name="Losing_G" queryTableFieldId="10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2AB263-30A0-9143-A4CB-E8E85CF645DA}" name="Table3" displayName="Table3" ref="D5:J1317" totalsRowShown="0" headerRowDxfId="50" headerRowBorderDxfId="49" tableBorderDxfId="48">
  <autoFilter ref="D5:J1317" xr:uid="{082AB263-30A0-9143-A4CB-E8E85CF645DA}"/>
  <tableColumns count="7">
    <tableColumn id="1" xr3:uid="{A2DA1977-C625-F248-8922-D45BEAE345E6}" name="Visitor" dataDxfId="47"/>
    <tableColumn id="2" xr3:uid="{7F142366-1AE0-5D45-A506-465FBF578C3A}" name="G" dataDxfId="46"/>
    <tableColumn id="3" xr3:uid="{F73B07A5-94FF-C843-900F-F37684899EAA}" name="Home" dataDxfId="45"/>
    <tableColumn id="4" xr3:uid="{7D6FADB5-28D9-9449-ADC0-599788BF0B16}" name="G_1" dataDxfId="44"/>
    <tableColumn id="5" xr3:uid="{98CF2B62-3F88-D44B-AF59-BE4BB5C0604E}" name="HomeMargin" dataDxfId="43">
      <calculatedColumnFormula>Table3[[#This Row],[G_1]]-Table3[[#This Row],[G]]</calculatedColumnFormula>
    </tableColumn>
    <tableColumn id="6" xr3:uid="{FD0EC919-55F2-CA43-8B92-CA3E6283FCFD}" name="HomeForecast" dataDxfId="42">
      <calculatedColumnFormula>HomeEdge+VLOOKUP(Table3[[#This Row],[Home]],$A$6:$B$38,2,FALSE)-VLOOKUP(Table3[[#This Row],[Visitor]],$A$6:$B$38,2,FALSE)</calculatedColumnFormula>
    </tableColumn>
    <tableColumn id="7" xr3:uid="{0900FDB9-09FA-6B40-889E-92B6F3122384}" name="Squared Difference" dataDxfId="41">
      <calculatedColumnFormula>(Table3[[#This Row],[HomeMargin]]-Table3[[#This Row],[HomeForecast]])^2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40C27F-1AFD-1A45-A69A-42FED3D3591C}" name="Table4" displayName="Table4" ref="D1:R1313" totalsRowShown="0" headerRowDxfId="73" dataDxfId="72">
  <autoFilter ref="D1:R1313" xr:uid="{B940C27F-1AFD-1A45-A69A-42FED3D3591C}"/>
  <tableColumns count="15">
    <tableColumn id="1" xr3:uid="{27200A7D-FC6F-7D47-A38B-8116F873A9D8}" name="Date" dataDxfId="71"/>
    <tableColumn id="2" xr3:uid="{E6247AA5-111B-9544-9F6D-FFC524512888}" name="Time" dataDxfId="70"/>
    <tableColumn id="3" xr3:uid="{EDCD8AB3-2C72-284E-B537-7168C3C8687B}" name="Home" dataDxfId="69"/>
    <tableColumn id="4" xr3:uid="{EC6C1412-AAC2-6646-BF48-0D4526947D52}" name="Home Differential" dataDxfId="68">
      <calculatedColumnFormula>VLOOKUP(Table4[[#This Row],[Home]],'NHL Model'!$A$6:$B$38,2,FALSE)</calculatedColumnFormula>
    </tableColumn>
    <tableColumn id="5" xr3:uid="{67F5F1C4-5CC9-B648-BE7C-7E4EF3A85290}" name="Visitor" dataDxfId="67"/>
    <tableColumn id="6" xr3:uid="{84F489BE-33B4-0E4D-959D-E87A85C1D38D}" name="Away Differential" dataDxfId="66">
      <calculatedColumnFormula>VLOOKUP(Table4[[#This Row],[Visitor]],'NHL Model'!$A$6:$B$38,2,FALSE)</calculatedColumnFormula>
    </tableColumn>
    <tableColumn id="7" xr3:uid="{A6F9ABE3-1844-E54D-9016-325B538D2969}" name="HomeIce Differential" dataDxfId="65">
      <calculatedColumnFormula>($B$1+Table4[[#This Row],[Home Differential]])-Table4[[#This Row],[Away Differential]]</calculatedColumnFormula>
    </tableColumn>
    <tableColumn id="8" xr3:uid="{8FFD520F-0CF9-9D4A-93B6-B45373384612}" name="Predicted Winner" dataDxfId="64">
      <calculatedColumnFormula>IF(Table4[[#This Row],[HomeIce Differential]]&gt;0,Table4[[#This Row],[Home]],Table4[[#This Row],[Visitor]])</calculatedColumnFormula>
    </tableColumn>
    <tableColumn id="11" xr3:uid="{39F44459-E949-BE48-9326-B9627B452C7F}" name="Strength of Win" dataDxfId="63" dataCellStyle="Percent">
      <calculatedColumnFormula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calculatedColumnFormula>
    </tableColumn>
    <tableColumn id="9" xr3:uid="{769A6846-3396-5E42-B6FD-656B73BC81AC}" name="Adjusted Correct" dataDxfId="62">
      <calculatedColumnFormula>IF(OR((NHL2025_26Results[[#This Row],[Winning Team]]="")),"-",IF(Table4[[#This Row],[Predicted Winner]]=NHL2025_26Results[[#This Row],[Winning Team]],"YES","NO"))</calculatedColumnFormula>
    </tableColumn>
    <tableColumn id="12" xr3:uid="{23A5A109-349C-754F-A7EC-DED5841502F5}" name="Error" dataDxfId="61">
      <calculatedColumnFormula>IF(Table4[[#This Row],[Adjusted Correct]]="-", "",IF(Table4[[#This Row],[Adjusted Correct]]="YES",(Table4[[#This Row],[Strength of Win]]-1)^2,(Table4[[#This Row],[Strength of Win]]-0)^2))</calculatedColumnFormula>
    </tableColumn>
    <tableColumn id="14" xr3:uid="{A973287C-4E38-7E4F-B9CF-1E2830C528BF}" name="Locked HomeIce Differential"/>
    <tableColumn id="15" xr3:uid="{36F30536-F21A-F54E-86E5-C07F78FE2C90}" name="Locked Strength of Win" dataCellStyle="Percent"/>
    <tableColumn id="10" xr3:uid="{7C967E26-5EF3-D640-BF8C-C38117E19E9C}" name="Locked Prediction" dataDxfId="60"/>
    <tableColumn id="13" xr3:uid="{F50D85A3-D772-F247-BFBE-86E765FD0BF6}" name="Locked Correct" dataDxfId="59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4B514-E1CC-0949-A7DD-8D37387465DD}" name="Table1" displayName="Table1" ref="A1:R33" totalsRowShown="0" headerRowDxfId="40">
  <autoFilter ref="A1:R33" xr:uid="{1B34B514-E1CC-0949-A7DD-8D37387465DD}"/>
  <tableColumns count="18">
    <tableColumn id="1" xr3:uid="{C9F77F0F-7B0D-CC44-9D34-395D1E3FA55B}" name="Team" dataDxfId="39"/>
    <tableColumn id="2" xr3:uid="{4080CFDD-7980-DD4D-A4DE-25DB03E50B7C}" name="GP" dataDxfId="38">
      <calculatedColumnFormula>SUM(Table1[[#This Row],[W]:[OTL]])</calculatedColumnFormula>
    </tableColumn>
    <tableColumn id="3" xr3:uid="{3C1AB986-0335-3D46-9153-E78ADBAE30F8}" name="W"/>
    <tableColumn id="4" xr3:uid="{4FEE9C55-064E-1147-A8FB-213CF7F16F8E}" name="L" dataDxfId="37">
      <calculatedColumnFormula>COUNTIFS('NHL2025-26Results'!$H:$H,A2,'NHL2025-26Results'!$F:$F,"")</calculatedColumnFormula>
    </tableColumn>
    <tableColumn id="5" xr3:uid="{5EA2DCC3-F71A-5A40-B3F3-8F2F8CB0A7CE}" name="OTL" dataDxfId="36">
      <calculatedColumnFormula>COUNTIFS('NHL2025-26Results'!$F:$F,"OT",'NHL2025-26Results'!$H:$H,A2) + COUNTIFS('NHL2025-26Results'!$F:$F,"SO",'NHL2025-26Results'!$H:$H,A2)</calculatedColumnFormula>
    </tableColumn>
    <tableColumn id="6" xr3:uid="{29726E8F-4315-9A45-99A9-C5F42D047761}" name="PTS" dataDxfId="35">
      <calculatedColumnFormula>(Table1[[#This Row],[W]]*2)+Table1[[#This Row],[OTL]]</calculatedColumnFormula>
    </tableColumn>
    <tableColumn id="7" xr3:uid="{40EA95E8-9958-E040-A5BE-EC17EEDC1CBD}" name="HomeWins" dataDxfId="34">
      <calculatedColumnFormula>COUNTIFS('NHL2025-26Results'!$D:$D,A2,'NHL2025-26Results'!$G:$G,A2)</calculatedColumnFormula>
    </tableColumn>
    <tableColumn id="9" xr3:uid="{F3FA5C24-502A-6446-A4B9-25DB670D2CB7}" name="HomeLoss" dataDxfId="33">
      <calculatedColumnFormula>COUNTIFS('NHL2025-26Results'!$D:$D,A2,'NHL2025-26Results'!$H:$H,A2,'NHL2025-26Results'!$F:$F,"")</calculatedColumnFormula>
    </tableColumn>
    <tableColumn id="8" xr3:uid="{999F1273-113E-7F4B-990E-AC7B23C4A496}" name="HomeOTL" dataDxfId="32">
      <calculatedColumnFormula>COUNTIFS('NHL2025-26Results'!$D:$D,A2,'NHL2025-26Results'!$H:$H,A2,'NHL2025-26Results'!$F:$F,"OT") + COUNTIFS('NHL2025-26Results'!$D:$D,A2,'NHL2025-26Results'!$H:$H,A2,'NHL2025-26Results'!$F:$F,"SO")</calculatedColumnFormula>
    </tableColumn>
    <tableColumn id="11" xr3:uid="{6CECAD97-17BB-4D4F-87FA-691F94F265F9}" name="AwayWins" dataDxfId="31">
      <calculatedColumnFormula>COUNTIFS('NHL2025-26Results'!$B:$B,A2,'NHL2025-26Results'!$G:$G,A2)</calculatedColumnFormula>
    </tableColumn>
    <tableColumn id="10" xr3:uid="{1A63BDD0-5CF0-0C48-B684-3675FC716427}" name="AwayLoss" dataDxfId="30">
      <calculatedColumnFormula>COUNTIFS('NHL2025-26Results'!$B:$B,A2,'NHL2025-26Results'!$H:$H,A2,'NHL2025-26Results'!$F:$F,"")</calculatedColumnFormula>
    </tableColumn>
    <tableColumn id="12" xr3:uid="{59628040-0BA7-5042-BB5A-1E9D40ABC469}" name="AwayOTL" dataDxfId="29">
      <calculatedColumnFormula>COUNTIFS('NHL2025-26Results'!$B:$B,A2,'NHL2025-26Results'!$H:$H,A2,'NHL2025-26Results'!$F:$F,"OT") + COUNTIFS('NHL2025-26Results'!$B:$B,A2,'NHL2025-26Results'!$H:$H,A2,'NHL2025-26Results'!$F:$F,"SO")</calculatedColumnFormula>
    </tableColumn>
    <tableColumn id="13" xr3:uid="{89A1A1C5-47FE-3145-A770-190DF841C5BD}" name="HomeWin%" dataCellStyle="Percent">
      <calculatedColumnFormula>Table1[[#This Row],[HomeWins]]/SUM(Table1[[#This Row],[HomeWins]:[HomeOTL]])</calculatedColumnFormula>
    </tableColumn>
    <tableColumn id="14" xr3:uid="{549944E4-F46B-CF42-BE7D-1E9DCCA03B7C}" name="AwayWin%" dataCellStyle="Percent">
      <calculatedColumnFormula>Table1[[#This Row],[AwayWins]]/SUM(Table1[[#This Row],[AwayWins]:[AwayOTL]])</calculatedColumnFormula>
    </tableColumn>
    <tableColumn id="15" xr3:uid="{F3DE1AB8-2119-EF46-A72D-1C4A7C8BC10E}" name="Home Goals per Game" dataDxfId="28">
      <calculatedColumnFormula>SUMIFS('NHL2025-26Results'!$E:$E,'NHL2025-26Results'!$D:$D,A2,'NHL2025-26Results'!$E:$E,"&gt;0")/COUNTIFS('NHL2025-26Results'!$D:$D,A2,'NHL2025-26Results'!$E:$E,"&gt;0")</calculatedColumnFormula>
    </tableColumn>
    <tableColumn id="16" xr3:uid="{4CF1F86B-09D8-BA40-A4FA-B851C5E9F7C2}" name="Away Goals per Game" dataDxfId="27">
      <calculatedColumnFormula>SUMIFS('NHL2025-26Results'!$C:$C,'NHL2025-26Results'!$B:$B,A2,'NHL2025-26Results'!$C:$C,"&gt;0")/COUNTIFS('NHL2025-26Results'!$B:$B,A2,'NHL2025-26Results'!$C:$C,"&gt;0")</calculatedColumnFormula>
    </tableColumn>
    <tableColumn id="17" xr3:uid="{E1815B79-AB22-3943-B69B-8FBDF5A76842}" name="Home Goals Against" dataDxfId="26">
      <calculatedColumnFormula>SUMIFS('NHL2025-26Results'!$C:$C,'NHL2025-26Results'!$D:$D,A2,'NHL2025-26Results'!$C:$C,"&gt;0")/COUNTIFS('NHL2025-26Results'!$D:$D,A2,'NHL2025-26Results'!$C:$C,"&gt;0")</calculatedColumnFormula>
    </tableColumn>
    <tableColumn id="18" xr3:uid="{45CF85AF-BBFE-AC45-BB4B-F990DB1CC608}" name="Away Goals Against" dataDxfId="25">
      <calculatedColumnFormula>SUMIFS('NHL2025-26Results'!$E:$E,'NHL2025-26Results'!$B:$B,A2,'NHL2025-26Results'!$E:$E,"&gt;0")/COUNTIFS('NHL2025-26Results'!$B:$B,A2,'NHL2025-26Results'!$E:$E,"&gt;0")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4AB127-084B-4D4A-B719-706CF237DCF3}" name="nhl_predictions" displayName="nhl_predictions" ref="A1:T505" tableType="queryTable" totalsRowShown="0">
  <autoFilter ref="A1:T505" xr:uid="{814AB127-084B-4D4A-B719-706CF237DCF3}"/>
  <tableColumns count="20">
    <tableColumn id="1" xr3:uid="{C1D590F7-F9C9-A949-914E-F3823545CE81}" uniqueName="1" name="game_date" queryTableFieldId="1" dataDxfId="13"/>
    <tableColumn id="2" xr3:uid="{DE428022-C224-6D41-9DB6-943D0A0B187A}" uniqueName="2" name="game_time" queryTableFieldId="2" dataDxfId="12"/>
    <tableColumn id="3" xr3:uid="{C8085D54-AFD1-784B-B0B9-4B9D80E16325}" uniqueName="3" name="home_team" queryTableFieldId="3" dataDxfId="11"/>
    <tableColumn id="4" xr3:uid="{0D200BBE-F146-D44F-A8CA-03A4CC5A5DDE}" uniqueName="4" name="away_team" queryTableFieldId="4" dataDxfId="10"/>
    <tableColumn id="5" xr3:uid="{A40624D0-39DC-1943-A479-EC29BD332CB6}" uniqueName="5" name="ml_winner" queryTableFieldId="5" dataDxfId="9"/>
    <tableColumn id="6" xr3:uid="{8588903C-7486-D940-B311-543BB4258457}" uniqueName="6" name="ml_home_score" queryTableFieldId="6"/>
    <tableColumn id="7" xr3:uid="{4990DE04-E747-284F-9848-D84B212882DF}" uniqueName="7" name="ml_away_score" queryTableFieldId="7"/>
    <tableColumn id="8" xr3:uid="{DE04F20F-1941-8B4C-86CA-7D80C2647F71}" uniqueName="8" name="ml_confidence" queryTableFieldId="8"/>
    <tableColumn id="9" xr3:uid="{2DAB9C50-AA3A-C54A-A3C8-9E65F61D5670}" uniqueName="9" name="ml_ot" queryTableFieldId="9" dataDxfId="8"/>
    <tableColumn id="10" xr3:uid="{D0761580-442F-5242-A04E-976A2F8D1F9F}" uniqueName="10" name="excel_winner" queryTableFieldId="10" dataDxfId="7"/>
    <tableColumn id="11" xr3:uid="{3D51E0F0-DDC0-5D46-BED0-3253F3D85A9F}" uniqueName="11" name="excel_home_score" queryTableFieldId="11"/>
    <tableColumn id="12" xr3:uid="{57190010-087B-5849-A673-EB3A280B00A9}" uniqueName="12" name="excel_away_score" queryTableFieldId="12"/>
    <tableColumn id="13" xr3:uid="{11399B40-0A4D-524C-9C0B-300C0E9B40A7}" uniqueName="13" name="excel_homeice" queryTableFieldId="13"/>
    <tableColumn id="14" xr3:uid="{DF30B16A-5529-2F4B-86B1-DC5EB11E5448}" uniqueName="14" name="actual_winner" queryTableFieldId="14" dataDxfId="6"/>
    <tableColumn id="15" xr3:uid="{4048C0E3-E680-9246-B106-8D85A88C2492}" uniqueName="15" name="actual_home_score" queryTableFieldId="15" dataDxfId="5"/>
    <tableColumn id="16" xr3:uid="{5E8432D5-1D7E-4C4E-BA17-F0B4166C0319}" uniqueName="16" name="actual_away_score" queryTableFieldId="16" dataDxfId="4"/>
    <tableColumn id="17" xr3:uid="{C61D1A13-4284-1247-BCFD-42871A89EF6B}" uniqueName="17" name="actual_ot" queryTableFieldId="17" dataDxfId="3"/>
    <tableColumn id="18" xr3:uid="{AD415FE1-E531-974D-8003-033A5B0370F3}" uniqueName="18" name="ml_correct" queryTableFieldId="18" dataDxfId="2"/>
    <tableColumn id="19" xr3:uid="{D1139A2B-F6F4-2048-837B-DCB71F0B74C9}" uniqueName="19" name="excel_correct" queryTableFieldId="19" dataDxfId="1"/>
    <tableColumn id="20" xr3:uid="{419E1053-7A87-9A4C-8D49-0EEAFF6400B4}" uniqueName="20" name="status" queryTableFieldId="20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B920CC-5783-CC46-9179-C2B89A0C383F}" name="NHL2025_26PlayerStats" displayName="NHL2025_26PlayerStats" ref="A1:AE1030" tableType="queryTable" totalsRowShown="0">
  <autoFilter ref="A1:AE1030" xr:uid="{FBB920CC-5783-CC46-9179-C2B89A0C383F}"/>
  <tableColumns count="31">
    <tableColumn id="1" xr3:uid="{609D087E-A47D-FB40-B5CE-0845B1652C52}" uniqueName="1" name="Rk" queryTableFieldId="1"/>
    <tableColumn id="2" xr3:uid="{647D5E4F-F695-4442-BB04-FB9514670BC3}" uniqueName="2" name="Player" queryTableFieldId="2" dataDxfId="24"/>
    <tableColumn id="3" xr3:uid="{102B124F-BE30-4544-B3B6-EBB4A9CD6C35}" uniqueName="3" name="Age" queryTableFieldId="3"/>
    <tableColumn id="4" xr3:uid="{00BE8356-1D12-814C-B704-D2A0092BD9BB}" uniqueName="4" name="Team" queryTableFieldId="4" dataDxfId="23"/>
    <tableColumn id="5" xr3:uid="{702C57C1-F796-DF4D-9D86-E28F03BEEC04}" uniqueName="5" name="Pos" queryTableFieldId="5" dataDxfId="22"/>
    <tableColumn id="6" xr3:uid="{D966461E-5E0F-1849-820F-42FA659E0006}" uniqueName="6" name="GP" queryTableFieldId="6"/>
    <tableColumn id="7" xr3:uid="{0A0A0E8C-338F-B84D-988E-FA6EEBDBC65C}" uniqueName="7" name="G" queryTableFieldId="7"/>
    <tableColumn id="8" xr3:uid="{AF772842-B793-414D-B5EA-DF24721C5889}" uniqueName="8" name="A" queryTableFieldId="8"/>
    <tableColumn id="9" xr3:uid="{92641847-7270-9047-A38A-FC453A8D0B94}" uniqueName="9" name="PTS" queryTableFieldId="9"/>
    <tableColumn id="10" xr3:uid="{81F55667-2C56-4447-8D0C-C9618650FA6F}" uniqueName="10" name="+/-" queryTableFieldId="10"/>
    <tableColumn id="11" xr3:uid="{92DCEFA4-8659-2F48-B8CA-C342AD544293}" uniqueName="11" name="PIM" queryTableFieldId="11"/>
    <tableColumn id="12" xr3:uid="{2596C65C-9E56-3548-AD67-514E343E0544}" uniqueName="12" name="EVG_Goals" queryTableFieldId="12"/>
    <tableColumn id="13" xr3:uid="{0F4E124C-145A-1047-AF3A-DA71706435C3}" uniqueName="13" name="PPG_Goals" queryTableFieldId="13"/>
    <tableColumn id="14" xr3:uid="{36C2DEF6-283D-2345-AC96-A6025314B622}" uniqueName="14" name="SHG_Goals" queryTableFieldId="14"/>
    <tableColumn id="15" xr3:uid="{9DD41BB8-D8C1-5A48-93C9-1802AF881A94}" uniqueName="15" name="GWG_Goals" queryTableFieldId="15"/>
    <tableColumn id="16" xr3:uid="{83BDAE85-FCB9-BC43-9697-5BC6807DD64E}" uniqueName="16" name="EV_Assists" queryTableFieldId="16"/>
    <tableColumn id="17" xr3:uid="{76B5224E-3096-E141-8E6F-334FDD0AB1CC}" uniqueName="17" name="PP_Assists" queryTableFieldId="17"/>
    <tableColumn id="18" xr3:uid="{9CE55A10-897F-694B-A411-4BBDB31639E4}" uniqueName="18" name="SH_Assists" queryTableFieldId="18"/>
    <tableColumn id="19" xr3:uid="{AF39A04B-C6B3-414C-A443-75006D573D82}" uniqueName="19" name="SOG" queryTableFieldId="19"/>
    <tableColumn id="20" xr3:uid="{3138A8A0-0377-5240-85D3-98D5301DBA72}" uniqueName="20" name="SPCT" queryTableFieldId="20"/>
    <tableColumn id="21" xr3:uid="{2725647E-4192-5E45-8352-C62404BEFCA2}" uniqueName="21" name="TSA" queryTableFieldId="21"/>
    <tableColumn id="22" xr3:uid="{E23A1ADA-487B-7947-AD3E-AF7621AE045B}" uniqueName="22" name="TOI" queryTableFieldId="22" dataDxfId="21"/>
    <tableColumn id="23" xr3:uid="{8C6BDDC9-B549-1343-8955-36D4FDB00A4B}" uniqueName="23" name="ATOI" queryTableFieldId="23" dataDxfId="20"/>
    <tableColumn id="24" xr3:uid="{076407F2-3C90-5D48-8B12-E66636B05597}" uniqueName="24" name="FOW" queryTableFieldId="24"/>
    <tableColumn id="25" xr3:uid="{CB84A957-A7D4-6645-9D6B-BC33AF139B6C}" uniqueName="25" name="FOL" queryTableFieldId="25"/>
    <tableColumn id="26" xr3:uid="{8F593DE1-C249-2342-B208-B0B04E4E4E18}" uniqueName="26" name="FO%" queryTableFieldId="26"/>
    <tableColumn id="27" xr3:uid="{30020D43-31A1-D347-AB3D-18CA873F08ED}" uniqueName="27" name="BLK" queryTableFieldId="27"/>
    <tableColumn id="28" xr3:uid="{41114667-7BB5-DB40-9793-669E51FE14D7}" uniqueName="28" name="HIT" queryTableFieldId="28"/>
    <tableColumn id="29" xr3:uid="{4B7BBD89-4E43-2742-AC10-78BE8FB814B0}" uniqueName="29" name="TAKE" queryTableFieldId="29"/>
    <tableColumn id="30" xr3:uid="{2A441B73-F08B-084C-AC27-862D60C960AC}" uniqueName="30" name="GIVE" queryTableFieldId="30"/>
    <tableColumn id="31" xr3:uid="{883451FA-9FFF-CC49-AFC0-132C43C4F7F8}" uniqueName="31" name="Awards" queryTableFieldId="31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6007-C7B4-4944-91BA-66DCCD1435C9}">
  <sheetPr codeName="Sheet1"/>
  <dimension ref="A1:J1313"/>
  <sheetViews>
    <sheetView topLeftCell="A877" zoomScale="90" zoomScaleNormal="120" workbookViewId="0">
      <selection activeCell="H887" sqref="H887"/>
    </sheetView>
  </sheetViews>
  <sheetFormatPr baseColWidth="10" defaultColWidth="10.83203125" defaultRowHeight="16" x14ac:dyDescent="0.2"/>
  <cols>
    <col min="1" max="1" width="11.33203125" bestFit="1" customWidth="1"/>
    <col min="2" max="2" width="20.5" bestFit="1" customWidth="1"/>
    <col min="3" max="3" width="5.33203125" bestFit="1" customWidth="1"/>
    <col min="4" max="4" width="20.5" bestFit="1" customWidth="1"/>
    <col min="5" max="5" width="7.1640625" bestFit="1" customWidth="1"/>
    <col min="6" max="6" width="12" bestFit="1" customWidth="1"/>
    <col min="7" max="8" width="20.5" bestFit="1" customWidth="1"/>
    <col min="9" max="9" width="13.1640625" bestFit="1" customWidth="1"/>
    <col min="10" max="10" width="11.6640625" bestFit="1" customWidth="1"/>
    <col min="11" max="11" width="11.33203125" customWidth="1"/>
    <col min="16" max="16" width="19.83203125" bestFit="1" customWidth="1"/>
  </cols>
  <sheetData>
    <row r="1" spans="1:10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175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176</v>
      </c>
      <c r="B2" t="s">
        <v>10</v>
      </c>
      <c r="C2">
        <v>2</v>
      </c>
      <c r="D2" t="s">
        <v>11</v>
      </c>
      <c r="E2">
        <v>3</v>
      </c>
      <c r="F2" t="s">
        <v>60</v>
      </c>
      <c r="G2" t="s">
        <v>11</v>
      </c>
      <c r="H2" t="s">
        <v>10</v>
      </c>
      <c r="I2">
        <v>3</v>
      </c>
      <c r="J2">
        <v>2</v>
      </c>
    </row>
    <row r="3" spans="1:10" x14ac:dyDescent="0.2">
      <c r="A3" s="1" t="s">
        <v>176</v>
      </c>
      <c r="B3" t="s">
        <v>12</v>
      </c>
      <c r="C3">
        <v>4</v>
      </c>
      <c r="D3" t="s">
        <v>13</v>
      </c>
      <c r="E3">
        <v>1</v>
      </c>
      <c r="F3" t="s">
        <v>60</v>
      </c>
      <c r="G3" t="s">
        <v>12</v>
      </c>
      <c r="H3" t="s">
        <v>13</v>
      </c>
      <c r="I3">
        <v>4</v>
      </c>
      <c r="J3">
        <v>1</v>
      </c>
    </row>
    <row r="4" spans="1:10" x14ac:dyDescent="0.2">
      <c r="A4" s="1" t="s">
        <v>176</v>
      </c>
      <c r="B4" t="s">
        <v>14</v>
      </c>
      <c r="C4">
        <v>3</v>
      </c>
      <c r="D4" t="s">
        <v>15</v>
      </c>
      <c r="E4">
        <v>0</v>
      </c>
      <c r="F4" t="s">
        <v>60</v>
      </c>
      <c r="G4" t="s">
        <v>14</v>
      </c>
      <c r="H4" t="s">
        <v>15</v>
      </c>
      <c r="I4">
        <v>3</v>
      </c>
      <c r="J4">
        <v>0</v>
      </c>
    </row>
    <row r="5" spans="1:10" x14ac:dyDescent="0.2">
      <c r="A5" s="1" t="s">
        <v>177</v>
      </c>
      <c r="B5" t="s">
        <v>16</v>
      </c>
      <c r="C5">
        <v>4</v>
      </c>
      <c r="D5" t="s">
        <v>17</v>
      </c>
      <c r="E5">
        <v>3</v>
      </c>
      <c r="F5" t="s">
        <v>61</v>
      </c>
      <c r="G5" t="s">
        <v>16</v>
      </c>
      <c r="H5" t="s">
        <v>17</v>
      </c>
      <c r="I5">
        <v>4</v>
      </c>
      <c r="J5">
        <v>3</v>
      </c>
    </row>
    <row r="6" spans="1:10" x14ac:dyDescent="0.2">
      <c r="A6" s="1" t="s">
        <v>177</v>
      </c>
      <c r="B6" t="s">
        <v>18</v>
      </c>
      <c r="C6">
        <v>2</v>
      </c>
      <c r="D6" t="s">
        <v>19</v>
      </c>
      <c r="E6">
        <v>5</v>
      </c>
      <c r="F6" t="s">
        <v>60</v>
      </c>
      <c r="G6" t="s">
        <v>19</v>
      </c>
      <c r="H6" t="s">
        <v>18</v>
      </c>
      <c r="I6">
        <v>5</v>
      </c>
      <c r="J6">
        <v>2</v>
      </c>
    </row>
    <row r="7" spans="1:10" x14ac:dyDescent="0.2">
      <c r="A7" s="1" t="s">
        <v>177</v>
      </c>
      <c r="B7" t="s">
        <v>13</v>
      </c>
      <c r="C7">
        <v>6</v>
      </c>
      <c r="D7" t="s">
        <v>20</v>
      </c>
      <c r="E7">
        <v>5</v>
      </c>
      <c r="F7" t="s">
        <v>61</v>
      </c>
      <c r="G7" t="s">
        <v>13</v>
      </c>
      <c r="H7" t="s">
        <v>20</v>
      </c>
      <c r="I7">
        <v>6</v>
      </c>
      <c r="J7">
        <v>5</v>
      </c>
    </row>
    <row r="8" spans="1:10" x14ac:dyDescent="0.2">
      <c r="A8" s="1" t="s">
        <v>177</v>
      </c>
      <c r="B8" t="s">
        <v>21</v>
      </c>
      <c r="C8">
        <v>3</v>
      </c>
      <c r="D8" t="s">
        <v>22</v>
      </c>
      <c r="E8">
        <v>1</v>
      </c>
      <c r="F8" t="s">
        <v>60</v>
      </c>
      <c r="G8" t="s">
        <v>21</v>
      </c>
      <c r="H8" t="s">
        <v>22</v>
      </c>
      <c r="I8">
        <v>3</v>
      </c>
      <c r="J8">
        <v>1</v>
      </c>
    </row>
    <row r="9" spans="1:10" x14ac:dyDescent="0.2">
      <c r="A9" s="1" t="s">
        <v>178</v>
      </c>
      <c r="B9" t="s">
        <v>10</v>
      </c>
      <c r="C9">
        <v>3</v>
      </c>
      <c r="D9" t="s">
        <v>21</v>
      </c>
      <c r="E9">
        <v>4</v>
      </c>
      <c r="F9" t="s">
        <v>62</v>
      </c>
      <c r="G9" t="s">
        <v>21</v>
      </c>
      <c r="H9" t="s">
        <v>10</v>
      </c>
      <c r="I9">
        <v>4</v>
      </c>
      <c r="J9">
        <v>3</v>
      </c>
    </row>
    <row r="10" spans="1:10" x14ac:dyDescent="0.2">
      <c r="A10" s="1" t="s">
        <v>178</v>
      </c>
      <c r="B10" t="s">
        <v>15</v>
      </c>
      <c r="C10">
        <v>4</v>
      </c>
      <c r="D10" t="s">
        <v>23</v>
      </c>
      <c r="E10">
        <v>0</v>
      </c>
      <c r="F10" t="s">
        <v>60</v>
      </c>
      <c r="G10" t="s">
        <v>15</v>
      </c>
      <c r="H10" t="s">
        <v>23</v>
      </c>
      <c r="I10">
        <v>4</v>
      </c>
      <c r="J10">
        <v>0</v>
      </c>
    </row>
    <row r="11" spans="1:10" x14ac:dyDescent="0.2">
      <c r="A11" s="1" t="s">
        <v>178</v>
      </c>
      <c r="B11" t="s">
        <v>24</v>
      </c>
      <c r="C11">
        <v>3</v>
      </c>
      <c r="D11" t="s">
        <v>25</v>
      </c>
      <c r="E11">
        <v>6</v>
      </c>
      <c r="F11" t="s">
        <v>60</v>
      </c>
      <c r="G11" t="s">
        <v>25</v>
      </c>
      <c r="H11" t="s">
        <v>24</v>
      </c>
      <c r="I11">
        <v>6</v>
      </c>
      <c r="J11">
        <v>3</v>
      </c>
    </row>
    <row r="12" spans="1:10" x14ac:dyDescent="0.2">
      <c r="A12" s="1" t="s">
        <v>178</v>
      </c>
      <c r="B12" t="s">
        <v>55</v>
      </c>
      <c r="C12">
        <v>1</v>
      </c>
      <c r="D12" t="s">
        <v>12</v>
      </c>
      <c r="E12">
        <v>2</v>
      </c>
      <c r="F12" t="s">
        <v>60</v>
      </c>
      <c r="G12" t="s">
        <v>12</v>
      </c>
      <c r="H12" t="s">
        <v>55</v>
      </c>
      <c r="I12">
        <v>2</v>
      </c>
      <c r="J12">
        <v>1</v>
      </c>
    </row>
    <row r="13" spans="1:10" x14ac:dyDescent="0.2">
      <c r="A13" s="1" t="s">
        <v>178</v>
      </c>
      <c r="B13" t="s">
        <v>18</v>
      </c>
      <c r="C13">
        <v>5</v>
      </c>
      <c r="D13" t="s">
        <v>26</v>
      </c>
      <c r="E13">
        <v>1</v>
      </c>
      <c r="F13" t="s">
        <v>60</v>
      </c>
      <c r="G13" t="s">
        <v>18</v>
      </c>
      <c r="H13" t="s">
        <v>26</v>
      </c>
      <c r="I13">
        <v>5</v>
      </c>
      <c r="J13">
        <v>1</v>
      </c>
    </row>
    <row r="14" spans="1:10" x14ac:dyDescent="0.2">
      <c r="A14" s="1" t="s">
        <v>178</v>
      </c>
      <c r="B14" t="s">
        <v>27</v>
      </c>
      <c r="C14">
        <v>1</v>
      </c>
      <c r="D14" t="s">
        <v>11</v>
      </c>
      <c r="E14">
        <v>2</v>
      </c>
      <c r="F14" t="s">
        <v>60</v>
      </c>
      <c r="G14" t="s">
        <v>11</v>
      </c>
      <c r="H14" t="s">
        <v>27</v>
      </c>
      <c r="I14">
        <v>2</v>
      </c>
      <c r="J14">
        <v>1</v>
      </c>
    </row>
    <row r="15" spans="1:10" x14ac:dyDescent="0.2">
      <c r="A15" s="1" t="s">
        <v>178</v>
      </c>
      <c r="B15" t="s">
        <v>28</v>
      </c>
      <c r="C15">
        <v>1</v>
      </c>
      <c r="D15" t="s">
        <v>29</v>
      </c>
      <c r="E15">
        <v>2</v>
      </c>
      <c r="F15" t="s">
        <v>60</v>
      </c>
      <c r="G15" t="s">
        <v>29</v>
      </c>
      <c r="H15" t="s">
        <v>28</v>
      </c>
      <c r="I15">
        <v>2</v>
      </c>
      <c r="J15">
        <v>1</v>
      </c>
    </row>
    <row r="16" spans="1:10" x14ac:dyDescent="0.2">
      <c r="A16" s="1" t="s">
        <v>178</v>
      </c>
      <c r="B16" t="s">
        <v>30</v>
      </c>
      <c r="C16">
        <v>3</v>
      </c>
      <c r="D16" t="s">
        <v>14</v>
      </c>
      <c r="E16">
        <v>4</v>
      </c>
      <c r="F16" t="s">
        <v>60</v>
      </c>
      <c r="G16" t="s">
        <v>14</v>
      </c>
      <c r="H16" t="s">
        <v>30</v>
      </c>
      <c r="I16">
        <v>4</v>
      </c>
      <c r="J16">
        <v>3</v>
      </c>
    </row>
    <row r="17" spans="1:10" x14ac:dyDescent="0.2">
      <c r="A17" s="1" t="s">
        <v>178</v>
      </c>
      <c r="B17" t="s">
        <v>31</v>
      </c>
      <c r="C17">
        <v>1</v>
      </c>
      <c r="D17" t="s">
        <v>32</v>
      </c>
      <c r="E17">
        <v>3</v>
      </c>
      <c r="F17" t="s">
        <v>60</v>
      </c>
      <c r="G17" t="s">
        <v>32</v>
      </c>
      <c r="H17" t="s">
        <v>31</v>
      </c>
      <c r="I17">
        <v>3</v>
      </c>
      <c r="J17">
        <v>1</v>
      </c>
    </row>
    <row r="18" spans="1:10" x14ac:dyDescent="0.2">
      <c r="A18" s="1" t="s">
        <v>178</v>
      </c>
      <c r="B18" t="s">
        <v>20</v>
      </c>
      <c r="C18">
        <v>4</v>
      </c>
      <c r="D18" t="s">
        <v>33</v>
      </c>
      <c r="E18">
        <v>3</v>
      </c>
      <c r="F18" t="s">
        <v>62</v>
      </c>
      <c r="G18" t="s">
        <v>20</v>
      </c>
      <c r="H18" t="s">
        <v>33</v>
      </c>
      <c r="I18">
        <v>4</v>
      </c>
      <c r="J18">
        <v>3</v>
      </c>
    </row>
    <row r="19" spans="1:10" x14ac:dyDescent="0.2">
      <c r="A19" s="1" t="s">
        <v>178</v>
      </c>
      <c r="B19" t="s">
        <v>34</v>
      </c>
      <c r="C19">
        <v>5</v>
      </c>
      <c r="D19" t="s">
        <v>35</v>
      </c>
      <c r="E19">
        <v>0</v>
      </c>
      <c r="F19" t="s">
        <v>60</v>
      </c>
      <c r="G19" t="s">
        <v>34</v>
      </c>
      <c r="H19" t="s">
        <v>35</v>
      </c>
      <c r="I19">
        <v>5</v>
      </c>
      <c r="J19">
        <v>0</v>
      </c>
    </row>
    <row r="20" spans="1:10" x14ac:dyDescent="0.2">
      <c r="A20" s="1" t="s">
        <v>178</v>
      </c>
      <c r="B20" t="s">
        <v>36</v>
      </c>
      <c r="C20">
        <v>5</v>
      </c>
      <c r="D20" t="s">
        <v>37</v>
      </c>
      <c r="E20">
        <v>4</v>
      </c>
      <c r="F20" t="s">
        <v>60</v>
      </c>
      <c r="G20" t="s">
        <v>36</v>
      </c>
      <c r="H20" t="s">
        <v>37</v>
      </c>
      <c r="I20">
        <v>5</v>
      </c>
      <c r="J20">
        <v>4</v>
      </c>
    </row>
    <row r="21" spans="1:10" x14ac:dyDescent="0.2">
      <c r="A21" s="1" t="s">
        <v>178</v>
      </c>
      <c r="B21" t="s">
        <v>16</v>
      </c>
      <c r="C21">
        <v>1</v>
      </c>
      <c r="D21" t="s">
        <v>38</v>
      </c>
      <c r="E21">
        <v>5</v>
      </c>
      <c r="F21" t="s">
        <v>60</v>
      </c>
      <c r="G21" t="s">
        <v>38</v>
      </c>
      <c r="H21" t="s">
        <v>16</v>
      </c>
      <c r="I21">
        <v>5</v>
      </c>
      <c r="J21">
        <v>1</v>
      </c>
    </row>
    <row r="22" spans="1:10" x14ac:dyDescent="0.2">
      <c r="A22" s="1" t="s">
        <v>178</v>
      </c>
      <c r="B22" t="s">
        <v>39</v>
      </c>
      <c r="C22">
        <v>5</v>
      </c>
      <c r="D22" t="s">
        <v>40</v>
      </c>
      <c r="E22">
        <v>4</v>
      </c>
      <c r="F22" t="s">
        <v>60</v>
      </c>
      <c r="G22" t="s">
        <v>39</v>
      </c>
      <c r="H22" t="s">
        <v>40</v>
      </c>
      <c r="I22">
        <v>5</v>
      </c>
      <c r="J22">
        <v>4</v>
      </c>
    </row>
    <row r="23" spans="1:10" x14ac:dyDescent="0.2">
      <c r="A23" s="1" t="s">
        <v>179</v>
      </c>
      <c r="B23" t="s">
        <v>23</v>
      </c>
      <c r="C23">
        <v>1</v>
      </c>
      <c r="D23" t="s">
        <v>21</v>
      </c>
      <c r="E23">
        <v>3</v>
      </c>
      <c r="F23" t="s">
        <v>60</v>
      </c>
      <c r="G23" t="s">
        <v>21</v>
      </c>
      <c r="H23" t="s">
        <v>23</v>
      </c>
      <c r="I23">
        <v>3</v>
      </c>
      <c r="J23">
        <v>1</v>
      </c>
    </row>
    <row r="24" spans="1:10" x14ac:dyDescent="0.2">
      <c r="A24" s="1" t="s">
        <v>179</v>
      </c>
      <c r="B24" t="s">
        <v>27</v>
      </c>
      <c r="C24">
        <v>3</v>
      </c>
      <c r="D24" t="s">
        <v>25</v>
      </c>
      <c r="E24">
        <v>4</v>
      </c>
      <c r="F24" t="s">
        <v>62</v>
      </c>
      <c r="G24" t="s">
        <v>25</v>
      </c>
      <c r="H24" t="s">
        <v>27</v>
      </c>
      <c r="I24">
        <v>4</v>
      </c>
      <c r="J24">
        <v>3</v>
      </c>
    </row>
    <row r="25" spans="1:10" x14ac:dyDescent="0.2">
      <c r="A25" s="1" t="s">
        <v>179</v>
      </c>
      <c r="B25" t="s">
        <v>35</v>
      </c>
      <c r="C25">
        <v>4</v>
      </c>
      <c r="D25" t="s">
        <v>16</v>
      </c>
      <c r="E25">
        <v>2</v>
      </c>
      <c r="F25" t="s">
        <v>60</v>
      </c>
      <c r="G25" t="s">
        <v>35</v>
      </c>
      <c r="H25" t="s">
        <v>16</v>
      </c>
      <c r="I25">
        <v>4</v>
      </c>
      <c r="J25">
        <v>2</v>
      </c>
    </row>
    <row r="26" spans="1:10" x14ac:dyDescent="0.2">
      <c r="A26" s="1" t="s">
        <v>179</v>
      </c>
      <c r="B26" t="s">
        <v>18</v>
      </c>
      <c r="C26">
        <v>3</v>
      </c>
      <c r="D26" t="s">
        <v>10</v>
      </c>
      <c r="E26">
        <v>2</v>
      </c>
      <c r="F26" t="s">
        <v>60</v>
      </c>
      <c r="G26" t="s">
        <v>18</v>
      </c>
      <c r="H26" t="s">
        <v>10</v>
      </c>
      <c r="I26">
        <v>3</v>
      </c>
      <c r="J26">
        <v>2</v>
      </c>
    </row>
    <row r="27" spans="1:10" x14ac:dyDescent="0.2">
      <c r="A27" s="1" t="s">
        <v>179</v>
      </c>
      <c r="B27" t="s">
        <v>39</v>
      </c>
      <c r="C27">
        <v>5</v>
      </c>
      <c r="D27" t="s">
        <v>12</v>
      </c>
      <c r="E27">
        <v>4</v>
      </c>
      <c r="F27" t="s">
        <v>61</v>
      </c>
      <c r="G27" t="s">
        <v>39</v>
      </c>
      <c r="H27" t="s">
        <v>12</v>
      </c>
      <c r="I27">
        <v>5</v>
      </c>
      <c r="J27">
        <v>4</v>
      </c>
    </row>
    <row r="28" spans="1:10" x14ac:dyDescent="0.2">
      <c r="A28" s="1" t="s">
        <v>179</v>
      </c>
      <c r="B28" t="s">
        <v>19</v>
      </c>
      <c r="C28">
        <v>3</v>
      </c>
      <c r="D28" t="s">
        <v>26</v>
      </c>
      <c r="E28">
        <v>6</v>
      </c>
      <c r="F28" t="s">
        <v>60</v>
      </c>
      <c r="G28" t="s">
        <v>26</v>
      </c>
      <c r="H28" t="s">
        <v>19</v>
      </c>
      <c r="I28">
        <v>6</v>
      </c>
      <c r="J28">
        <v>3</v>
      </c>
    </row>
    <row r="29" spans="1:10" x14ac:dyDescent="0.2">
      <c r="A29" s="1" t="s">
        <v>179</v>
      </c>
      <c r="B29" t="s">
        <v>38</v>
      </c>
      <c r="C29">
        <v>1</v>
      </c>
      <c r="D29" t="s">
        <v>17</v>
      </c>
      <c r="E29">
        <v>3</v>
      </c>
      <c r="F29" t="s">
        <v>60</v>
      </c>
      <c r="G29" t="s">
        <v>17</v>
      </c>
      <c r="H29" t="s">
        <v>38</v>
      </c>
      <c r="I29">
        <v>3</v>
      </c>
      <c r="J29">
        <v>1</v>
      </c>
    </row>
    <row r="30" spans="1:10" x14ac:dyDescent="0.2">
      <c r="A30" s="1" t="s">
        <v>179</v>
      </c>
      <c r="B30" t="s">
        <v>36</v>
      </c>
      <c r="C30">
        <v>2</v>
      </c>
      <c r="D30" t="s">
        <v>11</v>
      </c>
      <c r="E30">
        <v>6</v>
      </c>
      <c r="F30" t="s">
        <v>60</v>
      </c>
      <c r="G30" t="s">
        <v>11</v>
      </c>
      <c r="H30" t="s">
        <v>36</v>
      </c>
      <c r="I30">
        <v>6</v>
      </c>
      <c r="J30">
        <v>2</v>
      </c>
    </row>
    <row r="31" spans="1:10" x14ac:dyDescent="0.2">
      <c r="A31" s="1" t="s">
        <v>179</v>
      </c>
      <c r="B31" t="s">
        <v>28</v>
      </c>
      <c r="C31">
        <v>7</v>
      </c>
      <c r="D31" t="s">
        <v>34</v>
      </c>
      <c r="E31">
        <v>4</v>
      </c>
      <c r="F31" t="s">
        <v>60</v>
      </c>
      <c r="G31" t="s">
        <v>28</v>
      </c>
      <c r="H31" t="s">
        <v>34</v>
      </c>
      <c r="I31">
        <v>7</v>
      </c>
      <c r="J31">
        <v>4</v>
      </c>
    </row>
    <row r="32" spans="1:10" x14ac:dyDescent="0.2">
      <c r="A32" s="1" t="s">
        <v>179</v>
      </c>
      <c r="B32" t="s">
        <v>55</v>
      </c>
      <c r="C32">
        <v>3</v>
      </c>
      <c r="D32" t="s">
        <v>29</v>
      </c>
      <c r="E32">
        <v>2</v>
      </c>
      <c r="F32" t="s">
        <v>62</v>
      </c>
      <c r="G32" t="s">
        <v>55</v>
      </c>
      <c r="H32" t="s">
        <v>29</v>
      </c>
      <c r="I32">
        <v>3</v>
      </c>
      <c r="J32">
        <v>2</v>
      </c>
    </row>
    <row r="33" spans="1:10" x14ac:dyDescent="0.2">
      <c r="A33" s="1" t="s">
        <v>179</v>
      </c>
      <c r="B33" t="s">
        <v>22</v>
      </c>
      <c r="C33">
        <v>4</v>
      </c>
      <c r="D33" t="s">
        <v>30</v>
      </c>
      <c r="E33">
        <v>2</v>
      </c>
      <c r="F33" t="s">
        <v>60</v>
      </c>
      <c r="G33" t="s">
        <v>22</v>
      </c>
      <c r="H33" t="s">
        <v>30</v>
      </c>
      <c r="I33">
        <v>4</v>
      </c>
      <c r="J33">
        <v>2</v>
      </c>
    </row>
    <row r="34" spans="1:10" x14ac:dyDescent="0.2">
      <c r="A34" s="1" t="s">
        <v>179</v>
      </c>
      <c r="B34" t="s">
        <v>15</v>
      </c>
      <c r="C34">
        <v>6</v>
      </c>
      <c r="D34" t="s">
        <v>14</v>
      </c>
      <c r="E34">
        <v>1</v>
      </c>
      <c r="F34" t="s">
        <v>60</v>
      </c>
      <c r="G34" t="s">
        <v>15</v>
      </c>
      <c r="H34" t="s">
        <v>14</v>
      </c>
      <c r="I34">
        <v>6</v>
      </c>
      <c r="J34">
        <v>1</v>
      </c>
    </row>
    <row r="35" spans="1:10" x14ac:dyDescent="0.2">
      <c r="A35" s="1" t="s">
        <v>179</v>
      </c>
      <c r="B35" t="s">
        <v>20</v>
      </c>
      <c r="C35">
        <v>1</v>
      </c>
      <c r="D35" t="s">
        <v>32</v>
      </c>
      <c r="E35">
        <v>2</v>
      </c>
      <c r="F35" t="s">
        <v>62</v>
      </c>
      <c r="G35" t="s">
        <v>32</v>
      </c>
      <c r="H35" t="s">
        <v>20</v>
      </c>
      <c r="I35">
        <v>2</v>
      </c>
      <c r="J35">
        <v>1</v>
      </c>
    </row>
    <row r="36" spans="1:10" x14ac:dyDescent="0.2">
      <c r="A36" s="1" t="s">
        <v>179</v>
      </c>
      <c r="B36" t="s">
        <v>31</v>
      </c>
      <c r="C36">
        <v>7</v>
      </c>
      <c r="D36" t="s">
        <v>33</v>
      </c>
      <c r="E36">
        <v>6</v>
      </c>
      <c r="F36" t="s">
        <v>62</v>
      </c>
      <c r="G36" t="s">
        <v>31</v>
      </c>
      <c r="H36" t="s">
        <v>33</v>
      </c>
      <c r="I36">
        <v>7</v>
      </c>
      <c r="J36">
        <v>6</v>
      </c>
    </row>
    <row r="37" spans="1:10" x14ac:dyDescent="0.2">
      <c r="A37" s="1" t="s">
        <v>179</v>
      </c>
      <c r="B37" t="s">
        <v>24</v>
      </c>
      <c r="C37">
        <v>5</v>
      </c>
      <c r="D37" t="s">
        <v>37</v>
      </c>
      <c r="E37">
        <v>3</v>
      </c>
      <c r="F37" t="s">
        <v>60</v>
      </c>
      <c r="G37" t="s">
        <v>24</v>
      </c>
      <c r="H37" t="s">
        <v>37</v>
      </c>
      <c r="I37">
        <v>5</v>
      </c>
      <c r="J37">
        <v>3</v>
      </c>
    </row>
    <row r="38" spans="1:10" x14ac:dyDescent="0.2">
      <c r="A38" s="1" t="s">
        <v>179</v>
      </c>
      <c r="B38" t="s">
        <v>13</v>
      </c>
      <c r="C38">
        <v>2</v>
      </c>
      <c r="D38" t="s">
        <v>40</v>
      </c>
      <c r="E38">
        <v>3</v>
      </c>
      <c r="F38" t="s">
        <v>60</v>
      </c>
      <c r="G38" t="s">
        <v>40</v>
      </c>
      <c r="H38" t="s">
        <v>13</v>
      </c>
      <c r="I38">
        <v>3</v>
      </c>
      <c r="J38">
        <v>2</v>
      </c>
    </row>
    <row r="39" spans="1:10" x14ac:dyDescent="0.2">
      <c r="A39" s="1" t="s">
        <v>180</v>
      </c>
      <c r="B39" t="s">
        <v>22</v>
      </c>
      <c r="C39">
        <v>1</v>
      </c>
      <c r="D39" t="s">
        <v>15</v>
      </c>
      <c r="E39">
        <v>0</v>
      </c>
      <c r="F39" t="s">
        <v>60</v>
      </c>
      <c r="G39" t="s">
        <v>22</v>
      </c>
      <c r="H39" t="s">
        <v>15</v>
      </c>
      <c r="I39">
        <v>1</v>
      </c>
      <c r="J39">
        <v>0</v>
      </c>
    </row>
    <row r="40" spans="1:10" x14ac:dyDescent="0.2">
      <c r="A40" s="1" t="s">
        <v>181</v>
      </c>
      <c r="B40" t="s">
        <v>37</v>
      </c>
      <c r="C40">
        <v>4</v>
      </c>
      <c r="D40" t="s">
        <v>21</v>
      </c>
      <c r="E40">
        <v>3</v>
      </c>
      <c r="F40" t="s">
        <v>60</v>
      </c>
      <c r="G40" t="s">
        <v>37</v>
      </c>
      <c r="H40" t="s">
        <v>21</v>
      </c>
      <c r="I40">
        <v>4</v>
      </c>
      <c r="J40">
        <v>3</v>
      </c>
    </row>
    <row r="41" spans="1:10" x14ac:dyDescent="0.2">
      <c r="A41" s="1" t="s">
        <v>181</v>
      </c>
      <c r="B41" t="s">
        <v>12</v>
      </c>
      <c r="C41">
        <v>3</v>
      </c>
      <c r="D41" t="s">
        <v>23</v>
      </c>
      <c r="E41">
        <v>1</v>
      </c>
      <c r="F41" t="s">
        <v>60</v>
      </c>
      <c r="G41" t="s">
        <v>12</v>
      </c>
      <c r="H41" t="s">
        <v>23</v>
      </c>
      <c r="I41">
        <v>3</v>
      </c>
      <c r="J41">
        <v>1</v>
      </c>
    </row>
    <row r="42" spans="1:10" x14ac:dyDescent="0.2">
      <c r="A42" s="1" t="s">
        <v>181</v>
      </c>
      <c r="B42" t="s">
        <v>24</v>
      </c>
      <c r="C42">
        <v>3</v>
      </c>
      <c r="D42" t="s">
        <v>28</v>
      </c>
      <c r="E42">
        <v>2</v>
      </c>
      <c r="F42" t="s">
        <v>60</v>
      </c>
      <c r="G42" t="s">
        <v>24</v>
      </c>
      <c r="H42" t="s">
        <v>28</v>
      </c>
      <c r="I42">
        <v>3</v>
      </c>
      <c r="J42">
        <v>2</v>
      </c>
    </row>
    <row r="43" spans="1:10" x14ac:dyDescent="0.2">
      <c r="A43" s="1" t="s">
        <v>181</v>
      </c>
      <c r="B43" t="s">
        <v>55</v>
      </c>
      <c r="C43">
        <v>1</v>
      </c>
      <c r="D43" t="s">
        <v>10</v>
      </c>
      <c r="E43">
        <v>3</v>
      </c>
      <c r="F43" t="s">
        <v>60</v>
      </c>
      <c r="G43" t="s">
        <v>10</v>
      </c>
      <c r="H43" t="s">
        <v>55</v>
      </c>
      <c r="I43">
        <v>3</v>
      </c>
      <c r="J43">
        <v>1</v>
      </c>
    </row>
    <row r="44" spans="1:10" x14ac:dyDescent="0.2">
      <c r="A44" s="1" t="s">
        <v>181</v>
      </c>
      <c r="B44" t="s">
        <v>13</v>
      </c>
      <c r="C44">
        <v>3</v>
      </c>
      <c r="D44" t="s">
        <v>34</v>
      </c>
      <c r="E44">
        <v>4</v>
      </c>
      <c r="F44" t="s">
        <v>61</v>
      </c>
      <c r="G44" t="s">
        <v>34</v>
      </c>
      <c r="H44" t="s">
        <v>13</v>
      </c>
      <c r="I44">
        <v>4</v>
      </c>
      <c r="J44">
        <v>3</v>
      </c>
    </row>
    <row r="45" spans="1:10" x14ac:dyDescent="0.2">
      <c r="A45" s="1" t="s">
        <v>181</v>
      </c>
      <c r="B45" t="s">
        <v>40</v>
      </c>
      <c r="C45">
        <v>5</v>
      </c>
      <c r="D45" t="s">
        <v>30</v>
      </c>
      <c r="E45">
        <v>2</v>
      </c>
      <c r="F45" t="s">
        <v>60</v>
      </c>
      <c r="G45" t="s">
        <v>40</v>
      </c>
      <c r="H45" t="s">
        <v>30</v>
      </c>
      <c r="I45">
        <v>5</v>
      </c>
      <c r="J45">
        <v>2</v>
      </c>
    </row>
    <row r="46" spans="1:10" x14ac:dyDescent="0.2">
      <c r="A46" s="1" t="s">
        <v>181</v>
      </c>
      <c r="B46" t="s">
        <v>29</v>
      </c>
      <c r="C46">
        <v>4</v>
      </c>
      <c r="D46" t="s">
        <v>36</v>
      </c>
      <c r="E46">
        <v>1</v>
      </c>
      <c r="F46" t="s">
        <v>60</v>
      </c>
      <c r="G46" t="s">
        <v>29</v>
      </c>
      <c r="H46" t="s">
        <v>36</v>
      </c>
      <c r="I46">
        <v>4</v>
      </c>
      <c r="J46">
        <v>1</v>
      </c>
    </row>
    <row r="47" spans="1:10" x14ac:dyDescent="0.2">
      <c r="A47" s="1" t="s">
        <v>181</v>
      </c>
      <c r="B47" t="s">
        <v>11</v>
      </c>
      <c r="C47">
        <v>2</v>
      </c>
      <c r="D47" t="s">
        <v>27</v>
      </c>
      <c r="E47">
        <v>5</v>
      </c>
      <c r="F47" t="s">
        <v>60</v>
      </c>
      <c r="G47" t="s">
        <v>27</v>
      </c>
      <c r="H47" t="s">
        <v>11</v>
      </c>
      <c r="I47">
        <v>5</v>
      </c>
      <c r="J47">
        <v>2</v>
      </c>
    </row>
    <row r="48" spans="1:10" x14ac:dyDescent="0.2">
      <c r="A48" s="1" t="s">
        <v>181</v>
      </c>
      <c r="B48" t="s">
        <v>26</v>
      </c>
      <c r="C48">
        <v>3</v>
      </c>
      <c r="D48" t="s">
        <v>19</v>
      </c>
      <c r="E48">
        <v>2</v>
      </c>
      <c r="F48" t="s">
        <v>60</v>
      </c>
      <c r="G48" t="s">
        <v>26</v>
      </c>
      <c r="H48" t="s">
        <v>19</v>
      </c>
      <c r="I48">
        <v>3</v>
      </c>
      <c r="J48">
        <v>2</v>
      </c>
    </row>
    <row r="49" spans="1:10" x14ac:dyDescent="0.2">
      <c r="A49" s="1" t="s">
        <v>181</v>
      </c>
      <c r="B49" t="s">
        <v>35</v>
      </c>
      <c r="C49">
        <v>5</v>
      </c>
      <c r="D49" t="s">
        <v>38</v>
      </c>
      <c r="E49">
        <v>2</v>
      </c>
      <c r="F49" t="s">
        <v>60</v>
      </c>
      <c r="G49" t="s">
        <v>35</v>
      </c>
      <c r="H49" t="s">
        <v>38</v>
      </c>
      <c r="I49">
        <v>5</v>
      </c>
      <c r="J49">
        <v>2</v>
      </c>
    </row>
    <row r="50" spans="1:10" x14ac:dyDescent="0.2">
      <c r="A50" s="1" t="s">
        <v>182</v>
      </c>
      <c r="B50" t="s">
        <v>14</v>
      </c>
      <c r="C50">
        <v>3</v>
      </c>
      <c r="D50" t="s">
        <v>31</v>
      </c>
      <c r="E50">
        <v>4</v>
      </c>
      <c r="F50" t="s">
        <v>60</v>
      </c>
      <c r="G50" t="s">
        <v>31</v>
      </c>
      <c r="H50" t="s">
        <v>14</v>
      </c>
      <c r="I50">
        <v>4</v>
      </c>
      <c r="J50">
        <v>3</v>
      </c>
    </row>
    <row r="51" spans="1:10" x14ac:dyDescent="0.2">
      <c r="A51" s="1" t="s">
        <v>182</v>
      </c>
      <c r="B51" t="s">
        <v>20</v>
      </c>
      <c r="C51">
        <v>4</v>
      </c>
      <c r="D51" t="s">
        <v>16</v>
      </c>
      <c r="E51">
        <v>2</v>
      </c>
      <c r="F51" t="s">
        <v>60</v>
      </c>
      <c r="G51" t="s">
        <v>20</v>
      </c>
      <c r="H51" t="s">
        <v>16</v>
      </c>
      <c r="I51">
        <v>4</v>
      </c>
      <c r="J51">
        <v>2</v>
      </c>
    </row>
    <row r="52" spans="1:10" x14ac:dyDescent="0.2">
      <c r="A52" s="1" t="s">
        <v>182</v>
      </c>
      <c r="B52" t="s">
        <v>34</v>
      </c>
      <c r="C52">
        <v>2</v>
      </c>
      <c r="D52" t="s">
        <v>39</v>
      </c>
      <c r="E52">
        <v>5</v>
      </c>
      <c r="F52" t="s">
        <v>60</v>
      </c>
      <c r="G52" t="s">
        <v>39</v>
      </c>
      <c r="H52" t="s">
        <v>34</v>
      </c>
      <c r="I52">
        <v>5</v>
      </c>
      <c r="J52">
        <v>2</v>
      </c>
    </row>
    <row r="53" spans="1:10" x14ac:dyDescent="0.2">
      <c r="A53" s="1" t="s">
        <v>182</v>
      </c>
      <c r="B53" t="s">
        <v>32</v>
      </c>
      <c r="C53">
        <v>4</v>
      </c>
      <c r="D53" t="s">
        <v>18</v>
      </c>
      <c r="E53">
        <v>5</v>
      </c>
      <c r="F53" t="s">
        <v>62</v>
      </c>
      <c r="G53" t="s">
        <v>18</v>
      </c>
      <c r="H53" t="s">
        <v>32</v>
      </c>
      <c r="I53">
        <v>5</v>
      </c>
      <c r="J53">
        <v>4</v>
      </c>
    </row>
    <row r="54" spans="1:10" x14ac:dyDescent="0.2">
      <c r="A54" s="1" t="s">
        <v>182</v>
      </c>
      <c r="B54" t="s">
        <v>17</v>
      </c>
      <c r="C54">
        <v>2</v>
      </c>
      <c r="D54" t="s">
        <v>15</v>
      </c>
      <c r="E54">
        <v>0</v>
      </c>
      <c r="F54" t="s">
        <v>60</v>
      </c>
      <c r="G54" t="s">
        <v>17</v>
      </c>
      <c r="H54" t="s">
        <v>15</v>
      </c>
      <c r="I54">
        <v>2</v>
      </c>
      <c r="J54">
        <v>0</v>
      </c>
    </row>
    <row r="55" spans="1:10" x14ac:dyDescent="0.2">
      <c r="A55" s="1" t="s">
        <v>182</v>
      </c>
      <c r="B55" t="s">
        <v>25</v>
      </c>
      <c r="C55">
        <v>5</v>
      </c>
      <c r="D55" t="s">
        <v>33</v>
      </c>
      <c r="E55">
        <v>1</v>
      </c>
      <c r="F55" t="s">
        <v>60</v>
      </c>
      <c r="G55" t="s">
        <v>25</v>
      </c>
      <c r="H55" t="s">
        <v>33</v>
      </c>
      <c r="I55">
        <v>5</v>
      </c>
      <c r="J55">
        <v>1</v>
      </c>
    </row>
    <row r="56" spans="1:10" x14ac:dyDescent="0.2">
      <c r="A56" s="1" t="s">
        <v>182</v>
      </c>
      <c r="B56" t="s">
        <v>29</v>
      </c>
      <c r="C56">
        <v>4</v>
      </c>
      <c r="D56" t="s">
        <v>19</v>
      </c>
      <c r="E56">
        <v>7</v>
      </c>
      <c r="F56" t="s">
        <v>60</v>
      </c>
      <c r="G56" t="s">
        <v>19</v>
      </c>
      <c r="H56" t="s">
        <v>29</v>
      </c>
      <c r="I56">
        <v>7</v>
      </c>
      <c r="J56">
        <v>4</v>
      </c>
    </row>
    <row r="57" spans="1:10" x14ac:dyDescent="0.2">
      <c r="A57" s="1" t="s">
        <v>182</v>
      </c>
      <c r="B57" t="s">
        <v>37</v>
      </c>
      <c r="C57">
        <v>2</v>
      </c>
      <c r="D57" t="s">
        <v>22</v>
      </c>
      <c r="E57">
        <v>3</v>
      </c>
      <c r="F57" t="s">
        <v>62</v>
      </c>
      <c r="G57" t="s">
        <v>22</v>
      </c>
      <c r="H57" t="s">
        <v>37</v>
      </c>
      <c r="I57">
        <v>3</v>
      </c>
      <c r="J57">
        <v>2</v>
      </c>
    </row>
    <row r="58" spans="1:10" x14ac:dyDescent="0.2">
      <c r="A58" s="1" t="s">
        <v>183</v>
      </c>
      <c r="B58" t="s">
        <v>36</v>
      </c>
      <c r="C58">
        <v>4</v>
      </c>
      <c r="D58" t="s">
        <v>23</v>
      </c>
      <c r="E58">
        <v>8</v>
      </c>
      <c r="F58" t="s">
        <v>60</v>
      </c>
      <c r="G58" t="s">
        <v>23</v>
      </c>
      <c r="H58" t="s">
        <v>36</v>
      </c>
      <c r="I58">
        <v>8</v>
      </c>
      <c r="J58">
        <v>4</v>
      </c>
    </row>
    <row r="59" spans="1:10" x14ac:dyDescent="0.2">
      <c r="A59" s="1" t="s">
        <v>183</v>
      </c>
      <c r="B59" t="s">
        <v>11</v>
      </c>
      <c r="C59">
        <v>1</v>
      </c>
      <c r="D59" t="s">
        <v>26</v>
      </c>
      <c r="E59">
        <v>4</v>
      </c>
      <c r="F59" t="s">
        <v>60</v>
      </c>
      <c r="G59" t="s">
        <v>26</v>
      </c>
      <c r="H59" t="s">
        <v>11</v>
      </c>
      <c r="I59">
        <v>4</v>
      </c>
      <c r="J59">
        <v>1</v>
      </c>
    </row>
    <row r="60" spans="1:10" x14ac:dyDescent="0.2">
      <c r="A60" s="1" t="s">
        <v>183</v>
      </c>
      <c r="B60" t="s">
        <v>10</v>
      </c>
      <c r="C60">
        <v>8</v>
      </c>
      <c r="D60" t="s">
        <v>35</v>
      </c>
      <c r="E60">
        <v>3</v>
      </c>
      <c r="F60" t="s">
        <v>60</v>
      </c>
      <c r="G60" t="s">
        <v>10</v>
      </c>
      <c r="H60" t="s">
        <v>35</v>
      </c>
      <c r="I60">
        <v>8</v>
      </c>
      <c r="J60">
        <v>3</v>
      </c>
    </row>
    <row r="61" spans="1:10" x14ac:dyDescent="0.2">
      <c r="A61" s="1" t="s">
        <v>183</v>
      </c>
      <c r="B61" t="s">
        <v>16</v>
      </c>
      <c r="C61">
        <v>1</v>
      </c>
      <c r="D61" t="s">
        <v>55</v>
      </c>
      <c r="E61">
        <v>3</v>
      </c>
      <c r="F61" t="s">
        <v>60</v>
      </c>
      <c r="G61" t="s">
        <v>55</v>
      </c>
      <c r="H61" t="s">
        <v>16</v>
      </c>
      <c r="I61">
        <v>3</v>
      </c>
      <c r="J61">
        <v>1</v>
      </c>
    </row>
    <row r="62" spans="1:10" x14ac:dyDescent="0.2">
      <c r="A62" s="1" t="s">
        <v>184</v>
      </c>
      <c r="B62" t="s">
        <v>25</v>
      </c>
      <c r="C62">
        <v>4</v>
      </c>
      <c r="D62" t="s">
        <v>31</v>
      </c>
      <c r="E62">
        <v>1</v>
      </c>
      <c r="F62" t="s">
        <v>60</v>
      </c>
      <c r="G62" t="s">
        <v>25</v>
      </c>
      <c r="H62" t="s">
        <v>31</v>
      </c>
      <c r="I62">
        <v>4</v>
      </c>
      <c r="J62">
        <v>1</v>
      </c>
    </row>
    <row r="63" spans="1:10" x14ac:dyDescent="0.2">
      <c r="A63" s="1" t="s">
        <v>184</v>
      </c>
      <c r="B63" t="s">
        <v>12</v>
      </c>
      <c r="C63">
        <v>4</v>
      </c>
      <c r="D63" t="s">
        <v>28</v>
      </c>
      <c r="E63">
        <v>1</v>
      </c>
      <c r="F63" t="s">
        <v>60</v>
      </c>
      <c r="G63" t="s">
        <v>12</v>
      </c>
      <c r="H63" t="s">
        <v>28</v>
      </c>
      <c r="I63">
        <v>4</v>
      </c>
      <c r="J63">
        <v>1</v>
      </c>
    </row>
    <row r="64" spans="1:10" x14ac:dyDescent="0.2">
      <c r="A64" s="1" t="s">
        <v>184</v>
      </c>
      <c r="B64" t="s">
        <v>38</v>
      </c>
      <c r="C64">
        <v>5</v>
      </c>
      <c r="D64" t="s">
        <v>39</v>
      </c>
      <c r="E64">
        <v>3</v>
      </c>
      <c r="F64" t="s">
        <v>60</v>
      </c>
      <c r="G64" t="s">
        <v>38</v>
      </c>
      <c r="H64" t="s">
        <v>39</v>
      </c>
      <c r="I64">
        <v>5</v>
      </c>
      <c r="J64">
        <v>3</v>
      </c>
    </row>
    <row r="65" spans="1:10" x14ac:dyDescent="0.2">
      <c r="A65" s="1" t="s">
        <v>184</v>
      </c>
      <c r="B65" t="s">
        <v>14</v>
      </c>
      <c r="C65">
        <v>4</v>
      </c>
      <c r="D65" t="s">
        <v>13</v>
      </c>
      <c r="E65">
        <v>2</v>
      </c>
      <c r="F65" t="s">
        <v>60</v>
      </c>
      <c r="G65" t="s">
        <v>14</v>
      </c>
      <c r="H65" t="s">
        <v>13</v>
      </c>
      <c r="I65">
        <v>4</v>
      </c>
      <c r="J65">
        <v>2</v>
      </c>
    </row>
    <row r="66" spans="1:10" x14ac:dyDescent="0.2">
      <c r="A66" s="1" t="s">
        <v>184</v>
      </c>
      <c r="B66" t="s">
        <v>29</v>
      </c>
      <c r="C66">
        <v>2</v>
      </c>
      <c r="D66" t="s">
        <v>18</v>
      </c>
      <c r="E66">
        <v>3</v>
      </c>
      <c r="F66" t="s">
        <v>62</v>
      </c>
      <c r="G66" t="s">
        <v>18</v>
      </c>
      <c r="H66" t="s">
        <v>29</v>
      </c>
      <c r="I66">
        <v>3</v>
      </c>
      <c r="J66">
        <v>2</v>
      </c>
    </row>
    <row r="67" spans="1:10" x14ac:dyDescent="0.2">
      <c r="A67" s="1" t="s">
        <v>184</v>
      </c>
      <c r="B67" t="s">
        <v>11</v>
      </c>
      <c r="C67">
        <v>1</v>
      </c>
      <c r="D67" t="s">
        <v>24</v>
      </c>
      <c r="E67">
        <v>3</v>
      </c>
      <c r="F67" t="s">
        <v>60</v>
      </c>
      <c r="G67" t="s">
        <v>24</v>
      </c>
      <c r="H67" t="s">
        <v>11</v>
      </c>
      <c r="I67">
        <v>3</v>
      </c>
      <c r="J67">
        <v>1</v>
      </c>
    </row>
    <row r="68" spans="1:10" x14ac:dyDescent="0.2">
      <c r="A68" s="1" t="s">
        <v>184</v>
      </c>
      <c r="B68" t="s">
        <v>17</v>
      </c>
      <c r="C68">
        <v>2</v>
      </c>
      <c r="D68" t="s">
        <v>30</v>
      </c>
      <c r="E68">
        <v>4</v>
      </c>
      <c r="F68" t="s">
        <v>60</v>
      </c>
      <c r="G68" t="s">
        <v>30</v>
      </c>
      <c r="H68" t="s">
        <v>17</v>
      </c>
      <c r="I68">
        <v>4</v>
      </c>
      <c r="J68">
        <v>2</v>
      </c>
    </row>
    <row r="69" spans="1:10" x14ac:dyDescent="0.2">
      <c r="A69" s="1" t="s">
        <v>184</v>
      </c>
      <c r="B69" t="s">
        <v>32</v>
      </c>
      <c r="C69">
        <v>3</v>
      </c>
      <c r="D69" t="s">
        <v>36</v>
      </c>
      <c r="E69">
        <v>4</v>
      </c>
      <c r="F69" t="s">
        <v>61</v>
      </c>
      <c r="G69" t="s">
        <v>36</v>
      </c>
      <c r="H69" t="s">
        <v>32</v>
      </c>
      <c r="I69">
        <v>4</v>
      </c>
      <c r="J69">
        <v>3</v>
      </c>
    </row>
    <row r="70" spans="1:10" x14ac:dyDescent="0.2">
      <c r="A70" s="1" t="s">
        <v>184</v>
      </c>
      <c r="B70" t="s">
        <v>40</v>
      </c>
      <c r="C70">
        <v>5</v>
      </c>
      <c r="D70" t="s">
        <v>27</v>
      </c>
      <c r="E70">
        <v>2</v>
      </c>
      <c r="F70" t="s">
        <v>60</v>
      </c>
      <c r="G70" t="s">
        <v>40</v>
      </c>
      <c r="H70" t="s">
        <v>27</v>
      </c>
      <c r="I70">
        <v>5</v>
      </c>
      <c r="J70">
        <v>2</v>
      </c>
    </row>
    <row r="71" spans="1:10" x14ac:dyDescent="0.2">
      <c r="A71" s="1" t="s">
        <v>184</v>
      </c>
      <c r="B71" t="s">
        <v>15</v>
      </c>
      <c r="C71">
        <v>1</v>
      </c>
      <c r="D71" t="s">
        <v>19</v>
      </c>
      <c r="E71">
        <v>2</v>
      </c>
      <c r="F71" t="s">
        <v>62</v>
      </c>
      <c r="G71" t="s">
        <v>19</v>
      </c>
      <c r="H71" t="s">
        <v>15</v>
      </c>
      <c r="I71">
        <v>2</v>
      </c>
      <c r="J71">
        <v>1</v>
      </c>
    </row>
    <row r="72" spans="1:10" x14ac:dyDescent="0.2">
      <c r="A72" s="1" t="s">
        <v>184</v>
      </c>
      <c r="B72" t="s">
        <v>21</v>
      </c>
      <c r="C72">
        <v>5</v>
      </c>
      <c r="D72" t="s">
        <v>20</v>
      </c>
      <c r="E72">
        <v>6</v>
      </c>
      <c r="F72" t="s">
        <v>60</v>
      </c>
      <c r="G72" t="s">
        <v>20</v>
      </c>
      <c r="H72" t="s">
        <v>21</v>
      </c>
      <c r="I72">
        <v>6</v>
      </c>
      <c r="J72">
        <v>5</v>
      </c>
    </row>
    <row r="73" spans="1:10" x14ac:dyDescent="0.2">
      <c r="A73" s="1" t="s">
        <v>185</v>
      </c>
      <c r="B73" t="s">
        <v>38</v>
      </c>
      <c r="C73">
        <v>3</v>
      </c>
      <c r="D73" t="s">
        <v>10</v>
      </c>
      <c r="E73">
        <v>2</v>
      </c>
      <c r="F73" t="s">
        <v>61</v>
      </c>
      <c r="G73" t="s">
        <v>38</v>
      </c>
      <c r="H73" t="s">
        <v>10</v>
      </c>
      <c r="I73">
        <v>3</v>
      </c>
      <c r="J73">
        <v>2</v>
      </c>
    </row>
    <row r="74" spans="1:10" x14ac:dyDescent="0.2">
      <c r="A74" s="1" t="s">
        <v>185</v>
      </c>
      <c r="B74" t="s">
        <v>37</v>
      </c>
      <c r="C74">
        <v>1</v>
      </c>
      <c r="D74" t="s">
        <v>26</v>
      </c>
      <c r="E74">
        <v>2</v>
      </c>
      <c r="F74" t="s">
        <v>62</v>
      </c>
      <c r="G74" t="s">
        <v>26</v>
      </c>
      <c r="H74" t="s">
        <v>37</v>
      </c>
      <c r="I74">
        <v>2</v>
      </c>
      <c r="J74">
        <v>1</v>
      </c>
    </row>
    <row r="75" spans="1:10" x14ac:dyDescent="0.2">
      <c r="A75" s="1" t="s">
        <v>185</v>
      </c>
      <c r="B75" t="s">
        <v>33</v>
      </c>
      <c r="C75">
        <v>3</v>
      </c>
      <c r="D75" t="s">
        <v>55</v>
      </c>
      <c r="E75">
        <v>6</v>
      </c>
      <c r="F75" t="s">
        <v>60</v>
      </c>
      <c r="G75" t="s">
        <v>55</v>
      </c>
      <c r="H75" t="s">
        <v>33</v>
      </c>
      <c r="I75">
        <v>6</v>
      </c>
      <c r="J75">
        <v>3</v>
      </c>
    </row>
    <row r="76" spans="1:10" x14ac:dyDescent="0.2">
      <c r="A76" s="1" t="s">
        <v>185</v>
      </c>
      <c r="B76" t="s">
        <v>34</v>
      </c>
      <c r="C76">
        <v>1</v>
      </c>
      <c r="D76" t="s">
        <v>22</v>
      </c>
      <c r="E76">
        <v>5</v>
      </c>
      <c r="F76" t="s">
        <v>60</v>
      </c>
      <c r="G76" t="s">
        <v>22</v>
      </c>
      <c r="H76" t="s">
        <v>34</v>
      </c>
      <c r="I76">
        <v>5</v>
      </c>
      <c r="J76">
        <v>1</v>
      </c>
    </row>
    <row r="77" spans="1:10" x14ac:dyDescent="0.2">
      <c r="A77" s="1" t="s">
        <v>186</v>
      </c>
      <c r="B77" t="s">
        <v>11</v>
      </c>
      <c r="C77">
        <v>0</v>
      </c>
      <c r="D77" t="s">
        <v>23</v>
      </c>
      <c r="E77">
        <v>3</v>
      </c>
      <c r="F77" t="s">
        <v>60</v>
      </c>
      <c r="G77" t="s">
        <v>23</v>
      </c>
      <c r="H77" t="s">
        <v>11</v>
      </c>
      <c r="I77">
        <v>3</v>
      </c>
      <c r="J77">
        <v>0</v>
      </c>
    </row>
    <row r="78" spans="1:10" x14ac:dyDescent="0.2">
      <c r="A78" s="1" t="s">
        <v>186</v>
      </c>
      <c r="B78" t="s">
        <v>37</v>
      </c>
      <c r="C78">
        <v>2</v>
      </c>
      <c r="D78" t="s">
        <v>28</v>
      </c>
      <c r="E78">
        <v>3</v>
      </c>
      <c r="F78" t="s">
        <v>60</v>
      </c>
      <c r="G78" t="s">
        <v>28</v>
      </c>
      <c r="H78" t="s">
        <v>37</v>
      </c>
      <c r="I78">
        <v>3</v>
      </c>
      <c r="J78">
        <v>2</v>
      </c>
    </row>
    <row r="79" spans="1:10" x14ac:dyDescent="0.2">
      <c r="A79" s="1" t="s">
        <v>186</v>
      </c>
      <c r="B79" t="s">
        <v>21</v>
      </c>
      <c r="C79">
        <v>1</v>
      </c>
      <c r="D79" t="s">
        <v>12</v>
      </c>
      <c r="E79">
        <v>4</v>
      </c>
      <c r="F79" t="s">
        <v>60</v>
      </c>
      <c r="G79" t="s">
        <v>12</v>
      </c>
      <c r="H79" t="s">
        <v>21</v>
      </c>
      <c r="I79">
        <v>4</v>
      </c>
      <c r="J79">
        <v>1</v>
      </c>
    </row>
    <row r="80" spans="1:10" x14ac:dyDescent="0.2">
      <c r="A80" s="1" t="s">
        <v>186</v>
      </c>
      <c r="B80" t="s">
        <v>25</v>
      </c>
      <c r="C80">
        <v>4</v>
      </c>
      <c r="D80" t="s">
        <v>13</v>
      </c>
      <c r="E80">
        <v>3</v>
      </c>
      <c r="F80" t="s">
        <v>62</v>
      </c>
      <c r="G80" t="s">
        <v>25</v>
      </c>
      <c r="H80" t="s">
        <v>13</v>
      </c>
      <c r="I80">
        <v>4</v>
      </c>
      <c r="J80">
        <v>3</v>
      </c>
    </row>
    <row r="81" spans="1:10" x14ac:dyDescent="0.2">
      <c r="A81" s="1" t="s">
        <v>186</v>
      </c>
      <c r="B81" t="s">
        <v>15</v>
      </c>
      <c r="C81">
        <v>4</v>
      </c>
      <c r="D81" t="s">
        <v>18</v>
      </c>
      <c r="E81">
        <v>3</v>
      </c>
      <c r="F81" t="s">
        <v>60</v>
      </c>
      <c r="G81" t="s">
        <v>15</v>
      </c>
      <c r="H81" t="s">
        <v>18</v>
      </c>
      <c r="I81">
        <v>4</v>
      </c>
      <c r="J81">
        <v>3</v>
      </c>
    </row>
    <row r="82" spans="1:10" x14ac:dyDescent="0.2">
      <c r="A82" s="1" t="s">
        <v>186</v>
      </c>
      <c r="B82" t="s">
        <v>17</v>
      </c>
      <c r="C82">
        <v>3</v>
      </c>
      <c r="D82" t="s">
        <v>24</v>
      </c>
      <c r="E82">
        <v>5</v>
      </c>
      <c r="F82" t="s">
        <v>60</v>
      </c>
      <c r="G82" t="s">
        <v>24</v>
      </c>
      <c r="H82" t="s">
        <v>17</v>
      </c>
      <c r="I82">
        <v>5</v>
      </c>
      <c r="J82">
        <v>3</v>
      </c>
    </row>
    <row r="83" spans="1:10" x14ac:dyDescent="0.2">
      <c r="A83" s="1" t="s">
        <v>186</v>
      </c>
      <c r="B83" t="s">
        <v>30</v>
      </c>
      <c r="C83">
        <v>5</v>
      </c>
      <c r="D83" t="s">
        <v>36</v>
      </c>
      <c r="E83">
        <v>4</v>
      </c>
      <c r="F83" t="s">
        <v>60</v>
      </c>
      <c r="G83" t="s">
        <v>30</v>
      </c>
      <c r="H83" t="s">
        <v>36</v>
      </c>
      <c r="I83">
        <v>5</v>
      </c>
      <c r="J83">
        <v>4</v>
      </c>
    </row>
    <row r="84" spans="1:10" x14ac:dyDescent="0.2">
      <c r="A84" s="1" t="s">
        <v>186</v>
      </c>
      <c r="B84" t="s">
        <v>34</v>
      </c>
      <c r="C84">
        <v>1</v>
      </c>
      <c r="D84" t="s">
        <v>27</v>
      </c>
      <c r="E84">
        <v>2</v>
      </c>
      <c r="F84" t="s">
        <v>62</v>
      </c>
      <c r="G84" t="s">
        <v>27</v>
      </c>
      <c r="H84" t="s">
        <v>34</v>
      </c>
      <c r="I84">
        <v>2</v>
      </c>
      <c r="J84">
        <v>1</v>
      </c>
    </row>
    <row r="85" spans="1:10" x14ac:dyDescent="0.2">
      <c r="A85" s="1" t="s">
        <v>186</v>
      </c>
      <c r="B85" t="s">
        <v>14</v>
      </c>
      <c r="C85">
        <v>3</v>
      </c>
      <c r="D85" t="s">
        <v>33</v>
      </c>
      <c r="E85">
        <v>0</v>
      </c>
      <c r="F85" t="s">
        <v>60</v>
      </c>
      <c r="G85" t="s">
        <v>14</v>
      </c>
      <c r="H85" t="s">
        <v>33</v>
      </c>
      <c r="I85">
        <v>3</v>
      </c>
      <c r="J85">
        <v>0</v>
      </c>
    </row>
    <row r="86" spans="1:10" x14ac:dyDescent="0.2">
      <c r="A86" s="1" t="s">
        <v>186</v>
      </c>
      <c r="B86" t="s">
        <v>39</v>
      </c>
      <c r="C86">
        <v>1</v>
      </c>
      <c r="D86" t="s">
        <v>35</v>
      </c>
      <c r="E86">
        <v>3</v>
      </c>
      <c r="F86" t="s">
        <v>60</v>
      </c>
      <c r="G86" t="s">
        <v>35</v>
      </c>
      <c r="H86" t="s">
        <v>39</v>
      </c>
      <c r="I86">
        <v>3</v>
      </c>
      <c r="J86">
        <v>1</v>
      </c>
    </row>
    <row r="87" spans="1:10" x14ac:dyDescent="0.2">
      <c r="A87" s="1" t="s">
        <v>186</v>
      </c>
      <c r="B87" t="s">
        <v>32</v>
      </c>
      <c r="C87">
        <v>4</v>
      </c>
      <c r="D87" t="s">
        <v>19</v>
      </c>
      <c r="E87">
        <v>3</v>
      </c>
      <c r="F87" t="s">
        <v>62</v>
      </c>
      <c r="G87" t="s">
        <v>32</v>
      </c>
      <c r="H87" t="s">
        <v>19</v>
      </c>
      <c r="I87">
        <v>4</v>
      </c>
      <c r="J87">
        <v>3</v>
      </c>
    </row>
    <row r="88" spans="1:10" x14ac:dyDescent="0.2">
      <c r="A88" s="1" t="s">
        <v>186</v>
      </c>
      <c r="B88" t="s">
        <v>16</v>
      </c>
      <c r="C88">
        <v>1</v>
      </c>
      <c r="D88" t="s">
        <v>20</v>
      </c>
      <c r="E88">
        <v>6</v>
      </c>
      <c r="F88" t="s">
        <v>60</v>
      </c>
      <c r="G88" t="s">
        <v>20</v>
      </c>
      <c r="H88" t="s">
        <v>16</v>
      </c>
      <c r="I88">
        <v>6</v>
      </c>
      <c r="J88">
        <v>1</v>
      </c>
    </row>
    <row r="89" spans="1:10" x14ac:dyDescent="0.2">
      <c r="A89" s="1" t="s">
        <v>186</v>
      </c>
      <c r="B89" t="s">
        <v>29</v>
      </c>
      <c r="C89">
        <v>1</v>
      </c>
      <c r="D89" t="s">
        <v>40</v>
      </c>
      <c r="E89">
        <v>4</v>
      </c>
      <c r="F89" t="s">
        <v>60</v>
      </c>
      <c r="G89" t="s">
        <v>40</v>
      </c>
      <c r="H89" t="s">
        <v>29</v>
      </c>
      <c r="I89">
        <v>4</v>
      </c>
      <c r="J89">
        <v>1</v>
      </c>
    </row>
    <row r="90" spans="1:10" x14ac:dyDescent="0.2">
      <c r="A90" s="1" t="s">
        <v>187</v>
      </c>
      <c r="B90" t="s">
        <v>31</v>
      </c>
      <c r="C90">
        <v>1</v>
      </c>
      <c r="D90" t="s">
        <v>10</v>
      </c>
      <c r="E90">
        <v>2</v>
      </c>
      <c r="F90" t="s">
        <v>62</v>
      </c>
      <c r="G90" t="s">
        <v>10</v>
      </c>
      <c r="H90" t="s">
        <v>31</v>
      </c>
      <c r="I90">
        <v>2</v>
      </c>
      <c r="J90">
        <v>1</v>
      </c>
    </row>
    <row r="91" spans="1:10" x14ac:dyDescent="0.2">
      <c r="A91" s="1" t="s">
        <v>187</v>
      </c>
      <c r="B91" t="s">
        <v>17</v>
      </c>
      <c r="C91">
        <v>2</v>
      </c>
      <c r="D91" t="s">
        <v>26</v>
      </c>
      <c r="E91">
        <v>4</v>
      </c>
      <c r="F91" t="s">
        <v>60</v>
      </c>
      <c r="G91" t="s">
        <v>26</v>
      </c>
      <c r="H91" t="s">
        <v>17</v>
      </c>
      <c r="I91">
        <v>4</v>
      </c>
      <c r="J91">
        <v>2</v>
      </c>
    </row>
    <row r="92" spans="1:10" x14ac:dyDescent="0.2">
      <c r="A92" s="1" t="s">
        <v>187</v>
      </c>
      <c r="B92" t="s">
        <v>21</v>
      </c>
      <c r="C92">
        <v>2</v>
      </c>
      <c r="D92" t="s">
        <v>55</v>
      </c>
      <c r="E92">
        <v>3</v>
      </c>
      <c r="F92" t="s">
        <v>60</v>
      </c>
      <c r="G92" t="s">
        <v>55</v>
      </c>
      <c r="H92" t="s">
        <v>21</v>
      </c>
      <c r="I92">
        <v>3</v>
      </c>
      <c r="J92">
        <v>2</v>
      </c>
    </row>
    <row r="93" spans="1:10" x14ac:dyDescent="0.2">
      <c r="A93" s="1" t="s">
        <v>187</v>
      </c>
      <c r="B93" t="s">
        <v>38</v>
      </c>
      <c r="C93">
        <v>4</v>
      </c>
      <c r="D93" t="s">
        <v>22</v>
      </c>
      <c r="E93">
        <v>3</v>
      </c>
      <c r="F93" t="s">
        <v>60</v>
      </c>
      <c r="G93" t="s">
        <v>38</v>
      </c>
      <c r="H93" t="s">
        <v>22</v>
      </c>
      <c r="I93">
        <v>4</v>
      </c>
      <c r="J93">
        <v>3</v>
      </c>
    </row>
    <row r="94" spans="1:10" x14ac:dyDescent="0.2">
      <c r="A94" s="1" t="s">
        <v>188</v>
      </c>
      <c r="B94" t="s">
        <v>40</v>
      </c>
      <c r="C94">
        <v>2</v>
      </c>
      <c r="D94" t="s">
        <v>16</v>
      </c>
      <c r="E94">
        <v>1</v>
      </c>
      <c r="F94" t="s">
        <v>60</v>
      </c>
      <c r="G94" t="s">
        <v>40</v>
      </c>
      <c r="H94" t="s">
        <v>16</v>
      </c>
      <c r="I94">
        <v>2</v>
      </c>
      <c r="J94">
        <v>1</v>
      </c>
    </row>
    <row r="95" spans="1:10" x14ac:dyDescent="0.2">
      <c r="A95" s="1" t="s">
        <v>188</v>
      </c>
      <c r="B95" t="s">
        <v>23</v>
      </c>
      <c r="C95">
        <v>2</v>
      </c>
      <c r="D95" t="s">
        <v>18</v>
      </c>
      <c r="E95">
        <v>4</v>
      </c>
      <c r="F95" t="s">
        <v>60</v>
      </c>
      <c r="G95" t="s">
        <v>18</v>
      </c>
      <c r="H95" t="s">
        <v>23</v>
      </c>
      <c r="I95">
        <v>4</v>
      </c>
      <c r="J95">
        <v>2</v>
      </c>
    </row>
    <row r="96" spans="1:10" x14ac:dyDescent="0.2">
      <c r="A96" s="1" t="s">
        <v>188</v>
      </c>
      <c r="B96" t="s">
        <v>34</v>
      </c>
      <c r="C96">
        <v>3</v>
      </c>
      <c r="D96" t="s">
        <v>15</v>
      </c>
      <c r="E96">
        <v>1</v>
      </c>
      <c r="F96" t="s">
        <v>60</v>
      </c>
      <c r="G96" t="s">
        <v>34</v>
      </c>
      <c r="H96" t="s">
        <v>15</v>
      </c>
      <c r="I96">
        <v>3</v>
      </c>
      <c r="J96">
        <v>1</v>
      </c>
    </row>
    <row r="97" spans="1:10" x14ac:dyDescent="0.2">
      <c r="A97" s="1" t="s">
        <v>188</v>
      </c>
      <c r="B97" t="s">
        <v>32</v>
      </c>
      <c r="C97">
        <v>2</v>
      </c>
      <c r="D97" t="s">
        <v>27</v>
      </c>
      <c r="E97">
        <v>5</v>
      </c>
      <c r="F97" t="s">
        <v>60</v>
      </c>
      <c r="G97" t="s">
        <v>27</v>
      </c>
      <c r="H97" t="s">
        <v>32</v>
      </c>
      <c r="I97">
        <v>5</v>
      </c>
      <c r="J97">
        <v>2</v>
      </c>
    </row>
    <row r="98" spans="1:10" x14ac:dyDescent="0.2">
      <c r="A98" s="1" t="s">
        <v>188</v>
      </c>
      <c r="B98" t="s">
        <v>25</v>
      </c>
      <c r="C98">
        <v>1</v>
      </c>
      <c r="D98" t="s">
        <v>20</v>
      </c>
      <c r="E98">
        <v>4</v>
      </c>
      <c r="F98" t="s">
        <v>60</v>
      </c>
      <c r="G98" t="s">
        <v>20</v>
      </c>
      <c r="H98" t="s">
        <v>25</v>
      </c>
      <c r="I98">
        <v>4</v>
      </c>
      <c r="J98">
        <v>1</v>
      </c>
    </row>
    <row r="99" spans="1:10" x14ac:dyDescent="0.2">
      <c r="A99" s="1" t="s">
        <v>189</v>
      </c>
      <c r="B99" t="s">
        <v>11</v>
      </c>
      <c r="C99">
        <v>4</v>
      </c>
      <c r="D99" t="s">
        <v>21</v>
      </c>
      <c r="E99">
        <v>3</v>
      </c>
      <c r="F99" t="s">
        <v>60</v>
      </c>
      <c r="G99" t="s">
        <v>11</v>
      </c>
      <c r="H99" t="s">
        <v>21</v>
      </c>
      <c r="I99">
        <v>4</v>
      </c>
      <c r="J99">
        <v>3</v>
      </c>
    </row>
    <row r="100" spans="1:10" x14ac:dyDescent="0.2">
      <c r="A100" s="1" t="s">
        <v>189</v>
      </c>
      <c r="B100" t="s">
        <v>28</v>
      </c>
      <c r="C100">
        <v>5</v>
      </c>
      <c r="D100" t="s">
        <v>39</v>
      </c>
      <c r="E100">
        <v>1</v>
      </c>
      <c r="F100" t="s">
        <v>60</v>
      </c>
      <c r="G100" t="s">
        <v>28</v>
      </c>
      <c r="H100" t="s">
        <v>39</v>
      </c>
      <c r="I100">
        <v>5</v>
      </c>
      <c r="J100">
        <v>1</v>
      </c>
    </row>
    <row r="101" spans="1:10" x14ac:dyDescent="0.2">
      <c r="A101" s="1" t="s">
        <v>189</v>
      </c>
      <c r="B101" t="s">
        <v>31</v>
      </c>
      <c r="C101">
        <v>5</v>
      </c>
      <c r="D101" t="s">
        <v>29</v>
      </c>
      <c r="E101">
        <v>2</v>
      </c>
      <c r="F101" t="s">
        <v>60</v>
      </c>
      <c r="G101" t="s">
        <v>31</v>
      </c>
      <c r="H101" t="s">
        <v>29</v>
      </c>
      <c r="I101">
        <v>5</v>
      </c>
      <c r="J101">
        <v>2</v>
      </c>
    </row>
    <row r="102" spans="1:10" x14ac:dyDescent="0.2">
      <c r="A102" s="1" t="s">
        <v>189</v>
      </c>
      <c r="B102" t="s">
        <v>33</v>
      </c>
      <c r="C102">
        <v>3</v>
      </c>
      <c r="D102" t="s">
        <v>30</v>
      </c>
      <c r="E102">
        <v>4</v>
      </c>
      <c r="F102" t="s">
        <v>60</v>
      </c>
      <c r="G102" t="s">
        <v>30</v>
      </c>
      <c r="H102" t="s">
        <v>33</v>
      </c>
      <c r="I102">
        <v>4</v>
      </c>
      <c r="J102">
        <v>3</v>
      </c>
    </row>
    <row r="103" spans="1:10" x14ac:dyDescent="0.2">
      <c r="A103" s="1" t="s">
        <v>189</v>
      </c>
      <c r="B103" t="s">
        <v>17</v>
      </c>
      <c r="C103">
        <v>3</v>
      </c>
      <c r="D103" t="s">
        <v>36</v>
      </c>
      <c r="E103">
        <v>2</v>
      </c>
      <c r="F103" t="s">
        <v>62</v>
      </c>
      <c r="G103" t="s">
        <v>17</v>
      </c>
      <c r="H103" t="s">
        <v>36</v>
      </c>
      <c r="I103">
        <v>3</v>
      </c>
      <c r="J103">
        <v>2</v>
      </c>
    </row>
    <row r="104" spans="1:10" x14ac:dyDescent="0.2">
      <c r="A104" s="1" t="s">
        <v>189</v>
      </c>
      <c r="B104" t="s">
        <v>38</v>
      </c>
      <c r="C104">
        <v>1</v>
      </c>
      <c r="D104" t="s">
        <v>14</v>
      </c>
      <c r="E104">
        <v>5</v>
      </c>
      <c r="F104" t="s">
        <v>60</v>
      </c>
      <c r="G104" t="s">
        <v>14</v>
      </c>
      <c r="H104" t="s">
        <v>38</v>
      </c>
      <c r="I104">
        <v>5</v>
      </c>
      <c r="J104">
        <v>1</v>
      </c>
    </row>
    <row r="105" spans="1:10" x14ac:dyDescent="0.2">
      <c r="A105" s="1" t="s">
        <v>189</v>
      </c>
      <c r="B105" t="s">
        <v>13</v>
      </c>
      <c r="C105">
        <v>2</v>
      </c>
      <c r="D105" t="s">
        <v>35</v>
      </c>
      <c r="E105">
        <v>1</v>
      </c>
      <c r="F105" t="s">
        <v>62</v>
      </c>
      <c r="G105" t="s">
        <v>13</v>
      </c>
      <c r="H105" t="s">
        <v>35</v>
      </c>
      <c r="I105">
        <v>2</v>
      </c>
      <c r="J105">
        <v>1</v>
      </c>
    </row>
    <row r="106" spans="1:10" x14ac:dyDescent="0.2">
      <c r="A106" s="1" t="s">
        <v>189</v>
      </c>
      <c r="B106" t="s">
        <v>24</v>
      </c>
      <c r="C106">
        <v>5</v>
      </c>
      <c r="D106" t="s">
        <v>19</v>
      </c>
      <c r="E106">
        <v>2</v>
      </c>
      <c r="F106" t="s">
        <v>60</v>
      </c>
      <c r="G106" t="s">
        <v>24</v>
      </c>
      <c r="H106" t="s">
        <v>19</v>
      </c>
      <c r="I106">
        <v>5</v>
      </c>
      <c r="J106">
        <v>2</v>
      </c>
    </row>
    <row r="107" spans="1:10" x14ac:dyDescent="0.2">
      <c r="A107" s="1" t="s">
        <v>189</v>
      </c>
      <c r="B107" t="s">
        <v>12</v>
      </c>
      <c r="C107">
        <v>3</v>
      </c>
      <c r="D107" t="s">
        <v>55</v>
      </c>
      <c r="E107">
        <v>4</v>
      </c>
      <c r="F107" t="s">
        <v>62</v>
      </c>
      <c r="G107" t="s">
        <v>55</v>
      </c>
      <c r="H107" t="s">
        <v>12</v>
      </c>
      <c r="I107">
        <v>4</v>
      </c>
      <c r="J107">
        <v>3</v>
      </c>
    </row>
    <row r="108" spans="1:10" x14ac:dyDescent="0.2">
      <c r="A108" s="1" t="s">
        <v>189</v>
      </c>
      <c r="B108" t="s">
        <v>32</v>
      </c>
      <c r="C108">
        <v>1</v>
      </c>
      <c r="D108" t="s">
        <v>22</v>
      </c>
      <c r="E108">
        <v>4</v>
      </c>
      <c r="F108" t="s">
        <v>60</v>
      </c>
      <c r="G108" t="s">
        <v>22</v>
      </c>
      <c r="H108" t="s">
        <v>32</v>
      </c>
      <c r="I108">
        <v>4</v>
      </c>
      <c r="J108">
        <v>1</v>
      </c>
    </row>
    <row r="109" spans="1:10" x14ac:dyDescent="0.2">
      <c r="A109" s="1" t="s">
        <v>190</v>
      </c>
      <c r="B109" t="s">
        <v>26</v>
      </c>
      <c r="C109">
        <v>2</v>
      </c>
      <c r="D109" t="s">
        <v>23</v>
      </c>
      <c r="E109">
        <v>4</v>
      </c>
      <c r="F109" t="s">
        <v>60</v>
      </c>
      <c r="G109" t="s">
        <v>23</v>
      </c>
      <c r="H109" t="s">
        <v>26</v>
      </c>
      <c r="I109">
        <v>4</v>
      </c>
      <c r="J109">
        <v>2</v>
      </c>
    </row>
    <row r="110" spans="1:10" x14ac:dyDescent="0.2">
      <c r="A110" s="1" t="s">
        <v>190</v>
      </c>
      <c r="B110" t="s">
        <v>18</v>
      </c>
      <c r="C110">
        <v>2</v>
      </c>
      <c r="D110" t="s">
        <v>16</v>
      </c>
      <c r="E110">
        <v>1</v>
      </c>
      <c r="F110" t="s">
        <v>62</v>
      </c>
      <c r="G110" t="s">
        <v>18</v>
      </c>
      <c r="H110" t="s">
        <v>16</v>
      </c>
      <c r="I110">
        <v>2</v>
      </c>
      <c r="J110">
        <v>1</v>
      </c>
    </row>
    <row r="111" spans="1:10" x14ac:dyDescent="0.2">
      <c r="A111" s="1" t="s">
        <v>190</v>
      </c>
      <c r="B111" t="s">
        <v>34</v>
      </c>
      <c r="C111">
        <v>1</v>
      </c>
      <c r="D111" t="s">
        <v>24</v>
      </c>
      <c r="E111">
        <v>4</v>
      </c>
      <c r="F111" t="s">
        <v>60</v>
      </c>
      <c r="G111" t="s">
        <v>24</v>
      </c>
      <c r="H111" t="s">
        <v>34</v>
      </c>
      <c r="I111">
        <v>4</v>
      </c>
      <c r="J111">
        <v>1</v>
      </c>
    </row>
    <row r="112" spans="1:10" x14ac:dyDescent="0.2">
      <c r="A112" s="1" t="s">
        <v>191</v>
      </c>
      <c r="B112" t="s">
        <v>31</v>
      </c>
      <c r="C112">
        <v>7</v>
      </c>
      <c r="D112" t="s">
        <v>21</v>
      </c>
      <c r="E112">
        <v>5</v>
      </c>
      <c r="F112" t="s">
        <v>60</v>
      </c>
      <c r="G112" t="s">
        <v>31</v>
      </c>
      <c r="H112" t="s">
        <v>21</v>
      </c>
      <c r="I112">
        <v>7</v>
      </c>
      <c r="J112">
        <v>5</v>
      </c>
    </row>
    <row r="113" spans="1:10" x14ac:dyDescent="0.2">
      <c r="A113" s="1" t="s">
        <v>191</v>
      </c>
      <c r="B113" t="s">
        <v>25</v>
      </c>
      <c r="C113">
        <v>5</v>
      </c>
      <c r="D113" t="s">
        <v>12</v>
      </c>
      <c r="E113">
        <v>4</v>
      </c>
      <c r="F113" t="s">
        <v>61</v>
      </c>
      <c r="G113" t="s">
        <v>25</v>
      </c>
      <c r="H113" t="s">
        <v>12</v>
      </c>
      <c r="I113">
        <v>5</v>
      </c>
      <c r="J113">
        <v>4</v>
      </c>
    </row>
    <row r="114" spans="1:10" x14ac:dyDescent="0.2">
      <c r="A114" s="1" t="s">
        <v>191</v>
      </c>
      <c r="B114" t="s">
        <v>13</v>
      </c>
      <c r="C114">
        <v>3</v>
      </c>
      <c r="D114" t="s">
        <v>39</v>
      </c>
      <c r="E114">
        <v>2</v>
      </c>
      <c r="F114" t="s">
        <v>62</v>
      </c>
      <c r="G114" t="s">
        <v>13</v>
      </c>
      <c r="H114" t="s">
        <v>39</v>
      </c>
      <c r="I114">
        <v>3</v>
      </c>
      <c r="J114">
        <v>2</v>
      </c>
    </row>
    <row r="115" spans="1:10" x14ac:dyDescent="0.2">
      <c r="A115" s="1" t="s">
        <v>191</v>
      </c>
      <c r="B115" t="s">
        <v>18</v>
      </c>
      <c r="C115">
        <v>5</v>
      </c>
      <c r="D115" t="s">
        <v>17</v>
      </c>
      <c r="E115">
        <v>6</v>
      </c>
      <c r="F115" t="s">
        <v>60</v>
      </c>
      <c r="G115" t="s">
        <v>17</v>
      </c>
      <c r="H115" t="s">
        <v>18</v>
      </c>
      <c r="I115">
        <v>6</v>
      </c>
      <c r="J115">
        <v>5</v>
      </c>
    </row>
    <row r="116" spans="1:10" x14ac:dyDescent="0.2">
      <c r="A116" s="1" t="s">
        <v>191</v>
      </c>
      <c r="B116" t="s">
        <v>14</v>
      </c>
      <c r="C116">
        <v>5</v>
      </c>
      <c r="D116" t="s">
        <v>11</v>
      </c>
      <c r="E116">
        <v>3</v>
      </c>
      <c r="F116" t="s">
        <v>60</v>
      </c>
      <c r="G116" t="s">
        <v>14</v>
      </c>
      <c r="H116" t="s">
        <v>11</v>
      </c>
      <c r="I116">
        <v>5</v>
      </c>
      <c r="J116">
        <v>3</v>
      </c>
    </row>
    <row r="117" spans="1:10" x14ac:dyDescent="0.2">
      <c r="A117" s="1" t="s">
        <v>191</v>
      </c>
      <c r="B117" t="s">
        <v>38</v>
      </c>
      <c r="C117">
        <v>1</v>
      </c>
      <c r="D117" t="s">
        <v>29</v>
      </c>
      <c r="E117">
        <v>2</v>
      </c>
      <c r="F117" t="s">
        <v>60</v>
      </c>
      <c r="G117" t="s">
        <v>29</v>
      </c>
      <c r="H117" t="s">
        <v>38</v>
      </c>
      <c r="I117">
        <v>2</v>
      </c>
      <c r="J117">
        <v>1</v>
      </c>
    </row>
    <row r="118" spans="1:10" x14ac:dyDescent="0.2">
      <c r="A118" s="1" t="s">
        <v>191</v>
      </c>
      <c r="B118" t="s">
        <v>26</v>
      </c>
      <c r="C118">
        <v>2</v>
      </c>
      <c r="D118" t="s">
        <v>30</v>
      </c>
      <c r="E118">
        <v>7</v>
      </c>
      <c r="F118" t="s">
        <v>60</v>
      </c>
      <c r="G118" t="s">
        <v>30</v>
      </c>
      <c r="H118" t="s">
        <v>26</v>
      </c>
      <c r="I118">
        <v>7</v>
      </c>
      <c r="J118">
        <v>2</v>
      </c>
    </row>
    <row r="119" spans="1:10" x14ac:dyDescent="0.2">
      <c r="A119" s="1" t="s">
        <v>191</v>
      </c>
      <c r="B119" t="s">
        <v>33</v>
      </c>
      <c r="C119">
        <v>6</v>
      </c>
      <c r="D119" t="s">
        <v>15</v>
      </c>
      <c r="E119">
        <v>5</v>
      </c>
      <c r="F119" t="s">
        <v>62</v>
      </c>
      <c r="G119" t="s">
        <v>33</v>
      </c>
      <c r="H119" t="s">
        <v>15</v>
      </c>
      <c r="I119">
        <v>6</v>
      </c>
      <c r="J119">
        <v>5</v>
      </c>
    </row>
    <row r="120" spans="1:10" x14ac:dyDescent="0.2">
      <c r="A120" s="1" t="s">
        <v>191</v>
      </c>
      <c r="B120" t="s">
        <v>27</v>
      </c>
      <c r="C120">
        <v>1</v>
      </c>
      <c r="D120" t="s">
        <v>36</v>
      </c>
      <c r="E120">
        <v>2</v>
      </c>
      <c r="F120" t="s">
        <v>60</v>
      </c>
      <c r="G120" t="s">
        <v>36</v>
      </c>
      <c r="H120" t="s">
        <v>27</v>
      </c>
      <c r="I120">
        <v>2</v>
      </c>
      <c r="J120">
        <v>1</v>
      </c>
    </row>
    <row r="121" spans="1:10" x14ac:dyDescent="0.2">
      <c r="A121" s="1" t="s">
        <v>191</v>
      </c>
      <c r="B121" t="s">
        <v>55</v>
      </c>
      <c r="C121">
        <v>7</v>
      </c>
      <c r="D121" t="s">
        <v>35</v>
      </c>
      <c r="E121">
        <v>4</v>
      </c>
      <c r="F121" t="s">
        <v>60</v>
      </c>
      <c r="G121" t="s">
        <v>55</v>
      </c>
      <c r="H121" t="s">
        <v>35</v>
      </c>
      <c r="I121">
        <v>7</v>
      </c>
      <c r="J121">
        <v>4</v>
      </c>
    </row>
    <row r="122" spans="1:10" x14ac:dyDescent="0.2">
      <c r="A122" s="1" t="s">
        <v>191</v>
      </c>
      <c r="B122" t="s">
        <v>10</v>
      </c>
      <c r="C122">
        <v>3</v>
      </c>
      <c r="D122" t="s">
        <v>37</v>
      </c>
      <c r="E122">
        <v>2</v>
      </c>
      <c r="F122" t="s">
        <v>60</v>
      </c>
      <c r="G122" t="s">
        <v>10</v>
      </c>
      <c r="H122" t="s">
        <v>37</v>
      </c>
      <c r="I122">
        <v>3</v>
      </c>
      <c r="J122">
        <v>2</v>
      </c>
    </row>
    <row r="123" spans="1:10" x14ac:dyDescent="0.2">
      <c r="A123" s="1" t="s">
        <v>191</v>
      </c>
      <c r="B123" t="s">
        <v>32</v>
      </c>
      <c r="C123">
        <v>3</v>
      </c>
      <c r="D123" t="s">
        <v>40</v>
      </c>
      <c r="E123">
        <v>0</v>
      </c>
      <c r="F123" t="s">
        <v>60</v>
      </c>
      <c r="G123" t="s">
        <v>32</v>
      </c>
      <c r="H123" t="s">
        <v>40</v>
      </c>
      <c r="I123">
        <v>3</v>
      </c>
      <c r="J123">
        <v>0</v>
      </c>
    </row>
    <row r="124" spans="1:10" x14ac:dyDescent="0.2">
      <c r="A124" s="1" t="s">
        <v>192</v>
      </c>
      <c r="B124" t="s">
        <v>19</v>
      </c>
      <c r="C124">
        <v>3</v>
      </c>
      <c r="D124" t="s">
        <v>23</v>
      </c>
      <c r="E124">
        <v>5</v>
      </c>
      <c r="F124" t="s">
        <v>60</v>
      </c>
      <c r="G124" t="s">
        <v>23</v>
      </c>
      <c r="H124" t="s">
        <v>19</v>
      </c>
      <c r="I124">
        <v>5</v>
      </c>
      <c r="J124">
        <v>3</v>
      </c>
    </row>
    <row r="125" spans="1:10" x14ac:dyDescent="0.2">
      <c r="A125" s="1" t="s">
        <v>192</v>
      </c>
      <c r="B125" t="s">
        <v>22</v>
      </c>
      <c r="C125">
        <v>5</v>
      </c>
      <c r="D125" t="s">
        <v>28</v>
      </c>
      <c r="E125">
        <v>1</v>
      </c>
      <c r="F125" t="s">
        <v>60</v>
      </c>
      <c r="G125" t="s">
        <v>22</v>
      </c>
      <c r="H125" t="s">
        <v>28</v>
      </c>
      <c r="I125">
        <v>5</v>
      </c>
      <c r="J125">
        <v>1</v>
      </c>
    </row>
    <row r="126" spans="1:10" x14ac:dyDescent="0.2">
      <c r="A126" s="1" t="s">
        <v>192</v>
      </c>
      <c r="B126" t="s">
        <v>33</v>
      </c>
      <c r="C126">
        <v>1</v>
      </c>
      <c r="D126" t="s">
        <v>24</v>
      </c>
      <c r="E126">
        <v>3</v>
      </c>
      <c r="F126" t="s">
        <v>60</v>
      </c>
      <c r="G126" t="s">
        <v>24</v>
      </c>
      <c r="H126" t="s">
        <v>33</v>
      </c>
      <c r="I126">
        <v>3</v>
      </c>
      <c r="J126">
        <v>1</v>
      </c>
    </row>
    <row r="127" spans="1:10" x14ac:dyDescent="0.2">
      <c r="A127" s="1" t="s">
        <v>192</v>
      </c>
      <c r="B127" t="s">
        <v>16</v>
      </c>
      <c r="C127">
        <v>3</v>
      </c>
      <c r="D127" t="s">
        <v>40</v>
      </c>
      <c r="E127">
        <v>5</v>
      </c>
      <c r="F127" t="s">
        <v>60</v>
      </c>
      <c r="G127" t="s">
        <v>40</v>
      </c>
      <c r="H127" t="s">
        <v>16</v>
      </c>
      <c r="I127">
        <v>5</v>
      </c>
      <c r="J127">
        <v>3</v>
      </c>
    </row>
    <row r="128" spans="1:10" x14ac:dyDescent="0.2">
      <c r="A128" s="1" t="s">
        <v>193</v>
      </c>
      <c r="B128" t="s">
        <v>12</v>
      </c>
      <c r="C128">
        <v>2</v>
      </c>
      <c r="D128" t="s">
        <v>21</v>
      </c>
      <c r="E128">
        <v>3</v>
      </c>
      <c r="F128" t="s">
        <v>60</v>
      </c>
      <c r="G128" t="s">
        <v>21</v>
      </c>
      <c r="H128" t="s">
        <v>12</v>
      </c>
      <c r="I128">
        <v>3</v>
      </c>
      <c r="J128">
        <v>2</v>
      </c>
    </row>
    <row r="129" spans="1:10" x14ac:dyDescent="0.2">
      <c r="A129" s="1" t="s">
        <v>193</v>
      </c>
      <c r="B129" t="s">
        <v>25</v>
      </c>
      <c r="C129">
        <v>2</v>
      </c>
      <c r="D129" t="s">
        <v>39</v>
      </c>
      <c r="E129">
        <v>3</v>
      </c>
      <c r="F129" t="s">
        <v>60</v>
      </c>
      <c r="G129" t="s">
        <v>39</v>
      </c>
      <c r="H129" t="s">
        <v>25</v>
      </c>
      <c r="I129">
        <v>3</v>
      </c>
      <c r="J129">
        <v>2</v>
      </c>
    </row>
    <row r="130" spans="1:10" x14ac:dyDescent="0.2">
      <c r="A130" s="1" t="s">
        <v>193</v>
      </c>
      <c r="B130" t="s">
        <v>35</v>
      </c>
      <c r="C130">
        <v>4</v>
      </c>
      <c r="D130" t="s">
        <v>26</v>
      </c>
      <c r="E130">
        <v>6</v>
      </c>
      <c r="F130" t="s">
        <v>60</v>
      </c>
      <c r="G130" t="s">
        <v>26</v>
      </c>
      <c r="H130" t="s">
        <v>35</v>
      </c>
      <c r="I130">
        <v>6</v>
      </c>
      <c r="J130">
        <v>4</v>
      </c>
    </row>
    <row r="131" spans="1:10" x14ac:dyDescent="0.2">
      <c r="A131" s="1" t="s">
        <v>193</v>
      </c>
      <c r="B131" t="s">
        <v>20</v>
      </c>
      <c r="C131">
        <v>0</v>
      </c>
      <c r="D131" t="s">
        <v>11</v>
      </c>
      <c r="E131">
        <v>3</v>
      </c>
      <c r="F131" t="s">
        <v>60</v>
      </c>
      <c r="G131" t="s">
        <v>11</v>
      </c>
      <c r="H131" t="s">
        <v>20</v>
      </c>
      <c r="I131">
        <v>3</v>
      </c>
      <c r="J131">
        <v>0</v>
      </c>
    </row>
    <row r="132" spans="1:10" x14ac:dyDescent="0.2">
      <c r="A132" s="1" t="s">
        <v>193</v>
      </c>
      <c r="B132" t="s">
        <v>55</v>
      </c>
      <c r="C132">
        <v>6</v>
      </c>
      <c r="D132" t="s">
        <v>34</v>
      </c>
      <c r="E132">
        <v>2</v>
      </c>
      <c r="F132" t="s">
        <v>60</v>
      </c>
      <c r="G132" t="s">
        <v>55</v>
      </c>
      <c r="H132" t="s">
        <v>34</v>
      </c>
      <c r="I132">
        <v>6</v>
      </c>
      <c r="J132">
        <v>2</v>
      </c>
    </row>
    <row r="133" spans="1:10" x14ac:dyDescent="0.2">
      <c r="A133" s="1" t="s">
        <v>193</v>
      </c>
      <c r="B133" t="s">
        <v>13</v>
      </c>
      <c r="C133">
        <v>4</v>
      </c>
      <c r="D133" t="s">
        <v>29</v>
      </c>
      <c r="E133">
        <v>5</v>
      </c>
      <c r="F133" t="s">
        <v>61</v>
      </c>
      <c r="G133" t="s">
        <v>29</v>
      </c>
      <c r="H133" t="s">
        <v>13</v>
      </c>
      <c r="I133">
        <v>5</v>
      </c>
      <c r="J133">
        <v>4</v>
      </c>
    </row>
    <row r="134" spans="1:10" x14ac:dyDescent="0.2">
      <c r="A134" s="1" t="s">
        <v>193</v>
      </c>
      <c r="B134" t="s">
        <v>30</v>
      </c>
      <c r="C134">
        <v>3</v>
      </c>
      <c r="D134" t="s">
        <v>27</v>
      </c>
      <c r="E134">
        <v>4</v>
      </c>
      <c r="F134" t="s">
        <v>61</v>
      </c>
      <c r="G134" t="s">
        <v>27</v>
      </c>
      <c r="H134" t="s">
        <v>30</v>
      </c>
      <c r="I134">
        <v>4</v>
      </c>
      <c r="J134">
        <v>3</v>
      </c>
    </row>
    <row r="135" spans="1:10" x14ac:dyDescent="0.2">
      <c r="A135" s="1" t="s">
        <v>193</v>
      </c>
      <c r="B135" t="s">
        <v>28</v>
      </c>
      <c r="C135">
        <v>5</v>
      </c>
      <c r="D135" t="s">
        <v>14</v>
      </c>
      <c r="E135">
        <v>4</v>
      </c>
      <c r="F135" t="s">
        <v>61</v>
      </c>
      <c r="G135" t="s">
        <v>28</v>
      </c>
      <c r="H135" t="s">
        <v>14</v>
      </c>
      <c r="I135">
        <v>5</v>
      </c>
      <c r="J135">
        <v>4</v>
      </c>
    </row>
    <row r="136" spans="1:10" x14ac:dyDescent="0.2">
      <c r="A136" s="1" t="s">
        <v>193</v>
      </c>
      <c r="B136" t="s">
        <v>17</v>
      </c>
      <c r="C136">
        <v>2</v>
      </c>
      <c r="D136" t="s">
        <v>32</v>
      </c>
      <c r="E136">
        <v>3</v>
      </c>
      <c r="F136" t="s">
        <v>60</v>
      </c>
      <c r="G136" t="s">
        <v>32</v>
      </c>
      <c r="H136" t="s">
        <v>17</v>
      </c>
      <c r="I136">
        <v>3</v>
      </c>
      <c r="J136">
        <v>2</v>
      </c>
    </row>
    <row r="137" spans="1:10" x14ac:dyDescent="0.2">
      <c r="A137" s="1" t="s">
        <v>193</v>
      </c>
      <c r="B137" t="s">
        <v>31</v>
      </c>
      <c r="C137">
        <v>3</v>
      </c>
      <c r="D137" t="s">
        <v>37</v>
      </c>
      <c r="E137">
        <v>4</v>
      </c>
      <c r="F137" t="s">
        <v>60</v>
      </c>
      <c r="G137" t="s">
        <v>37</v>
      </c>
      <c r="H137" t="s">
        <v>31</v>
      </c>
      <c r="I137">
        <v>4</v>
      </c>
      <c r="J137">
        <v>3</v>
      </c>
    </row>
    <row r="138" spans="1:10" x14ac:dyDescent="0.2">
      <c r="A138" s="1" t="s">
        <v>193</v>
      </c>
      <c r="B138" t="s">
        <v>23</v>
      </c>
      <c r="C138">
        <v>3</v>
      </c>
      <c r="D138" t="s">
        <v>19</v>
      </c>
      <c r="E138">
        <v>4</v>
      </c>
      <c r="F138" t="s">
        <v>62</v>
      </c>
      <c r="G138" t="s">
        <v>19</v>
      </c>
      <c r="H138" t="s">
        <v>23</v>
      </c>
      <c r="I138">
        <v>4</v>
      </c>
      <c r="J138">
        <v>3</v>
      </c>
    </row>
    <row r="139" spans="1:10" x14ac:dyDescent="0.2">
      <c r="A139" s="1" t="s">
        <v>193</v>
      </c>
      <c r="B139" t="s">
        <v>18</v>
      </c>
      <c r="C139">
        <v>4</v>
      </c>
      <c r="D139" t="s">
        <v>38</v>
      </c>
      <c r="E139">
        <v>3</v>
      </c>
      <c r="F139" t="s">
        <v>60</v>
      </c>
      <c r="G139" t="s">
        <v>18</v>
      </c>
      <c r="H139" t="s">
        <v>38</v>
      </c>
      <c r="I139">
        <v>4</v>
      </c>
      <c r="J139">
        <v>3</v>
      </c>
    </row>
    <row r="140" spans="1:10" x14ac:dyDescent="0.2">
      <c r="A140" s="1" t="s">
        <v>193</v>
      </c>
      <c r="B140" t="s">
        <v>36</v>
      </c>
      <c r="C140">
        <v>7</v>
      </c>
      <c r="D140" t="s">
        <v>22</v>
      </c>
      <c r="E140">
        <v>1</v>
      </c>
      <c r="F140" t="s">
        <v>60</v>
      </c>
      <c r="G140" t="s">
        <v>36</v>
      </c>
      <c r="H140" t="s">
        <v>22</v>
      </c>
      <c r="I140">
        <v>7</v>
      </c>
      <c r="J140">
        <v>1</v>
      </c>
    </row>
    <row r="141" spans="1:10" x14ac:dyDescent="0.2">
      <c r="A141" s="1" t="s">
        <v>194</v>
      </c>
      <c r="B141" t="s">
        <v>15</v>
      </c>
      <c r="C141">
        <v>1</v>
      </c>
      <c r="D141" t="s">
        <v>16</v>
      </c>
      <c r="E141">
        <v>5</v>
      </c>
      <c r="F141" t="s">
        <v>60</v>
      </c>
      <c r="G141" t="s">
        <v>16</v>
      </c>
      <c r="H141" t="s">
        <v>15</v>
      </c>
      <c r="I141">
        <v>5</v>
      </c>
      <c r="J141">
        <v>1</v>
      </c>
    </row>
    <row r="142" spans="1:10" x14ac:dyDescent="0.2">
      <c r="A142" s="1" t="s">
        <v>194</v>
      </c>
      <c r="B142" t="s">
        <v>13</v>
      </c>
      <c r="C142">
        <v>3</v>
      </c>
      <c r="D142" t="s">
        <v>10</v>
      </c>
      <c r="E142">
        <v>1</v>
      </c>
      <c r="F142" t="s">
        <v>60</v>
      </c>
      <c r="G142" t="s">
        <v>13</v>
      </c>
      <c r="H142" t="s">
        <v>10</v>
      </c>
      <c r="I142">
        <v>3</v>
      </c>
      <c r="J142">
        <v>1</v>
      </c>
    </row>
    <row r="143" spans="1:10" x14ac:dyDescent="0.2">
      <c r="A143" s="1" t="s">
        <v>194</v>
      </c>
      <c r="B143" t="s">
        <v>33</v>
      </c>
      <c r="C143">
        <v>6</v>
      </c>
      <c r="D143" t="s">
        <v>34</v>
      </c>
      <c r="E143">
        <v>5</v>
      </c>
      <c r="F143" t="s">
        <v>62</v>
      </c>
      <c r="G143" t="s">
        <v>33</v>
      </c>
      <c r="H143" t="s">
        <v>34</v>
      </c>
      <c r="I143">
        <v>6</v>
      </c>
      <c r="J143">
        <v>5</v>
      </c>
    </row>
    <row r="144" spans="1:10" x14ac:dyDescent="0.2">
      <c r="A144" s="1" t="s">
        <v>194</v>
      </c>
      <c r="B144" t="s">
        <v>12</v>
      </c>
      <c r="C144">
        <v>3</v>
      </c>
      <c r="D144" t="s">
        <v>24</v>
      </c>
      <c r="E144">
        <v>4</v>
      </c>
      <c r="F144" t="s">
        <v>62</v>
      </c>
      <c r="G144" t="s">
        <v>24</v>
      </c>
      <c r="H144" t="s">
        <v>12</v>
      </c>
      <c r="I144">
        <v>4</v>
      </c>
      <c r="J144">
        <v>3</v>
      </c>
    </row>
    <row r="145" spans="1:10" x14ac:dyDescent="0.2">
      <c r="A145" s="1" t="s">
        <v>194</v>
      </c>
      <c r="B145" t="s">
        <v>39</v>
      </c>
      <c r="C145">
        <v>3</v>
      </c>
      <c r="D145" t="s">
        <v>29</v>
      </c>
      <c r="E145">
        <v>2</v>
      </c>
      <c r="F145" t="s">
        <v>60</v>
      </c>
      <c r="G145" t="s">
        <v>39</v>
      </c>
      <c r="H145" t="s">
        <v>29</v>
      </c>
      <c r="I145">
        <v>3</v>
      </c>
      <c r="J145">
        <v>2</v>
      </c>
    </row>
    <row r="146" spans="1:10" x14ac:dyDescent="0.2">
      <c r="A146" s="1" t="s">
        <v>194</v>
      </c>
      <c r="B146" t="s">
        <v>20</v>
      </c>
      <c r="C146">
        <v>1</v>
      </c>
      <c r="D146" t="s">
        <v>37</v>
      </c>
      <c r="E146">
        <v>2</v>
      </c>
      <c r="F146" t="s">
        <v>62</v>
      </c>
      <c r="G146" t="s">
        <v>37</v>
      </c>
      <c r="H146" t="s">
        <v>20</v>
      </c>
      <c r="I146">
        <v>2</v>
      </c>
      <c r="J146">
        <v>1</v>
      </c>
    </row>
    <row r="147" spans="1:10" x14ac:dyDescent="0.2">
      <c r="A147" s="1" t="s">
        <v>194</v>
      </c>
      <c r="B147" t="s">
        <v>17</v>
      </c>
      <c r="C147">
        <v>3</v>
      </c>
      <c r="D147" t="s">
        <v>38</v>
      </c>
      <c r="E147">
        <v>4</v>
      </c>
      <c r="F147" t="s">
        <v>62</v>
      </c>
      <c r="G147" t="s">
        <v>38</v>
      </c>
      <c r="H147" t="s">
        <v>17</v>
      </c>
      <c r="I147">
        <v>4</v>
      </c>
      <c r="J147">
        <v>3</v>
      </c>
    </row>
    <row r="148" spans="1:10" x14ac:dyDescent="0.2">
      <c r="A148" s="1" t="s">
        <v>194</v>
      </c>
      <c r="B148" t="s">
        <v>55</v>
      </c>
      <c r="C148">
        <v>3</v>
      </c>
      <c r="D148" t="s">
        <v>40</v>
      </c>
      <c r="E148">
        <v>2</v>
      </c>
      <c r="F148" t="s">
        <v>60</v>
      </c>
      <c r="G148" t="s">
        <v>55</v>
      </c>
      <c r="H148" t="s">
        <v>40</v>
      </c>
      <c r="I148">
        <v>3</v>
      </c>
      <c r="J148">
        <v>2</v>
      </c>
    </row>
    <row r="149" spans="1:10" x14ac:dyDescent="0.2">
      <c r="A149" s="1" t="s">
        <v>195</v>
      </c>
      <c r="B149" t="s">
        <v>21</v>
      </c>
      <c r="C149">
        <v>2</v>
      </c>
      <c r="D149" t="s">
        <v>36</v>
      </c>
      <c r="E149">
        <v>7</v>
      </c>
      <c r="F149" t="s">
        <v>60</v>
      </c>
      <c r="G149" t="s">
        <v>36</v>
      </c>
      <c r="H149" t="s">
        <v>21</v>
      </c>
      <c r="I149">
        <v>7</v>
      </c>
      <c r="J149">
        <v>2</v>
      </c>
    </row>
    <row r="150" spans="1:10" x14ac:dyDescent="0.2">
      <c r="A150" s="1" t="s">
        <v>195</v>
      </c>
      <c r="B150" t="s">
        <v>35</v>
      </c>
      <c r="C150">
        <v>3</v>
      </c>
      <c r="D150" t="s">
        <v>14</v>
      </c>
      <c r="E150">
        <v>6</v>
      </c>
      <c r="F150" t="s">
        <v>60</v>
      </c>
      <c r="G150" t="s">
        <v>14</v>
      </c>
      <c r="H150" t="s">
        <v>35</v>
      </c>
      <c r="I150">
        <v>6</v>
      </c>
      <c r="J150">
        <v>3</v>
      </c>
    </row>
    <row r="151" spans="1:10" x14ac:dyDescent="0.2">
      <c r="A151" s="1" t="s">
        <v>196</v>
      </c>
      <c r="B151" t="s">
        <v>30</v>
      </c>
      <c r="C151">
        <v>2</v>
      </c>
      <c r="D151" t="s">
        <v>21</v>
      </c>
      <c r="E151">
        <v>5</v>
      </c>
      <c r="F151" t="s">
        <v>60</v>
      </c>
      <c r="G151" t="s">
        <v>21</v>
      </c>
      <c r="H151" t="s">
        <v>30</v>
      </c>
      <c r="I151">
        <v>5</v>
      </c>
      <c r="J151">
        <v>2</v>
      </c>
    </row>
    <row r="152" spans="1:10" x14ac:dyDescent="0.2">
      <c r="A152" s="1" t="s">
        <v>196</v>
      </c>
      <c r="B152" t="s">
        <v>28</v>
      </c>
      <c r="C152">
        <v>4</v>
      </c>
      <c r="D152" t="s">
        <v>23</v>
      </c>
      <c r="E152">
        <v>3</v>
      </c>
      <c r="F152" t="s">
        <v>62</v>
      </c>
      <c r="G152" t="s">
        <v>28</v>
      </c>
      <c r="H152" t="s">
        <v>23</v>
      </c>
      <c r="I152">
        <v>4</v>
      </c>
      <c r="J152">
        <v>3</v>
      </c>
    </row>
    <row r="153" spans="1:10" x14ac:dyDescent="0.2">
      <c r="A153" s="1" t="s">
        <v>196</v>
      </c>
      <c r="B153" t="s">
        <v>20</v>
      </c>
      <c r="C153">
        <v>6</v>
      </c>
      <c r="D153" t="s">
        <v>25</v>
      </c>
      <c r="E153">
        <v>3</v>
      </c>
      <c r="F153" t="s">
        <v>60</v>
      </c>
      <c r="G153" t="s">
        <v>20</v>
      </c>
      <c r="H153" t="s">
        <v>25</v>
      </c>
      <c r="I153">
        <v>6</v>
      </c>
      <c r="J153">
        <v>3</v>
      </c>
    </row>
    <row r="154" spans="1:10" x14ac:dyDescent="0.2">
      <c r="A154" s="1" t="s">
        <v>196</v>
      </c>
      <c r="B154" t="s">
        <v>36</v>
      </c>
      <c r="C154">
        <v>3</v>
      </c>
      <c r="D154" t="s">
        <v>10</v>
      </c>
      <c r="E154">
        <v>7</v>
      </c>
      <c r="F154" t="s">
        <v>60</v>
      </c>
      <c r="G154" t="s">
        <v>10</v>
      </c>
      <c r="H154" t="s">
        <v>36</v>
      </c>
      <c r="I154">
        <v>7</v>
      </c>
      <c r="J154">
        <v>3</v>
      </c>
    </row>
    <row r="155" spans="1:10" x14ac:dyDescent="0.2">
      <c r="A155" s="1" t="s">
        <v>196</v>
      </c>
      <c r="B155" t="s">
        <v>24</v>
      </c>
      <c r="C155">
        <v>4</v>
      </c>
      <c r="D155" t="s">
        <v>12</v>
      </c>
      <c r="E155">
        <v>8</v>
      </c>
      <c r="F155" t="s">
        <v>60</v>
      </c>
      <c r="G155" t="s">
        <v>12</v>
      </c>
      <c r="H155" t="s">
        <v>24</v>
      </c>
      <c r="I155">
        <v>8</v>
      </c>
      <c r="J155">
        <v>4</v>
      </c>
    </row>
    <row r="156" spans="1:10" x14ac:dyDescent="0.2">
      <c r="A156" s="1" t="s">
        <v>196</v>
      </c>
      <c r="B156" t="s">
        <v>22</v>
      </c>
      <c r="C156">
        <v>0</v>
      </c>
      <c r="D156" t="s">
        <v>39</v>
      </c>
      <c r="E156">
        <v>1</v>
      </c>
      <c r="F156" t="s">
        <v>60</v>
      </c>
      <c r="G156" t="s">
        <v>39</v>
      </c>
      <c r="H156" t="s">
        <v>22</v>
      </c>
      <c r="I156">
        <v>1</v>
      </c>
      <c r="J156">
        <v>0</v>
      </c>
    </row>
    <row r="157" spans="1:10" x14ac:dyDescent="0.2">
      <c r="A157" s="1" t="s">
        <v>196</v>
      </c>
      <c r="B157" t="s">
        <v>55</v>
      </c>
      <c r="C157">
        <v>3</v>
      </c>
      <c r="D157" t="s">
        <v>17</v>
      </c>
      <c r="E157">
        <v>6</v>
      </c>
      <c r="F157" t="s">
        <v>60</v>
      </c>
      <c r="G157" t="s">
        <v>17</v>
      </c>
      <c r="H157" t="s">
        <v>55</v>
      </c>
      <c r="I157">
        <v>6</v>
      </c>
      <c r="J157">
        <v>3</v>
      </c>
    </row>
    <row r="158" spans="1:10" x14ac:dyDescent="0.2">
      <c r="A158" s="1" t="s">
        <v>196</v>
      </c>
      <c r="B158" t="s">
        <v>31</v>
      </c>
      <c r="C158">
        <v>3</v>
      </c>
      <c r="D158" t="s">
        <v>11</v>
      </c>
      <c r="E158">
        <v>2</v>
      </c>
      <c r="F158" t="s">
        <v>61</v>
      </c>
      <c r="G158" t="s">
        <v>31</v>
      </c>
      <c r="H158" t="s">
        <v>11</v>
      </c>
      <c r="I158">
        <v>3</v>
      </c>
      <c r="J158">
        <v>2</v>
      </c>
    </row>
    <row r="159" spans="1:10" x14ac:dyDescent="0.2">
      <c r="A159" s="1" t="s">
        <v>196</v>
      </c>
      <c r="B159" t="s">
        <v>40</v>
      </c>
      <c r="C159">
        <v>4</v>
      </c>
      <c r="D159" t="s">
        <v>34</v>
      </c>
      <c r="E159">
        <v>3</v>
      </c>
      <c r="F159" t="s">
        <v>62</v>
      </c>
      <c r="G159" t="s">
        <v>40</v>
      </c>
      <c r="H159" t="s">
        <v>34</v>
      </c>
      <c r="I159">
        <v>4</v>
      </c>
      <c r="J159">
        <v>3</v>
      </c>
    </row>
    <row r="160" spans="1:10" x14ac:dyDescent="0.2">
      <c r="A160" s="1" t="s">
        <v>196</v>
      </c>
      <c r="B160" t="s">
        <v>37</v>
      </c>
      <c r="C160">
        <v>5</v>
      </c>
      <c r="D160" t="s">
        <v>29</v>
      </c>
      <c r="E160">
        <v>2</v>
      </c>
      <c r="F160" t="s">
        <v>60</v>
      </c>
      <c r="G160" t="s">
        <v>37</v>
      </c>
      <c r="H160" t="s">
        <v>29</v>
      </c>
      <c r="I160">
        <v>5</v>
      </c>
      <c r="J160">
        <v>2</v>
      </c>
    </row>
    <row r="161" spans="1:10" x14ac:dyDescent="0.2">
      <c r="A161" s="1" t="s">
        <v>196</v>
      </c>
      <c r="B161" t="s">
        <v>14</v>
      </c>
      <c r="C161">
        <v>2</v>
      </c>
      <c r="D161" t="s">
        <v>27</v>
      </c>
      <c r="E161">
        <v>3</v>
      </c>
      <c r="F161" t="s">
        <v>61</v>
      </c>
      <c r="G161" t="s">
        <v>27</v>
      </c>
      <c r="H161" t="s">
        <v>14</v>
      </c>
      <c r="I161">
        <v>3</v>
      </c>
      <c r="J161">
        <v>2</v>
      </c>
    </row>
    <row r="162" spans="1:10" x14ac:dyDescent="0.2">
      <c r="A162" s="1" t="s">
        <v>196</v>
      </c>
      <c r="B162" t="s">
        <v>18</v>
      </c>
      <c r="C162">
        <v>4</v>
      </c>
      <c r="D162" t="s">
        <v>32</v>
      </c>
      <c r="E162">
        <v>3</v>
      </c>
      <c r="F162" t="s">
        <v>62</v>
      </c>
      <c r="G162" t="s">
        <v>18</v>
      </c>
      <c r="H162" t="s">
        <v>32</v>
      </c>
      <c r="I162">
        <v>4</v>
      </c>
      <c r="J162">
        <v>3</v>
      </c>
    </row>
    <row r="163" spans="1:10" x14ac:dyDescent="0.2">
      <c r="A163" s="1" t="s">
        <v>196</v>
      </c>
      <c r="B163" t="s">
        <v>13</v>
      </c>
      <c r="C163">
        <v>4</v>
      </c>
      <c r="D163" t="s">
        <v>33</v>
      </c>
      <c r="E163">
        <v>3</v>
      </c>
      <c r="F163" t="s">
        <v>60</v>
      </c>
      <c r="G163" t="s">
        <v>13</v>
      </c>
      <c r="H163" t="s">
        <v>33</v>
      </c>
      <c r="I163">
        <v>4</v>
      </c>
      <c r="J163">
        <v>3</v>
      </c>
    </row>
    <row r="164" spans="1:10" x14ac:dyDescent="0.2">
      <c r="A164" s="1" t="s">
        <v>196</v>
      </c>
      <c r="B164" t="s">
        <v>26</v>
      </c>
      <c r="C164">
        <v>5</v>
      </c>
      <c r="D164" t="s">
        <v>35</v>
      </c>
      <c r="E164">
        <v>2</v>
      </c>
      <c r="F164" t="s">
        <v>60</v>
      </c>
      <c r="G164" t="s">
        <v>26</v>
      </c>
      <c r="H164" t="s">
        <v>35</v>
      </c>
      <c r="I164">
        <v>5</v>
      </c>
      <c r="J164">
        <v>2</v>
      </c>
    </row>
    <row r="165" spans="1:10" x14ac:dyDescent="0.2">
      <c r="A165" s="1" t="s">
        <v>196</v>
      </c>
      <c r="B165" t="s">
        <v>16</v>
      </c>
      <c r="C165">
        <v>3</v>
      </c>
      <c r="D165" t="s">
        <v>19</v>
      </c>
      <c r="E165">
        <v>4</v>
      </c>
      <c r="F165" t="s">
        <v>60</v>
      </c>
      <c r="G165" t="s">
        <v>19</v>
      </c>
      <c r="H165" t="s">
        <v>16</v>
      </c>
      <c r="I165">
        <v>4</v>
      </c>
      <c r="J165">
        <v>3</v>
      </c>
    </row>
    <row r="166" spans="1:10" x14ac:dyDescent="0.2">
      <c r="A166" s="1" t="s">
        <v>196</v>
      </c>
      <c r="B166" t="s">
        <v>15</v>
      </c>
      <c r="C166">
        <v>2</v>
      </c>
      <c r="D166" t="s">
        <v>38</v>
      </c>
      <c r="E166">
        <v>0</v>
      </c>
      <c r="F166" t="s">
        <v>60</v>
      </c>
      <c r="G166" t="s">
        <v>15</v>
      </c>
      <c r="H166" t="s">
        <v>38</v>
      </c>
      <c r="I166">
        <v>2</v>
      </c>
      <c r="J166">
        <v>0</v>
      </c>
    </row>
    <row r="167" spans="1:10" x14ac:dyDescent="0.2">
      <c r="A167" s="1" t="s">
        <v>197</v>
      </c>
      <c r="B167" t="s">
        <v>19</v>
      </c>
      <c r="C167">
        <v>3</v>
      </c>
      <c r="D167" t="s">
        <v>28</v>
      </c>
      <c r="E167">
        <v>6</v>
      </c>
      <c r="F167" t="s">
        <v>60</v>
      </c>
      <c r="G167" t="s">
        <v>28</v>
      </c>
      <c r="H167" t="s">
        <v>19</v>
      </c>
      <c r="I167">
        <v>6</v>
      </c>
      <c r="J167">
        <v>3</v>
      </c>
    </row>
    <row r="168" spans="1:10" x14ac:dyDescent="0.2">
      <c r="A168" s="1" t="s">
        <v>198</v>
      </c>
      <c r="B168" t="s">
        <v>23</v>
      </c>
      <c r="C168">
        <v>3</v>
      </c>
      <c r="D168" t="s">
        <v>21</v>
      </c>
      <c r="E168">
        <v>4</v>
      </c>
      <c r="F168" t="s">
        <v>62</v>
      </c>
      <c r="G168" t="s">
        <v>21</v>
      </c>
      <c r="H168" t="s">
        <v>23</v>
      </c>
      <c r="I168">
        <v>4</v>
      </c>
      <c r="J168">
        <v>3</v>
      </c>
    </row>
    <row r="169" spans="1:10" x14ac:dyDescent="0.2">
      <c r="A169" s="1" t="s">
        <v>198</v>
      </c>
      <c r="B169" t="s">
        <v>30</v>
      </c>
      <c r="C169">
        <v>2</v>
      </c>
      <c r="D169" t="s">
        <v>25</v>
      </c>
      <c r="E169">
        <v>6</v>
      </c>
      <c r="F169" t="s">
        <v>60</v>
      </c>
      <c r="G169" t="s">
        <v>25</v>
      </c>
      <c r="H169" t="s">
        <v>30</v>
      </c>
      <c r="I169">
        <v>6</v>
      </c>
      <c r="J169">
        <v>2</v>
      </c>
    </row>
    <row r="170" spans="1:10" x14ac:dyDescent="0.2">
      <c r="A170" s="1" t="s">
        <v>198</v>
      </c>
      <c r="B170" t="s">
        <v>15</v>
      </c>
      <c r="C170">
        <v>4</v>
      </c>
      <c r="D170" t="s">
        <v>17</v>
      </c>
      <c r="E170">
        <v>3</v>
      </c>
      <c r="F170" t="s">
        <v>62</v>
      </c>
      <c r="G170" t="s">
        <v>15</v>
      </c>
      <c r="H170" t="s">
        <v>17</v>
      </c>
      <c r="I170">
        <v>4</v>
      </c>
      <c r="J170">
        <v>3</v>
      </c>
    </row>
    <row r="171" spans="1:10" x14ac:dyDescent="0.2">
      <c r="A171" s="1" t="s">
        <v>198</v>
      </c>
      <c r="B171" t="s">
        <v>26</v>
      </c>
      <c r="C171">
        <v>4</v>
      </c>
      <c r="D171" t="s">
        <v>13</v>
      </c>
      <c r="E171">
        <v>3</v>
      </c>
      <c r="F171" t="s">
        <v>61</v>
      </c>
      <c r="G171" t="s">
        <v>26</v>
      </c>
      <c r="H171" t="s">
        <v>13</v>
      </c>
      <c r="I171">
        <v>4</v>
      </c>
      <c r="J171">
        <v>3</v>
      </c>
    </row>
    <row r="172" spans="1:10" x14ac:dyDescent="0.2">
      <c r="A172" s="1" t="s">
        <v>198</v>
      </c>
      <c r="B172" t="s">
        <v>14</v>
      </c>
      <c r="C172">
        <v>4</v>
      </c>
      <c r="D172" t="s">
        <v>34</v>
      </c>
      <c r="E172">
        <v>1</v>
      </c>
      <c r="F172" t="s">
        <v>60</v>
      </c>
      <c r="G172" t="s">
        <v>14</v>
      </c>
      <c r="H172" t="s">
        <v>34</v>
      </c>
      <c r="I172">
        <v>4</v>
      </c>
      <c r="J172">
        <v>1</v>
      </c>
    </row>
    <row r="173" spans="1:10" x14ac:dyDescent="0.2">
      <c r="A173" s="1" t="s">
        <v>198</v>
      </c>
      <c r="B173" t="s">
        <v>16</v>
      </c>
      <c r="C173">
        <v>3</v>
      </c>
      <c r="D173" t="s">
        <v>36</v>
      </c>
      <c r="E173">
        <v>4</v>
      </c>
      <c r="F173" t="s">
        <v>61</v>
      </c>
      <c r="G173" t="s">
        <v>36</v>
      </c>
      <c r="H173" t="s">
        <v>16</v>
      </c>
      <c r="I173">
        <v>4</v>
      </c>
      <c r="J173">
        <v>3</v>
      </c>
    </row>
    <row r="174" spans="1:10" x14ac:dyDescent="0.2">
      <c r="A174" s="1" t="s">
        <v>198</v>
      </c>
      <c r="B174" t="s">
        <v>29</v>
      </c>
      <c r="C174">
        <v>1</v>
      </c>
      <c r="D174" t="s">
        <v>27</v>
      </c>
      <c r="E174">
        <v>4</v>
      </c>
      <c r="F174" t="s">
        <v>60</v>
      </c>
      <c r="G174" t="s">
        <v>27</v>
      </c>
      <c r="H174" t="s">
        <v>29</v>
      </c>
      <c r="I174">
        <v>4</v>
      </c>
      <c r="J174">
        <v>1</v>
      </c>
    </row>
    <row r="175" spans="1:10" x14ac:dyDescent="0.2">
      <c r="A175" s="1" t="s">
        <v>198</v>
      </c>
      <c r="B175" t="s">
        <v>24</v>
      </c>
      <c r="C175">
        <v>2</v>
      </c>
      <c r="D175" t="s">
        <v>33</v>
      </c>
      <c r="E175">
        <v>5</v>
      </c>
      <c r="F175" t="s">
        <v>60</v>
      </c>
      <c r="G175" t="s">
        <v>33</v>
      </c>
      <c r="H175" t="s">
        <v>24</v>
      </c>
      <c r="I175">
        <v>5</v>
      </c>
      <c r="J175">
        <v>2</v>
      </c>
    </row>
    <row r="176" spans="1:10" x14ac:dyDescent="0.2">
      <c r="A176" s="1" t="s">
        <v>198</v>
      </c>
      <c r="B176" t="s">
        <v>38</v>
      </c>
      <c r="C176">
        <v>4</v>
      </c>
      <c r="D176" t="s">
        <v>35</v>
      </c>
      <c r="E176">
        <v>3</v>
      </c>
      <c r="F176" t="s">
        <v>61</v>
      </c>
      <c r="G176" t="s">
        <v>38</v>
      </c>
      <c r="H176" t="s">
        <v>35</v>
      </c>
      <c r="I176">
        <v>4</v>
      </c>
      <c r="J176">
        <v>3</v>
      </c>
    </row>
    <row r="177" spans="1:10" x14ac:dyDescent="0.2">
      <c r="A177" s="1" t="s">
        <v>198</v>
      </c>
      <c r="B177" t="s">
        <v>39</v>
      </c>
      <c r="C177">
        <v>1</v>
      </c>
      <c r="D177" t="s">
        <v>37</v>
      </c>
      <c r="E177">
        <v>2</v>
      </c>
      <c r="F177" t="s">
        <v>62</v>
      </c>
      <c r="G177" t="s">
        <v>37</v>
      </c>
      <c r="H177" t="s">
        <v>39</v>
      </c>
      <c r="I177">
        <v>2</v>
      </c>
      <c r="J177">
        <v>1</v>
      </c>
    </row>
    <row r="178" spans="1:10" x14ac:dyDescent="0.2">
      <c r="A178" s="1" t="s">
        <v>198</v>
      </c>
      <c r="B178" t="s">
        <v>10</v>
      </c>
      <c r="C178">
        <v>3</v>
      </c>
      <c r="D178" t="s">
        <v>40</v>
      </c>
      <c r="E178">
        <v>6</v>
      </c>
      <c r="F178" t="s">
        <v>60</v>
      </c>
      <c r="G178" t="s">
        <v>40</v>
      </c>
      <c r="H178" t="s">
        <v>10</v>
      </c>
      <c r="I178">
        <v>6</v>
      </c>
      <c r="J178">
        <v>3</v>
      </c>
    </row>
    <row r="179" spans="1:10" x14ac:dyDescent="0.2">
      <c r="A179" s="1" t="s">
        <v>199</v>
      </c>
      <c r="B179" t="s">
        <v>26</v>
      </c>
      <c r="C179">
        <v>2</v>
      </c>
      <c r="D179" t="s">
        <v>31</v>
      </c>
      <c r="E179">
        <v>5</v>
      </c>
      <c r="F179" t="s">
        <v>60</v>
      </c>
      <c r="G179" t="s">
        <v>31</v>
      </c>
      <c r="H179" t="s">
        <v>26</v>
      </c>
      <c r="I179">
        <v>5</v>
      </c>
      <c r="J179">
        <v>2</v>
      </c>
    </row>
    <row r="180" spans="1:10" x14ac:dyDescent="0.2">
      <c r="A180" s="1" t="s">
        <v>199</v>
      </c>
      <c r="B180" t="s">
        <v>12</v>
      </c>
      <c r="C180">
        <v>4</v>
      </c>
      <c r="D180" t="s">
        <v>20</v>
      </c>
      <c r="E180">
        <v>2</v>
      </c>
      <c r="F180" t="s">
        <v>60</v>
      </c>
      <c r="G180" t="s">
        <v>12</v>
      </c>
      <c r="H180" t="s">
        <v>20</v>
      </c>
      <c r="I180">
        <v>4</v>
      </c>
      <c r="J180">
        <v>2</v>
      </c>
    </row>
    <row r="181" spans="1:10" x14ac:dyDescent="0.2">
      <c r="A181" s="1" t="s">
        <v>199</v>
      </c>
      <c r="B181" t="s">
        <v>30</v>
      </c>
      <c r="C181">
        <v>3</v>
      </c>
      <c r="D181" t="s">
        <v>22</v>
      </c>
      <c r="E181">
        <v>1</v>
      </c>
      <c r="F181" t="s">
        <v>60</v>
      </c>
      <c r="G181" t="s">
        <v>30</v>
      </c>
      <c r="H181" t="s">
        <v>22</v>
      </c>
      <c r="I181">
        <v>3</v>
      </c>
      <c r="J181">
        <v>1</v>
      </c>
    </row>
    <row r="182" spans="1:10" x14ac:dyDescent="0.2">
      <c r="A182" s="1" t="s">
        <v>200</v>
      </c>
      <c r="B182" t="s">
        <v>25</v>
      </c>
      <c r="C182">
        <v>1</v>
      </c>
      <c r="D182" t="s">
        <v>21</v>
      </c>
      <c r="E182">
        <v>2</v>
      </c>
      <c r="F182" t="s">
        <v>60</v>
      </c>
      <c r="G182" t="s">
        <v>21</v>
      </c>
      <c r="H182" t="s">
        <v>25</v>
      </c>
      <c r="I182">
        <v>2</v>
      </c>
      <c r="J182">
        <v>1</v>
      </c>
    </row>
    <row r="183" spans="1:10" x14ac:dyDescent="0.2">
      <c r="A183" s="1" t="s">
        <v>200</v>
      </c>
      <c r="B183" t="s">
        <v>22</v>
      </c>
      <c r="C183">
        <v>3</v>
      </c>
      <c r="D183" t="s">
        <v>23</v>
      </c>
      <c r="E183">
        <v>4</v>
      </c>
      <c r="F183" t="s">
        <v>61</v>
      </c>
      <c r="G183" t="s">
        <v>23</v>
      </c>
      <c r="H183" t="s">
        <v>22</v>
      </c>
      <c r="I183">
        <v>4</v>
      </c>
      <c r="J183">
        <v>3</v>
      </c>
    </row>
    <row r="184" spans="1:10" x14ac:dyDescent="0.2">
      <c r="A184" s="1" t="s">
        <v>200</v>
      </c>
      <c r="B184" t="s">
        <v>35</v>
      </c>
      <c r="C184">
        <v>2</v>
      </c>
      <c r="D184" t="s">
        <v>28</v>
      </c>
      <c r="E184">
        <v>3</v>
      </c>
      <c r="F184" t="s">
        <v>60</v>
      </c>
      <c r="G184" t="s">
        <v>28</v>
      </c>
      <c r="H184" t="s">
        <v>35</v>
      </c>
      <c r="I184">
        <v>3</v>
      </c>
      <c r="J184">
        <v>2</v>
      </c>
    </row>
    <row r="185" spans="1:10" x14ac:dyDescent="0.2">
      <c r="A185" s="1" t="s">
        <v>200</v>
      </c>
      <c r="B185" t="s">
        <v>10</v>
      </c>
      <c r="C185">
        <v>2</v>
      </c>
      <c r="D185" t="s">
        <v>17</v>
      </c>
      <c r="E185">
        <v>3</v>
      </c>
      <c r="F185" t="s">
        <v>62</v>
      </c>
      <c r="G185" t="s">
        <v>17</v>
      </c>
      <c r="H185" t="s">
        <v>10</v>
      </c>
      <c r="I185">
        <v>3</v>
      </c>
      <c r="J185">
        <v>2</v>
      </c>
    </row>
    <row r="186" spans="1:10" x14ac:dyDescent="0.2">
      <c r="A186" s="1" t="s">
        <v>200</v>
      </c>
      <c r="B186" t="s">
        <v>39</v>
      </c>
      <c r="C186">
        <v>3</v>
      </c>
      <c r="D186" t="s">
        <v>11</v>
      </c>
      <c r="E186">
        <v>4</v>
      </c>
      <c r="F186" t="s">
        <v>61</v>
      </c>
      <c r="G186" t="s">
        <v>11</v>
      </c>
      <c r="H186" t="s">
        <v>39</v>
      </c>
      <c r="I186">
        <v>4</v>
      </c>
      <c r="J186">
        <v>3</v>
      </c>
    </row>
    <row r="187" spans="1:10" x14ac:dyDescent="0.2">
      <c r="A187" s="1" t="s">
        <v>200</v>
      </c>
      <c r="B187" t="s">
        <v>24</v>
      </c>
      <c r="C187">
        <v>4</v>
      </c>
      <c r="D187" t="s">
        <v>13</v>
      </c>
      <c r="E187">
        <v>1</v>
      </c>
      <c r="F187" t="s">
        <v>60</v>
      </c>
      <c r="G187" t="s">
        <v>24</v>
      </c>
      <c r="H187" t="s">
        <v>13</v>
      </c>
      <c r="I187">
        <v>4</v>
      </c>
      <c r="J187">
        <v>1</v>
      </c>
    </row>
    <row r="188" spans="1:10" x14ac:dyDescent="0.2">
      <c r="A188" s="1" t="s">
        <v>200</v>
      </c>
      <c r="B188" t="s">
        <v>38</v>
      </c>
      <c r="C188">
        <v>2</v>
      </c>
      <c r="D188" t="s">
        <v>34</v>
      </c>
      <c r="E188">
        <v>5</v>
      </c>
      <c r="F188" t="s">
        <v>60</v>
      </c>
      <c r="G188" t="s">
        <v>34</v>
      </c>
      <c r="H188" t="s">
        <v>38</v>
      </c>
      <c r="I188">
        <v>5</v>
      </c>
      <c r="J188">
        <v>2</v>
      </c>
    </row>
    <row r="189" spans="1:10" x14ac:dyDescent="0.2">
      <c r="A189" s="1" t="s">
        <v>200</v>
      </c>
      <c r="B189" t="s">
        <v>36</v>
      </c>
      <c r="C189">
        <v>3</v>
      </c>
      <c r="D189" t="s">
        <v>18</v>
      </c>
      <c r="E189">
        <v>4</v>
      </c>
      <c r="F189" t="s">
        <v>62</v>
      </c>
      <c r="G189" t="s">
        <v>18</v>
      </c>
      <c r="H189" t="s">
        <v>36</v>
      </c>
      <c r="I189">
        <v>4</v>
      </c>
      <c r="J189">
        <v>3</v>
      </c>
    </row>
    <row r="190" spans="1:10" x14ac:dyDescent="0.2">
      <c r="A190" s="1" t="s">
        <v>200</v>
      </c>
      <c r="B190" t="s">
        <v>16</v>
      </c>
      <c r="C190">
        <v>2</v>
      </c>
      <c r="D190" t="s">
        <v>29</v>
      </c>
      <c r="E190">
        <v>4</v>
      </c>
      <c r="F190" t="s">
        <v>60</v>
      </c>
      <c r="G190" t="s">
        <v>29</v>
      </c>
      <c r="H190" t="s">
        <v>16</v>
      </c>
      <c r="I190">
        <v>4</v>
      </c>
      <c r="J190">
        <v>2</v>
      </c>
    </row>
    <row r="191" spans="1:10" x14ac:dyDescent="0.2">
      <c r="A191" s="1" t="s">
        <v>200</v>
      </c>
      <c r="B191" t="s">
        <v>19</v>
      </c>
      <c r="C191">
        <v>5</v>
      </c>
      <c r="D191" t="s">
        <v>27</v>
      </c>
      <c r="E191">
        <v>2</v>
      </c>
      <c r="F191" t="s">
        <v>60</v>
      </c>
      <c r="G191" t="s">
        <v>19</v>
      </c>
      <c r="H191" t="s">
        <v>27</v>
      </c>
      <c r="I191">
        <v>5</v>
      </c>
      <c r="J191">
        <v>2</v>
      </c>
    </row>
    <row r="192" spans="1:10" x14ac:dyDescent="0.2">
      <c r="A192" s="1" t="s">
        <v>200</v>
      </c>
      <c r="B192" t="s">
        <v>15</v>
      </c>
      <c r="C192">
        <v>3</v>
      </c>
      <c r="D192" t="s">
        <v>32</v>
      </c>
      <c r="E192">
        <v>2</v>
      </c>
      <c r="F192" t="s">
        <v>62</v>
      </c>
      <c r="G192" t="s">
        <v>15</v>
      </c>
      <c r="H192" t="s">
        <v>32</v>
      </c>
      <c r="I192">
        <v>3</v>
      </c>
      <c r="J192">
        <v>2</v>
      </c>
    </row>
    <row r="193" spans="1:10" x14ac:dyDescent="0.2">
      <c r="A193" s="1" t="s">
        <v>200</v>
      </c>
      <c r="B193" t="s">
        <v>12</v>
      </c>
      <c r="C193">
        <v>2</v>
      </c>
      <c r="D193" t="s">
        <v>33</v>
      </c>
      <c r="E193">
        <v>3</v>
      </c>
      <c r="F193" t="s">
        <v>62</v>
      </c>
      <c r="G193" t="s">
        <v>33</v>
      </c>
      <c r="H193" t="s">
        <v>12</v>
      </c>
      <c r="I193">
        <v>3</v>
      </c>
      <c r="J193">
        <v>2</v>
      </c>
    </row>
    <row r="194" spans="1:10" x14ac:dyDescent="0.2">
      <c r="A194" s="1" t="s">
        <v>200</v>
      </c>
      <c r="B194" t="s">
        <v>14</v>
      </c>
      <c r="C194">
        <v>2</v>
      </c>
      <c r="D194" t="s">
        <v>40</v>
      </c>
      <c r="E194">
        <v>5</v>
      </c>
      <c r="F194" t="s">
        <v>60</v>
      </c>
      <c r="G194" t="s">
        <v>40</v>
      </c>
      <c r="H194" t="s">
        <v>14</v>
      </c>
      <c r="I194">
        <v>5</v>
      </c>
      <c r="J194">
        <v>2</v>
      </c>
    </row>
    <row r="195" spans="1:10" x14ac:dyDescent="0.2">
      <c r="A195" s="1" t="s">
        <v>201</v>
      </c>
      <c r="B195" t="s">
        <v>24</v>
      </c>
      <c r="C195">
        <v>1</v>
      </c>
      <c r="D195" t="s">
        <v>31</v>
      </c>
      <c r="E195">
        <v>4</v>
      </c>
      <c r="F195" t="s">
        <v>60</v>
      </c>
      <c r="G195" t="s">
        <v>31</v>
      </c>
      <c r="H195" t="s">
        <v>24</v>
      </c>
      <c r="I195">
        <v>4</v>
      </c>
      <c r="J195">
        <v>1</v>
      </c>
    </row>
    <row r="196" spans="1:10" x14ac:dyDescent="0.2">
      <c r="A196" s="1" t="s">
        <v>201</v>
      </c>
      <c r="B196" t="s">
        <v>28</v>
      </c>
      <c r="C196">
        <v>2</v>
      </c>
      <c r="D196" t="s">
        <v>30</v>
      </c>
      <c r="E196">
        <v>3</v>
      </c>
      <c r="F196" t="s">
        <v>60</v>
      </c>
      <c r="G196" t="s">
        <v>30</v>
      </c>
      <c r="H196" t="s">
        <v>28</v>
      </c>
      <c r="I196">
        <v>3</v>
      </c>
      <c r="J196">
        <v>2</v>
      </c>
    </row>
    <row r="197" spans="1:10" x14ac:dyDescent="0.2">
      <c r="A197" s="1" t="s">
        <v>201</v>
      </c>
      <c r="B197" t="s">
        <v>16</v>
      </c>
      <c r="C197">
        <v>2</v>
      </c>
      <c r="D197" t="s">
        <v>27</v>
      </c>
      <c r="E197">
        <v>1</v>
      </c>
      <c r="F197" t="s">
        <v>60</v>
      </c>
      <c r="G197" t="s">
        <v>16</v>
      </c>
      <c r="H197" t="s">
        <v>27</v>
      </c>
      <c r="I197">
        <v>2</v>
      </c>
      <c r="J197">
        <v>1</v>
      </c>
    </row>
    <row r="198" spans="1:10" x14ac:dyDescent="0.2">
      <c r="A198" s="1" t="s">
        <v>201</v>
      </c>
      <c r="B198" t="s">
        <v>26</v>
      </c>
      <c r="C198">
        <v>3</v>
      </c>
      <c r="D198" t="s">
        <v>33</v>
      </c>
      <c r="E198">
        <v>2</v>
      </c>
      <c r="F198" t="s">
        <v>61</v>
      </c>
      <c r="G198" t="s">
        <v>26</v>
      </c>
      <c r="H198" t="s">
        <v>33</v>
      </c>
      <c r="I198">
        <v>3</v>
      </c>
      <c r="J198">
        <v>2</v>
      </c>
    </row>
    <row r="199" spans="1:10" x14ac:dyDescent="0.2">
      <c r="A199" s="1" t="s">
        <v>201</v>
      </c>
      <c r="B199" t="s">
        <v>37</v>
      </c>
      <c r="C199">
        <v>4</v>
      </c>
      <c r="D199" t="s">
        <v>55</v>
      </c>
      <c r="E199">
        <v>2</v>
      </c>
      <c r="F199" t="s">
        <v>60</v>
      </c>
      <c r="G199" t="s">
        <v>37</v>
      </c>
      <c r="H199" t="s">
        <v>55</v>
      </c>
      <c r="I199">
        <v>4</v>
      </c>
      <c r="J199">
        <v>2</v>
      </c>
    </row>
    <row r="200" spans="1:10" x14ac:dyDescent="0.2">
      <c r="A200" s="1" t="s">
        <v>202</v>
      </c>
      <c r="B200" t="s">
        <v>38</v>
      </c>
      <c r="C200">
        <v>5</v>
      </c>
      <c r="D200" t="s">
        <v>29</v>
      </c>
      <c r="E200">
        <v>4</v>
      </c>
      <c r="F200" t="s">
        <v>62</v>
      </c>
      <c r="G200" t="s">
        <v>38</v>
      </c>
      <c r="H200" t="s">
        <v>29</v>
      </c>
      <c r="I200">
        <v>5</v>
      </c>
      <c r="J200">
        <v>4</v>
      </c>
    </row>
    <row r="201" spans="1:10" x14ac:dyDescent="0.2">
      <c r="A201" s="1" t="s">
        <v>202</v>
      </c>
      <c r="B201" t="s">
        <v>10</v>
      </c>
      <c r="C201">
        <v>1</v>
      </c>
      <c r="D201" t="s">
        <v>32</v>
      </c>
      <c r="E201">
        <v>3</v>
      </c>
      <c r="F201" t="s">
        <v>60</v>
      </c>
      <c r="G201" t="s">
        <v>32</v>
      </c>
      <c r="H201" t="s">
        <v>10</v>
      </c>
      <c r="I201">
        <v>3</v>
      </c>
      <c r="J201">
        <v>1</v>
      </c>
    </row>
    <row r="202" spans="1:10" x14ac:dyDescent="0.2">
      <c r="A202" s="1" t="s">
        <v>202</v>
      </c>
      <c r="B202" t="s">
        <v>17</v>
      </c>
      <c r="C202">
        <v>2</v>
      </c>
      <c r="D202" t="s">
        <v>35</v>
      </c>
      <c r="E202">
        <v>3</v>
      </c>
      <c r="F202" t="s">
        <v>60</v>
      </c>
      <c r="G202" t="s">
        <v>35</v>
      </c>
      <c r="H202" t="s">
        <v>17</v>
      </c>
      <c r="I202">
        <v>3</v>
      </c>
      <c r="J202">
        <v>2</v>
      </c>
    </row>
    <row r="203" spans="1:10" x14ac:dyDescent="0.2">
      <c r="A203" s="1" t="s">
        <v>202</v>
      </c>
      <c r="B203" t="s">
        <v>14</v>
      </c>
      <c r="C203">
        <v>3</v>
      </c>
      <c r="D203" t="s">
        <v>19</v>
      </c>
      <c r="E203">
        <v>4</v>
      </c>
      <c r="F203" t="s">
        <v>60</v>
      </c>
      <c r="G203" t="s">
        <v>19</v>
      </c>
      <c r="H203" t="s">
        <v>14</v>
      </c>
      <c r="I203">
        <v>4</v>
      </c>
      <c r="J203">
        <v>3</v>
      </c>
    </row>
    <row r="204" spans="1:10" x14ac:dyDescent="0.2">
      <c r="A204" s="1" t="s">
        <v>203</v>
      </c>
      <c r="B204" t="s">
        <v>11</v>
      </c>
      <c r="C204">
        <v>3</v>
      </c>
      <c r="D204" t="s">
        <v>31</v>
      </c>
      <c r="E204">
        <v>7</v>
      </c>
      <c r="F204" t="s">
        <v>60</v>
      </c>
      <c r="G204" t="s">
        <v>31</v>
      </c>
      <c r="H204" t="s">
        <v>11</v>
      </c>
      <c r="I204">
        <v>7</v>
      </c>
      <c r="J204">
        <v>3</v>
      </c>
    </row>
    <row r="205" spans="1:10" x14ac:dyDescent="0.2">
      <c r="A205" s="1" t="s">
        <v>203</v>
      </c>
      <c r="B205" t="s">
        <v>55</v>
      </c>
      <c r="C205">
        <v>2</v>
      </c>
      <c r="D205" t="s">
        <v>23</v>
      </c>
      <c r="E205">
        <v>1</v>
      </c>
      <c r="F205" t="s">
        <v>62</v>
      </c>
      <c r="G205" t="s">
        <v>55</v>
      </c>
      <c r="H205" t="s">
        <v>23</v>
      </c>
      <c r="I205">
        <v>2</v>
      </c>
      <c r="J205">
        <v>1</v>
      </c>
    </row>
    <row r="206" spans="1:10" x14ac:dyDescent="0.2">
      <c r="A206" s="1" t="s">
        <v>203</v>
      </c>
      <c r="B206" t="s">
        <v>37</v>
      </c>
      <c r="C206">
        <v>2</v>
      </c>
      <c r="D206" t="s">
        <v>12</v>
      </c>
      <c r="E206">
        <v>3</v>
      </c>
      <c r="F206" t="s">
        <v>60</v>
      </c>
      <c r="G206" t="s">
        <v>12</v>
      </c>
      <c r="H206" t="s">
        <v>37</v>
      </c>
      <c r="I206">
        <v>3</v>
      </c>
      <c r="J206">
        <v>2</v>
      </c>
    </row>
    <row r="207" spans="1:10" x14ac:dyDescent="0.2">
      <c r="A207" s="1" t="s">
        <v>203</v>
      </c>
      <c r="B207" t="s">
        <v>17</v>
      </c>
      <c r="C207">
        <v>3</v>
      </c>
      <c r="D207" t="s">
        <v>39</v>
      </c>
      <c r="E207">
        <v>4</v>
      </c>
      <c r="F207" t="s">
        <v>61</v>
      </c>
      <c r="G207" t="s">
        <v>39</v>
      </c>
      <c r="H207" t="s">
        <v>17</v>
      </c>
      <c r="I207">
        <v>4</v>
      </c>
      <c r="J207">
        <v>3</v>
      </c>
    </row>
    <row r="208" spans="1:10" x14ac:dyDescent="0.2">
      <c r="A208" s="1" t="s">
        <v>203</v>
      </c>
      <c r="B208" t="s">
        <v>40</v>
      </c>
      <c r="C208">
        <v>0</v>
      </c>
      <c r="D208" t="s">
        <v>13</v>
      </c>
      <c r="E208">
        <v>3</v>
      </c>
      <c r="F208" t="s">
        <v>60</v>
      </c>
      <c r="G208" t="s">
        <v>13</v>
      </c>
      <c r="H208" t="s">
        <v>40</v>
      </c>
      <c r="I208">
        <v>3</v>
      </c>
      <c r="J208">
        <v>0</v>
      </c>
    </row>
    <row r="209" spans="1:10" x14ac:dyDescent="0.2">
      <c r="A209" s="1" t="s">
        <v>203</v>
      </c>
      <c r="B209" t="s">
        <v>29</v>
      </c>
      <c r="C209">
        <v>2</v>
      </c>
      <c r="D209" t="s">
        <v>34</v>
      </c>
      <c r="E209">
        <v>3</v>
      </c>
      <c r="F209" t="s">
        <v>62</v>
      </c>
      <c r="G209" t="s">
        <v>34</v>
      </c>
      <c r="H209" t="s">
        <v>29</v>
      </c>
      <c r="I209">
        <v>3</v>
      </c>
      <c r="J209">
        <v>2</v>
      </c>
    </row>
    <row r="210" spans="1:10" x14ac:dyDescent="0.2">
      <c r="A210" s="1" t="s">
        <v>203</v>
      </c>
      <c r="B210" t="s">
        <v>27</v>
      </c>
      <c r="C210">
        <v>5</v>
      </c>
      <c r="D210" t="s">
        <v>18</v>
      </c>
      <c r="E210">
        <v>4</v>
      </c>
      <c r="F210" t="s">
        <v>61</v>
      </c>
      <c r="G210" t="s">
        <v>27</v>
      </c>
      <c r="H210" t="s">
        <v>18</v>
      </c>
      <c r="I210">
        <v>5</v>
      </c>
      <c r="J210">
        <v>4</v>
      </c>
    </row>
    <row r="211" spans="1:10" x14ac:dyDescent="0.2">
      <c r="A211" s="1" t="s">
        <v>203</v>
      </c>
      <c r="B211" t="s">
        <v>21</v>
      </c>
      <c r="C211">
        <v>4</v>
      </c>
      <c r="D211" t="s">
        <v>30</v>
      </c>
      <c r="E211">
        <v>3</v>
      </c>
      <c r="F211" t="s">
        <v>61</v>
      </c>
      <c r="G211" t="s">
        <v>21</v>
      </c>
      <c r="H211" t="s">
        <v>30</v>
      </c>
      <c r="I211">
        <v>4</v>
      </c>
      <c r="J211">
        <v>3</v>
      </c>
    </row>
    <row r="212" spans="1:10" x14ac:dyDescent="0.2">
      <c r="A212" s="1" t="s">
        <v>203</v>
      </c>
      <c r="B212" t="s">
        <v>25</v>
      </c>
      <c r="C212">
        <v>3</v>
      </c>
      <c r="D212" t="s">
        <v>15</v>
      </c>
      <c r="E212">
        <v>0</v>
      </c>
      <c r="F212" t="s">
        <v>60</v>
      </c>
      <c r="G212" t="s">
        <v>25</v>
      </c>
      <c r="H212" t="s">
        <v>15</v>
      </c>
      <c r="I212">
        <v>3</v>
      </c>
      <c r="J212">
        <v>0</v>
      </c>
    </row>
    <row r="213" spans="1:10" x14ac:dyDescent="0.2">
      <c r="A213" s="1" t="s">
        <v>203</v>
      </c>
      <c r="B213" t="s">
        <v>26</v>
      </c>
      <c r="C213">
        <v>0</v>
      </c>
      <c r="D213" t="s">
        <v>20</v>
      </c>
      <c r="E213">
        <v>1</v>
      </c>
      <c r="F213" t="s">
        <v>60</v>
      </c>
      <c r="G213" t="s">
        <v>20</v>
      </c>
      <c r="H213" t="s">
        <v>26</v>
      </c>
      <c r="I213">
        <v>1</v>
      </c>
      <c r="J213">
        <v>0</v>
      </c>
    </row>
    <row r="214" spans="1:10" x14ac:dyDescent="0.2">
      <c r="A214" s="1" t="s">
        <v>204</v>
      </c>
      <c r="B214" t="s">
        <v>28</v>
      </c>
      <c r="C214">
        <v>1</v>
      </c>
      <c r="D214" t="s">
        <v>16</v>
      </c>
      <c r="E214">
        <v>5</v>
      </c>
      <c r="F214" t="s">
        <v>60</v>
      </c>
      <c r="G214" t="s">
        <v>16</v>
      </c>
      <c r="H214" t="s">
        <v>28</v>
      </c>
      <c r="I214">
        <v>5</v>
      </c>
      <c r="J214">
        <v>1</v>
      </c>
    </row>
    <row r="215" spans="1:10" x14ac:dyDescent="0.2">
      <c r="A215" s="1" t="s">
        <v>204</v>
      </c>
      <c r="B215" t="s">
        <v>33</v>
      </c>
      <c r="C215">
        <v>6</v>
      </c>
      <c r="D215" t="s">
        <v>32</v>
      </c>
      <c r="E215">
        <v>1</v>
      </c>
      <c r="F215" t="s">
        <v>60</v>
      </c>
      <c r="G215" t="s">
        <v>33</v>
      </c>
      <c r="H215" t="s">
        <v>32</v>
      </c>
      <c r="I215">
        <v>6</v>
      </c>
      <c r="J215">
        <v>1</v>
      </c>
    </row>
    <row r="216" spans="1:10" x14ac:dyDescent="0.2">
      <c r="A216" s="1" t="s">
        <v>204</v>
      </c>
      <c r="B216" t="s">
        <v>55</v>
      </c>
      <c r="C216">
        <v>3</v>
      </c>
      <c r="D216" t="s">
        <v>19</v>
      </c>
      <c r="E216">
        <v>5</v>
      </c>
      <c r="F216" t="s">
        <v>60</v>
      </c>
      <c r="G216" t="s">
        <v>19</v>
      </c>
      <c r="H216" t="s">
        <v>55</v>
      </c>
      <c r="I216">
        <v>5</v>
      </c>
      <c r="J216">
        <v>3</v>
      </c>
    </row>
    <row r="217" spans="1:10" x14ac:dyDescent="0.2">
      <c r="A217" s="1" t="s">
        <v>204</v>
      </c>
      <c r="B217" t="s">
        <v>10</v>
      </c>
      <c r="C217">
        <v>5</v>
      </c>
      <c r="D217" t="s">
        <v>38</v>
      </c>
      <c r="E217">
        <v>2</v>
      </c>
      <c r="F217" t="s">
        <v>60</v>
      </c>
      <c r="G217" t="s">
        <v>10</v>
      </c>
      <c r="H217" t="s">
        <v>38</v>
      </c>
      <c r="I217">
        <v>5</v>
      </c>
      <c r="J217">
        <v>2</v>
      </c>
    </row>
    <row r="218" spans="1:10" x14ac:dyDescent="0.2">
      <c r="A218" s="1" t="s">
        <v>204</v>
      </c>
      <c r="B218" t="s">
        <v>35</v>
      </c>
      <c r="C218">
        <v>1</v>
      </c>
      <c r="D218" t="s">
        <v>22</v>
      </c>
      <c r="E218">
        <v>6</v>
      </c>
      <c r="F218" t="s">
        <v>60</v>
      </c>
      <c r="G218" t="s">
        <v>22</v>
      </c>
      <c r="H218" t="s">
        <v>35</v>
      </c>
      <c r="I218">
        <v>6</v>
      </c>
      <c r="J218">
        <v>1</v>
      </c>
    </row>
    <row r="219" spans="1:10" x14ac:dyDescent="0.2">
      <c r="A219" s="1" t="s">
        <v>205</v>
      </c>
      <c r="B219" t="s">
        <v>36</v>
      </c>
      <c r="C219">
        <v>2</v>
      </c>
      <c r="D219" t="s">
        <v>21</v>
      </c>
      <c r="E219">
        <v>3</v>
      </c>
      <c r="F219" t="s">
        <v>62</v>
      </c>
      <c r="G219" t="s">
        <v>21</v>
      </c>
      <c r="H219" t="s">
        <v>36</v>
      </c>
      <c r="I219">
        <v>3</v>
      </c>
      <c r="J219">
        <v>2</v>
      </c>
    </row>
    <row r="220" spans="1:10" x14ac:dyDescent="0.2">
      <c r="A220" s="1" t="s">
        <v>205</v>
      </c>
      <c r="B220" t="s">
        <v>35</v>
      </c>
      <c r="C220">
        <v>3</v>
      </c>
      <c r="D220" t="s">
        <v>23</v>
      </c>
      <c r="E220">
        <v>0</v>
      </c>
      <c r="F220" t="s">
        <v>60</v>
      </c>
      <c r="G220" t="s">
        <v>35</v>
      </c>
      <c r="H220" t="s">
        <v>23</v>
      </c>
      <c r="I220">
        <v>3</v>
      </c>
      <c r="J220">
        <v>0</v>
      </c>
    </row>
    <row r="221" spans="1:10" x14ac:dyDescent="0.2">
      <c r="A221" s="1" t="s">
        <v>205</v>
      </c>
      <c r="B221" t="s">
        <v>34</v>
      </c>
      <c r="C221">
        <v>3</v>
      </c>
      <c r="D221" t="s">
        <v>25</v>
      </c>
      <c r="E221">
        <v>4</v>
      </c>
      <c r="F221" t="s">
        <v>60</v>
      </c>
      <c r="G221" t="s">
        <v>25</v>
      </c>
      <c r="H221" t="s">
        <v>34</v>
      </c>
      <c r="I221">
        <v>4</v>
      </c>
      <c r="J221">
        <v>3</v>
      </c>
    </row>
    <row r="222" spans="1:10" x14ac:dyDescent="0.2">
      <c r="A222" s="1" t="s">
        <v>205</v>
      </c>
      <c r="B222" t="s">
        <v>31</v>
      </c>
      <c r="C222">
        <v>7</v>
      </c>
      <c r="D222" t="s">
        <v>39</v>
      </c>
      <c r="E222">
        <v>5</v>
      </c>
      <c r="F222" t="s">
        <v>60</v>
      </c>
      <c r="G222" t="s">
        <v>31</v>
      </c>
      <c r="H222" t="s">
        <v>39</v>
      </c>
      <c r="I222">
        <v>7</v>
      </c>
      <c r="J222">
        <v>5</v>
      </c>
    </row>
    <row r="223" spans="1:10" x14ac:dyDescent="0.2">
      <c r="A223" s="1" t="s">
        <v>205</v>
      </c>
      <c r="B223" t="s">
        <v>11</v>
      </c>
      <c r="C223">
        <v>5</v>
      </c>
      <c r="D223" t="s">
        <v>13</v>
      </c>
      <c r="E223">
        <v>2</v>
      </c>
      <c r="F223" t="s">
        <v>60</v>
      </c>
      <c r="G223" t="s">
        <v>11</v>
      </c>
      <c r="H223" t="s">
        <v>13</v>
      </c>
      <c r="I223">
        <v>5</v>
      </c>
      <c r="J223">
        <v>2</v>
      </c>
    </row>
    <row r="224" spans="1:10" x14ac:dyDescent="0.2">
      <c r="A224" s="1" t="s">
        <v>205</v>
      </c>
      <c r="B224" t="s">
        <v>18</v>
      </c>
      <c r="C224">
        <v>3</v>
      </c>
      <c r="D224" t="s">
        <v>24</v>
      </c>
      <c r="E224">
        <v>4</v>
      </c>
      <c r="F224" t="s">
        <v>62</v>
      </c>
      <c r="G224" t="s">
        <v>24</v>
      </c>
      <c r="H224" t="s">
        <v>18</v>
      </c>
      <c r="I224">
        <v>4</v>
      </c>
      <c r="J224">
        <v>3</v>
      </c>
    </row>
    <row r="225" spans="1:10" x14ac:dyDescent="0.2">
      <c r="A225" s="1" t="s">
        <v>205</v>
      </c>
      <c r="B225" t="s">
        <v>27</v>
      </c>
      <c r="C225">
        <v>3</v>
      </c>
      <c r="D225" t="s">
        <v>29</v>
      </c>
      <c r="E225">
        <v>1</v>
      </c>
      <c r="F225" t="s">
        <v>60</v>
      </c>
      <c r="G225" t="s">
        <v>27</v>
      </c>
      <c r="H225" t="s">
        <v>29</v>
      </c>
      <c r="I225">
        <v>3</v>
      </c>
      <c r="J225">
        <v>1</v>
      </c>
    </row>
    <row r="226" spans="1:10" x14ac:dyDescent="0.2">
      <c r="A226" s="1" t="s">
        <v>205</v>
      </c>
      <c r="B226" t="s">
        <v>22</v>
      </c>
      <c r="C226">
        <v>3</v>
      </c>
      <c r="D226" t="s">
        <v>14</v>
      </c>
      <c r="E226">
        <v>5</v>
      </c>
      <c r="F226" t="s">
        <v>60</v>
      </c>
      <c r="G226" t="s">
        <v>14</v>
      </c>
      <c r="H226" t="s">
        <v>22</v>
      </c>
      <c r="I226">
        <v>5</v>
      </c>
      <c r="J226">
        <v>3</v>
      </c>
    </row>
    <row r="227" spans="1:10" x14ac:dyDescent="0.2">
      <c r="A227" s="1" t="s">
        <v>205</v>
      </c>
      <c r="B227" t="s">
        <v>37</v>
      </c>
      <c r="C227">
        <v>6</v>
      </c>
      <c r="D227" t="s">
        <v>20</v>
      </c>
      <c r="E227">
        <v>3</v>
      </c>
      <c r="F227" t="s">
        <v>60</v>
      </c>
      <c r="G227" t="s">
        <v>37</v>
      </c>
      <c r="H227" t="s">
        <v>20</v>
      </c>
      <c r="I227">
        <v>6</v>
      </c>
      <c r="J227">
        <v>3</v>
      </c>
    </row>
    <row r="228" spans="1:10" x14ac:dyDescent="0.2">
      <c r="A228" s="1" t="s">
        <v>206</v>
      </c>
      <c r="B228" t="s">
        <v>10</v>
      </c>
      <c r="C228">
        <v>4</v>
      </c>
      <c r="D228" t="s">
        <v>16</v>
      </c>
      <c r="E228">
        <v>0</v>
      </c>
      <c r="F228" t="s">
        <v>60</v>
      </c>
      <c r="G228" t="s">
        <v>10</v>
      </c>
      <c r="H228" t="s">
        <v>16</v>
      </c>
      <c r="I228">
        <v>4</v>
      </c>
      <c r="J228">
        <v>0</v>
      </c>
    </row>
    <row r="229" spans="1:10" x14ac:dyDescent="0.2">
      <c r="A229" s="1" t="s">
        <v>206</v>
      </c>
      <c r="B229" t="s">
        <v>15</v>
      </c>
      <c r="C229">
        <v>4</v>
      </c>
      <c r="D229" t="s">
        <v>26</v>
      </c>
      <c r="E229">
        <v>1</v>
      </c>
      <c r="F229" t="s">
        <v>60</v>
      </c>
      <c r="G229" t="s">
        <v>15</v>
      </c>
      <c r="H229" t="s">
        <v>26</v>
      </c>
      <c r="I229">
        <v>4</v>
      </c>
      <c r="J229">
        <v>1</v>
      </c>
    </row>
    <row r="230" spans="1:10" x14ac:dyDescent="0.2">
      <c r="A230" s="1" t="s">
        <v>206</v>
      </c>
      <c r="B230" t="s">
        <v>34</v>
      </c>
      <c r="C230">
        <v>5</v>
      </c>
      <c r="D230" t="s">
        <v>30</v>
      </c>
      <c r="E230">
        <v>2</v>
      </c>
      <c r="F230" t="s">
        <v>60</v>
      </c>
      <c r="G230" t="s">
        <v>34</v>
      </c>
      <c r="H230" t="s">
        <v>30</v>
      </c>
      <c r="I230">
        <v>5</v>
      </c>
      <c r="J230">
        <v>2</v>
      </c>
    </row>
    <row r="231" spans="1:10" x14ac:dyDescent="0.2">
      <c r="A231" s="1" t="s">
        <v>206</v>
      </c>
      <c r="B231" t="s">
        <v>40</v>
      </c>
      <c r="C231">
        <v>1</v>
      </c>
      <c r="D231" t="s">
        <v>33</v>
      </c>
      <c r="E231">
        <v>2</v>
      </c>
      <c r="F231" t="s">
        <v>60</v>
      </c>
      <c r="G231" t="s">
        <v>33</v>
      </c>
      <c r="H231" t="s">
        <v>40</v>
      </c>
      <c r="I231">
        <v>2</v>
      </c>
      <c r="J231">
        <v>1</v>
      </c>
    </row>
    <row r="232" spans="1:10" x14ac:dyDescent="0.2">
      <c r="A232" s="1" t="s">
        <v>207</v>
      </c>
      <c r="B232" t="s">
        <v>23</v>
      </c>
      <c r="C232">
        <v>3</v>
      </c>
      <c r="D232" t="s">
        <v>25</v>
      </c>
      <c r="E232">
        <v>6</v>
      </c>
      <c r="F232" t="s">
        <v>60</v>
      </c>
      <c r="G232" t="s">
        <v>25</v>
      </c>
      <c r="H232" t="s">
        <v>23</v>
      </c>
      <c r="I232">
        <v>6</v>
      </c>
      <c r="J232">
        <v>3</v>
      </c>
    </row>
    <row r="233" spans="1:10" x14ac:dyDescent="0.2">
      <c r="A233" s="1" t="s">
        <v>207</v>
      </c>
      <c r="B233" t="s">
        <v>12</v>
      </c>
      <c r="C233">
        <v>9</v>
      </c>
      <c r="D233" t="s">
        <v>17</v>
      </c>
      <c r="E233">
        <v>1</v>
      </c>
      <c r="F233" t="s">
        <v>60</v>
      </c>
      <c r="G233" t="s">
        <v>12</v>
      </c>
      <c r="H233" t="s">
        <v>17</v>
      </c>
      <c r="I233">
        <v>9</v>
      </c>
      <c r="J233">
        <v>1</v>
      </c>
    </row>
    <row r="234" spans="1:10" x14ac:dyDescent="0.2">
      <c r="A234" s="1" t="s">
        <v>207</v>
      </c>
      <c r="B234" t="s">
        <v>55</v>
      </c>
      <c r="C234">
        <v>2</v>
      </c>
      <c r="D234" t="s">
        <v>18</v>
      </c>
      <c r="E234">
        <v>6</v>
      </c>
      <c r="F234" t="s">
        <v>60</v>
      </c>
      <c r="G234" t="s">
        <v>18</v>
      </c>
      <c r="H234" t="s">
        <v>55</v>
      </c>
      <c r="I234">
        <v>6</v>
      </c>
      <c r="J234">
        <v>2</v>
      </c>
    </row>
    <row r="235" spans="1:10" x14ac:dyDescent="0.2">
      <c r="A235" s="1" t="s">
        <v>207</v>
      </c>
      <c r="B235" t="s">
        <v>14</v>
      </c>
      <c r="C235">
        <v>1</v>
      </c>
      <c r="D235" t="s">
        <v>24</v>
      </c>
      <c r="E235">
        <v>2</v>
      </c>
      <c r="F235" t="s">
        <v>61</v>
      </c>
      <c r="G235" t="s">
        <v>24</v>
      </c>
      <c r="H235" t="s">
        <v>14</v>
      </c>
      <c r="I235">
        <v>2</v>
      </c>
      <c r="J235">
        <v>1</v>
      </c>
    </row>
    <row r="236" spans="1:10" x14ac:dyDescent="0.2">
      <c r="A236" s="1" t="s">
        <v>207</v>
      </c>
      <c r="B236" t="s">
        <v>39</v>
      </c>
      <c r="C236">
        <v>5</v>
      </c>
      <c r="D236" t="s">
        <v>29</v>
      </c>
      <c r="E236">
        <v>4</v>
      </c>
      <c r="F236" t="s">
        <v>60</v>
      </c>
      <c r="G236" t="s">
        <v>39</v>
      </c>
      <c r="H236" t="s">
        <v>29</v>
      </c>
      <c r="I236">
        <v>5</v>
      </c>
      <c r="J236">
        <v>4</v>
      </c>
    </row>
    <row r="237" spans="1:10" x14ac:dyDescent="0.2">
      <c r="A237" s="1" t="s">
        <v>207</v>
      </c>
      <c r="B237" t="s">
        <v>30</v>
      </c>
      <c r="C237">
        <v>5</v>
      </c>
      <c r="D237" t="s">
        <v>15</v>
      </c>
      <c r="E237">
        <v>0</v>
      </c>
      <c r="F237" t="s">
        <v>60</v>
      </c>
      <c r="G237" t="s">
        <v>30</v>
      </c>
      <c r="H237" t="s">
        <v>15</v>
      </c>
      <c r="I237">
        <v>5</v>
      </c>
      <c r="J237">
        <v>0</v>
      </c>
    </row>
    <row r="238" spans="1:10" x14ac:dyDescent="0.2">
      <c r="A238" s="1" t="s">
        <v>207</v>
      </c>
      <c r="B238" t="s">
        <v>36</v>
      </c>
      <c r="C238">
        <v>3</v>
      </c>
      <c r="D238" t="s">
        <v>27</v>
      </c>
      <c r="E238">
        <v>2</v>
      </c>
      <c r="F238" t="s">
        <v>62</v>
      </c>
      <c r="G238" t="s">
        <v>36</v>
      </c>
      <c r="H238" t="s">
        <v>27</v>
      </c>
      <c r="I238">
        <v>3</v>
      </c>
      <c r="J238">
        <v>2</v>
      </c>
    </row>
    <row r="239" spans="1:10" x14ac:dyDescent="0.2">
      <c r="A239" s="1" t="s">
        <v>207</v>
      </c>
      <c r="B239" t="s">
        <v>11</v>
      </c>
      <c r="C239">
        <v>1</v>
      </c>
      <c r="D239" t="s">
        <v>33</v>
      </c>
      <c r="E239">
        <v>3</v>
      </c>
      <c r="F239" t="s">
        <v>60</v>
      </c>
      <c r="G239" t="s">
        <v>33</v>
      </c>
      <c r="H239" t="s">
        <v>11</v>
      </c>
      <c r="I239">
        <v>3</v>
      </c>
      <c r="J239">
        <v>1</v>
      </c>
    </row>
    <row r="240" spans="1:10" x14ac:dyDescent="0.2">
      <c r="A240" s="1" t="s">
        <v>207</v>
      </c>
      <c r="B240" t="s">
        <v>32</v>
      </c>
      <c r="C240">
        <v>4</v>
      </c>
      <c r="D240" t="s">
        <v>35</v>
      </c>
      <c r="E240">
        <v>3</v>
      </c>
      <c r="F240" t="s">
        <v>62</v>
      </c>
      <c r="G240" t="s">
        <v>32</v>
      </c>
      <c r="H240" t="s">
        <v>35</v>
      </c>
      <c r="I240">
        <v>4</v>
      </c>
      <c r="J240">
        <v>3</v>
      </c>
    </row>
    <row r="241" spans="1:10" x14ac:dyDescent="0.2">
      <c r="A241" s="1" t="s">
        <v>207</v>
      </c>
      <c r="B241" t="s">
        <v>22</v>
      </c>
      <c r="C241">
        <v>2</v>
      </c>
      <c r="D241" t="s">
        <v>37</v>
      </c>
      <c r="E241">
        <v>3</v>
      </c>
      <c r="F241" t="s">
        <v>60</v>
      </c>
      <c r="G241" t="s">
        <v>37</v>
      </c>
      <c r="H241" t="s">
        <v>22</v>
      </c>
      <c r="I241">
        <v>3</v>
      </c>
      <c r="J241">
        <v>2</v>
      </c>
    </row>
    <row r="242" spans="1:10" x14ac:dyDescent="0.2">
      <c r="A242" s="1" t="s">
        <v>207</v>
      </c>
      <c r="B242" t="s">
        <v>21</v>
      </c>
      <c r="C242">
        <v>5</v>
      </c>
      <c r="D242" t="s">
        <v>19</v>
      </c>
      <c r="E242">
        <v>3</v>
      </c>
      <c r="F242" t="s">
        <v>60</v>
      </c>
      <c r="G242" t="s">
        <v>21</v>
      </c>
      <c r="H242" t="s">
        <v>19</v>
      </c>
      <c r="I242">
        <v>5</v>
      </c>
      <c r="J242">
        <v>3</v>
      </c>
    </row>
    <row r="243" spans="1:10" x14ac:dyDescent="0.2">
      <c r="A243" s="1" t="s">
        <v>207</v>
      </c>
      <c r="B243" t="s">
        <v>28</v>
      </c>
      <c r="C243">
        <v>3</v>
      </c>
      <c r="D243" t="s">
        <v>38</v>
      </c>
      <c r="E243">
        <v>4</v>
      </c>
      <c r="F243" t="s">
        <v>60</v>
      </c>
      <c r="G243" t="s">
        <v>38</v>
      </c>
      <c r="H243" t="s">
        <v>28</v>
      </c>
      <c r="I243">
        <v>4</v>
      </c>
      <c r="J243">
        <v>3</v>
      </c>
    </row>
    <row r="244" spans="1:10" x14ac:dyDescent="0.2">
      <c r="A244" s="1" t="s">
        <v>207</v>
      </c>
      <c r="B244" t="s">
        <v>31</v>
      </c>
      <c r="C244">
        <v>4</v>
      </c>
      <c r="D244" t="s">
        <v>20</v>
      </c>
      <c r="E244">
        <v>3</v>
      </c>
      <c r="F244" t="s">
        <v>62</v>
      </c>
      <c r="G244" t="s">
        <v>31</v>
      </c>
      <c r="H244" t="s">
        <v>20</v>
      </c>
      <c r="I244">
        <v>4</v>
      </c>
      <c r="J244">
        <v>3</v>
      </c>
    </row>
    <row r="245" spans="1:10" x14ac:dyDescent="0.2">
      <c r="A245" s="1" t="s">
        <v>208</v>
      </c>
      <c r="B245" t="s">
        <v>40</v>
      </c>
      <c r="C245">
        <v>1</v>
      </c>
      <c r="D245" t="s">
        <v>31</v>
      </c>
      <c r="E245">
        <v>4</v>
      </c>
      <c r="F245" t="s">
        <v>60</v>
      </c>
      <c r="G245" t="s">
        <v>31</v>
      </c>
      <c r="H245" t="s">
        <v>40</v>
      </c>
      <c r="I245">
        <v>4</v>
      </c>
      <c r="J245">
        <v>1</v>
      </c>
    </row>
    <row r="246" spans="1:10" x14ac:dyDescent="0.2">
      <c r="A246" s="1" t="s">
        <v>208</v>
      </c>
      <c r="B246" t="s">
        <v>32</v>
      </c>
      <c r="C246">
        <v>1</v>
      </c>
      <c r="D246" t="s">
        <v>39</v>
      </c>
      <c r="E246">
        <v>2</v>
      </c>
      <c r="F246" t="s">
        <v>60</v>
      </c>
      <c r="G246" t="s">
        <v>39</v>
      </c>
      <c r="H246" t="s">
        <v>32</v>
      </c>
      <c r="I246">
        <v>2</v>
      </c>
      <c r="J246">
        <v>1</v>
      </c>
    </row>
    <row r="247" spans="1:10" x14ac:dyDescent="0.2">
      <c r="A247" s="1" t="s">
        <v>208</v>
      </c>
      <c r="B247" t="s">
        <v>10</v>
      </c>
      <c r="C247">
        <v>5</v>
      </c>
      <c r="D247" t="s">
        <v>26</v>
      </c>
      <c r="E247">
        <v>1</v>
      </c>
      <c r="F247" t="s">
        <v>60</v>
      </c>
      <c r="G247" t="s">
        <v>10</v>
      </c>
      <c r="H247" t="s">
        <v>26</v>
      </c>
      <c r="I247">
        <v>5</v>
      </c>
      <c r="J247">
        <v>1</v>
      </c>
    </row>
    <row r="248" spans="1:10" x14ac:dyDescent="0.2">
      <c r="A248" s="1" t="s">
        <v>208</v>
      </c>
      <c r="B248" t="s">
        <v>16</v>
      </c>
      <c r="C248">
        <v>0</v>
      </c>
      <c r="D248" t="s">
        <v>34</v>
      </c>
      <c r="E248">
        <v>2</v>
      </c>
      <c r="F248" t="s">
        <v>60</v>
      </c>
      <c r="G248" t="s">
        <v>34</v>
      </c>
      <c r="H248" t="s">
        <v>16</v>
      </c>
      <c r="I248">
        <v>2</v>
      </c>
      <c r="J248">
        <v>0</v>
      </c>
    </row>
    <row r="249" spans="1:10" x14ac:dyDescent="0.2">
      <c r="A249" s="1" t="s">
        <v>208</v>
      </c>
      <c r="B249" t="s">
        <v>55</v>
      </c>
      <c r="C249">
        <v>2</v>
      </c>
      <c r="D249" t="s">
        <v>36</v>
      </c>
      <c r="E249">
        <v>4</v>
      </c>
      <c r="F249" t="s">
        <v>60</v>
      </c>
      <c r="G249" t="s">
        <v>36</v>
      </c>
      <c r="H249" t="s">
        <v>55</v>
      </c>
      <c r="I249">
        <v>4</v>
      </c>
      <c r="J249">
        <v>2</v>
      </c>
    </row>
    <row r="250" spans="1:10" x14ac:dyDescent="0.2">
      <c r="A250" s="1" t="s">
        <v>208</v>
      </c>
      <c r="B250" t="s">
        <v>13</v>
      </c>
      <c r="C250">
        <v>3</v>
      </c>
      <c r="D250" t="s">
        <v>14</v>
      </c>
      <c r="E250">
        <v>2</v>
      </c>
      <c r="F250" t="s">
        <v>60</v>
      </c>
      <c r="G250" t="s">
        <v>13</v>
      </c>
      <c r="H250" t="s">
        <v>14</v>
      </c>
      <c r="I250">
        <v>3</v>
      </c>
      <c r="J250">
        <v>2</v>
      </c>
    </row>
    <row r="251" spans="1:10" x14ac:dyDescent="0.2">
      <c r="A251" s="1" t="s">
        <v>208</v>
      </c>
      <c r="B251" t="s">
        <v>25</v>
      </c>
      <c r="C251">
        <v>5</v>
      </c>
      <c r="D251" t="s">
        <v>19</v>
      </c>
      <c r="E251">
        <v>4</v>
      </c>
      <c r="F251" t="s">
        <v>60</v>
      </c>
      <c r="G251" t="s">
        <v>25</v>
      </c>
      <c r="H251" t="s">
        <v>19</v>
      </c>
      <c r="I251">
        <v>5</v>
      </c>
      <c r="J251">
        <v>4</v>
      </c>
    </row>
    <row r="252" spans="1:10" x14ac:dyDescent="0.2">
      <c r="A252" s="1" t="s">
        <v>208</v>
      </c>
      <c r="B252" t="s">
        <v>12</v>
      </c>
      <c r="C252">
        <v>5</v>
      </c>
      <c r="D252" t="s">
        <v>38</v>
      </c>
      <c r="E252">
        <v>4</v>
      </c>
      <c r="F252" t="s">
        <v>62</v>
      </c>
      <c r="G252" t="s">
        <v>12</v>
      </c>
      <c r="H252" t="s">
        <v>38</v>
      </c>
      <c r="I252">
        <v>5</v>
      </c>
      <c r="J252">
        <v>4</v>
      </c>
    </row>
    <row r="253" spans="1:10" x14ac:dyDescent="0.2">
      <c r="A253" s="1" t="s">
        <v>209</v>
      </c>
      <c r="B253" t="s">
        <v>28</v>
      </c>
      <c r="C253">
        <v>4</v>
      </c>
      <c r="D253" t="s">
        <v>17</v>
      </c>
      <c r="E253">
        <v>5</v>
      </c>
      <c r="F253" t="s">
        <v>62</v>
      </c>
      <c r="G253" t="s">
        <v>17</v>
      </c>
      <c r="H253" t="s">
        <v>28</v>
      </c>
      <c r="I253">
        <v>5</v>
      </c>
      <c r="J253">
        <v>4</v>
      </c>
    </row>
    <row r="254" spans="1:10" x14ac:dyDescent="0.2">
      <c r="A254" s="1" t="s">
        <v>209</v>
      </c>
      <c r="B254" t="s">
        <v>30</v>
      </c>
      <c r="C254">
        <v>3</v>
      </c>
      <c r="D254" t="s">
        <v>24</v>
      </c>
      <c r="E254">
        <v>2</v>
      </c>
      <c r="F254" t="s">
        <v>62</v>
      </c>
      <c r="G254" t="s">
        <v>30</v>
      </c>
      <c r="H254" t="s">
        <v>24</v>
      </c>
      <c r="I254">
        <v>3</v>
      </c>
      <c r="J254">
        <v>2</v>
      </c>
    </row>
    <row r="255" spans="1:10" x14ac:dyDescent="0.2">
      <c r="A255" s="1" t="s">
        <v>209</v>
      </c>
      <c r="B255" t="s">
        <v>29</v>
      </c>
      <c r="C255">
        <v>3</v>
      </c>
      <c r="D255" t="s">
        <v>15</v>
      </c>
      <c r="E255">
        <v>6</v>
      </c>
      <c r="F255" t="s">
        <v>60</v>
      </c>
      <c r="G255" t="s">
        <v>15</v>
      </c>
      <c r="H255" t="s">
        <v>29</v>
      </c>
      <c r="I255">
        <v>6</v>
      </c>
      <c r="J255">
        <v>3</v>
      </c>
    </row>
    <row r="256" spans="1:10" x14ac:dyDescent="0.2">
      <c r="A256" s="1" t="s">
        <v>209</v>
      </c>
      <c r="B256" t="s">
        <v>11</v>
      </c>
      <c r="C256">
        <v>3</v>
      </c>
      <c r="D256" t="s">
        <v>20</v>
      </c>
      <c r="E256">
        <v>2</v>
      </c>
      <c r="F256" t="s">
        <v>60</v>
      </c>
      <c r="G256" t="s">
        <v>11</v>
      </c>
      <c r="H256" t="s">
        <v>20</v>
      </c>
      <c r="I256">
        <v>3</v>
      </c>
      <c r="J256">
        <v>2</v>
      </c>
    </row>
    <row r="257" spans="1:10" x14ac:dyDescent="0.2">
      <c r="A257" s="1" t="s">
        <v>210</v>
      </c>
      <c r="B257" t="s">
        <v>19</v>
      </c>
      <c r="C257">
        <v>3</v>
      </c>
      <c r="D257" t="s">
        <v>21</v>
      </c>
      <c r="E257">
        <v>5</v>
      </c>
      <c r="F257" t="s">
        <v>60</v>
      </c>
      <c r="G257" t="s">
        <v>21</v>
      </c>
      <c r="H257" t="s">
        <v>19</v>
      </c>
      <c r="I257">
        <v>5</v>
      </c>
      <c r="J257">
        <v>3</v>
      </c>
    </row>
    <row r="258" spans="1:10" x14ac:dyDescent="0.2">
      <c r="A258" s="1" t="s">
        <v>210</v>
      </c>
      <c r="B258" t="s">
        <v>22</v>
      </c>
      <c r="C258">
        <v>4</v>
      </c>
      <c r="D258" t="s">
        <v>25</v>
      </c>
      <c r="E258">
        <v>1</v>
      </c>
      <c r="F258" t="s">
        <v>60</v>
      </c>
      <c r="G258" t="s">
        <v>22</v>
      </c>
      <c r="H258" t="s">
        <v>25</v>
      </c>
      <c r="I258">
        <v>4</v>
      </c>
      <c r="J258">
        <v>1</v>
      </c>
    </row>
    <row r="259" spans="1:10" x14ac:dyDescent="0.2">
      <c r="A259" s="1" t="s">
        <v>210</v>
      </c>
      <c r="B259" t="s">
        <v>31</v>
      </c>
      <c r="C259">
        <v>1</v>
      </c>
      <c r="D259" t="s">
        <v>12</v>
      </c>
      <c r="E259">
        <v>4</v>
      </c>
      <c r="F259" t="s">
        <v>60</v>
      </c>
      <c r="G259" t="s">
        <v>12</v>
      </c>
      <c r="H259" t="s">
        <v>31</v>
      </c>
      <c r="I259">
        <v>4</v>
      </c>
      <c r="J259">
        <v>1</v>
      </c>
    </row>
    <row r="260" spans="1:10" x14ac:dyDescent="0.2">
      <c r="A260" s="1" t="s">
        <v>210</v>
      </c>
      <c r="B260" t="s">
        <v>33</v>
      </c>
      <c r="C260">
        <v>2</v>
      </c>
      <c r="D260" t="s">
        <v>34</v>
      </c>
      <c r="E260">
        <v>1</v>
      </c>
      <c r="F260" t="s">
        <v>62</v>
      </c>
      <c r="G260" t="s">
        <v>33</v>
      </c>
      <c r="H260" t="s">
        <v>34</v>
      </c>
      <c r="I260">
        <v>2</v>
      </c>
      <c r="J260">
        <v>1</v>
      </c>
    </row>
    <row r="261" spans="1:10" x14ac:dyDescent="0.2">
      <c r="A261" s="1" t="s">
        <v>210</v>
      </c>
      <c r="B261" t="s">
        <v>13</v>
      </c>
      <c r="C261">
        <v>5</v>
      </c>
      <c r="D261" t="s">
        <v>18</v>
      </c>
      <c r="E261">
        <v>1</v>
      </c>
      <c r="F261" t="s">
        <v>60</v>
      </c>
      <c r="G261" t="s">
        <v>13</v>
      </c>
      <c r="H261" t="s">
        <v>18</v>
      </c>
      <c r="I261">
        <v>5</v>
      </c>
      <c r="J261">
        <v>1</v>
      </c>
    </row>
    <row r="262" spans="1:10" x14ac:dyDescent="0.2">
      <c r="A262" s="1" t="s">
        <v>210</v>
      </c>
      <c r="B262" t="s">
        <v>39</v>
      </c>
      <c r="C262">
        <v>3</v>
      </c>
      <c r="D262" t="s">
        <v>36</v>
      </c>
      <c r="E262">
        <v>2</v>
      </c>
      <c r="F262" t="s">
        <v>62</v>
      </c>
      <c r="G262" t="s">
        <v>39</v>
      </c>
      <c r="H262" t="s">
        <v>36</v>
      </c>
      <c r="I262">
        <v>3</v>
      </c>
      <c r="J262">
        <v>2</v>
      </c>
    </row>
    <row r="263" spans="1:10" x14ac:dyDescent="0.2">
      <c r="A263" s="1" t="s">
        <v>210</v>
      </c>
      <c r="B263" t="s">
        <v>28</v>
      </c>
      <c r="C263">
        <v>2</v>
      </c>
      <c r="D263" t="s">
        <v>32</v>
      </c>
      <c r="E263">
        <v>1</v>
      </c>
      <c r="F263" t="s">
        <v>61</v>
      </c>
      <c r="G263" t="s">
        <v>28</v>
      </c>
      <c r="H263" t="s">
        <v>32</v>
      </c>
      <c r="I263">
        <v>2</v>
      </c>
      <c r="J263">
        <v>1</v>
      </c>
    </row>
    <row r="264" spans="1:10" x14ac:dyDescent="0.2">
      <c r="A264" s="1" t="s">
        <v>210</v>
      </c>
      <c r="B264" t="s">
        <v>16</v>
      </c>
      <c r="C264">
        <v>2</v>
      </c>
      <c r="D264" t="s">
        <v>35</v>
      </c>
      <c r="E264">
        <v>3</v>
      </c>
      <c r="F264" t="s">
        <v>60</v>
      </c>
      <c r="G264" t="s">
        <v>35</v>
      </c>
      <c r="H264" t="s">
        <v>16</v>
      </c>
      <c r="I264">
        <v>3</v>
      </c>
      <c r="J264">
        <v>2</v>
      </c>
    </row>
    <row r="265" spans="1:10" x14ac:dyDescent="0.2">
      <c r="A265" s="1" t="s">
        <v>210</v>
      </c>
      <c r="B265" t="s">
        <v>40</v>
      </c>
      <c r="C265">
        <v>5</v>
      </c>
      <c r="D265" t="s">
        <v>38</v>
      </c>
      <c r="E265">
        <v>3</v>
      </c>
      <c r="F265" t="s">
        <v>60</v>
      </c>
      <c r="G265" t="s">
        <v>40</v>
      </c>
      <c r="H265" t="s">
        <v>38</v>
      </c>
      <c r="I265">
        <v>5</v>
      </c>
      <c r="J265">
        <v>3</v>
      </c>
    </row>
    <row r="266" spans="1:10" x14ac:dyDescent="0.2">
      <c r="A266" s="1" t="s">
        <v>211</v>
      </c>
      <c r="B266" t="s">
        <v>24</v>
      </c>
      <c r="C266">
        <v>4</v>
      </c>
      <c r="D266" t="s">
        <v>10</v>
      </c>
      <c r="E266">
        <v>3</v>
      </c>
      <c r="F266" t="s">
        <v>62</v>
      </c>
      <c r="G266" t="s">
        <v>24</v>
      </c>
      <c r="H266" t="s">
        <v>10</v>
      </c>
      <c r="I266">
        <v>4</v>
      </c>
      <c r="J266">
        <v>3</v>
      </c>
    </row>
    <row r="267" spans="1:10" x14ac:dyDescent="0.2">
      <c r="A267" s="1" t="s">
        <v>211</v>
      </c>
      <c r="B267" t="s">
        <v>17</v>
      </c>
      <c r="C267">
        <v>2</v>
      </c>
      <c r="D267" t="s">
        <v>27</v>
      </c>
      <c r="E267">
        <v>1</v>
      </c>
      <c r="F267" t="s">
        <v>62</v>
      </c>
      <c r="G267" t="s">
        <v>17</v>
      </c>
      <c r="H267" t="s">
        <v>27</v>
      </c>
      <c r="I267">
        <v>2</v>
      </c>
      <c r="J267">
        <v>1</v>
      </c>
    </row>
    <row r="268" spans="1:10" x14ac:dyDescent="0.2">
      <c r="A268" s="1" t="s">
        <v>211</v>
      </c>
      <c r="B268" t="s">
        <v>15</v>
      </c>
      <c r="C268">
        <v>7</v>
      </c>
      <c r="D268" t="s">
        <v>37</v>
      </c>
      <c r="E268">
        <v>3</v>
      </c>
      <c r="F268" t="s">
        <v>60</v>
      </c>
      <c r="G268" t="s">
        <v>15</v>
      </c>
      <c r="H268" t="s">
        <v>37</v>
      </c>
      <c r="I268">
        <v>7</v>
      </c>
      <c r="J268">
        <v>3</v>
      </c>
    </row>
    <row r="269" spans="1:10" x14ac:dyDescent="0.2">
      <c r="A269" s="1" t="s">
        <v>211</v>
      </c>
      <c r="B269" t="s">
        <v>23</v>
      </c>
      <c r="C269">
        <v>2</v>
      </c>
      <c r="D269" t="s">
        <v>55</v>
      </c>
      <c r="E269">
        <v>5</v>
      </c>
      <c r="F269" t="s">
        <v>60</v>
      </c>
      <c r="G269" t="s">
        <v>55</v>
      </c>
      <c r="H269" t="s">
        <v>23</v>
      </c>
      <c r="I269">
        <v>5</v>
      </c>
      <c r="J269">
        <v>2</v>
      </c>
    </row>
    <row r="270" spans="1:10" x14ac:dyDescent="0.2">
      <c r="A270" s="1" t="s">
        <v>212</v>
      </c>
      <c r="B270" t="s">
        <v>17</v>
      </c>
      <c r="C270">
        <v>4</v>
      </c>
      <c r="D270" t="s">
        <v>28</v>
      </c>
      <c r="E270">
        <v>5</v>
      </c>
      <c r="F270" t="s">
        <v>60</v>
      </c>
      <c r="G270" t="s">
        <v>28</v>
      </c>
      <c r="H270" t="s">
        <v>17</v>
      </c>
      <c r="I270">
        <v>5</v>
      </c>
      <c r="J270">
        <v>4</v>
      </c>
    </row>
    <row r="271" spans="1:10" x14ac:dyDescent="0.2">
      <c r="A271" s="1" t="s">
        <v>212</v>
      </c>
      <c r="B271" t="s">
        <v>33</v>
      </c>
      <c r="C271">
        <v>0</v>
      </c>
      <c r="D271" t="s">
        <v>16</v>
      </c>
      <c r="E271">
        <v>2</v>
      </c>
      <c r="F271" t="s">
        <v>60</v>
      </c>
      <c r="G271" t="s">
        <v>16</v>
      </c>
      <c r="H271" t="s">
        <v>33</v>
      </c>
      <c r="I271">
        <v>2</v>
      </c>
      <c r="J271">
        <v>0</v>
      </c>
    </row>
    <row r="272" spans="1:10" x14ac:dyDescent="0.2">
      <c r="A272" s="1" t="s">
        <v>212</v>
      </c>
      <c r="B272" t="s">
        <v>23</v>
      </c>
      <c r="C272">
        <v>3</v>
      </c>
      <c r="D272" t="s">
        <v>12</v>
      </c>
      <c r="E272">
        <v>6</v>
      </c>
      <c r="F272" t="s">
        <v>60</v>
      </c>
      <c r="G272" t="s">
        <v>12</v>
      </c>
      <c r="H272" t="s">
        <v>23</v>
      </c>
      <c r="I272">
        <v>6</v>
      </c>
      <c r="J272">
        <v>3</v>
      </c>
    </row>
    <row r="273" spans="1:10" x14ac:dyDescent="0.2">
      <c r="A273" s="1" t="s">
        <v>212</v>
      </c>
      <c r="B273" t="s">
        <v>31</v>
      </c>
      <c r="C273">
        <v>3</v>
      </c>
      <c r="D273" t="s">
        <v>26</v>
      </c>
      <c r="E273">
        <v>6</v>
      </c>
      <c r="F273" t="s">
        <v>60</v>
      </c>
      <c r="G273" t="s">
        <v>26</v>
      </c>
      <c r="H273" t="s">
        <v>31</v>
      </c>
      <c r="I273">
        <v>6</v>
      </c>
      <c r="J273">
        <v>3</v>
      </c>
    </row>
    <row r="274" spans="1:10" x14ac:dyDescent="0.2">
      <c r="A274" s="1" t="s">
        <v>212</v>
      </c>
      <c r="B274" t="s">
        <v>22</v>
      </c>
      <c r="C274">
        <v>3</v>
      </c>
      <c r="D274" t="s">
        <v>11</v>
      </c>
      <c r="E274">
        <v>6</v>
      </c>
      <c r="F274" t="s">
        <v>60</v>
      </c>
      <c r="G274" t="s">
        <v>11</v>
      </c>
      <c r="H274" t="s">
        <v>22</v>
      </c>
      <c r="I274">
        <v>6</v>
      </c>
      <c r="J274">
        <v>3</v>
      </c>
    </row>
    <row r="275" spans="1:10" x14ac:dyDescent="0.2">
      <c r="A275" s="1" t="s">
        <v>212</v>
      </c>
      <c r="B275" t="s">
        <v>39</v>
      </c>
      <c r="C275">
        <v>7</v>
      </c>
      <c r="D275" t="s">
        <v>18</v>
      </c>
      <c r="E275">
        <v>0</v>
      </c>
      <c r="F275" t="s">
        <v>60</v>
      </c>
      <c r="G275" t="s">
        <v>39</v>
      </c>
      <c r="H275" t="s">
        <v>18</v>
      </c>
      <c r="I275">
        <v>7</v>
      </c>
      <c r="J275">
        <v>0</v>
      </c>
    </row>
    <row r="276" spans="1:10" x14ac:dyDescent="0.2">
      <c r="A276" s="1" t="s">
        <v>212</v>
      </c>
      <c r="B276" t="s">
        <v>21</v>
      </c>
      <c r="C276">
        <v>3</v>
      </c>
      <c r="D276" t="s">
        <v>36</v>
      </c>
      <c r="E276">
        <v>5</v>
      </c>
      <c r="F276" t="s">
        <v>60</v>
      </c>
      <c r="G276" t="s">
        <v>36</v>
      </c>
      <c r="H276" t="s">
        <v>21</v>
      </c>
      <c r="I276">
        <v>5</v>
      </c>
      <c r="J276">
        <v>3</v>
      </c>
    </row>
    <row r="277" spans="1:10" x14ac:dyDescent="0.2">
      <c r="A277" s="1" t="s">
        <v>212</v>
      </c>
      <c r="B277" t="s">
        <v>40</v>
      </c>
      <c r="C277">
        <v>3</v>
      </c>
      <c r="D277" t="s">
        <v>32</v>
      </c>
      <c r="E277">
        <v>5</v>
      </c>
      <c r="F277" t="s">
        <v>60</v>
      </c>
      <c r="G277" t="s">
        <v>32</v>
      </c>
      <c r="H277" t="s">
        <v>40</v>
      </c>
      <c r="I277">
        <v>5</v>
      </c>
      <c r="J277">
        <v>3</v>
      </c>
    </row>
    <row r="278" spans="1:10" x14ac:dyDescent="0.2">
      <c r="A278" s="1" t="s">
        <v>212</v>
      </c>
      <c r="B278" t="s">
        <v>13</v>
      </c>
      <c r="C278">
        <v>4</v>
      </c>
      <c r="D278" t="s">
        <v>19</v>
      </c>
      <c r="E278">
        <v>3</v>
      </c>
      <c r="F278" t="s">
        <v>62</v>
      </c>
      <c r="G278" t="s">
        <v>13</v>
      </c>
      <c r="H278" t="s">
        <v>19</v>
      </c>
      <c r="I278">
        <v>4</v>
      </c>
      <c r="J278">
        <v>3</v>
      </c>
    </row>
    <row r="279" spans="1:10" x14ac:dyDescent="0.2">
      <c r="A279" s="1" t="s">
        <v>212</v>
      </c>
      <c r="B279" t="s">
        <v>30</v>
      </c>
      <c r="C279">
        <v>4</v>
      </c>
      <c r="D279" t="s">
        <v>20</v>
      </c>
      <c r="E279">
        <v>3</v>
      </c>
      <c r="F279" t="s">
        <v>62</v>
      </c>
      <c r="G279" t="s">
        <v>30</v>
      </c>
      <c r="H279" t="s">
        <v>20</v>
      </c>
      <c r="I279">
        <v>4</v>
      </c>
      <c r="J279">
        <v>3</v>
      </c>
    </row>
    <row r="280" spans="1:10" x14ac:dyDescent="0.2">
      <c r="A280" s="1" t="s">
        <v>213</v>
      </c>
      <c r="B280" t="s">
        <v>38</v>
      </c>
      <c r="C280">
        <v>3</v>
      </c>
      <c r="D280" t="s">
        <v>25</v>
      </c>
      <c r="E280">
        <v>4</v>
      </c>
      <c r="F280" t="s">
        <v>62</v>
      </c>
      <c r="G280" t="s">
        <v>25</v>
      </c>
      <c r="H280" t="s">
        <v>38</v>
      </c>
      <c r="I280">
        <v>4</v>
      </c>
      <c r="J280">
        <v>3</v>
      </c>
    </row>
    <row r="281" spans="1:10" x14ac:dyDescent="0.2">
      <c r="A281" s="1" t="s">
        <v>213</v>
      </c>
      <c r="B281" t="s">
        <v>14</v>
      </c>
      <c r="C281">
        <v>1</v>
      </c>
      <c r="D281" t="s">
        <v>29</v>
      </c>
      <c r="E281">
        <v>2</v>
      </c>
      <c r="F281" t="s">
        <v>62</v>
      </c>
      <c r="G281" t="s">
        <v>29</v>
      </c>
      <c r="H281" t="s">
        <v>14</v>
      </c>
      <c r="I281">
        <v>2</v>
      </c>
      <c r="J281">
        <v>1</v>
      </c>
    </row>
    <row r="282" spans="1:10" x14ac:dyDescent="0.2">
      <c r="A282" s="1" t="s">
        <v>213</v>
      </c>
      <c r="B282" t="s">
        <v>27</v>
      </c>
      <c r="C282">
        <v>6</v>
      </c>
      <c r="D282" t="s">
        <v>35</v>
      </c>
      <c r="E282">
        <v>5</v>
      </c>
      <c r="F282" t="s">
        <v>61</v>
      </c>
      <c r="G282" t="s">
        <v>27</v>
      </c>
      <c r="H282" t="s">
        <v>35</v>
      </c>
      <c r="I282">
        <v>6</v>
      </c>
      <c r="J282">
        <v>5</v>
      </c>
    </row>
    <row r="283" spans="1:10" x14ac:dyDescent="0.2">
      <c r="A283" s="1" t="s">
        <v>213</v>
      </c>
      <c r="B283" t="s">
        <v>30</v>
      </c>
      <c r="C283">
        <v>3</v>
      </c>
      <c r="D283" t="s">
        <v>55</v>
      </c>
      <c r="E283">
        <v>2</v>
      </c>
      <c r="F283" t="s">
        <v>62</v>
      </c>
      <c r="G283" t="s">
        <v>30</v>
      </c>
      <c r="H283" t="s">
        <v>55</v>
      </c>
      <c r="I283">
        <v>3</v>
      </c>
      <c r="J283">
        <v>2</v>
      </c>
    </row>
    <row r="284" spans="1:10" x14ac:dyDescent="0.2">
      <c r="A284" s="1" t="s">
        <v>214</v>
      </c>
      <c r="B284" t="s">
        <v>17</v>
      </c>
      <c r="C284">
        <v>4</v>
      </c>
      <c r="D284" t="s">
        <v>25</v>
      </c>
      <c r="E284">
        <v>3</v>
      </c>
      <c r="F284" t="s">
        <v>62</v>
      </c>
      <c r="G284" t="s">
        <v>17</v>
      </c>
      <c r="H284" t="s">
        <v>25</v>
      </c>
      <c r="I284">
        <v>4</v>
      </c>
      <c r="J284">
        <v>3</v>
      </c>
    </row>
    <row r="285" spans="1:10" x14ac:dyDescent="0.2">
      <c r="A285" s="1" t="s">
        <v>214</v>
      </c>
      <c r="B285" t="s">
        <v>15</v>
      </c>
      <c r="C285">
        <v>2</v>
      </c>
      <c r="D285" t="s">
        <v>28</v>
      </c>
      <c r="E285">
        <v>1</v>
      </c>
      <c r="F285" t="s">
        <v>61</v>
      </c>
      <c r="G285" t="s">
        <v>15</v>
      </c>
      <c r="H285" t="s">
        <v>28</v>
      </c>
      <c r="I285">
        <v>2</v>
      </c>
      <c r="J285">
        <v>1</v>
      </c>
    </row>
    <row r="286" spans="1:10" x14ac:dyDescent="0.2">
      <c r="A286" s="1" t="s">
        <v>214</v>
      </c>
      <c r="B286" t="s">
        <v>40</v>
      </c>
      <c r="C286">
        <v>4</v>
      </c>
      <c r="D286" t="s">
        <v>16</v>
      </c>
      <c r="E286">
        <v>3</v>
      </c>
      <c r="F286" t="s">
        <v>61</v>
      </c>
      <c r="G286" t="s">
        <v>40</v>
      </c>
      <c r="H286" t="s">
        <v>16</v>
      </c>
      <c r="I286">
        <v>4</v>
      </c>
      <c r="J286">
        <v>3</v>
      </c>
    </row>
    <row r="287" spans="1:10" x14ac:dyDescent="0.2">
      <c r="A287" s="1" t="s">
        <v>214</v>
      </c>
      <c r="B287" t="s">
        <v>19</v>
      </c>
      <c r="C287">
        <v>2</v>
      </c>
      <c r="D287" t="s">
        <v>10</v>
      </c>
      <c r="E287">
        <v>3</v>
      </c>
      <c r="F287" t="s">
        <v>60</v>
      </c>
      <c r="G287" t="s">
        <v>10</v>
      </c>
      <c r="H287" t="s">
        <v>19</v>
      </c>
      <c r="I287">
        <v>3</v>
      </c>
      <c r="J287">
        <v>2</v>
      </c>
    </row>
    <row r="288" spans="1:10" x14ac:dyDescent="0.2">
      <c r="A288" s="1" t="s">
        <v>214</v>
      </c>
      <c r="B288" t="s">
        <v>27</v>
      </c>
      <c r="C288">
        <v>1</v>
      </c>
      <c r="D288" t="s">
        <v>39</v>
      </c>
      <c r="E288">
        <v>5</v>
      </c>
      <c r="F288" t="s">
        <v>60</v>
      </c>
      <c r="G288" t="s">
        <v>39</v>
      </c>
      <c r="H288" t="s">
        <v>27</v>
      </c>
      <c r="I288">
        <v>5</v>
      </c>
      <c r="J288">
        <v>1</v>
      </c>
    </row>
    <row r="289" spans="1:10" x14ac:dyDescent="0.2">
      <c r="A289" s="1" t="s">
        <v>214</v>
      </c>
      <c r="B289" t="s">
        <v>23</v>
      </c>
      <c r="C289">
        <v>5</v>
      </c>
      <c r="D289" t="s">
        <v>26</v>
      </c>
      <c r="E289">
        <v>4</v>
      </c>
      <c r="F289" t="s">
        <v>62</v>
      </c>
      <c r="G289" t="s">
        <v>23</v>
      </c>
      <c r="H289" t="s">
        <v>26</v>
      </c>
      <c r="I289">
        <v>5</v>
      </c>
      <c r="J289">
        <v>4</v>
      </c>
    </row>
    <row r="290" spans="1:10" x14ac:dyDescent="0.2">
      <c r="A290" s="1" t="s">
        <v>214</v>
      </c>
      <c r="B290" t="s">
        <v>37</v>
      </c>
      <c r="C290">
        <v>3</v>
      </c>
      <c r="D290" t="s">
        <v>11</v>
      </c>
      <c r="E290">
        <v>1</v>
      </c>
      <c r="F290" t="s">
        <v>60</v>
      </c>
      <c r="G290" t="s">
        <v>37</v>
      </c>
      <c r="H290" t="s">
        <v>11</v>
      </c>
      <c r="I290">
        <v>3</v>
      </c>
      <c r="J290">
        <v>1</v>
      </c>
    </row>
    <row r="291" spans="1:10" x14ac:dyDescent="0.2">
      <c r="A291" s="1" t="s">
        <v>214</v>
      </c>
      <c r="B291" t="s">
        <v>31</v>
      </c>
      <c r="C291">
        <v>0</v>
      </c>
      <c r="D291" t="s">
        <v>34</v>
      </c>
      <c r="E291">
        <v>2</v>
      </c>
      <c r="F291" t="s">
        <v>60</v>
      </c>
      <c r="G291" t="s">
        <v>34</v>
      </c>
      <c r="H291" t="s">
        <v>31</v>
      </c>
      <c r="I291">
        <v>2</v>
      </c>
      <c r="J291">
        <v>0</v>
      </c>
    </row>
    <row r="292" spans="1:10" x14ac:dyDescent="0.2">
      <c r="A292" s="1" t="s">
        <v>214</v>
      </c>
      <c r="B292" t="s">
        <v>21</v>
      </c>
      <c r="C292">
        <v>3</v>
      </c>
      <c r="D292" t="s">
        <v>18</v>
      </c>
      <c r="E292">
        <v>2</v>
      </c>
      <c r="F292" t="s">
        <v>60</v>
      </c>
      <c r="G292" t="s">
        <v>21</v>
      </c>
      <c r="H292" t="s">
        <v>18</v>
      </c>
      <c r="I292">
        <v>3</v>
      </c>
      <c r="J292">
        <v>2</v>
      </c>
    </row>
    <row r="293" spans="1:10" x14ac:dyDescent="0.2">
      <c r="A293" s="1" t="s">
        <v>214</v>
      </c>
      <c r="B293" t="s">
        <v>13</v>
      </c>
      <c r="C293">
        <v>1</v>
      </c>
      <c r="D293" t="s">
        <v>36</v>
      </c>
      <c r="E293">
        <v>0</v>
      </c>
      <c r="F293" t="s">
        <v>60</v>
      </c>
      <c r="G293" t="s">
        <v>13</v>
      </c>
      <c r="H293" t="s">
        <v>36</v>
      </c>
      <c r="I293">
        <v>1</v>
      </c>
      <c r="J293">
        <v>0</v>
      </c>
    </row>
    <row r="294" spans="1:10" x14ac:dyDescent="0.2">
      <c r="A294" s="1" t="s">
        <v>214</v>
      </c>
      <c r="B294" t="s">
        <v>33</v>
      </c>
      <c r="C294">
        <v>1</v>
      </c>
      <c r="D294" t="s">
        <v>32</v>
      </c>
      <c r="E294">
        <v>4</v>
      </c>
      <c r="F294" t="s">
        <v>60</v>
      </c>
      <c r="G294" t="s">
        <v>32</v>
      </c>
      <c r="H294" t="s">
        <v>33</v>
      </c>
      <c r="I294">
        <v>4</v>
      </c>
      <c r="J294">
        <v>1</v>
      </c>
    </row>
    <row r="295" spans="1:10" x14ac:dyDescent="0.2">
      <c r="A295" s="1" t="s">
        <v>214</v>
      </c>
      <c r="B295" t="s">
        <v>20</v>
      </c>
      <c r="C295">
        <v>4</v>
      </c>
      <c r="D295" t="s">
        <v>35</v>
      </c>
      <c r="E295">
        <v>1</v>
      </c>
      <c r="F295" t="s">
        <v>60</v>
      </c>
      <c r="G295" t="s">
        <v>20</v>
      </c>
      <c r="H295" t="s">
        <v>35</v>
      </c>
      <c r="I295">
        <v>4</v>
      </c>
      <c r="J295">
        <v>1</v>
      </c>
    </row>
    <row r="296" spans="1:10" x14ac:dyDescent="0.2">
      <c r="A296" s="1" t="s">
        <v>214</v>
      </c>
      <c r="B296" t="s">
        <v>24</v>
      </c>
      <c r="C296">
        <v>3</v>
      </c>
      <c r="D296" t="s">
        <v>22</v>
      </c>
      <c r="E296">
        <v>2</v>
      </c>
      <c r="F296" t="s">
        <v>61</v>
      </c>
      <c r="G296" t="s">
        <v>24</v>
      </c>
      <c r="H296" t="s">
        <v>22</v>
      </c>
      <c r="I296">
        <v>3</v>
      </c>
      <c r="J296">
        <v>2</v>
      </c>
    </row>
    <row r="297" spans="1:10" x14ac:dyDescent="0.2">
      <c r="A297" s="1" t="s">
        <v>215</v>
      </c>
      <c r="B297" t="s">
        <v>30</v>
      </c>
      <c r="C297">
        <v>1</v>
      </c>
      <c r="D297" t="s">
        <v>12</v>
      </c>
      <c r="E297">
        <v>4</v>
      </c>
      <c r="F297" t="s">
        <v>60</v>
      </c>
      <c r="G297" t="s">
        <v>12</v>
      </c>
      <c r="H297" t="s">
        <v>30</v>
      </c>
      <c r="I297">
        <v>4</v>
      </c>
      <c r="J297">
        <v>1</v>
      </c>
    </row>
    <row r="298" spans="1:10" x14ac:dyDescent="0.2">
      <c r="A298" s="1" t="s">
        <v>215</v>
      </c>
      <c r="B298" t="s">
        <v>20</v>
      </c>
      <c r="C298">
        <v>2</v>
      </c>
      <c r="D298" t="s">
        <v>34</v>
      </c>
      <c r="E298">
        <v>3</v>
      </c>
      <c r="F298" t="s">
        <v>62</v>
      </c>
      <c r="G298" t="s">
        <v>34</v>
      </c>
      <c r="H298" t="s">
        <v>20</v>
      </c>
      <c r="I298">
        <v>3</v>
      </c>
      <c r="J298">
        <v>2</v>
      </c>
    </row>
    <row r="299" spans="1:10" x14ac:dyDescent="0.2">
      <c r="A299" s="1" t="s">
        <v>215</v>
      </c>
      <c r="B299" t="s">
        <v>26</v>
      </c>
      <c r="C299">
        <v>2</v>
      </c>
      <c r="D299" t="s">
        <v>15</v>
      </c>
      <c r="E299">
        <v>1</v>
      </c>
      <c r="F299" t="s">
        <v>60</v>
      </c>
      <c r="G299" t="s">
        <v>26</v>
      </c>
      <c r="H299" t="s">
        <v>15</v>
      </c>
      <c r="I299">
        <v>2</v>
      </c>
      <c r="J299">
        <v>1</v>
      </c>
    </row>
    <row r="300" spans="1:10" x14ac:dyDescent="0.2">
      <c r="A300" s="1" t="s">
        <v>215</v>
      </c>
      <c r="B300" t="s">
        <v>29</v>
      </c>
      <c r="C300">
        <v>0</v>
      </c>
      <c r="D300" t="s">
        <v>14</v>
      </c>
      <c r="E300">
        <v>4</v>
      </c>
      <c r="F300" t="s">
        <v>60</v>
      </c>
      <c r="G300" t="s">
        <v>14</v>
      </c>
      <c r="H300" t="s">
        <v>29</v>
      </c>
      <c r="I300">
        <v>4</v>
      </c>
      <c r="J300">
        <v>0</v>
      </c>
    </row>
    <row r="301" spans="1:10" x14ac:dyDescent="0.2">
      <c r="A301" s="1" t="s">
        <v>215</v>
      </c>
      <c r="B301" t="s">
        <v>38</v>
      </c>
      <c r="C301">
        <v>6</v>
      </c>
      <c r="D301" t="s">
        <v>37</v>
      </c>
      <c r="E301">
        <v>2</v>
      </c>
      <c r="F301" t="s">
        <v>60</v>
      </c>
      <c r="G301" t="s">
        <v>38</v>
      </c>
      <c r="H301" t="s">
        <v>37</v>
      </c>
      <c r="I301">
        <v>6</v>
      </c>
      <c r="J301">
        <v>2</v>
      </c>
    </row>
    <row r="302" spans="1:10" x14ac:dyDescent="0.2">
      <c r="A302" s="1" t="s">
        <v>216</v>
      </c>
      <c r="B302" t="s">
        <v>55</v>
      </c>
      <c r="C302">
        <v>2</v>
      </c>
      <c r="D302" t="s">
        <v>31</v>
      </c>
      <c r="E302">
        <v>3</v>
      </c>
      <c r="F302" t="s">
        <v>62</v>
      </c>
      <c r="G302" t="s">
        <v>31</v>
      </c>
      <c r="H302" t="s">
        <v>55</v>
      </c>
      <c r="I302">
        <v>3</v>
      </c>
      <c r="J302">
        <v>2</v>
      </c>
    </row>
    <row r="303" spans="1:10" x14ac:dyDescent="0.2">
      <c r="A303" s="1" t="s">
        <v>216</v>
      </c>
      <c r="B303" t="s">
        <v>25</v>
      </c>
      <c r="C303">
        <v>3</v>
      </c>
      <c r="D303" t="s">
        <v>21</v>
      </c>
      <c r="E303">
        <v>1</v>
      </c>
      <c r="F303" t="s">
        <v>60</v>
      </c>
      <c r="G303" t="s">
        <v>25</v>
      </c>
      <c r="H303" t="s">
        <v>21</v>
      </c>
      <c r="I303">
        <v>3</v>
      </c>
      <c r="J303">
        <v>1</v>
      </c>
    </row>
    <row r="304" spans="1:10" x14ac:dyDescent="0.2">
      <c r="A304" s="1" t="s">
        <v>216</v>
      </c>
      <c r="B304" t="s">
        <v>17</v>
      </c>
      <c r="C304">
        <v>1</v>
      </c>
      <c r="D304" t="s">
        <v>23</v>
      </c>
      <c r="E304">
        <v>5</v>
      </c>
      <c r="F304" t="s">
        <v>60</v>
      </c>
      <c r="G304" t="s">
        <v>23</v>
      </c>
      <c r="H304" t="s">
        <v>17</v>
      </c>
      <c r="I304">
        <v>5</v>
      </c>
      <c r="J304">
        <v>1</v>
      </c>
    </row>
    <row r="305" spans="1:10" x14ac:dyDescent="0.2">
      <c r="A305" s="1" t="s">
        <v>216</v>
      </c>
      <c r="B305" t="s">
        <v>18</v>
      </c>
      <c r="C305">
        <v>3</v>
      </c>
      <c r="D305" t="s">
        <v>28</v>
      </c>
      <c r="E305">
        <v>4</v>
      </c>
      <c r="F305" t="s">
        <v>61</v>
      </c>
      <c r="G305" t="s">
        <v>28</v>
      </c>
      <c r="H305" t="s">
        <v>18</v>
      </c>
      <c r="I305">
        <v>4</v>
      </c>
      <c r="J305">
        <v>3</v>
      </c>
    </row>
    <row r="306" spans="1:10" x14ac:dyDescent="0.2">
      <c r="A306" s="1" t="s">
        <v>216</v>
      </c>
      <c r="B306" t="s">
        <v>38</v>
      </c>
      <c r="C306">
        <v>5</v>
      </c>
      <c r="D306" t="s">
        <v>11</v>
      </c>
      <c r="E306">
        <v>8</v>
      </c>
      <c r="F306" t="s">
        <v>60</v>
      </c>
      <c r="G306" t="s">
        <v>11</v>
      </c>
      <c r="H306" t="s">
        <v>38</v>
      </c>
      <c r="I306">
        <v>8</v>
      </c>
      <c r="J306">
        <v>5</v>
      </c>
    </row>
    <row r="307" spans="1:10" x14ac:dyDescent="0.2">
      <c r="A307" s="1" t="s">
        <v>216</v>
      </c>
      <c r="B307" t="s">
        <v>13</v>
      </c>
      <c r="C307">
        <v>1</v>
      </c>
      <c r="D307" t="s">
        <v>22</v>
      </c>
      <c r="E307">
        <v>2</v>
      </c>
      <c r="F307" t="s">
        <v>60</v>
      </c>
      <c r="G307" t="s">
        <v>22</v>
      </c>
      <c r="H307" t="s">
        <v>13</v>
      </c>
      <c r="I307">
        <v>2</v>
      </c>
      <c r="J307">
        <v>1</v>
      </c>
    </row>
    <row r="308" spans="1:10" x14ac:dyDescent="0.2">
      <c r="A308" s="1" t="s">
        <v>217</v>
      </c>
      <c r="B308" t="s">
        <v>16</v>
      </c>
      <c r="C308">
        <v>2</v>
      </c>
      <c r="D308" t="s">
        <v>10</v>
      </c>
      <c r="E308">
        <v>5</v>
      </c>
      <c r="F308" t="s">
        <v>60</v>
      </c>
      <c r="G308" t="s">
        <v>10</v>
      </c>
      <c r="H308" t="s">
        <v>16</v>
      </c>
      <c r="I308">
        <v>5</v>
      </c>
      <c r="J308">
        <v>2</v>
      </c>
    </row>
    <row r="309" spans="1:10" x14ac:dyDescent="0.2">
      <c r="A309" s="1" t="s">
        <v>217</v>
      </c>
      <c r="B309" t="s">
        <v>30</v>
      </c>
      <c r="C309">
        <v>3</v>
      </c>
      <c r="D309" t="s">
        <v>39</v>
      </c>
      <c r="E309">
        <v>2</v>
      </c>
      <c r="F309" t="s">
        <v>60</v>
      </c>
      <c r="G309" t="s">
        <v>30</v>
      </c>
      <c r="H309" t="s">
        <v>39</v>
      </c>
      <c r="I309">
        <v>3</v>
      </c>
      <c r="J309">
        <v>2</v>
      </c>
    </row>
    <row r="310" spans="1:10" x14ac:dyDescent="0.2">
      <c r="A310" s="1" t="s">
        <v>217</v>
      </c>
      <c r="B310" t="s">
        <v>32</v>
      </c>
      <c r="C310">
        <v>2</v>
      </c>
      <c r="D310" t="s">
        <v>26</v>
      </c>
      <c r="E310">
        <v>4</v>
      </c>
      <c r="F310" t="s">
        <v>60</v>
      </c>
      <c r="G310" t="s">
        <v>26</v>
      </c>
      <c r="H310" t="s">
        <v>32</v>
      </c>
      <c r="I310">
        <v>4</v>
      </c>
      <c r="J310">
        <v>2</v>
      </c>
    </row>
    <row r="311" spans="1:10" x14ac:dyDescent="0.2">
      <c r="A311" s="1" t="s">
        <v>217</v>
      </c>
      <c r="B311" t="s">
        <v>55</v>
      </c>
      <c r="C311">
        <v>2</v>
      </c>
      <c r="D311" t="s">
        <v>33</v>
      </c>
      <c r="E311">
        <v>3</v>
      </c>
      <c r="F311" t="s">
        <v>62</v>
      </c>
      <c r="G311" t="s">
        <v>33</v>
      </c>
      <c r="H311" t="s">
        <v>55</v>
      </c>
      <c r="I311">
        <v>3</v>
      </c>
      <c r="J311">
        <v>2</v>
      </c>
    </row>
    <row r="312" spans="1:10" x14ac:dyDescent="0.2">
      <c r="A312" s="1" t="s">
        <v>217</v>
      </c>
      <c r="B312" t="s">
        <v>24</v>
      </c>
      <c r="C312">
        <v>1</v>
      </c>
      <c r="D312" t="s">
        <v>37</v>
      </c>
      <c r="E312">
        <v>5</v>
      </c>
      <c r="F312" t="s">
        <v>60</v>
      </c>
      <c r="G312" t="s">
        <v>37</v>
      </c>
      <c r="H312" t="s">
        <v>24</v>
      </c>
      <c r="I312">
        <v>5</v>
      </c>
      <c r="J312">
        <v>1</v>
      </c>
    </row>
    <row r="313" spans="1:10" x14ac:dyDescent="0.2">
      <c r="A313" s="1" t="s">
        <v>217</v>
      </c>
      <c r="B313" t="s">
        <v>35</v>
      </c>
      <c r="C313">
        <v>2</v>
      </c>
      <c r="D313" t="s">
        <v>19</v>
      </c>
      <c r="E313">
        <v>3</v>
      </c>
      <c r="F313" t="s">
        <v>62</v>
      </c>
      <c r="G313" t="s">
        <v>19</v>
      </c>
      <c r="H313" t="s">
        <v>35</v>
      </c>
      <c r="I313">
        <v>3</v>
      </c>
      <c r="J313">
        <v>2</v>
      </c>
    </row>
    <row r="314" spans="1:10" x14ac:dyDescent="0.2">
      <c r="A314" s="1" t="s">
        <v>217</v>
      </c>
      <c r="B314" t="s">
        <v>15</v>
      </c>
      <c r="C314">
        <v>2</v>
      </c>
      <c r="D314" t="s">
        <v>20</v>
      </c>
      <c r="E314">
        <v>3</v>
      </c>
      <c r="F314" t="s">
        <v>60</v>
      </c>
      <c r="G314" t="s">
        <v>20</v>
      </c>
      <c r="H314" t="s">
        <v>15</v>
      </c>
      <c r="I314">
        <v>3</v>
      </c>
      <c r="J314">
        <v>2</v>
      </c>
    </row>
    <row r="315" spans="1:10" x14ac:dyDescent="0.2">
      <c r="A315" s="1" t="s">
        <v>217</v>
      </c>
      <c r="B315" t="s">
        <v>28</v>
      </c>
      <c r="C315">
        <v>2</v>
      </c>
      <c r="D315" t="s">
        <v>40</v>
      </c>
      <c r="E315">
        <v>5</v>
      </c>
      <c r="F315" t="s">
        <v>60</v>
      </c>
      <c r="G315" t="s">
        <v>40</v>
      </c>
      <c r="H315" t="s">
        <v>28</v>
      </c>
      <c r="I315">
        <v>5</v>
      </c>
      <c r="J315">
        <v>2</v>
      </c>
    </row>
    <row r="316" spans="1:10" x14ac:dyDescent="0.2">
      <c r="A316" s="1" t="s">
        <v>218</v>
      </c>
      <c r="B316" t="s">
        <v>21</v>
      </c>
      <c r="C316">
        <v>3</v>
      </c>
      <c r="D316" t="s">
        <v>31</v>
      </c>
      <c r="E316">
        <v>4</v>
      </c>
      <c r="F316" t="s">
        <v>60</v>
      </c>
      <c r="G316" t="s">
        <v>31</v>
      </c>
      <c r="H316" t="s">
        <v>21</v>
      </c>
      <c r="I316">
        <v>4</v>
      </c>
      <c r="J316">
        <v>3</v>
      </c>
    </row>
    <row r="317" spans="1:10" x14ac:dyDescent="0.2">
      <c r="A317" s="1" t="s">
        <v>218</v>
      </c>
      <c r="B317" t="s">
        <v>16</v>
      </c>
      <c r="C317">
        <v>6</v>
      </c>
      <c r="D317" t="s">
        <v>23</v>
      </c>
      <c r="E317">
        <v>2</v>
      </c>
      <c r="F317" t="s">
        <v>60</v>
      </c>
      <c r="G317" t="s">
        <v>16</v>
      </c>
      <c r="H317" t="s">
        <v>23</v>
      </c>
      <c r="I317">
        <v>6</v>
      </c>
      <c r="J317">
        <v>2</v>
      </c>
    </row>
    <row r="318" spans="1:10" x14ac:dyDescent="0.2">
      <c r="A318" s="1" t="s">
        <v>218</v>
      </c>
      <c r="B318" t="s">
        <v>25</v>
      </c>
      <c r="C318">
        <v>3</v>
      </c>
      <c r="D318" t="s">
        <v>34</v>
      </c>
      <c r="E318">
        <v>4</v>
      </c>
      <c r="F318" t="s">
        <v>61</v>
      </c>
      <c r="G318" t="s">
        <v>34</v>
      </c>
      <c r="H318" t="s">
        <v>25</v>
      </c>
      <c r="I318">
        <v>4</v>
      </c>
      <c r="J318">
        <v>3</v>
      </c>
    </row>
    <row r="319" spans="1:10" x14ac:dyDescent="0.2">
      <c r="A319" s="1" t="s">
        <v>218</v>
      </c>
      <c r="B319" t="s">
        <v>17</v>
      </c>
      <c r="C319">
        <v>4</v>
      </c>
      <c r="D319" t="s">
        <v>22</v>
      </c>
      <c r="E319">
        <v>7</v>
      </c>
      <c r="F319" t="s">
        <v>60</v>
      </c>
      <c r="G319" t="s">
        <v>22</v>
      </c>
      <c r="H319" t="s">
        <v>17</v>
      </c>
      <c r="I319">
        <v>7</v>
      </c>
      <c r="J319">
        <v>4</v>
      </c>
    </row>
    <row r="320" spans="1:10" x14ac:dyDescent="0.2">
      <c r="A320" s="1" t="s">
        <v>219</v>
      </c>
      <c r="B320" t="s">
        <v>36</v>
      </c>
      <c r="C320">
        <v>3</v>
      </c>
      <c r="D320" t="s">
        <v>31</v>
      </c>
      <c r="E320">
        <v>2</v>
      </c>
      <c r="F320" t="s">
        <v>60</v>
      </c>
      <c r="G320" t="s">
        <v>36</v>
      </c>
      <c r="H320" t="s">
        <v>31</v>
      </c>
      <c r="I320">
        <v>3</v>
      </c>
      <c r="J320">
        <v>2</v>
      </c>
    </row>
    <row r="321" spans="1:10" x14ac:dyDescent="0.2">
      <c r="A321" s="1" t="s">
        <v>219</v>
      </c>
      <c r="B321" t="s">
        <v>32</v>
      </c>
      <c r="C321">
        <v>3</v>
      </c>
      <c r="D321" t="s">
        <v>10</v>
      </c>
      <c r="E321">
        <v>2</v>
      </c>
      <c r="F321" t="s">
        <v>60</v>
      </c>
      <c r="G321" t="s">
        <v>32</v>
      </c>
      <c r="H321" t="s">
        <v>10</v>
      </c>
      <c r="I321">
        <v>3</v>
      </c>
      <c r="J321">
        <v>2</v>
      </c>
    </row>
    <row r="322" spans="1:10" x14ac:dyDescent="0.2">
      <c r="A322" s="1" t="s">
        <v>219</v>
      </c>
      <c r="B322" t="s">
        <v>15</v>
      </c>
      <c r="C322">
        <v>3</v>
      </c>
      <c r="D322" t="s">
        <v>12</v>
      </c>
      <c r="E322">
        <v>6</v>
      </c>
      <c r="F322" t="s">
        <v>60</v>
      </c>
      <c r="G322" t="s">
        <v>12</v>
      </c>
      <c r="H322" t="s">
        <v>15</v>
      </c>
      <c r="I322">
        <v>6</v>
      </c>
      <c r="J322">
        <v>3</v>
      </c>
    </row>
    <row r="323" spans="1:10" x14ac:dyDescent="0.2">
      <c r="A323" s="1" t="s">
        <v>219</v>
      </c>
      <c r="B323" t="s">
        <v>30</v>
      </c>
      <c r="C323">
        <v>5</v>
      </c>
      <c r="D323" t="s">
        <v>26</v>
      </c>
      <c r="E323">
        <v>0</v>
      </c>
      <c r="F323" t="s">
        <v>60</v>
      </c>
      <c r="G323" t="s">
        <v>30</v>
      </c>
      <c r="H323" t="s">
        <v>26</v>
      </c>
      <c r="I323">
        <v>5</v>
      </c>
      <c r="J323">
        <v>0</v>
      </c>
    </row>
    <row r="324" spans="1:10" x14ac:dyDescent="0.2">
      <c r="A324" s="1" t="s">
        <v>219</v>
      </c>
      <c r="B324" t="s">
        <v>24</v>
      </c>
      <c r="C324">
        <v>0</v>
      </c>
      <c r="D324" t="s">
        <v>11</v>
      </c>
      <c r="E324">
        <v>1</v>
      </c>
      <c r="F324" t="s">
        <v>60</v>
      </c>
      <c r="G324" t="s">
        <v>11</v>
      </c>
      <c r="H324" t="s">
        <v>24</v>
      </c>
      <c r="I324">
        <v>1</v>
      </c>
      <c r="J324">
        <v>0</v>
      </c>
    </row>
    <row r="325" spans="1:10" x14ac:dyDescent="0.2">
      <c r="A325" s="1" t="s">
        <v>219</v>
      </c>
      <c r="B325" t="s">
        <v>22</v>
      </c>
      <c r="C325">
        <v>8</v>
      </c>
      <c r="D325" t="s">
        <v>18</v>
      </c>
      <c r="E325">
        <v>4</v>
      </c>
      <c r="F325" t="s">
        <v>60</v>
      </c>
      <c r="G325" t="s">
        <v>22</v>
      </c>
      <c r="H325" t="s">
        <v>18</v>
      </c>
      <c r="I325">
        <v>8</v>
      </c>
      <c r="J325">
        <v>4</v>
      </c>
    </row>
    <row r="326" spans="1:10" x14ac:dyDescent="0.2">
      <c r="A326" s="1" t="s">
        <v>219</v>
      </c>
      <c r="B326" t="s">
        <v>35</v>
      </c>
      <c r="C326">
        <v>2</v>
      </c>
      <c r="D326" t="s">
        <v>27</v>
      </c>
      <c r="E326">
        <v>3</v>
      </c>
      <c r="F326" t="s">
        <v>62</v>
      </c>
      <c r="G326" t="s">
        <v>27</v>
      </c>
      <c r="H326" t="s">
        <v>35</v>
      </c>
      <c r="I326">
        <v>3</v>
      </c>
      <c r="J326">
        <v>2</v>
      </c>
    </row>
    <row r="327" spans="1:10" x14ac:dyDescent="0.2">
      <c r="A327" s="1" t="s">
        <v>219</v>
      </c>
      <c r="B327" t="s">
        <v>13</v>
      </c>
      <c r="C327">
        <v>3</v>
      </c>
      <c r="D327" t="s">
        <v>33</v>
      </c>
      <c r="E327">
        <v>4</v>
      </c>
      <c r="F327" t="s">
        <v>61</v>
      </c>
      <c r="G327" t="s">
        <v>33</v>
      </c>
      <c r="H327" t="s">
        <v>13</v>
      </c>
      <c r="I327">
        <v>4</v>
      </c>
      <c r="J327">
        <v>3</v>
      </c>
    </row>
    <row r="328" spans="1:10" x14ac:dyDescent="0.2">
      <c r="A328" s="1" t="s">
        <v>219</v>
      </c>
      <c r="B328" t="s">
        <v>17</v>
      </c>
      <c r="C328">
        <v>1</v>
      </c>
      <c r="D328" t="s">
        <v>37</v>
      </c>
      <c r="E328">
        <v>2</v>
      </c>
      <c r="F328" t="s">
        <v>62</v>
      </c>
      <c r="G328" t="s">
        <v>37</v>
      </c>
      <c r="H328" t="s">
        <v>17</v>
      </c>
      <c r="I328">
        <v>2</v>
      </c>
      <c r="J328">
        <v>1</v>
      </c>
    </row>
    <row r="329" spans="1:10" x14ac:dyDescent="0.2">
      <c r="A329" s="1" t="s">
        <v>219</v>
      </c>
      <c r="B329" t="s">
        <v>28</v>
      </c>
      <c r="C329">
        <v>3</v>
      </c>
      <c r="D329" t="s">
        <v>19</v>
      </c>
      <c r="E329">
        <v>2</v>
      </c>
      <c r="F329" t="s">
        <v>62</v>
      </c>
      <c r="G329" t="s">
        <v>28</v>
      </c>
      <c r="H329" t="s">
        <v>19</v>
      </c>
      <c r="I329">
        <v>3</v>
      </c>
      <c r="J329">
        <v>2</v>
      </c>
    </row>
    <row r="330" spans="1:10" x14ac:dyDescent="0.2">
      <c r="A330" s="1" t="s">
        <v>219</v>
      </c>
      <c r="B330" t="s">
        <v>20</v>
      </c>
      <c r="C330">
        <v>4</v>
      </c>
      <c r="D330" t="s">
        <v>55</v>
      </c>
      <c r="E330">
        <v>1</v>
      </c>
      <c r="F330" t="s">
        <v>60</v>
      </c>
      <c r="G330" t="s">
        <v>20</v>
      </c>
      <c r="H330" t="s">
        <v>55</v>
      </c>
      <c r="I330">
        <v>4</v>
      </c>
      <c r="J330">
        <v>1</v>
      </c>
    </row>
    <row r="331" spans="1:10" x14ac:dyDescent="0.2">
      <c r="A331" s="1" t="s">
        <v>219</v>
      </c>
      <c r="B331" t="s">
        <v>39</v>
      </c>
      <c r="C331">
        <v>4</v>
      </c>
      <c r="D331" t="s">
        <v>38</v>
      </c>
      <c r="E331">
        <v>2</v>
      </c>
      <c r="F331" t="s">
        <v>60</v>
      </c>
      <c r="G331" t="s">
        <v>39</v>
      </c>
      <c r="H331" t="s">
        <v>38</v>
      </c>
      <c r="I331">
        <v>4</v>
      </c>
      <c r="J331">
        <v>2</v>
      </c>
    </row>
    <row r="332" spans="1:10" x14ac:dyDescent="0.2">
      <c r="A332" s="1" t="s">
        <v>220</v>
      </c>
      <c r="B332" t="s">
        <v>10</v>
      </c>
      <c r="C332">
        <v>3</v>
      </c>
      <c r="D332" t="s">
        <v>23</v>
      </c>
      <c r="E332">
        <v>9</v>
      </c>
      <c r="F332" t="s">
        <v>60</v>
      </c>
      <c r="G332" t="s">
        <v>23</v>
      </c>
      <c r="H332" t="s">
        <v>10</v>
      </c>
      <c r="I332">
        <v>9</v>
      </c>
      <c r="J332">
        <v>3</v>
      </c>
    </row>
    <row r="333" spans="1:10" x14ac:dyDescent="0.2">
      <c r="A333" s="1" t="s">
        <v>220</v>
      </c>
      <c r="B333" t="s">
        <v>21</v>
      </c>
      <c r="C333">
        <v>2</v>
      </c>
      <c r="D333" t="s">
        <v>13</v>
      </c>
      <c r="E333">
        <v>1</v>
      </c>
      <c r="F333" t="s">
        <v>62</v>
      </c>
      <c r="G333" t="s">
        <v>21</v>
      </c>
      <c r="H333" t="s">
        <v>13</v>
      </c>
      <c r="I333">
        <v>2</v>
      </c>
      <c r="J333">
        <v>1</v>
      </c>
    </row>
    <row r="334" spans="1:10" x14ac:dyDescent="0.2">
      <c r="A334" s="1" t="s">
        <v>220</v>
      </c>
      <c r="B334" t="s">
        <v>34</v>
      </c>
      <c r="C334">
        <v>5</v>
      </c>
      <c r="D334" t="s">
        <v>14</v>
      </c>
      <c r="E334">
        <v>0</v>
      </c>
      <c r="F334" t="s">
        <v>60</v>
      </c>
      <c r="G334" t="s">
        <v>34</v>
      </c>
      <c r="H334" t="s">
        <v>14</v>
      </c>
      <c r="I334">
        <v>5</v>
      </c>
      <c r="J334">
        <v>0</v>
      </c>
    </row>
    <row r="335" spans="1:10" x14ac:dyDescent="0.2">
      <c r="A335" s="1" t="s">
        <v>220</v>
      </c>
      <c r="B335" t="s">
        <v>25</v>
      </c>
      <c r="C335">
        <v>4</v>
      </c>
      <c r="D335" t="s">
        <v>40</v>
      </c>
      <c r="E335">
        <v>3</v>
      </c>
      <c r="F335" t="s">
        <v>60</v>
      </c>
      <c r="G335" t="s">
        <v>25</v>
      </c>
      <c r="H335" t="s">
        <v>40</v>
      </c>
      <c r="I335">
        <v>4</v>
      </c>
      <c r="J335">
        <v>3</v>
      </c>
    </row>
    <row r="336" spans="1:10" x14ac:dyDescent="0.2">
      <c r="A336" s="1" t="s">
        <v>221</v>
      </c>
      <c r="B336" t="s">
        <v>20</v>
      </c>
      <c r="C336">
        <v>3</v>
      </c>
      <c r="D336" t="s">
        <v>31</v>
      </c>
      <c r="E336">
        <v>4</v>
      </c>
      <c r="F336" t="s">
        <v>62</v>
      </c>
      <c r="G336" t="s">
        <v>31</v>
      </c>
      <c r="H336" t="s">
        <v>20</v>
      </c>
      <c r="I336">
        <v>4</v>
      </c>
      <c r="J336">
        <v>3</v>
      </c>
    </row>
    <row r="337" spans="1:10" x14ac:dyDescent="0.2">
      <c r="A337" s="1" t="s">
        <v>221</v>
      </c>
      <c r="B337" t="s">
        <v>39</v>
      </c>
      <c r="C337">
        <v>2</v>
      </c>
      <c r="D337" t="s">
        <v>16</v>
      </c>
      <c r="E337">
        <v>3</v>
      </c>
      <c r="F337" t="s">
        <v>61</v>
      </c>
      <c r="G337" t="s">
        <v>16</v>
      </c>
      <c r="H337" t="s">
        <v>39</v>
      </c>
      <c r="I337">
        <v>3</v>
      </c>
      <c r="J337">
        <v>2</v>
      </c>
    </row>
    <row r="338" spans="1:10" x14ac:dyDescent="0.2">
      <c r="A338" s="1" t="s">
        <v>221</v>
      </c>
      <c r="B338" t="s">
        <v>28</v>
      </c>
      <c r="C338">
        <v>3</v>
      </c>
      <c r="D338" t="s">
        <v>26</v>
      </c>
      <c r="E338">
        <v>4</v>
      </c>
      <c r="F338" t="s">
        <v>62</v>
      </c>
      <c r="G338" t="s">
        <v>26</v>
      </c>
      <c r="H338" t="s">
        <v>28</v>
      </c>
      <c r="I338">
        <v>4</v>
      </c>
      <c r="J338">
        <v>3</v>
      </c>
    </row>
    <row r="339" spans="1:10" x14ac:dyDescent="0.2">
      <c r="A339" s="1" t="s">
        <v>221</v>
      </c>
      <c r="B339" t="s">
        <v>17</v>
      </c>
      <c r="C339">
        <v>6</v>
      </c>
      <c r="D339" t="s">
        <v>11</v>
      </c>
      <c r="E339">
        <v>3</v>
      </c>
      <c r="F339" t="s">
        <v>60</v>
      </c>
      <c r="G339" t="s">
        <v>17</v>
      </c>
      <c r="H339" t="s">
        <v>11</v>
      </c>
      <c r="I339">
        <v>6</v>
      </c>
      <c r="J339">
        <v>3</v>
      </c>
    </row>
    <row r="340" spans="1:10" x14ac:dyDescent="0.2">
      <c r="A340" s="1" t="s">
        <v>221</v>
      </c>
      <c r="B340" t="s">
        <v>19</v>
      </c>
      <c r="C340">
        <v>2</v>
      </c>
      <c r="D340" t="s">
        <v>18</v>
      </c>
      <c r="E340">
        <v>5</v>
      </c>
      <c r="F340" t="s">
        <v>60</v>
      </c>
      <c r="G340" t="s">
        <v>18</v>
      </c>
      <c r="H340" t="s">
        <v>19</v>
      </c>
      <c r="I340">
        <v>5</v>
      </c>
      <c r="J340">
        <v>2</v>
      </c>
    </row>
    <row r="341" spans="1:10" x14ac:dyDescent="0.2">
      <c r="A341" s="1" t="s">
        <v>221</v>
      </c>
      <c r="B341" t="s">
        <v>12</v>
      </c>
      <c r="C341">
        <v>3</v>
      </c>
      <c r="D341" t="s">
        <v>29</v>
      </c>
      <c r="E341">
        <v>0</v>
      </c>
      <c r="F341" t="s">
        <v>60</v>
      </c>
      <c r="G341" t="s">
        <v>12</v>
      </c>
      <c r="H341" t="s">
        <v>29</v>
      </c>
      <c r="I341">
        <v>3</v>
      </c>
      <c r="J341">
        <v>0</v>
      </c>
    </row>
    <row r="342" spans="1:10" x14ac:dyDescent="0.2">
      <c r="A342" s="1" t="s">
        <v>221</v>
      </c>
      <c r="B342" t="s">
        <v>35</v>
      </c>
      <c r="C342">
        <v>2</v>
      </c>
      <c r="D342" t="s">
        <v>30</v>
      </c>
      <c r="E342">
        <v>1</v>
      </c>
      <c r="F342" t="s">
        <v>60</v>
      </c>
      <c r="G342" t="s">
        <v>35</v>
      </c>
      <c r="H342" t="s">
        <v>30</v>
      </c>
      <c r="I342">
        <v>2</v>
      </c>
      <c r="J342">
        <v>1</v>
      </c>
    </row>
    <row r="343" spans="1:10" x14ac:dyDescent="0.2">
      <c r="A343" s="1" t="s">
        <v>221</v>
      </c>
      <c r="B343" t="s">
        <v>24</v>
      </c>
      <c r="C343">
        <v>3</v>
      </c>
      <c r="D343" t="s">
        <v>27</v>
      </c>
      <c r="E343">
        <v>6</v>
      </c>
      <c r="F343" t="s">
        <v>60</v>
      </c>
      <c r="G343" t="s">
        <v>27</v>
      </c>
      <c r="H343" t="s">
        <v>24</v>
      </c>
      <c r="I343">
        <v>6</v>
      </c>
      <c r="J343">
        <v>3</v>
      </c>
    </row>
    <row r="344" spans="1:10" x14ac:dyDescent="0.2">
      <c r="A344" s="1" t="s">
        <v>221</v>
      </c>
      <c r="B344" t="s">
        <v>32</v>
      </c>
      <c r="C344">
        <v>3</v>
      </c>
      <c r="D344" t="s">
        <v>14</v>
      </c>
      <c r="E344">
        <v>2</v>
      </c>
      <c r="F344" t="s">
        <v>62</v>
      </c>
      <c r="G344" t="s">
        <v>32</v>
      </c>
      <c r="H344" t="s">
        <v>14</v>
      </c>
      <c r="I344">
        <v>3</v>
      </c>
      <c r="J344">
        <v>2</v>
      </c>
    </row>
    <row r="345" spans="1:10" x14ac:dyDescent="0.2">
      <c r="A345" s="1" t="s">
        <v>221</v>
      </c>
      <c r="B345" t="s">
        <v>36</v>
      </c>
      <c r="C345">
        <v>3</v>
      </c>
      <c r="D345" t="s">
        <v>33</v>
      </c>
      <c r="E345">
        <v>2</v>
      </c>
      <c r="F345" t="s">
        <v>60</v>
      </c>
      <c r="G345" t="s">
        <v>36</v>
      </c>
      <c r="H345" t="s">
        <v>33</v>
      </c>
      <c r="I345">
        <v>3</v>
      </c>
      <c r="J345">
        <v>2</v>
      </c>
    </row>
    <row r="346" spans="1:10" x14ac:dyDescent="0.2">
      <c r="A346" s="1" t="s">
        <v>221</v>
      </c>
      <c r="B346" t="s">
        <v>15</v>
      </c>
      <c r="C346">
        <v>2</v>
      </c>
      <c r="D346" t="s">
        <v>55</v>
      </c>
      <c r="E346">
        <v>3</v>
      </c>
      <c r="F346" t="s">
        <v>60</v>
      </c>
      <c r="G346" t="s">
        <v>55</v>
      </c>
      <c r="H346" t="s">
        <v>15</v>
      </c>
      <c r="I346">
        <v>3</v>
      </c>
      <c r="J346">
        <v>2</v>
      </c>
    </row>
    <row r="347" spans="1:10" x14ac:dyDescent="0.2">
      <c r="A347" s="1" t="s">
        <v>221</v>
      </c>
      <c r="B347" t="s">
        <v>37</v>
      </c>
      <c r="C347">
        <v>5</v>
      </c>
      <c r="D347" t="s">
        <v>22</v>
      </c>
      <c r="E347">
        <v>3</v>
      </c>
      <c r="F347" t="s">
        <v>60</v>
      </c>
      <c r="G347" t="s">
        <v>37</v>
      </c>
      <c r="H347" t="s">
        <v>22</v>
      </c>
      <c r="I347">
        <v>5</v>
      </c>
      <c r="J347">
        <v>3</v>
      </c>
    </row>
    <row r="348" spans="1:10" x14ac:dyDescent="0.2">
      <c r="A348" s="1" t="s">
        <v>222</v>
      </c>
      <c r="B348" t="s">
        <v>25</v>
      </c>
      <c r="C348">
        <v>1</v>
      </c>
      <c r="D348" t="s">
        <v>23</v>
      </c>
      <c r="E348">
        <v>4</v>
      </c>
      <c r="F348" t="s">
        <v>60</v>
      </c>
      <c r="G348" t="s">
        <v>23</v>
      </c>
      <c r="H348" t="s">
        <v>25</v>
      </c>
      <c r="I348">
        <v>4</v>
      </c>
      <c r="J348">
        <v>1</v>
      </c>
    </row>
    <row r="349" spans="1:10" x14ac:dyDescent="0.2">
      <c r="A349" s="1" t="s">
        <v>222</v>
      </c>
      <c r="B349" t="s">
        <v>12</v>
      </c>
      <c r="C349">
        <v>1</v>
      </c>
      <c r="D349" t="s">
        <v>10</v>
      </c>
      <c r="E349">
        <v>0</v>
      </c>
      <c r="F349" t="s">
        <v>60</v>
      </c>
      <c r="G349" t="s">
        <v>12</v>
      </c>
      <c r="H349" t="s">
        <v>10</v>
      </c>
      <c r="I349">
        <v>1</v>
      </c>
      <c r="J349">
        <v>0</v>
      </c>
    </row>
    <row r="350" spans="1:10" x14ac:dyDescent="0.2">
      <c r="A350" s="1" t="s">
        <v>222</v>
      </c>
      <c r="B350" t="s">
        <v>32</v>
      </c>
      <c r="C350">
        <v>0</v>
      </c>
      <c r="D350" t="s">
        <v>30</v>
      </c>
      <c r="E350">
        <v>1</v>
      </c>
      <c r="F350" t="s">
        <v>61</v>
      </c>
      <c r="G350" t="s">
        <v>30</v>
      </c>
      <c r="H350" t="s">
        <v>32</v>
      </c>
      <c r="I350">
        <v>1</v>
      </c>
      <c r="J350">
        <v>0</v>
      </c>
    </row>
    <row r="351" spans="1:10" x14ac:dyDescent="0.2">
      <c r="A351" s="1" t="s">
        <v>222</v>
      </c>
      <c r="B351" t="s">
        <v>21</v>
      </c>
      <c r="C351">
        <v>1</v>
      </c>
      <c r="D351" t="s">
        <v>33</v>
      </c>
      <c r="E351">
        <v>3</v>
      </c>
      <c r="F351" t="s">
        <v>60</v>
      </c>
      <c r="G351" t="s">
        <v>33</v>
      </c>
      <c r="H351" t="s">
        <v>21</v>
      </c>
      <c r="I351">
        <v>3</v>
      </c>
      <c r="J351">
        <v>1</v>
      </c>
    </row>
    <row r="352" spans="1:10" x14ac:dyDescent="0.2">
      <c r="A352" s="1" t="s">
        <v>222</v>
      </c>
      <c r="B352" t="s">
        <v>16</v>
      </c>
      <c r="C352">
        <v>5</v>
      </c>
      <c r="D352" t="s">
        <v>38</v>
      </c>
      <c r="E352">
        <v>2</v>
      </c>
      <c r="F352" t="s">
        <v>60</v>
      </c>
      <c r="G352" t="s">
        <v>16</v>
      </c>
      <c r="H352" t="s">
        <v>38</v>
      </c>
      <c r="I352">
        <v>5</v>
      </c>
      <c r="J352">
        <v>2</v>
      </c>
    </row>
    <row r="353" spans="1:10" x14ac:dyDescent="0.2">
      <c r="A353" s="1" t="s">
        <v>222</v>
      </c>
      <c r="B353" t="s">
        <v>34</v>
      </c>
      <c r="C353">
        <v>3</v>
      </c>
      <c r="D353" t="s">
        <v>40</v>
      </c>
      <c r="E353">
        <v>0</v>
      </c>
      <c r="F353" t="s">
        <v>60</v>
      </c>
      <c r="G353" t="s">
        <v>34</v>
      </c>
      <c r="H353" t="s">
        <v>40</v>
      </c>
      <c r="I353">
        <v>3</v>
      </c>
      <c r="J353">
        <v>0</v>
      </c>
    </row>
    <row r="354" spans="1:10" x14ac:dyDescent="0.2">
      <c r="A354" s="1" t="s">
        <v>223</v>
      </c>
      <c r="B354" t="s">
        <v>36</v>
      </c>
      <c r="C354">
        <v>1</v>
      </c>
      <c r="D354" t="s">
        <v>13</v>
      </c>
      <c r="E354">
        <v>2</v>
      </c>
      <c r="F354" t="s">
        <v>60</v>
      </c>
      <c r="G354" t="s">
        <v>13</v>
      </c>
      <c r="H354" t="s">
        <v>36</v>
      </c>
      <c r="I354">
        <v>2</v>
      </c>
      <c r="J354">
        <v>1</v>
      </c>
    </row>
    <row r="355" spans="1:10" x14ac:dyDescent="0.2">
      <c r="A355" s="1" t="s">
        <v>223</v>
      </c>
      <c r="B355" t="s">
        <v>26</v>
      </c>
      <c r="C355">
        <v>3</v>
      </c>
      <c r="D355" t="s">
        <v>24</v>
      </c>
      <c r="E355">
        <v>4</v>
      </c>
      <c r="F355" t="s">
        <v>60</v>
      </c>
      <c r="G355" t="s">
        <v>24</v>
      </c>
      <c r="H355" t="s">
        <v>26</v>
      </c>
      <c r="I355">
        <v>4</v>
      </c>
      <c r="J355">
        <v>3</v>
      </c>
    </row>
    <row r="356" spans="1:10" x14ac:dyDescent="0.2">
      <c r="A356" s="1" t="s">
        <v>223</v>
      </c>
      <c r="B356" t="s">
        <v>11</v>
      </c>
      <c r="C356">
        <v>8</v>
      </c>
      <c r="D356" t="s">
        <v>29</v>
      </c>
      <c r="E356">
        <v>3</v>
      </c>
      <c r="F356" t="s">
        <v>60</v>
      </c>
      <c r="G356" t="s">
        <v>11</v>
      </c>
      <c r="H356" t="s">
        <v>29</v>
      </c>
      <c r="I356">
        <v>8</v>
      </c>
      <c r="J356">
        <v>3</v>
      </c>
    </row>
    <row r="357" spans="1:10" x14ac:dyDescent="0.2">
      <c r="A357" s="1" t="s">
        <v>223</v>
      </c>
      <c r="B357" t="s">
        <v>35</v>
      </c>
      <c r="C357">
        <v>2</v>
      </c>
      <c r="D357" t="s">
        <v>15</v>
      </c>
      <c r="E357">
        <v>3</v>
      </c>
      <c r="F357" t="s">
        <v>60</v>
      </c>
      <c r="G357" t="s">
        <v>15</v>
      </c>
      <c r="H357" t="s">
        <v>35</v>
      </c>
      <c r="I357">
        <v>3</v>
      </c>
      <c r="J357">
        <v>2</v>
      </c>
    </row>
    <row r="358" spans="1:10" x14ac:dyDescent="0.2">
      <c r="A358" s="1" t="s">
        <v>223</v>
      </c>
      <c r="B358" t="s">
        <v>27</v>
      </c>
      <c r="C358">
        <v>0</v>
      </c>
      <c r="D358" t="s">
        <v>37</v>
      </c>
      <c r="E358">
        <v>3</v>
      </c>
      <c r="F358" t="s">
        <v>60</v>
      </c>
      <c r="G358" t="s">
        <v>37</v>
      </c>
      <c r="H358" t="s">
        <v>27</v>
      </c>
      <c r="I358">
        <v>3</v>
      </c>
      <c r="J358">
        <v>0</v>
      </c>
    </row>
    <row r="359" spans="1:10" x14ac:dyDescent="0.2">
      <c r="A359" s="1" t="s">
        <v>223</v>
      </c>
      <c r="B359" t="s">
        <v>20</v>
      </c>
      <c r="C359">
        <v>1</v>
      </c>
      <c r="D359" t="s">
        <v>55</v>
      </c>
      <c r="E359">
        <v>5</v>
      </c>
      <c r="F359" t="s">
        <v>60</v>
      </c>
      <c r="G359" t="s">
        <v>55</v>
      </c>
      <c r="H359" t="s">
        <v>20</v>
      </c>
      <c r="I359">
        <v>5</v>
      </c>
      <c r="J359">
        <v>1</v>
      </c>
    </row>
    <row r="360" spans="1:10" x14ac:dyDescent="0.2">
      <c r="A360" s="1" t="s">
        <v>223</v>
      </c>
      <c r="B360" t="s">
        <v>28</v>
      </c>
      <c r="C360">
        <v>1</v>
      </c>
      <c r="D360" t="s">
        <v>22</v>
      </c>
      <c r="E360">
        <v>5</v>
      </c>
      <c r="F360" t="s">
        <v>60</v>
      </c>
      <c r="G360" t="s">
        <v>22</v>
      </c>
      <c r="H360" t="s">
        <v>28</v>
      </c>
      <c r="I360">
        <v>5</v>
      </c>
      <c r="J360">
        <v>1</v>
      </c>
    </row>
    <row r="361" spans="1:10" x14ac:dyDescent="0.2">
      <c r="A361" s="1" t="s">
        <v>224</v>
      </c>
      <c r="B361" t="s">
        <v>39</v>
      </c>
      <c r="C361">
        <v>8</v>
      </c>
      <c r="D361" t="s">
        <v>17</v>
      </c>
      <c r="E361">
        <v>3</v>
      </c>
      <c r="F361" t="s">
        <v>60</v>
      </c>
      <c r="G361" t="s">
        <v>39</v>
      </c>
      <c r="H361" t="s">
        <v>17</v>
      </c>
      <c r="I361">
        <v>8</v>
      </c>
      <c r="J361">
        <v>3</v>
      </c>
    </row>
    <row r="362" spans="1:10" x14ac:dyDescent="0.2">
      <c r="A362" s="1" t="s">
        <v>225</v>
      </c>
      <c r="B362" t="s">
        <v>38</v>
      </c>
      <c r="C362">
        <v>5</v>
      </c>
      <c r="D362" t="s">
        <v>31</v>
      </c>
      <c r="E362">
        <v>4</v>
      </c>
      <c r="F362" t="s">
        <v>60</v>
      </c>
      <c r="G362" t="s">
        <v>38</v>
      </c>
      <c r="H362" t="s">
        <v>31</v>
      </c>
      <c r="I362">
        <v>5</v>
      </c>
      <c r="J362">
        <v>4</v>
      </c>
    </row>
    <row r="363" spans="1:10" x14ac:dyDescent="0.2">
      <c r="A363" s="1" t="s">
        <v>225</v>
      </c>
      <c r="B363" t="s">
        <v>15</v>
      </c>
      <c r="C363">
        <v>4</v>
      </c>
      <c r="D363" t="s">
        <v>25</v>
      </c>
      <c r="E363">
        <v>2</v>
      </c>
      <c r="F363" t="s">
        <v>60</v>
      </c>
      <c r="G363" t="s">
        <v>15</v>
      </c>
      <c r="H363" t="s">
        <v>25</v>
      </c>
      <c r="I363">
        <v>4</v>
      </c>
      <c r="J363">
        <v>2</v>
      </c>
    </row>
    <row r="364" spans="1:10" x14ac:dyDescent="0.2">
      <c r="A364" s="1" t="s">
        <v>225</v>
      </c>
      <c r="B364" t="s">
        <v>19</v>
      </c>
      <c r="C364">
        <v>2</v>
      </c>
      <c r="D364" t="s">
        <v>28</v>
      </c>
      <c r="E364">
        <v>1</v>
      </c>
      <c r="F364" t="s">
        <v>62</v>
      </c>
      <c r="G364" t="s">
        <v>19</v>
      </c>
      <c r="H364" t="s">
        <v>28</v>
      </c>
      <c r="I364">
        <v>2</v>
      </c>
      <c r="J364">
        <v>1</v>
      </c>
    </row>
    <row r="365" spans="1:10" x14ac:dyDescent="0.2">
      <c r="A365" s="1" t="s">
        <v>225</v>
      </c>
      <c r="B365" t="s">
        <v>34</v>
      </c>
      <c r="C365">
        <v>4</v>
      </c>
      <c r="D365" t="s">
        <v>10</v>
      </c>
      <c r="E365">
        <v>3</v>
      </c>
      <c r="F365" t="s">
        <v>62</v>
      </c>
      <c r="G365" t="s">
        <v>34</v>
      </c>
      <c r="H365" t="s">
        <v>10</v>
      </c>
      <c r="I365">
        <v>4</v>
      </c>
      <c r="J365">
        <v>3</v>
      </c>
    </row>
    <row r="366" spans="1:10" x14ac:dyDescent="0.2">
      <c r="A366" s="1" t="s">
        <v>225</v>
      </c>
      <c r="B366" t="s">
        <v>33</v>
      </c>
      <c r="C366">
        <v>0</v>
      </c>
      <c r="D366" t="s">
        <v>12</v>
      </c>
      <c r="E366">
        <v>6</v>
      </c>
      <c r="F366" t="s">
        <v>60</v>
      </c>
      <c r="G366" t="s">
        <v>12</v>
      </c>
      <c r="H366" t="s">
        <v>33</v>
      </c>
      <c r="I366">
        <v>6</v>
      </c>
      <c r="J366">
        <v>0</v>
      </c>
    </row>
    <row r="367" spans="1:10" x14ac:dyDescent="0.2">
      <c r="A367" s="1" t="s">
        <v>225</v>
      </c>
      <c r="B367" t="s">
        <v>29</v>
      </c>
      <c r="C367">
        <v>6</v>
      </c>
      <c r="D367" t="s">
        <v>26</v>
      </c>
      <c r="E367">
        <v>3</v>
      </c>
      <c r="F367" t="s">
        <v>60</v>
      </c>
      <c r="G367" t="s">
        <v>29</v>
      </c>
      <c r="H367" t="s">
        <v>26</v>
      </c>
      <c r="I367">
        <v>6</v>
      </c>
      <c r="J367">
        <v>3</v>
      </c>
    </row>
    <row r="368" spans="1:10" x14ac:dyDescent="0.2">
      <c r="A368" s="1" t="s">
        <v>225</v>
      </c>
      <c r="B368" t="s">
        <v>27</v>
      </c>
      <c r="C368">
        <v>4</v>
      </c>
      <c r="D368" t="s">
        <v>11</v>
      </c>
      <c r="E368">
        <v>2</v>
      </c>
      <c r="F368" t="s">
        <v>60</v>
      </c>
      <c r="G368" t="s">
        <v>27</v>
      </c>
      <c r="H368" t="s">
        <v>11</v>
      </c>
      <c r="I368">
        <v>4</v>
      </c>
      <c r="J368">
        <v>2</v>
      </c>
    </row>
    <row r="369" spans="1:10" x14ac:dyDescent="0.2">
      <c r="A369" s="1" t="s">
        <v>225</v>
      </c>
      <c r="B369" t="s">
        <v>35</v>
      </c>
      <c r="C369">
        <v>2</v>
      </c>
      <c r="D369" t="s">
        <v>24</v>
      </c>
      <c r="E369">
        <v>3</v>
      </c>
      <c r="F369" t="s">
        <v>62</v>
      </c>
      <c r="G369" t="s">
        <v>24</v>
      </c>
      <c r="H369" t="s">
        <v>35</v>
      </c>
      <c r="I369">
        <v>3</v>
      </c>
      <c r="J369">
        <v>2</v>
      </c>
    </row>
    <row r="370" spans="1:10" x14ac:dyDescent="0.2">
      <c r="A370" s="1" t="s">
        <v>225</v>
      </c>
      <c r="B370" t="s">
        <v>21</v>
      </c>
      <c r="C370">
        <v>3</v>
      </c>
      <c r="D370" t="s">
        <v>30</v>
      </c>
      <c r="E370">
        <v>1</v>
      </c>
      <c r="F370" t="s">
        <v>60</v>
      </c>
      <c r="G370" t="s">
        <v>21</v>
      </c>
      <c r="H370" t="s">
        <v>30</v>
      </c>
      <c r="I370">
        <v>3</v>
      </c>
      <c r="J370">
        <v>1</v>
      </c>
    </row>
    <row r="371" spans="1:10" x14ac:dyDescent="0.2">
      <c r="A371" s="1" t="s">
        <v>225</v>
      </c>
      <c r="B371" t="s">
        <v>23</v>
      </c>
      <c r="C371">
        <v>2</v>
      </c>
      <c r="D371" t="s">
        <v>14</v>
      </c>
      <c r="E371">
        <v>4</v>
      </c>
      <c r="F371" t="s">
        <v>60</v>
      </c>
      <c r="G371" t="s">
        <v>14</v>
      </c>
      <c r="H371" t="s">
        <v>23</v>
      </c>
      <c r="I371">
        <v>4</v>
      </c>
      <c r="J371">
        <v>2</v>
      </c>
    </row>
    <row r="372" spans="1:10" x14ac:dyDescent="0.2">
      <c r="A372" s="1" t="s">
        <v>225</v>
      </c>
      <c r="B372" t="s">
        <v>39</v>
      </c>
      <c r="C372">
        <v>3</v>
      </c>
      <c r="D372" t="s">
        <v>32</v>
      </c>
      <c r="E372">
        <v>2</v>
      </c>
      <c r="F372" t="s">
        <v>60</v>
      </c>
      <c r="G372" t="s">
        <v>39</v>
      </c>
      <c r="H372" t="s">
        <v>32</v>
      </c>
      <c r="I372">
        <v>3</v>
      </c>
      <c r="J372">
        <v>2</v>
      </c>
    </row>
    <row r="373" spans="1:10" x14ac:dyDescent="0.2">
      <c r="A373" s="1" t="s">
        <v>225</v>
      </c>
      <c r="B373" t="s">
        <v>16</v>
      </c>
      <c r="C373">
        <v>1</v>
      </c>
      <c r="D373" t="s">
        <v>37</v>
      </c>
      <c r="E373">
        <v>5</v>
      </c>
      <c r="F373" t="s">
        <v>60</v>
      </c>
      <c r="G373" t="s">
        <v>37</v>
      </c>
      <c r="H373" t="s">
        <v>16</v>
      </c>
      <c r="I373">
        <v>5</v>
      </c>
      <c r="J373">
        <v>1</v>
      </c>
    </row>
    <row r="374" spans="1:10" x14ac:dyDescent="0.2">
      <c r="A374" s="1" t="s">
        <v>225</v>
      </c>
      <c r="B374" t="s">
        <v>18</v>
      </c>
      <c r="C374">
        <v>4</v>
      </c>
      <c r="D374" t="s">
        <v>55</v>
      </c>
      <c r="E374">
        <v>3</v>
      </c>
      <c r="F374" t="s">
        <v>60</v>
      </c>
      <c r="G374" t="s">
        <v>18</v>
      </c>
      <c r="H374" t="s">
        <v>55</v>
      </c>
      <c r="I374">
        <v>4</v>
      </c>
      <c r="J374">
        <v>3</v>
      </c>
    </row>
    <row r="375" spans="1:10" x14ac:dyDescent="0.2">
      <c r="A375" s="1" t="s">
        <v>225</v>
      </c>
      <c r="B375" t="s">
        <v>36</v>
      </c>
      <c r="C375">
        <v>4</v>
      </c>
      <c r="D375" t="s">
        <v>20</v>
      </c>
      <c r="E375">
        <v>3</v>
      </c>
      <c r="F375" t="s">
        <v>61</v>
      </c>
      <c r="G375" t="s">
        <v>36</v>
      </c>
      <c r="H375" t="s">
        <v>20</v>
      </c>
      <c r="I375">
        <v>4</v>
      </c>
      <c r="J375">
        <v>3</v>
      </c>
    </row>
    <row r="376" spans="1:10" x14ac:dyDescent="0.2">
      <c r="A376" s="1" t="s">
        <v>225</v>
      </c>
      <c r="B376" t="s">
        <v>40</v>
      </c>
      <c r="C376">
        <v>3</v>
      </c>
      <c r="D376" t="s">
        <v>22</v>
      </c>
      <c r="E376">
        <v>4</v>
      </c>
      <c r="F376" t="s">
        <v>60</v>
      </c>
      <c r="G376" t="s">
        <v>22</v>
      </c>
      <c r="H376" t="s">
        <v>40</v>
      </c>
      <c r="I376">
        <v>4</v>
      </c>
      <c r="J376">
        <v>3</v>
      </c>
    </row>
    <row r="377" spans="1:10" x14ac:dyDescent="0.2">
      <c r="A377" s="1" t="s">
        <v>226</v>
      </c>
      <c r="B377" t="s">
        <v>13</v>
      </c>
      <c r="C377">
        <v>4</v>
      </c>
      <c r="D377" t="s">
        <v>31</v>
      </c>
      <c r="E377">
        <v>5</v>
      </c>
      <c r="F377" t="s">
        <v>61</v>
      </c>
      <c r="G377" t="s">
        <v>31</v>
      </c>
      <c r="H377" t="s">
        <v>13</v>
      </c>
      <c r="I377">
        <v>5</v>
      </c>
      <c r="J377">
        <v>4</v>
      </c>
    </row>
    <row r="378" spans="1:10" x14ac:dyDescent="0.2">
      <c r="A378" s="1" t="s">
        <v>226</v>
      </c>
      <c r="B378" t="s">
        <v>15</v>
      </c>
      <c r="C378">
        <v>6</v>
      </c>
      <c r="D378" t="s">
        <v>21</v>
      </c>
      <c r="E378">
        <v>2</v>
      </c>
      <c r="F378" t="s">
        <v>60</v>
      </c>
      <c r="G378" t="s">
        <v>15</v>
      </c>
      <c r="H378" t="s">
        <v>21</v>
      </c>
      <c r="I378">
        <v>6</v>
      </c>
      <c r="J378">
        <v>2</v>
      </c>
    </row>
    <row r="379" spans="1:10" x14ac:dyDescent="0.2">
      <c r="A379" s="1" t="s">
        <v>226</v>
      </c>
      <c r="B379" t="s">
        <v>24</v>
      </c>
      <c r="C379">
        <v>5</v>
      </c>
      <c r="D379" t="s">
        <v>23</v>
      </c>
      <c r="E379">
        <v>0</v>
      </c>
      <c r="F379" t="s">
        <v>60</v>
      </c>
      <c r="G379" t="s">
        <v>24</v>
      </c>
      <c r="H379" t="s">
        <v>23</v>
      </c>
      <c r="I379">
        <v>5</v>
      </c>
      <c r="J379">
        <v>0</v>
      </c>
    </row>
    <row r="380" spans="1:10" x14ac:dyDescent="0.2">
      <c r="A380" s="1" t="s">
        <v>226</v>
      </c>
      <c r="B380" t="s">
        <v>40</v>
      </c>
      <c r="C380">
        <v>1</v>
      </c>
      <c r="D380" t="s">
        <v>25</v>
      </c>
      <c r="E380">
        <v>5</v>
      </c>
      <c r="F380" t="s">
        <v>60</v>
      </c>
      <c r="G380" t="s">
        <v>25</v>
      </c>
      <c r="H380" t="s">
        <v>40</v>
      </c>
      <c r="I380">
        <v>5</v>
      </c>
      <c r="J380">
        <v>1</v>
      </c>
    </row>
    <row r="381" spans="1:10" x14ac:dyDescent="0.2">
      <c r="A381" s="1" t="s">
        <v>226</v>
      </c>
      <c r="B381" t="s">
        <v>14</v>
      </c>
      <c r="C381">
        <v>4</v>
      </c>
      <c r="D381" t="s">
        <v>28</v>
      </c>
      <c r="E381">
        <v>3</v>
      </c>
      <c r="F381" t="s">
        <v>62</v>
      </c>
      <c r="G381" t="s">
        <v>14</v>
      </c>
      <c r="H381" t="s">
        <v>28</v>
      </c>
      <c r="I381">
        <v>4</v>
      </c>
      <c r="J381">
        <v>3</v>
      </c>
    </row>
    <row r="382" spans="1:10" x14ac:dyDescent="0.2">
      <c r="A382" s="1" t="s">
        <v>226</v>
      </c>
      <c r="B382" t="s">
        <v>29</v>
      </c>
      <c r="C382">
        <v>4</v>
      </c>
      <c r="D382" t="s">
        <v>10</v>
      </c>
      <c r="E382">
        <v>3</v>
      </c>
      <c r="F382" t="s">
        <v>60</v>
      </c>
      <c r="G382" t="s">
        <v>29</v>
      </c>
      <c r="H382" t="s">
        <v>10</v>
      </c>
      <c r="I382">
        <v>4</v>
      </c>
      <c r="J382">
        <v>3</v>
      </c>
    </row>
    <row r="383" spans="1:10" x14ac:dyDescent="0.2">
      <c r="A383" s="1" t="s">
        <v>226</v>
      </c>
      <c r="B383" t="s">
        <v>55</v>
      </c>
      <c r="C383">
        <v>3</v>
      </c>
      <c r="D383" t="s">
        <v>39</v>
      </c>
      <c r="E383">
        <v>4</v>
      </c>
      <c r="F383" t="s">
        <v>60</v>
      </c>
      <c r="G383" t="s">
        <v>39</v>
      </c>
      <c r="H383" t="s">
        <v>55</v>
      </c>
      <c r="I383">
        <v>4</v>
      </c>
      <c r="J383">
        <v>3</v>
      </c>
    </row>
    <row r="384" spans="1:10" x14ac:dyDescent="0.2">
      <c r="A384" s="1" t="s">
        <v>226</v>
      </c>
      <c r="B384" t="s">
        <v>37</v>
      </c>
      <c r="C384">
        <v>6</v>
      </c>
      <c r="D384" t="s">
        <v>26</v>
      </c>
      <c r="E384">
        <v>3</v>
      </c>
      <c r="F384" t="s">
        <v>60</v>
      </c>
      <c r="G384" t="s">
        <v>37</v>
      </c>
      <c r="H384" t="s">
        <v>26</v>
      </c>
      <c r="I384">
        <v>6</v>
      </c>
      <c r="J384">
        <v>3</v>
      </c>
    </row>
    <row r="385" spans="1:10" x14ac:dyDescent="0.2">
      <c r="A385" s="1" t="s">
        <v>226</v>
      </c>
      <c r="B385" t="s">
        <v>16</v>
      </c>
      <c r="C385">
        <v>5</v>
      </c>
      <c r="D385" t="s">
        <v>11</v>
      </c>
      <c r="E385">
        <v>3</v>
      </c>
      <c r="F385" t="s">
        <v>60</v>
      </c>
      <c r="G385" t="s">
        <v>16</v>
      </c>
      <c r="H385" t="s">
        <v>11</v>
      </c>
      <c r="I385">
        <v>5</v>
      </c>
      <c r="J385">
        <v>3</v>
      </c>
    </row>
    <row r="386" spans="1:10" x14ac:dyDescent="0.2">
      <c r="A386" s="1" t="s">
        <v>226</v>
      </c>
      <c r="B386" t="s">
        <v>12</v>
      </c>
      <c r="C386">
        <v>2</v>
      </c>
      <c r="D386" t="s">
        <v>34</v>
      </c>
      <c r="E386">
        <v>3</v>
      </c>
      <c r="F386" t="s">
        <v>61</v>
      </c>
      <c r="G386" t="s">
        <v>34</v>
      </c>
      <c r="H386" t="s">
        <v>12</v>
      </c>
      <c r="I386">
        <v>3</v>
      </c>
      <c r="J386">
        <v>2</v>
      </c>
    </row>
    <row r="387" spans="1:10" x14ac:dyDescent="0.2">
      <c r="A387" s="1" t="s">
        <v>226</v>
      </c>
      <c r="B387" t="s">
        <v>27</v>
      </c>
      <c r="C387">
        <v>4</v>
      </c>
      <c r="D387" t="s">
        <v>30</v>
      </c>
      <c r="E387">
        <v>3</v>
      </c>
      <c r="F387" t="s">
        <v>61</v>
      </c>
      <c r="G387" t="s">
        <v>27</v>
      </c>
      <c r="H387" t="s">
        <v>30</v>
      </c>
      <c r="I387">
        <v>4</v>
      </c>
      <c r="J387">
        <v>3</v>
      </c>
    </row>
    <row r="388" spans="1:10" x14ac:dyDescent="0.2">
      <c r="A388" s="1" t="s">
        <v>226</v>
      </c>
      <c r="B388" t="s">
        <v>38</v>
      </c>
      <c r="C388">
        <v>2</v>
      </c>
      <c r="D388" t="s">
        <v>33</v>
      </c>
      <c r="E388">
        <v>3</v>
      </c>
      <c r="F388" t="s">
        <v>60</v>
      </c>
      <c r="G388" t="s">
        <v>33</v>
      </c>
      <c r="H388" t="s">
        <v>38</v>
      </c>
      <c r="I388">
        <v>3</v>
      </c>
      <c r="J388">
        <v>2</v>
      </c>
    </row>
    <row r="389" spans="1:10" x14ac:dyDescent="0.2">
      <c r="A389" s="1" t="s">
        <v>226</v>
      </c>
      <c r="B389" t="s">
        <v>36</v>
      </c>
      <c r="C389">
        <v>3</v>
      </c>
      <c r="D389" t="s">
        <v>35</v>
      </c>
      <c r="E389">
        <v>4</v>
      </c>
      <c r="F389" t="s">
        <v>60</v>
      </c>
      <c r="G389" t="s">
        <v>35</v>
      </c>
      <c r="H389" t="s">
        <v>36</v>
      </c>
      <c r="I389">
        <v>4</v>
      </c>
      <c r="J389">
        <v>3</v>
      </c>
    </row>
    <row r="390" spans="1:10" x14ac:dyDescent="0.2">
      <c r="A390" s="1" t="s">
        <v>226</v>
      </c>
      <c r="B390" t="s">
        <v>18</v>
      </c>
      <c r="C390">
        <v>4</v>
      </c>
      <c r="D390" t="s">
        <v>20</v>
      </c>
      <c r="E390">
        <v>1</v>
      </c>
      <c r="F390" t="s">
        <v>60</v>
      </c>
      <c r="G390" t="s">
        <v>18</v>
      </c>
      <c r="H390" t="s">
        <v>20</v>
      </c>
      <c r="I390">
        <v>4</v>
      </c>
      <c r="J390">
        <v>1</v>
      </c>
    </row>
    <row r="391" spans="1:10" x14ac:dyDescent="0.2">
      <c r="A391" s="1" t="s">
        <v>226</v>
      </c>
      <c r="B391" t="s">
        <v>19</v>
      </c>
      <c r="C391">
        <v>2</v>
      </c>
      <c r="D391" t="s">
        <v>22</v>
      </c>
      <c r="E391">
        <v>4</v>
      </c>
      <c r="F391" t="s">
        <v>60</v>
      </c>
      <c r="G391" t="s">
        <v>22</v>
      </c>
      <c r="H391" t="s">
        <v>19</v>
      </c>
      <c r="I391">
        <v>4</v>
      </c>
      <c r="J391">
        <v>2</v>
      </c>
    </row>
    <row r="392" spans="1:10" x14ac:dyDescent="0.2">
      <c r="A392" s="1" t="s">
        <v>227</v>
      </c>
      <c r="B392" t="s">
        <v>26</v>
      </c>
      <c r="C392">
        <v>2</v>
      </c>
      <c r="D392" t="s">
        <v>21</v>
      </c>
      <c r="E392">
        <v>3</v>
      </c>
      <c r="F392" t="s">
        <v>61</v>
      </c>
      <c r="G392" t="s">
        <v>21</v>
      </c>
      <c r="H392" t="s">
        <v>26</v>
      </c>
      <c r="I392">
        <v>3</v>
      </c>
      <c r="J392">
        <v>2</v>
      </c>
    </row>
    <row r="393" spans="1:10" x14ac:dyDescent="0.2">
      <c r="A393" s="1" t="s">
        <v>227</v>
      </c>
      <c r="B393" t="s">
        <v>18</v>
      </c>
      <c r="C393">
        <v>2</v>
      </c>
      <c r="D393" t="s">
        <v>12</v>
      </c>
      <c r="E393">
        <v>7</v>
      </c>
      <c r="F393" t="s">
        <v>60</v>
      </c>
      <c r="G393" t="s">
        <v>12</v>
      </c>
      <c r="H393" t="s">
        <v>18</v>
      </c>
      <c r="I393">
        <v>7</v>
      </c>
      <c r="J393">
        <v>2</v>
      </c>
    </row>
    <row r="394" spans="1:10" x14ac:dyDescent="0.2">
      <c r="A394" s="1" t="s">
        <v>227</v>
      </c>
      <c r="B394" t="s">
        <v>38</v>
      </c>
      <c r="C394">
        <v>1</v>
      </c>
      <c r="D394" t="s">
        <v>13</v>
      </c>
      <c r="E394">
        <v>2</v>
      </c>
      <c r="F394" t="s">
        <v>62</v>
      </c>
      <c r="G394" t="s">
        <v>13</v>
      </c>
      <c r="H394" t="s">
        <v>38</v>
      </c>
      <c r="I394">
        <v>2</v>
      </c>
      <c r="J394">
        <v>1</v>
      </c>
    </row>
    <row r="395" spans="1:10" x14ac:dyDescent="0.2">
      <c r="A395" s="1" t="s">
        <v>227</v>
      </c>
      <c r="B395" t="s">
        <v>23</v>
      </c>
      <c r="C395">
        <v>3</v>
      </c>
      <c r="D395" t="s">
        <v>34</v>
      </c>
      <c r="E395">
        <v>2</v>
      </c>
      <c r="F395" t="s">
        <v>61</v>
      </c>
      <c r="G395" t="s">
        <v>23</v>
      </c>
      <c r="H395" t="s">
        <v>34</v>
      </c>
      <c r="I395">
        <v>3</v>
      </c>
      <c r="J395">
        <v>2</v>
      </c>
    </row>
    <row r="396" spans="1:10" x14ac:dyDescent="0.2">
      <c r="A396" s="1" t="s">
        <v>227</v>
      </c>
      <c r="B396" t="s">
        <v>27</v>
      </c>
      <c r="C396">
        <v>5</v>
      </c>
      <c r="D396" t="s">
        <v>24</v>
      </c>
      <c r="E396">
        <v>3</v>
      </c>
      <c r="F396" t="s">
        <v>60</v>
      </c>
      <c r="G396" t="s">
        <v>27</v>
      </c>
      <c r="H396" t="s">
        <v>24</v>
      </c>
      <c r="I396">
        <v>5</v>
      </c>
      <c r="J396">
        <v>3</v>
      </c>
    </row>
    <row r="397" spans="1:10" x14ac:dyDescent="0.2">
      <c r="A397" s="1" t="s">
        <v>227</v>
      </c>
      <c r="B397" t="s">
        <v>40</v>
      </c>
      <c r="C397">
        <v>5</v>
      </c>
      <c r="D397" t="s">
        <v>29</v>
      </c>
      <c r="E397">
        <v>2</v>
      </c>
      <c r="F397" t="s">
        <v>60</v>
      </c>
      <c r="G397" t="s">
        <v>40</v>
      </c>
      <c r="H397" t="s">
        <v>29</v>
      </c>
      <c r="I397">
        <v>5</v>
      </c>
      <c r="J397">
        <v>2</v>
      </c>
    </row>
    <row r="398" spans="1:10" x14ac:dyDescent="0.2">
      <c r="A398" s="1" t="s">
        <v>227</v>
      </c>
      <c r="B398" t="s">
        <v>37</v>
      </c>
      <c r="C398">
        <v>4</v>
      </c>
      <c r="D398" t="s">
        <v>15</v>
      </c>
      <c r="E398">
        <v>1</v>
      </c>
      <c r="F398" t="s">
        <v>60</v>
      </c>
      <c r="G398" t="s">
        <v>37</v>
      </c>
      <c r="H398" t="s">
        <v>15</v>
      </c>
      <c r="I398">
        <v>4</v>
      </c>
      <c r="J398">
        <v>1</v>
      </c>
    </row>
    <row r="399" spans="1:10" x14ac:dyDescent="0.2">
      <c r="A399" s="1" t="s">
        <v>227</v>
      </c>
      <c r="B399" t="s">
        <v>19</v>
      </c>
      <c r="C399">
        <v>7</v>
      </c>
      <c r="D399" t="s">
        <v>14</v>
      </c>
      <c r="E399">
        <v>2</v>
      </c>
      <c r="F399" t="s">
        <v>60</v>
      </c>
      <c r="G399" t="s">
        <v>19</v>
      </c>
      <c r="H399" t="s">
        <v>14</v>
      </c>
      <c r="I399">
        <v>7</v>
      </c>
      <c r="J399">
        <v>2</v>
      </c>
    </row>
    <row r="400" spans="1:10" x14ac:dyDescent="0.2">
      <c r="A400" s="1" t="s">
        <v>227</v>
      </c>
      <c r="B400" t="s">
        <v>17</v>
      </c>
      <c r="C400">
        <v>4</v>
      </c>
      <c r="D400" t="s">
        <v>32</v>
      </c>
      <c r="E400">
        <v>0</v>
      </c>
      <c r="F400" t="s">
        <v>60</v>
      </c>
      <c r="G400" t="s">
        <v>17</v>
      </c>
      <c r="H400" t="s">
        <v>32</v>
      </c>
      <c r="I400">
        <v>4</v>
      </c>
      <c r="J400">
        <v>0</v>
      </c>
    </row>
    <row r="401" spans="1:10" x14ac:dyDescent="0.2">
      <c r="A401" s="1" t="s">
        <v>227</v>
      </c>
      <c r="B401" t="s">
        <v>55</v>
      </c>
      <c r="C401">
        <v>0</v>
      </c>
      <c r="D401" t="s">
        <v>35</v>
      </c>
      <c r="E401">
        <v>1</v>
      </c>
      <c r="F401" t="s">
        <v>60</v>
      </c>
      <c r="G401" t="s">
        <v>35</v>
      </c>
      <c r="H401" t="s">
        <v>55</v>
      </c>
      <c r="I401">
        <v>1</v>
      </c>
      <c r="J401">
        <v>0</v>
      </c>
    </row>
    <row r="402" spans="1:10" x14ac:dyDescent="0.2">
      <c r="A402" s="1" t="s">
        <v>227</v>
      </c>
      <c r="B402" t="s">
        <v>33</v>
      </c>
      <c r="C402">
        <v>3</v>
      </c>
      <c r="D402" t="s">
        <v>20</v>
      </c>
      <c r="E402">
        <v>4</v>
      </c>
      <c r="F402" t="s">
        <v>60</v>
      </c>
      <c r="G402" t="s">
        <v>20</v>
      </c>
      <c r="H402" t="s">
        <v>33</v>
      </c>
      <c r="I402">
        <v>4</v>
      </c>
      <c r="J402">
        <v>3</v>
      </c>
    </row>
    <row r="403" spans="1:10" x14ac:dyDescent="0.2">
      <c r="A403" s="1" t="s">
        <v>228</v>
      </c>
      <c r="B403" t="s">
        <v>16</v>
      </c>
      <c r="C403">
        <v>0</v>
      </c>
      <c r="D403" t="s">
        <v>25</v>
      </c>
      <c r="E403">
        <v>1</v>
      </c>
      <c r="F403" t="s">
        <v>62</v>
      </c>
      <c r="G403" t="s">
        <v>25</v>
      </c>
      <c r="H403" t="s">
        <v>16</v>
      </c>
      <c r="I403">
        <v>1</v>
      </c>
      <c r="J403">
        <v>0</v>
      </c>
    </row>
    <row r="404" spans="1:10" x14ac:dyDescent="0.2">
      <c r="A404" s="1" t="s">
        <v>228</v>
      </c>
      <c r="B404" t="s">
        <v>31</v>
      </c>
      <c r="C404">
        <v>3</v>
      </c>
      <c r="D404" t="s">
        <v>10</v>
      </c>
      <c r="E404">
        <v>5</v>
      </c>
      <c r="F404" t="s">
        <v>60</v>
      </c>
      <c r="G404" t="s">
        <v>10</v>
      </c>
      <c r="H404" t="s">
        <v>31</v>
      </c>
      <c r="I404">
        <v>5</v>
      </c>
      <c r="J404">
        <v>3</v>
      </c>
    </row>
    <row r="405" spans="1:10" x14ac:dyDescent="0.2">
      <c r="A405" s="1" t="s">
        <v>228</v>
      </c>
      <c r="B405" t="s">
        <v>36</v>
      </c>
      <c r="C405">
        <v>1</v>
      </c>
      <c r="D405" t="s">
        <v>39</v>
      </c>
      <c r="E405">
        <v>6</v>
      </c>
      <c r="F405" t="s">
        <v>60</v>
      </c>
      <c r="G405" t="s">
        <v>39</v>
      </c>
      <c r="H405" t="s">
        <v>36</v>
      </c>
      <c r="I405">
        <v>6</v>
      </c>
      <c r="J405">
        <v>1</v>
      </c>
    </row>
    <row r="406" spans="1:10" x14ac:dyDescent="0.2">
      <c r="A406" s="1" t="s">
        <v>228</v>
      </c>
      <c r="B406" t="s">
        <v>22</v>
      </c>
      <c r="C406">
        <v>4</v>
      </c>
      <c r="D406" t="s">
        <v>30</v>
      </c>
      <c r="E406">
        <v>1</v>
      </c>
      <c r="F406" t="s">
        <v>60</v>
      </c>
      <c r="G406" t="s">
        <v>22</v>
      </c>
      <c r="H406" t="s">
        <v>30</v>
      </c>
      <c r="I406">
        <v>4</v>
      </c>
      <c r="J406">
        <v>1</v>
      </c>
    </row>
    <row r="407" spans="1:10" x14ac:dyDescent="0.2">
      <c r="A407" s="1" t="s">
        <v>229</v>
      </c>
      <c r="B407" t="s">
        <v>40</v>
      </c>
      <c r="C407">
        <v>1</v>
      </c>
      <c r="D407" t="s">
        <v>23</v>
      </c>
      <c r="E407">
        <v>5</v>
      </c>
      <c r="F407" t="s">
        <v>60</v>
      </c>
      <c r="G407" t="s">
        <v>23</v>
      </c>
      <c r="H407" t="s">
        <v>40</v>
      </c>
      <c r="I407">
        <v>5</v>
      </c>
      <c r="J407">
        <v>1</v>
      </c>
    </row>
    <row r="408" spans="1:10" x14ac:dyDescent="0.2">
      <c r="A408" s="1" t="s">
        <v>229</v>
      </c>
      <c r="B408" t="s">
        <v>28</v>
      </c>
      <c r="C408">
        <v>5</v>
      </c>
      <c r="D408" t="s">
        <v>24</v>
      </c>
      <c r="E408">
        <v>3</v>
      </c>
      <c r="F408" t="s">
        <v>60</v>
      </c>
      <c r="G408" t="s">
        <v>28</v>
      </c>
      <c r="H408" t="s">
        <v>24</v>
      </c>
      <c r="I408">
        <v>5</v>
      </c>
      <c r="J408">
        <v>3</v>
      </c>
    </row>
    <row r="409" spans="1:10" x14ac:dyDescent="0.2">
      <c r="A409" s="1" t="s">
        <v>229</v>
      </c>
      <c r="B409" t="s">
        <v>14</v>
      </c>
      <c r="C409">
        <v>5</v>
      </c>
      <c r="D409" t="s">
        <v>27</v>
      </c>
      <c r="E409">
        <v>1</v>
      </c>
      <c r="F409" t="s">
        <v>60</v>
      </c>
      <c r="G409" t="s">
        <v>14</v>
      </c>
      <c r="H409" t="s">
        <v>27</v>
      </c>
      <c r="I409">
        <v>5</v>
      </c>
      <c r="J409">
        <v>1</v>
      </c>
    </row>
    <row r="410" spans="1:10" x14ac:dyDescent="0.2">
      <c r="A410" s="1" t="s">
        <v>229</v>
      </c>
      <c r="B410" t="s">
        <v>55</v>
      </c>
      <c r="C410">
        <v>3</v>
      </c>
      <c r="D410" t="s">
        <v>33</v>
      </c>
      <c r="E410">
        <v>6</v>
      </c>
      <c r="F410" t="s">
        <v>60</v>
      </c>
      <c r="G410" t="s">
        <v>33</v>
      </c>
      <c r="H410" t="s">
        <v>55</v>
      </c>
      <c r="I410">
        <v>6</v>
      </c>
      <c r="J410">
        <v>3</v>
      </c>
    </row>
    <row r="411" spans="1:10" x14ac:dyDescent="0.2">
      <c r="A411" s="1" t="s">
        <v>229</v>
      </c>
      <c r="B411" t="s">
        <v>31</v>
      </c>
      <c r="C411">
        <v>4</v>
      </c>
      <c r="D411" t="s">
        <v>35</v>
      </c>
      <c r="E411">
        <v>1</v>
      </c>
      <c r="F411" t="s">
        <v>60</v>
      </c>
      <c r="G411" t="s">
        <v>31</v>
      </c>
      <c r="H411" t="s">
        <v>35</v>
      </c>
      <c r="I411">
        <v>4</v>
      </c>
      <c r="J411">
        <v>1</v>
      </c>
    </row>
    <row r="412" spans="1:10" x14ac:dyDescent="0.2">
      <c r="A412" s="1" t="s">
        <v>230</v>
      </c>
      <c r="B412" t="s">
        <v>38</v>
      </c>
      <c r="C412">
        <v>1</v>
      </c>
      <c r="D412" t="s">
        <v>12</v>
      </c>
      <c r="E412">
        <v>3</v>
      </c>
      <c r="F412" t="s">
        <v>60</v>
      </c>
      <c r="G412" t="s">
        <v>12</v>
      </c>
      <c r="H412" t="s">
        <v>38</v>
      </c>
      <c r="I412">
        <v>3</v>
      </c>
      <c r="J412">
        <v>1</v>
      </c>
    </row>
    <row r="413" spans="1:10" x14ac:dyDescent="0.2">
      <c r="A413" s="1" t="s">
        <v>230</v>
      </c>
      <c r="B413" t="s">
        <v>21</v>
      </c>
      <c r="C413">
        <v>4</v>
      </c>
      <c r="D413" t="s">
        <v>26</v>
      </c>
      <c r="E413">
        <v>5</v>
      </c>
      <c r="F413" t="s">
        <v>60</v>
      </c>
      <c r="G413" t="s">
        <v>26</v>
      </c>
      <c r="H413" t="s">
        <v>21</v>
      </c>
      <c r="I413">
        <v>5</v>
      </c>
      <c r="J413">
        <v>4</v>
      </c>
    </row>
    <row r="414" spans="1:10" x14ac:dyDescent="0.2">
      <c r="A414" s="1" t="s">
        <v>230</v>
      </c>
      <c r="B414" t="s">
        <v>34</v>
      </c>
      <c r="C414">
        <v>1</v>
      </c>
      <c r="D414" t="s">
        <v>17</v>
      </c>
      <c r="E414">
        <v>0</v>
      </c>
      <c r="F414" t="s">
        <v>60</v>
      </c>
      <c r="G414" t="s">
        <v>34</v>
      </c>
      <c r="H414" t="s">
        <v>17</v>
      </c>
      <c r="I414">
        <v>1</v>
      </c>
      <c r="J414">
        <v>0</v>
      </c>
    </row>
    <row r="415" spans="1:10" x14ac:dyDescent="0.2">
      <c r="A415" s="1" t="s">
        <v>230</v>
      </c>
      <c r="B415" t="s">
        <v>19</v>
      </c>
      <c r="C415">
        <v>4</v>
      </c>
      <c r="D415" t="s">
        <v>11</v>
      </c>
      <c r="E415">
        <v>1</v>
      </c>
      <c r="F415" t="s">
        <v>60</v>
      </c>
      <c r="G415" t="s">
        <v>19</v>
      </c>
      <c r="H415" t="s">
        <v>11</v>
      </c>
      <c r="I415">
        <v>4</v>
      </c>
      <c r="J415">
        <v>1</v>
      </c>
    </row>
    <row r="416" spans="1:10" x14ac:dyDescent="0.2">
      <c r="A416" s="1" t="s">
        <v>230</v>
      </c>
      <c r="B416" t="s">
        <v>22</v>
      </c>
      <c r="C416">
        <v>3</v>
      </c>
      <c r="D416" t="s">
        <v>13</v>
      </c>
      <c r="E416">
        <v>1</v>
      </c>
      <c r="F416" t="s">
        <v>60</v>
      </c>
      <c r="G416" t="s">
        <v>22</v>
      </c>
      <c r="H416" t="s">
        <v>13</v>
      </c>
      <c r="I416">
        <v>3</v>
      </c>
      <c r="J416">
        <v>1</v>
      </c>
    </row>
    <row r="417" spans="1:10" x14ac:dyDescent="0.2">
      <c r="A417" s="1" t="s">
        <v>230</v>
      </c>
      <c r="B417" t="s">
        <v>36</v>
      </c>
      <c r="C417">
        <v>5</v>
      </c>
      <c r="D417" t="s">
        <v>18</v>
      </c>
      <c r="E417">
        <v>2</v>
      </c>
      <c r="F417" t="s">
        <v>60</v>
      </c>
      <c r="G417" t="s">
        <v>36</v>
      </c>
      <c r="H417" t="s">
        <v>18</v>
      </c>
      <c r="I417">
        <v>5</v>
      </c>
      <c r="J417">
        <v>2</v>
      </c>
    </row>
    <row r="418" spans="1:10" x14ac:dyDescent="0.2">
      <c r="A418" s="1" t="s">
        <v>230</v>
      </c>
      <c r="B418" t="s">
        <v>16</v>
      </c>
      <c r="C418">
        <v>1</v>
      </c>
      <c r="D418" t="s">
        <v>29</v>
      </c>
      <c r="E418">
        <v>5</v>
      </c>
      <c r="F418" t="s">
        <v>60</v>
      </c>
      <c r="G418" t="s">
        <v>29</v>
      </c>
      <c r="H418" t="s">
        <v>16</v>
      </c>
      <c r="I418">
        <v>5</v>
      </c>
      <c r="J418">
        <v>1</v>
      </c>
    </row>
    <row r="419" spans="1:10" x14ac:dyDescent="0.2">
      <c r="A419" s="1" t="s">
        <v>230</v>
      </c>
      <c r="B419" t="s">
        <v>37</v>
      </c>
      <c r="C419">
        <v>1</v>
      </c>
      <c r="D419" t="s">
        <v>30</v>
      </c>
      <c r="E419">
        <v>2</v>
      </c>
      <c r="F419" t="s">
        <v>60</v>
      </c>
      <c r="G419" t="s">
        <v>30</v>
      </c>
      <c r="H419" t="s">
        <v>37</v>
      </c>
      <c r="I419">
        <v>2</v>
      </c>
      <c r="J419">
        <v>1</v>
      </c>
    </row>
    <row r="420" spans="1:10" x14ac:dyDescent="0.2">
      <c r="A420" s="1" t="s">
        <v>230</v>
      </c>
      <c r="B420" t="s">
        <v>39</v>
      </c>
      <c r="C420">
        <v>2</v>
      </c>
      <c r="D420" t="s">
        <v>15</v>
      </c>
      <c r="E420">
        <v>3</v>
      </c>
      <c r="F420" t="s">
        <v>62</v>
      </c>
      <c r="G420" t="s">
        <v>15</v>
      </c>
      <c r="H420" t="s">
        <v>39</v>
      </c>
      <c r="I420">
        <v>3</v>
      </c>
      <c r="J420">
        <v>2</v>
      </c>
    </row>
    <row r="421" spans="1:10" x14ac:dyDescent="0.2">
      <c r="A421" s="1" t="s">
        <v>230</v>
      </c>
      <c r="B421" t="s">
        <v>10</v>
      </c>
      <c r="C421">
        <v>3</v>
      </c>
      <c r="D421" t="s">
        <v>20</v>
      </c>
      <c r="E421">
        <v>4</v>
      </c>
      <c r="F421" t="s">
        <v>61</v>
      </c>
      <c r="G421" t="s">
        <v>20</v>
      </c>
      <c r="H421" t="s">
        <v>10</v>
      </c>
      <c r="I421">
        <v>4</v>
      </c>
      <c r="J421">
        <v>3</v>
      </c>
    </row>
    <row r="422" spans="1:10" x14ac:dyDescent="0.2">
      <c r="A422" s="1" t="s">
        <v>231</v>
      </c>
      <c r="B422" t="s">
        <v>55</v>
      </c>
      <c r="C422">
        <v>7</v>
      </c>
      <c r="D422" t="s">
        <v>31</v>
      </c>
      <c r="E422">
        <v>0</v>
      </c>
      <c r="F422" t="s">
        <v>60</v>
      </c>
      <c r="G422" t="s">
        <v>55</v>
      </c>
      <c r="H422" t="s">
        <v>31</v>
      </c>
      <c r="I422">
        <v>7</v>
      </c>
      <c r="J422">
        <v>0</v>
      </c>
    </row>
    <row r="423" spans="1:10" x14ac:dyDescent="0.2">
      <c r="A423" s="1" t="s">
        <v>231</v>
      </c>
      <c r="B423" t="s">
        <v>40</v>
      </c>
      <c r="C423">
        <v>2</v>
      </c>
      <c r="D423" t="s">
        <v>18</v>
      </c>
      <c r="E423">
        <v>3</v>
      </c>
      <c r="F423" t="s">
        <v>61</v>
      </c>
      <c r="G423" t="s">
        <v>18</v>
      </c>
      <c r="H423" t="s">
        <v>40</v>
      </c>
      <c r="I423">
        <v>3</v>
      </c>
      <c r="J423">
        <v>2</v>
      </c>
    </row>
    <row r="424" spans="1:10" x14ac:dyDescent="0.2">
      <c r="A424" s="1" t="s">
        <v>231</v>
      </c>
      <c r="B424" t="s">
        <v>39</v>
      </c>
      <c r="C424">
        <v>3</v>
      </c>
      <c r="D424" t="s">
        <v>24</v>
      </c>
      <c r="E424">
        <v>0</v>
      </c>
      <c r="F424" t="s">
        <v>60</v>
      </c>
      <c r="G424" t="s">
        <v>39</v>
      </c>
      <c r="H424" t="s">
        <v>24</v>
      </c>
      <c r="I424">
        <v>3</v>
      </c>
      <c r="J424">
        <v>0</v>
      </c>
    </row>
    <row r="425" spans="1:10" x14ac:dyDescent="0.2">
      <c r="A425" s="1" t="s">
        <v>231</v>
      </c>
      <c r="B425" t="s">
        <v>23</v>
      </c>
      <c r="C425">
        <v>2</v>
      </c>
      <c r="D425" t="s">
        <v>27</v>
      </c>
      <c r="E425">
        <v>5</v>
      </c>
      <c r="F425" t="s">
        <v>60</v>
      </c>
      <c r="G425" t="s">
        <v>27</v>
      </c>
      <c r="H425" t="s">
        <v>23</v>
      </c>
      <c r="I425">
        <v>5</v>
      </c>
      <c r="J425">
        <v>2</v>
      </c>
    </row>
    <row r="426" spans="1:10" x14ac:dyDescent="0.2">
      <c r="A426" s="1" t="s">
        <v>231</v>
      </c>
      <c r="B426" t="s">
        <v>22</v>
      </c>
      <c r="C426">
        <v>7</v>
      </c>
      <c r="D426" t="s">
        <v>33</v>
      </c>
      <c r="E426">
        <v>1</v>
      </c>
      <c r="F426" t="s">
        <v>60</v>
      </c>
      <c r="G426" t="s">
        <v>22</v>
      </c>
      <c r="H426" t="s">
        <v>33</v>
      </c>
      <c r="I426">
        <v>7</v>
      </c>
      <c r="J426">
        <v>1</v>
      </c>
    </row>
    <row r="427" spans="1:10" x14ac:dyDescent="0.2">
      <c r="A427" s="1" t="s">
        <v>232</v>
      </c>
      <c r="B427" t="s">
        <v>35</v>
      </c>
      <c r="C427">
        <v>2</v>
      </c>
      <c r="D427" t="s">
        <v>21</v>
      </c>
      <c r="E427">
        <v>5</v>
      </c>
      <c r="F427" t="s">
        <v>60</v>
      </c>
      <c r="G427" t="s">
        <v>21</v>
      </c>
      <c r="H427" t="s">
        <v>35</v>
      </c>
      <c r="I427">
        <v>5</v>
      </c>
      <c r="J427">
        <v>2</v>
      </c>
    </row>
    <row r="428" spans="1:10" x14ac:dyDescent="0.2">
      <c r="A428" s="1" t="s">
        <v>232</v>
      </c>
      <c r="B428" t="s">
        <v>19</v>
      </c>
      <c r="C428">
        <v>5</v>
      </c>
      <c r="D428" t="s">
        <v>25</v>
      </c>
      <c r="E428">
        <v>1</v>
      </c>
      <c r="F428" t="s">
        <v>60</v>
      </c>
      <c r="G428" t="s">
        <v>19</v>
      </c>
      <c r="H428" t="s">
        <v>25</v>
      </c>
      <c r="I428">
        <v>5</v>
      </c>
      <c r="J428">
        <v>1</v>
      </c>
    </row>
    <row r="429" spans="1:10" x14ac:dyDescent="0.2">
      <c r="A429" s="1" t="s">
        <v>232</v>
      </c>
      <c r="B429" t="s">
        <v>26</v>
      </c>
      <c r="C429">
        <v>5</v>
      </c>
      <c r="D429" t="s">
        <v>28</v>
      </c>
      <c r="E429">
        <v>6</v>
      </c>
      <c r="F429" t="s">
        <v>61</v>
      </c>
      <c r="G429" t="s">
        <v>28</v>
      </c>
      <c r="H429" t="s">
        <v>26</v>
      </c>
      <c r="I429">
        <v>6</v>
      </c>
      <c r="J429">
        <v>5</v>
      </c>
    </row>
    <row r="430" spans="1:10" x14ac:dyDescent="0.2">
      <c r="A430" s="1" t="s">
        <v>232</v>
      </c>
      <c r="B430" t="s">
        <v>34</v>
      </c>
      <c r="C430">
        <v>1</v>
      </c>
      <c r="D430" t="s">
        <v>16</v>
      </c>
      <c r="E430">
        <v>4</v>
      </c>
      <c r="F430" t="s">
        <v>60</v>
      </c>
      <c r="G430" t="s">
        <v>16</v>
      </c>
      <c r="H430" t="s">
        <v>34</v>
      </c>
      <c r="I430">
        <v>4</v>
      </c>
      <c r="J430">
        <v>1</v>
      </c>
    </row>
    <row r="431" spans="1:10" x14ac:dyDescent="0.2">
      <c r="A431" s="1" t="s">
        <v>232</v>
      </c>
      <c r="B431" t="s">
        <v>32</v>
      </c>
      <c r="C431">
        <v>4</v>
      </c>
      <c r="D431" t="s">
        <v>17</v>
      </c>
      <c r="E431">
        <v>9</v>
      </c>
      <c r="F431" t="s">
        <v>60</v>
      </c>
      <c r="G431" t="s">
        <v>17</v>
      </c>
      <c r="H431" t="s">
        <v>32</v>
      </c>
      <c r="I431">
        <v>9</v>
      </c>
      <c r="J431">
        <v>4</v>
      </c>
    </row>
    <row r="432" spans="1:10" x14ac:dyDescent="0.2">
      <c r="A432" s="1" t="s">
        <v>232</v>
      </c>
      <c r="B432" t="s">
        <v>29</v>
      </c>
      <c r="C432">
        <v>2</v>
      </c>
      <c r="D432" t="s">
        <v>11</v>
      </c>
      <c r="E432">
        <v>1</v>
      </c>
      <c r="F432" t="s">
        <v>62</v>
      </c>
      <c r="G432" t="s">
        <v>29</v>
      </c>
      <c r="H432" t="s">
        <v>11</v>
      </c>
      <c r="I432">
        <v>2</v>
      </c>
      <c r="J432">
        <v>1</v>
      </c>
    </row>
    <row r="433" spans="1:10" x14ac:dyDescent="0.2">
      <c r="A433" s="1" t="s">
        <v>232</v>
      </c>
      <c r="B433" t="s">
        <v>10</v>
      </c>
      <c r="C433">
        <v>2</v>
      </c>
      <c r="D433" t="s">
        <v>13</v>
      </c>
      <c r="E433">
        <v>1</v>
      </c>
      <c r="F433" t="s">
        <v>60</v>
      </c>
      <c r="G433" t="s">
        <v>10</v>
      </c>
      <c r="H433" t="s">
        <v>13</v>
      </c>
      <c r="I433">
        <v>2</v>
      </c>
      <c r="J433">
        <v>1</v>
      </c>
    </row>
    <row r="434" spans="1:10" x14ac:dyDescent="0.2">
      <c r="A434" s="1" t="s">
        <v>232</v>
      </c>
      <c r="B434" t="s">
        <v>12</v>
      </c>
      <c r="C434">
        <v>3</v>
      </c>
      <c r="D434" t="s">
        <v>30</v>
      </c>
      <c r="E434">
        <v>6</v>
      </c>
      <c r="F434" t="s">
        <v>60</v>
      </c>
      <c r="G434" t="s">
        <v>30</v>
      </c>
      <c r="H434" t="s">
        <v>12</v>
      </c>
      <c r="I434">
        <v>6</v>
      </c>
      <c r="J434">
        <v>3</v>
      </c>
    </row>
    <row r="435" spans="1:10" x14ac:dyDescent="0.2">
      <c r="A435" s="1" t="s">
        <v>232</v>
      </c>
      <c r="B435" t="s">
        <v>15</v>
      </c>
      <c r="C435">
        <v>4</v>
      </c>
      <c r="D435" t="s">
        <v>36</v>
      </c>
      <c r="E435">
        <v>2</v>
      </c>
      <c r="F435" t="s">
        <v>60</v>
      </c>
      <c r="G435" t="s">
        <v>15</v>
      </c>
      <c r="H435" t="s">
        <v>36</v>
      </c>
      <c r="I435">
        <v>4</v>
      </c>
      <c r="J435">
        <v>2</v>
      </c>
    </row>
    <row r="436" spans="1:10" x14ac:dyDescent="0.2">
      <c r="A436" s="1" t="s">
        <v>232</v>
      </c>
      <c r="B436" t="s">
        <v>14</v>
      </c>
      <c r="C436">
        <v>4</v>
      </c>
      <c r="D436" t="s">
        <v>37</v>
      </c>
      <c r="E436">
        <v>3</v>
      </c>
      <c r="F436" t="s">
        <v>60</v>
      </c>
      <c r="G436" t="s">
        <v>14</v>
      </c>
      <c r="H436" t="s">
        <v>37</v>
      </c>
      <c r="I436">
        <v>4</v>
      </c>
      <c r="J436">
        <v>3</v>
      </c>
    </row>
    <row r="437" spans="1:10" x14ac:dyDescent="0.2">
      <c r="A437" s="1" t="s">
        <v>233</v>
      </c>
      <c r="B437" t="s">
        <v>22</v>
      </c>
      <c r="C437">
        <v>3</v>
      </c>
      <c r="D437" t="s">
        <v>31</v>
      </c>
      <c r="E437">
        <v>4</v>
      </c>
      <c r="F437" t="s">
        <v>61</v>
      </c>
      <c r="G437" t="s">
        <v>31</v>
      </c>
      <c r="H437" t="s">
        <v>22</v>
      </c>
      <c r="I437">
        <v>4</v>
      </c>
      <c r="J437">
        <v>3</v>
      </c>
    </row>
    <row r="438" spans="1:10" x14ac:dyDescent="0.2">
      <c r="A438" s="1" t="s">
        <v>233</v>
      </c>
      <c r="B438" t="s">
        <v>33</v>
      </c>
      <c r="C438">
        <v>1</v>
      </c>
      <c r="D438" t="s">
        <v>39</v>
      </c>
      <c r="E438">
        <v>4</v>
      </c>
      <c r="F438" t="s">
        <v>60</v>
      </c>
      <c r="G438" t="s">
        <v>39</v>
      </c>
      <c r="H438" t="s">
        <v>33</v>
      </c>
      <c r="I438">
        <v>4</v>
      </c>
      <c r="J438">
        <v>1</v>
      </c>
    </row>
    <row r="439" spans="1:10" x14ac:dyDescent="0.2">
      <c r="A439" s="1" t="s">
        <v>233</v>
      </c>
      <c r="B439" t="s">
        <v>20</v>
      </c>
      <c r="C439">
        <v>3</v>
      </c>
      <c r="D439" t="s">
        <v>24</v>
      </c>
      <c r="E439">
        <v>0</v>
      </c>
      <c r="F439" t="s">
        <v>60</v>
      </c>
      <c r="G439" t="s">
        <v>20</v>
      </c>
      <c r="H439" t="s">
        <v>24</v>
      </c>
      <c r="I439">
        <v>3</v>
      </c>
      <c r="J439">
        <v>0</v>
      </c>
    </row>
    <row r="440" spans="1:10" x14ac:dyDescent="0.2">
      <c r="A440" s="1" t="s">
        <v>233</v>
      </c>
      <c r="B440" t="s">
        <v>55</v>
      </c>
      <c r="C440">
        <v>4</v>
      </c>
      <c r="D440" t="s">
        <v>38</v>
      </c>
      <c r="E440">
        <v>1</v>
      </c>
      <c r="F440" t="s">
        <v>60</v>
      </c>
      <c r="G440" t="s">
        <v>55</v>
      </c>
      <c r="H440" t="s">
        <v>38</v>
      </c>
      <c r="I440">
        <v>4</v>
      </c>
      <c r="J440">
        <v>1</v>
      </c>
    </row>
    <row r="441" spans="1:10" x14ac:dyDescent="0.2">
      <c r="A441" s="1" t="s">
        <v>233</v>
      </c>
      <c r="B441" t="s">
        <v>23</v>
      </c>
      <c r="C441">
        <v>1</v>
      </c>
      <c r="D441" t="s">
        <v>40</v>
      </c>
      <c r="E441">
        <v>4</v>
      </c>
      <c r="F441" t="s">
        <v>60</v>
      </c>
      <c r="G441" t="s">
        <v>40</v>
      </c>
      <c r="H441" t="s">
        <v>23</v>
      </c>
      <c r="I441">
        <v>4</v>
      </c>
      <c r="J441">
        <v>1</v>
      </c>
    </row>
    <row r="442" spans="1:10" x14ac:dyDescent="0.2">
      <c r="A442" s="1" t="s">
        <v>234</v>
      </c>
      <c r="B442" t="s">
        <v>24</v>
      </c>
      <c r="C442">
        <v>1</v>
      </c>
      <c r="D442" t="s">
        <v>21</v>
      </c>
      <c r="E442">
        <v>4</v>
      </c>
      <c r="F442" t="s">
        <v>60</v>
      </c>
      <c r="G442" t="s">
        <v>21</v>
      </c>
      <c r="H442" t="s">
        <v>24</v>
      </c>
      <c r="I442">
        <v>4</v>
      </c>
      <c r="J442">
        <v>1</v>
      </c>
    </row>
    <row r="443" spans="1:10" x14ac:dyDescent="0.2">
      <c r="A443" s="1" t="s">
        <v>234</v>
      </c>
      <c r="B443" t="s">
        <v>29</v>
      </c>
      <c r="C443">
        <v>3</v>
      </c>
      <c r="D443" t="s">
        <v>25</v>
      </c>
      <c r="E443">
        <v>6</v>
      </c>
      <c r="F443" t="s">
        <v>60</v>
      </c>
      <c r="G443" t="s">
        <v>25</v>
      </c>
      <c r="H443" t="s">
        <v>29</v>
      </c>
      <c r="I443">
        <v>6</v>
      </c>
      <c r="J443">
        <v>3</v>
      </c>
    </row>
    <row r="444" spans="1:10" x14ac:dyDescent="0.2">
      <c r="A444" s="1" t="s">
        <v>234</v>
      </c>
      <c r="B444" t="s">
        <v>55</v>
      </c>
      <c r="C444">
        <v>0</v>
      </c>
      <c r="D444" t="s">
        <v>16</v>
      </c>
      <c r="E444">
        <v>2</v>
      </c>
      <c r="F444" t="s">
        <v>60</v>
      </c>
      <c r="G444" t="s">
        <v>16</v>
      </c>
      <c r="H444" t="s">
        <v>55</v>
      </c>
      <c r="I444">
        <v>2</v>
      </c>
      <c r="J444">
        <v>0</v>
      </c>
    </row>
    <row r="445" spans="1:10" x14ac:dyDescent="0.2">
      <c r="A445" s="1" t="s">
        <v>234</v>
      </c>
      <c r="B445" t="s">
        <v>40</v>
      </c>
      <c r="C445">
        <v>2</v>
      </c>
      <c r="D445" t="s">
        <v>17</v>
      </c>
      <c r="E445">
        <v>6</v>
      </c>
      <c r="F445" t="s">
        <v>60</v>
      </c>
      <c r="G445" t="s">
        <v>17</v>
      </c>
      <c r="H445" t="s">
        <v>40</v>
      </c>
      <c r="I445">
        <v>6</v>
      </c>
      <c r="J445">
        <v>2</v>
      </c>
    </row>
    <row r="446" spans="1:10" x14ac:dyDescent="0.2">
      <c r="A446" s="1" t="s">
        <v>234</v>
      </c>
      <c r="B446" t="s">
        <v>28</v>
      </c>
      <c r="C446">
        <v>6</v>
      </c>
      <c r="D446" t="s">
        <v>11</v>
      </c>
      <c r="E446">
        <v>7</v>
      </c>
      <c r="F446" t="s">
        <v>62</v>
      </c>
      <c r="G446" t="s">
        <v>11</v>
      </c>
      <c r="H446" t="s">
        <v>28</v>
      </c>
      <c r="I446">
        <v>7</v>
      </c>
      <c r="J446">
        <v>6</v>
      </c>
    </row>
    <row r="447" spans="1:10" x14ac:dyDescent="0.2">
      <c r="A447" s="1" t="s">
        <v>234</v>
      </c>
      <c r="B447" t="s">
        <v>10</v>
      </c>
      <c r="C447">
        <v>0</v>
      </c>
      <c r="D447" t="s">
        <v>13</v>
      </c>
      <c r="E447">
        <v>6</v>
      </c>
      <c r="F447" t="s">
        <v>60</v>
      </c>
      <c r="G447" t="s">
        <v>13</v>
      </c>
      <c r="H447" t="s">
        <v>10</v>
      </c>
      <c r="I447">
        <v>6</v>
      </c>
      <c r="J447">
        <v>0</v>
      </c>
    </row>
    <row r="448" spans="1:10" x14ac:dyDescent="0.2">
      <c r="A448" s="1" t="s">
        <v>234</v>
      </c>
      <c r="B448" t="s">
        <v>12</v>
      </c>
      <c r="C448">
        <v>3</v>
      </c>
      <c r="D448" t="s">
        <v>15</v>
      </c>
      <c r="E448">
        <v>2</v>
      </c>
      <c r="F448" t="s">
        <v>62</v>
      </c>
      <c r="G448" t="s">
        <v>12</v>
      </c>
      <c r="H448" t="s">
        <v>15</v>
      </c>
      <c r="I448">
        <v>3</v>
      </c>
      <c r="J448">
        <v>2</v>
      </c>
    </row>
    <row r="449" spans="1:10" x14ac:dyDescent="0.2">
      <c r="A449" s="1" t="s">
        <v>234</v>
      </c>
      <c r="B449" t="s">
        <v>35</v>
      </c>
      <c r="C449">
        <v>2</v>
      </c>
      <c r="D449" t="s">
        <v>36</v>
      </c>
      <c r="E449">
        <v>1</v>
      </c>
      <c r="F449" t="s">
        <v>60</v>
      </c>
      <c r="G449" t="s">
        <v>35</v>
      </c>
      <c r="H449" t="s">
        <v>36</v>
      </c>
      <c r="I449">
        <v>2</v>
      </c>
      <c r="J449">
        <v>1</v>
      </c>
    </row>
    <row r="450" spans="1:10" x14ac:dyDescent="0.2">
      <c r="A450" s="1" t="s">
        <v>234</v>
      </c>
      <c r="B450" t="s">
        <v>26</v>
      </c>
      <c r="C450">
        <v>4</v>
      </c>
      <c r="D450" t="s">
        <v>32</v>
      </c>
      <c r="E450">
        <v>3</v>
      </c>
      <c r="F450" t="s">
        <v>60</v>
      </c>
      <c r="G450" t="s">
        <v>26</v>
      </c>
      <c r="H450" t="s">
        <v>32</v>
      </c>
      <c r="I450">
        <v>4</v>
      </c>
      <c r="J450">
        <v>3</v>
      </c>
    </row>
    <row r="451" spans="1:10" x14ac:dyDescent="0.2">
      <c r="A451" s="1" t="s">
        <v>234</v>
      </c>
      <c r="B451" t="s">
        <v>30</v>
      </c>
      <c r="C451">
        <v>2</v>
      </c>
      <c r="D451" t="s">
        <v>37</v>
      </c>
      <c r="E451">
        <v>0</v>
      </c>
      <c r="F451" t="s">
        <v>60</v>
      </c>
      <c r="G451" t="s">
        <v>30</v>
      </c>
      <c r="H451" t="s">
        <v>37</v>
      </c>
      <c r="I451">
        <v>2</v>
      </c>
      <c r="J451">
        <v>0</v>
      </c>
    </row>
    <row r="452" spans="1:10" x14ac:dyDescent="0.2">
      <c r="A452" s="1" t="s">
        <v>234</v>
      </c>
      <c r="B452" t="s">
        <v>18</v>
      </c>
      <c r="C452">
        <v>2</v>
      </c>
      <c r="D452" t="s">
        <v>19</v>
      </c>
      <c r="E452">
        <v>1</v>
      </c>
      <c r="F452" t="s">
        <v>61</v>
      </c>
      <c r="G452" t="s">
        <v>18</v>
      </c>
      <c r="H452" t="s">
        <v>19</v>
      </c>
      <c r="I452">
        <v>2</v>
      </c>
      <c r="J452">
        <v>1</v>
      </c>
    </row>
    <row r="453" spans="1:10" x14ac:dyDescent="0.2">
      <c r="A453" s="1" t="s">
        <v>234</v>
      </c>
      <c r="B453" t="s">
        <v>34</v>
      </c>
      <c r="C453">
        <v>2</v>
      </c>
      <c r="D453" t="s">
        <v>38</v>
      </c>
      <c r="E453">
        <v>4</v>
      </c>
      <c r="F453" t="s">
        <v>60</v>
      </c>
      <c r="G453" t="s">
        <v>38</v>
      </c>
      <c r="H453" t="s">
        <v>34</v>
      </c>
      <c r="I453">
        <v>4</v>
      </c>
      <c r="J453">
        <v>2</v>
      </c>
    </row>
    <row r="454" spans="1:10" x14ac:dyDescent="0.2">
      <c r="A454" s="1" t="s">
        <v>235</v>
      </c>
      <c r="B454" t="s">
        <v>10</v>
      </c>
      <c r="C454">
        <v>1</v>
      </c>
      <c r="D454" t="s">
        <v>31</v>
      </c>
      <c r="E454">
        <v>7</v>
      </c>
      <c r="F454" t="s">
        <v>60</v>
      </c>
      <c r="G454" t="s">
        <v>31</v>
      </c>
      <c r="H454" t="s">
        <v>10</v>
      </c>
      <c r="I454">
        <v>7</v>
      </c>
      <c r="J454">
        <v>1</v>
      </c>
    </row>
    <row r="455" spans="1:10" x14ac:dyDescent="0.2">
      <c r="A455" s="1" t="s">
        <v>235</v>
      </c>
      <c r="B455" t="s">
        <v>33</v>
      </c>
      <c r="C455">
        <v>4</v>
      </c>
      <c r="D455" t="s">
        <v>25</v>
      </c>
      <c r="E455">
        <v>1</v>
      </c>
      <c r="F455" t="s">
        <v>60</v>
      </c>
      <c r="G455" t="s">
        <v>33</v>
      </c>
      <c r="H455" t="s">
        <v>25</v>
      </c>
      <c r="I455">
        <v>4</v>
      </c>
      <c r="J455">
        <v>1</v>
      </c>
    </row>
    <row r="456" spans="1:10" x14ac:dyDescent="0.2">
      <c r="A456" s="1" t="s">
        <v>235</v>
      </c>
      <c r="B456" t="s">
        <v>14</v>
      </c>
      <c r="C456">
        <v>2</v>
      </c>
      <c r="D456" t="s">
        <v>39</v>
      </c>
      <c r="E456">
        <v>3</v>
      </c>
      <c r="F456" t="s">
        <v>61</v>
      </c>
      <c r="G456" t="s">
        <v>39</v>
      </c>
      <c r="H456" t="s">
        <v>14</v>
      </c>
      <c r="I456">
        <v>3</v>
      </c>
      <c r="J456">
        <v>2</v>
      </c>
    </row>
    <row r="457" spans="1:10" x14ac:dyDescent="0.2">
      <c r="A457" s="1" t="s">
        <v>235</v>
      </c>
      <c r="B457" t="s">
        <v>30</v>
      </c>
      <c r="C457">
        <v>1</v>
      </c>
      <c r="D457" t="s">
        <v>11</v>
      </c>
      <c r="E457">
        <v>4</v>
      </c>
      <c r="F457" t="s">
        <v>60</v>
      </c>
      <c r="G457" t="s">
        <v>11</v>
      </c>
      <c r="H457" t="s">
        <v>30</v>
      </c>
      <c r="I457">
        <v>4</v>
      </c>
      <c r="J457">
        <v>1</v>
      </c>
    </row>
    <row r="458" spans="1:10" x14ac:dyDescent="0.2">
      <c r="A458" s="1" t="s">
        <v>235</v>
      </c>
      <c r="B458" t="s">
        <v>35</v>
      </c>
      <c r="C458">
        <v>4</v>
      </c>
      <c r="D458" t="s">
        <v>18</v>
      </c>
      <c r="E458">
        <v>3</v>
      </c>
      <c r="F458" t="s">
        <v>60</v>
      </c>
      <c r="G458" t="s">
        <v>35</v>
      </c>
      <c r="H458" t="s">
        <v>18</v>
      </c>
      <c r="I458">
        <v>4</v>
      </c>
      <c r="J458">
        <v>3</v>
      </c>
    </row>
    <row r="459" spans="1:10" x14ac:dyDescent="0.2">
      <c r="A459" s="1" t="s">
        <v>235</v>
      </c>
      <c r="B459" t="s">
        <v>20</v>
      </c>
      <c r="C459">
        <v>3</v>
      </c>
      <c r="D459" t="s">
        <v>15</v>
      </c>
      <c r="E459">
        <v>2</v>
      </c>
      <c r="F459" t="s">
        <v>62</v>
      </c>
      <c r="G459" t="s">
        <v>20</v>
      </c>
      <c r="H459" t="s">
        <v>15</v>
      </c>
      <c r="I459">
        <v>3</v>
      </c>
      <c r="J459">
        <v>2</v>
      </c>
    </row>
    <row r="460" spans="1:10" x14ac:dyDescent="0.2">
      <c r="A460" s="1" t="s">
        <v>235</v>
      </c>
      <c r="B460" t="s">
        <v>12</v>
      </c>
      <c r="C460">
        <v>3</v>
      </c>
      <c r="D460" t="s">
        <v>27</v>
      </c>
      <c r="E460">
        <v>2</v>
      </c>
      <c r="F460" t="s">
        <v>60</v>
      </c>
      <c r="G460" t="s">
        <v>12</v>
      </c>
      <c r="H460" t="s">
        <v>27</v>
      </c>
      <c r="I460">
        <v>3</v>
      </c>
      <c r="J460">
        <v>2</v>
      </c>
    </row>
    <row r="461" spans="1:10" x14ac:dyDescent="0.2">
      <c r="A461" s="1" t="s">
        <v>235</v>
      </c>
      <c r="B461" t="s">
        <v>28</v>
      </c>
      <c r="C461">
        <v>0</v>
      </c>
      <c r="D461" t="s">
        <v>22</v>
      </c>
      <c r="E461">
        <v>2</v>
      </c>
      <c r="F461" t="s">
        <v>60</v>
      </c>
      <c r="G461" t="s">
        <v>22</v>
      </c>
      <c r="H461" t="s">
        <v>28</v>
      </c>
      <c r="I461">
        <v>2</v>
      </c>
      <c r="J461">
        <v>0</v>
      </c>
    </row>
    <row r="462" spans="1:10" x14ac:dyDescent="0.2">
      <c r="A462" s="1" t="s">
        <v>236</v>
      </c>
      <c r="B462" t="s">
        <v>23</v>
      </c>
      <c r="C462">
        <v>4</v>
      </c>
      <c r="D462" t="s">
        <v>16</v>
      </c>
      <c r="E462">
        <v>7</v>
      </c>
      <c r="F462" t="s">
        <v>60</v>
      </c>
      <c r="G462" t="s">
        <v>16</v>
      </c>
      <c r="H462" t="s">
        <v>23</v>
      </c>
      <c r="I462">
        <v>7</v>
      </c>
      <c r="J462">
        <v>4</v>
      </c>
    </row>
    <row r="463" spans="1:10" x14ac:dyDescent="0.2">
      <c r="A463" s="1" t="s">
        <v>236</v>
      </c>
      <c r="B463" t="s">
        <v>34</v>
      </c>
      <c r="C463">
        <v>4</v>
      </c>
      <c r="D463" t="s">
        <v>32</v>
      </c>
      <c r="E463">
        <v>1</v>
      </c>
      <c r="F463" t="s">
        <v>60</v>
      </c>
      <c r="G463" t="s">
        <v>34</v>
      </c>
      <c r="H463" t="s">
        <v>32</v>
      </c>
      <c r="I463">
        <v>4</v>
      </c>
      <c r="J463">
        <v>1</v>
      </c>
    </row>
    <row r="464" spans="1:10" x14ac:dyDescent="0.2">
      <c r="A464" s="1" t="s">
        <v>236</v>
      </c>
      <c r="B464" t="s">
        <v>37</v>
      </c>
      <c r="C464">
        <v>0</v>
      </c>
      <c r="D464" t="s">
        <v>19</v>
      </c>
      <c r="E464">
        <v>2</v>
      </c>
      <c r="F464" t="s">
        <v>60</v>
      </c>
      <c r="G464" t="s">
        <v>19</v>
      </c>
      <c r="H464" t="s">
        <v>37</v>
      </c>
      <c r="I464">
        <v>2</v>
      </c>
      <c r="J464">
        <v>0</v>
      </c>
    </row>
    <row r="465" spans="1:10" x14ac:dyDescent="0.2">
      <c r="A465" s="1" t="s">
        <v>236</v>
      </c>
      <c r="B465" t="s">
        <v>13</v>
      </c>
      <c r="C465">
        <v>4</v>
      </c>
      <c r="D465" t="s">
        <v>55</v>
      </c>
      <c r="E465">
        <v>2</v>
      </c>
      <c r="F465" t="s">
        <v>60</v>
      </c>
      <c r="G465" t="s">
        <v>13</v>
      </c>
      <c r="H465" t="s">
        <v>55</v>
      </c>
      <c r="I465">
        <v>4</v>
      </c>
      <c r="J465">
        <v>2</v>
      </c>
    </row>
    <row r="466" spans="1:10" x14ac:dyDescent="0.2">
      <c r="A466" s="1" t="s">
        <v>236</v>
      </c>
      <c r="B466" t="s">
        <v>26</v>
      </c>
      <c r="C466">
        <v>4</v>
      </c>
      <c r="D466" t="s">
        <v>38</v>
      </c>
      <c r="E466">
        <v>0</v>
      </c>
      <c r="F466" t="s">
        <v>60</v>
      </c>
      <c r="G466" t="s">
        <v>26</v>
      </c>
      <c r="H466" t="s">
        <v>38</v>
      </c>
      <c r="I466">
        <v>4</v>
      </c>
      <c r="J466">
        <v>0</v>
      </c>
    </row>
    <row r="467" spans="1:10" x14ac:dyDescent="0.2">
      <c r="A467" s="1" t="s">
        <v>237</v>
      </c>
      <c r="B467" t="s">
        <v>28</v>
      </c>
      <c r="C467">
        <v>1</v>
      </c>
      <c r="D467" t="s">
        <v>25</v>
      </c>
      <c r="E467">
        <v>4</v>
      </c>
      <c r="F467" t="s">
        <v>60</v>
      </c>
      <c r="G467" t="s">
        <v>25</v>
      </c>
      <c r="H467" t="s">
        <v>28</v>
      </c>
      <c r="I467">
        <v>4</v>
      </c>
      <c r="J467">
        <v>1</v>
      </c>
    </row>
    <row r="468" spans="1:10" x14ac:dyDescent="0.2">
      <c r="A468" s="1" t="s">
        <v>237</v>
      </c>
      <c r="B468" t="s">
        <v>23</v>
      </c>
      <c r="C468">
        <v>4</v>
      </c>
      <c r="D468" t="s">
        <v>17</v>
      </c>
      <c r="E468">
        <v>3</v>
      </c>
      <c r="F468" t="s">
        <v>62</v>
      </c>
      <c r="G468" t="s">
        <v>23</v>
      </c>
      <c r="H468" t="s">
        <v>17</v>
      </c>
      <c r="I468">
        <v>4</v>
      </c>
      <c r="J468">
        <v>3</v>
      </c>
    </row>
    <row r="469" spans="1:10" x14ac:dyDescent="0.2">
      <c r="A469" s="1" t="s">
        <v>237</v>
      </c>
      <c r="B469" t="s">
        <v>37</v>
      </c>
      <c r="C469">
        <v>6</v>
      </c>
      <c r="D469" t="s">
        <v>18</v>
      </c>
      <c r="E469">
        <v>1</v>
      </c>
      <c r="F469" t="s">
        <v>60</v>
      </c>
      <c r="G469" t="s">
        <v>37</v>
      </c>
      <c r="H469" t="s">
        <v>18</v>
      </c>
      <c r="I469">
        <v>6</v>
      </c>
      <c r="J469">
        <v>1</v>
      </c>
    </row>
    <row r="470" spans="1:10" x14ac:dyDescent="0.2">
      <c r="A470" s="1" t="s">
        <v>237</v>
      </c>
      <c r="B470" t="s">
        <v>12</v>
      </c>
      <c r="C470">
        <v>3</v>
      </c>
      <c r="D470" t="s">
        <v>29</v>
      </c>
      <c r="E470">
        <v>4</v>
      </c>
      <c r="F470" t="s">
        <v>61</v>
      </c>
      <c r="G470" t="s">
        <v>29</v>
      </c>
      <c r="H470" t="s">
        <v>12</v>
      </c>
      <c r="I470">
        <v>4</v>
      </c>
      <c r="J470">
        <v>3</v>
      </c>
    </row>
    <row r="471" spans="1:10" x14ac:dyDescent="0.2">
      <c r="A471" s="1" t="s">
        <v>237</v>
      </c>
      <c r="B471" t="s">
        <v>20</v>
      </c>
      <c r="C471">
        <v>4</v>
      </c>
      <c r="D471" t="s">
        <v>30</v>
      </c>
      <c r="E471">
        <v>5</v>
      </c>
      <c r="F471" t="s">
        <v>61</v>
      </c>
      <c r="G471" t="s">
        <v>30</v>
      </c>
      <c r="H471" t="s">
        <v>20</v>
      </c>
      <c r="I471">
        <v>5</v>
      </c>
      <c r="J471">
        <v>4</v>
      </c>
    </row>
    <row r="472" spans="1:10" x14ac:dyDescent="0.2">
      <c r="A472" s="1" t="s">
        <v>237</v>
      </c>
      <c r="B472" t="s">
        <v>24</v>
      </c>
      <c r="C472">
        <v>4</v>
      </c>
      <c r="D472" t="s">
        <v>36</v>
      </c>
      <c r="E472">
        <v>3</v>
      </c>
      <c r="F472" t="s">
        <v>60</v>
      </c>
      <c r="G472" t="s">
        <v>24</v>
      </c>
      <c r="H472" t="s">
        <v>36</v>
      </c>
      <c r="I472">
        <v>4</v>
      </c>
      <c r="J472">
        <v>3</v>
      </c>
    </row>
    <row r="473" spans="1:10" x14ac:dyDescent="0.2">
      <c r="A473" s="1" t="s">
        <v>237</v>
      </c>
      <c r="B473" t="s">
        <v>33</v>
      </c>
      <c r="C473">
        <v>1</v>
      </c>
      <c r="D473" t="s">
        <v>27</v>
      </c>
      <c r="E473">
        <v>4</v>
      </c>
      <c r="F473" t="s">
        <v>60</v>
      </c>
      <c r="G473" t="s">
        <v>27</v>
      </c>
      <c r="H473" t="s">
        <v>33</v>
      </c>
      <c r="I473">
        <v>4</v>
      </c>
      <c r="J473">
        <v>1</v>
      </c>
    </row>
    <row r="474" spans="1:10" x14ac:dyDescent="0.2">
      <c r="A474" s="1" t="s">
        <v>237</v>
      </c>
      <c r="B474" t="s">
        <v>31</v>
      </c>
      <c r="C474">
        <v>4</v>
      </c>
      <c r="D474" t="s">
        <v>14</v>
      </c>
      <c r="E474">
        <v>3</v>
      </c>
      <c r="F474" t="s">
        <v>61</v>
      </c>
      <c r="G474" t="s">
        <v>31</v>
      </c>
      <c r="H474" t="s">
        <v>14</v>
      </c>
      <c r="I474">
        <v>4</v>
      </c>
      <c r="J474">
        <v>3</v>
      </c>
    </row>
    <row r="475" spans="1:10" x14ac:dyDescent="0.2">
      <c r="A475" s="1" t="s">
        <v>237</v>
      </c>
      <c r="B475" t="s">
        <v>21</v>
      </c>
      <c r="C475">
        <v>5</v>
      </c>
      <c r="D475" t="s">
        <v>35</v>
      </c>
      <c r="E475">
        <v>2</v>
      </c>
      <c r="F475" t="s">
        <v>60</v>
      </c>
      <c r="G475" t="s">
        <v>21</v>
      </c>
      <c r="H475" t="s">
        <v>35</v>
      </c>
      <c r="I475">
        <v>5</v>
      </c>
      <c r="J475">
        <v>2</v>
      </c>
    </row>
    <row r="476" spans="1:10" x14ac:dyDescent="0.2">
      <c r="A476" s="1" t="s">
        <v>237</v>
      </c>
      <c r="B476" t="s">
        <v>39</v>
      </c>
      <c r="C476">
        <v>4</v>
      </c>
      <c r="D476" t="s">
        <v>40</v>
      </c>
      <c r="E476">
        <v>3</v>
      </c>
      <c r="F476" t="s">
        <v>60</v>
      </c>
      <c r="G476" t="s">
        <v>39</v>
      </c>
      <c r="H476" t="s">
        <v>40</v>
      </c>
      <c r="I476">
        <v>4</v>
      </c>
      <c r="J476">
        <v>3</v>
      </c>
    </row>
    <row r="477" spans="1:10" x14ac:dyDescent="0.2">
      <c r="A477" s="1" t="s">
        <v>238</v>
      </c>
      <c r="B477" t="s">
        <v>26</v>
      </c>
      <c r="C477">
        <v>4</v>
      </c>
      <c r="D477" t="s">
        <v>16</v>
      </c>
      <c r="E477">
        <v>3</v>
      </c>
      <c r="F477" t="s">
        <v>60</v>
      </c>
      <c r="G477" t="s">
        <v>26</v>
      </c>
      <c r="H477" t="s">
        <v>16</v>
      </c>
      <c r="I477">
        <v>4</v>
      </c>
      <c r="J477">
        <v>3</v>
      </c>
    </row>
    <row r="478" spans="1:10" x14ac:dyDescent="0.2">
      <c r="A478" s="1" t="s">
        <v>238</v>
      </c>
      <c r="B478" t="s">
        <v>15</v>
      </c>
      <c r="C478">
        <v>0</v>
      </c>
      <c r="D478" t="s">
        <v>10</v>
      </c>
      <c r="E478">
        <v>3</v>
      </c>
      <c r="F478" t="s">
        <v>60</v>
      </c>
      <c r="G478" t="s">
        <v>10</v>
      </c>
      <c r="H478" t="s">
        <v>15</v>
      </c>
      <c r="I478">
        <v>3</v>
      </c>
      <c r="J478">
        <v>0</v>
      </c>
    </row>
    <row r="479" spans="1:10" x14ac:dyDescent="0.2">
      <c r="A479" s="1" t="s">
        <v>238</v>
      </c>
      <c r="B479" t="s">
        <v>13</v>
      </c>
      <c r="C479">
        <v>2</v>
      </c>
      <c r="D479" t="s">
        <v>32</v>
      </c>
      <c r="E479">
        <v>3</v>
      </c>
      <c r="F479" t="s">
        <v>62</v>
      </c>
      <c r="G479" t="s">
        <v>32</v>
      </c>
      <c r="H479" t="s">
        <v>13</v>
      </c>
      <c r="I479">
        <v>3</v>
      </c>
      <c r="J479">
        <v>2</v>
      </c>
    </row>
    <row r="480" spans="1:10" x14ac:dyDescent="0.2">
      <c r="A480" s="1" t="s">
        <v>238</v>
      </c>
      <c r="B480" t="s">
        <v>11</v>
      </c>
      <c r="C480">
        <v>4</v>
      </c>
      <c r="D480" t="s">
        <v>55</v>
      </c>
      <c r="E480">
        <v>3</v>
      </c>
      <c r="F480" t="s">
        <v>60</v>
      </c>
      <c r="G480" t="s">
        <v>11</v>
      </c>
      <c r="H480" t="s">
        <v>55</v>
      </c>
      <c r="I480">
        <v>4</v>
      </c>
      <c r="J480">
        <v>3</v>
      </c>
    </row>
    <row r="481" spans="1:10" x14ac:dyDescent="0.2">
      <c r="A481" s="1" t="s">
        <v>239</v>
      </c>
      <c r="B481" t="s">
        <v>36</v>
      </c>
      <c r="C481">
        <v>6</v>
      </c>
      <c r="D481" t="s">
        <v>28</v>
      </c>
      <c r="E481">
        <v>3</v>
      </c>
      <c r="F481" t="s">
        <v>60</v>
      </c>
      <c r="G481" t="s">
        <v>36</v>
      </c>
      <c r="H481" t="s">
        <v>28</v>
      </c>
      <c r="I481">
        <v>6</v>
      </c>
      <c r="J481">
        <v>3</v>
      </c>
    </row>
    <row r="482" spans="1:10" x14ac:dyDescent="0.2">
      <c r="A482" s="1" t="s">
        <v>239</v>
      </c>
      <c r="B482" t="s">
        <v>11</v>
      </c>
      <c r="C482">
        <v>2</v>
      </c>
      <c r="D482" t="s">
        <v>12</v>
      </c>
      <c r="E482">
        <v>6</v>
      </c>
      <c r="F482" t="s">
        <v>60</v>
      </c>
      <c r="G482" t="s">
        <v>12</v>
      </c>
      <c r="H482" t="s">
        <v>11</v>
      </c>
      <c r="I482">
        <v>6</v>
      </c>
      <c r="J482">
        <v>2</v>
      </c>
    </row>
    <row r="483" spans="1:10" x14ac:dyDescent="0.2">
      <c r="A483" s="1" t="s">
        <v>239</v>
      </c>
      <c r="B483" t="s">
        <v>26</v>
      </c>
      <c r="C483">
        <v>1</v>
      </c>
      <c r="D483" t="s">
        <v>17</v>
      </c>
      <c r="E483">
        <v>4</v>
      </c>
      <c r="F483" t="s">
        <v>60</v>
      </c>
      <c r="G483" t="s">
        <v>17</v>
      </c>
      <c r="H483" t="s">
        <v>26</v>
      </c>
      <c r="I483">
        <v>4</v>
      </c>
      <c r="J483">
        <v>1</v>
      </c>
    </row>
    <row r="484" spans="1:10" x14ac:dyDescent="0.2">
      <c r="A484" s="1" t="s">
        <v>239</v>
      </c>
      <c r="B484" t="s">
        <v>39</v>
      </c>
      <c r="C484">
        <v>2</v>
      </c>
      <c r="D484" t="s">
        <v>34</v>
      </c>
      <c r="E484">
        <v>5</v>
      </c>
      <c r="F484" t="s">
        <v>60</v>
      </c>
      <c r="G484" t="s">
        <v>34</v>
      </c>
      <c r="H484" t="s">
        <v>39</v>
      </c>
      <c r="I484">
        <v>5</v>
      </c>
      <c r="J484">
        <v>2</v>
      </c>
    </row>
    <row r="485" spans="1:10" x14ac:dyDescent="0.2">
      <c r="A485" s="1" t="s">
        <v>239</v>
      </c>
      <c r="B485" t="s">
        <v>37</v>
      </c>
      <c r="C485">
        <v>8</v>
      </c>
      <c r="D485" t="s">
        <v>24</v>
      </c>
      <c r="E485">
        <v>4</v>
      </c>
      <c r="F485" t="s">
        <v>60</v>
      </c>
      <c r="G485" t="s">
        <v>37</v>
      </c>
      <c r="H485" t="s">
        <v>24</v>
      </c>
      <c r="I485">
        <v>8</v>
      </c>
      <c r="J485">
        <v>4</v>
      </c>
    </row>
    <row r="486" spans="1:10" x14ac:dyDescent="0.2">
      <c r="A486" s="1" t="s">
        <v>239</v>
      </c>
      <c r="B486" t="s">
        <v>35</v>
      </c>
      <c r="C486">
        <v>2</v>
      </c>
      <c r="D486" t="s">
        <v>29</v>
      </c>
      <c r="E486">
        <v>7</v>
      </c>
      <c r="F486" t="s">
        <v>60</v>
      </c>
      <c r="G486" t="s">
        <v>29</v>
      </c>
      <c r="H486" t="s">
        <v>35</v>
      </c>
      <c r="I486">
        <v>7</v>
      </c>
      <c r="J486">
        <v>2</v>
      </c>
    </row>
    <row r="487" spans="1:10" x14ac:dyDescent="0.2">
      <c r="A487" s="1" t="s">
        <v>239</v>
      </c>
      <c r="B487" t="s">
        <v>31</v>
      </c>
      <c r="C487">
        <v>2</v>
      </c>
      <c r="D487" t="s">
        <v>30</v>
      </c>
      <c r="E487">
        <v>5</v>
      </c>
      <c r="F487" t="s">
        <v>60</v>
      </c>
      <c r="G487" t="s">
        <v>30</v>
      </c>
      <c r="H487" t="s">
        <v>31</v>
      </c>
      <c r="I487">
        <v>5</v>
      </c>
      <c r="J487">
        <v>2</v>
      </c>
    </row>
    <row r="488" spans="1:10" x14ac:dyDescent="0.2">
      <c r="A488" s="1" t="s">
        <v>239</v>
      </c>
      <c r="B488" t="s">
        <v>20</v>
      </c>
      <c r="C488">
        <v>3</v>
      </c>
      <c r="D488" t="s">
        <v>27</v>
      </c>
      <c r="E488">
        <v>2</v>
      </c>
      <c r="F488" t="s">
        <v>62</v>
      </c>
      <c r="G488" t="s">
        <v>20</v>
      </c>
      <c r="H488" t="s">
        <v>27</v>
      </c>
      <c r="I488">
        <v>3</v>
      </c>
      <c r="J488">
        <v>2</v>
      </c>
    </row>
    <row r="489" spans="1:10" x14ac:dyDescent="0.2">
      <c r="A489" s="1" t="s">
        <v>239</v>
      </c>
      <c r="B489" t="s">
        <v>18</v>
      </c>
      <c r="C489">
        <v>4</v>
      </c>
      <c r="D489" t="s">
        <v>14</v>
      </c>
      <c r="E489">
        <v>2</v>
      </c>
      <c r="F489" t="s">
        <v>60</v>
      </c>
      <c r="G489" t="s">
        <v>18</v>
      </c>
      <c r="H489" t="s">
        <v>14</v>
      </c>
      <c r="I489">
        <v>4</v>
      </c>
      <c r="J489">
        <v>2</v>
      </c>
    </row>
    <row r="490" spans="1:10" x14ac:dyDescent="0.2">
      <c r="A490" s="1" t="s">
        <v>239</v>
      </c>
      <c r="B490" t="s">
        <v>33</v>
      </c>
      <c r="C490">
        <v>3</v>
      </c>
      <c r="D490" t="s">
        <v>19</v>
      </c>
      <c r="E490">
        <v>2</v>
      </c>
      <c r="F490" t="s">
        <v>62</v>
      </c>
      <c r="G490" t="s">
        <v>33</v>
      </c>
      <c r="H490" t="s">
        <v>19</v>
      </c>
      <c r="I490">
        <v>3</v>
      </c>
      <c r="J490">
        <v>2</v>
      </c>
    </row>
    <row r="491" spans="1:10" x14ac:dyDescent="0.2">
      <c r="A491" s="1" t="s">
        <v>239</v>
      </c>
      <c r="B491" t="s">
        <v>23</v>
      </c>
      <c r="C491">
        <v>3</v>
      </c>
      <c r="D491" t="s">
        <v>38</v>
      </c>
      <c r="E491">
        <v>2</v>
      </c>
      <c r="F491" t="s">
        <v>60</v>
      </c>
      <c r="G491" t="s">
        <v>23</v>
      </c>
      <c r="H491" t="s">
        <v>38</v>
      </c>
      <c r="I491">
        <v>3</v>
      </c>
      <c r="J491">
        <v>2</v>
      </c>
    </row>
    <row r="492" spans="1:10" x14ac:dyDescent="0.2">
      <c r="A492" s="1" t="s">
        <v>239</v>
      </c>
      <c r="B492" t="s">
        <v>21</v>
      </c>
      <c r="C492">
        <v>6</v>
      </c>
      <c r="D492" t="s">
        <v>40</v>
      </c>
      <c r="E492">
        <v>3</v>
      </c>
      <c r="F492" t="s">
        <v>60</v>
      </c>
      <c r="G492" t="s">
        <v>21</v>
      </c>
      <c r="H492" t="s">
        <v>40</v>
      </c>
      <c r="I492">
        <v>6</v>
      </c>
      <c r="J492">
        <v>3</v>
      </c>
    </row>
    <row r="493" spans="1:10" x14ac:dyDescent="0.2">
      <c r="A493" s="1" t="s">
        <v>239</v>
      </c>
      <c r="B493" t="s">
        <v>25</v>
      </c>
      <c r="C493">
        <v>3</v>
      </c>
      <c r="D493" t="s">
        <v>22</v>
      </c>
      <c r="E493">
        <v>2</v>
      </c>
      <c r="F493" t="s">
        <v>61</v>
      </c>
      <c r="G493" t="s">
        <v>25</v>
      </c>
      <c r="H493" t="s">
        <v>22</v>
      </c>
      <c r="I493">
        <v>3</v>
      </c>
      <c r="J493">
        <v>2</v>
      </c>
    </row>
    <row r="494" spans="1:10" x14ac:dyDescent="0.2">
      <c r="A494" s="1" t="s">
        <v>240</v>
      </c>
      <c r="B494" t="s">
        <v>10</v>
      </c>
      <c r="C494">
        <v>2</v>
      </c>
      <c r="D494" t="s">
        <v>35</v>
      </c>
      <c r="E494">
        <v>3</v>
      </c>
      <c r="F494" t="s">
        <v>60</v>
      </c>
      <c r="G494" t="s">
        <v>35</v>
      </c>
      <c r="H494" t="s">
        <v>10</v>
      </c>
      <c r="I494">
        <v>3</v>
      </c>
      <c r="J494">
        <v>2</v>
      </c>
    </row>
    <row r="495" spans="1:10" x14ac:dyDescent="0.2">
      <c r="A495" s="1" t="s">
        <v>240</v>
      </c>
      <c r="B495" t="s">
        <v>32</v>
      </c>
      <c r="C495">
        <v>3</v>
      </c>
      <c r="D495" t="s">
        <v>55</v>
      </c>
      <c r="E495">
        <v>5</v>
      </c>
      <c r="F495" t="s">
        <v>60</v>
      </c>
      <c r="G495" t="s">
        <v>55</v>
      </c>
      <c r="H495" t="s">
        <v>32</v>
      </c>
      <c r="I495">
        <v>5</v>
      </c>
      <c r="J495">
        <v>3</v>
      </c>
    </row>
    <row r="496" spans="1:10" x14ac:dyDescent="0.2">
      <c r="A496" s="1" t="s">
        <v>63</v>
      </c>
      <c r="B496" t="s">
        <v>20</v>
      </c>
      <c r="C496">
        <v>3</v>
      </c>
      <c r="D496" t="s">
        <v>28</v>
      </c>
      <c r="E496">
        <v>2</v>
      </c>
      <c r="F496" t="s">
        <v>60</v>
      </c>
      <c r="G496" t="s">
        <v>20</v>
      </c>
      <c r="H496" t="s">
        <v>28</v>
      </c>
      <c r="I496">
        <v>3</v>
      </c>
      <c r="J496">
        <v>2</v>
      </c>
    </row>
    <row r="497" spans="1:10" x14ac:dyDescent="0.2">
      <c r="A497" s="1" t="s">
        <v>63</v>
      </c>
      <c r="B497" t="s">
        <v>26</v>
      </c>
      <c r="C497">
        <v>4</v>
      </c>
      <c r="D497" t="s">
        <v>10</v>
      </c>
      <c r="E497">
        <v>0</v>
      </c>
      <c r="F497" t="s">
        <v>60</v>
      </c>
      <c r="G497" t="s">
        <v>26</v>
      </c>
      <c r="H497" t="s">
        <v>10</v>
      </c>
      <c r="I497">
        <v>4</v>
      </c>
      <c r="J497">
        <v>0</v>
      </c>
    </row>
    <row r="498" spans="1:10" x14ac:dyDescent="0.2">
      <c r="A498" s="1" t="s">
        <v>63</v>
      </c>
      <c r="B498" t="s">
        <v>29</v>
      </c>
      <c r="C498">
        <v>2</v>
      </c>
      <c r="D498" t="s">
        <v>12</v>
      </c>
      <c r="E498">
        <v>4</v>
      </c>
      <c r="F498" t="s">
        <v>60</v>
      </c>
      <c r="G498" t="s">
        <v>12</v>
      </c>
      <c r="H498" t="s">
        <v>29</v>
      </c>
      <c r="I498">
        <v>4</v>
      </c>
      <c r="J498">
        <v>2</v>
      </c>
    </row>
    <row r="499" spans="1:10" x14ac:dyDescent="0.2">
      <c r="A499" s="1" t="s">
        <v>63</v>
      </c>
      <c r="B499" t="s">
        <v>11</v>
      </c>
      <c r="C499">
        <v>4</v>
      </c>
      <c r="D499" t="s">
        <v>39</v>
      </c>
      <c r="E499">
        <v>0</v>
      </c>
      <c r="F499" t="s">
        <v>60</v>
      </c>
      <c r="G499" t="s">
        <v>11</v>
      </c>
      <c r="H499" t="s">
        <v>39</v>
      </c>
      <c r="I499">
        <v>4</v>
      </c>
      <c r="J499">
        <v>0</v>
      </c>
    </row>
    <row r="500" spans="1:10" x14ac:dyDescent="0.2">
      <c r="A500" s="1" t="s">
        <v>63</v>
      </c>
      <c r="B500" t="s">
        <v>16</v>
      </c>
      <c r="C500">
        <v>2</v>
      </c>
      <c r="D500" t="s">
        <v>13</v>
      </c>
      <c r="E500">
        <v>1</v>
      </c>
      <c r="F500" t="s">
        <v>62</v>
      </c>
      <c r="G500" t="s">
        <v>16</v>
      </c>
      <c r="H500" t="s">
        <v>13</v>
      </c>
      <c r="I500">
        <v>2</v>
      </c>
      <c r="J500">
        <v>1</v>
      </c>
    </row>
    <row r="501" spans="1:10" x14ac:dyDescent="0.2">
      <c r="A501" s="1" t="s">
        <v>63</v>
      </c>
      <c r="B501" t="s">
        <v>36</v>
      </c>
      <c r="C501">
        <v>2</v>
      </c>
      <c r="D501" t="s">
        <v>34</v>
      </c>
      <c r="E501">
        <v>3</v>
      </c>
      <c r="F501" t="s">
        <v>60</v>
      </c>
      <c r="G501" t="s">
        <v>34</v>
      </c>
      <c r="H501" t="s">
        <v>36</v>
      </c>
      <c r="I501">
        <v>3</v>
      </c>
      <c r="J501">
        <v>2</v>
      </c>
    </row>
    <row r="502" spans="1:10" x14ac:dyDescent="0.2">
      <c r="A502" t="s">
        <v>63</v>
      </c>
      <c r="B502" t="s">
        <v>31</v>
      </c>
      <c r="C502">
        <v>1</v>
      </c>
      <c r="D502" t="s">
        <v>24</v>
      </c>
      <c r="E502">
        <v>4</v>
      </c>
      <c r="F502" t="s">
        <v>60</v>
      </c>
      <c r="G502" t="s">
        <v>24</v>
      </c>
      <c r="H502" t="s">
        <v>31</v>
      </c>
      <c r="I502">
        <v>4</v>
      </c>
      <c r="J502">
        <v>1</v>
      </c>
    </row>
    <row r="503" spans="1:10" x14ac:dyDescent="0.2">
      <c r="A503" t="s">
        <v>63</v>
      </c>
      <c r="B503" t="s">
        <v>37</v>
      </c>
      <c r="C503">
        <v>2</v>
      </c>
      <c r="D503" t="s">
        <v>30</v>
      </c>
      <c r="E503">
        <v>3</v>
      </c>
      <c r="F503" t="s">
        <v>61</v>
      </c>
      <c r="G503" t="s">
        <v>30</v>
      </c>
      <c r="H503" t="s">
        <v>37</v>
      </c>
      <c r="I503">
        <v>3</v>
      </c>
      <c r="J503">
        <v>2</v>
      </c>
    </row>
    <row r="504" spans="1:10" x14ac:dyDescent="0.2">
      <c r="A504" t="s">
        <v>63</v>
      </c>
      <c r="B504" t="s">
        <v>18</v>
      </c>
      <c r="C504">
        <v>4</v>
      </c>
      <c r="D504" t="s">
        <v>15</v>
      </c>
      <c r="E504">
        <v>5</v>
      </c>
      <c r="F504" t="s">
        <v>62</v>
      </c>
      <c r="G504" t="s">
        <v>15</v>
      </c>
      <c r="H504" t="s">
        <v>18</v>
      </c>
      <c r="I504">
        <v>5</v>
      </c>
      <c r="J504">
        <v>4</v>
      </c>
    </row>
    <row r="505" spans="1:10" x14ac:dyDescent="0.2">
      <c r="A505" t="s">
        <v>63</v>
      </c>
      <c r="B505" t="s">
        <v>25</v>
      </c>
      <c r="C505">
        <v>4</v>
      </c>
      <c r="D505" t="s">
        <v>27</v>
      </c>
      <c r="E505">
        <v>3</v>
      </c>
      <c r="F505" t="s">
        <v>61</v>
      </c>
      <c r="G505" t="s">
        <v>25</v>
      </c>
      <c r="H505" t="s">
        <v>27</v>
      </c>
      <c r="I505">
        <v>4</v>
      </c>
      <c r="J505">
        <v>3</v>
      </c>
    </row>
    <row r="506" spans="1:10" x14ac:dyDescent="0.2">
      <c r="A506" t="s">
        <v>63</v>
      </c>
      <c r="B506" t="s">
        <v>33</v>
      </c>
      <c r="C506">
        <v>6</v>
      </c>
      <c r="D506" t="s">
        <v>14</v>
      </c>
      <c r="E506">
        <v>5</v>
      </c>
      <c r="F506" t="s">
        <v>62</v>
      </c>
      <c r="G506" t="s">
        <v>33</v>
      </c>
      <c r="H506" t="s">
        <v>14</v>
      </c>
      <c r="I506">
        <v>6</v>
      </c>
      <c r="J506">
        <v>5</v>
      </c>
    </row>
    <row r="507" spans="1:10" x14ac:dyDescent="0.2">
      <c r="A507" t="s">
        <v>63</v>
      </c>
      <c r="B507" t="s">
        <v>17</v>
      </c>
      <c r="C507">
        <v>6</v>
      </c>
      <c r="D507" t="s">
        <v>19</v>
      </c>
      <c r="E507">
        <v>3</v>
      </c>
      <c r="F507" t="s">
        <v>60</v>
      </c>
      <c r="G507" t="s">
        <v>17</v>
      </c>
      <c r="H507" t="s">
        <v>19</v>
      </c>
      <c r="I507">
        <v>6</v>
      </c>
      <c r="J507">
        <v>3</v>
      </c>
    </row>
    <row r="508" spans="1:10" x14ac:dyDescent="0.2">
      <c r="A508" t="s">
        <v>63</v>
      </c>
      <c r="B508" t="s">
        <v>22</v>
      </c>
      <c r="C508">
        <v>1</v>
      </c>
      <c r="D508" t="s">
        <v>40</v>
      </c>
      <c r="E508">
        <v>5</v>
      </c>
      <c r="F508" t="s">
        <v>60</v>
      </c>
      <c r="G508" t="s">
        <v>40</v>
      </c>
      <c r="H508" t="s">
        <v>22</v>
      </c>
      <c r="I508">
        <v>5</v>
      </c>
      <c r="J508">
        <v>1</v>
      </c>
    </row>
    <row r="509" spans="1:10" x14ac:dyDescent="0.2">
      <c r="A509" t="s">
        <v>64</v>
      </c>
      <c r="B509" t="s">
        <v>27</v>
      </c>
      <c r="C509">
        <v>2</v>
      </c>
      <c r="D509" t="s">
        <v>25</v>
      </c>
      <c r="E509">
        <v>3</v>
      </c>
      <c r="F509" t="s">
        <v>61</v>
      </c>
      <c r="G509" t="s">
        <v>25</v>
      </c>
      <c r="H509" t="s">
        <v>27</v>
      </c>
      <c r="I509">
        <v>3</v>
      </c>
      <c r="J509">
        <v>2</v>
      </c>
    </row>
    <row r="510" spans="1:10" x14ac:dyDescent="0.2">
      <c r="A510" t="s">
        <v>64</v>
      </c>
      <c r="B510" t="s">
        <v>21</v>
      </c>
      <c r="C510">
        <v>2</v>
      </c>
      <c r="D510" t="s">
        <v>34</v>
      </c>
      <c r="E510">
        <v>6</v>
      </c>
      <c r="F510" t="s">
        <v>60</v>
      </c>
      <c r="G510" t="s">
        <v>34</v>
      </c>
      <c r="H510" t="s">
        <v>21</v>
      </c>
      <c r="I510">
        <v>6</v>
      </c>
      <c r="J510">
        <v>2</v>
      </c>
    </row>
    <row r="511" spans="1:10" x14ac:dyDescent="0.2">
      <c r="A511" t="s">
        <v>64</v>
      </c>
      <c r="B511" t="s">
        <v>17</v>
      </c>
      <c r="C511">
        <v>1</v>
      </c>
      <c r="D511" t="s">
        <v>18</v>
      </c>
      <c r="E511">
        <v>4</v>
      </c>
      <c r="F511" t="s">
        <v>60</v>
      </c>
      <c r="G511" t="s">
        <v>18</v>
      </c>
      <c r="H511" t="s">
        <v>17</v>
      </c>
      <c r="I511">
        <v>4</v>
      </c>
      <c r="J511">
        <v>1</v>
      </c>
    </row>
    <row r="512" spans="1:10" x14ac:dyDescent="0.2">
      <c r="A512" t="s">
        <v>64</v>
      </c>
      <c r="B512" t="s">
        <v>38</v>
      </c>
      <c r="C512">
        <v>2</v>
      </c>
      <c r="D512" t="s">
        <v>24</v>
      </c>
      <c r="E512">
        <v>1</v>
      </c>
      <c r="F512" t="s">
        <v>60</v>
      </c>
      <c r="G512" t="s">
        <v>38</v>
      </c>
      <c r="H512" t="s">
        <v>24</v>
      </c>
      <c r="I512">
        <v>2</v>
      </c>
      <c r="J512">
        <v>1</v>
      </c>
    </row>
    <row r="513" spans="1:10" x14ac:dyDescent="0.2">
      <c r="A513" t="s">
        <v>64</v>
      </c>
      <c r="B513" t="s">
        <v>55</v>
      </c>
      <c r="C513">
        <v>5</v>
      </c>
      <c r="D513" t="s">
        <v>14</v>
      </c>
      <c r="E513">
        <v>4</v>
      </c>
      <c r="F513" t="s">
        <v>62</v>
      </c>
      <c r="G513" t="s">
        <v>55</v>
      </c>
      <c r="H513" t="s">
        <v>14</v>
      </c>
      <c r="I513">
        <v>5</v>
      </c>
      <c r="J513">
        <v>4</v>
      </c>
    </row>
    <row r="514" spans="1:10" x14ac:dyDescent="0.2">
      <c r="A514" t="s">
        <v>64</v>
      </c>
      <c r="B514" t="s">
        <v>23</v>
      </c>
      <c r="C514">
        <v>3</v>
      </c>
      <c r="D514" t="s">
        <v>32</v>
      </c>
      <c r="E514">
        <v>1</v>
      </c>
      <c r="F514" t="s">
        <v>60</v>
      </c>
      <c r="G514" t="s">
        <v>23</v>
      </c>
      <c r="H514" t="s">
        <v>32</v>
      </c>
      <c r="I514">
        <v>3</v>
      </c>
      <c r="J514">
        <v>1</v>
      </c>
    </row>
    <row r="515" spans="1:10" x14ac:dyDescent="0.2">
      <c r="A515" t="s">
        <v>65</v>
      </c>
      <c r="B515" t="s">
        <v>13</v>
      </c>
      <c r="C515">
        <v>1</v>
      </c>
      <c r="D515" t="s">
        <v>39</v>
      </c>
      <c r="E515">
        <v>4</v>
      </c>
      <c r="F515" t="s">
        <v>60</v>
      </c>
      <c r="G515" t="s">
        <v>39</v>
      </c>
      <c r="H515" t="s">
        <v>13</v>
      </c>
      <c r="I515">
        <v>4</v>
      </c>
      <c r="J515">
        <v>1</v>
      </c>
    </row>
    <row r="516" spans="1:10" x14ac:dyDescent="0.2">
      <c r="A516" t="s">
        <v>65</v>
      </c>
      <c r="B516" t="s">
        <v>31</v>
      </c>
      <c r="C516">
        <v>4</v>
      </c>
      <c r="D516" t="s">
        <v>15</v>
      </c>
      <c r="E516">
        <v>1</v>
      </c>
      <c r="F516" t="s">
        <v>60</v>
      </c>
      <c r="G516" t="s">
        <v>31</v>
      </c>
      <c r="H516" t="s">
        <v>15</v>
      </c>
      <c r="I516">
        <v>4</v>
      </c>
      <c r="J516">
        <v>1</v>
      </c>
    </row>
    <row r="517" spans="1:10" x14ac:dyDescent="0.2">
      <c r="A517" t="s">
        <v>65</v>
      </c>
      <c r="B517" t="s">
        <v>29</v>
      </c>
      <c r="C517">
        <v>5</v>
      </c>
      <c r="D517" t="s">
        <v>35</v>
      </c>
      <c r="E517">
        <v>2</v>
      </c>
      <c r="F517" t="s">
        <v>60</v>
      </c>
      <c r="G517" t="s">
        <v>29</v>
      </c>
      <c r="H517" t="s">
        <v>35</v>
      </c>
      <c r="I517">
        <v>5</v>
      </c>
      <c r="J517">
        <v>2</v>
      </c>
    </row>
    <row r="518" spans="1:10" x14ac:dyDescent="0.2">
      <c r="A518" t="s">
        <v>65</v>
      </c>
      <c r="B518" t="s">
        <v>11</v>
      </c>
      <c r="C518">
        <v>5</v>
      </c>
      <c r="D518" t="s">
        <v>37</v>
      </c>
      <c r="E518">
        <v>2</v>
      </c>
      <c r="F518" t="s">
        <v>60</v>
      </c>
      <c r="G518" t="s">
        <v>11</v>
      </c>
      <c r="H518" t="s">
        <v>37</v>
      </c>
      <c r="I518">
        <v>5</v>
      </c>
      <c r="J518">
        <v>2</v>
      </c>
    </row>
    <row r="519" spans="1:10" x14ac:dyDescent="0.2">
      <c r="A519" t="s">
        <v>65</v>
      </c>
      <c r="B519" t="s">
        <v>36</v>
      </c>
      <c r="C519">
        <v>3</v>
      </c>
      <c r="D519" t="s">
        <v>40</v>
      </c>
      <c r="E519">
        <v>2</v>
      </c>
      <c r="F519" t="s">
        <v>62</v>
      </c>
      <c r="G519" t="s">
        <v>36</v>
      </c>
      <c r="H519" t="s">
        <v>40</v>
      </c>
      <c r="I519">
        <v>3</v>
      </c>
      <c r="J519">
        <v>2</v>
      </c>
    </row>
    <row r="520" spans="1:10" x14ac:dyDescent="0.2">
      <c r="A520" t="s">
        <v>66</v>
      </c>
      <c r="B520" t="s">
        <v>55</v>
      </c>
      <c r="C520">
        <v>1</v>
      </c>
      <c r="D520" t="s">
        <v>21</v>
      </c>
      <c r="E520">
        <v>4</v>
      </c>
      <c r="F520" t="s">
        <v>60</v>
      </c>
      <c r="G520" t="s">
        <v>21</v>
      </c>
      <c r="H520" t="s">
        <v>55</v>
      </c>
      <c r="I520">
        <v>4</v>
      </c>
      <c r="J520">
        <v>1</v>
      </c>
    </row>
    <row r="521" spans="1:10" x14ac:dyDescent="0.2">
      <c r="A521" t="s">
        <v>66</v>
      </c>
      <c r="B521" t="s">
        <v>31</v>
      </c>
      <c r="C521">
        <v>3</v>
      </c>
      <c r="D521" t="s">
        <v>28</v>
      </c>
      <c r="E521">
        <v>4</v>
      </c>
      <c r="F521" t="s">
        <v>62</v>
      </c>
      <c r="G521" t="s">
        <v>28</v>
      </c>
      <c r="H521" t="s">
        <v>31</v>
      </c>
      <c r="I521">
        <v>4</v>
      </c>
      <c r="J521">
        <v>3</v>
      </c>
    </row>
    <row r="522" spans="1:10" x14ac:dyDescent="0.2">
      <c r="A522" t="s">
        <v>66</v>
      </c>
      <c r="B522" t="s">
        <v>30</v>
      </c>
      <c r="C522">
        <v>2</v>
      </c>
      <c r="D522" t="s">
        <v>26</v>
      </c>
      <c r="E522">
        <v>3</v>
      </c>
      <c r="F522" t="s">
        <v>60</v>
      </c>
      <c r="G522" t="s">
        <v>26</v>
      </c>
      <c r="H522" t="s">
        <v>30</v>
      </c>
      <c r="I522">
        <v>3</v>
      </c>
      <c r="J522">
        <v>2</v>
      </c>
    </row>
    <row r="523" spans="1:10" x14ac:dyDescent="0.2">
      <c r="A523" t="s">
        <v>66</v>
      </c>
      <c r="B523" t="s">
        <v>22</v>
      </c>
      <c r="C523">
        <v>0</v>
      </c>
      <c r="D523" t="s">
        <v>34</v>
      </c>
      <c r="E523">
        <v>5</v>
      </c>
      <c r="F523" t="s">
        <v>60</v>
      </c>
      <c r="G523" t="s">
        <v>34</v>
      </c>
      <c r="H523" t="s">
        <v>22</v>
      </c>
      <c r="I523">
        <v>5</v>
      </c>
      <c r="J523">
        <v>0</v>
      </c>
    </row>
    <row r="524" spans="1:10" x14ac:dyDescent="0.2">
      <c r="A524" t="s">
        <v>66</v>
      </c>
      <c r="B524" t="s">
        <v>27</v>
      </c>
      <c r="C524">
        <v>4</v>
      </c>
      <c r="D524" t="s">
        <v>18</v>
      </c>
      <c r="E524">
        <v>1</v>
      </c>
      <c r="F524" t="s">
        <v>60</v>
      </c>
      <c r="G524" t="s">
        <v>27</v>
      </c>
      <c r="H524" t="s">
        <v>18</v>
      </c>
      <c r="I524">
        <v>4</v>
      </c>
      <c r="J524">
        <v>1</v>
      </c>
    </row>
    <row r="525" spans="1:10" x14ac:dyDescent="0.2">
      <c r="A525" t="s">
        <v>66</v>
      </c>
      <c r="B525" t="s">
        <v>38</v>
      </c>
      <c r="C525">
        <v>3</v>
      </c>
      <c r="D525" t="s">
        <v>15</v>
      </c>
      <c r="E525">
        <v>0</v>
      </c>
      <c r="F525" t="s">
        <v>60</v>
      </c>
      <c r="G525" t="s">
        <v>38</v>
      </c>
      <c r="H525" t="s">
        <v>15</v>
      </c>
      <c r="I525">
        <v>3</v>
      </c>
      <c r="J525">
        <v>0</v>
      </c>
    </row>
    <row r="526" spans="1:10" x14ac:dyDescent="0.2">
      <c r="A526" t="s">
        <v>66</v>
      </c>
      <c r="B526" t="s">
        <v>17</v>
      </c>
      <c r="C526">
        <v>6</v>
      </c>
      <c r="D526" t="s">
        <v>14</v>
      </c>
      <c r="E526">
        <v>4</v>
      </c>
      <c r="F526" t="s">
        <v>60</v>
      </c>
      <c r="G526" t="s">
        <v>17</v>
      </c>
      <c r="H526" t="s">
        <v>14</v>
      </c>
      <c r="I526">
        <v>6</v>
      </c>
      <c r="J526">
        <v>4</v>
      </c>
    </row>
    <row r="527" spans="1:10" x14ac:dyDescent="0.2">
      <c r="A527" t="s">
        <v>66</v>
      </c>
      <c r="B527" t="s">
        <v>12</v>
      </c>
      <c r="C527">
        <v>5</v>
      </c>
      <c r="D527" t="s">
        <v>32</v>
      </c>
      <c r="E527">
        <v>3</v>
      </c>
      <c r="F527" t="s">
        <v>60</v>
      </c>
      <c r="G527" t="s">
        <v>12</v>
      </c>
      <c r="H527" t="s">
        <v>32</v>
      </c>
      <c r="I527">
        <v>5</v>
      </c>
      <c r="J527">
        <v>3</v>
      </c>
    </row>
    <row r="528" spans="1:10" x14ac:dyDescent="0.2">
      <c r="A528" t="s">
        <v>66</v>
      </c>
      <c r="B528" t="s">
        <v>16</v>
      </c>
      <c r="C528">
        <v>3</v>
      </c>
      <c r="D528" t="s">
        <v>33</v>
      </c>
      <c r="E528">
        <v>6</v>
      </c>
      <c r="F528" t="s">
        <v>60</v>
      </c>
      <c r="G528" t="s">
        <v>33</v>
      </c>
      <c r="H528" t="s">
        <v>16</v>
      </c>
      <c r="I528">
        <v>6</v>
      </c>
      <c r="J528">
        <v>3</v>
      </c>
    </row>
    <row r="529" spans="1:10" x14ac:dyDescent="0.2">
      <c r="A529" t="s">
        <v>66</v>
      </c>
      <c r="B529" t="s">
        <v>10</v>
      </c>
      <c r="C529">
        <v>2</v>
      </c>
      <c r="D529" t="s">
        <v>19</v>
      </c>
      <c r="E529">
        <v>3</v>
      </c>
      <c r="F529" t="s">
        <v>60</v>
      </c>
      <c r="G529" t="s">
        <v>19</v>
      </c>
      <c r="H529" t="s">
        <v>10</v>
      </c>
      <c r="I529">
        <v>3</v>
      </c>
      <c r="J529">
        <v>2</v>
      </c>
    </row>
    <row r="530" spans="1:10" x14ac:dyDescent="0.2">
      <c r="A530" t="s">
        <v>67</v>
      </c>
      <c r="B530" t="s">
        <v>55</v>
      </c>
      <c r="C530">
        <v>4</v>
      </c>
      <c r="D530" t="s">
        <v>26</v>
      </c>
      <c r="E530">
        <v>1</v>
      </c>
      <c r="F530" t="s">
        <v>60</v>
      </c>
      <c r="G530" t="s">
        <v>55</v>
      </c>
      <c r="H530" t="s">
        <v>26</v>
      </c>
      <c r="I530">
        <v>4</v>
      </c>
      <c r="J530">
        <v>1</v>
      </c>
    </row>
    <row r="531" spans="1:10" x14ac:dyDescent="0.2">
      <c r="A531" t="s">
        <v>67</v>
      </c>
      <c r="B531" t="s">
        <v>13</v>
      </c>
      <c r="C531">
        <v>2</v>
      </c>
      <c r="D531" t="s">
        <v>11</v>
      </c>
      <c r="E531">
        <v>3</v>
      </c>
      <c r="F531" t="s">
        <v>60</v>
      </c>
      <c r="G531" t="s">
        <v>11</v>
      </c>
      <c r="H531" t="s">
        <v>13</v>
      </c>
      <c r="I531">
        <v>3</v>
      </c>
      <c r="J531">
        <v>2</v>
      </c>
    </row>
    <row r="532" spans="1:10" x14ac:dyDescent="0.2">
      <c r="A532" t="s">
        <v>67</v>
      </c>
      <c r="B532" t="s">
        <v>25</v>
      </c>
      <c r="C532">
        <v>4</v>
      </c>
      <c r="D532" t="s">
        <v>29</v>
      </c>
      <c r="E532">
        <v>1</v>
      </c>
      <c r="F532" t="s">
        <v>60</v>
      </c>
      <c r="G532" t="s">
        <v>25</v>
      </c>
      <c r="H532" t="s">
        <v>29</v>
      </c>
      <c r="I532">
        <v>4</v>
      </c>
      <c r="J532">
        <v>1</v>
      </c>
    </row>
    <row r="533" spans="1:10" x14ac:dyDescent="0.2">
      <c r="A533" t="s">
        <v>67</v>
      </c>
      <c r="B533" t="s">
        <v>40</v>
      </c>
      <c r="C533">
        <v>0</v>
      </c>
      <c r="D533" t="s">
        <v>35</v>
      </c>
      <c r="E533">
        <v>1</v>
      </c>
      <c r="F533" t="s">
        <v>60</v>
      </c>
      <c r="G533" t="s">
        <v>35</v>
      </c>
      <c r="H533" t="s">
        <v>40</v>
      </c>
      <c r="I533">
        <v>1</v>
      </c>
      <c r="J533">
        <v>0</v>
      </c>
    </row>
    <row r="534" spans="1:10" x14ac:dyDescent="0.2">
      <c r="A534" t="s">
        <v>67</v>
      </c>
      <c r="B534" t="s">
        <v>24</v>
      </c>
      <c r="C534">
        <v>2</v>
      </c>
      <c r="D534" t="s">
        <v>20</v>
      </c>
      <c r="E534">
        <v>1</v>
      </c>
      <c r="F534" t="s">
        <v>61</v>
      </c>
      <c r="G534" t="s">
        <v>24</v>
      </c>
      <c r="H534" t="s">
        <v>20</v>
      </c>
      <c r="I534">
        <v>2</v>
      </c>
      <c r="J534">
        <v>1</v>
      </c>
    </row>
    <row r="535" spans="1:10" x14ac:dyDescent="0.2">
      <c r="A535" t="s">
        <v>68</v>
      </c>
      <c r="B535" t="s">
        <v>17</v>
      </c>
      <c r="C535">
        <v>3</v>
      </c>
      <c r="D535" t="s">
        <v>21</v>
      </c>
      <c r="E535">
        <v>1</v>
      </c>
      <c r="F535" t="s">
        <v>60</v>
      </c>
      <c r="G535" t="s">
        <v>17</v>
      </c>
      <c r="H535" t="s">
        <v>21</v>
      </c>
      <c r="I535">
        <v>3</v>
      </c>
      <c r="J535">
        <v>1</v>
      </c>
    </row>
    <row r="536" spans="1:10" x14ac:dyDescent="0.2">
      <c r="A536" t="s">
        <v>68</v>
      </c>
      <c r="B536" t="s">
        <v>27</v>
      </c>
      <c r="C536">
        <v>3</v>
      </c>
      <c r="D536" t="s">
        <v>23</v>
      </c>
      <c r="E536">
        <v>5</v>
      </c>
      <c r="F536" t="s">
        <v>60</v>
      </c>
      <c r="G536" t="s">
        <v>23</v>
      </c>
      <c r="H536" t="s">
        <v>27</v>
      </c>
      <c r="I536">
        <v>5</v>
      </c>
      <c r="J536">
        <v>3</v>
      </c>
    </row>
    <row r="537" spans="1:10" x14ac:dyDescent="0.2">
      <c r="A537" t="s">
        <v>68</v>
      </c>
      <c r="B537" t="s">
        <v>34</v>
      </c>
      <c r="C537">
        <v>5</v>
      </c>
      <c r="D537" t="s">
        <v>28</v>
      </c>
      <c r="E537">
        <v>2</v>
      </c>
      <c r="F537" t="s">
        <v>60</v>
      </c>
      <c r="G537" t="s">
        <v>34</v>
      </c>
      <c r="H537" t="s">
        <v>28</v>
      </c>
      <c r="I537">
        <v>5</v>
      </c>
      <c r="J537">
        <v>2</v>
      </c>
    </row>
    <row r="538" spans="1:10" x14ac:dyDescent="0.2">
      <c r="A538" t="s">
        <v>68</v>
      </c>
      <c r="B538" t="s">
        <v>32</v>
      </c>
      <c r="C538">
        <v>2</v>
      </c>
      <c r="D538" t="s">
        <v>16</v>
      </c>
      <c r="E538">
        <v>4</v>
      </c>
      <c r="F538" t="s">
        <v>60</v>
      </c>
      <c r="G538" t="s">
        <v>16</v>
      </c>
      <c r="H538" t="s">
        <v>32</v>
      </c>
      <c r="I538">
        <v>4</v>
      </c>
      <c r="J538">
        <v>2</v>
      </c>
    </row>
    <row r="539" spans="1:10" x14ac:dyDescent="0.2">
      <c r="A539" t="s">
        <v>68</v>
      </c>
      <c r="B539" t="s">
        <v>10</v>
      </c>
      <c r="C539">
        <v>1</v>
      </c>
      <c r="D539" t="s">
        <v>18</v>
      </c>
      <c r="E539">
        <v>4</v>
      </c>
      <c r="F539" t="s">
        <v>60</v>
      </c>
      <c r="G539" t="s">
        <v>18</v>
      </c>
      <c r="H539" t="s">
        <v>10</v>
      </c>
      <c r="I539">
        <v>4</v>
      </c>
      <c r="J539">
        <v>1</v>
      </c>
    </row>
    <row r="540" spans="1:10" x14ac:dyDescent="0.2">
      <c r="A540" t="s">
        <v>68</v>
      </c>
      <c r="B540" t="s">
        <v>14</v>
      </c>
      <c r="C540">
        <v>0</v>
      </c>
      <c r="D540" t="s">
        <v>36</v>
      </c>
      <c r="E540">
        <v>4</v>
      </c>
      <c r="F540" t="s">
        <v>60</v>
      </c>
      <c r="G540" t="s">
        <v>36</v>
      </c>
      <c r="H540" t="s">
        <v>14</v>
      </c>
      <c r="I540">
        <v>4</v>
      </c>
      <c r="J540">
        <v>0</v>
      </c>
    </row>
    <row r="541" spans="1:10" x14ac:dyDescent="0.2">
      <c r="A541" t="s">
        <v>68</v>
      </c>
      <c r="B541" t="s">
        <v>39</v>
      </c>
      <c r="C541">
        <v>5</v>
      </c>
      <c r="D541" t="s">
        <v>33</v>
      </c>
      <c r="E541">
        <v>3</v>
      </c>
      <c r="F541" t="s">
        <v>60</v>
      </c>
      <c r="G541" t="s">
        <v>39</v>
      </c>
      <c r="H541" t="s">
        <v>33</v>
      </c>
      <c r="I541">
        <v>5</v>
      </c>
      <c r="J541">
        <v>3</v>
      </c>
    </row>
    <row r="542" spans="1:10" x14ac:dyDescent="0.2">
      <c r="A542" t="s">
        <v>68</v>
      </c>
      <c r="B542" t="s">
        <v>15</v>
      </c>
      <c r="C542">
        <v>2</v>
      </c>
      <c r="D542" t="s">
        <v>35</v>
      </c>
      <c r="E542">
        <v>1</v>
      </c>
      <c r="F542" t="s">
        <v>62</v>
      </c>
      <c r="G542" t="s">
        <v>15</v>
      </c>
      <c r="H542" t="s">
        <v>35</v>
      </c>
      <c r="I542">
        <v>2</v>
      </c>
      <c r="J542">
        <v>1</v>
      </c>
    </row>
    <row r="543" spans="1:10" x14ac:dyDescent="0.2">
      <c r="A543" t="s">
        <v>68</v>
      </c>
      <c r="B543" t="s">
        <v>13</v>
      </c>
      <c r="C543">
        <v>2</v>
      </c>
      <c r="D543" t="s">
        <v>37</v>
      </c>
      <c r="E543">
        <v>1</v>
      </c>
      <c r="F543" t="s">
        <v>60</v>
      </c>
      <c r="G543" t="s">
        <v>13</v>
      </c>
      <c r="H543" t="s">
        <v>37</v>
      </c>
      <c r="I543">
        <v>2</v>
      </c>
      <c r="J543">
        <v>1</v>
      </c>
    </row>
    <row r="544" spans="1:10" x14ac:dyDescent="0.2">
      <c r="A544" t="s">
        <v>68</v>
      </c>
      <c r="B544" t="s">
        <v>19</v>
      </c>
      <c r="C544">
        <v>0</v>
      </c>
      <c r="D544" t="s">
        <v>22</v>
      </c>
      <c r="E544">
        <v>4</v>
      </c>
      <c r="F544" t="s">
        <v>60</v>
      </c>
      <c r="G544" t="s">
        <v>22</v>
      </c>
      <c r="H544" t="s">
        <v>19</v>
      </c>
      <c r="I544">
        <v>4</v>
      </c>
      <c r="J544">
        <v>0</v>
      </c>
    </row>
    <row r="545" spans="1:10" x14ac:dyDescent="0.2">
      <c r="A545" t="s">
        <v>69</v>
      </c>
      <c r="B545" t="s">
        <v>39</v>
      </c>
      <c r="C545">
        <v>8</v>
      </c>
      <c r="D545" t="s">
        <v>31</v>
      </c>
      <c r="E545">
        <v>3</v>
      </c>
      <c r="F545" t="s">
        <v>60</v>
      </c>
      <c r="G545" t="s">
        <v>39</v>
      </c>
      <c r="H545" t="s">
        <v>31</v>
      </c>
      <c r="I545">
        <v>8</v>
      </c>
      <c r="J545">
        <v>3</v>
      </c>
    </row>
    <row r="546" spans="1:10" x14ac:dyDescent="0.2">
      <c r="A546" t="s">
        <v>69</v>
      </c>
      <c r="B546" t="s">
        <v>40</v>
      </c>
      <c r="C546">
        <v>2</v>
      </c>
      <c r="D546" t="s">
        <v>12</v>
      </c>
      <c r="E546">
        <v>3</v>
      </c>
      <c r="F546" t="s">
        <v>60</v>
      </c>
      <c r="G546" t="s">
        <v>12</v>
      </c>
      <c r="H546" t="s">
        <v>40</v>
      </c>
      <c r="I546">
        <v>3</v>
      </c>
      <c r="J546">
        <v>2</v>
      </c>
    </row>
    <row r="547" spans="1:10" x14ac:dyDescent="0.2">
      <c r="A547" t="s">
        <v>69</v>
      </c>
      <c r="B547" t="s">
        <v>25</v>
      </c>
      <c r="C547">
        <v>3</v>
      </c>
      <c r="D547" t="s">
        <v>11</v>
      </c>
      <c r="E547">
        <v>4</v>
      </c>
      <c r="F547" t="s">
        <v>61</v>
      </c>
      <c r="G547" t="s">
        <v>11</v>
      </c>
      <c r="H547" t="s">
        <v>25</v>
      </c>
      <c r="I547">
        <v>4</v>
      </c>
      <c r="J547">
        <v>3</v>
      </c>
    </row>
    <row r="548" spans="1:10" x14ac:dyDescent="0.2">
      <c r="A548" t="s">
        <v>69</v>
      </c>
      <c r="B548" t="s">
        <v>38</v>
      </c>
      <c r="C548">
        <v>4</v>
      </c>
      <c r="D548" t="s">
        <v>30</v>
      </c>
      <c r="E548">
        <v>1</v>
      </c>
      <c r="F548" t="s">
        <v>60</v>
      </c>
      <c r="G548" t="s">
        <v>38</v>
      </c>
      <c r="H548" t="s">
        <v>30</v>
      </c>
      <c r="I548">
        <v>4</v>
      </c>
      <c r="J548">
        <v>1</v>
      </c>
    </row>
    <row r="549" spans="1:10" x14ac:dyDescent="0.2">
      <c r="A549" t="s">
        <v>69</v>
      </c>
      <c r="B549" t="s">
        <v>24</v>
      </c>
      <c r="C549">
        <v>2</v>
      </c>
      <c r="D549" t="s">
        <v>55</v>
      </c>
      <c r="E549">
        <v>1</v>
      </c>
      <c r="F549" t="s">
        <v>60</v>
      </c>
      <c r="G549" t="s">
        <v>24</v>
      </c>
      <c r="H549" t="s">
        <v>55</v>
      </c>
      <c r="I549">
        <v>2</v>
      </c>
      <c r="J549">
        <v>1</v>
      </c>
    </row>
    <row r="550" spans="1:10" x14ac:dyDescent="0.2">
      <c r="A550" t="s">
        <v>70</v>
      </c>
      <c r="B550" t="s">
        <v>28</v>
      </c>
      <c r="C550">
        <v>3</v>
      </c>
      <c r="D550" t="s">
        <v>31</v>
      </c>
      <c r="E550">
        <v>4</v>
      </c>
      <c r="F550" t="s">
        <v>60</v>
      </c>
      <c r="G550" t="s">
        <v>31</v>
      </c>
      <c r="H550" t="s">
        <v>28</v>
      </c>
      <c r="I550">
        <v>4</v>
      </c>
      <c r="J550">
        <v>3</v>
      </c>
    </row>
    <row r="551" spans="1:10" x14ac:dyDescent="0.2">
      <c r="A551" t="s">
        <v>70</v>
      </c>
      <c r="B551" t="s">
        <v>38</v>
      </c>
      <c r="C551">
        <v>5</v>
      </c>
      <c r="D551" t="s">
        <v>21</v>
      </c>
      <c r="E551">
        <v>4</v>
      </c>
      <c r="F551" t="s">
        <v>61</v>
      </c>
      <c r="G551" t="s">
        <v>38</v>
      </c>
      <c r="H551" t="s">
        <v>21</v>
      </c>
      <c r="I551">
        <v>5</v>
      </c>
      <c r="J551">
        <v>4</v>
      </c>
    </row>
    <row r="552" spans="1:10" x14ac:dyDescent="0.2">
      <c r="A552" t="s">
        <v>70</v>
      </c>
      <c r="B552" t="s">
        <v>30</v>
      </c>
      <c r="C552">
        <v>2</v>
      </c>
      <c r="D552" t="s">
        <v>23</v>
      </c>
      <c r="E552">
        <v>3</v>
      </c>
      <c r="F552" t="s">
        <v>61</v>
      </c>
      <c r="G552" t="s">
        <v>23</v>
      </c>
      <c r="H552" t="s">
        <v>30</v>
      </c>
      <c r="I552">
        <v>3</v>
      </c>
      <c r="J552">
        <v>2</v>
      </c>
    </row>
    <row r="553" spans="1:10" x14ac:dyDescent="0.2">
      <c r="A553" t="s">
        <v>70</v>
      </c>
      <c r="B553" t="s">
        <v>20</v>
      </c>
      <c r="C553">
        <v>3</v>
      </c>
      <c r="D553" t="s">
        <v>16</v>
      </c>
      <c r="E553">
        <v>6</v>
      </c>
      <c r="F553" t="s">
        <v>60</v>
      </c>
      <c r="G553" t="s">
        <v>16</v>
      </c>
      <c r="H553" t="s">
        <v>20</v>
      </c>
      <c r="I553">
        <v>6</v>
      </c>
      <c r="J553">
        <v>3</v>
      </c>
    </row>
    <row r="554" spans="1:10" x14ac:dyDescent="0.2">
      <c r="A554" t="s">
        <v>70</v>
      </c>
      <c r="B554" t="s">
        <v>35</v>
      </c>
      <c r="C554">
        <v>6</v>
      </c>
      <c r="D554" t="s">
        <v>11</v>
      </c>
      <c r="E554">
        <v>2</v>
      </c>
      <c r="F554" t="s">
        <v>60</v>
      </c>
      <c r="G554" t="s">
        <v>35</v>
      </c>
      <c r="H554" t="s">
        <v>11</v>
      </c>
      <c r="I554">
        <v>6</v>
      </c>
      <c r="J554">
        <v>2</v>
      </c>
    </row>
    <row r="555" spans="1:10" x14ac:dyDescent="0.2">
      <c r="A555" t="s">
        <v>70</v>
      </c>
      <c r="B555" t="s">
        <v>17</v>
      </c>
      <c r="C555">
        <v>2</v>
      </c>
      <c r="D555" t="s">
        <v>34</v>
      </c>
      <c r="E555">
        <v>5</v>
      </c>
      <c r="F555" t="s">
        <v>60</v>
      </c>
      <c r="G555" t="s">
        <v>34</v>
      </c>
      <c r="H555" t="s">
        <v>17</v>
      </c>
      <c r="I555">
        <v>5</v>
      </c>
      <c r="J555">
        <v>2</v>
      </c>
    </row>
    <row r="556" spans="1:10" x14ac:dyDescent="0.2">
      <c r="A556" t="s">
        <v>70</v>
      </c>
      <c r="B556" t="s">
        <v>14</v>
      </c>
      <c r="C556">
        <v>0</v>
      </c>
      <c r="D556" t="s">
        <v>18</v>
      </c>
      <c r="E556">
        <v>4</v>
      </c>
      <c r="F556" t="s">
        <v>60</v>
      </c>
      <c r="G556" t="s">
        <v>18</v>
      </c>
      <c r="H556" t="s">
        <v>14</v>
      </c>
      <c r="I556">
        <v>4</v>
      </c>
      <c r="J556">
        <v>0</v>
      </c>
    </row>
    <row r="557" spans="1:10" x14ac:dyDescent="0.2">
      <c r="A557" t="s">
        <v>70</v>
      </c>
      <c r="B557" t="s">
        <v>19</v>
      </c>
      <c r="C557">
        <v>3</v>
      </c>
      <c r="D557" t="s">
        <v>29</v>
      </c>
      <c r="E557">
        <v>5</v>
      </c>
      <c r="F557" t="s">
        <v>60</v>
      </c>
      <c r="G557" t="s">
        <v>29</v>
      </c>
      <c r="H557" t="s">
        <v>19</v>
      </c>
      <c r="I557">
        <v>5</v>
      </c>
      <c r="J557">
        <v>3</v>
      </c>
    </row>
    <row r="558" spans="1:10" x14ac:dyDescent="0.2">
      <c r="A558" t="s">
        <v>70</v>
      </c>
      <c r="B558" t="s">
        <v>27</v>
      </c>
      <c r="C558">
        <v>4</v>
      </c>
      <c r="D558" t="s">
        <v>15</v>
      </c>
      <c r="E558">
        <v>5</v>
      </c>
      <c r="F558" t="s">
        <v>61</v>
      </c>
      <c r="G558" t="s">
        <v>15</v>
      </c>
      <c r="H558" t="s">
        <v>27</v>
      </c>
      <c r="I558">
        <v>5</v>
      </c>
      <c r="J558">
        <v>4</v>
      </c>
    </row>
    <row r="559" spans="1:10" x14ac:dyDescent="0.2">
      <c r="A559" t="s">
        <v>70</v>
      </c>
      <c r="B559" t="s">
        <v>10</v>
      </c>
      <c r="C559">
        <v>4</v>
      </c>
      <c r="D559" t="s">
        <v>36</v>
      </c>
      <c r="E559">
        <v>6</v>
      </c>
      <c r="F559" t="s">
        <v>60</v>
      </c>
      <c r="G559" t="s">
        <v>36</v>
      </c>
      <c r="H559" t="s">
        <v>10</v>
      </c>
      <c r="I559">
        <v>6</v>
      </c>
      <c r="J559">
        <v>4</v>
      </c>
    </row>
    <row r="560" spans="1:10" x14ac:dyDescent="0.2">
      <c r="A560" t="s">
        <v>70</v>
      </c>
      <c r="B560" t="s">
        <v>32</v>
      </c>
      <c r="C560">
        <v>4</v>
      </c>
      <c r="D560" t="s">
        <v>33</v>
      </c>
      <c r="E560">
        <v>2</v>
      </c>
      <c r="F560" t="s">
        <v>60</v>
      </c>
      <c r="G560" t="s">
        <v>32</v>
      </c>
      <c r="H560" t="s">
        <v>33</v>
      </c>
      <c r="I560">
        <v>4</v>
      </c>
      <c r="J560">
        <v>2</v>
      </c>
    </row>
    <row r="561" spans="1:10" x14ac:dyDescent="0.2">
      <c r="A561" t="s">
        <v>70</v>
      </c>
      <c r="B561" t="s">
        <v>25</v>
      </c>
      <c r="C561">
        <v>4</v>
      </c>
      <c r="D561" t="s">
        <v>37</v>
      </c>
      <c r="E561">
        <v>6</v>
      </c>
      <c r="F561" t="s">
        <v>60</v>
      </c>
      <c r="G561" t="s">
        <v>37</v>
      </c>
      <c r="H561" t="s">
        <v>25</v>
      </c>
      <c r="I561">
        <v>6</v>
      </c>
      <c r="J561">
        <v>4</v>
      </c>
    </row>
    <row r="562" spans="1:10" x14ac:dyDescent="0.2">
      <c r="A562" t="s">
        <v>70</v>
      </c>
      <c r="B562" t="s">
        <v>26</v>
      </c>
      <c r="C562">
        <v>5</v>
      </c>
      <c r="D562" t="s">
        <v>22</v>
      </c>
      <c r="E562">
        <v>2</v>
      </c>
      <c r="F562" t="s">
        <v>60</v>
      </c>
      <c r="G562" t="s">
        <v>26</v>
      </c>
      <c r="H562" t="s">
        <v>22</v>
      </c>
      <c r="I562">
        <v>5</v>
      </c>
      <c r="J562">
        <v>2</v>
      </c>
    </row>
    <row r="563" spans="1:10" x14ac:dyDescent="0.2">
      <c r="A563" t="s">
        <v>71</v>
      </c>
      <c r="B563" t="s">
        <v>36</v>
      </c>
      <c r="C563">
        <v>6</v>
      </c>
      <c r="D563" t="s">
        <v>21</v>
      </c>
      <c r="E563">
        <v>2</v>
      </c>
      <c r="F563" t="s">
        <v>60</v>
      </c>
      <c r="G563" t="s">
        <v>36</v>
      </c>
      <c r="H563" t="s">
        <v>21</v>
      </c>
      <c r="I563">
        <v>6</v>
      </c>
      <c r="J563">
        <v>2</v>
      </c>
    </row>
    <row r="564" spans="1:10" x14ac:dyDescent="0.2">
      <c r="A564" t="s">
        <v>71</v>
      </c>
      <c r="B564" t="s">
        <v>19</v>
      </c>
      <c r="C564">
        <v>1</v>
      </c>
      <c r="D564" t="s">
        <v>39</v>
      </c>
      <c r="E564">
        <v>5</v>
      </c>
      <c r="F564" t="s">
        <v>60</v>
      </c>
      <c r="G564" t="s">
        <v>39</v>
      </c>
      <c r="H564" t="s">
        <v>19</v>
      </c>
      <c r="I564">
        <v>5</v>
      </c>
      <c r="J564">
        <v>1</v>
      </c>
    </row>
    <row r="565" spans="1:10" x14ac:dyDescent="0.2">
      <c r="A565" t="s">
        <v>71</v>
      </c>
      <c r="B565" t="s">
        <v>22</v>
      </c>
      <c r="C565">
        <v>2</v>
      </c>
      <c r="D565" t="s">
        <v>26</v>
      </c>
      <c r="E565">
        <v>3</v>
      </c>
      <c r="F565" t="s">
        <v>62</v>
      </c>
      <c r="G565" t="s">
        <v>26</v>
      </c>
      <c r="H565" t="s">
        <v>22</v>
      </c>
      <c r="I565">
        <v>3</v>
      </c>
      <c r="J565">
        <v>2</v>
      </c>
    </row>
    <row r="566" spans="1:10" x14ac:dyDescent="0.2">
      <c r="A566" t="s">
        <v>71</v>
      </c>
      <c r="B566" t="s">
        <v>20</v>
      </c>
      <c r="C566">
        <v>3</v>
      </c>
      <c r="D566" t="s">
        <v>17</v>
      </c>
      <c r="E566">
        <v>4</v>
      </c>
      <c r="F566" t="s">
        <v>60</v>
      </c>
      <c r="G566" t="s">
        <v>17</v>
      </c>
      <c r="H566" t="s">
        <v>20</v>
      </c>
      <c r="I566">
        <v>4</v>
      </c>
      <c r="J566">
        <v>3</v>
      </c>
    </row>
    <row r="567" spans="1:10" x14ac:dyDescent="0.2">
      <c r="A567" t="s">
        <v>71</v>
      </c>
      <c r="B567" t="s">
        <v>12</v>
      </c>
      <c r="C567">
        <v>5</v>
      </c>
      <c r="D567" t="s">
        <v>34</v>
      </c>
      <c r="E567">
        <v>1</v>
      </c>
      <c r="F567" t="s">
        <v>60</v>
      </c>
      <c r="G567" t="s">
        <v>12</v>
      </c>
      <c r="H567" t="s">
        <v>34</v>
      </c>
      <c r="I567">
        <v>5</v>
      </c>
      <c r="J567">
        <v>1</v>
      </c>
    </row>
    <row r="568" spans="1:10" x14ac:dyDescent="0.2">
      <c r="A568" t="s">
        <v>71</v>
      </c>
      <c r="B568" t="s">
        <v>23</v>
      </c>
      <c r="C568">
        <v>3</v>
      </c>
      <c r="D568" t="s">
        <v>24</v>
      </c>
      <c r="E568">
        <v>1</v>
      </c>
      <c r="F568" t="s">
        <v>60</v>
      </c>
      <c r="G568" t="s">
        <v>23</v>
      </c>
      <c r="H568" t="s">
        <v>24</v>
      </c>
      <c r="I568">
        <v>3</v>
      </c>
      <c r="J568">
        <v>1</v>
      </c>
    </row>
    <row r="569" spans="1:10" x14ac:dyDescent="0.2">
      <c r="A569" t="s">
        <v>71</v>
      </c>
      <c r="B569" t="s">
        <v>15</v>
      </c>
      <c r="C569">
        <v>1</v>
      </c>
      <c r="D569" t="s">
        <v>29</v>
      </c>
      <c r="E569">
        <v>2</v>
      </c>
      <c r="F569" t="s">
        <v>60</v>
      </c>
      <c r="G569" t="s">
        <v>29</v>
      </c>
      <c r="H569" t="s">
        <v>15</v>
      </c>
      <c r="I569">
        <v>2</v>
      </c>
      <c r="J569">
        <v>1</v>
      </c>
    </row>
    <row r="570" spans="1:10" x14ac:dyDescent="0.2">
      <c r="A570" t="s">
        <v>71</v>
      </c>
      <c r="B570" t="s">
        <v>18</v>
      </c>
      <c r="C570">
        <v>3</v>
      </c>
      <c r="D570" t="s">
        <v>14</v>
      </c>
      <c r="E570">
        <v>4</v>
      </c>
      <c r="F570" t="s">
        <v>61</v>
      </c>
      <c r="G570" t="s">
        <v>14</v>
      </c>
      <c r="H570" t="s">
        <v>18</v>
      </c>
      <c r="I570">
        <v>4</v>
      </c>
      <c r="J570">
        <v>3</v>
      </c>
    </row>
    <row r="571" spans="1:10" x14ac:dyDescent="0.2">
      <c r="A571" t="s">
        <v>71</v>
      </c>
      <c r="B571" t="s">
        <v>40</v>
      </c>
      <c r="C571">
        <v>3</v>
      </c>
      <c r="D571" t="s">
        <v>55</v>
      </c>
      <c r="E571">
        <v>4</v>
      </c>
      <c r="F571" t="s">
        <v>62</v>
      </c>
      <c r="G571" t="s">
        <v>55</v>
      </c>
      <c r="H571" t="s">
        <v>40</v>
      </c>
      <c r="I571">
        <v>4</v>
      </c>
      <c r="J571">
        <v>3</v>
      </c>
    </row>
    <row r="572" spans="1:10" x14ac:dyDescent="0.2">
      <c r="A572" t="s">
        <v>72</v>
      </c>
      <c r="B572" t="s">
        <v>32</v>
      </c>
      <c r="C572">
        <v>3</v>
      </c>
      <c r="D572" t="s">
        <v>31</v>
      </c>
      <c r="E572">
        <v>1</v>
      </c>
      <c r="F572" t="s">
        <v>60</v>
      </c>
      <c r="G572" t="s">
        <v>32</v>
      </c>
      <c r="H572" t="s">
        <v>31</v>
      </c>
      <c r="I572">
        <v>3</v>
      </c>
      <c r="J572">
        <v>1</v>
      </c>
    </row>
    <row r="573" spans="1:10" x14ac:dyDescent="0.2">
      <c r="A573" t="s">
        <v>72</v>
      </c>
      <c r="B573" t="s">
        <v>28</v>
      </c>
      <c r="C573">
        <v>3</v>
      </c>
      <c r="D573" t="s">
        <v>13</v>
      </c>
      <c r="E573">
        <v>1</v>
      </c>
      <c r="F573" t="s">
        <v>60</v>
      </c>
      <c r="G573" t="s">
        <v>28</v>
      </c>
      <c r="H573" t="s">
        <v>13</v>
      </c>
      <c r="I573">
        <v>3</v>
      </c>
      <c r="J573">
        <v>1</v>
      </c>
    </row>
    <row r="574" spans="1:10" x14ac:dyDescent="0.2">
      <c r="A574" t="s">
        <v>72</v>
      </c>
      <c r="B574" t="s">
        <v>38</v>
      </c>
      <c r="C574">
        <v>2</v>
      </c>
      <c r="D574" t="s">
        <v>27</v>
      </c>
      <c r="E574">
        <v>5</v>
      </c>
      <c r="F574" t="s">
        <v>60</v>
      </c>
      <c r="G574" t="s">
        <v>27</v>
      </c>
      <c r="H574" t="s">
        <v>38</v>
      </c>
      <c r="I574">
        <v>5</v>
      </c>
      <c r="J574">
        <v>2</v>
      </c>
    </row>
    <row r="575" spans="1:10" x14ac:dyDescent="0.2">
      <c r="A575" t="s">
        <v>72</v>
      </c>
      <c r="B575" t="s">
        <v>35</v>
      </c>
      <c r="C575">
        <v>1</v>
      </c>
      <c r="D575" t="s">
        <v>37</v>
      </c>
      <c r="E575">
        <v>4</v>
      </c>
      <c r="F575" t="s">
        <v>60</v>
      </c>
      <c r="G575" t="s">
        <v>37</v>
      </c>
      <c r="H575" t="s">
        <v>35</v>
      </c>
      <c r="I575">
        <v>4</v>
      </c>
      <c r="J575">
        <v>1</v>
      </c>
    </row>
    <row r="576" spans="1:10" x14ac:dyDescent="0.2">
      <c r="A576" t="s">
        <v>73</v>
      </c>
      <c r="B576" t="s">
        <v>18</v>
      </c>
      <c r="C576">
        <v>6</v>
      </c>
      <c r="D576" t="s">
        <v>21</v>
      </c>
      <c r="E576">
        <v>2</v>
      </c>
      <c r="F576" t="s">
        <v>60</v>
      </c>
      <c r="G576" t="s">
        <v>18</v>
      </c>
      <c r="H576" t="s">
        <v>21</v>
      </c>
      <c r="I576">
        <v>6</v>
      </c>
      <c r="J576">
        <v>2</v>
      </c>
    </row>
    <row r="577" spans="1:10" x14ac:dyDescent="0.2">
      <c r="A577" t="s">
        <v>73</v>
      </c>
      <c r="B577" t="s">
        <v>11</v>
      </c>
      <c r="C577">
        <v>5</v>
      </c>
      <c r="D577" t="s">
        <v>25</v>
      </c>
      <c r="E577">
        <v>2</v>
      </c>
      <c r="F577" t="s">
        <v>60</v>
      </c>
      <c r="G577" t="s">
        <v>11</v>
      </c>
      <c r="H577" t="s">
        <v>25</v>
      </c>
      <c r="I577">
        <v>5</v>
      </c>
      <c r="J577">
        <v>2</v>
      </c>
    </row>
    <row r="578" spans="1:10" x14ac:dyDescent="0.2">
      <c r="A578" t="s">
        <v>73</v>
      </c>
      <c r="B578" t="s">
        <v>27</v>
      </c>
      <c r="C578">
        <v>3</v>
      </c>
      <c r="D578" t="s">
        <v>10</v>
      </c>
      <c r="E578">
        <v>1</v>
      </c>
      <c r="F578" t="s">
        <v>60</v>
      </c>
      <c r="G578" t="s">
        <v>27</v>
      </c>
      <c r="H578" t="s">
        <v>10</v>
      </c>
      <c r="I578">
        <v>3</v>
      </c>
      <c r="J578">
        <v>1</v>
      </c>
    </row>
    <row r="579" spans="1:10" x14ac:dyDescent="0.2">
      <c r="A579" t="s">
        <v>73</v>
      </c>
      <c r="B579" t="s">
        <v>55</v>
      </c>
      <c r="C579">
        <v>0</v>
      </c>
      <c r="D579" t="s">
        <v>12</v>
      </c>
      <c r="E579">
        <v>1</v>
      </c>
      <c r="F579" t="s">
        <v>60</v>
      </c>
      <c r="G579" t="s">
        <v>12</v>
      </c>
      <c r="H579" t="s">
        <v>55</v>
      </c>
      <c r="I579">
        <v>1</v>
      </c>
      <c r="J579">
        <v>0</v>
      </c>
    </row>
    <row r="580" spans="1:10" x14ac:dyDescent="0.2">
      <c r="A580" t="s">
        <v>73</v>
      </c>
      <c r="B580" t="s">
        <v>39</v>
      </c>
      <c r="C580">
        <v>3</v>
      </c>
      <c r="D580" t="s">
        <v>26</v>
      </c>
      <c r="E580">
        <v>4</v>
      </c>
      <c r="F580" t="s">
        <v>62</v>
      </c>
      <c r="G580" t="s">
        <v>26</v>
      </c>
      <c r="H580" t="s">
        <v>39</v>
      </c>
      <c r="I580">
        <v>4</v>
      </c>
      <c r="J580">
        <v>3</v>
      </c>
    </row>
    <row r="581" spans="1:10" x14ac:dyDescent="0.2">
      <c r="A581" t="s">
        <v>73</v>
      </c>
      <c r="B581" t="s">
        <v>16</v>
      </c>
      <c r="C581">
        <v>1</v>
      </c>
      <c r="D581" t="s">
        <v>17</v>
      </c>
      <c r="E581">
        <v>5</v>
      </c>
      <c r="F581" t="s">
        <v>60</v>
      </c>
      <c r="G581" t="s">
        <v>17</v>
      </c>
      <c r="H581" t="s">
        <v>16</v>
      </c>
      <c r="I581">
        <v>5</v>
      </c>
      <c r="J581">
        <v>1</v>
      </c>
    </row>
    <row r="582" spans="1:10" x14ac:dyDescent="0.2">
      <c r="A582" t="s">
        <v>73</v>
      </c>
      <c r="B582" t="s">
        <v>32</v>
      </c>
      <c r="C582">
        <v>3</v>
      </c>
      <c r="D582" t="s">
        <v>13</v>
      </c>
      <c r="E582">
        <v>2</v>
      </c>
      <c r="F582" t="s">
        <v>60</v>
      </c>
      <c r="G582" t="s">
        <v>32</v>
      </c>
      <c r="H582" t="s">
        <v>13</v>
      </c>
      <c r="I582">
        <v>3</v>
      </c>
      <c r="J582">
        <v>2</v>
      </c>
    </row>
    <row r="583" spans="1:10" x14ac:dyDescent="0.2">
      <c r="A583" t="s">
        <v>73</v>
      </c>
      <c r="B583" t="s">
        <v>29</v>
      </c>
      <c r="C583">
        <v>3</v>
      </c>
      <c r="D583" t="s">
        <v>34</v>
      </c>
      <c r="E583">
        <v>2</v>
      </c>
      <c r="F583" t="s">
        <v>62</v>
      </c>
      <c r="G583" t="s">
        <v>29</v>
      </c>
      <c r="H583" t="s">
        <v>34</v>
      </c>
      <c r="I583">
        <v>3</v>
      </c>
      <c r="J583">
        <v>2</v>
      </c>
    </row>
    <row r="584" spans="1:10" x14ac:dyDescent="0.2">
      <c r="A584" t="s">
        <v>73</v>
      </c>
      <c r="B584" t="s">
        <v>24</v>
      </c>
      <c r="C584">
        <v>1</v>
      </c>
      <c r="D584" t="s">
        <v>30</v>
      </c>
      <c r="E584">
        <v>2</v>
      </c>
      <c r="F584" t="s">
        <v>60</v>
      </c>
      <c r="G584" t="s">
        <v>30</v>
      </c>
      <c r="H584" t="s">
        <v>24</v>
      </c>
      <c r="I584">
        <v>2</v>
      </c>
      <c r="J584">
        <v>1</v>
      </c>
    </row>
    <row r="585" spans="1:10" x14ac:dyDescent="0.2">
      <c r="A585" t="s">
        <v>73</v>
      </c>
      <c r="B585" t="s">
        <v>23</v>
      </c>
      <c r="C585">
        <v>3</v>
      </c>
      <c r="D585" t="s">
        <v>36</v>
      </c>
      <c r="E585">
        <v>2</v>
      </c>
      <c r="F585" t="s">
        <v>62</v>
      </c>
      <c r="G585" t="s">
        <v>23</v>
      </c>
      <c r="H585" t="s">
        <v>36</v>
      </c>
      <c r="I585">
        <v>3</v>
      </c>
      <c r="J585">
        <v>2</v>
      </c>
    </row>
    <row r="586" spans="1:10" x14ac:dyDescent="0.2">
      <c r="A586" t="s">
        <v>73</v>
      </c>
      <c r="B586" t="s">
        <v>14</v>
      </c>
      <c r="C586">
        <v>3</v>
      </c>
      <c r="D586" t="s">
        <v>19</v>
      </c>
      <c r="E586">
        <v>6</v>
      </c>
      <c r="F586" t="s">
        <v>60</v>
      </c>
      <c r="G586" t="s">
        <v>19</v>
      </c>
      <c r="H586" t="s">
        <v>14</v>
      </c>
      <c r="I586">
        <v>6</v>
      </c>
      <c r="J586">
        <v>3</v>
      </c>
    </row>
    <row r="587" spans="1:10" x14ac:dyDescent="0.2">
      <c r="A587" t="s">
        <v>73</v>
      </c>
      <c r="B587" t="s">
        <v>33</v>
      </c>
      <c r="C587">
        <v>2</v>
      </c>
      <c r="D587" t="s">
        <v>20</v>
      </c>
      <c r="E587">
        <v>7</v>
      </c>
      <c r="F587" t="s">
        <v>60</v>
      </c>
      <c r="G587" t="s">
        <v>20</v>
      </c>
      <c r="H587" t="s">
        <v>33</v>
      </c>
      <c r="I587">
        <v>7</v>
      </c>
      <c r="J587">
        <v>2</v>
      </c>
    </row>
    <row r="588" spans="1:10" x14ac:dyDescent="0.2">
      <c r="A588" t="s">
        <v>73</v>
      </c>
      <c r="B588" t="s">
        <v>15</v>
      </c>
      <c r="C588">
        <v>7</v>
      </c>
      <c r="D588" t="s">
        <v>22</v>
      </c>
      <c r="E588">
        <v>3</v>
      </c>
      <c r="F588" t="s">
        <v>60</v>
      </c>
      <c r="G588" t="s">
        <v>15</v>
      </c>
      <c r="H588" t="s">
        <v>22</v>
      </c>
      <c r="I588">
        <v>7</v>
      </c>
      <c r="J588">
        <v>3</v>
      </c>
    </row>
    <row r="589" spans="1:10" x14ac:dyDescent="0.2">
      <c r="A589" t="s">
        <v>74</v>
      </c>
      <c r="B589" t="s">
        <v>21</v>
      </c>
      <c r="C589">
        <v>1</v>
      </c>
      <c r="D589" t="s">
        <v>23</v>
      </c>
      <c r="E589">
        <v>4</v>
      </c>
      <c r="F589" t="s">
        <v>60</v>
      </c>
      <c r="G589" t="s">
        <v>23</v>
      </c>
      <c r="H589" t="s">
        <v>21</v>
      </c>
      <c r="I589">
        <v>4</v>
      </c>
      <c r="J589">
        <v>1</v>
      </c>
    </row>
    <row r="590" spans="1:10" x14ac:dyDescent="0.2">
      <c r="A590" t="s">
        <v>74</v>
      </c>
      <c r="B590" t="s">
        <v>26</v>
      </c>
      <c r="C590">
        <v>2</v>
      </c>
      <c r="D590" t="s">
        <v>25</v>
      </c>
      <c r="E590">
        <v>5</v>
      </c>
      <c r="F590" t="s">
        <v>60</v>
      </c>
      <c r="G590" t="s">
        <v>25</v>
      </c>
      <c r="H590" t="s">
        <v>26</v>
      </c>
      <c r="I590">
        <v>5</v>
      </c>
      <c r="J590">
        <v>2</v>
      </c>
    </row>
    <row r="591" spans="1:10" x14ac:dyDescent="0.2">
      <c r="A591" t="s">
        <v>74</v>
      </c>
      <c r="B591" t="s">
        <v>17</v>
      </c>
      <c r="C591">
        <v>2</v>
      </c>
      <c r="D591" t="s">
        <v>16</v>
      </c>
      <c r="E591">
        <v>3</v>
      </c>
      <c r="F591" t="s">
        <v>60</v>
      </c>
      <c r="G591" t="s">
        <v>16</v>
      </c>
      <c r="H591" t="s">
        <v>17</v>
      </c>
      <c r="I591">
        <v>3</v>
      </c>
      <c r="J591">
        <v>2</v>
      </c>
    </row>
    <row r="592" spans="1:10" x14ac:dyDescent="0.2">
      <c r="A592" t="s">
        <v>74</v>
      </c>
      <c r="B592" t="s">
        <v>10</v>
      </c>
      <c r="C592">
        <v>4</v>
      </c>
      <c r="D592" t="s">
        <v>39</v>
      </c>
      <c r="E592">
        <v>3</v>
      </c>
      <c r="F592" t="s">
        <v>61</v>
      </c>
      <c r="G592" t="s">
        <v>10</v>
      </c>
      <c r="H592" t="s">
        <v>39</v>
      </c>
      <c r="I592">
        <v>4</v>
      </c>
      <c r="J592">
        <v>3</v>
      </c>
    </row>
    <row r="593" spans="1:10" x14ac:dyDescent="0.2">
      <c r="A593" t="s">
        <v>74</v>
      </c>
      <c r="B593" t="s">
        <v>37</v>
      </c>
      <c r="C593">
        <v>4</v>
      </c>
      <c r="D593" t="s">
        <v>11</v>
      </c>
      <c r="E593">
        <v>2</v>
      </c>
      <c r="F593" t="s">
        <v>60</v>
      </c>
      <c r="G593" t="s">
        <v>37</v>
      </c>
      <c r="H593" t="s">
        <v>11</v>
      </c>
      <c r="I593">
        <v>4</v>
      </c>
      <c r="J593">
        <v>2</v>
      </c>
    </row>
    <row r="594" spans="1:10" x14ac:dyDescent="0.2">
      <c r="A594" t="s">
        <v>74</v>
      </c>
      <c r="B594" t="s">
        <v>31</v>
      </c>
      <c r="C594">
        <v>1</v>
      </c>
      <c r="D594" t="s">
        <v>13</v>
      </c>
      <c r="E594">
        <v>6</v>
      </c>
      <c r="F594" t="s">
        <v>60</v>
      </c>
      <c r="G594" t="s">
        <v>13</v>
      </c>
      <c r="H594" t="s">
        <v>31</v>
      </c>
      <c r="I594">
        <v>6</v>
      </c>
      <c r="J594">
        <v>1</v>
      </c>
    </row>
    <row r="595" spans="1:10" x14ac:dyDescent="0.2">
      <c r="A595" t="s">
        <v>74</v>
      </c>
      <c r="B595" t="s">
        <v>22</v>
      </c>
      <c r="C595">
        <v>4</v>
      </c>
      <c r="D595" t="s">
        <v>24</v>
      </c>
      <c r="E595">
        <v>3</v>
      </c>
      <c r="F595" t="s">
        <v>62</v>
      </c>
      <c r="G595" t="s">
        <v>22</v>
      </c>
      <c r="H595" t="s">
        <v>24</v>
      </c>
      <c r="I595">
        <v>4</v>
      </c>
      <c r="J595">
        <v>3</v>
      </c>
    </row>
    <row r="596" spans="1:10" x14ac:dyDescent="0.2">
      <c r="A596" t="s">
        <v>74</v>
      </c>
      <c r="B596" t="s">
        <v>15</v>
      </c>
      <c r="C596">
        <v>0</v>
      </c>
      <c r="D596" t="s">
        <v>30</v>
      </c>
      <c r="E596">
        <v>2</v>
      </c>
      <c r="F596" t="s">
        <v>60</v>
      </c>
      <c r="G596" t="s">
        <v>30</v>
      </c>
      <c r="H596" t="s">
        <v>15</v>
      </c>
      <c r="I596">
        <v>2</v>
      </c>
      <c r="J596">
        <v>0</v>
      </c>
    </row>
    <row r="597" spans="1:10" x14ac:dyDescent="0.2">
      <c r="A597" t="s">
        <v>74</v>
      </c>
      <c r="B597" t="s">
        <v>29</v>
      </c>
      <c r="C597">
        <v>2</v>
      </c>
      <c r="D597" t="s">
        <v>35</v>
      </c>
      <c r="E597">
        <v>3</v>
      </c>
      <c r="F597" t="s">
        <v>60</v>
      </c>
      <c r="G597" t="s">
        <v>35</v>
      </c>
      <c r="H597" t="s">
        <v>29</v>
      </c>
      <c r="I597">
        <v>3</v>
      </c>
      <c r="J597">
        <v>2</v>
      </c>
    </row>
    <row r="598" spans="1:10" x14ac:dyDescent="0.2">
      <c r="A598" t="s">
        <v>74</v>
      </c>
      <c r="B598" t="s">
        <v>36</v>
      </c>
      <c r="C598">
        <v>5</v>
      </c>
      <c r="D598" t="s">
        <v>19</v>
      </c>
      <c r="E598">
        <v>7</v>
      </c>
      <c r="F598" t="s">
        <v>60</v>
      </c>
      <c r="G598" t="s">
        <v>19</v>
      </c>
      <c r="H598" t="s">
        <v>36</v>
      </c>
      <c r="I598">
        <v>7</v>
      </c>
      <c r="J598">
        <v>5</v>
      </c>
    </row>
    <row r="599" spans="1:10" x14ac:dyDescent="0.2">
      <c r="A599" t="s">
        <v>74</v>
      </c>
      <c r="B599" t="s">
        <v>33</v>
      </c>
      <c r="C599">
        <v>6</v>
      </c>
      <c r="D599" t="s">
        <v>38</v>
      </c>
      <c r="E599">
        <v>3</v>
      </c>
      <c r="F599" t="s">
        <v>60</v>
      </c>
      <c r="G599" t="s">
        <v>33</v>
      </c>
      <c r="H599" t="s">
        <v>38</v>
      </c>
      <c r="I599">
        <v>6</v>
      </c>
      <c r="J599">
        <v>3</v>
      </c>
    </row>
    <row r="600" spans="1:10" x14ac:dyDescent="0.2">
      <c r="A600" t="s">
        <v>74</v>
      </c>
      <c r="B600" t="s">
        <v>12</v>
      </c>
      <c r="C600">
        <v>6</v>
      </c>
      <c r="D600" t="s">
        <v>20</v>
      </c>
      <c r="E600">
        <v>5</v>
      </c>
      <c r="F600" t="s">
        <v>61</v>
      </c>
      <c r="G600" t="s">
        <v>12</v>
      </c>
      <c r="H600" t="s">
        <v>20</v>
      </c>
      <c r="I600">
        <v>6</v>
      </c>
      <c r="J600">
        <v>5</v>
      </c>
    </row>
    <row r="601" spans="1:10" x14ac:dyDescent="0.2">
      <c r="A601" t="s">
        <v>74</v>
      </c>
      <c r="B601" t="s">
        <v>34</v>
      </c>
      <c r="C601">
        <v>4</v>
      </c>
      <c r="D601" t="s">
        <v>40</v>
      </c>
      <c r="E601">
        <v>3</v>
      </c>
      <c r="F601" t="s">
        <v>62</v>
      </c>
      <c r="G601" t="s">
        <v>34</v>
      </c>
      <c r="H601" t="s">
        <v>40</v>
      </c>
      <c r="I601">
        <v>4</v>
      </c>
      <c r="J601">
        <v>3</v>
      </c>
    </row>
    <row r="602" spans="1:10" x14ac:dyDescent="0.2">
      <c r="A602" t="s">
        <v>75</v>
      </c>
      <c r="B602" t="s">
        <v>30</v>
      </c>
      <c r="C602">
        <v>2</v>
      </c>
      <c r="D602" t="s">
        <v>28</v>
      </c>
      <c r="E602">
        <v>4</v>
      </c>
      <c r="F602" t="s">
        <v>60</v>
      </c>
      <c r="G602" t="s">
        <v>28</v>
      </c>
      <c r="H602" t="s">
        <v>30</v>
      </c>
      <c r="I602">
        <v>4</v>
      </c>
      <c r="J602">
        <v>2</v>
      </c>
    </row>
    <row r="603" spans="1:10" x14ac:dyDescent="0.2">
      <c r="A603" t="s">
        <v>75</v>
      </c>
      <c r="B603" t="s">
        <v>14</v>
      </c>
      <c r="C603">
        <v>7</v>
      </c>
      <c r="D603" t="s">
        <v>10</v>
      </c>
      <c r="E603">
        <v>3</v>
      </c>
      <c r="F603" t="s">
        <v>60</v>
      </c>
      <c r="G603" t="s">
        <v>14</v>
      </c>
      <c r="H603" t="s">
        <v>10</v>
      </c>
      <c r="I603">
        <v>7</v>
      </c>
      <c r="J603">
        <v>3</v>
      </c>
    </row>
    <row r="604" spans="1:10" x14ac:dyDescent="0.2">
      <c r="A604" t="s">
        <v>75</v>
      </c>
      <c r="B604" t="s">
        <v>19</v>
      </c>
      <c r="C604">
        <v>2</v>
      </c>
      <c r="D604" t="s">
        <v>26</v>
      </c>
      <c r="E604">
        <v>3</v>
      </c>
      <c r="F604" t="s">
        <v>62</v>
      </c>
      <c r="G604" t="s">
        <v>26</v>
      </c>
      <c r="H604" t="s">
        <v>19</v>
      </c>
      <c r="I604">
        <v>3</v>
      </c>
      <c r="J604">
        <v>2</v>
      </c>
    </row>
    <row r="605" spans="1:10" x14ac:dyDescent="0.2">
      <c r="A605" t="s">
        <v>75</v>
      </c>
      <c r="B605" t="s">
        <v>27</v>
      </c>
      <c r="C605">
        <v>1</v>
      </c>
      <c r="D605" t="s">
        <v>32</v>
      </c>
      <c r="E605">
        <v>4</v>
      </c>
      <c r="F605" t="s">
        <v>60</v>
      </c>
      <c r="G605" t="s">
        <v>32</v>
      </c>
      <c r="H605" t="s">
        <v>27</v>
      </c>
      <c r="I605">
        <v>4</v>
      </c>
      <c r="J605">
        <v>1</v>
      </c>
    </row>
    <row r="606" spans="1:10" x14ac:dyDescent="0.2">
      <c r="A606" t="s">
        <v>75</v>
      </c>
      <c r="B606" t="s">
        <v>18</v>
      </c>
      <c r="C606">
        <v>4</v>
      </c>
      <c r="D606" t="s">
        <v>37</v>
      </c>
      <c r="E606">
        <v>5</v>
      </c>
      <c r="F606" t="s">
        <v>61</v>
      </c>
      <c r="G606" t="s">
        <v>37</v>
      </c>
      <c r="H606" t="s">
        <v>18</v>
      </c>
      <c r="I606">
        <v>5</v>
      </c>
      <c r="J606">
        <v>4</v>
      </c>
    </row>
    <row r="607" spans="1:10" x14ac:dyDescent="0.2">
      <c r="A607" t="s">
        <v>76</v>
      </c>
      <c r="B607" t="s">
        <v>33</v>
      </c>
      <c r="C607">
        <v>5</v>
      </c>
      <c r="D607" t="s">
        <v>31</v>
      </c>
      <c r="E607">
        <v>4</v>
      </c>
      <c r="F607" t="s">
        <v>60</v>
      </c>
      <c r="G607" t="s">
        <v>33</v>
      </c>
      <c r="H607" t="s">
        <v>31</v>
      </c>
      <c r="I607">
        <v>5</v>
      </c>
      <c r="J607">
        <v>4</v>
      </c>
    </row>
    <row r="608" spans="1:10" x14ac:dyDescent="0.2">
      <c r="A608" t="s">
        <v>76</v>
      </c>
      <c r="B608" t="s">
        <v>15</v>
      </c>
      <c r="C608">
        <v>2</v>
      </c>
      <c r="D608" t="s">
        <v>25</v>
      </c>
      <c r="E608">
        <v>3</v>
      </c>
      <c r="F608" t="s">
        <v>62</v>
      </c>
      <c r="G608" t="s">
        <v>25</v>
      </c>
      <c r="H608" t="s">
        <v>15</v>
      </c>
      <c r="I608">
        <v>3</v>
      </c>
      <c r="J608">
        <v>2</v>
      </c>
    </row>
    <row r="609" spans="1:10" x14ac:dyDescent="0.2">
      <c r="A609" t="s">
        <v>76</v>
      </c>
      <c r="B609" t="s">
        <v>21</v>
      </c>
      <c r="C609">
        <v>1</v>
      </c>
      <c r="D609" t="s">
        <v>16</v>
      </c>
      <c r="E609">
        <v>2</v>
      </c>
      <c r="F609" t="s">
        <v>62</v>
      </c>
      <c r="G609" t="s">
        <v>16</v>
      </c>
      <c r="H609" t="s">
        <v>21</v>
      </c>
      <c r="I609">
        <v>2</v>
      </c>
      <c r="J609">
        <v>1</v>
      </c>
    </row>
    <row r="610" spans="1:10" x14ac:dyDescent="0.2">
      <c r="A610" t="s">
        <v>76</v>
      </c>
      <c r="B610" t="s">
        <v>13</v>
      </c>
      <c r="C610">
        <v>2</v>
      </c>
      <c r="D610" t="s">
        <v>12</v>
      </c>
      <c r="E610">
        <v>5</v>
      </c>
      <c r="F610" t="s">
        <v>60</v>
      </c>
      <c r="G610" t="s">
        <v>12</v>
      </c>
      <c r="H610" t="s">
        <v>13</v>
      </c>
      <c r="I610">
        <v>5</v>
      </c>
      <c r="J610">
        <v>2</v>
      </c>
    </row>
    <row r="611" spans="1:10" x14ac:dyDescent="0.2">
      <c r="A611" t="s">
        <v>76</v>
      </c>
      <c r="B611" t="s">
        <v>22</v>
      </c>
      <c r="C611">
        <v>3</v>
      </c>
      <c r="D611" t="s">
        <v>11</v>
      </c>
      <c r="E611">
        <v>5</v>
      </c>
      <c r="F611" t="s">
        <v>60</v>
      </c>
      <c r="G611" t="s">
        <v>11</v>
      </c>
      <c r="H611" t="s">
        <v>22</v>
      </c>
      <c r="I611">
        <v>5</v>
      </c>
      <c r="J611">
        <v>3</v>
      </c>
    </row>
    <row r="612" spans="1:10" x14ac:dyDescent="0.2">
      <c r="A612" t="s">
        <v>76</v>
      </c>
      <c r="B612" t="s">
        <v>28</v>
      </c>
      <c r="C612">
        <v>4</v>
      </c>
      <c r="D612" t="s">
        <v>36</v>
      </c>
      <c r="E612">
        <v>1</v>
      </c>
      <c r="F612" t="s">
        <v>60</v>
      </c>
      <c r="G612" t="s">
        <v>28</v>
      </c>
      <c r="H612" t="s">
        <v>36</v>
      </c>
      <c r="I612">
        <v>4</v>
      </c>
      <c r="J612">
        <v>1</v>
      </c>
    </row>
    <row r="613" spans="1:10" x14ac:dyDescent="0.2">
      <c r="A613" t="s">
        <v>76</v>
      </c>
      <c r="B613" t="s">
        <v>38</v>
      </c>
      <c r="C613">
        <v>3</v>
      </c>
      <c r="D613" t="s">
        <v>32</v>
      </c>
      <c r="E613">
        <v>2</v>
      </c>
      <c r="F613" t="s">
        <v>61</v>
      </c>
      <c r="G613" t="s">
        <v>38</v>
      </c>
      <c r="H613" t="s">
        <v>32</v>
      </c>
      <c r="I613">
        <v>3</v>
      </c>
      <c r="J613">
        <v>2</v>
      </c>
    </row>
    <row r="614" spans="1:10" x14ac:dyDescent="0.2">
      <c r="A614" t="s">
        <v>76</v>
      </c>
      <c r="B614" t="s">
        <v>23</v>
      </c>
      <c r="C614">
        <v>4</v>
      </c>
      <c r="D614" t="s">
        <v>35</v>
      </c>
      <c r="E614">
        <v>2</v>
      </c>
      <c r="F614" t="s">
        <v>60</v>
      </c>
      <c r="G614" t="s">
        <v>23</v>
      </c>
      <c r="H614" t="s">
        <v>35</v>
      </c>
      <c r="I614">
        <v>4</v>
      </c>
      <c r="J614">
        <v>2</v>
      </c>
    </row>
    <row r="615" spans="1:10" x14ac:dyDescent="0.2">
      <c r="A615" t="s">
        <v>76</v>
      </c>
      <c r="B615" t="s">
        <v>29</v>
      </c>
      <c r="C615">
        <v>4</v>
      </c>
      <c r="D615" t="s">
        <v>55</v>
      </c>
      <c r="E615">
        <v>3</v>
      </c>
      <c r="F615" t="s">
        <v>60</v>
      </c>
      <c r="G615" t="s">
        <v>29</v>
      </c>
      <c r="H615" t="s">
        <v>55</v>
      </c>
      <c r="I615">
        <v>4</v>
      </c>
      <c r="J615">
        <v>3</v>
      </c>
    </row>
    <row r="616" spans="1:10" x14ac:dyDescent="0.2">
      <c r="A616" t="s">
        <v>76</v>
      </c>
      <c r="B616" t="s">
        <v>34</v>
      </c>
      <c r="C616">
        <v>5</v>
      </c>
      <c r="D616" t="s">
        <v>20</v>
      </c>
      <c r="E616">
        <v>2</v>
      </c>
      <c r="F616" t="s">
        <v>60</v>
      </c>
      <c r="G616" t="s">
        <v>34</v>
      </c>
      <c r="H616" t="s">
        <v>20</v>
      </c>
      <c r="I616">
        <v>5</v>
      </c>
      <c r="J616">
        <v>2</v>
      </c>
    </row>
    <row r="617" spans="1:10" x14ac:dyDescent="0.2">
      <c r="A617" t="s">
        <v>76</v>
      </c>
      <c r="B617" t="s">
        <v>17</v>
      </c>
      <c r="C617">
        <v>3</v>
      </c>
      <c r="D617" t="s">
        <v>40</v>
      </c>
      <c r="E617">
        <v>1</v>
      </c>
      <c r="F617" t="s">
        <v>60</v>
      </c>
      <c r="G617" t="s">
        <v>17</v>
      </c>
      <c r="H617" t="s">
        <v>40</v>
      </c>
      <c r="I617">
        <v>3</v>
      </c>
      <c r="J617">
        <v>1</v>
      </c>
    </row>
    <row r="618" spans="1:10" x14ac:dyDescent="0.2">
      <c r="A618" t="s">
        <v>77</v>
      </c>
      <c r="B618" t="s">
        <v>30</v>
      </c>
      <c r="C618">
        <v>3</v>
      </c>
      <c r="D618" t="s">
        <v>10</v>
      </c>
      <c r="E618">
        <v>2</v>
      </c>
      <c r="F618" t="s">
        <v>61</v>
      </c>
      <c r="G618" t="s">
        <v>30</v>
      </c>
      <c r="H618" t="s">
        <v>10</v>
      </c>
      <c r="I618">
        <v>3</v>
      </c>
      <c r="J618">
        <v>2</v>
      </c>
    </row>
    <row r="619" spans="1:10" x14ac:dyDescent="0.2">
      <c r="A619" t="s">
        <v>77</v>
      </c>
      <c r="B619" t="s">
        <v>18</v>
      </c>
      <c r="C619">
        <v>3</v>
      </c>
      <c r="D619" t="s">
        <v>11</v>
      </c>
      <c r="E619">
        <v>2</v>
      </c>
      <c r="F619" t="s">
        <v>62</v>
      </c>
      <c r="G619" t="s">
        <v>18</v>
      </c>
      <c r="H619" t="s">
        <v>11</v>
      </c>
      <c r="I619">
        <v>3</v>
      </c>
      <c r="J619">
        <v>2</v>
      </c>
    </row>
    <row r="620" spans="1:10" x14ac:dyDescent="0.2">
      <c r="A620" t="s">
        <v>77</v>
      </c>
      <c r="B620" t="s">
        <v>25</v>
      </c>
      <c r="C620">
        <v>1</v>
      </c>
      <c r="D620" t="s">
        <v>14</v>
      </c>
      <c r="E620">
        <v>5</v>
      </c>
      <c r="F620" t="s">
        <v>60</v>
      </c>
      <c r="G620" t="s">
        <v>14</v>
      </c>
      <c r="H620" t="s">
        <v>25</v>
      </c>
      <c r="I620">
        <v>5</v>
      </c>
      <c r="J620">
        <v>1</v>
      </c>
    </row>
    <row r="621" spans="1:10" x14ac:dyDescent="0.2">
      <c r="A621" t="s">
        <v>77</v>
      </c>
      <c r="B621" t="s">
        <v>24</v>
      </c>
      <c r="C621">
        <v>0</v>
      </c>
      <c r="D621" t="s">
        <v>19</v>
      </c>
      <c r="E621">
        <v>4</v>
      </c>
      <c r="F621" t="s">
        <v>60</v>
      </c>
      <c r="G621" t="s">
        <v>19</v>
      </c>
      <c r="H621" t="s">
        <v>24</v>
      </c>
      <c r="I621">
        <v>4</v>
      </c>
      <c r="J621">
        <v>0</v>
      </c>
    </row>
    <row r="622" spans="1:10" x14ac:dyDescent="0.2">
      <c r="A622" t="s">
        <v>77</v>
      </c>
      <c r="B622" t="s">
        <v>27</v>
      </c>
      <c r="C622">
        <v>6</v>
      </c>
      <c r="D622" t="s">
        <v>38</v>
      </c>
      <c r="E622">
        <v>3</v>
      </c>
      <c r="F622" t="s">
        <v>60</v>
      </c>
      <c r="G622" t="s">
        <v>27</v>
      </c>
      <c r="H622" t="s">
        <v>38</v>
      </c>
      <c r="I622">
        <v>6</v>
      </c>
      <c r="J622">
        <v>3</v>
      </c>
    </row>
    <row r="623" spans="1:10" x14ac:dyDescent="0.2">
      <c r="A623" t="s">
        <v>78</v>
      </c>
      <c r="B623" t="s">
        <v>37</v>
      </c>
      <c r="C623">
        <v>4</v>
      </c>
      <c r="D623" t="s">
        <v>31</v>
      </c>
      <c r="E623">
        <v>3</v>
      </c>
      <c r="F623" t="s">
        <v>62</v>
      </c>
      <c r="G623" t="s">
        <v>37</v>
      </c>
      <c r="H623" t="s">
        <v>31</v>
      </c>
      <c r="I623">
        <v>4</v>
      </c>
      <c r="J623">
        <v>3</v>
      </c>
    </row>
    <row r="624" spans="1:10" x14ac:dyDescent="0.2">
      <c r="A624" t="s">
        <v>78</v>
      </c>
      <c r="B624" t="s">
        <v>24</v>
      </c>
      <c r="C624">
        <v>3</v>
      </c>
      <c r="D624" t="s">
        <v>28</v>
      </c>
      <c r="E624">
        <v>2</v>
      </c>
      <c r="F624" t="s">
        <v>60</v>
      </c>
      <c r="G624" t="s">
        <v>24</v>
      </c>
      <c r="H624" t="s">
        <v>28</v>
      </c>
      <c r="I624">
        <v>3</v>
      </c>
      <c r="J624">
        <v>2</v>
      </c>
    </row>
    <row r="625" spans="1:10" x14ac:dyDescent="0.2">
      <c r="A625" t="s">
        <v>78</v>
      </c>
      <c r="B625" t="s">
        <v>27</v>
      </c>
      <c r="C625">
        <v>1</v>
      </c>
      <c r="D625" t="s">
        <v>16</v>
      </c>
      <c r="E625">
        <v>5</v>
      </c>
      <c r="F625" t="s">
        <v>60</v>
      </c>
      <c r="G625" t="s">
        <v>16</v>
      </c>
      <c r="H625" t="s">
        <v>27</v>
      </c>
      <c r="I625">
        <v>5</v>
      </c>
      <c r="J625">
        <v>1</v>
      </c>
    </row>
    <row r="626" spans="1:10" x14ac:dyDescent="0.2">
      <c r="A626" t="s">
        <v>78</v>
      </c>
      <c r="B626" t="s">
        <v>35</v>
      </c>
      <c r="C626">
        <v>1</v>
      </c>
      <c r="D626" t="s">
        <v>12</v>
      </c>
      <c r="E626">
        <v>6</v>
      </c>
      <c r="F626" t="s">
        <v>60</v>
      </c>
      <c r="G626" t="s">
        <v>12</v>
      </c>
      <c r="H626" t="s">
        <v>35</v>
      </c>
      <c r="I626">
        <v>6</v>
      </c>
      <c r="J626">
        <v>1</v>
      </c>
    </row>
    <row r="627" spans="1:10" x14ac:dyDescent="0.2">
      <c r="A627" t="s">
        <v>78</v>
      </c>
      <c r="B627" t="s">
        <v>23</v>
      </c>
      <c r="C627">
        <v>4</v>
      </c>
      <c r="D627" t="s">
        <v>39</v>
      </c>
      <c r="E627">
        <v>1</v>
      </c>
      <c r="F627" t="s">
        <v>60</v>
      </c>
      <c r="G627" t="s">
        <v>23</v>
      </c>
      <c r="H627" t="s">
        <v>39</v>
      </c>
      <c r="I627">
        <v>4</v>
      </c>
      <c r="J627">
        <v>1</v>
      </c>
    </row>
    <row r="628" spans="1:10" x14ac:dyDescent="0.2">
      <c r="A628" t="s">
        <v>78</v>
      </c>
      <c r="B628" t="s">
        <v>40</v>
      </c>
      <c r="C628">
        <v>1</v>
      </c>
      <c r="D628" t="s">
        <v>26</v>
      </c>
      <c r="E628">
        <v>2</v>
      </c>
      <c r="F628" t="s">
        <v>60</v>
      </c>
      <c r="G628" t="s">
        <v>26</v>
      </c>
      <c r="H628" t="s">
        <v>40</v>
      </c>
      <c r="I628">
        <v>2</v>
      </c>
      <c r="J628">
        <v>1</v>
      </c>
    </row>
    <row r="629" spans="1:10" x14ac:dyDescent="0.2">
      <c r="A629" t="s">
        <v>78</v>
      </c>
      <c r="B629" t="s">
        <v>21</v>
      </c>
      <c r="C629">
        <v>6</v>
      </c>
      <c r="D629" t="s">
        <v>17</v>
      </c>
      <c r="E629">
        <v>2</v>
      </c>
      <c r="F629" t="s">
        <v>60</v>
      </c>
      <c r="G629" t="s">
        <v>21</v>
      </c>
      <c r="H629" t="s">
        <v>17</v>
      </c>
      <c r="I629">
        <v>6</v>
      </c>
      <c r="J629">
        <v>2</v>
      </c>
    </row>
    <row r="630" spans="1:10" x14ac:dyDescent="0.2">
      <c r="A630" t="s">
        <v>78</v>
      </c>
      <c r="B630" t="s">
        <v>34</v>
      </c>
      <c r="C630">
        <v>3</v>
      </c>
      <c r="D630" t="s">
        <v>33</v>
      </c>
      <c r="E630">
        <v>4</v>
      </c>
      <c r="F630" t="s">
        <v>61</v>
      </c>
      <c r="G630" t="s">
        <v>33</v>
      </c>
      <c r="H630" t="s">
        <v>34</v>
      </c>
      <c r="I630">
        <v>4</v>
      </c>
      <c r="J630">
        <v>3</v>
      </c>
    </row>
    <row r="631" spans="1:10" x14ac:dyDescent="0.2">
      <c r="A631" t="s">
        <v>78</v>
      </c>
      <c r="B631" t="s">
        <v>29</v>
      </c>
      <c r="C631">
        <v>4</v>
      </c>
      <c r="D631" t="s">
        <v>20</v>
      </c>
      <c r="E631">
        <v>2</v>
      </c>
      <c r="F631" t="s">
        <v>60</v>
      </c>
      <c r="G631" t="s">
        <v>29</v>
      </c>
      <c r="H631" t="s">
        <v>20</v>
      </c>
      <c r="I631">
        <v>4</v>
      </c>
      <c r="J631">
        <v>2</v>
      </c>
    </row>
    <row r="632" spans="1:10" x14ac:dyDescent="0.2">
      <c r="A632" t="s">
        <v>78</v>
      </c>
      <c r="B632" t="s">
        <v>15</v>
      </c>
      <c r="C632">
        <v>3</v>
      </c>
      <c r="D632" t="s">
        <v>22</v>
      </c>
      <c r="E632">
        <v>6</v>
      </c>
      <c r="F632" t="s">
        <v>60</v>
      </c>
      <c r="G632" t="s">
        <v>22</v>
      </c>
      <c r="H632" t="s">
        <v>15</v>
      </c>
      <c r="I632">
        <v>6</v>
      </c>
      <c r="J632">
        <v>3</v>
      </c>
    </row>
    <row r="633" spans="1:10" x14ac:dyDescent="0.2">
      <c r="A633" t="s">
        <v>79</v>
      </c>
      <c r="B633" t="s">
        <v>18</v>
      </c>
      <c r="C633">
        <v>7</v>
      </c>
      <c r="D633" t="s">
        <v>25</v>
      </c>
      <c r="E633">
        <v>5</v>
      </c>
      <c r="F633" t="s">
        <v>60</v>
      </c>
      <c r="G633" t="s">
        <v>18</v>
      </c>
      <c r="H633" t="s">
        <v>25</v>
      </c>
      <c r="I633">
        <v>7</v>
      </c>
      <c r="J633">
        <v>5</v>
      </c>
    </row>
    <row r="634" spans="1:10" x14ac:dyDescent="0.2">
      <c r="A634" t="s">
        <v>79</v>
      </c>
      <c r="B634" t="s">
        <v>39</v>
      </c>
      <c r="C634">
        <v>3</v>
      </c>
      <c r="D634" t="s">
        <v>10</v>
      </c>
      <c r="E634">
        <v>4</v>
      </c>
      <c r="F634" t="s">
        <v>60</v>
      </c>
      <c r="G634" t="s">
        <v>10</v>
      </c>
      <c r="H634" t="s">
        <v>39</v>
      </c>
      <c r="I634">
        <v>4</v>
      </c>
      <c r="J634">
        <v>3</v>
      </c>
    </row>
    <row r="635" spans="1:10" x14ac:dyDescent="0.2">
      <c r="A635" t="s">
        <v>79</v>
      </c>
      <c r="B635" t="s">
        <v>37</v>
      </c>
      <c r="C635">
        <v>5</v>
      </c>
      <c r="D635" t="s">
        <v>13</v>
      </c>
      <c r="E635">
        <v>3</v>
      </c>
      <c r="F635" t="s">
        <v>60</v>
      </c>
      <c r="G635" t="s">
        <v>37</v>
      </c>
      <c r="H635" t="s">
        <v>13</v>
      </c>
      <c r="I635">
        <v>5</v>
      </c>
      <c r="J635">
        <v>3</v>
      </c>
    </row>
    <row r="636" spans="1:10" x14ac:dyDescent="0.2">
      <c r="A636" t="s">
        <v>79</v>
      </c>
      <c r="B636" t="s">
        <v>55</v>
      </c>
      <c r="C636">
        <v>7</v>
      </c>
      <c r="D636" t="s">
        <v>30</v>
      </c>
      <c r="E636">
        <v>2</v>
      </c>
      <c r="F636" t="s">
        <v>60</v>
      </c>
      <c r="G636" t="s">
        <v>55</v>
      </c>
      <c r="H636" t="s">
        <v>30</v>
      </c>
      <c r="I636">
        <v>7</v>
      </c>
      <c r="J636">
        <v>2</v>
      </c>
    </row>
    <row r="637" spans="1:10" x14ac:dyDescent="0.2">
      <c r="A637" t="s">
        <v>79</v>
      </c>
      <c r="B637" t="s">
        <v>22</v>
      </c>
      <c r="C637">
        <v>3</v>
      </c>
      <c r="D637" t="s">
        <v>36</v>
      </c>
      <c r="E637">
        <v>4</v>
      </c>
      <c r="F637" t="s">
        <v>60</v>
      </c>
      <c r="G637" t="s">
        <v>36</v>
      </c>
      <c r="H637" t="s">
        <v>22</v>
      </c>
      <c r="I637">
        <v>4</v>
      </c>
      <c r="J637">
        <v>3</v>
      </c>
    </row>
    <row r="638" spans="1:10" x14ac:dyDescent="0.2">
      <c r="A638" t="s">
        <v>79</v>
      </c>
      <c r="B638" t="s">
        <v>26</v>
      </c>
      <c r="C638">
        <v>3</v>
      </c>
      <c r="D638" t="s">
        <v>14</v>
      </c>
      <c r="E638">
        <v>4</v>
      </c>
      <c r="F638" t="s">
        <v>62</v>
      </c>
      <c r="G638" t="s">
        <v>14</v>
      </c>
      <c r="H638" t="s">
        <v>26</v>
      </c>
      <c r="I638">
        <v>4</v>
      </c>
      <c r="J638">
        <v>3</v>
      </c>
    </row>
    <row r="639" spans="1:10" x14ac:dyDescent="0.2">
      <c r="A639" t="s">
        <v>79</v>
      </c>
      <c r="B639" t="s">
        <v>29</v>
      </c>
      <c r="C639">
        <v>1</v>
      </c>
      <c r="D639" t="s">
        <v>32</v>
      </c>
      <c r="E639">
        <v>4</v>
      </c>
      <c r="F639" t="s">
        <v>60</v>
      </c>
      <c r="G639" t="s">
        <v>32</v>
      </c>
      <c r="H639" t="s">
        <v>29</v>
      </c>
      <c r="I639">
        <v>4</v>
      </c>
      <c r="J639">
        <v>1</v>
      </c>
    </row>
    <row r="640" spans="1:10" x14ac:dyDescent="0.2">
      <c r="A640" t="s">
        <v>79</v>
      </c>
      <c r="B640" t="s">
        <v>40</v>
      </c>
      <c r="C640">
        <v>5</v>
      </c>
      <c r="D640" t="s">
        <v>19</v>
      </c>
      <c r="E640">
        <v>6</v>
      </c>
      <c r="F640" t="s">
        <v>60</v>
      </c>
      <c r="G640" t="s">
        <v>19</v>
      </c>
      <c r="H640" t="s">
        <v>40</v>
      </c>
      <c r="I640">
        <v>6</v>
      </c>
      <c r="J640">
        <v>5</v>
      </c>
    </row>
    <row r="641" spans="1:10" x14ac:dyDescent="0.2">
      <c r="A641" t="s">
        <v>80</v>
      </c>
      <c r="B641" t="s">
        <v>34</v>
      </c>
      <c r="C641">
        <v>5</v>
      </c>
      <c r="D641" t="s">
        <v>31</v>
      </c>
      <c r="E641">
        <v>2</v>
      </c>
      <c r="F641" t="s">
        <v>60</v>
      </c>
      <c r="G641" t="s">
        <v>34</v>
      </c>
      <c r="H641" t="s">
        <v>31</v>
      </c>
      <c r="I641">
        <v>5</v>
      </c>
      <c r="J641">
        <v>2</v>
      </c>
    </row>
    <row r="642" spans="1:10" x14ac:dyDescent="0.2">
      <c r="A642" t="s">
        <v>80</v>
      </c>
      <c r="B642" t="s">
        <v>15</v>
      </c>
      <c r="C642">
        <v>5</v>
      </c>
      <c r="D642" t="s">
        <v>11</v>
      </c>
      <c r="E642">
        <v>1</v>
      </c>
      <c r="F642" t="s">
        <v>60</v>
      </c>
      <c r="G642" t="s">
        <v>15</v>
      </c>
      <c r="H642" t="s">
        <v>11</v>
      </c>
      <c r="I642">
        <v>5</v>
      </c>
      <c r="J642">
        <v>1</v>
      </c>
    </row>
    <row r="643" spans="1:10" x14ac:dyDescent="0.2">
      <c r="A643" t="s">
        <v>80</v>
      </c>
      <c r="B643" t="s">
        <v>20</v>
      </c>
      <c r="C643">
        <v>3</v>
      </c>
      <c r="D643" t="s">
        <v>35</v>
      </c>
      <c r="E643">
        <v>4</v>
      </c>
      <c r="F643" t="s">
        <v>60</v>
      </c>
      <c r="G643" t="s">
        <v>35</v>
      </c>
      <c r="H643" t="s">
        <v>20</v>
      </c>
      <c r="I643">
        <v>4</v>
      </c>
      <c r="J643">
        <v>3</v>
      </c>
    </row>
    <row r="644" spans="1:10" x14ac:dyDescent="0.2">
      <c r="A644" t="s">
        <v>80</v>
      </c>
      <c r="B644" t="s">
        <v>32</v>
      </c>
      <c r="C644">
        <v>4</v>
      </c>
      <c r="D644" t="s">
        <v>38</v>
      </c>
      <c r="E644">
        <v>3</v>
      </c>
      <c r="F644" t="s">
        <v>61</v>
      </c>
      <c r="G644" t="s">
        <v>32</v>
      </c>
      <c r="H644" t="s">
        <v>38</v>
      </c>
      <c r="I644">
        <v>4</v>
      </c>
      <c r="J644">
        <v>3</v>
      </c>
    </row>
    <row r="645" spans="1:10" x14ac:dyDescent="0.2">
      <c r="A645" t="s">
        <v>81</v>
      </c>
      <c r="B645" t="s">
        <v>12</v>
      </c>
      <c r="C645">
        <v>5</v>
      </c>
      <c r="D645" t="s">
        <v>25</v>
      </c>
      <c r="E645">
        <v>3</v>
      </c>
      <c r="F645" t="s">
        <v>60</v>
      </c>
      <c r="G645" t="s">
        <v>12</v>
      </c>
      <c r="H645" t="s">
        <v>25</v>
      </c>
      <c r="I645">
        <v>5</v>
      </c>
      <c r="J645">
        <v>3</v>
      </c>
    </row>
    <row r="646" spans="1:10" x14ac:dyDescent="0.2">
      <c r="A646" t="s">
        <v>81</v>
      </c>
      <c r="B646" t="s">
        <v>23</v>
      </c>
      <c r="C646">
        <v>1</v>
      </c>
      <c r="D646" t="s">
        <v>28</v>
      </c>
      <c r="E646">
        <v>5</v>
      </c>
      <c r="F646" t="s">
        <v>60</v>
      </c>
      <c r="G646" t="s">
        <v>28</v>
      </c>
      <c r="H646" t="s">
        <v>23</v>
      </c>
      <c r="I646">
        <v>5</v>
      </c>
      <c r="J646">
        <v>1</v>
      </c>
    </row>
    <row r="647" spans="1:10" x14ac:dyDescent="0.2">
      <c r="A647" t="s">
        <v>81</v>
      </c>
      <c r="B647" t="s">
        <v>29</v>
      </c>
      <c r="C647">
        <v>4</v>
      </c>
      <c r="D647" t="s">
        <v>16</v>
      </c>
      <c r="E647">
        <v>3</v>
      </c>
      <c r="F647" t="s">
        <v>60</v>
      </c>
      <c r="G647" t="s">
        <v>29</v>
      </c>
      <c r="H647" t="s">
        <v>16</v>
      </c>
      <c r="I647">
        <v>4</v>
      </c>
      <c r="J647">
        <v>3</v>
      </c>
    </row>
    <row r="648" spans="1:10" x14ac:dyDescent="0.2">
      <c r="A648" t="s">
        <v>81</v>
      </c>
      <c r="B648" t="s">
        <v>14</v>
      </c>
      <c r="C648">
        <v>4</v>
      </c>
      <c r="D648" t="s">
        <v>26</v>
      </c>
      <c r="E648">
        <v>1</v>
      </c>
      <c r="F648" t="s">
        <v>60</v>
      </c>
      <c r="G648" t="s">
        <v>14</v>
      </c>
      <c r="H648" t="s">
        <v>26</v>
      </c>
      <c r="I648">
        <v>4</v>
      </c>
      <c r="J648">
        <v>1</v>
      </c>
    </row>
    <row r="649" spans="1:10" x14ac:dyDescent="0.2">
      <c r="A649" t="s">
        <v>81</v>
      </c>
      <c r="B649" t="s">
        <v>27</v>
      </c>
      <c r="C649">
        <v>5</v>
      </c>
      <c r="D649" t="s">
        <v>17</v>
      </c>
      <c r="E649">
        <v>2</v>
      </c>
      <c r="F649" t="s">
        <v>60</v>
      </c>
      <c r="G649" t="s">
        <v>27</v>
      </c>
      <c r="H649" t="s">
        <v>17</v>
      </c>
      <c r="I649">
        <v>5</v>
      </c>
      <c r="J649">
        <v>2</v>
      </c>
    </row>
    <row r="650" spans="1:10" x14ac:dyDescent="0.2">
      <c r="A650" t="s">
        <v>81</v>
      </c>
      <c r="B650" t="s">
        <v>34</v>
      </c>
      <c r="C650">
        <v>4</v>
      </c>
      <c r="D650" t="s">
        <v>13</v>
      </c>
      <c r="E650">
        <v>5</v>
      </c>
      <c r="F650" t="s">
        <v>61</v>
      </c>
      <c r="G650" t="s">
        <v>13</v>
      </c>
      <c r="H650" t="s">
        <v>34</v>
      </c>
      <c r="I650">
        <v>5</v>
      </c>
      <c r="J650">
        <v>4</v>
      </c>
    </row>
    <row r="651" spans="1:10" x14ac:dyDescent="0.2">
      <c r="A651" t="s">
        <v>81</v>
      </c>
      <c r="B651" t="s">
        <v>55</v>
      </c>
      <c r="C651">
        <v>1</v>
      </c>
      <c r="D651" t="s">
        <v>24</v>
      </c>
      <c r="E651">
        <v>4</v>
      </c>
      <c r="F651" t="s">
        <v>60</v>
      </c>
      <c r="G651" t="s">
        <v>24</v>
      </c>
      <c r="H651" t="s">
        <v>55</v>
      </c>
      <c r="I651">
        <v>4</v>
      </c>
      <c r="J651">
        <v>1</v>
      </c>
    </row>
    <row r="652" spans="1:10" x14ac:dyDescent="0.2">
      <c r="A652" t="s">
        <v>81</v>
      </c>
      <c r="B652" t="s">
        <v>19</v>
      </c>
      <c r="C652">
        <v>3</v>
      </c>
      <c r="D652" t="s">
        <v>30</v>
      </c>
      <c r="E652">
        <v>4</v>
      </c>
      <c r="F652" t="s">
        <v>62</v>
      </c>
      <c r="G652" t="s">
        <v>30</v>
      </c>
      <c r="H652" t="s">
        <v>19</v>
      </c>
      <c r="I652">
        <v>4</v>
      </c>
      <c r="J652">
        <v>3</v>
      </c>
    </row>
    <row r="653" spans="1:10" x14ac:dyDescent="0.2">
      <c r="A653" t="s">
        <v>81</v>
      </c>
      <c r="B653" t="s">
        <v>40</v>
      </c>
      <c r="C653">
        <v>2</v>
      </c>
      <c r="D653" t="s">
        <v>36</v>
      </c>
      <c r="E653">
        <v>4</v>
      </c>
      <c r="F653" t="s">
        <v>60</v>
      </c>
      <c r="G653" t="s">
        <v>36</v>
      </c>
      <c r="H653" t="s">
        <v>40</v>
      </c>
      <c r="I653">
        <v>4</v>
      </c>
      <c r="J653">
        <v>2</v>
      </c>
    </row>
    <row r="654" spans="1:10" x14ac:dyDescent="0.2">
      <c r="A654" t="s">
        <v>81</v>
      </c>
      <c r="B654" t="s">
        <v>37</v>
      </c>
      <c r="C654">
        <v>7</v>
      </c>
      <c r="D654" t="s">
        <v>33</v>
      </c>
      <c r="E654">
        <v>3</v>
      </c>
      <c r="F654" t="s">
        <v>60</v>
      </c>
      <c r="G654" t="s">
        <v>37</v>
      </c>
      <c r="H654" t="s">
        <v>33</v>
      </c>
      <c r="I654">
        <v>7</v>
      </c>
      <c r="J654">
        <v>3</v>
      </c>
    </row>
    <row r="655" spans="1:10" x14ac:dyDescent="0.2">
      <c r="A655" t="s">
        <v>81</v>
      </c>
      <c r="B655" t="s">
        <v>18</v>
      </c>
      <c r="C655">
        <v>0</v>
      </c>
      <c r="D655" t="s">
        <v>35</v>
      </c>
      <c r="E655">
        <v>2</v>
      </c>
      <c r="F655" t="s">
        <v>60</v>
      </c>
      <c r="G655" t="s">
        <v>35</v>
      </c>
      <c r="H655" t="s">
        <v>18</v>
      </c>
      <c r="I655">
        <v>2</v>
      </c>
      <c r="J655">
        <v>0</v>
      </c>
    </row>
    <row r="656" spans="1:10" x14ac:dyDescent="0.2">
      <c r="A656" t="s">
        <v>81</v>
      </c>
      <c r="B656" t="s">
        <v>21</v>
      </c>
      <c r="C656">
        <v>3</v>
      </c>
      <c r="D656" t="s">
        <v>38</v>
      </c>
      <c r="E656">
        <v>2</v>
      </c>
      <c r="F656" t="s">
        <v>62</v>
      </c>
      <c r="G656" t="s">
        <v>21</v>
      </c>
      <c r="H656" t="s">
        <v>38</v>
      </c>
      <c r="I656">
        <v>3</v>
      </c>
      <c r="J656">
        <v>2</v>
      </c>
    </row>
    <row r="657" spans="1:10" x14ac:dyDescent="0.2">
      <c r="A657" t="s">
        <v>81</v>
      </c>
      <c r="B657" t="s">
        <v>10</v>
      </c>
      <c r="C657">
        <v>3</v>
      </c>
      <c r="D657" t="s">
        <v>22</v>
      </c>
      <c r="E657">
        <v>2</v>
      </c>
      <c r="F657" t="s">
        <v>61</v>
      </c>
      <c r="G657" t="s">
        <v>10</v>
      </c>
      <c r="H657" t="s">
        <v>22</v>
      </c>
      <c r="I657">
        <v>3</v>
      </c>
      <c r="J657">
        <v>2</v>
      </c>
    </row>
    <row r="658" spans="1:10" x14ac:dyDescent="0.2">
      <c r="A658" t="s">
        <v>82</v>
      </c>
      <c r="B658" t="s">
        <v>14</v>
      </c>
      <c r="C658">
        <v>5</v>
      </c>
      <c r="D658" t="s">
        <v>28</v>
      </c>
      <c r="E658">
        <v>4</v>
      </c>
      <c r="F658" t="s">
        <v>62</v>
      </c>
      <c r="G658" t="s">
        <v>14</v>
      </c>
      <c r="H658" t="s">
        <v>28</v>
      </c>
      <c r="I658">
        <v>5</v>
      </c>
      <c r="J658">
        <v>4</v>
      </c>
    </row>
    <row r="659" spans="1:10" x14ac:dyDescent="0.2">
      <c r="A659" t="s">
        <v>82</v>
      </c>
      <c r="B659" t="s">
        <v>20</v>
      </c>
      <c r="C659">
        <v>2</v>
      </c>
      <c r="D659" t="s">
        <v>10</v>
      </c>
      <c r="E659">
        <v>3</v>
      </c>
      <c r="F659" t="s">
        <v>62</v>
      </c>
      <c r="G659" t="s">
        <v>10</v>
      </c>
      <c r="H659" t="s">
        <v>20</v>
      </c>
      <c r="I659">
        <v>3</v>
      </c>
      <c r="J659">
        <v>2</v>
      </c>
    </row>
    <row r="660" spans="1:10" x14ac:dyDescent="0.2">
      <c r="A660" t="s">
        <v>82</v>
      </c>
      <c r="B660" t="s">
        <v>18</v>
      </c>
      <c r="C660">
        <v>4</v>
      </c>
      <c r="D660" t="s">
        <v>39</v>
      </c>
      <c r="E660">
        <v>3</v>
      </c>
      <c r="F660" t="s">
        <v>62</v>
      </c>
      <c r="G660" t="s">
        <v>18</v>
      </c>
      <c r="H660" t="s">
        <v>39</v>
      </c>
      <c r="I660">
        <v>4</v>
      </c>
      <c r="J660">
        <v>3</v>
      </c>
    </row>
    <row r="661" spans="1:10" x14ac:dyDescent="0.2">
      <c r="A661" t="s">
        <v>82</v>
      </c>
      <c r="B661" t="s">
        <v>12</v>
      </c>
      <c r="C661">
        <v>1</v>
      </c>
      <c r="D661" t="s">
        <v>11</v>
      </c>
      <c r="E661">
        <v>2</v>
      </c>
      <c r="F661" t="s">
        <v>60</v>
      </c>
      <c r="G661" t="s">
        <v>11</v>
      </c>
      <c r="H661" t="s">
        <v>12</v>
      </c>
      <c r="I661">
        <v>2</v>
      </c>
      <c r="J661">
        <v>1</v>
      </c>
    </row>
    <row r="662" spans="1:10" x14ac:dyDescent="0.2">
      <c r="A662" t="s">
        <v>82</v>
      </c>
      <c r="B662" t="s">
        <v>25</v>
      </c>
      <c r="C662">
        <v>3</v>
      </c>
      <c r="D662" t="s">
        <v>24</v>
      </c>
      <c r="E662">
        <v>1</v>
      </c>
      <c r="F662" t="s">
        <v>60</v>
      </c>
      <c r="G662" t="s">
        <v>25</v>
      </c>
      <c r="H662" t="s">
        <v>24</v>
      </c>
      <c r="I662">
        <v>3</v>
      </c>
      <c r="J662">
        <v>1</v>
      </c>
    </row>
    <row r="663" spans="1:10" x14ac:dyDescent="0.2">
      <c r="A663" t="s">
        <v>83</v>
      </c>
      <c r="B663" t="s">
        <v>32</v>
      </c>
      <c r="C663">
        <v>5</v>
      </c>
      <c r="D663" t="s">
        <v>16</v>
      </c>
      <c r="E663">
        <v>1</v>
      </c>
      <c r="F663" t="s">
        <v>60</v>
      </c>
      <c r="G663" t="s">
        <v>32</v>
      </c>
      <c r="H663" t="s">
        <v>16</v>
      </c>
      <c r="I663">
        <v>5</v>
      </c>
      <c r="J663">
        <v>1</v>
      </c>
    </row>
    <row r="664" spans="1:10" x14ac:dyDescent="0.2">
      <c r="A664" t="s">
        <v>83</v>
      </c>
      <c r="B664" t="s">
        <v>34</v>
      </c>
      <c r="C664">
        <v>2</v>
      </c>
      <c r="D664" t="s">
        <v>13</v>
      </c>
      <c r="E664">
        <v>4</v>
      </c>
      <c r="F664" t="s">
        <v>60</v>
      </c>
      <c r="G664" t="s">
        <v>13</v>
      </c>
      <c r="H664" t="s">
        <v>34</v>
      </c>
      <c r="I664">
        <v>4</v>
      </c>
      <c r="J664">
        <v>2</v>
      </c>
    </row>
    <row r="665" spans="1:10" x14ac:dyDescent="0.2">
      <c r="A665" t="s">
        <v>83</v>
      </c>
      <c r="B665" t="s">
        <v>55</v>
      </c>
      <c r="C665">
        <v>3</v>
      </c>
      <c r="D665" t="s">
        <v>15</v>
      </c>
      <c r="E665">
        <v>2</v>
      </c>
      <c r="F665" t="s">
        <v>62</v>
      </c>
      <c r="G665" t="s">
        <v>55</v>
      </c>
      <c r="H665" t="s">
        <v>15</v>
      </c>
      <c r="I665">
        <v>3</v>
      </c>
      <c r="J665">
        <v>2</v>
      </c>
    </row>
    <row r="666" spans="1:10" x14ac:dyDescent="0.2">
      <c r="A666" t="s">
        <v>83</v>
      </c>
      <c r="B666" t="s">
        <v>26</v>
      </c>
      <c r="C666">
        <v>5</v>
      </c>
      <c r="D666" t="s">
        <v>36</v>
      </c>
      <c r="E666">
        <v>3</v>
      </c>
      <c r="F666" t="s">
        <v>60</v>
      </c>
      <c r="G666" t="s">
        <v>26</v>
      </c>
      <c r="H666" t="s">
        <v>36</v>
      </c>
      <c r="I666">
        <v>5</v>
      </c>
      <c r="J666">
        <v>3</v>
      </c>
    </row>
    <row r="667" spans="1:10" x14ac:dyDescent="0.2">
      <c r="A667" t="s">
        <v>83</v>
      </c>
      <c r="B667" t="s">
        <v>31</v>
      </c>
      <c r="C667">
        <v>4</v>
      </c>
      <c r="D667" t="s">
        <v>22</v>
      </c>
      <c r="E667">
        <v>7</v>
      </c>
      <c r="F667" t="s">
        <v>60</v>
      </c>
      <c r="G667" t="s">
        <v>22</v>
      </c>
      <c r="H667" t="s">
        <v>31</v>
      </c>
      <c r="I667">
        <v>7</v>
      </c>
      <c r="J667">
        <v>4</v>
      </c>
    </row>
    <row r="668" spans="1:10" x14ac:dyDescent="0.2">
      <c r="A668" t="s">
        <v>84</v>
      </c>
      <c r="B668" t="s">
        <v>38</v>
      </c>
      <c r="C668">
        <v>3</v>
      </c>
      <c r="D668" t="s">
        <v>23</v>
      </c>
      <c r="E668">
        <v>5</v>
      </c>
      <c r="F668" t="s">
        <v>60</v>
      </c>
      <c r="G668" t="s">
        <v>23</v>
      </c>
      <c r="H668" t="s">
        <v>38</v>
      </c>
      <c r="I668">
        <v>5</v>
      </c>
      <c r="J668">
        <v>3</v>
      </c>
    </row>
    <row r="669" spans="1:10" x14ac:dyDescent="0.2">
      <c r="A669" t="s">
        <v>84</v>
      </c>
      <c r="B669" t="s">
        <v>39</v>
      </c>
      <c r="C669">
        <v>3</v>
      </c>
      <c r="D669" t="s">
        <v>25</v>
      </c>
      <c r="E669">
        <v>6</v>
      </c>
      <c r="F669" t="s">
        <v>60</v>
      </c>
      <c r="G669" t="s">
        <v>25</v>
      </c>
      <c r="H669" t="s">
        <v>39</v>
      </c>
      <c r="I669">
        <v>6</v>
      </c>
      <c r="J669">
        <v>3</v>
      </c>
    </row>
    <row r="670" spans="1:10" x14ac:dyDescent="0.2">
      <c r="A670" t="s">
        <v>84</v>
      </c>
      <c r="B670" t="s">
        <v>29</v>
      </c>
      <c r="C670">
        <v>2</v>
      </c>
      <c r="D670" t="s">
        <v>17</v>
      </c>
      <c r="E670">
        <v>6</v>
      </c>
      <c r="F670" t="s">
        <v>60</v>
      </c>
      <c r="G670" t="s">
        <v>17</v>
      </c>
      <c r="H670" t="s">
        <v>29</v>
      </c>
      <c r="I670">
        <v>6</v>
      </c>
      <c r="J670">
        <v>2</v>
      </c>
    </row>
    <row r="671" spans="1:10" x14ac:dyDescent="0.2">
      <c r="A671" t="s">
        <v>84</v>
      </c>
      <c r="B671" t="s">
        <v>24</v>
      </c>
      <c r="C671">
        <v>0</v>
      </c>
      <c r="D671" t="s">
        <v>30</v>
      </c>
      <c r="E671">
        <v>9</v>
      </c>
      <c r="F671" t="s">
        <v>60</v>
      </c>
      <c r="G671" t="s">
        <v>30</v>
      </c>
      <c r="H671" t="s">
        <v>24</v>
      </c>
      <c r="I671">
        <v>9</v>
      </c>
      <c r="J671">
        <v>0</v>
      </c>
    </row>
    <row r="672" spans="1:10" x14ac:dyDescent="0.2">
      <c r="A672" t="s">
        <v>84</v>
      </c>
      <c r="B672" t="s">
        <v>31</v>
      </c>
      <c r="C672">
        <v>2</v>
      </c>
      <c r="D672" t="s">
        <v>27</v>
      </c>
      <c r="E672">
        <v>5</v>
      </c>
      <c r="F672" t="s">
        <v>60</v>
      </c>
      <c r="G672" t="s">
        <v>27</v>
      </c>
      <c r="H672" t="s">
        <v>31</v>
      </c>
      <c r="I672">
        <v>5</v>
      </c>
      <c r="J672">
        <v>2</v>
      </c>
    </row>
    <row r="673" spans="1:10" x14ac:dyDescent="0.2">
      <c r="A673" t="s">
        <v>84</v>
      </c>
      <c r="B673" t="s">
        <v>21</v>
      </c>
      <c r="C673">
        <v>4</v>
      </c>
      <c r="D673" t="s">
        <v>32</v>
      </c>
      <c r="E673">
        <v>7</v>
      </c>
      <c r="F673" t="s">
        <v>60</v>
      </c>
      <c r="G673" t="s">
        <v>32</v>
      </c>
      <c r="H673" t="s">
        <v>21</v>
      </c>
      <c r="I673">
        <v>7</v>
      </c>
      <c r="J673">
        <v>4</v>
      </c>
    </row>
    <row r="674" spans="1:10" x14ac:dyDescent="0.2">
      <c r="A674" t="s">
        <v>84</v>
      </c>
      <c r="B674" t="s">
        <v>28</v>
      </c>
      <c r="C674">
        <v>2</v>
      </c>
      <c r="D674" t="s">
        <v>33</v>
      </c>
      <c r="E674">
        <v>5</v>
      </c>
      <c r="F674" t="s">
        <v>60</v>
      </c>
      <c r="G674" t="s">
        <v>33</v>
      </c>
      <c r="H674" t="s">
        <v>28</v>
      </c>
      <c r="I674">
        <v>5</v>
      </c>
      <c r="J674">
        <v>2</v>
      </c>
    </row>
    <row r="675" spans="1:10" x14ac:dyDescent="0.2">
      <c r="A675" t="s">
        <v>84</v>
      </c>
      <c r="B675" t="s">
        <v>12</v>
      </c>
      <c r="C675">
        <v>2</v>
      </c>
      <c r="D675" t="s">
        <v>37</v>
      </c>
      <c r="E675">
        <v>4</v>
      </c>
      <c r="F675" t="s">
        <v>60</v>
      </c>
      <c r="G675" t="s">
        <v>37</v>
      </c>
      <c r="H675" t="s">
        <v>12</v>
      </c>
      <c r="I675">
        <v>4</v>
      </c>
      <c r="J675">
        <v>2</v>
      </c>
    </row>
    <row r="676" spans="1:10" x14ac:dyDescent="0.2">
      <c r="A676" t="s">
        <v>84</v>
      </c>
      <c r="B676" t="s">
        <v>11</v>
      </c>
      <c r="C676">
        <v>1</v>
      </c>
      <c r="D676" t="s">
        <v>19</v>
      </c>
      <c r="E676">
        <v>4</v>
      </c>
      <c r="F676" t="s">
        <v>60</v>
      </c>
      <c r="G676" t="s">
        <v>19</v>
      </c>
      <c r="H676" t="s">
        <v>11</v>
      </c>
      <c r="I676">
        <v>4</v>
      </c>
      <c r="J676">
        <v>1</v>
      </c>
    </row>
    <row r="677" spans="1:10" x14ac:dyDescent="0.2">
      <c r="A677" t="s">
        <v>84</v>
      </c>
      <c r="B677" t="s">
        <v>20</v>
      </c>
      <c r="C677">
        <v>4</v>
      </c>
      <c r="D677" t="s">
        <v>40</v>
      </c>
      <c r="E677">
        <v>3</v>
      </c>
      <c r="F677" t="s">
        <v>62</v>
      </c>
      <c r="G677" t="s">
        <v>20</v>
      </c>
      <c r="H677" t="s">
        <v>40</v>
      </c>
      <c r="I677">
        <v>4</v>
      </c>
      <c r="J677">
        <v>3</v>
      </c>
    </row>
    <row r="678" spans="1:10" x14ac:dyDescent="0.2">
      <c r="A678" t="s">
        <v>85</v>
      </c>
      <c r="B678" t="s">
        <v>35</v>
      </c>
      <c r="C678">
        <v>3</v>
      </c>
      <c r="D678" t="s">
        <v>10</v>
      </c>
      <c r="E678">
        <v>7</v>
      </c>
      <c r="F678" t="s">
        <v>60</v>
      </c>
      <c r="G678" t="s">
        <v>10</v>
      </c>
      <c r="H678" t="s">
        <v>35</v>
      </c>
      <c r="I678">
        <v>7</v>
      </c>
      <c r="J678">
        <v>3</v>
      </c>
    </row>
    <row r="679" spans="1:10" x14ac:dyDescent="0.2">
      <c r="A679" t="s">
        <v>85</v>
      </c>
      <c r="B679" t="s">
        <v>33</v>
      </c>
      <c r="C679">
        <v>4</v>
      </c>
      <c r="D679" t="s">
        <v>13</v>
      </c>
      <c r="E679">
        <v>3</v>
      </c>
      <c r="F679" t="s">
        <v>62</v>
      </c>
      <c r="G679" t="s">
        <v>33</v>
      </c>
      <c r="H679" t="s">
        <v>13</v>
      </c>
      <c r="I679">
        <v>4</v>
      </c>
      <c r="J679">
        <v>3</v>
      </c>
    </row>
    <row r="680" spans="1:10" x14ac:dyDescent="0.2">
      <c r="A680" t="s">
        <v>85</v>
      </c>
      <c r="B680" t="s">
        <v>16</v>
      </c>
      <c r="C680">
        <v>1</v>
      </c>
      <c r="D680" t="s">
        <v>18</v>
      </c>
      <c r="E680">
        <v>4</v>
      </c>
      <c r="F680" t="s">
        <v>60</v>
      </c>
      <c r="G680" t="s">
        <v>18</v>
      </c>
      <c r="H680" t="s">
        <v>16</v>
      </c>
      <c r="I680">
        <v>4</v>
      </c>
      <c r="J680">
        <v>1</v>
      </c>
    </row>
    <row r="681" spans="1:10" x14ac:dyDescent="0.2">
      <c r="A681" t="s">
        <v>85</v>
      </c>
      <c r="B681" t="s">
        <v>36</v>
      </c>
      <c r="C681">
        <v>1</v>
      </c>
      <c r="D681" t="s">
        <v>55</v>
      </c>
      <c r="E681">
        <v>3</v>
      </c>
      <c r="F681" t="s">
        <v>60</v>
      </c>
      <c r="G681" t="s">
        <v>55</v>
      </c>
      <c r="H681" t="s">
        <v>36</v>
      </c>
      <c r="I681">
        <v>3</v>
      </c>
      <c r="J681">
        <v>1</v>
      </c>
    </row>
    <row r="682" spans="1:10" x14ac:dyDescent="0.2">
      <c r="A682" t="s">
        <v>85</v>
      </c>
      <c r="B682" t="s">
        <v>39</v>
      </c>
      <c r="C682">
        <v>4</v>
      </c>
      <c r="D682" t="s">
        <v>22</v>
      </c>
      <c r="E682">
        <v>1</v>
      </c>
      <c r="F682" t="s">
        <v>60</v>
      </c>
      <c r="G682" t="s">
        <v>39</v>
      </c>
      <c r="H682" t="s">
        <v>22</v>
      </c>
      <c r="I682">
        <v>4</v>
      </c>
      <c r="J682">
        <v>1</v>
      </c>
    </row>
    <row r="683" spans="1:10" x14ac:dyDescent="0.2">
      <c r="A683" t="s">
        <v>86</v>
      </c>
      <c r="B683" t="s">
        <v>16</v>
      </c>
      <c r="C683">
        <v>1</v>
      </c>
      <c r="D683" t="s">
        <v>21</v>
      </c>
      <c r="E683">
        <v>4</v>
      </c>
      <c r="F683" t="s">
        <v>60</v>
      </c>
      <c r="G683" t="s">
        <v>21</v>
      </c>
      <c r="H683" t="s">
        <v>16</v>
      </c>
      <c r="I683">
        <v>4</v>
      </c>
      <c r="J683">
        <v>1</v>
      </c>
    </row>
    <row r="684" spans="1:10" x14ac:dyDescent="0.2">
      <c r="A684" t="s">
        <v>86</v>
      </c>
      <c r="B684" t="s">
        <v>31</v>
      </c>
      <c r="C684">
        <v>2</v>
      </c>
      <c r="D684" t="s">
        <v>25</v>
      </c>
      <c r="E684">
        <v>5</v>
      </c>
      <c r="F684" t="s">
        <v>60</v>
      </c>
      <c r="G684" t="s">
        <v>25</v>
      </c>
      <c r="H684" t="s">
        <v>31</v>
      </c>
      <c r="I684">
        <v>5</v>
      </c>
      <c r="J684">
        <v>2</v>
      </c>
    </row>
    <row r="685" spans="1:10" x14ac:dyDescent="0.2">
      <c r="A685" t="s">
        <v>86</v>
      </c>
      <c r="B685" t="s">
        <v>36</v>
      </c>
      <c r="C685">
        <v>2</v>
      </c>
      <c r="D685" t="s">
        <v>12</v>
      </c>
      <c r="E685">
        <v>8</v>
      </c>
      <c r="F685" t="s">
        <v>60</v>
      </c>
      <c r="G685" t="s">
        <v>12</v>
      </c>
      <c r="H685" t="s">
        <v>36</v>
      </c>
      <c r="I685">
        <v>8</v>
      </c>
      <c r="J685">
        <v>2</v>
      </c>
    </row>
    <row r="686" spans="1:10" x14ac:dyDescent="0.2">
      <c r="A686" t="s">
        <v>86</v>
      </c>
      <c r="B686" t="s">
        <v>38</v>
      </c>
      <c r="C686">
        <v>1</v>
      </c>
      <c r="D686" t="s">
        <v>26</v>
      </c>
      <c r="E686">
        <v>5</v>
      </c>
      <c r="F686" t="s">
        <v>60</v>
      </c>
      <c r="G686" t="s">
        <v>26</v>
      </c>
      <c r="H686" t="s">
        <v>38</v>
      </c>
      <c r="I686">
        <v>5</v>
      </c>
      <c r="J686">
        <v>1</v>
      </c>
    </row>
    <row r="687" spans="1:10" x14ac:dyDescent="0.2">
      <c r="A687" t="s">
        <v>86</v>
      </c>
      <c r="B687" t="s">
        <v>11</v>
      </c>
      <c r="C687">
        <v>2</v>
      </c>
      <c r="D687" t="s">
        <v>18</v>
      </c>
      <c r="E687">
        <v>6</v>
      </c>
      <c r="F687" t="s">
        <v>60</v>
      </c>
      <c r="G687" t="s">
        <v>18</v>
      </c>
      <c r="H687" t="s">
        <v>11</v>
      </c>
      <c r="I687">
        <v>6</v>
      </c>
      <c r="J687">
        <v>2</v>
      </c>
    </row>
    <row r="688" spans="1:10" x14ac:dyDescent="0.2">
      <c r="A688" t="s">
        <v>86</v>
      </c>
      <c r="B688" t="s">
        <v>30</v>
      </c>
      <c r="C688">
        <v>1</v>
      </c>
      <c r="D688" t="s">
        <v>29</v>
      </c>
      <c r="E688">
        <v>2</v>
      </c>
      <c r="F688" t="s">
        <v>61</v>
      </c>
      <c r="G688" t="s">
        <v>29</v>
      </c>
      <c r="H688" t="s">
        <v>30</v>
      </c>
      <c r="I688">
        <v>2</v>
      </c>
      <c r="J688">
        <v>1</v>
      </c>
    </row>
    <row r="689" spans="1:10" x14ac:dyDescent="0.2">
      <c r="A689" t="s">
        <v>86</v>
      </c>
      <c r="B689" t="s">
        <v>23</v>
      </c>
      <c r="C689">
        <v>5</v>
      </c>
      <c r="D689" t="s">
        <v>15</v>
      </c>
      <c r="E689">
        <v>2</v>
      </c>
      <c r="F689" t="s">
        <v>60</v>
      </c>
      <c r="G689" t="s">
        <v>23</v>
      </c>
      <c r="H689" t="s">
        <v>15</v>
      </c>
      <c r="I689">
        <v>5</v>
      </c>
      <c r="J689">
        <v>2</v>
      </c>
    </row>
    <row r="690" spans="1:10" x14ac:dyDescent="0.2">
      <c r="A690" t="s">
        <v>86</v>
      </c>
      <c r="B690" t="s">
        <v>19</v>
      </c>
      <c r="C690">
        <v>2</v>
      </c>
      <c r="D690" t="s">
        <v>27</v>
      </c>
      <c r="E690">
        <v>1</v>
      </c>
      <c r="F690" t="s">
        <v>62</v>
      </c>
      <c r="G690" t="s">
        <v>19</v>
      </c>
      <c r="H690" t="s">
        <v>27</v>
      </c>
      <c r="I690">
        <v>2</v>
      </c>
      <c r="J690">
        <v>1</v>
      </c>
    </row>
    <row r="691" spans="1:10" x14ac:dyDescent="0.2">
      <c r="A691" t="s">
        <v>86</v>
      </c>
      <c r="B691" t="s">
        <v>24</v>
      </c>
      <c r="C691">
        <v>1</v>
      </c>
      <c r="D691" t="s">
        <v>14</v>
      </c>
      <c r="E691">
        <v>4</v>
      </c>
      <c r="F691" t="s">
        <v>60</v>
      </c>
      <c r="G691" t="s">
        <v>14</v>
      </c>
      <c r="H691" t="s">
        <v>24</v>
      </c>
      <c r="I691">
        <v>4</v>
      </c>
      <c r="J691">
        <v>1</v>
      </c>
    </row>
    <row r="692" spans="1:10" x14ac:dyDescent="0.2">
      <c r="A692" t="s">
        <v>86</v>
      </c>
      <c r="B692" t="s">
        <v>34</v>
      </c>
      <c r="C692">
        <v>3</v>
      </c>
      <c r="D692" t="s">
        <v>32</v>
      </c>
      <c r="E692">
        <v>2</v>
      </c>
      <c r="F692" t="s">
        <v>62</v>
      </c>
      <c r="G692" t="s">
        <v>34</v>
      </c>
      <c r="H692" t="s">
        <v>32</v>
      </c>
      <c r="I692">
        <v>3</v>
      </c>
      <c r="J692">
        <v>2</v>
      </c>
    </row>
    <row r="693" spans="1:10" x14ac:dyDescent="0.2">
      <c r="A693" t="s">
        <v>86</v>
      </c>
      <c r="B693" t="s">
        <v>28</v>
      </c>
      <c r="C693">
        <v>3</v>
      </c>
      <c r="D693" t="s">
        <v>20</v>
      </c>
      <c r="E693">
        <v>5</v>
      </c>
      <c r="F693" t="s">
        <v>60</v>
      </c>
      <c r="G693" t="s">
        <v>20</v>
      </c>
      <c r="H693" t="s">
        <v>28</v>
      </c>
      <c r="I693">
        <v>5</v>
      </c>
      <c r="J693">
        <v>3</v>
      </c>
    </row>
    <row r="694" spans="1:10" x14ac:dyDescent="0.2">
      <c r="A694" t="s">
        <v>86</v>
      </c>
      <c r="B694" t="s">
        <v>17</v>
      </c>
      <c r="C694">
        <v>4</v>
      </c>
      <c r="D694" t="s">
        <v>40</v>
      </c>
      <c r="E694">
        <v>3</v>
      </c>
      <c r="F694" t="s">
        <v>60</v>
      </c>
      <c r="G694" t="s">
        <v>17</v>
      </c>
      <c r="H694" t="s">
        <v>40</v>
      </c>
      <c r="I694">
        <v>4</v>
      </c>
      <c r="J694">
        <v>3</v>
      </c>
    </row>
    <row r="695" spans="1:10" x14ac:dyDescent="0.2">
      <c r="A695" t="s">
        <v>87</v>
      </c>
      <c r="B695" t="s">
        <v>22</v>
      </c>
      <c r="C695">
        <v>5</v>
      </c>
      <c r="D695" t="s">
        <v>10</v>
      </c>
      <c r="E695">
        <v>1</v>
      </c>
      <c r="F695" t="s">
        <v>60</v>
      </c>
      <c r="G695" t="s">
        <v>22</v>
      </c>
      <c r="H695" t="s">
        <v>10</v>
      </c>
      <c r="I695">
        <v>5</v>
      </c>
      <c r="J695">
        <v>1</v>
      </c>
    </row>
    <row r="696" spans="1:10" x14ac:dyDescent="0.2">
      <c r="A696" t="s">
        <v>87</v>
      </c>
      <c r="B696" t="s">
        <v>35</v>
      </c>
      <c r="C696">
        <v>2</v>
      </c>
      <c r="D696" t="s">
        <v>55</v>
      </c>
      <c r="E696">
        <v>4</v>
      </c>
      <c r="F696" t="s">
        <v>60</v>
      </c>
      <c r="G696" t="s">
        <v>55</v>
      </c>
      <c r="H696" t="s">
        <v>35</v>
      </c>
      <c r="I696">
        <v>4</v>
      </c>
      <c r="J696">
        <v>2</v>
      </c>
    </row>
    <row r="697" spans="1:10" x14ac:dyDescent="0.2">
      <c r="A697" t="s">
        <v>87</v>
      </c>
      <c r="B697" t="s">
        <v>13</v>
      </c>
      <c r="C697">
        <v>1</v>
      </c>
      <c r="D697" t="s">
        <v>40</v>
      </c>
      <c r="E697">
        <v>5</v>
      </c>
      <c r="F697" t="s">
        <v>60</v>
      </c>
      <c r="G697" t="s">
        <v>40</v>
      </c>
      <c r="H697" t="s">
        <v>13</v>
      </c>
      <c r="I697">
        <v>5</v>
      </c>
      <c r="J697">
        <v>1</v>
      </c>
    </row>
    <row r="698" spans="1:10" x14ac:dyDescent="0.2">
      <c r="A698" t="s">
        <v>88</v>
      </c>
      <c r="B698" t="s">
        <v>15</v>
      </c>
      <c r="C698">
        <v>2</v>
      </c>
      <c r="D698" t="s">
        <v>21</v>
      </c>
      <c r="E698">
        <v>10</v>
      </c>
      <c r="F698" t="s">
        <v>60</v>
      </c>
      <c r="G698" t="s">
        <v>15</v>
      </c>
      <c r="H698" t="s">
        <v>21</v>
      </c>
      <c r="I698">
        <v>2</v>
      </c>
      <c r="J698">
        <v>10</v>
      </c>
    </row>
    <row r="699" spans="1:10" x14ac:dyDescent="0.2">
      <c r="A699" t="s">
        <v>88</v>
      </c>
      <c r="B699" t="s">
        <v>31</v>
      </c>
      <c r="C699">
        <v>3</v>
      </c>
      <c r="D699" t="s">
        <v>23</v>
      </c>
      <c r="E699">
        <v>5</v>
      </c>
      <c r="F699" t="s">
        <v>60</v>
      </c>
      <c r="G699" t="s">
        <v>23</v>
      </c>
      <c r="H699" t="s">
        <v>31</v>
      </c>
      <c r="I699">
        <v>5</v>
      </c>
      <c r="J699">
        <v>3</v>
      </c>
    </row>
    <row r="700" spans="1:10" x14ac:dyDescent="0.2">
      <c r="A700" t="s">
        <v>88</v>
      </c>
      <c r="B700" t="s">
        <v>32</v>
      </c>
      <c r="C700">
        <v>2</v>
      </c>
      <c r="D700" t="s">
        <v>25</v>
      </c>
      <c r="E700">
        <v>3</v>
      </c>
      <c r="F700" t="s">
        <v>60</v>
      </c>
      <c r="G700" t="s">
        <v>25</v>
      </c>
      <c r="H700" t="s">
        <v>32</v>
      </c>
      <c r="I700">
        <v>3</v>
      </c>
      <c r="J700">
        <v>2</v>
      </c>
    </row>
    <row r="701" spans="1:10" x14ac:dyDescent="0.2">
      <c r="A701" t="s">
        <v>88</v>
      </c>
      <c r="B701" t="s">
        <v>28</v>
      </c>
      <c r="C701">
        <v>0</v>
      </c>
      <c r="D701" t="s">
        <v>12</v>
      </c>
      <c r="E701">
        <v>4</v>
      </c>
      <c r="F701" t="s">
        <v>60</v>
      </c>
      <c r="G701" t="s">
        <v>12</v>
      </c>
      <c r="H701" t="s">
        <v>28</v>
      </c>
      <c r="I701">
        <v>4</v>
      </c>
      <c r="J701">
        <v>0</v>
      </c>
    </row>
    <row r="702" spans="1:10" x14ac:dyDescent="0.2">
      <c r="A702" t="s">
        <v>88</v>
      </c>
      <c r="B702" t="s">
        <v>13</v>
      </c>
      <c r="C702">
        <v>4</v>
      </c>
      <c r="D702" t="s">
        <v>17</v>
      </c>
      <c r="E702">
        <v>3</v>
      </c>
      <c r="F702" t="s">
        <v>61</v>
      </c>
      <c r="G702" t="s">
        <v>13</v>
      </c>
      <c r="H702" t="s">
        <v>17</v>
      </c>
      <c r="I702">
        <v>4</v>
      </c>
      <c r="J702">
        <v>3</v>
      </c>
    </row>
    <row r="703" spans="1:10" x14ac:dyDescent="0.2">
      <c r="A703" t="s">
        <v>88</v>
      </c>
      <c r="B703" t="s">
        <v>30</v>
      </c>
      <c r="C703">
        <v>4</v>
      </c>
      <c r="D703" t="s">
        <v>34</v>
      </c>
      <c r="E703">
        <v>3</v>
      </c>
      <c r="F703" t="s">
        <v>62</v>
      </c>
      <c r="G703" t="s">
        <v>30</v>
      </c>
      <c r="H703" t="s">
        <v>34</v>
      </c>
      <c r="I703">
        <v>4</v>
      </c>
      <c r="J703">
        <v>3</v>
      </c>
    </row>
    <row r="704" spans="1:10" x14ac:dyDescent="0.2">
      <c r="A704" t="s">
        <v>88</v>
      </c>
      <c r="B704" t="s">
        <v>26</v>
      </c>
      <c r="C704">
        <v>4</v>
      </c>
      <c r="D704" t="s">
        <v>18</v>
      </c>
      <c r="E704">
        <v>0</v>
      </c>
      <c r="F704" t="s">
        <v>60</v>
      </c>
      <c r="G704" t="s">
        <v>26</v>
      </c>
      <c r="H704" t="s">
        <v>18</v>
      </c>
      <c r="I704">
        <v>4</v>
      </c>
      <c r="J704">
        <v>0</v>
      </c>
    </row>
    <row r="705" spans="1:10" x14ac:dyDescent="0.2">
      <c r="A705" t="s">
        <v>88</v>
      </c>
      <c r="B705" t="s">
        <v>10</v>
      </c>
      <c r="C705">
        <v>3</v>
      </c>
      <c r="D705" t="s">
        <v>29</v>
      </c>
      <c r="E705">
        <v>0</v>
      </c>
      <c r="F705" t="s">
        <v>60</v>
      </c>
      <c r="G705" t="s">
        <v>10</v>
      </c>
      <c r="H705" t="s">
        <v>29</v>
      </c>
      <c r="I705">
        <v>3</v>
      </c>
      <c r="J705">
        <v>0</v>
      </c>
    </row>
    <row r="706" spans="1:10" x14ac:dyDescent="0.2">
      <c r="A706" t="s">
        <v>88</v>
      </c>
      <c r="B706" t="s">
        <v>11</v>
      </c>
      <c r="C706">
        <v>3</v>
      </c>
      <c r="D706" t="s">
        <v>36</v>
      </c>
      <c r="E706">
        <v>2</v>
      </c>
      <c r="F706" t="s">
        <v>60</v>
      </c>
      <c r="G706" t="s">
        <v>11</v>
      </c>
      <c r="H706" t="s">
        <v>36</v>
      </c>
      <c r="I706">
        <v>3</v>
      </c>
      <c r="J706">
        <v>2</v>
      </c>
    </row>
    <row r="707" spans="1:10" x14ac:dyDescent="0.2">
      <c r="A707" t="s">
        <v>88</v>
      </c>
      <c r="B707" t="s">
        <v>37</v>
      </c>
      <c r="C707">
        <v>7</v>
      </c>
      <c r="D707" t="s">
        <v>27</v>
      </c>
      <c r="E707">
        <v>2</v>
      </c>
      <c r="F707" t="s">
        <v>60</v>
      </c>
      <c r="G707" t="s">
        <v>37</v>
      </c>
      <c r="H707" t="s">
        <v>27</v>
      </c>
      <c r="I707">
        <v>7</v>
      </c>
      <c r="J707">
        <v>2</v>
      </c>
    </row>
    <row r="708" spans="1:10" x14ac:dyDescent="0.2">
      <c r="A708" t="s">
        <v>88</v>
      </c>
      <c r="B708" t="s">
        <v>16</v>
      </c>
      <c r="C708">
        <v>2</v>
      </c>
      <c r="D708" t="s">
        <v>14</v>
      </c>
      <c r="E708">
        <v>1</v>
      </c>
      <c r="F708" t="s">
        <v>60</v>
      </c>
      <c r="G708" t="s">
        <v>16</v>
      </c>
      <c r="H708" t="s">
        <v>14</v>
      </c>
      <c r="I708">
        <v>2</v>
      </c>
      <c r="J708">
        <v>1</v>
      </c>
    </row>
    <row r="709" spans="1:10" x14ac:dyDescent="0.2">
      <c r="A709" t="s">
        <v>88</v>
      </c>
      <c r="B709" t="s">
        <v>39</v>
      </c>
      <c r="C709">
        <v>4</v>
      </c>
      <c r="D709" t="s">
        <v>33</v>
      </c>
      <c r="E709">
        <v>5</v>
      </c>
      <c r="F709" t="s">
        <v>62</v>
      </c>
      <c r="G709" t="s">
        <v>33</v>
      </c>
      <c r="H709" t="s">
        <v>39</v>
      </c>
      <c r="I709">
        <v>5</v>
      </c>
      <c r="J709">
        <v>4</v>
      </c>
    </row>
    <row r="710" spans="1:10" x14ac:dyDescent="0.2">
      <c r="A710" t="s">
        <v>88</v>
      </c>
      <c r="B710" t="s">
        <v>38</v>
      </c>
      <c r="C710">
        <v>0</v>
      </c>
      <c r="D710" t="s">
        <v>19</v>
      </c>
      <c r="E710">
        <v>5</v>
      </c>
      <c r="F710" t="s">
        <v>60</v>
      </c>
      <c r="G710" t="s">
        <v>19</v>
      </c>
      <c r="H710" t="s">
        <v>38</v>
      </c>
      <c r="I710">
        <v>5</v>
      </c>
      <c r="J710">
        <v>0</v>
      </c>
    </row>
    <row r="711" spans="1:10" x14ac:dyDescent="0.2">
      <c r="A711" t="s">
        <v>88</v>
      </c>
      <c r="B711" t="s">
        <v>35</v>
      </c>
      <c r="C711">
        <v>2</v>
      </c>
      <c r="D711" t="s">
        <v>20</v>
      </c>
      <c r="E711">
        <v>4</v>
      </c>
      <c r="F711" t="s">
        <v>60</v>
      </c>
      <c r="G711" t="s">
        <v>20</v>
      </c>
      <c r="H711" t="s">
        <v>35</v>
      </c>
      <c r="I711">
        <v>4</v>
      </c>
      <c r="J711">
        <v>2</v>
      </c>
    </row>
    <row r="712" spans="1:10" x14ac:dyDescent="0.2">
      <c r="A712" t="s">
        <v>89</v>
      </c>
      <c r="B712" t="s">
        <v>14</v>
      </c>
      <c r="C712">
        <v>0</v>
      </c>
      <c r="D712" t="s">
        <v>21</v>
      </c>
      <c r="E712">
        <v>1</v>
      </c>
      <c r="F712" t="s">
        <v>60</v>
      </c>
      <c r="G712" t="s">
        <v>21</v>
      </c>
      <c r="H712" t="s">
        <v>14</v>
      </c>
      <c r="I712">
        <v>1</v>
      </c>
      <c r="J712">
        <v>0</v>
      </c>
    </row>
    <row r="713" spans="1:10" x14ac:dyDescent="0.2">
      <c r="A713" t="s">
        <v>89</v>
      </c>
      <c r="B713" t="s">
        <v>22</v>
      </c>
      <c r="C713">
        <v>2</v>
      </c>
      <c r="D713" t="s">
        <v>29</v>
      </c>
      <c r="E713">
        <v>3</v>
      </c>
      <c r="F713" t="s">
        <v>60</v>
      </c>
      <c r="G713" t="s">
        <v>29</v>
      </c>
      <c r="H713" t="s">
        <v>22</v>
      </c>
      <c r="I713">
        <v>3</v>
      </c>
      <c r="J713">
        <v>2</v>
      </c>
    </row>
    <row r="714" spans="1:10" x14ac:dyDescent="0.2">
      <c r="A714" t="s">
        <v>89</v>
      </c>
      <c r="B714" t="s">
        <v>20</v>
      </c>
      <c r="C714">
        <v>7</v>
      </c>
      <c r="D714" t="s">
        <v>33</v>
      </c>
      <c r="E714">
        <v>2</v>
      </c>
      <c r="F714" t="s">
        <v>60</v>
      </c>
      <c r="G714" t="s">
        <v>20</v>
      </c>
      <c r="H714" t="s">
        <v>33</v>
      </c>
      <c r="I714">
        <v>7</v>
      </c>
      <c r="J714">
        <v>2</v>
      </c>
    </row>
    <row r="715" spans="1:10" x14ac:dyDescent="0.2">
      <c r="A715" t="s">
        <v>89</v>
      </c>
      <c r="B715" t="s">
        <v>28</v>
      </c>
      <c r="C715">
        <v>3</v>
      </c>
      <c r="D715" t="s">
        <v>55</v>
      </c>
      <c r="E715">
        <v>2</v>
      </c>
      <c r="F715" t="s">
        <v>62</v>
      </c>
      <c r="G715" t="s">
        <v>28</v>
      </c>
      <c r="H715" t="s">
        <v>55</v>
      </c>
      <c r="I715">
        <v>3</v>
      </c>
      <c r="J715">
        <v>2</v>
      </c>
    </row>
    <row r="716" spans="1:10" x14ac:dyDescent="0.2">
      <c r="A716" t="s">
        <v>89</v>
      </c>
      <c r="B716" t="s">
        <v>24</v>
      </c>
      <c r="C716">
        <v>3</v>
      </c>
      <c r="D716" t="s">
        <v>40</v>
      </c>
      <c r="E716">
        <v>4</v>
      </c>
      <c r="F716" t="s">
        <v>60</v>
      </c>
      <c r="G716" t="s">
        <v>40</v>
      </c>
      <c r="H716" t="s">
        <v>24</v>
      </c>
      <c r="I716">
        <v>4</v>
      </c>
      <c r="J716">
        <v>3</v>
      </c>
    </row>
    <row r="717" spans="1:10" x14ac:dyDescent="0.2">
      <c r="A717" t="s">
        <v>90</v>
      </c>
      <c r="B717" t="s">
        <v>11</v>
      </c>
      <c r="C717">
        <v>4</v>
      </c>
      <c r="D717" t="s">
        <v>23</v>
      </c>
      <c r="E717">
        <v>3</v>
      </c>
      <c r="F717" t="s">
        <v>60</v>
      </c>
      <c r="G717" t="s">
        <v>11</v>
      </c>
      <c r="H717" t="s">
        <v>23</v>
      </c>
      <c r="I717">
        <v>4</v>
      </c>
      <c r="J717">
        <v>3</v>
      </c>
    </row>
    <row r="718" spans="1:10" x14ac:dyDescent="0.2">
      <c r="A718" t="s">
        <v>90</v>
      </c>
      <c r="B718" t="s">
        <v>17</v>
      </c>
      <c r="C718">
        <v>4</v>
      </c>
      <c r="D718" t="s">
        <v>10</v>
      </c>
      <c r="E718">
        <v>1</v>
      </c>
      <c r="F718" t="s">
        <v>60</v>
      </c>
      <c r="G718" t="s">
        <v>17</v>
      </c>
      <c r="H718" t="s">
        <v>10</v>
      </c>
      <c r="I718">
        <v>4</v>
      </c>
      <c r="J718">
        <v>1</v>
      </c>
    </row>
    <row r="719" spans="1:10" x14ac:dyDescent="0.2">
      <c r="A719" t="s">
        <v>90</v>
      </c>
      <c r="B719" t="s">
        <v>19</v>
      </c>
      <c r="C719">
        <v>4</v>
      </c>
      <c r="D719" t="s">
        <v>12</v>
      </c>
      <c r="E719">
        <v>3</v>
      </c>
      <c r="F719" t="s">
        <v>62</v>
      </c>
      <c r="G719" t="s">
        <v>19</v>
      </c>
      <c r="H719" t="s">
        <v>12</v>
      </c>
      <c r="I719">
        <v>4</v>
      </c>
      <c r="J719">
        <v>3</v>
      </c>
    </row>
    <row r="720" spans="1:10" x14ac:dyDescent="0.2">
      <c r="A720" t="s">
        <v>90</v>
      </c>
      <c r="B720" t="s">
        <v>25</v>
      </c>
      <c r="C720">
        <v>3</v>
      </c>
      <c r="D720" t="s">
        <v>26</v>
      </c>
      <c r="E720">
        <v>4</v>
      </c>
      <c r="F720" t="s">
        <v>62</v>
      </c>
      <c r="G720" t="s">
        <v>26</v>
      </c>
      <c r="H720" t="s">
        <v>25</v>
      </c>
      <c r="I720">
        <v>4</v>
      </c>
      <c r="J720">
        <v>3</v>
      </c>
    </row>
    <row r="721" spans="1:10" x14ac:dyDescent="0.2">
      <c r="A721" t="s">
        <v>90</v>
      </c>
      <c r="B721" t="s">
        <v>39</v>
      </c>
      <c r="C721">
        <v>3</v>
      </c>
      <c r="D721" t="s">
        <v>13</v>
      </c>
      <c r="E721">
        <v>1</v>
      </c>
      <c r="F721" t="s">
        <v>60</v>
      </c>
      <c r="G721" t="s">
        <v>39</v>
      </c>
      <c r="H721" t="s">
        <v>13</v>
      </c>
      <c r="I721">
        <v>3</v>
      </c>
      <c r="J721">
        <v>1</v>
      </c>
    </row>
    <row r="722" spans="1:10" x14ac:dyDescent="0.2">
      <c r="A722" t="s">
        <v>90</v>
      </c>
      <c r="B722" t="s">
        <v>24</v>
      </c>
      <c r="C722">
        <v>5</v>
      </c>
      <c r="D722" t="s">
        <v>34</v>
      </c>
      <c r="E722">
        <v>2</v>
      </c>
      <c r="F722" t="s">
        <v>60</v>
      </c>
      <c r="G722" t="s">
        <v>24</v>
      </c>
      <c r="H722" t="s">
        <v>34</v>
      </c>
      <c r="I722">
        <v>5</v>
      </c>
      <c r="J722">
        <v>2</v>
      </c>
    </row>
    <row r="723" spans="1:10" x14ac:dyDescent="0.2">
      <c r="A723" t="s">
        <v>90</v>
      </c>
      <c r="B723" t="s">
        <v>38</v>
      </c>
      <c r="C723">
        <v>3</v>
      </c>
      <c r="D723" t="s">
        <v>18</v>
      </c>
      <c r="E723">
        <v>6</v>
      </c>
      <c r="F723" t="s">
        <v>60</v>
      </c>
      <c r="G723" t="s">
        <v>18</v>
      </c>
      <c r="H723" t="s">
        <v>38</v>
      </c>
      <c r="I723">
        <v>6</v>
      </c>
      <c r="J723">
        <v>3</v>
      </c>
    </row>
    <row r="724" spans="1:10" x14ac:dyDescent="0.2">
      <c r="A724" t="s">
        <v>90</v>
      </c>
      <c r="B724" t="s">
        <v>32</v>
      </c>
      <c r="C724">
        <v>4</v>
      </c>
      <c r="D724" t="s">
        <v>15</v>
      </c>
      <c r="E724">
        <v>2</v>
      </c>
      <c r="F724" t="s">
        <v>60</v>
      </c>
      <c r="G724" t="s">
        <v>32</v>
      </c>
      <c r="H724" t="s">
        <v>15</v>
      </c>
      <c r="I724">
        <v>4</v>
      </c>
      <c r="J724">
        <v>2</v>
      </c>
    </row>
    <row r="725" spans="1:10" x14ac:dyDescent="0.2">
      <c r="A725" t="s">
        <v>90</v>
      </c>
      <c r="B725" t="s">
        <v>37</v>
      </c>
      <c r="C725">
        <v>5</v>
      </c>
      <c r="D725" t="s">
        <v>27</v>
      </c>
      <c r="E725">
        <v>1</v>
      </c>
      <c r="F725" t="s">
        <v>60</v>
      </c>
      <c r="G725" t="s">
        <v>37</v>
      </c>
      <c r="H725" t="s">
        <v>27</v>
      </c>
      <c r="I725">
        <v>5</v>
      </c>
      <c r="J725">
        <v>1</v>
      </c>
    </row>
    <row r="726" spans="1:10" x14ac:dyDescent="0.2">
      <c r="A726" t="s">
        <v>91</v>
      </c>
      <c r="B726" t="s">
        <v>39</v>
      </c>
      <c r="C726">
        <v>1</v>
      </c>
      <c r="D726" t="s">
        <v>31</v>
      </c>
      <c r="E726">
        <v>3</v>
      </c>
      <c r="F726" t="s">
        <v>60</v>
      </c>
      <c r="G726" t="s">
        <v>31</v>
      </c>
      <c r="H726" t="s">
        <v>39</v>
      </c>
      <c r="I726">
        <v>3</v>
      </c>
      <c r="J726">
        <v>1</v>
      </c>
    </row>
    <row r="727" spans="1:10" x14ac:dyDescent="0.2">
      <c r="A727" t="s">
        <v>91</v>
      </c>
      <c r="B727" t="s">
        <v>26</v>
      </c>
      <c r="C727">
        <v>0</v>
      </c>
      <c r="D727" t="s">
        <v>21</v>
      </c>
      <c r="E727">
        <v>3</v>
      </c>
      <c r="F727" t="s">
        <v>60</v>
      </c>
      <c r="G727" t="s">
        <v>21</v>
      </c>
      <c r="H727" t="s">
        <v>26</v>
      </c>
      <c r="I727">
        <v>3</v>
      </c>
      <c r="J727">
        <v>0</v>
      </c>
    </row>
    <row r="728" spans="1:10" x14ac:dyDescent="0.2">
      <c r="A728" t="s">
        <v>91</v>
      </c>
      <c r="B728" t="s">
        <v>16</v>
      </c>
      <c r="C728">
        <v>3</v>
      </c>
      <c r="D728" t="s">
        <v>28</v>
      </c>
      <c r="E728">
        <v>5</v>
      </c>
      <c r="F728" t="s">
        <v>60</v>
      </c>
      <c r="G728" t="s">
        <v>28</v>
      </c>
      <c r="H728" t="s">
        <v>16</v>
      </c>
      <c r="I728">
        <v>5</v>
      </c>
      <c r="J728">
        <v>3</v>
      </c>
    </row>
    <row r="729" spans="1:10" x14ac:dyDescent="0.2">
      <c r="A729" t="s">
        <v>91</v>
      </c>
      <c r="B729" t="s">
        <v>17</v>
      </c>
      <c r="C729">
        <v>3</v>
      </c>
      <c r="D729" t="s">
        <v>29</v>
      </c>
      <c r="E729">
        <v>4</v>
      </c>
      <c r="F729" t="s">
        <v>62</v>
      </c>
      <c r="G729" t="s">
        <v>29</v>
      </c>
      <c r="H729" t="s">
        <v>17</v>
      </c>
      <c r="I729">
        <v>4</v>
      </c>
      <c r="J729">
        <v>3</v>
      </c>
    </row>
    <row r="730" spans="1:10" x14ac:dyDescent="0.2">
      <c r="A730" t="s">
        <v>91</v>
      </c>
      <c r="B730" t="s">
        <v>38</v>
      </c>
      <c r="C730">
        <v>1</v>
      </c>
      <c r="D730" t="s">
        <v>36</v>
      </c>
      <c r="E730">
        <v>2</v>
      </c>
      <c r="F730" t="s">
        <v>60</v>
      </c>
      <c r="G730" t="s">
        <v>36</v>
      </c>
      <c r="H730" t="s">
        <v>38</v>
      </c>
      <c r="I730">
        <v>2</v>
      </c>
      <c r="J730">
        <v>1</v>
      </c>
    </row>
    <row r="731" spans="1:10" x14ac:dyDescent="0.2">
      <c r="A731" t="s">
        <v>91</v>
      </c>
      <c r="B731" t="s">
        <v>37</v>
      </c>
      <c r="C731">
        <v>2</v>
      </c>
      <c r="D731" t="s">
        <v>14</v>
      </c>
      <c r="E731">
        <v>1</v>
      </c>
      <c r="F731" t="s">
        <v>61</v>
      </c>
      <c r="G731" t="s">
        <v>37</v>
      </c>
      <c r="H731" t="s">
        <v>14</v>
      </c>
      <c r="I731">
        <v>2</v>
      </c>
      <c r="J731">
        <v>1</v>
      </c>
    </row>
    <row r="732" spans="1:10" x14ac:dyDescent="0.2">
      <c r="A732" t="s">
        <v>91</v>
      </c>
      <c r="B732" t="s">
        <v>25</v>
      </c>
      <c r="C732">
        <v>0</v>
      </c>
      <c r="D732" t="s">
        <v>35</v>
      </c>
      <c r="E732">
        <v>3</v>
      </c>
      <c r="F732" t="s">
        <v>60</v>
      </c>
      <c r="G732" t="s">
        <v>35</v>
      </c>
      <c r="H732" t="s">
        <v>25</v>
      </c>
      <c r="I732">
        <v>3</v>
      </c>
      <c r="J732">
        <v>0</v>
      </c>
    </row>
    <row r="733" spans="1:10" x14ac:dyDescent="0.2">
      <c r="A733" t="s">
        <v>91</v>
      </c>
      <c r="B733" t="s">
        <v>19</v>
      </c>
      <c r="C733">
        <v>1</v>
      </c>
      <c r="D733" t="s">
        <v>55</v>
      </c>
      <c r="E733">
        <v>6</v>
      </c>
      <c r="F733" t="s">
        <v>60</v>
      </c>
      <c r="G733" t="s">
        <v>55</v>
      </c>
      <c r="H733" t="s">
        <v>19</v>
      </c>
      <c r="I733">
        <v>6</v>
      </c>
      <c r="J733">
        <v>1</v>
      </c>
    </row>
    <row r="734" spans="1:10" x14ac:dyDescent="0.2">
      <c r="A734" t="s">
        <v>91</v>
      </c>
      <c r="B734" t="s">
        <v>30</v>
      </c>
      <c r="C734">
        <v>4</v>
      </c>
      <c r="D734" t="s">
        <v>40</v>
      </c>
      <c r="E734">
        <v>5</v>
      </c>
      <c r="F734" t="s">
        <v>60</v>
      </c>
      <c r="G734" t="s">
        <v>40</v>
      </c>
      <c r="H734" t="s">
        <v>30</v>
      </c>
      <c r="I734">
        <v>5</v>
      </c>
      <c r="J734">
        <v>4</v>
      </c>
    </row>
    <row r="735" spans="1:10" x14ac:dyDescent="0.2">
      <c r="A735" t="s">
        <v>91</v>
      </c>
      <c r="B735" t="s">
        <v>18</v>
      </c>
      <c r="C735">
        <v>2</v>
      </c>
      <c r="D735" t="s">
        <v>22</v>
      </c>
      <c r="E735">
        <v>3</v>
      </c>
      <c r="F735" t="s">
        <v>62</v>
      </c>
      <c r="G735" t="s">
        <v>22</v>
      </c>
      <c r="H735" t="s">
        <v>18</v>
      </c>
      <c r="I735">
        <v>3</v>
      </c>
      <c r="J735">
        <v>2</v>
      </c>
    </row>
    <row r="736" spans="1:10" x14ac:dyDescent="0.2">
      <c r="A736" t="s">
        <v>92</v>
      </c>
      <c r="B736" t="s">
        <v>27</v>
      </c>
      <c r="C736">
        <v>2</v>
      </c>
      <c r="D736" t="s">
        <v>23</v>
      </c>
      <c r="E736">
        <v>5</v>
      </c>
      <c r="F736" t="s">
        <v>60</v>
      </c>
      <c r="G736" t="s">
        <v>23</v>
      </c>
      <c r="H736" t="s">
        <v>27</v>
      </c>
      <c r="I736">
        <v>5</v>
      </c>
      <c r="J736">
        <v>2</v>
      </c>
    </row>
    <row r="737" spans="1:10" x14ac:dyDescent="0.2">
      <c r="A737" t="s">
        <v>92</v>
      </c>
      <c r="B737" t="s">
        <v>20</v>
      </c>
      <c r="C737">
        <v>3</v>
      </c>
      <c r="D737" t="s">
        <v>13</v>
      </c>
      <c r="E737">
        <v>2</v>
      </c>
      <c r="F737" t="s">
        <v>62</v>
      </c>
      <c r="G737" t="s">
        <v>20</v>
      </c>
      <c r="H737" t="s">
        <v>13</v>
      </c>
      <c r="I737">
        <v>3</v>
      </c>
      <c r="J737">
        <v>2</v>
      </c>
    </row>
    <row r="738" spans="1:10" x14ac:dyDescent="0.2">
      <c r="A738" t="s">
        <v>92</v>
      </c>
      <c r="B738" t="s">
        <v>32</v>
      </c>
      <c r="C738">
        <v>2</v>
      </c>
      <c r="D738" t="s">
        <v>24</v>
      </c>
      <c r="E738">
        <v>3</v>
      </c>
      <c r="F738" t="s">
        <v>62</v>
      </c>
      <c r="G738" t="s">
        <v>24</v>
      </c>
      <c r="H738" t="s">
        <v>32</v>
      </c>
      <c r="I738">
        <v>3</v>
      </c>
      <c r="J738">
        <v>2</v>
      </c>
    </row>
    <row r="739" spans="1:10" x14ac:dyDescent="0.2">
      <c r="A739" t="s">
        <v>92</v>
      </c>
      <c r="B739" t="s">
        <v>36</v>
      </c>
      <c r="C739">
        <v>8</v>
      </c>
      <c r="D739" t="s">
        <v>15</v>
      </c>
      <c r="E739">
        <v>4</v>
      </c>
      <c r="F739" t="s">
        <v>60</v>
      </c>
      <c r="G739" t="s">
        <v>36</v>
      </c>
      <c r="H739" t="s">
        <v>15</v>
      </c>
      <c r="I739">
        <v>8</v>
      </c>
      <c r="J739">
        <v>4</v>
      </c>
    </row>
    <row r="740" spans="1:10" x14ac:dyDescent="0.2">
      <c r="A740" t="s">
        <v>93</v>
      </c>
      <c r="B740" t="s">
        <v>32</v>
      </c>
      <c r="C740">
        <v>2</v>
      </c>
      <c r="D740" t="s">
        <v>21</v>
      </c>
      <c r="E740">
        <v>4</v>
      </c>
      <c r="F740" t="s">
        <v>60</v>
      </c>
      <c r="G740" t="s">
        <v>21</v>
      </c>
      <c r="H740" t="s">
        <v>32</v>
      </c>
      <c r="I740">
        <v>4</v>
      </c>
      <c r="J740">
        <v>2</v>
      </c>
    </row>
    <row r="741" spans="1:10" x14ac:dyDescent="0.2">
      <c r="A741" t="s">
        <v>93</v>
      </c>
      <c r="B741" t="s">
        <v>18</v>
      </c>
      <c r="C741">
        <v>3</v>
      </c>
      <c r="D741" t="s">
        <v>23</v>
      </c>
      <c r="E741">
        <v>5</v>
      </c>
      <c r="F741" t="s">
        <v>60</v>
      </c>
      <c r="G741" t="s">
        <v>23</v>
      </c>
      <c r="H741" t="s">
        <v>18</v>
      </c>
      <c r="I741">
        <v>5</v>
      </c>
      <c r="J741">
        <v>3</v>
      </c>
    </row>
    <row r="742" spans="1:10" x14ac:dyDescent="0.2">
      <c r="A742" t="s">
        <v>93</v>
      </c>
      <c r="B742" t="s">
        <v>38</v>
      </c>
      <c r="C742">
        <v>1</v>
      </c>
      <c r="D742" t="s">
        <v>28</v>
      </c>
      <c r="E742">
        <v>4</v>
      </c>
      <c r="F742" t="s">
        <v>60</v>
      </c>
      <c r="G742" t="s">
        <v>28</v>
      </c>
      <c r="H742" t="s">
        <v>38</v>
      </c>
      <c r="I742">
        <v>4</v>
      </c>
      <c r="J742">
        <v>1</v>
      </c>
    </row>
    <row r="743" spans="1:10" x14ac:dyDescent="0.2">
      <c r="A743" t="s">
        <v>93</v>
      </c>
      <c r="B743" t="s">
        <v>16</v>
      </c>
      <c r="C743">
        <v>3</v>
      </c>
      <c r="D743" t="s">
        <v>10</v>
      </c>
      <c r="E743">
        <v>1</v>
      </c>
      <c r="F743" t="s">
        <v>60</v>
      </c>
      <c r="G743" t="s">
        <v>16</v>
      </c>
      <c r="H743" t="s">
        <v>10</v>
      </c>
      <c r="I743">
        <v>3</v>
      </c>
      <c r="J743">
        <v>1</v>
      </c>
    </row>
    <row r="744" spans="1:10" x14ac:dyDescent="0.2">
      <c r="A744" t="s">
        <v>93</v>
      </c>
      <c r="B744" t="s">
        <v>30</v>
      </c>
      <c r="C744">
        <v>1</v>
      </c>
      <c r="D744" t="s">
        <v>17</v>
      </c>
      <c r="E744">
        <v>0</v>
      </c>
      <c r="F744" t="s">
        <v>60</v>
      </c>
      <c r="G744" t="s">
        <v>30</v>
      </c>
      <c r="H744" t="s">
        <v>17</v>
      </c>
      <c r="I744">
        <v>1</v>
      </c>
      <c r="J744">
        <v>0</v>
      </c>
    </row>
    <row r="745" spans="1:10" x14ac:dyDescent="0.2">
      <c r="A745" t="s">
        <v>93</v>
      </c>
      <c r="B745" t="s">
        <v>40</v>
      </c>
      <c r="C745">
        <v>6</v>
      </c>
      <c r="D745" t="s">
        <v>34</v>
      </c>
      <c r="E745">
        <v>2</v>
      </c>
      <c r="F745" t="s">
        <v>60</v>
      </c>
      <c r="G745" t="s">
        <v>40</v>
      </c>
      <c r="H745" t="s">
        <v>34</v>
      </c>
      <c r="I745">
        <v>6</v>
      </c>
      <c r="J745">
        <v>2</v>
      </c>
    </row>
    <row r="746" spans="1:10" x14ac:dyDescent="0.2">
      <c r="A746" t="s">
        <v>93</v>
      </c>
      <c r="B746" t="s">
        <v>27</v>
      </c>
      <c r="C746">
        <v>3</v>
      </c>
      <c r="D746" t="s">
        <v>14</v>
      </c>
      <c r="E746">
        <v>6</v>
      </c>
      <c r="F746" t="s">
        <v>60</v>
      </c>
      <c r="G746" t="s">
        <v>14</v>
      </c>
      <c r="H746" t="s">
        <v>27</v>
      </c>
      <c r="I746">
        <v>6</v>
      </c>
      <c r="J746">
        <v>3</v>
      </c>
    </row>
    <row r="747" spans="1:10" x14ac:dyDescent="0.2">
      <c r="A747" t="s">
        <v>93</v>
      </c>
      <c r="B747" t="s">
        <v>39</v>
      </c>
      <c r="C747">
        <v>1</v>
      </c>
      <c r="D747" t="s">
        <v>55</v>
      </c>
      <c r="E747">
        <v>2</v>
      </c>
      <c r="F747" t="s">
        <v>60</v>
      </c>
      <c r="G747" t="s">
        <v>55</v>
      </c>
      <c r="H747" t="s">
        <v>39</v>
      </c>
      <c r="I747">
        <v>2</v>
      </c>
      <c r="J747">
        <v>1</v>
      </c>
    </row>
    <row r="748" spans="1:10" x14ac:dyDescent="0.2">
      <c r="A748" t="s">
        <v>93</v>
      </c>
      <c r="B748" t="s">
        <v>19</v>
      </c>
      <c r="C748">
        <v>5</v>
      </c>
      <c r="D748" t="s">
        <v>20</v>
      </c>
      <c r="E748">
        <v>6</v>
      </c>
      <c r="F748" t="s">
        <v>62</v>
      </c>
      <c r="G748" t="s">
        <v>20</v>
      </c>
      <c r="H748" t="s">
        <v>19</v>
      </c>
      <c r="I748">
        <v>6</v>
      </c>
      <c r="J748">
        <v>5</v>
      </c>
    </row>
    <row r="749" spans="1:10" x14ac:dyDescent="0.2">
      <c r="A749" t="s">
        <v>93</v>
      </c>
      <c r="B749" t="s">
        <v>33</v>
      </c>
      <c r="C749">
        <v>3</v>
      </c>
      <c r="D749" t="s">
        <v>22</v>
      </c>
      <c r="E749">
        <v>2</v>
      </c>
      <c r="F749" t="s">
        <v>60</v>
      </c>
      <c r="G749" t="s">
        <v>33</v>
      </c>
      <c r="H749" t="s">
        <v>22</v>
      </c>
      <c r="I749">
        <v>3</v>
      </c>
      <c r="J749">
        <v>2</v>
      </c>
    </row>
    <row r="750" spans="1:10" x14ac:dyDescent="0.2">
      <c r="A750" t="s">
        <v>94</v>
      </c>
      <c r="B750" t="s">
        <v>11</v>
      </c>
      <c r="C750">
        <v>1</v>
      </c>
      <c r="D750" t="s">
        <v>25</v>
      </c>
      <c r="E750">
        <v>9</v>
      </c>
      <c r="F750" t="s">
        <v>60</v>
      </c>
      <c r="G750" t="s">
        <v>25</v>
      </c>
      <c r="H750" t="s">
        <v>11</v>
      </c>
      <c r="I750">
        <v>9</v>
      </c>
      <c r="J750">
        <v>1</v>
      </c>
    </row>
    <row r="751" spans="1:10" x14ac:dyDescent="0.2">
      <c r="A751" t="s">
        <v>94</v>
      </c>
      <c r="B751" t="s">
        <v>29</v>
      </c>
      <c r="C751">
        <v>7</v>
      </c>
      <c r="D751" t="s">
        <v>12</v>
      </c>
      <c r="E751">
        <v>3</v>
      </c>
      <c r="F751" t="s">
        <v>60</v>
      </c>
      <c r="G751" t="s">
        <v>29</v>
      </c>
      <c r="H751" t="s">
        <v>12</v>
      </c>
      <c r="I751">
        <v>7</v>
      </c>
      <c r="J751">
        <v>3</v>
      </c>
    </row>
    <row r="752" spans="1:10" x14ac:dyDescent="0.2">
      <c r="A752" t="s">
        <v>94</v>
      </c>
      <c r="B752" t="s">
        <v>33</v>
      </c>
      <c r="C752">
        <v>2</v>
      </c>
      <c r="D752" t="s">
        <v>26</v>
      </c>
      <c r="E752">
        <v>4</v>
      </c>
      <c r="F752" t="s">
        <v>60</v>
      </c>
      <c r="G752" t="s">
        <v>26</v>
      </c>
      <c r="H752" t="s">
        <v>33</v>
      </c>
      <c r="I752">
        <v>4</v>
      </c>
      <c r="J752">
        <v>2</v>
      </c>
    </row>
    <row r="753" spans="1:10" x14ac:dyDescent="0.2">
      <c r="A753" t="s">
        <v>94</v>
      </c>
      <c r="B753" t="s">
        <v>31</v>
      </c>
      <c r="C753">
        <v>3</v>
      </c>
      <c r="D753" t="s">
        <v>13</v>
      </c>
      <c r="E753">
        <v>2</v>
      </c>
      <c r="F753" t="s">
        <v>61</v>
      </c>
      <c r="G753" t="s">
        <v>31</v>
      </c>
      <c r="H753" t="s">
        <v>13</v>
      </c>
      <c r="I753">
        <v>3</v>
      </c>
      <c r="J753">
        <v>2</v>
      </c>
    </row>
    <row r="754" spans="1:10" x14ac:dyDescent="0.2">
      <c r="A754" t="s">
        <v>94</v>
      </c>
      <c r="B754" t="s">
        <v>37</v>
      </c>
      <c r="C754">
        <v>2</v>
      </c>
      <c r="D754" t="s">
        <v>35</v>
      </c>
      <c r="E754">
        <v>3</v>
      </c>
      <c r="F754" t="s">
        <v>61</v>
      </c>
      <c r="G754" t="s">
        <v>35</v>
      </c>
      <c r="H754" t="s">
        <v>37</v>
      </c>
      <c r="I754">
        <v>3</v>
      </c>
      <c r="J754">
        <v>2</v>
      </c>
    </row>
    <row r="755" spans="1:10" x14ac:dyDescent="0.2">
      <c r="A755" t="s">
        <v>95</v>
      </c>
      <c r="B755" t="s">
        <v>13</v>
      </c>
      <c r="C755">
        <v>1</v>
      </c>
      <c r="D755" t="s">
        <v>31</v>
      </c>
      <c r="E755">
        <v>2</v>
      </c>
      <c r="F755" t="s">
        <v>62</v>
      </c>
      <c r="G755" t="s">
        <v>31</v>
      </c>
      <c r="H755" t="s">
        <v>13</v>
      </c>
      <c r="I755">
        <v>2</v>
      </c>
      <c r="J755">
        <v>1</v>
      </c>
    </row>
    <row r="756" spans="1:10" x14ac:dyDescent="0.2">
      <c r="A756" t="s">
        <v>95</v>
      </c>
      <c r="B756" t="s">
        <v>34</v>
      </c>
      <c r="C756">
        <v>5</v>
      </c>
      <c r="D756" t="s">
        <v>23</v>
      </c>
      <c r="E756">
        <v>4</v>
      </c>
      <c r="F756" t="s">
        <v>62</v>
      </c>
      <c r="G756" t="s">
        <v>34</v>
      </c>
      <c r="H756" t="s">
        <v>23</v>
      </c>
      <c r="I756">
        <v>5</v>
      </c>
      <c r="J756">
        <v>4</v>
      </c>
    </row>
    <row r="757" spans="1:10" x14ac:dyDescent="0.2">
      <c r="A757" t="s">
        <v>95</v>
      </c>
      <c r="B757" t="s">
        <v>30</v>
      </c>
      <c r="C757">
        <v>2</v>
      </c>
      <c r="D757" t="s">
        <v>16</v>
      </c>
      <c r="E757">
        <v>4</v>
      </c>
      <c r="F757" t="s">
        <v>60</v>
      </c>
      <c r="G757" t="s">
        <v>16</v>
      </c>
      <c r="H757" t="s">
        <v>30</v>
      </c>
      <c r="I757">
        <v>4</v>
      </c>
      <c r="J757">
        <v>2</v>
      </c>
    </row>
    <row r="758" spans="1:10" x14ac:dyDescent="0.2">
      <c r="A758" t="s">
        <v>95</v>
      </c>
      <c r="B758" t="s">
        <v>21</v>
      </c>
      <c r="C758">
        <v>5</v>
      </c>
      <c r="D758" t="s">
        <v>10</v>
      </c>
      <c r="E758">
        <v>2</v>
      </c>
      <c r="F758" t="s">
        <v>60</v>
      </c>
      <c r="G758" t="s">
        <v>21</v>
      </c>
      <c r="H758" t="s">
        <v>10</v>
      </c>
      <c r="I758">
        <v>5</v>
      </c>
      <c r="J758">
        <v>2</v>
      </c>
    </row>
    <row r="759" spans="1:10" x14ac:dyDescent="0.2">
      <c r="A759" t="s">
        <v>95</v>
      </c>
      <c r="B759" t="s">
        <v>25</v>
      </c>
      <c r="C759">
        <v>4</v>
      </c>
      <c r="D759" t="s">
        <v>24</v>
      </c>
      <c r="E759">
        <v>1</v>
      </c>
      <c r="F759" t="s">
        <v>60</v>
      </c>
      <c r="G759" t="s">
        <v>25</v>
      </c>
      <c r="H759" t="s">
        <v>24</v>
      </c>
      <c r="I759">
        <v>4</v>
      </c>
      <c r="J759">
        <v>1</v>
      </c>
    </row>
    <row r="760" spans="1:10" x14ac:dyDescent="0.2">
      <c r="A760" t="s">
        <v>95</v>
      </c>
      <c r="B760" t="s">
        <v>18</v>
      </c>
      <c r="C760">
        <v>6</v>
      </c>
      <c r="D760" t="s">
        <v>36</v>
      </c>
      <c r="E760">
        <v>5</v>
      </c>
      <c r="F760" t="s">
        <v>62</v>
      </c>
      <c r="G760" t="s">
        <v>18</v>
      </c>
      <c r="H760" t="s">
        <v>36</v>
      </c>
      <c r="I760">
        <v>6</v>
      </c>
      <c r="J760">
        <v>5</v>
      </c>
    </row>
    <row r="761" spans="1:10" x14ac:dyDescent="0.2">
      <c r="A761" t="s">
        <v>95</v>
      </c>
      <c r="B761" t="s">
        <v>15</v>
      </c>
      <c r="C761">
        <v>6</v>
      </c>
      <c r="D761" t="s">
        <v>27</v>
      </c>
      <c r="E761">
        <v>3</v>
      </c>
      <c r="F761" t="s">
        <v>60</v>
      </c>
      <c r="G761" t="s">
        <v>15</v>
      </c>
      <c r="H761" t="s">
        <v>27</v>
      </c>
      <c r="I761">
        <v>6</v>
      </c>
      <c r="J761">
        <v>3</v>
      </c>
    </row>
    <row r="762" spans="1:10" x14ac:dyDescent="0.2">
      <c r="A762" t="s">
        <v>95</v>
      </c>
      <c r="B762" t="s">
        <v>28</v>
      </c>
      <c r="C762">
        <v>4</v>
      </c>
      <c r="D762" t="s">
        <v>14</v>
      </c>
      <c r="E762">
        <v>3</v>
      </c>
      <c r="F762" t="s">
        <v>61</v>
      </c>
      <c r="G762" t="s">
        <v>28</v>
      </c>
      <c r="H762" t="s">
        <v>14</v>
      </c>
      <c r="I762">
        <v>4</v>
      </c>
      <c r="J762">
        <v>3</v>
      </c>
    </row>
    <row r="763" spans="1:10" x14ac:dyDescent="0.2">
      <c r="A763" t="s">
        <v>95</v>
      </c>
      <c r="B763" t="s">
        <v>32</v>
      </c>
      <c r="C763">
        <v>3</v>
      </c>
      <c r="D763" t="s">
        <v>55</v>
      </c>
      <c r="E763">
        <v>6</v>
      </c>
      <c r="F763" t="s">
        <v>60</v>
      </c>
      <c r="G763" t="s">
        <v>55</v>
      </c>
      <c r="H763" t="s">
        <v>32</v>
      </c>
      <c r="I763">
        <v>6</v>
      </c>
      <c r="J763">
        <v>3</v>
      </c>
    </row>
    <row r="764" spans="1:10" x14ac:dyDescent="0.2">
      <c r="A764" t="s">
        <v>95</v>
      </c>
      <c r="B764" t="s">
        <v>17</v>
      </c>
      <c r="C764">
        <v>6</v>
      </c>
      <c r="D764" t="s">
        <v>38</v>
      </c>
      <c r="E764">
        <v>0</v>
      </c>
      <c r="F764" t="s">
        <v>60</v>
      </c>
      <c r="G764" t="s">
        <v>17</v>
      </c>
      <c r="H764" t="s">
        <v>38</v>
      </c>
      <c r="I764">
        <v>6</v>
      </c>
      <c r="J764">
        <v>0</v>
      </c>
    </row>
    <row r="765" spans="1:10" x14ac:dyDescent="0.2">
      <c r="A765" t="s">
        <v>95</v>
      </c>
      <c r="B765" t="s">
        <v>29</v>
      </c>
      <c r="C765">
        <v>2</v>
      </c>
      <c r="D765" t="s">
        <v>20</v>
      </c>
      <c r="E765">
        <v>7</v>
      </c>
      <c r="F765" t="s">
        <v>60</v>
      </c>
      <c r="G765" t="s">
        <v>20</v>
      </c>
      <c r="H765" t="s">
        <v>29</v>
      </c>
      <c r="I765">
        <v>7</v>
      </c>
      <c r="J765">
        <v>2</v>
      </c>
    </row>
    <row r="766" spans="1:10" x14ac:dyDescent="0.2">
      <c r="A766" t="s">
        <v>95</v>
      </c>
      <c r="B766" t="s">
        <v>19</v>
      </c>
      <c r="C766">
        <v>4</v>
      </c>
      <c r="D766" t="s">
        <v>40</v>
      </c>
      <c r="E766">
        <v>3</v>
      </c>
      <c r="F766" t="s">
        <v>62</v>
      </c>
      <c r="G766" t="s">
        <v>19</v>
      </c>
      <c r="H766" t="s">
        <v>40</v>
      </c>
      <c r="I766">
        <v>4</v>
      </c>
      <c r="J766">
        <v>3</v>
      </c>
    </row>
    <row r="767" spans="1:10" x14ac:dyDescent="0.2">
      <c r="A767" t="s">
        <v>95</v>
      </c>
      <c r="B767" t="s">
        <v>11</v>
      </c>
      <c r="C767">
        <v>5</v>
      </c>
      <c r="D767" t="s">
        <v>22</v>
      </c>
      <c r="E767">
        <v>2</v>
      </c>
      <c r="F767" t="s">
        <v>60</v>
      </c>
      <c r="G767" t="s">
        <v>11</v>
      </c>
      <c r="H767" t="s">
        <v>22</v>
      </c>
      <c r="I767">
        <v>5</v>
      </c>
      <c r="J767">
        <v>2</v>
      </c>
    </row>
    <row r="768" spans="1:10" x14ac:dyDescent="0.2">
      <c r="A768" t="s">
        <v>96</v>
      </c>
      <c r="B768" t="s">
        <v>37</v>
      </c>
      <c r="C768">
        <v>4</v>
      </c>
      <c r="D768" t="s">
        <v>39</v>
      </c>
      <c r="E768">
        <v>1</v>
      </c>
      <c r="F768" t="s">
        <v>60</v>
      </c>
      <c r="G768" t="s">
        <v>37</v>
      </c>
      <c r="H768" t="s">
        <v>39</v>
      </c>
      <c r="I768">
        <v>4</v>
      </c>
      <c r="J768">
        <v>1</v>
      </c>
    </row>
    <row r="769" spans="1:10" x14ac:dyDescent="0.2">
      <c r="A769" t="s">
        <v>96</v>
      </c>
      <c r="B769" t="s">
        <v>36</v>
      </c>
      <c r="C769">
        <v>3</v>
      </c>
      <c r="D769" t="s">
        <v>26</v>
      </c>
      <c r="E769">
        <v>4</v>
      </c>
      <c r="F769" t="s">
        <v>62</v>
      </c>
      <c r="G769" t="s">
        <v>26</v>
      </c>
      <c r="H769" t="s">
        <v>36</v>
      </c>
      <c r="I769">
        <v>4</v>
      </c>
      <c r="J769">
        <v>3</v>
      </c>
    </row>
    <row r="770" spans="1:10" x14ac:dyDescent="0.2">
      <c r="A770" t="s">
        <v>96</v>
      </c>
      <c r="B770" t="s">
        <v>35</v>
      </c>
      <c r="C770">
        <v>0</v>
      </c>
      <c r="D770" t="s">
        <v>17</v>
      </c>
      <c r="E770">
        <v>5</v>
      </c>
      <c r="F770" t="s">
        <v>60</v>
      </c>
      <c r="G770" t="s">
        <v>17</v>
      </c>
      <c r="H770" t="s">
        <v>35</v>
      </c>
      <c r="I770">
        <v>5</v>
      </c>
      <c r="J770">
        <v>0</v>
      </c>
    </row>
    <row r="771" spans="1:10" x14ac:dyDescent="0.2">
      <c r="A771" t="s">
        <v>97</v>
      </c>
      <c r="B771" t="s">
        <v>15</v>
      </c>
      <c r="C771">
        <v>3</v>
      </c>
      <c r="D771" t="s">
        <v>31</v>
      </c>
      <c r="E771">
        <v>5</v>
      </c>
      <c r="F771" t="s">
        <v>60</v>
      </c>
      <c r="G771" t="s">
        <v>31</v>
      </c>
      <c r="H771" t="s">
        <v>15</v>
      </c>
      <c r="I771">
        <v>5</v>
      </c>
      <c r="J771">
        <v>3</v>
      </c>
    </row>
    <row r="772" spans="1:10" x14ac:dyDescent="0.2">
      <c r="A772" t="s">
        <v>97</v>
      </c>
      <c r="B772" t="s">
        <v>23</v>
      </c>
      <c r="C772">
        <v>1</v>
      </c>
      <c r="D772" t="s">
        <v>25</v>
      </c>
      <c r="E772">
        <v>2</v>
      </c>
      <c r="F772" t="s">
        <v>60</v>
      </c>
      <c r="G772" t="s">
        <v>25</v>
      </c>
      <c r="H772" t="s">
        <v>23</v>
      </c>
      <c r="I772">
        <v>2</v>
      </c>
      <c r="J772">
        <v>1</v>
      </c>
    </row>
    <row r="773" spans="1:10" x14ac:dyDescent="0.2">
      <c r="A773" t="s">
        <v>97</v>
      </c>
      <c r="B773" t="s">
        <v>24</v>
      </c>
      <c r="C773">
        <v>2</v>
      </c>
      <c r="D773" t="s">
        <v>16</v>
      </c>
      <c r="E773">
        <v>1</v>
      </c>
      <c r="F773" t="s">
        <v>62</v>
      </c>
      <c r="G773" t="s">
        <v>24</v>
      </c>
      <c r="H773" t="s">
        <v>16</v>
      </c>
      <c r="I773">
        <v>2</v>
      </c>
      <c r="J773">
        <v>1</v>
      </c>
    </row>
    <row r="774" spans="1:10" x14ac:dyDescent="0.2">
      <c r="A774" t="s">
        <v>97</v>
      </c>
      <c r="B774" t="s">
        <v>40</v>
      </c>
      <c r="C774">
        <v>0</v>
      </c>
      <c r="D774" t="s">
        <v>10</v>
      </c>
      <c r="E774">
        <v>2</v>
      </c>
      <c r="F774" t="s">
        <v>60</v>
      </c>
      <c r="G774" t="s">
        <v>10</v>
      </c>
      <c r="H774" t="s">
        <v>40</v>
      </c>
      <c r="I774">
        <v>2</v>
      </c>
      <c r="J774">
        <v>0</v>
      </c>
    </row>
    <row r="775" spans="1:10" x14ac:dyDescent="0.2">
      <c r="A775" t="s">
        <v>97</v>
      </c>
      <c r="B775" t="s">
        <v>22</v>
      </c>
      <c r="C775">
        <v>2</v>
      </c>
      <c r="D775" t="s">
        <v>12</v>
      </c>
      <c r="E775">
        <v>5</v>
      </c>
      <c r="F775" t="s">
        <v>60</v>
      </c>
      <c r="G775" t="s">
        <v>12</v>
      </c>
      <c r="H775" t="s">
        <v>22</v>
      </c>
      <c r="I775">
        <v>5</v>
      </c>
      <c r="J775">
        <v>2</v>
      </c>
    </row>
    <row r="776" spans="1:10" x14ac:dyDescent="0.2">
      <c r="A776" t="s">
        <v>97</v>
      </c>
      <c r="B776" t="s">
        <v>33</v>
      </c>
      <c r="C776">
        <v>4</v>
      </c>
      <c r="D776" t="s">
        <v>11</v>
      </c>
      <c r="E776">
        <v>1</v>
      </c>
      <c r="F776" t="s">
        <v>60</v>
      </c>
      <c r="G776" t="s">
        <v>33</v>
      </c>
      <c r="H776" t="s">
        <v>11</v>
      </c>
      <c r="I776">
        <v>4</v>
      </c>
      <c r="J776">
        <v>1</v>
      </c>
    </row>
    <row r="777" spans="1:10" x14ac:dyDescent="0.2">
      <c r="A777" t="s">
        <v>97</v>
      </c>
      <c r="B777" t="s">
        <v>14</v>
      </c>
      <c r="C777">
        <v>6</v>
      </c>
      <c r="D777" t="s">
        <v>32</v>
      </c>
      <c r="E777">
        <v>3</v>
      </c>
      <c r="F777" t="s">
        <v>60</v>
      </c>
      <c r="G777" t="s">
        <v>14</v>
      </c>
      <c r="H777" t="s">
        <v>32</v>
      </c>
      <c r="I777">
        <v>6</v>
      </c>
      <c r="J777">
        <v>3</v>
      </c>
    </row>
    <row r="778" spans="1:10" x14ac:dyDescent="0.2">
      <c r="A778" t="s">
        <v>97</v>
      </c>
      <c r="B778" t="s">
        <v>34</v>
      </c>
      <c r="C778">
        <v>6</v>
      </c>
      <c r="D778" t="s">
        <v>19</v>
      </c>
      <c r="E778">
        <v>3</v>
      </c>
      <c r="F778" t="s">
        <v>60</v>
      </c>
      <c r="G778" t="s">
        <v>34</v>
      </c>
      <c r="H778" t="s">
        <v>19</v>
      </c>
      <c r="I778">
        <v>6</v>
      </c>
      <c r="J778">
        <v>3</v>
      </c>
    </row>
    <row r="779" spans="1:10" x14ac:dyDescent="0.2">
      <c r="A779" t="s">
        <v>97</v>
      </c>
      <c r="B779" t="s">
        <v>30</v>
      </c>
      <c r="C779">
        <v>4</v>
      </c>
      <c r="D779" t="s">
        <v>38</v>
      </c>
      <c r="E779">
        <v>3</v>
      </c>
      <c r="F779" t="s">
        <v>60</v>
      </c>
      <c r="G779" t="s">
        <v>30</v>
      </c>
      <c r="H779" t="s">
        <v>38</v>
      </c>
      <c r="I779">
        <v>4</v>
      </c>
      <c r="J779">
        <v>3</v>
      </c>
    </row>
    <row r="780" spans="1:10" x14ac:dyDescent="0.2">
      <c r="A780" t="s">
        <v>97</v>
      </c>
      <c r="B780" t="s">
        <v>27</v>
      </c>
      <c r="C780">
        <v>2</v>
      </c>
      <c r="D780" t="s">
        <v>20</v>
      </c>
      <c r="E780">
        <v>1</v>
      </c>
      <c r="F780" t="s">
        <v>60</v>
      </c>
      <c r="G780" t="s">
        <v>27</v>
      </c>
      <c r="H780" t="s">
        <v>20</v>
      </c>
      <c r="I780">
        <v>2</v>
      </c>
      <c r="J780">
        <v>1</v>
      </c>
    </row>
    <row r="781" spans="1:10" x14ac:dyDescent="0.2">
      <c r="A781" t="s">
        <v>98</v>
      </c>
      <c r="B781" t="s">
        <v>36</v>
      </c>
      <c r="C781">
        <v>4</v>
      </c>
      <c r="D781" t="s">
        <v>28</v>
      </c>
      <c r="E781">
        <v>1</v>
      </c>
      <c r="F781" t="s">
        <v>60</v>
      </c>
      <c r="G781" t="s">
        <v>36</v>
      </c>
      <c r="H781" t="s">
        <v>28</v>
      </c>
      <c r="I781">
        <v>4</v>
      </c>
      <c r="J781">
        <v>1</v>
      </c>
    </row>
    <row r="782" spans="1:10" x14ac:dyDescent="0.2">
      <c r="A782" t="s">
        <v>98</v>
      </c>
      <c r="B782" t="s">
        <v>21</v>
      </c>
      <c r="C782">
        <v>2</v>
      </c>
      <c r="D782" t="s">
        <v>39</v>
      </c>
      <c r="E782">
        <v>6</v>
      </c>
      <c r="F782" t="s">
        <v>60</v>
      </c>
      <c r="G782" t="s">
        <v>39</v>
      </c>
      <c r="H782" t="s">
        <v>21</v>
      </c>
      <c r="I782">
        <v>6</v>
      </c>
      <c r="J782">
        <v>2</v>
      </c>
    </row>
    <row r="783" spans="1:10" x14ac:dyDescent="0.2">
      <c r="A783" t="s">
        <v>98</v>
      </c>
      <c r="B783" t="s">
        <v>24</v>
      </c>
      <c r="C783">
        <v>2</v>
      </c>
      <c r="D783" t="s">
        <v>17</v>
      </c>
      <c r="E783">
        <v>1</v>
      </c>
      <c r="F783" t="s">
        <v>60</v>
      </c>
      <c r="G783" t="s">
        <v>24</v>
      </c>
      <c r="H783" t="s">
        <v>17</v>
      </c>
      <c r="I783">
        <v>2</v>
      </c>
      <c r="J783">
        <v>1</v>
      </c>
    </row>
    <row r="784" spans="1:10" x14ac:dyDescent="0.2">
      <c r="A784" t="s">
        <v>98</v>
      </c>
      <c r="B784" t="s">
        <v>15</v>
      </c>
      <c r="C784">
        <v>3</v>
      </c>
      <c r="D784" t="s">
        <v>13</v>
      </c>
      <c r="E784">
        <v>4</v>
      </c>
      <c r="F784" t="s">
        <v>60</v>
      </c>
      <c r="G784" t="s">
        <v>13</v>
      </c>
      <c r="H784" t="s">
        <v>15</v>
      </c>
      <c r="I784">
        <v>4</v>
      </c>
      <c r="J784">
        <v>3</v>
      </c>
    </row>
    <row r="785" spans="1:10" x14ac:dyDescent="0.2">
      <c r="A785" t="s">
        <v>98</v>
      </c>
      <c r="B785" t="s">
        <v>34</v>
      </c>
      <c r="C785">
        <v>3</v>
      </c>
      <c r="D785" t="s">
        <v>18</v>
      </c>
      <c r="E785">
        <v>4</v>
      </c>
      <c r="F785" t="s">
        <v>60</v>
      </c>
      <c r="G785" t="s">
        <v>18</v>
      </c>
      <c r="H785" t="s">
        <v>34</v>
      </c>
      <c r="I785">
        <v>4</v>
      </c>
      <c r="J785">
        <v>3</v>
      </c>
    </row>
    <row r="786" spans="1:10" x14ac:dyDescent="0.2">
      <c r="A786" t="s">
        <v>98</v>
      </c>
      <c r="B786" t="s">
        <v>23</v>
      </c>
      <c r="C786">
        <v>5</v>
      </c>
      <c r="D786" t="s">
        <v>29</v>
      </c>
      <c r="E786">
        <v>3</v>
      </c>
      <c r="F786" t="s">
        <v>60</v>
      </c>
      <c r="G786" t="s">
        <v>23</v>
      </c>
      <c r="H786" t="s">
        <v>29</v>
      </c>
      <c r="I786">
        <v>5</v>
      </c>
      <c r="J786">
        <v>3</v>
      </c>
    </row>
    <row r="787" spans="1:10" x14ac:dyDescent="0.2">
      <c r="A787" t="s">
        <v>98</v>
      </c>
      <c r="B787" t="s">
        <v>33</v>
      </c>
      <c r="C787">
        <v>1</v>
      </c>
      <c r="D787" t="s">
        <v>37</v>
      </c>
      <c r="E787">
        <v>4</v>
      </c>
      <c r="F787" t="s">
        <v>60</v>
      </c>
      <c r="G787" t="s">
        <v>37</v>
      </c>
      <c r="H787" t="s">
        <v>33</v>
      </c>
      <c r="I787">
        <v>4</v>
      </c>
      <c r="J787">
        <v>1</v>
      </c>
    </row>
    <row r="788" spans="1:10" x14ac:dyDescent="0.2">
      <c r="A788" t="s">
        <v>98</v>
      </c>
      <c r="B788" t="s">
        <v>35</v>
      </c>
      <c r="C788">
        <v>1</v>
      </c>
      <c r="D788" t="s">
        <v>40</v>
      </c>
      <c r="E788">
        <v>3</v>
      </c>
      <c r="F788" t="s">
        <v>60</v>
      </c>
      <c r="G788" t="s">
        <v>40</v>
      </c>
      <c r="H788" t="s">
        <v>35</v>
      </c>
      <c r="I788">
        <v>3</v>
      </c>
      <c r="J788">
        <v>1</v>
      </c>
    </row>
    <row r="789" spans="1:10" x14ac:dyDescent="0.2">
      <c r="A789" t="s">
        <v>99</v>
      </c>
      <c r="B789" t="s">
        <v>14</v>
      </c>
      <c r="C789">
        <v>4</v>
      </c>
      <c r="D789" t="s">
        <v>16</v>
      </c>
      <c r="E789">
        <v>1</v>
      </c>
      <c r="F789" t="s">
        <v>60</v>
      </c>
      <c r="G789" t="s">
        <v>14</v>
      </c>
      <c r="H789" t="s">
        <v>16</v>
      </c>
      <c r="I789">
        <v>4</v>
      </c>
      <c r="J789">
        <v>1</v>
      </c>
    </row>
    <row r="790" spans="1:10" x14ac:dyDescent="0.2">
      <c r="A790" t="s">
        <v>99</v>
      </c>
      <c r="B790" t="s">
        <v>31</v>
      </c>
      <c r="C790">
        <v>2</v>
      </c>
      <c r="D790" t="s">
        <v>12</v>
      </c>
      <c r="E790">
        <v>1</v>
      </c>
      <c r="F790" t="s">
        <v>61</v>
      </c>
      <c r="G790" t="s">
        <v>31</v>
      </c>
      <c r="H790" t="s">
        <v>12</v>
      </c>
      <c r="I790">
        <v>2</v>
      </c>
      <c r="J790">
        <v>1</v>
      </c>
    </row>
    <row r="791" spans="1:10" x14ac:dyDescent="0.2">
      <c r="A791" t="s">
        <v>99</v>
      </c>
      <c r="B791" t="s">
        <v>30</v>
      </c>
      <c r="C791">
        <v>1</v>
      </c>
      <c r="D791" t="s">
        <v>32</v>
      </c>
      <c r="E791">
        <v>4</v>
      </c>
      <c r="F791" t="s">
        <v>60</v>
      </c>
      <c r="G791" t="s">
        <v>32</v>
      </c>
      <c r="H791" t="s">
        <v>30</v>
      </c>
      <c r="I791">
        <v>4</v>
      </c>
      <c r="J791">
        <v>1</v>
      </c>
    </row>
    <row r="792" spans="1:10" x14ac:dyDescent="0.2">
      <c r="A792" t="s">
        <v>99</v>
      </c>
      <c r="B792" t="s">
        <v>26</v>
      </c>
      <c r="C792">
        <v>2</v>
      </c>
      <c r="D792" t="s">
        <v>19</v>
      </c>
      <c r="E792">
        <v>1</v>
      </c>
      <c r="F792" t="s">
        <v>62</v>
      </c>
      <c r="G792" t="s">
        <v>26</v>
      </c>
      <c r="H792" t="s">
        <v>19</v>
      </c>
      <c r="I792">
        <v>2</v>
      </c>
      <c r="J792">
        <v>1</v>
      </c>
    </row>
    <row r="793" spans="1:10" x14ac:dyDescent="0.2">
      <c r="A793" t="s">
        <v>99</v>
      </c>
      <c r="B793" t="s">
        <v>27</v>
      </c>
      <c r="C793">
        <v>4</v>
      </c>
      <c r="D793" t="s">
        <v>55</v>
      </c>
      <c r="E793">
        <v>5</v>
      </c>
      <c r="F793" t="s">
        <v>62</v>
      </c>
      <c r="G793" t="s">
        <v>55</v>
      </c>
      <c r="H793" t="s">
        <v>27</v>
      </c>
      <c r="I793">
        <v>5</v>
      </c>
      <c r="J793">
        <v>4</v>
      </c>
    </row>
    <row r="794" spans="1:10" x14ac:dyDescent="0.2">
      <c r="A794" t="s">
        <v>99</v>
      </c>
      <c r="B794" t="s">
        <v>22</v>
      </c>
      <c r="C794">
        <v>3</v>
      </c>
      <c r="D794" t="s">
        <v>38</v>
      </c>
      <c r="E794">
        <v>4</v>
      </c>
      <c r="F794" t="s">
        <v>60</v>
      </c>
      <c r="G794" t="s">
        <v>38</v>
      </c>
      <c r="H794" t="s">
        <v>22</v>
      </c>
      <c r="I794">
        <v>4</v>
      </c>
      <c r="J794">
        <v>3</v>
      </c>
    </row>
    <row r="795" spans="1:10" x14ac:dyDescent="0.2">
      <c r="A795" t="s">
        <v>100</v>
      </c>
      <c r="B795" t="s">
        <v>20</v>
      </c>
      <c r="C795">
        <v>3</v>
      </c>
      <c r="D795" t="s">
        <v>21</v>
      </c>
      <c r="E795">
        <v>4</v>
      </c>
      <c r="F795" t="s">
        <v>60</v>
      </c>
      <c r="G795" t="s">
        <v>21</v>
      </c>
      <c r="H795" t="s">
        <v>20</v>
      </c>
      <c r="I795">
        <v>4</v>
      </c>
      <c r="J795">
        <v>3</v>
      </c>
    </row>
    <row r="796" spans="1:10" x14ac:dyDescent="0.2">
      <c r="A796" t="s">
        <v>100</v>
      </c>
      <c r="B796" t="s">
        <v>10</v>
      </c>
      <c r="C796">
        <v>4</v>
      </c>
      <c r="D796" t="s">
        <v>25</v>
      </c>
      <c r="E796">
        <v>3</v>
      </c>
      <c r="F796" t="s">
        <v>61</v>
      </c>
      <c r="G796" t="s">
        <v>10</v>
      </c>
      <c r="H796" t="s">
        <v>25</v>
      </c>
      <c r="I796">
        <v>4</v>
      </c>
      <c r="J796">
        <v>3</v>
      </c>
    </row>
    <row r="797" spans="1:10" x14ac:dyDescent="0.2">
      <c r="A797" t="s">
        <v>100</v>
      </c>
      <c r="B797" t="s">
        <v>39</v>
      </c>
      <c r="C797">
        <v>0</v>
      </c>
      <c r="D797" t="s">
        <v>28</v>
      </c>
      <c r="E797">
        <v>1</v>
      </c>
      <c r="F797" t="s">
        <v>60</v>
      </c>
      <c r="G797" t="s">
        <v>28</v>
      </c>
      <c r="H797" t="s">
        <v>39</v>
      </c>
      <c r="I797">
        <v>1</v>
      </c>
      <c r="J797">
        <v>0</v>
      </c>
    </row>
    <row r="798" spans="1:10" x14ac:dyDescent="0.2">
      <c r="A798" t="s">
        <v>100</v>
      </c>
      <c r="B798" t="s">
        <v>14</v>
      </c>
      <c r="C798">
        <v>6</v>
      </c>
      <c r="D798" t="s">
        <v>17</v>
      </c>
      <c r="E798">
        <v>2</v>
      </c>
      <c r="F798" t="s">
        <v>60</v>
      </c>
      <c r="G798" t="s">
        <v>14</v>
      </c>
      <c r="H798" t="s">
        <v>17</v>
      </c>
      <c r="I798">
        <v>6</v>
      </c>
      <c r="J798">
        <v>2</v>
      </c>
    </row>
    <row r="799" spans="1:10" x14ac:dyDescent="0.2">
      <c r="A799" t="s">
        <v>100</v>
      </c>
      <c r="B799" t="s">
        <v>26</v>
      </c>
      <c r="C799">
        <v>3</v>
      </c>
      <c r="D799" t="s">
        <v>34</v>
      </c>
      <c r="E799">
        <v>4</v>
      </c>
      <c r="F799" t="s">
        <v>62</v>
      </c>
      <c r="G799" t="s">
        <v>34</v>
      </c>
      <c r="H799" t="s">
        <v>26</v>
      </c>
      <c r="I799">
        <v>4</v>
      </c>
      <c r="J799">
        <v>3</v>
      </c>
    </row>
    <row r="800" spans="1:10" x14ac:dyDescent="0.2">
      <c r="A800" t="s">
        <v>100</v>
      </c>
      <c r="B800" t="s">
        <v>23</v>
      </c>
      <c r="C800">
        <v>4</v>
      </c>
      <c r="D800" t="s">
        <v>18</v>
      </c>
      <c r="E800">
        <v>2</v>
      </c>
      <c r="F800" t="s">
        <v>60</v>
      </c>
      <c r="G800" t="s">
        <v>23</v>
      </c>
      <c r="H800" t="s">
        <v>18</v>
      </c>
      <c r="I800">
        <v>4</v>
      </c>
      <c r="J800">
        <v>2</v>
      </c>
    </row>
    <row r="801" spans="1:10" x14ac:dyDescent="0.2">
      <c r="A801" t="s">
        <v>100</v>
      </c>
      <c r="B801" t="s">
        <v>36</v>
      </c>
      <c r="C801">
        <v>3</v>
      </c>
      <c r="D801" t="s">
        <v>29</v>
      </c>
      <c r="E801">
        <v>5</v>
      </c>
      <c r="F801" t="s">
        <v>60</v>
      </c>
      <c r="G801" t="s">
        <v>29</v>
      </c>
      <c r="H801" t="s">
        <v>36</v>
      </c>
      <c r="I801">
        <v>5</v>
      </c>
      <c r="J801">
        <v>3</v>
      </c>
    </row>
    <row r="802" spans="1:10" x14ac:dyDescent="0.2">
      <c r="A802" t="s">
        <v>100</v>
      </c>
      <c r="B802" t="s">
        <v>11</v>
      </c>
      <c r="C802">
        <v>2</v>
      </c>
      <c r="D802" t="s">
        <v>40</v>
      </c>
      <c r="E802">
        <v>1</v>
      </c>
      <c r="F802" t="s">
        <v>61</v>
      </c>
      <c r="G802" t="s">
        <v>11</v>
      </c>
      <c r="H802" t="s">
        <v>40</v>
      </c>
      <c r="I802">
        <v>2</v>
      </c>
      <c r="J802">
        <v>1</v>
      </c>
    </row>
    <row r="803" spans="1:10" x14ac:dyDescent="0.2">
      <c r="A803" t="s">
        <v>101</v>
      </c>
      <c r="B803" t="s">
        <v>22</v>
      </c>
      <c r="C803">
        <v>3</v>
      </c>
      <c r="D803" t="s">
        <v>16</v>
      </c>
      <c r="E803">
        <v>1</v>
      </c>
      <c r="F803" t="s">
        <v>60</v>
      </c>
      <c r="G803" t="s">
        <v>22</v>
      </c>
      <c r="H803" t="s">
        <v>16</v>
      </c>
      <c r="I803">
        <v>3</v>
      </c>
      <c r="J803">
        <v>1</v>
      </c>
    </row>
    <row r="804" spans="1:10" x14ac:dyDescent="0.2">
      <c r="A804" t="s">
        <v>101</v>
      </c>
      <c r="B804" t="s">
        <v>37</v>
      </c>
      <c r="C804">
        <v>2</v>
      </c>
      <c r="D804" t="s">
        <v>10</v>
      </c>
      <c r="E804">
        <v>1</v>
      </c>
      <c r="F804" t="s">
        <v>61</v>
      </c>
      <c r="G804" t="s">
        <v>37</v>
      </c>
      <c r="H804" t="s">
        <v>10</v>
      </c>
      <c r="I804">
        <v>2</v>
      </c>
      <c r="J804">
        <v>1</v>
      </c>
    </row>
    <row r="805" spans="1:10" x14ac:dyDescent="0.2">
      <c r="A805" t="s">
        <v>101</v>
      </c>
      <c r="B805" t="s">
        <v>27</v>
      </c>
      <c r="C805">
        <v>7</v>
      </c>
      <c r="D805" t="s">
        <v>12</v>
      </c>
      <c r="E805">
        <v>3</v>
      </c>
      <c r="F805" t="s">
        <v>60</v>
      </c>
      <c r="G805" t="s">
        <v>27</v>
      </c>
      <c r="H805" t="s">
        <v>12</v>
      </c>
      <c r="I805">
        <v>7</v>
      </c>
      <c r="J805">
        <v>3</v>
      </c>
    </row>
    <row r="806" spans="1:10" x14ac:dyDescent="0.2">
      <c r="A806" t="s">
        <v>101</v>
      </c>
      <c r="B806" t="s">
        <v>35</v>
      </c>
      <c r="C806">
        <v>2</v>
      </c>
      <c r="D806" t="s">
        <v>39</v>
      </c>
      <c r="E806">
        <v>3</v>
      </c>
      <c r="F806" t="s">
        <v>60</v>
      </c>
      <c r="G806" t="s">
        <v>39</v>
      </c>
      <c r="H806" t="s">
        <v>35</v>
      </c>
      <c r="I806">
        <v>3</v>
      </c>
      <c r="J806">
        <v>2</v>
      </c>
    </row>
    <row r="807" spans="1:10" x14ac:dyDescent="0.2">
      <c r="A807" t="s">
        <v>101</v>
      </c>
      <c r="B807" t="s">
        <v>31</v>
      </c>
      <c r="C807">
        <v>4</v>
      </c>
      <c r="D807" t="s">
        <v>32</v>
      </c>
      <c r="E807">
        <v>2</v>
      </c>
      <c r="F807" t="s">
        <v>60</v>
      </c>
      <c r="G807" t="s">
        <v>31</v>
      </c>
      <c r="H807" t="s">
        <v>32</v>
      </c>
      <c r="I807">
        <v>4</v>
      </c>
      <c r="J807">
        <v>2</v>
      </c>
    </row>
    <row r="808" spans="1:10" x14ac:dyDescent="0.2">
      <c r="A808" t="s">
        <v>101</v>
      </c>
      <c r="B808" t="s">
        <v>15</v>
      </c>
      <c r="C808">
        <v>1</v>
      </c>
      <c r="D808" t="s">
        <v>33</v>
      </c>
      <c r="E808">
        <v>3</v>
      </c>
      <c r="F808" t="s">
        <v>60</v>
      </c>
      <c r="G808" t="s">
        <v>33</v>
      </c>
      <c r="H808" t="s">
        <v>15</v>
      </c>
      <c r="I808">
        <v>3</v>
      </c>
      <c r="J808">
        <v>1</v>
      </c>
    </row>
    <row r="809" spans="1:10" x14ac:dyDescent="0.2">
      <c r="A809" t="s">
        <v>101</v>
      </c>
      <c r="B809" t="s">
        <v>20</v>
      </c>
      <c r="C809">
        <v>6</v>
      </c>
      <c r="D809" t="s">
        <v>19</v>
      </c>
      <c r="E809">
        <v>3</v>
      </c>
      <c r="F809" t="s">
        <v>60</v>
      </c>
      <c r="G809" t="s">
        <v>20</v>
      </c>
      <c r="H809" t="s">
        <v>19</v>
      </c>
      <c r="I809">
        <v>6</v>
      </c>
      <c r="J809">
        <v>3</v>
      </c>
    </row>
    <row r="810" spans="1:10" x14ac:dyDescent="0.2">
      <c r="A810" t="s">
        <v>101</v>
      </c>
      <c r="B810" t="s">
        <v>24</v>
      </c>
      <c r="C810">
        <v>5</v>
      </c>
      <c r="D810" t="s">
        <v>38</v>
      </c>
      <c r="E810">
        <v>4</v>
      </c>
      <c r="F810" t="s">
        <v>60</v>
      </c>
      <c r="G810" t="s">
        <v>24</v>
      </c>
      <c r="H810" t="s">
        <v>38</v>
      </c>
      <c r="I810">
        <v>5</v>
      </c>
      <c r="J810">
        <v>4</v>
      </c>
    </row>
    <row r="811" spans="1:10" x14ac:dyDescent="0.2">
      <c r="A811" t="s">
        <v>102</v>
      </c>
      <c r="B811" t="s">
        <v>18</v>
      </c>
      <c r="C811">
        <v>3</v>
      </c>
      <c r="D811" t="s">
        <v>21</v>
      </c>
      <c r="E811">
        <v>4</v>
      </c>
      <c r="F811" t="s">
        <v>60</v>
      </c>
      <c r="G811" t="s">
        <v>21</v>
      </c>
      <c r="H811" t="s">
        <v>18</v>
      </c>
      <c r="I811">
        <v>4</v>
      </c>
      <c r="J811">
        <v>3</v>
      </c>
    </row>
    <row r="812" spans="1:10" x14ac:dyDescent="0.2">
      <c r="A812" t="s">
        <v>102</v>
      </c>
      <c r="B812" t="s">
        <v>37</v>
      </c>
      <c r="C812">
        <v>5</v>
      </c>
      <c r="D812" t="s">
        <v>28</v>
      </c>
      <c r="E812">
        <v>8</v>
      </c>
      <c r="F812" t="s">
        <v>60</v>
      </c>
      <c r="G812" t="s">
        <v>28</v>
      </c>
      <c r="H812" t="s">
        <v>37</v>
      </c>
      <c r="I812">
        <v>8</v>
      </c>
      <c r="J812">
        <v>5</v>
      </c>
    </row>
    <row r="813" spans="1:10" x14ac:dyDescent="0.2">
      <c r="A813" t="s">
        <v>102</v>
      </c>
      <c r="B813" t="s">
        <v>22</v>
      </c>
      <c r="C813">
        <v>5</v>
      </c>
      <c r="D813" t="s">
        <v>17</v>
      </c>
      <c r="E813">
        <v>6</v>
      </c>
      <c r="F813" t="s">
        <v>62</v>
      </c>
      <c r="G813" t="s">
        <v>17</v>
      </c>
      <c r="H813" t="s">
        <v>22</v>
      </c>
      <c r="I813">
        <v>6</v>
      </c>
      <c r="J813">
        <v>5</v>
      </c>
    </row>
    <row r="814" spans="1:10" x14ac:dyDescent="0.2">
      <c r="A814" t="s">
        <v>102</v>
      </c>
      <c r="B814" t="s">
        <v>11</v>
      </c>
      <c r="C814">
        <v>4</v>
      </c>
      <c r="D814" t="s">
        <v>34</v>
      </c>
      <c r="E814">
        <v>3</v>
      </c>
      <c r="F814" t="s">
        <v>62</v>
      </c>
      <c r="G814" t="s">
        <v>11</v>
      </c>
      <c r="H814" t="s">
        <v>34</v>
      </c>
      <c r="I814">
        <v>4</v>
      </c>
      <c r="J814">
        <v>3</v>
      </c>
    </row>
    <row r="815" spans="1:10" x14ac:dyDescent="0.2">
      <c r="A815" t="s">
        <v>102</v>
      </c>
      <c r="B815" t="s">
        <v>55</v>
      </c>
      <c r="C815">
        <v>5</v>
      </c>
      <c r="D815" t="s">
        <v>29</v>
      </c>
      <c r="E815">
        <v>2</v>
      </c>
      <c r="F815" t="s">
        <v>60</v>
      </c>
      <c r="G815" t="s">
        <v>55</v>
      </c>
      <c r="H815" t="s">
        <v>29</v>
      </c>
      <c r="I815">
        <v>5</v>
      </c>
      <c r="J815">
        <v>2</v>
      </c>
    </row>
    <row r="816" spans="1:10" x14ac:dyDescent="0.2">
      <c r="A816" t="s">
        <v>102</v>
      </c>
      <c r="B816" t="s">
        <v>23</v>
      </c>
      <c r="C816">
        <v>5</v>
      </c>
      <c r="D816" t="s">
        <v>30</v>
      </c>
      <c r="E816">
        <v>0</v>
      </c>
      <c r="F816" t="s">
        <v>60</v>
      </c>
      <c r="G816" t="s">
        <v>23</v>
      </c>
      <c r="H816" t="s">
        <v>30</v>
      </c>
      <c r="I816">
        <v>5</v>
      </c>
      <c r="J816">
        <v>0</v>
      </c>
    </row>
    <row r="817" spans="1:10" x14ac:dyDescent="0.2">
      <c r="A817" t="s">
        <v>102</v>
      </c>
      <c r="B817" t="s">
        <v>25</v>
      </c>
      <c r="C817">
        <v>4</v>
      </c>
      <c r="D817" t="s">
        <v>36</v>
      </c>
      <c r="E817">
        <v>1</v>
      </c>
      <c r="F817" t="s">
        <v>60</v>
      </c>
      <c r="G817" t="s">
        <v>25</v>
      </c>
      <c r="H817" t="s">
        <v>36</v>
      </c>
      <c r="I817">
        <v>4</v>
      </c>
      <c r="J817">
        <v>1</v>
      </c>
    </row>
    <row r="818" spans="1:10" x14ac:dyDescent="0.2">
      <c r="A818" t="s">
        <v>102</v>
      </c>
      <c r="B818" t="s">
        <v>13</v>
      </c>
      <c r="C818">
        <v>5</v>
      </c>
      <c r="D818" t="s">
        <v>35</v>
      </c>
      <c r="E818">
        <v>4</v>
      </c>
      <c r="F818" t="s">
        <v>61</v>
      </c>
      <c r="G818" t="s">
        <v>13</v>
      </c>
      <c r="H818" t="s">
        <v>35</v>
      </c>
      <c r="I818">
        <v>5</v>
      </c>
      <c r="J818">
        <v>4</v>
      </c>
    </row>
    <row r="819" spans="1:10" x14ac:dyDescent="0.2">
      <c r="A819" t="s">
        <v>102</v>
      </c>
      <c r="B819" t="s">
        <v>26</v>
      </c>
      <c r="C819">
        <v>5</v>
      </c>
      <c r="D819" t="s">
        <v>40</v>
      </c>
      <c r="E819">
        <v>1</v>
      </c>
      <c r="F819" t="s">
        <v>60</v>
      </c>
      <c r="G819" t="s">
        <v>26</v>
      </c>
      <c r="H819" t="s">
        <v>40</v>
      </c>
      <c r="I819">
        <v>5</v>
      </c>
      <c r="J819">
        <v>1</v>
      </c>
    </row>
    <row r="820" spans="1:10" x14ac:dyDescent="0.2">
      <c r="A820" t="s">
        <v>103</v>
      </c>
      <c r="B820" t="s">
        <v>31</v>
      </c>
      <c r="C820">
        <v>4</v>
      </c>
      <c r="D820" t="s">
        <v>16</v>
      </c>
      <c r="E820">
        <v>3</v>
      </c>
      <c r="F820" t="s">
        <v>62</v>
      </c>
      <c r="G820" t="s">
        <v>31</v>
      </c>
      <c r="H820" t="s">
        <v>16</v>
      </c>
      <c r="I820">
        <v>4</v>
      </c>
      <c r="J820">
        <v>3</v>
      </c>
    </row>
    <row r="821" spans="1:10" x14ac:dyDescent="0.2">
      <c r="A821" t="s">
        <v>103</v>
      </c>
      <c r="B821" t="s">
        <v>11</v>
      </c>
      <c r="C821">
        <v>5</v>
      </c>
      <c r="D821" t="s">
        <v>10</v>
      </c>
      <c r="E821">
        <v>1</v>
      </c>
      <c r="F821" t="s">
        <v>60</v>
      </c>
      <c r="G821" t="s">
        <v>11</v>
      </c>
      <c r="H821" t="s">
        <v>10</v>
      </c>
      <c r="I821">
        <v>5</v>
      </c>
      <c r="J821">
        <v>1</v>
      </c>
    </row>
    <row r="822" spans="1:10" x14ac:dyDescent="0.2">
      <c r="A822" t="s">
        <v>103</v>
      </c>
      <c r="B822" t="s">
        <v>20</v>
      </c>
      <c r="C822">
        <v>1</v>
      </c>
      <c r="D822" t="s">
        <v>36</v>
      </c>
      <c r="E822">
        <v>7</v>
      </c>
      <c r="F822" t="s">
        <v>60</v>
      </c>
      <c r="G822" t="s">
        <v>36</v>
      </c>
      <c r="H822" t="s">
        <v>20</v>
      </c>
      <c r="I822">
        <v>7</v>
      </c>
      <c r="J822">
        <v>1</v>
      </c>
    </row>
    <row r="823" spans="1:10" x14ac:dyDescent="0.2">
      <c r="A823" t="s">
        <v>103</v>
      </c>
      <c r="B823" t="s">
        <v>24</v>
      </c>
      <c r="C823">
        <v>2</v>
      </c>
      <c r="D823" t="s">
        <v>32</v>
      </c>
      <c r="E823">
        <v>4</v>
      </c>
      <c r="F823" t="s">
        <v>60</v>
      </c>
      <c r="G823" t="s">
        <v>32</v>
      </c>
      <c r="H823" t="s">
        <v>24</v>
      </c>
      <c r="I823">
        <v>4</v>
      </c>
      <c r="J823">
        <v>2</v>
      </c>
    </row>
    <row r="824" spans="1:10" x14ac:dyDescent="0.2">
      <c r="A824" t="s">
        <v>103</v>
      </c>
      <c r="B824" t="s">
        <v>12</v>
      </c>
      <c r="C824">
        <v>4</v>
      </c>
      <c r="D824" t="s">
        <v>19</v>
      </c>
      <c r="E824">
        <v>1</v>
      </c>
      <c r="F824" t="s">
        <v>60</v>
      </c>
      <c r="G824" t="s">
        <v>12</v>
      </c>
      <c r="H824" t="s">
        <v>19</v>
      </c>
      <c r="I824">
        <v>4</v>
      </c>
      <c r="J824">
        <v>1</v>
      </c>
    </row>
    <row r="825" spans="1:10" x14ac:dyDescent="0.2">
      <c r="A825" t="s">
        <v>103</v>
      </c>
      <c r="B825" t="s">
        <v>14</v>
      </c>
      <c r="C825">
        <v>3</v>
      </c>
      <c r="D825" t="s">
        <v>38</v>
      </c>
      <c r="E825">
        <v>2</v>
      </c>
      <c r="F825" t="s">
        <v>60</v>
      </c>
      <c r="G825" t="s">
        <v>14</v>
      </c>
      <c r="H825" t="s">
        <v>38</v>
      </c>
      <c r="I825">
        <v>3</v>
      </c>
      <c r="J825">
        <v>2</v>
      </c>
    </row>
    <row r="826" spans="1:10" x14ac:dyDescent="0.2">
      <c r="A826" t="s">
        <v>104</v>
      </c>
      <c r="B826" t="s">
        <v>31</v>
      </c>
      <c r="C826">
        <v>4</v>
      </c>
      <c r="D826" t="s">
        <v>17</v>
      </c>
      <c r="E826">
        <v>7</v>
      </c>
      <c r="F826" t="s">
        <v>60</v>
      </c>
      <c r="G826" t="s">
        <v>17</v>
      </c>
      <c r="H826" t="s">
        <v>31</v>
      </c>
      <c r="I826">
        <v>7</v>
      </c>
      <c r="J826">
        <v>4</v>
      </c>
    </row>
    <row r="827" spans="1:10" x14ac:dyDescent="0.2">
      <c r="A827" t="s">
        <v>104</v>
      </c>
      <c r="B827" t="s">
        <v>21</v>
      </c>
      <c r="C827">
        <v>3</v>
      </c>
      <c r="D827" t="s">
        <v>15</v>
      </c>
      <c r="E827">
        <v>4</v>
      </c>
      <c r="F827" t="s">
        <v>62</v>
      </c>
      <c r="G827" t="s">
        <v>15</v>
      </c>
      <c r="H827" t="s">
        <v>21</v>
      </c>
      <c r="I827">
        <v>4</v>
      </c>
      <c r="J827">
        <v>3</v>
      </c>
    </row>
    <row r="828" spans="1:10" x14ac:dyDescent="0.2">
      <c r="A828" t="s">
        <v>104</v>
      </c>
      <c r="B828" t="s">
        <v>30</v>
      </c>
      <c r="C828">
        <v>4</v>
      </c>
      <c r="D828" t="s">
        <v>27</v>
      </c>
      <c r="E828">
        <v>0</v>
      </c>
      <c r="F828" t="s">
        <v>60</v>
      </c>
      <c r="G828" t="s">
        <v>30</v>
      </c>
      <c r="H828" t="s">
        <v>27</v>
      </c>
      <c r="I828">
        <v>4</v>
      </c>
      <c r="J828">
        <v>0</v>
      </c>
    </row>
    <row r="829" spans="1:10" x14ac:dyDescent="0.2">
      <c r="A829" t="s">
        <v>104</v>
      </c>
      <c r="B829" t="s">
        <v>55</v>
      </c>
      <c r="C829">
        <v>0</v>
      </c>
      <c r="D829" t="s">
        <v>37</v>
      </c>
      <c r="E829">
        <v>2</v>
      </c>
      <c r="F829" t="s">
        <v>60</v>
      </c>
      <c r="G829" t="s">
        <v>37</v>
      </c>
      <c r="H829" t="s">
        <v>55</v>
      </c>
      <c r="I829">
        <v>2</v>
      </c>
      <c r="J829">
        <v>0</v>
      </c>
    </row>
    <row r="830" spans="1:10" x14ac:dyDescent="0.2">
      <c r="A830" t="s">
        <v>105</v>
      </c>
      <c r="B830" t="s">
        <v>29</v>
      </c>
      <c r="C830">
        <v>2</v>
      </c>
      <c r="D830" t="s">
        <v>21</v>
      </c>
      <c r="E830">
        <v>3</v>
      </c>
      <c r="F830" t="s">
        <v>62</v>
      </c>
      <c r="G830" t="s">
        <v>21</v>
      </c>
      <c r="H830" t="s">
        <v>29</v>
      </c>
      <c r="I830">
        <v>3</v>
      </c>
      <c r="J830">
        <v>2</v>
      </c>
    </row>
    <row r="831" spans="1:10" x14ac:dyDescent="0.2">
      <c r="A831" t="s">
        <v>105</v>
      </c>
      <c r="B831" t="s">
        <v>13</v>
      </c>
      <c r="C831">
        <v>3</v>
      </c>
      <c r="D831" t="s">
        <v>26</v>
      </c>
      <c r="E831">
        <v>1</v>
      </c>
      <c r="F831" t="s">
        <v>60</v>
      </c>
      <c r="G831" t="s">
        <v>13</v>
      </c>
      <c r="H831" t="s">
        <v>26</v>
      </c>
      <c r="I831">
        <v>3</v>
      </c>
      <c r="J831">
        <v>1</v>
      </c>
    </row>
    <row r="832" spans="1:10" x14ac:dyDescent="0.2">
      <c r="A832" t="s">
        <v>105</v>
      </c>
      <c r="B832" t="s">
        <v>55</v>
      </c>
      <c r="C832">
        <v>4</v>
      </c>
      <c r="D832" t="s">
        <v>11</v>
      </c>
      <c r="E832">
        <v>3</v>
      </c>
      <c r="F832" t="s">
        <v>60</v>
      </c>
      <c r="G832" t="s">
        <v>55</v>
      </c>
      <c r="H832" t="s">
        <v>11</v>
      </c>
      <c r="I832">
        <v>4</v>
      </c>
      <c r="J832">
        <v>3</v>
      </c>
    </row>
    <row r="833" spans="1:10" x14ac:dyDescent="0.2">
      <c r="A833" t="s">
        <v>105</v>
      </c>
      <c r="B833" t="s">
        <v>10</v>
      </c>
      <c r="C833">
        <v>3</v>
      </c>
      <c r="D833" t="s">
        <v>34</v>
      </c>
      <c r="E833">
        <v>4</v>
      </c>
      <c r="F833" t="s">
        <v>61</v>
      </c>
      <c r="G833" t="s">
        <v>34</v>
      </c>
      <c r="H833" t="s">
        <v>10</v>
      </c>
      <c r="I833">
        <v>4</v>
      </c>
      <c r="J833">
        <v>3</v>
      </c>
    </row>
    <row r="834" spans="1:10" x14ac:dyDescent="0.2">
      <c r="A834" t="s">
        <v>105</v>
      </c>
      <c r="B834" t="s">
        <v>20</v>
      </c>
      <c r="C834">
        <v>2</v>
      </c>
      <c r="D834" t="s">
        <v>18</v>
      </c>
      <c r="E834">
        <v>3</v>
      </c>
      <c r="F834" t="s">
        <v>62</v>
      </c>
      <c r="G834" t="s">
        <v>18</v>
      </c>
      <c r="H834" t="s">
        <v>20</v>
      </c>
      <c r="I834">
        <v>3</v>
      </c>
      <c r="J834">
        <v>2</v>
      </c>
    </row>
    <row r="835" spans="1:10" x14ac:dyDescent="0.2">
      <c r="A835" t="s">
        <v>105</v>
      </c>
      <c r="B835" t="s">
        <v>40</v>
      </c>
      <c r="C835">
        <v>4</v>
      </c>
      <c r="D835" t="s">
        <v>24</v>
      </c>
      <c r="E835">
        <v>3</v>
      </c>
      <c r="F835" t="s">
        <v>60</v>
      </c>
      <c r="G835" t="s">
        <v>40</v>
      </c>
      <c r="H835" t="s">
        <v>24</v>
      </c>
      <c r="I835">
        <v>4</v>
      </c>
      <c r="J835">
        <v>3</v>
      </c>
    </row>
    <row r="836" spans="1:10" x14ac:dyDescent="0.2">
      <c r="A836" t="s">
        <v>105</v>
      </c>
      <c r="B836" t="s">
        <v>22</v>
      </c>
      <c r="C836">
        <v>1</v>
      </c>
      <c r="D836" t="s">
        <v>32</v>
      </c>
      <c r="E836">
        <v>5</v>
      </c>
      <c r="F836" t="s">
        <v>60</v>
      </c>
      <c r="G836" t="s">
        <v>32</v>
      </c>
      <c r="H836" t="s">
        <v>22</v>
      </c>
      <c r="I836">
        <v>5</v>
      </c>
      <c r="J836">
        <v>1</v>
      </c>
    </row>
    <row r="837" spans="1:10" x14ac:dyDescent="0.2">
      <c r="A837" t="s">
        <v>105</v>
      </c>
      <c r="B837" t="s">
        <v>39</v>
      </c>
      <c r="C837">
        <v>4</v>
      </c>
      <c r="D837" t="s">
        <v>35</v>
      </c>
      <c r="E837">
        <v>3</v>
      </c>
      <c r="F837" t="s">
        <v>60</v>
      </c>
      <c r="G837" t="s">
        <v>39</v>
      </c>
      <c r="H837" t="s">
        <v>35</v>
      </c>
      <c r="I837">
        <v>4</v>
      </c>
      <c r="J837">
        <v>3</v>
      </c>
    </row>
    <row r="838" spans="1:10" x14ac:dyDescent="0.2">
      <c r="A838" t="s">
        <v>105</v>
      </c>
      <c r="B838" t="s">
        <v>23</v>
      </c>
      <c r="C838">
        <v>7</v>
      </c>
      <c r="D838" t="s">
        <v>19</v>
      </c>
      <c r="E838">
        <v>4</v>
      </c>
      <c r="F838" t="s">
        <v>60</v>
      </c>
      <c r="G838" t="s">
        <v>23</v>
      </c>
      <c r="H838" t="s">
        <v>19</v>
      </c>
      <c r="I838">
        <v>7</v>
      </c>
      <c r="J838">
        <v>4</v>
      </c>
    </row>
    <row r="839" spans="1:10" x14ac:dyDescent="0.2">
      <c r="A839" t="s">
        <v>105</v>
      </c>
      <c r="B839" t="s">
        <v>33</v>
      </c>
      <c r="C839">
        <v>5</v>
      </c>
      <c r="D839" t="s">
        <v>38</v>
      </c>
      <c r="E839">
        <v>2</v>
      </c>
      <c r="F839" t="s">
        <v>60</v>
      </c>
      <c r="G839" t="s">
        <v>33</v>
      </c>
      <c r="H839" t="s">
        <v>38</v>
      </c>
      <c r="I839">
        <v>5</v>
      </c>
      <c r="J839">
        <v>2</v>
      </c>
    </row>
    <row r="840" spans="1:10" x14ac:dyDescent="0.2">
      <c r="A840" t="s">
        <v>106</v>
      </c>
      <c r="B840" t="s">
        <v>27</v>
      </c>
      <c r="C840">
        <v>3</v>
      </c>
      <c r="D840" t="s">
        <v>28</v>
      </c>
      <c r="E840">
        <v>5</v>
      </c>
      <c r="F840" t="s">
        <v>60</v>
      </c>
      <c r="G840" t="s">
        <v>28</v>
      </c>
      <c r="H840" t="s">
        <v>27</v>
      </c>
      <c r="I840">
        <v>5</v>
      </c>
      <c r="J840">
        <v>3</v>
      </c>
    </row>
    <row r="841" spans="1:10" x14ac:dyDescent="0.2">
      <c r="A841" t="s">
        <v>106</v>
      </c>
      <c r="B841" t="s">
        <v>15</v>
      </c>
      <c r="C841">
        <v>2</v>
      </c>
      <c r="D841" t="s">
        <v>30</v>
      </c>
      <c r="E841">
        <v>5</v>
      </c>
      <c r="F841" t="s">
        <v>60</v>
      </c>
      <c r="G841" t="s">
        <v>30</v>
      </c>
      <c r="H841" t="s">
        <v>15</v>
      </c>
      <c r="I841">
        <v>5</v>
      </c>
      <c r="J841">
        <v>2</v>
      </c>
    </row>
    <row r="842" spans="1:10" x14ac:dyDescent="0.2">
      <c r="A842" t="s">
        <v>106</v>
      </c>
      <c r="B842" t="s">
        <v>12</v>
      </c>
      <c r="C842">
        <v>2</v>
      </c>
      <c r="D842" t="s">
        <v>36</v>
      </c>
      <c r="E842">
        <v>5</v>
      </c>
      <c r="F842" t="s">
        <v>60</v>
      </c>
      <c r="G842" t="s">
        <v>36</v>
      </c>
      <c r="H842" t="s">
        <v>12</v>
      </c>
      <c r="I842">
        <v>5</v>
      </c>
      <c r="J842">
        <v>2</v>
      </c>
    </row>
    <row r="843" spans="1:10" x14ac:dyDescent="0.2">
      <c r="A843" t="s">
        <v>107</v>
      </c>
      <c r="B843" t="s">
        <v>27</v>
      </c>
      <c r="C843">
        <v>3</v>
      </c>
      <c r="D843" t="s">
        <v>21</v>
      </c>
      <c r="E843">
        <v>6</v>
      </c>
      <c r="F843" t="s">
        <v>60</v>
      </c>
      <c r="G843" t="s">
        <v>21</v>
      </c>
      <c r="H843" t="s">
        <v>27</v>
      </c>
      <c r="I843">
        <v>6</v>
      </c>
      <c r="J843">
        <v>3</v>
      </c>
    </row>
    <row r="844" spans="1:10" x14ac:dyDescent="0.2">
      <c r="A844" t="s">
        <v>107</v>
      </c>
      <c r="B844" t="s">
        <v>13</v>
      </c>
      <c r="C844">
        <v>1</v>
      </c>
      <c r="D844" t="s">
        <v>23</v>
      </c>
      <c r="E844">
        <v>4</v>
      </c>
      <c r="F844" t="s">
        <v>60</v>
      </c>
      <c r="G844" t="s">
        <v>23</v>
      </c>
      <c r="H844" t="s">
        <v>13</v>
      </c>
      <c r="I844">
        <v>4</v>
      </c>
      <c r="J844">
        <v>1</v>
      </c>
    </row>
    <row r="845" spans="1:10" x14ac:dyDescent="0.2">
      <c r="A845" t="s">
        <v>107</v>
      </c>
      <c r="B845" t="s">
        <v>55</v>
      </c>
      <c r="C845">
        <v>4</v>
      </c>
      <c r="D845" t="s">
        <v>25</v>
      </c>
      <c r="E845">
        <v>5</v>
      </c>
      <c r="F845" t="s">
        <v>60</v>
      </c>
      <c r="G845" t="s">
        <v>25</v>
      </c>
      <c r="H845" t="s">
        <v>55</v>
      </c>
      <c r="I845">
        <v>5</v>
      </c>
      <c r="J845">
        <v>4</v>
      </c>
    </row>
    <row r="846" spans="1:10" x14ac:dyDescent="0.2">
      <c r="A846" t="s">
        <v>107</v>
      </c>
      <c r="B846" t="s">
        <v>22</v>
      </c>
      <c r="C846">
        <v>4</v>
      </c>
      <c r="D846" t="s">
        <v>26</v>
      </c>
      <c r="E846">
        <v>3</v>
      </c>
      <c r="F846" t="s">
        <v>61</v>
      </c>
      <c r="G846" t="s">
        <v>22</v>
      </c>
      <c r="H846" t="s">
        <v>26</v>
      </c>
      <c r="I846">
        <v>4</v>
      </c>
      <c r="J846">
        <v>3</v>
      </c>
    </row>
    <row r="847" spans="1:10" x14ac:dyDescent="0.2">
      <c r="A847" t="s">
        <v>107</v>
      </c>
      <c r="B847" t="s">
        <v>33</v>
      </c>
      <c r="C847">
        <v>3</v>
      </c>
      <c r="D847" t="s">
        <v>17</v>
      </c>
      <c r="E847">
        <v>4</v>
      </c>
      <c r="F847" t="s">
        <v>62</v>
      </c>
      <c r="G847" t="s">
        <v>17</v>
      </c>
      <c r="H847" t="s">
        <v>33</v>
      </c>
      <c r="I847">
        <v>4</v>
      </c>
      <c r="J847">
        <v>3</v>
      </c>
    </row>
    <row r="848" spans="1:10" x14ac:dyDescent="0.2">
      <c r="A848" t="s">
        <v>107</v>
      </c>
      <c r="B848" t="s">
        <v>16</v>
      </c>
      <c r="C848">
        <v>1</v>
      </c>
      <c r="D848" t="s">
        <v>34</v>
      </c>
      <c r="E848">
        <v>4</v>
      </c>
      <c r="F848" t="s">
        <v>60</v>
      </c>
      <c r="G848" t="s">
        <v>34</v>
      </c>
      <c r="H848" t="s">
        <v>16</v>
      </c>
      <c r="I848">
        <v>4</v>
      </c>
      <c r="J848">
        <v>1</v>
      </c>
    </row>
    <row r="849" spans="1:10" x14ac:dyDescent="0.2">
      <c r="A849" t="s">
        <v>107</v>
      </c>
      <c r="B849" t="s">
        <v>12</v>
      </c>
      <c r="C849">
        <v>3</v>
      </c>
      <c r="D849" t="s">
        <v>18</v>
      </c>
      <c r="E849">
        <v>7</v>
      </c>
      <c r="F849" t="s">
        <v>60</v>
      </c>
      <c r="G849" t="s">
        <v>18</v>
      </c>
      <c r="H849" t="s">
        <v>12</v>
      </c>
      <c r="I849">
        <v>7</v>
      </c>
      <c r="J849">
        <v>3</v>
      </c>
    </row>
    <row r="850" spans="1:10" x14ac:dyDescent="0.2">
      <c r="A850" t="s">
        <v>107</v>
      </c>
      <c r="B850" t="s">
        <v>29</v>
      </c>
      <c r="C850">
        <v>2</v>
      </c>
      <c r="D850" t="s">
        <v>24</v>
      </c>
      <c r="E850">
        <v>3</v>
      </c>
      <c r="F850" t="s">
        <v>62</v>
      </c>
      <c r="G850" t="s">
        <v>24</v>
      </c>
      <c r="H850" t="s">
        <v>29</v>
      </c>
      <c r="I850">
        <v>3</v>
      </c>
      <c r="J850">
        <v>2</v>
      </c>
    </row>
    <row r="851" spans="1:10" x14ac:dyDescent="0.2">
      <c r="A851" t="s">
        <v>107</v>
      </c>
      <c r="B851" t="s">
        <v>30</v>
      </c>
      <c r="C851">
        <v>2</v>
      </c>
      <c r="D851" t="s">
        <v>15</v>
      </c>
      <c r="E851">
        <v>1</v>
      </c>
      <c r="F851" t="s">
        <v>60</v>
      </c>
      <c r="G851" t="s">
        <v>30</v>
      </c>
      <c r="H851" t="s">
        <v>15</v>
      </c>
      <c r="I851">
        <v>2</v>
      </c>
      <c r="J851">
        <v>1</v>
      </c>
    </row>
    <row r="852" spans="1:10" x14ac:dyDescent="0.2">
      <c r="A852" t="s">
        <v>107</v>
      </c>
      <c r="B852" t="s">
        <v>10</v>
      </c>
      <c r="C852">
        <v>2</v>
      </c>
      <c r="D852" t="s">
        <v>14</v>
      </c>
      <c r="E852">
        <v>6</v>
      </c>
      <c r="F852" t="s">
        <v>60</v>
      </c>
      <c r="G852" t="s">
        <v>14</v>
      </c>
      <c r="H852" t="s">
        <v>10</v>
      </c>
      <c r="I852">
        <v>6</v>
      </c>
      <c r="J852">
        <v>2</v>
      </c>
    </row>
    <row r="853" spans="1:10" x14ac:dyDescent="0.2">
      <c r="A853" t="s">
        <v>107</v>
      </c>
      <c r="B853" t="s">
        <v>19</v>
      </c>
      <c r="C853">
        <v>2</v>
      </c>
      <c r="D853" t="s">
        <v>32</v>
      </c>
      <c r="E853">
        <v>5</v>
      </c>
      <c r="F853" t="s">
        <v>60</v>
      </c>
      <c r="G853" t="s">
        <v>32</v>
      </c>
      <c r="H853" t="s">
        <v>19</v>
      </c>
      <c r="I853">
        <v>5</v>
      </c>
      <c r="J853">
        <v>2</v>
      </c>
    </row>
    <row r="854" spans="1:10" x14ac:dyDescent="0.2">
      <c r="A854" t="s">
        <v>107</v>
      </c>
      <c r="B854" t="s">
        <v>11</v>
      </c>
      <c r="C854">
        <v>4</v>
      </c>
      <c r="D854" t="s">
        <v>35</v>
      </c>
      <c r="E854">
        <v>5</v>
      </c>
      <c r="F854" t="s">
        <v>60</v>
      </c>
      <c r="G854" t="s">
        <v>35</v>
      </c>
      <c r="H854" t="s">
        <v>11</v>
      </c>
      <c r="I854">
        <v>5</v>
      </c>
      <c r="J854">
        <v>4</v>
      </c>
    </row>
    <row r="855" spans="1:10" x14ac:dyDescent="0.2">
      <c r="A855" t="s">
        <v>107</v>
      </c>
      <c r="B855" t="s">
        <v>40</v>
      </c>
      <c r="C855">
        <v>1</v>
      </c>
      <c r="D855" t="s">
        <v>37</v>
      </c>
      <c r="E855">
        <v>4</v>
      </c>
      <c r="F855" t="s">
        <v>60</v>
      </c>
      <c r="G855" t="s">
        <v>37</v>
      </c>
      <c r="H855" t="s">
        <v>40</v>
      </c>
      <c r="I855">
        <v>4</v>
      </c>
      <c r="J855">
        <v>1</v>
      </c>
    </row>
    <row r="856" spans="1:10" x14ac:dyDescent="0.2">
      <c r="A856" t="s">
        <v>107</v>
      </c>
      <c r="B856" t="s">
        <v>31</v>
      </c>
      <c r="C856">
        <v>0</v>
      </c>
      <c r="D856" t="s">
        <v>38</v>
      </c>
      <c r="E856">
        <v>2</v>
      </c>
      <c r="F856" t="s">
        <v>60</v>
      </c>
      <c r="G856" t="s">
        <v>38</v>
      </c>
      <c r="H856" t="s">
        <v>31</v>
      </c>
      <c r="I856">
        <v>2</v>
      </c>
      <c r="J856">
        <v>0</v>
      </c>
    </row>
    <row r="857" spans="1:10" x14ac:dyDescent="0.2">
      <c r="A857" t="s">
        <v>107</v>
      </c>
      <c r="B857" t="s">
        <v>39</v>
      </c>
      <c r="C857">
        <v>5</v>
      </c>
      <c r="D857" t="s">
        <v>20</v>
      </c>
      <c r="E857">
        <v>4</v>
      </c>
      <c r="F857" t="s">
        <v>61</v>
      </c>
      <c r="G857" t="s">
        <v>39</v>
      </c>
      <c r="H857" t="s">
        <v>20</v>
      </c>
      <c r="I857">
        <v>5</v>
      </c>
      <c r="J857">
        <v>4</v>
      </c>
    </row>
    <row r="858" spans="1:10" x14ac:dyDescent="0.2">
      <c r="A858" t="s">
        <v>108</v>
      </c>
      <c r="B858" t="s">
        <v>28</v>
      </c>
      <c r="C858">
        <v>4</v>
      </c>
      <c r="D858" t="s">
        <v>10</v>
      </c>
      <c r="E858">
        <v>2</v>
      </c>
      <c r="F858" t="s">
        <v>60</v>
      </c>
      <c r="G858" t="s">
        <v>28</v>
      </c>
      <c r="H858" t="s">
        <v>10</v>
      </c>
      <c r="I858">
        <v>4</v>
      </c>
      <c r="J858">
        <v>2</v>
      </c>
    </row>
    <row r="859" spans="1:10" x14ac:dyDescent="0.2">
      <c r="A859" t="s">
        <v>109</v>
      </c>
      <c r="B859" t="s">
        <v>18</v>
      </c>
      <c r="C859">
        <v>4</v>
      </c>
      <c r="D859" t="s">
        <v>23</v>
      </c>
      <c r="E859">
        <v>2</v>
      </c>
      <c r="F859" t="s">
        <v>60</v>
      </c>
      <c r="G859" t="s">
        <v>18</v>
      </c>
      <c r="H859" t="s">
        <v>23</v>
      </c>
      <c r="I859">
        <v>4</v>
      </c>
      <c r="J859">
        <v>2</v>
      </c>
    </row>
    <row r="860" spans="1:10" x14ac:dyDescent="0.2">
      <c r="A860" t="s">
        <v>109</v>
      </c>
      <c r="B860" t="s">
        <v>33</v>
      </c>
      <c r="C860">
        <v>2</v>
      </c>
      <c r="D860" t="s">
        <v>16</v>
      </c>
      <c r="E860">
        <v>3</v>
      </c>
      <c r="F860" t="s">
        <v>60</v>
      </c>
      <c r="G860" t="s">
        <v>16</v>
      </c>
      <c r="H860" t="s">
        <v>33</v>
      </c>
      <c r="I860">
        <v>3</v>
      </c>
      <c r="J860">
        <v>2</v>
      </c>
    </row>
    <row r="861" spans="1:10" x14ac:dyDescent="0.2">
      <c r="A861" t="s">
        <v>109</v>
      </c>
      <c r="B861" t="s">
        <v>12</v>
      </c>
      <c r="C861">
        <v>5</v>
      </c>
      <c r="D861" t="s">
        <v>26</v>
      </c>
      <c r="E861">
        <v>0</v>
      </c>
      <c r="F861" t="s">
        <v>60</v>
      </c>
      <c r="G861" t="s">
        <v>12</v>
      </c>
      <c r="H861" t="s">
        <v>26</v>
      </c>
      <c r="I861">
        <v>5</v>
      </c>
      <c r="J861">
        <v>0</v>
      </c>
    </row>
    <row r="862" spans="1:10" x14ac:dyDescent="0.2">
      <c r="A862" t="s">
        <v>109</v>
      </c>
      <c r="B862" t="s">
        <v>34</v>
      </c>
      <c r="C862">
        <v>7</v>
      </c>
      <c r="D862" t="s">
        <v>17</v>
      </c>
      <c r="E862">
        <v>3</v>
      </c>
      <c r="F862" t="s">
        <v>60</v>
      </c>
      <c r="G862" t="s">
        <v>34</v>
      </c>
      <c r="H862" t="s">
        <v>17</v>
      </c>
      <c r="I862">
        <v>7</v>
      </c>
      <c r="J862">
        <v>3</v>
      </c>
    </row>
    <row r="863" spans="1:10" x14ac:dyDescent="0.2">
      <c r="A863" t="s">
        <v>109</v>
      </c>
      <c r="B863" t="s">
        <v>40</v>
      </c>
      <c r="C863">
        <v>2</v>
      </c>
      <c r="D863" t="s">
        <v>11</v>
      </c>
      <c r="E863">
        <v>1</v>
      </c>
      <c r="F863" t="s">
        <v>60</v>
      </c>
      <c r="G863" t="s">
        <v>40</v>
      </c>
      <c r="H863" t="s">
        <v>11</v>
      </c>
      <c r="I863">
        <v>2</v>
      </c>
      <c r="J863">
        <v>1</v>
      </c>
    </row>
    <row r="864" spans="1:10" x14ac:dyDescent="0.2">
      <c r="A864" t="s">
        <v>109</v>
      </c>
      <c r="B864" t="s">
        <v>29</v>
      </c>
      <c r="C864">
        <v>4</v>
      </c>
      <c r="D864" t="s">
        <v>30</v>
      </c>
      <c r="E864">
        <v>3</v>
      </c>
      <c r="F864" t="s">
        <v>60</v>
      </c>
      <c r="G864" t="s">
        <v>29</v>
      </c>
      <c r="H864" t="s">
        <v>30</v>
      </c>
      <c r="I864">
        <v>4</v>
      </c>
      <c r="J864">
        <v>3</v>
      </c>
    </row>
    <row r="865" spans="1:10" x14ac:dyDescent="0.2">
      <c r="A865" t="s">
        <v>109</v>
      </c>
      <c r="B865" t="s">
        <v>24</v>
      </c>
      <c r="C865">
        <v>1</v>
      </c>
      <c r="D865" t="s">
        <v>36</v>
      </c>
      <c r="E865">
        <v>4</v>
      </c>
      <c r="F865" t="s">
        <v>60</v>
      </c>
      <c r="G865" t="s">
        <v>36</v>
      </c>
      <c r="H865" t="s">
        <v>24</v>
      </c>
      <c r="I865">
        <v>4</v>
      </c>
      <c r="J865">
        <v>1</v>
      </c>
    </row>
    <row r="866" spans="1:10" x14ac:dyDescent="0.2">
      <c r="A866" t="s">
        <v>109</v>
      </c>
      <c r="B866" t="s">
        <v>13</v>
      </c>
      <c r="C866">
        <v>3</v>
      </c>
      <c r="D866" t="s">
        <v>27</v>
      </c>
      <c r="E866">
        <v>2</v>
      </c>
      <c r="F866" t="s">
        <v>62</v>
      </c>
      <c r="G866" t="s">
        <v>13</v>
      </c>
      <c r="H866" t="s">
        <v>27</v>
      </c>
      <c r="I866">
        <v>3</v>
      </c>
      <c r="J866">
        <v>2</v>
      </c>
    </row>
    <row r="867" spans="1:10" x14ac:dyDescent="0.2">
      <c r="A867" t="s">
        <v>109</v>
      </c>
      <c r="B867" t="s">
        <v>15</v>
      </c>
      <c r="C867">
        <v>5</v>
      </c>
      <c r="D867" t="s">
        <v>14</v>
      </c>
      <c r="E867">
        <v>6</v>
      </c>
      <c r="F867" t="s">
        <v>60</v>
      </c>
      <c r="G867" t="s">
        <v>14</v>
      </c>
      <c r="H867" t="s">
        <v>15</v>
      </c>
      <c r="I867">
        <v>6</v>
      </c>
      <c r="J867">
        <v>5</v>
      </c>
    </row>
    <row r="868" spans="1:10" x14ac:dyDescent="0.2">
      <c r="A868" t="s">
        <v>109</v>
      </c>
      <c r="B868" t="s">
        <v>28</v>
      </c>
      <c r="C868">
        <v>5</v>
      </c>
      <c r="D868" t="s">
        <v>35</v>
      </c>
      <c r="E868">
        <v>3</v>
      </c>
      <c r="F868" t="s">
        <v>60</v>
      </c>
      <c r="G868" t="s">
        <v>28</v>
      </c>
      <c r="H868" t="s">
        <v>35</v>
      </c>
      <c r="I868">
        <v>5</v>
      </c>
      <c r="J868">
        <v>3</v>
      </c>
    </row>
    <row r="869" spans="1:10" x14ac:dyDescent="0.2">
      <c r="A869" t="s">
        <v>109</v>
      </c>
      <c r="B869" t="s">
        <v>39</v>
      </c>
      <c r="C869">
        <v>3</v>
      </c>
      <c r="D869" t="s">
        <v>55</v>
      </c>
      <c r="E869">
        <v>2</v>
      </c>
      <c r="F869" t="s">
        <v>60</v>
      </c>
      <c r="G869" t="s">
        <v>39</v>
      </c>
      <c r="H869" t="s">
        <v>55</v>
      </c>
      <c r="I869">
        <v>3</v>
      </c>
      <c r="J869">
        <v>2</v>
      </c>
    </row>
    <row r="870" spans="1:10" x14ac:dyDescent="0.2">
      <c r="A870" t="s">
        <v>109</v>
      </c>
      <c r="B870" t="s">
        <v>19</v>
      </c>
      <c r="C870">
        <v>3</v>
      </c>
      <c r="D870" t="s">
        <v>38</v>
      </c>
      <c r="E870">
        <v>2</v>
      </c>
      <c r="F870" t="s">
        <v>61</v>
      </c>
      <c r="G870" t="s">
        <v>19</v>
      </c>
      <c r="H870" t="s">
        <v>38</v>
      </c>
      <c r="I870">
        <v>3</v>
      </c>
      <c r="J870">
        <v>2</v>
      </c>
    </row>
    <row r="871" spans="1:10" x14ac:dyDescent="0.2">
      <c r="A871" t="s">
        <v>109</v>
      </c>
      <c r="B871" t="s">
        <v>32</v>
      </c>
      <c r="C871">
        <v>3</v>
      </c>
      <c r="D871" t="s">
        <v>20</v>
      </c>
      <c r="E871">
        <v>2</v>
      </c>
      <c r="F871" t="s">
        <v>60</v>
      </c>
      <c r="G871" t="s">
        <v>32</v>
      </c>
      <c r="H871" t="s">
        <v>20</v>
      </c>
      <c r="I871">
        <v>3</v>
      </c>
      <c r="J871">
        <v>2</v>
      </c>
    </row>
    <row r="872" spans="1:10" x14ac:dyDescent="0.2">
      <c r="A872" t="s">
        <v>109</v>
      </c>
      <c r="B872" t="s">
        <v>25</v>
      </c>
      <c r="C872">
        <v>3</v>
      </c>
      <c r="D872" t="s">
        <v>22</v>
      </c>
      <c r="E872">
        <v>4</v>
      </c>
      <c r="F872" t="s">
        <v>62</v>
      </c>
      <c r="G872" t="s">
        <v>22</v>
      </c>
      <c r="H872" t="s">
        <v>25</v>
      </c>
      <c r="I872">
        <v>4</v>
      </c>
      <c r="J872">
        <v>3</v>
      </c>
    </row>
    <row r="873" spans="1:10" x14ac:dyDescent="0.2">
      <c r="A873" t="s">
        <v>110</v>
      </c>
      <c r="B873" t="s">
        <v>20</v>
      </c>
      <c r="C873">
        <v>3</v>
      </c>
      <c r="D873" t="s">
        <v>31</v>
      </c>
      <c r="E873">
        <v>4</v>
      </c>
      <c r="F873" t="s">
        <v>60</v>
      </c>
      <c r="G873" t="s">
        <v>31</v>
      </c>
      <c r="H873" t="s">
        <v>20</v>
      </c>
      <c r="I873">
        <v>4</v>
      </c>
      <c r="J873">
        <v>3</v>
      </c>
    </row>
    <row r="874" spans="1:10" x14ac:dyDescent="0.2">
      <c r="A874" t="s">
        <v>110</v>
      </c>
      <c r="B874" t="s">
        <v>13</v>
      </c>
      <c r="C874">
        <v>2</v>
      </c>
      <c r="D874" t="s">
        <v>25</v>
      </c>
      <c r="E874">
        <v>3</v>
      </c>
      <c r="F874" t="s">
        <v>62</v>
      </c>
      <c r="G874" t="s">
        <v>25</v>
      </c>
      <c r="H874" t="s">
        <v>13</v>
      </c>
      <c r="I874">
        <v>3</v>
      </c>
      <c r="J874">
        <v>2</v>
      </c>
    </row>
    <row r="875" spans="1:10" x14ac:dyDescent="0.2">
      <c r="A875" t="s">
        <v>110</v>
      </c>
      <c r="B875" t="s">
        <v>21</v>
      </c>
      <c r="C875">
        <v>5</v>
      </c>
      <c r="D875" t="s">
        <v>37</v>
      </c>
      <c r="E875">
        <v>6</v>
      </c>
      <c r="F875" t="s">
        <v>61</v>
      </c>
      <c r="G875" t="s">
        <v>37</v>
      </c>
      <c r="H875" t="s">
        <v>21</v>
      </c>
      <c r="I875">
        <v>6</v>
      </c>
      <c r="J875">
        <v>5</v>
      </c>
    </row>
    <row r="876" spans="1:10" x14ac:dyDescent="0.2">
      <c r="A876" t="s">
        <v>111</v>
      </c>
      <c r="B876" t="s">
        <v>19</v>
      </c>
      <c r="C876">
        <v>4</v>
      </c>
      <c r="D876" t="s">
        <v>16</v>
      </c>
      <c r="E876">
        <v>2</v>
      </c>
      <c r="F876" t="s">
        <v>60</v>
      </c>
      <c r="G876" t="s">
        <v>19</v>
      </c>
      <c r="H876" t="s">
        <v>16</v>
      </c>
      <c r="I876">
        <v>4</v>
      </c>
      <c r="J876">
        <v>2</v>
      </c>
    </row>
    <row r="877" spans="1:10" x14ac:dyDescent="0.2">
      <c r="A877" t="s">
        <v>111</v>
      </c>
      <c r="B877" t="s">
        <v>33</v>
      </c>
      <c r="C877">
        <v>3</v>
      </c>
      <c r="D877" t="s">
        <v>10</v>
      </c>
      <c r="E877">
        <v>6</v>
      </c>
      <c r="F877" t="s">
        <v>60</v>
      </c>
      <c r="G877" t="s">
        <v>10</v>
      </c>
      <c r="H877" t="s">
        <v>33</v>
      </c>
      <c r="I877">
        <v>6</v>
      </c>
      <c r="J877">
        <v>3</v>
      </c>
    </row>
    <row r="878" spans="1:10" x14ac:dyDescent="0.2">
      <c r="A878" t="s">
        <v>111</v>
      </c>
      <c r="B878" t="s">
        <v>26</v>
      </c>
      <c r="C878">
        <v>2</v>
      </c>
      <c r="D878" t="s">
        <v>12</v>
      </c>
      <c r="E878">
        <v>0</v>
      </c>
      <c r="F878" t="s">
        <v>60</v>
      </c>
      <c r="G878" t="s">
        <v>26</v>
      </c>
      <c r="H878" t="s">
        <v>12</v>
      </c>
      <c r="I878">
        <v>2</v>
      </c>
      <c r="J878">
        <v>0</v>
      </c>
    </row>
    <row r="879" spans="1:10" x14ac:dyDescent="0.2">
      <c r="A879" t="s">
        <v>111</v>
      </c>
      <c r="B879" t="s">
        <v>40</v>
      </c>
      <c r="C879">
        <v>3</v>
      </c>
      <c r="D879" t="s">
        <v>39</v>
      </c>
      <c r="E879">
        <v>4</v>
      </c>
      <c r="F879" t="s">
        <v>62</v>
      </c>
      <c r="G879" t="s">
        <v>39</v>
      </c>
      <c r="H879" t="s">
        <v>40</v>
      </c>
      <c r="I879">
        <v>4</v>
      </c>
      <c r="J879">
        <v>3</v>
      </c>
    </row>
    <row r="880" spans="1:10" x14ac:dyDescent="0.2">
      <c r="A880" t="s">
        <v>111</v>
      </c>
      <c r="B880" t="s">
        <v>23</v>
      </c>
      <c r="C880">
        <v>5</v>
      </c>
      <c r="D880" t="s">
        <v>11</v>
      </c>
      <c r="E880">
        <v>3</v>
      </c>
      <c r="F880" t="s">
        <v>60</v>
      </c>
      <c r="G880" t="s">
        <v>23</v>
      </c>
      <c r="H880" t="s">
        <v>11</v>
      </c>
      <c r="I880">
        <v>5</v>
      </c>
      <c r="J880">
        <v>3</v>
      </c>
    </row>
    <row r="881" spans="1:10" x14ac:dyDescent="0.2">
      <c r="A881" t="s">
        <v>111</v>
      </c>
      <c r="B881" t="s">
        <v>18</v>
      </c>
      <c r="C881">
        <v>3</v>
      </c>
      <c r="D881" t="s">
        <v>34</v>
      </c>
      <c r="E881">
        <v>4</v>
      </c>
      <c r="F881" t="s">
        <v>62</v>
      </c>
      <c r="G881" t="s">
        <v>34</v>
      </c>
      <c r="H881" t="s">
        <v>18</v>
      </c>
      <c r="I881">
        <v>4</v>
      </c>
      <c r="J881">
        <v>3</v>
      </c>
    </row>
    <row r="882" spans="1:10" x14ac:dyDescent="0.2">
      <c r="A882" t="s">
        <v>111</v>
      </c>
      <c r="B882" t="s">
        <v>35</v>
      </c>
      <c r="C882">
        <v>5</v>
      </c>
      <c r="D882" t="s">
        <v>29</v>
      </c>
      <c r="E882">
        <v>6</v>
      </c>
      <c r="F882" t="s">
        <v>60</v>
      </c>
      <c r="G882" t="s">
        <v>29</v>
      </c>
      <c r="H882" t="s">
        <v>35</v>
      </c>
      <c r="I882">
        <v>6</v>
      </c>
      <c r="J882">
        <v>5</v>
      </c>
    </row>
    <row r="883" spans="1:10" x14ac:dyDescent="0.2">
      <c r="A883" t="s">
        <v>111</v>
      </c>
      <c r="B883" t="s">
        <v>36</v>
      </c>
      <c r="C883">
        <v>3</v>
      </c>
      <c r="D883" t="s">
        <v>14</v>
      </c>
      <c r="E883">
        <v>2</v>
      </c>
      <c r="F883" t="s">
        <v>60</v>
      </c>
      <c r="G883" t="s">
        <v>36</v>
      </c>
      <c r="H883" t="s">
        <v>14</v>
      </c>
      <c r="I883">
        <v>3</v>
      </c>
      <c r="J883">
        <v>2</v>
      </c>
    </row>
    <row r="884" spans="1:10" x14ac:dyDescent="0.2">
      <c r="A884" t="s">
        <v>111</v>
      </c>
      <c r="B884" t="s">
        <v>38</v>
      </c>
      <c r="C884">
        <v>2</v>
      </c>
      <c r="D884" t="s">
        <v>55</v>
      </c>
      <c r="E884">
        <v>6</v>
      </c>
      <c r="F884" t="s">
        <v>60</v>
      </c>
      <c r="G884" t="s">
        <v>55</v>
      </c>
      <c r="H884" t="s">
        <v>38</v>
      </c>
      <c r="I884">
        <v>6</v>
      </c>
      <c r="J884">
        <v>2</v>
      </c>
    </row>
    <row r="885" spans="1:10" x14ac:dyDescent="0.2">
      <c r="A885" t="s">
        <v>111</v>
      </c>
      <c r="B885" t="s">
        <v>30</v>
      </c>
      <c r="C885">
        <v>1</v>
      </c>
      <c r="D885" t="s">
        <v>22</v>
      </c>
      <c r="E885">
        <v>4</v>
      </c>
      <c r="F885" t="s">
        <v>60</v>
      </c>
      <c r="G885" t="s">
        <v>22</v>
      </c>
      <c r="H885" t="s">
        <v>30</v>
      </c>
      <c r="I885">
        <v>4</v>
      </c>
      <c r="J885">
        <v>1</v>
      </c>
    </row>
    <row r="886" spans="1:10" x14ac:dyDescent="0.2">
      <c r="A886" t="s">
        <v>112</v>
      </c>
      <c r="B886" t="s">
        <v>32</v>
      </c>
      <c r="C886">
        <v>2</v>
      </c>
      <c r="D886" t="s">
        <v>31</v>
      </c>
      <c r="E886">
        <v>4</v>
      </c>
      <c r="F886" t="s">
        <v>60</v>
      </c>
      <c r="G886" t="s">
        <v>31</v>
      </c>
      <c r="H886" t="s">
        <v>32</v>
      </c>
      <c r="I886">
        <v>4</v>
      </c>
      <c r="J886">
        <v>2</v>
      </c>
    </row>
    <row r="887" spans="1:10" x14ac:dyDescent="0.2">
      <c r="A887" t="s">
        <v>112</v>
      </c>
      <c r="B887" t="s">
        <v>36</v>
      </c>
      <c r="C887">
        <v>3</v>
      </c>
      <c r="D887" t="s">
        <v>25</v>
      </c>
      <c r="E887">
        <v>4</v>
      </c>
      <c r="F887" t="s">
        <v>60</v>
      </c>
      <c r="G887" t="s">
        <v>25</v>
      </c>
      <c r="H887" t="s">
        <v>36</v>
      </c>
      <c r="I887">
        <v>4</v>
      </c>
      <c r="J887">
        <v>3</v>
      </c>
    </row>
    <row r="888" spans="1:10" x14ac:dyDescent="0.2">
      <c r="A888" t="s">
        <v>112</v>
      </c>
      <c r="B888" t="s">
        <v>19</v>
      </c>
      <c r="C888">
        <v>5</v>
      </c>
      <c r="D888" t="s">
        <v>17</v>
      </c>
      <c r="E888">
        <v>2</v>
      </c>
      <c r="F888" t="s">
        <v>60</v>
      </c>
      <c r="G888" t="s">
        <v>19</v>
      </c>
      <c r="H888" t="s">
        <v>17</v>
      </c>
      <c r="I888">
        <v>5</v>
      </c>
      <c r="J888">
        <v>2</v>
      </c>
    </row>
    <row r="889" spans="1:10" x14ac:dyDescent="0.2">
      <c r="A889" t="s">
        <v>112</v>
      </c>
      <c r="B889" t="s">
        <v>28</v>
      </c>
      <c r="C889">
        <v>3</v>
      </c>
      <c r="D889" t="s">
        <v>24</v>
      </c>
      <c r="E889">
        <v>0</v>
      </c>
      <c r="F889" t="s">
        <v>60</v>
      </c>
      <c r="G889" t="s">
        <v>28</v>
      </c>
      <c r="H889" t="s">
        <v>24</v>
      </c>
      <c r="I889">
        <v>3</v>
      </c>
      <c r="J889">
        <v>0</v>
      </c>
    </row>
    <row r="890" spans="1:10" x14ac:dyDescent="0.2">
      <c r="A890" t="s">
        <v>112</v>
      </c>
      <c r="B890" t="s">
        <v>14</v>
      </c>
      <c r="C890">
        <v>4</v>
      </c>
      <c r="D890" t="s">
        <v>30</v>
      </c>
      <c r="E890">
        <v>5</v>
      </c>
      <c r="F890" t="s">
        <v>62</v>
      </c>
      <c r="G890" t="s">
        <v>30</v>
      </c>
      <c r="H890" t="s">
        <v>14</v>
      </c>
      <c r="I890">
        <v>5</v>
      </c>
      <c r="J890">
        <v>4</v>
      </c>
    </row>
    <row r="891" spans="1:10" x14ac:dyDescent="0.2">
      <c r="A891" t="s">
        <v>112</v>
      </c>
      <c r="B891" t="s">
        <v>22</v>
      </c>
      <c r="C891">
        <v>2</v>
      </c>
      <c r="D891" t="s">
        <v>27</v>
      </c>
      <c r="E891">
        <v>4</v>
      </c>
      <c r="F891" t="s">
        <v>60</v>
      </c>
      <c r="G891" t="s">
        <v>27</v>
      </c>
      <c r="H891" t="s">
        <v>22</v>
      </c>
      <c r="I891">
        <v>4</v>
      </c>
      <c r="J891">
        <v>2</v>
      </c>
    </row>
    <row r="892" spans="1:10" x14ac:dyDescent="0.2">
      <c r="A892" t="s">
        <v>112</v>
      </c>
      <c r="B892" t="s">
        <v>23</v>
      </c>
      <c r="C892">
        <v>3</v>
      </c>
      <c r="D892" t="s">
        <v>37</v>
      </c>
      <c r="E892">
        <v>4</v>
      </c>
      <c r="F892" t="s">
        <v>62</v>
      </c>
      <c r="G892" t="s">
        <v>37</v>
      </c>
      <c r="H892" t="s">
        <v>23</v>
      </c>
      <c r="I892">
        <v>4</v>
      </c>
      <c r="J892">
        <v>3</v>
      </c>
    </row>
    <row r="893" spans="1:10" x14ac:dyDescent="0.2">
      <c r="A893" t="s">
        <v>113</v>
      </c>
      <c r="B893" t="s">
        <v>10</v>
      </c>
      <c r="C893">
        <v>0</v>
      </c>
      <c r="D893" t="s">
        <v>28</v>
      </c>
      <c r="E893">
        <v>4</v>
      </c>
      <c r="F893" t="s">
        <v>60</v>
      </c>
      <c r="G893" t="s">
        <v>28</v>
      </c>
      <c r="H893" t="s">
        <v>10</v>
      </c>
      <c r="I893">
        <v>4</v>
      </c>
      <c r="J893">
        <v>0</v>
      </c>
    </row>
    <row r="894" spans="1:10" x14ac:dyDescent="0.2">
      <c r="A894" t="s">
        <v>113</v>
      </c>
      <c r="B894" t="s">
        <v>17</v>
      </c>
      <c r="C894">
        <v>3</v>
      </c>
      <c r="D894" t="s">
        <v>16</v>
      </c>
      <c r="E894">
        <v>4</v>
      </c>
      <c r="F894" t="s">
        <v>60</v>
      </c>
      <c r="G894" t="s">
        <v>16</v>
      </c>
      <c r="H894" t="s">
        <v>17</v>
      </c>
      <c r="I894">
        <v>4</v>
      </c>
      <c r="J894">
        <v>3</v>
      </c>
    </row>
    <row r="895" spans="1:10" x14ac:dyDescent="0.2">
      <c r="A895" t="s">
        <v>113</v>
      </c>
      <c r="B895" t="s">
        <v>33</v>
      </c>
      <c r="C895">
        <v>2</v>
      </c>
      <c r="D895" t="s">
        <v>12</v>
      </c>
      <c r="E895">
        <v>4</v>
      </c>
      <c r="F895" t="s">
        <v>60</v>
      </c>
      <c r="G895" t="s">
        <v>12</v>
      </c>
      <c r="H895" t="s">
        <v>33</v>
      </c>
      <c r="I895">
        <v>4</v>
      </c>
      <c r="J895">
        <v>2</v>
      </c>
    </row>
    <row r="896" spans="1:10" x14ac:dyDescent="0.2">
      <c r="A896" t="s">
        <v>113</v>
      </c>
      <c r="B896" t="s">
        <v>35</v>
      </c>
      <c r="C896">
        <v>4</v>
      </c>
      <c r="D896" t="s">
        <v>39</v>
      </c>
      <c r="E896">
        <v>5</v>
      </c>
      <c r="F896" t="s">
        <v>60</v>
      </c>
      <c r="G896" t="s">
        <v>39</v>
      </c>
      <c r="H896" t="s">
        <v>35</v>
      </c>
      <c r="I896">
        <v>5</v>
      </c>
      <c r="J896">
        <v>4</v>
      </c>
    </row>
    <row r="897" spans="1:10" x14ac:dyDescent="0.2">
      <c r="A897" t="s">
        <v>113</v>
      </c>
      <c r="B897" t="s">
        <v>21</v>
      </c>
      <c r="C897">
        <v>4</v>
      </c>
      <c r="D897" t="s">
        <v>11</v>
      </c>
      <c r="E897">
        <v>5</v>
      </c>
      <c r="F897" t="s">
        <v>61</v>
      </c>
      <c r="G897" t="s">
        <v>11</v>
      </c>
      <c r="H897" t="s">
        <v>21</v>
      </c>
      <c r="I897">
        <v>5</v>
      </c>
      <c r="J897">
        <v>4</v>
      </c>
    </row>
    <row r="898" spans="1:10" x14ac:dyDescent="0.2">
      <c r="A898" t="s">
        <v>113</v>
      </c>
      <c r="B898" t="s">
        <v>32</v>
      </c>
      <c r="C898">
        <v>4</v>
      </c>
      <c r="D898" t="s">
        <v>13</v>
      </c>
      <c r="E898">
        <v>2</v>
      </c>
      <c r="F898" t="s">
        <v>60</v>
      </c>
      <c r="G898" t="s">
        <v>32</v>
      </c>
      <c r="H898" t="s">
        <v>13</v>
      </c>
      <c r="I898">
        <v>4</v>
      </c>
      <c r="J898">
        <v>2</v>
      </c>
    </row>
    <row r="899" spans="1:10" x14ac:dyDescent="0.2">
      <c r="A899" t="s">
        <v>113</v>
      </c>
      <c r="B899" t="s">
        <v>34</v>
      </c>
      <c r="C899">
        <v>6</v>
      </c>
      <c r="D899" t="s">
        <v>29</v>
      </c>
      <c r="E899">
        <v>5</v>
      </c>
      <c r="F899" t="s">
        <v>62</v>
      </c>
      <c r="G899" t="s">
        <v>34</v>
      </c>
      <c r="H899" t="s">
        <v>29</v>
      </c>
      <c r="I899">
        <v>6</v>
      </c>
      <c r="J899">
        <v>5</v>
      </c>
    </row>
    <row r="900" spans="1:10" x14ac:dyDescent="0.2">
      <c r="A900" t="s">
        <v>113</v>
      </c>
      <c r="B900" t="s">
        <v>26</v>
      </c>
      <c r="C900">
        <v>1</v>
      </c>
      <c r="D900" t="s">
        <v>55</v>
      </c>
      <c r="E900">
        <v>4</v>
      </c>
      <c r="F900" t="s">
        <v>60</v>
      </c>
      <c r="G900" t="s">
        <v>55</v>
      </c>
      <c r="H900" t="s">
        <v>26</v>
      </c>
      <c r="I900">
        <v>4</v>
      </c>
      <c r="J900">
        <v>1</v>
      </c>
    </row>
    <row r="901" spans="1:10" x14ac:dyDescent="0.2">
      <c r="A901" t="s">
        <v>113</v>
      </c>
      <c r="B901" t="s">
        <v>38</v>
      </c>
      <c r="C901">
        <v>2</v>
      </c>
      <c r="D901" t="s">
        <v>20</v>
      </c>
      <c r="E901">
        <v>5</v>
      </c>
      <c r="F901" t="s">
        <v>60</v>
      </c>
      <c r="G901" t="s">
        <v>20</v>
      </c>
      <c r="H901" t="s">
        <v>38</v>
      </c>
      <c r="I901">
        <v>5</v>
      </c>
      <c r="J901">
        <v>2</v>
      </c>
    </row>
    <row r="902" spans="1:10" x14ac:dyDescent="0.2">
      <c r="A902" t="s">
        <v>113</v>
      </c>
      <c r="B902" t="s">
        <v>18</v>
      </c>
      <c r="C902">
        <v>5</v>
      </c>
      <c r="D902" t="s">
        <v>40</v>
      </c>
      <c r="E902">
        <v>1</v>
      </c>
      <c r="F902" t="s">
        <v>60</v>
      </c>
      <c r="G902" t="s">
        <v>18</v>
      </c>
      <c r="H902" t="s">
        <v>40</v>
      </c>
      <c r="I902">
        <v>5</v>
      </c>
      <c r="J902">
        <v>1</v>
      </c>
    </row>
    <row r="903" spans="1:10" x14ac:dyDescent="0.2">
      <c r="A903" t="s">
        <v>114</v>
      </c>
      <c r="B903" t="s">
        <v>14</v>
      </c>
      <c r="C903">
        <v>5</v>
      </c>
      <c r="D903" t="s">
        <v>23</v>
      </c>
      <c r="E903">
        <v>2</v>
      </c>
      <c r="F903" t="s">
        <v>60</v>
      </c>
      <c r="G903" t="s">
        <v>14</v>
      </c>
      <c r="H903" t="s">
        <v>23</v>
      </c>
      <c r="I903">
        <v>5</v>
      </c>
      <c r="J903">
        <v>2</v>
      </c>
    </row>
    <row r="904" spans="1:10" x14ac:dyDescent="0.2">
      <c r="A904" t="s">
        <v>114</v>
      </c>
      <c r="B904" t="s">
        <v>30</v>
      </c>
      <c r="C904">
        <v>3</v>
      </c>
      <c r="D904" t="s">
        <v>24</v>
      </c>
      <c r="E904">
        <v>1</v>
      </c>
      <c r="F904" t="s">
        <v>60</v>
      </c>
      <c r="G904" t="s">
        <v>30</v>
      </c>
      <c r="H904" t="s">
        <v>24</v>
      </c>
      <c r="I904">
        <v>3</v>
      </c>
      <c r="J904">
        <v>1</v>
      </c>
    </row>
    <row r="905" spans="1:10" x14ac:dyDescent="0.2">
      <c r="A905" t="s">
        <v>114</v>
      </c>
      <c r="B905" t="s">
        <v>25</v>
      </c>
      <c r="C905">
        <v>2</v>
      </c>
      <c r="D905" t="s">
        <v>15</v>
      </c>
      <c r="E905">
        <v>0</v>
      </c>
      <c r="F905" t="s">
        <v>60</v>
      </c>
      <c r="G905" t="s">
        <v>25</v>
      </c>
      <c r="H905" t="s">
        <v>15</v>
      </c>
      <c r="I905">
        <v>2</v>
      </c>
      <c r="J905">
        <v>0</v>
      </c>
    </row>
    <row r="906" spans="1:10" x14ac:dyDescent="0.2">
      <c r="A906" t="s">
        <v>114</v>
      </c>
      <c r="B906" t="s">
        <v>36</v>
      </c>
      <c r="C906">
        <v>2</v>
      </c>
      <c r="D906" t="s">
        <v>27</v>
      </c>
      <c r="E906">
        <v>1</v>
      </c>
      <c r="F906" t="s">
        <v>62</v>
      </c>
      <c r="G906" t="s">
        <v>36</v>
      </c>
      <c r="H906" t="s">
        <v>27</v>
      </c>
      <c r="I906">
        <v>2</v>
      </c>
      <c r="J906">
        <v>1</v>
      </c>
    </row>
    <row r="907" spans="1:10" x14ac:dyDescent="0.2">
      <c r="A907" t="s">
        <v>114</v>
      </c>
      <c r="B907" t="s">
        <v>11</v>
      </c>
      <c r="C907">
        <v>1</v>
      </c>
      <c r="D907" t="s">
        <v>37</v>
      </c>
      <c r="E907">
        <v>6</v>
      </c>
      <c r="F907" t="s">
        <v>60</v>
      </c>
      <c r="G907" t="s">
        <v>37</v>
      </c>
      <c r="H907" t="s">
        <v>11</v>
      </c>
      <c r="I907">
        <v>6</v>
      </c>
      <c r="J907">
        <v>1</v>
      </c>
    </row>
    <row r="908" spans="1:10" x14ac:dyDescent="0.2">
      <c r="A908" t="s">
        <v>114</v>
      </c>
      <c r="B908" t="s">
        <v>13</v>
      </c>
      <c r="C908">
        <v>1</v>
      </c>
      <c r="D908" t="s">
        <v>20</v>
      </c>
      <c r="E908">
        <v>4</v>
      </c>
      <c r="F908" t="s">
        <v>60</v>
      </c>
      <c r="G908" t="s">
        <v>20</v>
      </c>
      <c r="H908" t="s">
        <v>13</v>
      </c>
      <c r="I908">
        <v>4</v>
      </c>
      <c r="J908">
        <v>1</v>
      </c>
    </row>
    <row r="909" spans="1:10" x14ac:dyDescent="0.2">
      <c r="A909" t="s">
        <v>114</v>
      </c>
      <c r="B909" t="s">
        <v>29</v>
      </c>
      <c r="C909">
        <v>2</v>
      </c>
      <c r="D909" t="s">
        <v>22</v>
      </c>
      <c r="E909">
        <v>4</v>
      </c>
      <c r="F909" t="s">
        <v>60</v>
      </c>
      <c r="G909" t="s">
        <v>22</v>
      </c>
      <c r="H909" t="s">
        <v>29</v>
      </c>
      <c r="I909">
        <v>4</v>
      </c>
      <c r="J909">
        <v>2</v>
      </c>
    </row>
    <row r="910" spans="1:10" x14ac:dyDescent="0.2">
      <c r="A910" t="s">
        <v>115</v>
      </c>
      <c r="B910" t="s">
        <v>17</v>
      </c>
      <c r="C910">
        <v>5</v>
      </c>
      <c r="D910" t="s">
        <v>31</v>
      </c>
      <c r="E910">
        <v>6</v>
      </c>
      <c r="F910" t="s">
        <v>60</v>
      </c>
      <c r="G910" t="s">
        <v>31</v>
      </c>
      <c r="H910" t="s">
        <v>17</v>
      </c>
      <c r="I910">
        <v>6</v>
      </c>
      <c r="J910">
        <v>5</v>
      </c>
    </row>
    <row r="911" spans="1:10" x14ac:dyDescent="0.2">
      <c r="A911" t="s">
        <v>115</v>
      </c>
      <c r="B911" t="s">
        <v>32</v>
      </c>
      <c r="C911">
        <v>1</v>
      </c>
      <c r="D911" t="s">
        <v>39</v>
      </c>
      <c r="E911">
        <v>4</v>
      </c>
      <c r="F911" t="s">
        <v>60</v>
      </c>
      <c r="G911" t="s">
        <v>39</v>
      </c>
      <c r="H911" t="s">
        <v>32</v>
      </c>
      <c r="I911">
        <v>4</v>
      </c>
      <c r="J911">
        <v>1</v>
      </c>
    </row>
    <row r="912" spans="1:10" x14ac:dyDescent="0.2">
      <c r="A912" t="s">
        <v>115</v>
      </c>
      <c r="B912" t="s">
        <v>20</v>
      </c>
      <c r="C912">
        <v>6</v>
      </c>
      <c r="D912" t="s">
        <v>13</v>
      </c>
      <c r="E912">
        <v>4</v>
      </c>
      <c r="F912" t="s">
        <v>60</v>
      </c>
      <c r="G912" t="s">
        <v>20</v>
      </c>
      <c r="H912" t="s">
        <v>13</v>
      </c>
      <c r="I912">
        <v>6</v>
      </c>
      <c r="J912">
        <v>4</v>
      </c>
    </row>
    <row r="913" spans="1:10" x14ac:dyDescent="0.2">
      <c r="A913" t="s">
        <v>115</v>
      </c>
      <c r="B913" t="s">
        <v>23</v>
      </c>
      <c r="C913">
        <v>2</v>
      </c>
      <c r="D913" t="s">
        <v>24</v>
      </c>
      <c r="E913">
        <v>1</v>
      </c>
      <c r="F913" t="s">
        <v>60</v>
      </c>
      <c r="G913" t="s">
        <v>23</v>
      </c>
      <c r="H913" t="s">
        <v>24</v>
      </c>
      <c r="I913">
        <v>2</v>
      </c>
      <c r="J913">
        <v>1</v>
      </c>
    </row>
    <row r="914" spans="1:10" x14ac:dyDescent="0.2">
      <c r="A914" t="s">
        <v>115</v>
      </c>
      <c r="B914" t="s">
        <v>19</v>
      </c>
      <c r="C914">
        <v>2</v>
      </c>
      <c r="D914" t="s">
        <v>37</v>
      </c>
      <c r="E914">
        <v>4</v>
      </c>
      <c r="F914" t="s">
        <v>60</v>
      </c>
      <c r="G914" t="s">
        <v>37</v>
      </c>
      <c r="H914" t="s">
        <v>19</v>
      </c>
      <c r="I914">
        <v>4</v>
      </c>
      <c r="J914">
        <v>2</v>
      </c>
    </row>
    <row r="915" spans="1:10" x14ac:dyDescent="0.2">
      <c r="A915" t="s">
        <v>115</v>
      </c>
      <c r="B915" t="s">
        <v>12</v>
      </c>
      <c r="C915">
        <v>4</v>
      </c>
      <c r="D915" t="s">
        <v>55</v>
      </c>
      <c r="E915">
        <v>2</v>
      </c>
      <c r="F915" t="s">
        <v>60</v>
      </c>
      <c r="G915" t="s">
        <v>12</v>
      </c>
      <c r="H915" t="s">
        <v>55</v>
      </c>
      <c r="I915">
        <v>4</v>
      </c>
      <c r="J915">
        <v>2</v>
      </c>
    </row>
    <row r="916" spans="1:10" x14ac:dyDescent="0.2">
      <c r="A916" t="s">
        <v>115</v>
      </c>
      <c r="B916" t="s">
        <v>40</v>
      </c>
      <c r="C916">
        <v>3</v>
      </c>
      <c r="D916" t="s">
        <v>38</v>
      </c>
      <c r="E916">
        <v>2</v>
      </c>
      <c r="F916" t="s">
        <v>62</v>
      </c>
      <c r="G916" t="s">
        <v>40</v>
      </c>
      <c r="H916" t="s">
        <v>38</v>
      </c>
      <c r="I916">
        <v>3</v>
      </c>
      <c r="J916">
        <v>2</v>
      </c>
    </row>
    <row r="917" spans="1:10" x14ac:dyDescent="0.2">
      <c r="A917" t="s">
        <v>115</v>
      </c>
      <c r="B917" t="s">
        <v>27</v>
      </c>
      <c r="C917">
        <v>1</v>
      </c>
      <c r="D917" t="s">
        <v>22</v>
      </c>
      <c r="E917">
        <v>3</v>
      </c>
      <c r="F917" t="s">
        <v>60</v>
      </c>
      <c r="G917" t="s">
        <v>22</v>
      </c>
      <c r="H917" t="s">
        <v>27</v>
      </c>
      <c r="I917">
        <v>3</v>
      </c>
      <c r="J917">
        <v>1</v>
      </c>
    </row>
    <row r="918" spans="1:10" x14ac:dyDescent="0.2">
      <c r="A918" t="s">
        <v>116</v>
      </c>
      <c r="B918" t="s">
        <v>28</v>
      </c>
      <c r="D918" t="s">
        <v>21</v>
      </c>
      <c r="F918" t="s">
        <v>60</v>
      </c>
    </row>
    <row r="919" spans="1:10" x14ac:dyDescent="0.2">
      <c r="A919" t="s">
        <v>116</v>
      </c>
      <c r="B919" t="s">
        <v>37</v>
      </c>
      <c r="D919" t="s">
        <v>25</v>
      </c>
      <c r="F919" t="s">
        <v>60</v>
      </c>
    </row>
    <row r="920" spans="1:10" x14ac:dyDescent="0.2">
      <c r="A920" t="s">
        <v>116</v>
      </c>
      <c r="B920" t="s">
        <v>34</v>
      </c>
      <c r="D920" t="s">
        <v>12</v>
      </c>
      <c r="F920" t="s">
        <v>60</v>
      </c>
    </row>
    <row r="921" spans="1:10" x14ac:dyDescent="0.2">
      <c r="A921" t="s">
        <v>116</v>
      </c>
      <c r="B921" t="s">
        <v>19</v>
      </c>
      <c r="D921" t="s">
        <v>11</v>
      </c>
      <c r="F921" t="s">
        <v>60</v>
      </c>
    </row>
    <row r="922" spans="1:10" x14ac:dyDescent="0.2">
      <c r="A922" t="s">
        <v>116</v>
      </c>
      <c r="B922" t="s">
        <v>17</v>
      </c>
      <c r="D922" t="s">
        <v>13</v>
      </c>
      <c r="F922" t="s">
        <v>60</v>
      </c>
    </row>
    <row r="923" spans="1:10" x14ac:dyDescent="0.2">
      <c r="A923" t="s">
        <v>116</v>
      </c>
      <c r="B923" t="s">
        <v>30</v>
      </c>
      <c r="D923" t="s">
        <v>18</v>
      </c>
      <c r="F923" t="s">
        <v>60</v>
      </c>
    </row>
    <row r="924" spans="1:10" x14ac:dyDescent="0.2">
      <c r="A924" t="s">
        <v>116</v>
      </c>
      <c r="B924" t="s">
        <v>10</v>
      </c>
      <c r="D924" t="s">
        <v>29</v>
      </c>
      <c r="F924" t="s">
        <v>60</v>
      </c>
    </row>
    <row r="925" spans="1:10" x14ac:dyDescent="0.2">
      <c r="A925" t="s">
        <v>116</v>
      </c>
      <c r="B925" t="s">
        <v>27</v>
      </c>
      <c r="D925" t="s">
        <v>15</v>
      </c>
      <c r="F925" t="s">
        <v>60</v>
      </c>
    </row>
    <row r="926" spans="1:10" x14ac:dyDescent="0.2">
      <c r="A926" t="s">
        <v>116</v>
      </c>
      <c r="B926" t="s">
        <v>26</v>
      </c>
      <c r="D926" t="s">
        <v>36</v>
      </c>
      <c r="F926" t="s">
        <v>60</v>
      </c>
    </row>
    <row r="927" spans="1:10" x14ac:dyDescent="0.2">
      <c r="A927" t="s">
        <v>116</v>
      </c>
      <c r="B927" t="s">
        <v>24</v>
      </c>
      <c r="D927" t="s">
        <v>14</v>
      </c>
      <c r="F927" t="s">
        <v>60</v>
      </c>
    </row>
    <row r="928" spans="1:10" x14ac:dyDescent="0.2">
      <c r="A928" t="s">
        <v>116</v>
      </c>
      <c r="B928" t="s">
        <v>16</v>
      </c>
      <c r="D928" t="s">
        <v>33</v>
      </c>
      <c r="F928" t="s">
        <v>60</v>
      </c>
    </row>
    <row r="929" spans="1:6" x14ac:dyDescent="0.2">
      <c r="A929" t="s">
        <v>116</v>
      </c>
      <c r="B929" t="s">
        <v>32</v>
      </c>
      <c r="D929" t="s">
        <v>35</v>
      </c>
      <c r="F929" t="s">
        <v>60</v>
      </c>
    </row>
    <row r="930" spans="1:6" x14ac:dyDescent="0.2">
      <c r="A930" t="s">
        <v>117</v>
      </c>
      <c r="B930" t="s">
        <v>40</v>
      </c>
      <c r="D930" t="s">
        <v>31</v>
      </c>
      <c r="F930" t="s">
        <v>60</v>
      </c>
    </row>
    <row r="931" spans="1:6" x14ac:dyDescent="0.2">
      <c r="A931" t="s">
        <v>117</v>
      </c>
      <c r="B931" t="s">
        <v>23</v>
      </c>
      <c r="D931" t="s">
        <v>11</v>
      </c>
      <c r="F931" t="s">
        <v>60</v>
      </c>
    </row>
    <row r="932" spans="1:6" x14ac:dyDescent="0.2">
      <c r="A932" t="s">
        <v>117</v>
      </c>
      <c r="B932" t="s">
        <v>34</v>
      </c>
      <c r="D932" t="s">
        <v>55</v>
      </c>
      <c r="F932" t="s">
        <v>60</v>
      </c>
    </row>
    <row r="933" spans="1:6" x14ac:dyDescent="0.2">
      <c r="A933" t="s">
        <v>117</v>
      </c>
      <c r="B933" t="s">
        <v>20</v>
      </c>
      <c r="D933" t="s">
        <v>22</v>
      </c>
      <c r="F933" t="s">
        <v>60</v>
      </c>
    </row>
    <row r="934" spans="1:6" x14ac:dyDescent="0.2">
      <c r="A934" t="s">
        <v>118</v>
      </c>
      <c r="B934" t="s">
        <v>26</v>
      </c>
      <c r="D934" t="s">
        <v>25</v>
      </c>
      <c r="F934" t="s">
        <v>60</v>
      </c>
    </row>
    <row r="935" spans="1:6" x14ac:dyDescent="0.2">
      <c r="A935" t="s">
        <v>118</v>
      </c>
      <c r="B935" t="s">
        <v>30</v>
      </c>
      <c r="D935" t="s">
        <v>28</v>
      </c>
      <c r="F935" t="s">
        <v>60</v>
      </c>
    </row>
    <row r="936" spans="1:6" x14ac:dyDescent="0.2">
      <c r="A936" t="s">
        <v>118</v>
      </c>
      <c r="B936" t="s">
        <v>10</v>
      </c>
      <c r="D936" t="s">
        <v>12</v>
      </c>
      <c r="F936" t="s">
        <v>60</v>
      </c>
    </row>
    <row r="937" spans="1:6" x14ac:dyDescent="0.2">
      <c r="A937" t="s">
        <v>118</v>
      </c>
      <c r="B937" t="s">
        <v>29</v>
      </c>
      <c r="D937" t="s">
        <v>39</v>
      </c>
      <c r="F937" t="s">
        <v>60</v>
      </c>
    </row>
    <row r="938" spans="1:6" x14ac:dyDescent="0.2">
      <c r="A938" t="s">
        <v>118</v>
      </c>
      <c r="B938" t="s">
        <v>16</v>
      </c>
      <c r="D938" t="s">
        <v>13</v>
      </c>
      <c r="F938" t="s">
        <v>60</v>
      </c>
    </row>
    <row r="939" spans="1:6" x14ac:dyDescent="0.2">
      <c r="A939" t="s">
        <v>118</v>
      </c>
      <c r="B939" t="s">
        <v>22</v>
      </c>
      <c r="D939" t="s">
        <v>18</v>
      </c>
      <c r="F939" t="s">
        <v>60</v>
      </c>
    </row>
    <row r="940" spans="1:6" x14ac:dyDescent="0.2">
      <c r="A940" t="s">
        <v>118</v>
      </c>
      <c r="B940" t="s">
        <v>14</v>
      </c>
      <c r="D940" t="s">
        <v>15</v>
      </c>
      <c r="F940" t="s">
        <v>60</v>
      </c>
    </row>
    <row r="941" spans="1:6" x14ac:dyDescent="0.2">
      <c r="A941" t="s">
        <v>118</v>
      </c>
      <c r="B941" t="s">
        <v>21</v>
      </c>
      <c r="D941" t="s">
        <v>27</v>
      </c>
      <c r="F941" t="s">
        <v>60</v>
      </c>
    </row>
    <row r="942" spans="1:6" x14ac:dyDescent="0.2">
      <c r="A942" t="s">
        <v>118</v>
      </c>
      <c r="B942" t="s">
        <v>38</v>
      </c>
      <c r="D942" t="s">
        <v>32</v>
      </c>
      <c r="F942" t="s">
        <v>60</v>
      </c>
    </row>
    <row r="943" spans="1:6" x14ac:dyDescent="0.2">
      <c r="A943" t="s">
        <v>118</v>
      </c>
      <c r="B943" t="s">
        <v>17</v>
      </c>
      <c r="D943" t="s">
        <v>33</v>
      </c>
      <c r="F943" t="s">
        <v>60</v>
      </c>
    </row>
    <row r="944" spans="1:6" x14ac:dyDescent="0.2">
      <c r="A944" t="s">
        <v>118</v>
      </c>
      <c r="B944" t="s">
        <v>24</v>
      </c>
      <c r="D944" t="s">
        <v>35</v>
      </c>
      <c r="F944" t="s">
        <v>60</v>
      </c>
    </row>
    <row r="945" spans="1:6" x14ac:dyDescent="0.2">
      <c r="A945" t="s">
        <v>118</v>
      </c>
      <c r="B945" t="s">
        <v>23</v>
      </c>
      <c r="D945" t="s">
        <v>37</v>
      </c>
      <c r="F945" t="s">
        <v>60</v>
      </c>
    </row>
    <row r="946" spans="1:6" x14ac:dyDescent="0.2">
      <c r="A946" t="s">
        <v>118</v>
      </c>
      <c r="B946" t="s">
        <v>36</v>
      </c>
      <c r="D946" t="s">
        <v>19</v>
      </c>
      <c r="F946" t="s">
        <v>60</v>
      </c>
    </row>
    <row r="947" spans="1:6" x14ac:dyDescent="0.2">
      <c r="A947" t="s">
        <v>119</v>
      </c>
      <c r="B947" t="s">
        <v>16</v>
      </c>
      <c r="D947" t="s">
        <v>31</v>
      </c>
      <c r="F947" t="s">
        <v>60</v>
      </c>
    </row>
    <row r="948" spans="1:6" x14ac:dyDescent="0.2">
      <c r="A948" t="s">
        <v>119</v>
      </c>
      <c r="B948" t="s">
        <v>35</v>
      </c>
      <c r="D948" t="s">
        <v>34</v>
      </c>
      <c r="F948" t="s">
        <v>60</v>
      </c>
    </row>
    <row r="949" spans="1:6" x14ac:dyDescent="0.2">
      <c r="A949" t="s">
        <v>119</v>
      </c>
      <c r="B949" t="s">
        <v>11</v>
      </c>
      <c r="D949" t="s">
        <v>30</v>
      </c>
      <c r="F949" t="s">
        <v>60</v>
      </c>
    </row>
    <row r="950" spans="1:6" x14ac:dyDescent="0.2">
      <c r="A950" t="s">
        <v>119</v>
      </c>
      <c r="B950" t="s">
        <v>20</v>
      </c>
      <c r="D950" t="s">
        <v>14</v>
      </c>
      <c r="F950" t="s">
        <v>60</v>
      </c>
    </row>
    <row r="951" spans="1:6" x14ac:dyDescent="0.2">
      <c r="A951" t="s">
        <v>119</v>
      </c>
      <c r="B951" t="s">
        <v>40</v>
      </c>
      <c r="D951" t="s">
        <v>33</v>
      </c>
      <c r="F951" t="s">
        <v>60</v>
      </c>
    </row>
    <row r="952" spans="1:6" x14ac:dyDescent="0.2">
      <c r="A952" t="s">
        <v>119</v>
      </c>
      <c r="B952" t="s">
        <v>10</v>
      </c>
      <c r="D952" t="s">
        <v>55</v>
      </c>
      <c r="F952" t="s">
        <v>60</v>
      </c>
    </row>
    <row r="953" spans="1:6" x14ac:dyDescent="0.2">
      <c r="A953" t="s">
        <v>120</v>
      </c>
      <c r="B953" t="s">
        <v>12</v>
      </c>
      <c r="D953" t="s">
        <v>13</v>
      </c>
      <c r="F953" t="s">
        <v>60</v>
      </c>
    </row>
    <row r="954" spans="1:6" x14ac:dyDescent="0.2">
      <c r="A954" t="s">
        <v>120</v>
      </c>
      <c r="B954" t="s">
        <v>26</v>
      </c>
      <c r="D954" t="s">
        <v>29</v>
      </c>
      <c r="F954" t="s">
        <v>60</v>
      </c>
    </row>
    <row r="955" spans="1:6" x14ac:dyDescent="0.2">
      <c r="A955" t="s">
        <v>120</v>
      </c>
      <c r="B955" t="s">
        <v>28</v>
      </c>
      <c r="D955" t="s">
        <v>15</v>
      </c>
      <c r="F955" t="s">
        <v>60</v>
      </c>
    </row>
    <row r="956" spans="1:6" x14ac:dyDescent="0.2">
      <c r="A956" t="s">
        <v>120</v>
      </c>
      <c r="B956" t="s">
        <v>25</v>
      </c>
      <c r="D956" t="s">
        <v>32</v>
      </c>
      <c r="F956" t="s">
        <v>60</v>
      </c>
    </row>
    <row r="957" spans="1:6" x14ac:dyDescent="0.2">
      <c r="A957" t="s">
        <v>120</v>
      </c>
      <c r="B957" t="s">
        <v>27</v>
      </c>
      <c r="D957" t="s">
        <v>19</v>
      </c>
      <c r="F957" t="s">
        <v>60</v>
      </c>
    </row>
    <row r="958" spans="1:6" x14ac:dyDescent="0.2">
      <c r="A958" t="s">
        <v>120</v>
      </c>
      <c r="B958" t="s">
        <v>39</v>
      </c>
      <c r="D958" t="s">
        <v>38</v>
      </c>
      <c r="F958" t="s">
        <v>60</v>
      </c>
    </row>
    <row r="959" spans="1:6" x14ac:dyDescent="0.2">
      <c r="A959" t="s">
        <v>121</v>
      </c>
      <c r="B959" t="s">
        <v>12</v>
      </c>
      <c r="D959" t="s">
        <v>31</v>
      </c>
      <c r="F959" t="s">
        <v>60</v>
      </c>
    </row>
    <row r="960" spans="1:6" x14ac:dyDescent="0.2">
      <c r="A960" t="s">
        <v>121</v>
      </c>
      <c r="B960" t="s">
        <v>14</v>
      </c>
      <c r="D960" t="s">
        <v>21</v>
      </c>
      <c r="F960" t="s">
        <v>60</v>
      </c>
    </row>
    <row r="961" spans="1:6" x14ac:dyDescent="0.2">
      <c r="A961" t="s">
        <v>121</v>
      </c>
      <c r="B961" t="s">
        <v>20</v>
      </c>
      <c r="D961" t="s">
        <v>23</v>
      </c>
      <c r="F961" t="s">
        <v>60</v>
      </c>
    </row>
    <row r="962" spans="1:6" x14ac:dyDescent="0.2">
      <c r="A962" t="s">
        <v>121</v>
      </c>
      <c r="B962" t="s">
        <v>29</v>
      </c>
      <c r="D962" t="s">
        <v>28</v>
      </c>
      <c r="F962" t="s">
        <v>60</v>
      </c>
    </row>
    <row r="963" spans="1:6" x14ac:dyDescent="0.2">
      <c r="A963" t="s">
        <v>121</v>
      </c>
      <c r="B963" t="s">
        <v>39</v>
      </c>
      <c r="D963" t="s">
        <v>16</v>
      </c>
      <c r="F963" t="s">
        <v>60</v>
      </c>
    </row>
    <row r="964" spans="1:6" x14ac:dyDescent="0.2">
      <c r="A964" t="s">
        <v>121</v>
      </c>
      <c r="B964" t="s">
        <v>36</v>
      </c>
      <c r="D964" t="s">
        <v>17</v>
      </c>
      <c r="F964" t="s">
        <v>60</v>
      </c>
    </row>
    <row r="965" spans="1:6" x14ac:dyDescent="0.2">
      <c r="A965" t="s">
        <v>121</v>
      </c>
      <c r="B965" t="s">
        <v>37</v>
      </c>
      <c r="D965" t="s">
        <v>34</v>
      </c>
      <c r="F965" t="s">
        <v>60</v>
      </c>
    </row>
    <row r="966" spans="1:6" x14ac:dyDescent="0.2">
      <c r="A966" t="s">
        <v>121</v>
      </c>
      <c r="B966" t="s">
        <v>11</v>
      </c>
      <c r="D966" t="s">
        <v>24</v>
      </c>
      <c r="F966" t="s">
        <v>60</v>
      </c>
    </row>
    <row r="967" spans="1:6" x14ac:dyDescent="0.2">
      <c r="A967" t="s">
        <v>121</v>
      </c>
      <c r="B967" t="s">
        <v>18</v>
      </c>
      <c r="D967" t="s">
        <v>33</v>
      </c>
      <c r="F967" t="s">
        <v>60</v>
      </c>
    </row>
    <row r="968" spans="1:6" x14ac:dyDescent="0.2">
      <c r="A968" t="s">
        <v>121</v>
      </c>
      <c r="B968" t="s">
        <v>10</v>
      </c>
      <c r="D968" t="s">
        <v>40</v>
      </c>
      <c r="F968" t="s">
        <v>60</v>
      </c>
    </row>
    <row r="969" spans="1:6" x14ac:dyDescent="0.2">
      <c r="A969" t="s">
        <v>121</v>
      </c>
      <c r="B969" t="s">
        <v>55</v>
      </c>
      <c r="D969" t="s">
        <v>22</v>
      </c>
      <c r="F969" t="s">
        <v>60</v>
      </c>
    </row>
    <row r="970" spans="1:6" x14ac:dyDescent="0.2">
      <c r="A970" t="s">
        <v>122</v>
      </c>
      <c r="B970" t="s">
        <v>30</v>
      </c>
      <c r="D970" t="s">
        <v>31</v>
      </c>
      <c r="F970" t="s">
        <v>60</v>
      </c>
    </row>
    <row r="971" spans="1:6" x14ac:dyDescent="0.2">
      <c r="A971" t="s">
        <v>122</v>
      </c>
      <c r="B971" t="s">
        <v>20</v>
      </c>
      <c r="D971" t="s">
        <v>26</v>
      </c>
      <c r="F971" t="s">
        <v>60</v>
      </c>
    </row>
    <row r="972" spans="1:6" x14ac:dyDescent="0.2">
      <c r="A972" t="s">
        <v>122</v>
      </c>
      <c r="B972" t="s">
        <v>19</v>
      </c>
      <c r="D972" t="s">
        <v>24</v>
      </c>
      <c r="F972" t="s">
        <v>60</v>
      </c>
    </row>
    <row r="973" spans="1:6" x14ac:dyDescent="0.2">
      <c r="A973" t="s">
        <v>122</v>
      </c>
      <c r="B973" t="s">
        <v>35</v>
      </c>
      <c r="D973" t="s">
        <v>32</v>
      </c>
      <c r="F973" t="s">
        <v>60</v>
      </c>
    </row>
    <row r="974" spans="1:6" x14ac:dyDescent="0.2">
      <c r="A974" t="s">
        <v>122</v>
      </c>
      <c r="B974" t="s">
        <v>25</v>
      </c>
      <c r="D974" t="s">
        <v>38</v>
      </c>
      <c r="F974" t="s">
        <v>60</v>
      </c>
    </row>
    <row r="975" spans="1:6" x14ac:dyDescent="0.2">
      <c r="A975" t="s">
        <v>123</v>
      </c>
      <c r="B975" t="s">
        <v>11</v>
      </c>
      <c r="D975" t="s">
        <v>28</v>
      </c>
      <c r="F975" t="s">
        <v>60</v>
      </c>
    </row>
    <row r="976" spans="1:6" x14ac:dyDescent="0.2">
      <c r="A976" t="s">
        <v>123</v>
      </c>
      <c r="B976" t="s">
        <v>36</v>
      </c>
      <c r="D976" t="s">
        <v>16</v>
      </c>
      <c r="F976" t="s">
        <v>60</v>
      </c>
    </row>
    <row r="977" spans="1:6" x14ac:dyDescent="0.2">
      <c r="A977" t="s">
        <v>123</v>
      </c>
      <c r="B977" t="s">
        <v>30</v>
      </c>
      <c r="D977" t="s">
        <v>13</v>
      </c>
      <c r="F977" t="s">
        <v>60</v>
      </c>
    </row>
    <row r="978" spans="1:6" x14ac:dyDescent="0.2">
      <c r="A978" t="s">
        <v>123</v>
      </c>
      <c r="B978" t="s">
        <v>21</v>
      </c>
      <c r="D978" t="s">
        <v>29</v>
      </c>
      <c r="F978" t="s">
        <v>60</v>
      </c>
    </row>
    <row r="979" spans="1:6" x14ac:dyDescent="0.2">
      <c r="A979" t="s">
        <v>123</v>
      </c>
      <c r="B979" t="s">
        <v>19</v>
      </c>
      <c r="D979" t="s">
        <v>15</v>
      </c>
      <c r="F979" t="s">
        <v>60</v>
      </c>
    </row>
    <row r="980" spans="1:6" x14ac:dyDescent="0.2">
      <c r="A980" t="s">
        <v>123</v>
      </c>
      <c r="B980" t="s">
        <v>55</v>
      </c>
      <c r="D980" t="s">
        <v>27</v>
      </c>
      <c r="F980" t="s">
        <v>60</v>
      </c>
    </row>
    <row r="981" spans="1:6" x14ac:dyDescent="0.2">
      <c r="A981" t="s">
        <v>123</v>
      </c>
      <c r="B981" t="s">
        <v>23</v>
      </c>
      <c r="D981" t="s">
        <v>14</v>
      </c>
      <c r="F981" t="s">
        <v>60</v>
      </c>
    </row>
    <row r="982" spans="1:6" x14ac:dyDescent="0.2">
      <c r="A982" t="s">
        <v>123</v>
      </c>
      <c r="B982" t="s">
        <v>37</v>
      </c>
      <c r="D982" t="s">
        <v>40</v>
      </c>
      <c r="F982" t="s">
        <v>60</v>
      </c>
    </row>
    <row r="983" spans="1:6" x14ac:dyDescent="0.2">
      <c r="A983" t="s">
        <v>124</v>
      </c>
      <c r="B983" t="s">
        <v>18</v>
      </c>
      <c r="D983" t="s">
        <v>31</v>
      </c>
      <c r="F983" t="s">
        <v>60</v>
      </c>
    </row>
    <row r="984" spans="1:6" x14ac:dyDescent="0.2">
      <c r="A984" t="s">
        <v>124</v>
      </c>
      <c r="B984" t="s">
        <v>38</v>
      </c>
      <c r="D984" t="s">
        <v>10</v>
      </c>
      <c r="F984" t="s">
        <v>60</v>
      </c>
    </row>
    <row r="985" spans="1:6" x14ac:dyDescent="0.2">
      <c r="A985" t="s">
        <v>124</v>
      </c>
      <c r="B985" t="s">
        <v>12</v>
      </c>
      <c r="D985" t="s">
        <v>39</v>
      </c>
      <c r="F985" t="s">
        <v>60</v>
      </c>
    </row>
    <row r="986" spans="1:6" x14ac:dyDescent="0.2">
      <c r="A986" t="s">
        <v>124</v>
      </c>
      <c r="B986" t="s">
        <v>11</v>
      </c>
      <c r="D986" t="s">
        <v>26</v>
      </c>
      <c r="F986" t="s">
        <v>60</v>
      </c>
    </row>
    <row r="987" spans="1:6" x14ac:dyDescent="0.2">
      <c r="A987" t="s">
        <v>124</v>
      </c>
      <c r="B987" t="s">
        <v>25</v>
      </c>
      <c r="D987" t="s">
        <v>17</v>
      </c>
      <c r="F987" t="s">
        <v>60</v>
      </c>
    </row>
    <row r="988" spans="1:6" x14ac:dyDescent="0.2">
      <c r="A988" t="s">
        <v>124</v>
      </c>
      <c r="B988" t="s">
        <v>35</v>
      </c>
      <c r="D988" t="s">
        <v>33</v>
      </c>
      <c r="F988" t="s">
        <v>60</v>
      </c>
    </row>
    <row r="989" spans="1:6" x14ac:dyDescent="0.2">
      <c r="A989" t="s">
        <v>124</v>
      </c>
      <c r="B989" t="s">
        <v>34</v>
      </c>
      <c r="D989" t="s">
        <v>20</v>
      </c>
      <c r="F989" t="s">
        <v>60</v>
      </c>
    </row>
    <row r="990" spans="1:6" x14ac:dyDescent="0.2">
      <c r="A990" t="s">
        <v>125</v>
      </c>
      <c r="B990" t="s">
        <v>22</v>
      </c>
      <c r="D990" t="s">
        <v>21</v>
      </c>
      <c r="F990" t="s">
        <v>60</v>
      </c>
    </row>
    <row r="991" spans="1:6" x14ac:dyDescent="0.2">
      <c r="A991" t="s">
        <v>125</v>
      </c>
      <c r="B991" t="s">
        <v>29</v>
      </c>
      <c r="D991" t="s">
        <v>23</v>
      </c>
      <c r="F991" t="s">
        <v>60</v>
      </c>
    </row>
    <row r="992" spans="1:6" x14ac:dyDescent="0.2">
      <c r="A992" t="s">
        <v>125</v>
      </c>
      <c r="B992" t="s">
        <v>55</v>
      </c>
      <c r="D992" t="s">
        <v>28</v>
      </c>
      <c r="F992" t="s">
        <v>60</v>
      </c>
    </row>
    <row r="993" spans="1:6" x14ac:dyDescent="0.2">
      <c r="A993" t="s">
        <v>125</v>
      </c>
      <c r="B993" t="s">
        <v>25</v>
      </c>
      <c r="D993" t="s">
        <v>16</v>
      </c>
      <c r="F993" t="s">
        <v>60</v>
      </c>
    </row>
    <row r="994" spans="1:6" x14ac:dyDescent="0.2">
      <c r="A994" t="s">
        <v>125</v>
      </c>
      <c r="B994" t="s">
        <v>18</v>
      </c>
      <c r="D994" t="s">
        <v>13</v>
      </c>
      <c r="F994" t="s">
        <v>60</v>
      </c>
    </row>
    <row r="995" spans="1:6" x14ac:dyDescent="0.2">
      <c r="A995" t="s">
        <v>125</v>
      </c>
      <c r="B995" t="s">
        <v>15</v>
      </c>
      <c r="D995" t="s">
        <v>24</v>
      </c>
      <c r="F995" t="s">
        <v>60</v>
      </c>
    </row>
    <row r="996" spans="1:6" x14ac:dyDescent="0.2">
      <c r="A996" t="s">
        <v>125</v>
      </c>
      <c r="B996" t="s">
        <v>27</v>
      </c>
      <c r="D996" t="s">
        <v>14</v>
      </c>
      <c r="F996" t="s">
        <v>60</v>
      </c>
    </row>
    <row r="997" spans="1:6" x14ac:dyDescent="0.2">
      <c r="A997" t="s">
        <v>125</v>
      </c>
      <c r="B997" t="s">
        <v>36</v>
      </c>
      <c r="D997" t="s">
        <v>32</v>
      </c>
      <c r="F997" t="s">
        <v>60</v>
      </c>
    </row>
    <row r="998" spans="1:6" x14ac:dyDescent="0.2">
      <c r="A998" t="s">
        <v>125</v>
      </c>
      <c r="B998" t="s">
        <v>30</v>
      </c>
      <c r="D998" t="s">
        <v>33</v>
      </c>
      <c r="F998" t="s">
        <v>60</v>
      </c>
    </row>
    <row r="999" spans="1:6" x14ac:dyDescent="0.2">
      <c r="A999" t="s">
        <v>125</v>
      </c>
      <c r="B999" t="s">
        <v>37</v>
      </c>
      <c r="D999" t="s">
        <v>19</v>
      </c>
      <c r="F999" t="s">
        <v>60</v>
      </c>
    </row>
    <row r="1000" spans="1:6" x14ac:dyDescent="0.2">
      <c r="A1000" t="s">
        <v>125</v>
      </c>
      <c r="B1000" t="s">
        <v>38</v>
      </c>
      <c r="D1000" t="s">
        <v>40</v>
      </c>
      <c r="F1000" t="s">
        <v>60</v>
      </c>
    </row>
    <row r="1001" spans="1:6" x14ac:dyDescent="0.2">
      <c r="A1001" t="s">
        <v>126</v>
      </c>
      <c r="B1001" t="s">
        <v>35</v>
      </c>
      <c r="D1001" t="s">
        <v>31</v>
      </c>
      <c r="F1001" t="s">
        <v>60</v>
      </c>
    </row>
    <row r="1002" spans="1:6" x14ac:dyDescent="0.2">
      <c r="A1002" t="s">
        <v>126</v>
      </c>
      <c r="B1002" t="s">
        <v>37</v>
      </c>
      <c r="D1002" t="s">
        <v>23</v>
      </c>
      <c r="F1002" t="s">
        <v>60</v>
      </c>
    </row>
    <row r="1003" spans="1:6" x14ac:dyDescent="0.2">
      <c r="A1003" t="s">
        <v>126</v>
      </c>
      <c r="B1003" t="s">
        <v>34</v>
      </c>
      <c r="D1003" t="s">
        <v>12</v>
      </c>
      <c r="F1003" t="s">
        <v>60</v>
      </c>
    </row>
    <row r="1004" spans="1:6" x14ac:dyDescent="0.2">
      <c r="A1004" t="s">
        <v>126</v>
      </c>
      <c r="B1004" t="s">
        <v>10</v>
      </c>
      <c r="D1004" t="s">
        <v>39</v>
      </c>
      <c r="F1004" t="s">
        <v>60</v>
      </c>
    </row>
    <row r="1005" spans="1:6" x14ac:dyDescent="0.2">
      <c r="A1005" t="s">
        <v>126</v>
      </c>
      <c r="B1005" t="s">
        <v>26</v>
      </c>
      <c r="D1005" t="s">
        <v>24</v>
      </c>
      <c r="F1005" t="s">
        <v>60</v>
      </c>
    </row>
    <row r="1006" spans="1:6" x14ac:dyDescent="0.2">
      <c r="A1006" t="s">
        <v>126</v>
      </c>
      <c r="B1006" t="s">
        <v>21</v>
      </c>
      <c r="D1006" t="s">
        <v>14</v>
      </c>
      <c r="F1006" t="s">
        <v>60</v>
      </c>
    </row>
    <row r="1007" spans="1:6" x14ac:dyDescent="0.2">
      <c r="A1007" t="s">
        <v>126</v>
      </c>
      <c r="B1007" t="s">
        <v>17</v>
      </c>
      <c r="D1007" t="s">
        <v>20</v>
      </c>
      <c r="F1007" t="s">
        <v>60</v>
      </c>
    </row>
    <row r="1008" spans="1:6" x14ac:dyDescent="0.2">
      <c r="A1008" t="s">
        <v>127</v>
      </c>
      <c r="B1008" t="s">
        <v>13</v>
      </c>
      <c r="D1008" t="s">
        <v>28</v>
      </c>
      <c r="F1008" t="s">
        <v>60</v>
      </c>
    </row>
    <row r="1009" spans="1:6" x14ac:dyDescent="0.2">
      <c r="A1009" t="s">
        <v>127</v>
      </c>
      <c r="B1009" t="s">
        <v>55</v>
      </c>
      <c r="D1009" t="s">
        <v>10</v>
      </c>
      <c r="F1009" t="s">
        <v>60</v>
      </c>
    </row>
    <row r="1010" spans="1:6" x14ac:dyDescent="0.2">
      <c r="A1010" t="s">
        <v>127</v>
      </c>
      <c r="B1010" t="s">
        <v>15</v>
      </c>
      <c r="D1010" t="s">
        <v>27</v>
      </c>
      <c r="F1010" t="s">
        <v>60</v>
      </c>
    </row>
    <row r="1011" spans="1:6" x14ac:dyDescent="0.2">
      <c r="A1011" t="s">
        <v>127</v>
      </c>
      <c r="B1011" t="s">
        <v>36</v>
      </c>
      <c r="D1011" t="s">
        <v>38</v>
      </c>
      <c r="F1011" t="s">
        <v>60</v>
      </c>
    </row>
    <row r="1012" spans="1:6" x14ac:dyDescent="0.2">
      <c r="A1012" t="s">
        <v>127</v>
      </c>
      <c r="B1012" t="s">
        <v>16</v>
      </c>
      <c r="D1012" t="s">
        <v>22</v>
      </c>
      <c r="F1012" t="s">
        <v>60</v>
      </c>
    </row>
    <row r="1013" spans="1:6" x14ac:dyDescent="0.2">
      <c r="A1013" t="s">
        <v>128</v>
      </c>
      <c r="B1013" t="s">
        <v>13</v>
      </c>
      <c r="D1013" t="s">
        <v>21</v>
      </c>
      <c r="F1013" t="s">
        <v>60</v>
      </c>
    </row>
    <row r="1014" spans="1:6" x14ac:dyDescent="0.2">
      <c r="A1014" t="s">
        <v>128</v>
      </c>
      <c r="B1014" t="s">
        <v>33</v>
      </c>
      <c r="D1014" t="s">
        <v>23</v>
      </c>
      <c r="F1014" t="s">
        <v>60</v>
      </c>
    </row>
    <row r="1015" spans="1:6" x14ac:dyDescent="0.2">
      <c r="A1015" t="s">
        <v>128</v>
      </c>
      <c r="B1015" t="s">
        <v>14</v>
      </c>
      <c r="D1015" t="s">
        <v>25</v>
      </c>
      <c r="F1015" t="s">
        <v>60</v>
      </c>
    </row>
    <row r="1016" spans="1:6" x14ac:dyDescent="0.2">
      <c r="A1016" t="s">
        <v>128</v>
      </c>
      <c r="B1016" t="s">
        <v>17</v>
      </c>
      <c r="D1016" t="s">
        <v>12</v>
      </c>
      <c r="F1016" t="s">
        <v>60</v>
      </c>
    </row>
    <row r="1017" spans="1:6" x14ac:dyDescent="0.2">
      <c r="A1017" t="s">
        <v>128</v>
      </c>
      <c r="B1017" t="s">
        <v>20</v>
      </c>
      <c r="D1017" t="s">
        <v>39</v>
      </c>
      <c r="F1017" t="s">
        <v>60</v>
      </c>
    </row>
    <row r="1018" spans="1:6" x14ac:dyDescent="0.2">
      <c r="A1018" t="s">
        <v>128</v>
      </c>
      <c r="B1018" t="s">
        <v>26</v>
      </c>
      <c r="D1018" t="s">
        <v>11</v>
      </c>
      <c r="F1018" t="s">
        <v>60</v>
      </c>
    </row>
    <row r="1019" spans="1:6" x14ac:dyDescent="0.2">
      <c r="A1019" t="s">
        <v>128</v>
      </c>
      <c r="B1019" t="s">
        <v>55</v>
      </c>
      <c r="D1019" t="s">
        <v>34</v>
      </c>
      <c r="F1019" t="s">
        <v>60</v>
      </c>
    </row>
    <row r="1020" spans="1:6" x14ac:dyDescent="0.2">
      <c r="A1020" t="s">
        <v>128</v>
      </c>
      <c r="B1020" t="s">
        <v>19</v>
      </c>
      <c r="D1020" t="s">
        <v>18</v>
      </c>
      <c r="F1020" t="s">
        <v>60</v>
      </c>
    </row>
    <row r="1021" spans="1:6" x14ac:dyDescent="0.2">
      <c r="A1021" t="s">
        <v>128</v>
      </c>
      <c r="B1021" t="s">
        <v>16</v>
      </c>
      <c r="D1021" t="s">
        <v>15</v>
      </c>
      <c r="F1021" t="s">
        <v>60</v>
      </c>
    </row>
    <row r="1022" spans="1:6" x14ac:dyDescent="0.2">
      <c r="A1022" t="s">
        <v>128</v>
      </c>
      <c r="B1022" t="s">
        <v>29</v>
      </c>
      <c r="D1022" t="s">
        <v>32</v>
      </c>
      <c r="F1022" t="s">
        <v>60</v>
      </c>
    </row>
    <row r="1023" spans="1:6" x14ac:dyDescent="0.2">
      <c r="A1023" t="s">
        <v>128</v>
      </c>
      <c r="B1023" t="s">
        <v>30</v>
      </c>
      <c r="D1023" t="s">
        <v>35</v>
      </c>
      <c r="F1023" t="s">
        <v>60</v>
      </c>
    </row>
    <row r="1024" spans="1:6" x14ac:dyDescent="0.2">
      <c r="A1024" t="s">
        <v>128</v>
      </c>
      <c r="B1024" t="s">
        <v>28</v>
      </c>
      <c r="D1024" t="s">
        <v>37</v>
      </c>
      <c r="F1024" t="s">
        <v>60</v>
      </c>
    </row>
    <row r="1025" spans="1:6" x14ac:dyDescent="0.2">
      <c r="A1025" t="s">
        <v>128</v>
      </c>
      <c r="B1025" t="s">
        <v>31</v>
      </c>
      <c r="D1025" t="s">
        <v>40</v>
      </c>
      <c r="F1025" t="s">
        <v>60</v>
      </c>
    </row>
    <row r="1026" spans="1:6" x14ac:dyDescent="0.2">
      <c r="A1026" t="s">
        <v>129</v>
      </c>
      <c r="B1026" t="s">
        <v>18</v>
      </c>
      <c r="D1026" t="s">
        <v>36</v>
      </c>
      <c r="F1026" t="s">
        <v>60</v>
      </c>
    </row>
    <row r="1027" spans="1:6" x14ac:dyDescent="0.2">
      <c r="A1027" t="s">
        <v>129</v>
      </c>
      <c r="B1027" t="s">
        <v>22</v>
      </c>
      <c r="D1027" t="s">
        <v>27</v>
      </c>
      <c r="F1027" t="s">
        <v>60</v>
      </c>
    </row>
    <row r="1028" spans="1:6" x14ac:dyDescent="0.2">
      <c r="A1028" t="s">
        <v>130</v>
      </c>
      <c r="B1028" t="s">
        <v>33</v>
      </c>
      <c r="D1028" t="s">
        <v>21</v>
      </c>
      <c r="F1028" t="s">
        <v>60</v>
      </c>
    </row>
    <row r="1029" spans="1:6" x14ac:dyDescent="0.2">
      <c r="A1029" t="s">
        <v>130</v>
      </c>
      <c r="B1029" t="s">
        <v>22</v>
      </c>
      <c r="D1029" t="s">
        <v>23</v>
      </c>
      <c r="F1029" t="s">
        <v>60</v>
      </c>
    </row>
    <row r="1030" spans="1:6" x14ac:dyDescent="0.2">
      <c r="A1030" t="s">
        <v>130</v>
      </c>
      <c r="B1030" t="s">
        <v>35</v>
      </c>
      <c r="D1030" t="s">
        <v>25</v>
      </c>
      <c r="F1030" t="s">
        <v>60</v>
      </c>
    </row>
    <row r="1031" spans="1:6" x14ac:dyDescent="0.2">
      <c r="A1031" t="s">
        <v>130</v>
      </c>
      <c r="B1031" t="s">
        <v>17</v>
      </c>
      <c r="D1031" t="s">
        <v>39</v>
      </c>
      <c r="F1031" t="s">
        <v>60</v>
      </c>
    </row>
    <row r="1032" spans="1:6" x14ac:dyDescent="0.2">
      <c r="A1032" t="s">
        <v>130</v>
      </c>
      <c r="B1032" t="s">
        <v>28</v>
      </c>
      <c r="D1032" t="s">
        <v>11</v>
      </c>
      <c r="F1032" t="s">
        <v>60</v>
      </c>
    </row>
    <row r="1033" spans="1:6" x14ac:dyDescent="0.2">
      <c r="A1033" t="s">
        <v>130</v>
      </c>
      <c r="B1033" t="s">
        <v>27</v>
      </c>
      <c r="D1033" t="s">
        <v>34</v>
      </c>
      <c r="F1033" t="s">
        <v>60</v>
      </c>
    </row>
    <row r="1034" spans="1:6" x14ac:dyDescent="0.2">
      <c r="A1034" t="s">
        <v>130</v>
      </c>
      <c r="B1034" t="s">
        <v>16</v>
      </c>
      <c r="D1034" t="s">
        <v>24</v>
      </c>
      <c r="F1034" t="s">
        <v>60</v>
      </c>
    </row>
    <row r="1035" spans="1:6" x14ac:dyDescent="0.2">
      <c r="A1035" t="s">
        <v>130</v>
      </c>
      <c r="B1035" t="s">
        <v>12</v>
      </c>
      <c r="D1035" t="s">
        <v>32</v>
      </c>
      <c r="F1035" t="s">
        <v>60</v>
      </c>
    </row>
    <row r="1036" spans="1:6" x14ac:dyDescent="0.2">
      <c r="A1036" t="s">
        <v>130</v>
      </c>
      <c r="B1036" t="s">
        <v>26</v>
      </c>
      <c r="D1036" t="s">
        <v>37</v>
      </c>
      <c r="F1036" t="s">
        <v>60</v>
      </c>
    </row>
    <row r="1037" spans="1:6" x14ac:dyDescent="0.2">
      <c r="A1037" t="s">
        <v>130</v>
      </c>
      <c r="B1037" t="s">
        <v>31</v>
      </c>
      <c r="D1037" t="s">
        <v>19</v>
      </c>
      <c r="F1037" t="s">
        <v>60</v>
      </c>
    </row>
    <row r="1038" spans="1:6" x14ac:dyDescent="0.2">
      <c r="A1038" t="s">
        <v>130</v>
      </c>
      <c r="B1038" t="s">
        <v>10</v>
      </c>
      <c r="D1038" t="s">
        <v>55</v>
      </c>
      <c r="F1038" t="s">
        <v>60</v>
      </c>
    </row>
    <row r="1039" spans="1:6" x14ac:dyDescent="0.2">
      <c r="A1039" t="s">
        <v>130</v>
      </c>
      <c r="B1039" t="s">
        <v>29</v>
      </c>
      <c r="D1039" t="s">
        <v>38</v>
      </c>
      <c r="F1039" t="s">
        <v>60</v>
      </c>
    </row>
    <row r="1040" spans="1:6" x14ac:dyDescent="0.2">
      <c r="A1040" t="s">
        <v>130</v>
      </c>
      <c r="B1040" t="s">
        <v>14</v>
      </c>
      <c r="D1040" t="s">
        <v>20</v>
      </c>
      <c r="F1040" t="s">
        <v>60</v>
      </c>
    </row>
    <row r="1041" spans="1:6" x14ac:dyDescent="0.2">
      <c r="A1041" t="s">
        <v>130</v>
      </c>
      <c r="B1041" t="s">
        <v>15</v>
      </c>
      <c r="D1041" t="s">
        <v>40</v>
      </c>
      <c r="F1041" t="s">
        <v>60</v>
      </c>
    </row>
    <row r="1042" spans="1:6" x14ac:dyDescent="0.2">
      <c r="A1042" t="s">
        <v>131</v>
      </c>
      <c r="B1042" t="s">
        <v>13</v>
      </c>
      <c r="D1042" t="s">
        <v>30</v>
      </c>
      <c r="F1042" t="s">
        <v>60</v>
      </c>
    </row>
    <row r="1043" spans="1:6" x14ac:dyDescent="0.2">
      <c r="A1043" t="s">
        <v>131</v>
      </c>
      <c r="B1043" t="s">
        <v>17</v>
      </c>
      <c r="D1043" t="s">
        <v>35</v>
      </c>
      <c r="F1043" t="s">
        <v>60</v>
      </c>
    </row>
    <row r="1044" spans="1:6" x14ac:dyDescent="0.2">
      <c r="A1044" t="s">
        <v>132</v>
      </c>
      <c r="B1044" t="s">
        <v>19</v>
      </c>
      <c r="D1044" t="s">
        <v>23</v>
      </c>
      <c r="F1044" t="s">
        <v>60</v>
      </c>
    </row>
    <row r="1045" spans="1:6" x14ac:dyDescent="0.2">
      <c r="A1045" t="s">
        <v>132</v>
      </c>
      <c r="B1045" t="s">
        <v>26</v>
      </c>
      <c r="D1045" t="s">
        <v>39</v>
      </c>
      <c r="F1045" t="s">
        <v>60</v>
      </c>
    </row>
    <row r="1046" spans="1:6" x14ac:dyDescent="0.2">
      <c r="A1046" t="s">
        <v>132</v>
      </c>
      <c r="B1046" t="s">
        <v>15</v>
      </c>
      <c r="D1046" t="s">
        <v>34</v>
      </c>
      <c r="F1046" t="s">
        <v>60</v>
      </c>
    </row>
    <row r="1047" spans="1:6" x14ac:dyDescent="0.2">
      <c r="A1047" t="s">
        <v>132</v>
      </c>
      <c r="B1047" t="s">
        <v>33</v>
      </c>
      <c r="D1047" t="s">
        <v>18</v>
      </c>
      <c r="F1047" t="s">
        <v>60</v>
      </c>
    </row>
    <row r="1048" spans="1:6" x14ac:dyDescent="0.2">
      <c r="A1048" t="s">
        <v>132</v>
      </c>
      <c r="B1048" t="s">
        <v>13</v>
      </c>
      <c r="D1048" t="s">
        <v>24</v>
      </c>
      <c r="F1048" t="s">
        <v>60</v>
      </c>
    </row>
    <row r="1049" spans="1:6" x14ac:dyDescent="0.2">
      <c r="A1049" t="s">
        <v>132</v>
      </c>
      <c r="B1049" t="s">
        <v>16</v>
      </c>
      <c r="D1049" t="s">
        <v>30</v>
      </c>
      <c r="F1049" t="s">
        <v>60</v>
      </c>
    </row>
    <row r="1050" spans="1:6" x14ac:dyDescent="0.2">
      <c r="A1050" t="s">
        <v>132</v>
      </c>
      <c r="B1050" t="s">
        <v>31</v>
      </c>
      <c r="D1050" t="s">
        <v>36</v>
      </c>
      <c r="F1050" t="s">
        <v>60</v>
      </c>
    </row>
    <row r="1051" spans="1:6" x14ac:dyDescent="0.2">
      <c r="A1051" t="s">
        <v>132</v>
      </c>
      <c r="B1051" t="s">
        <v>28</v>
      </c>
      <c r="D1051" t="s">
        <v>27</v>
      </c>
      <c r="F1051" t="s">
        <v>60</v>
      </c>
    </row>
    <row r="1052" spans="1:6" x14ac:dyDescent="0.2">
      <c r="A1052" t="s">
        <v>132</v>
      </c>
      <c r="B1052" t="s">
        <v>25</v>
      </c>
      <c r="D1052" t="s">
        <v>37</v>
      </c>
      <c r="F1052" t="s">
        <v>60</v>
      </c>
    </row>
    <row r="1053" spans="1:6" x14ac:dyDescent="0.2">
      <c r="A1053" t="s">
        <v>132</v>
      </c>
      <c r="B1053" t="s">
        <v>14</v>
      </c>
      <c r="D1053" t="s">
        <v>55</v>
      </c>
      <c r="F1053" t="s">
        <v>60</v>
      </c>
    </row>
    <row r="1054" spans="1:6" x14ac:dyDescent="0.2">
      <c r="A1054" t="s">
        <v>132</v>
      </c>
      <c r="B1054" t="s">
        <v>32</v>
      </c>
      <c r="D1054" t="s">
        <v>38</v>
      </c>
      <c r="F1054" t="s">
        <v>60</v>
      </c>
    </row>
    <row r="1055" spans="1:6" x14ac:dyDescent="0.2">
      <c r="A1055" t="s">
        <v>132</v>
      </c>
      <c r="B1055" t="s">
        <v>10</v>
      </c>
      <c r="D1055" t="s">
        <v>20</v>
      </c>
      <c r="F1055" t="s">
        <v>60</v>
      </c>
    </row>
    <row r="1056" spans="1:6" x14ac:dyDescent="0.2">
      <c r="A1056" t="s">
        <v>132</v>
      </c>
      <c r="B1056" t="s">
        <v>12</v>
      </c>
      <c r="D1056" t="s">
        <v>40</v>
      </c>
      <c r="F1056" t="s">
        <v>60</v>
      </c>
    </row>
    <row r="1057" spans="1:6" x14ac:dyDescent="0.2">
      <c r="A1057" t="s">
        <v>132</v>
      </c>
      <c r="B1057" t="s">
        <v>21</v>
      </c>
      <c r="D1057" t="s">
        <v>22</v>
      </c>
      <c r="F1057" t="s">
        <v>60</v>
      </c>
    </row>
    <row r="1058" spans="1:6" x14ac:dyDescent="0.2">
      <c r="A1058" t="s">
        <v>133</v>
      </c>
      <c r="B1058" t="s">
        <v>29</v>
      </c>
      <c r="D1058" t="s">
        <v>17</v>
      </c>
      <c r="F1058" t="s">
        <v>60</v>
      </c>
    </row>
    <row r="1059" spans="1:6" x14ac:dyDescent="0.2">
      <c r="A1059" t="s">
        <v>133</v>
      </c>
      <c r="B1059" t="s">
        <v>19</v>
      </c>
      <c r="D1059" t="s">
        <v>34</v>
      </c>
      <c r="F1059" t="s">
        <v>60</v>
      </c>
    </row>
    <row r="1060" spans="1:6" x14ac:dyDescent="0.2">
      <c r="A1060" t="s">
        <v>133</v>
      </c>
      <c r="B1060" t="s">
        <v>31</v>
      </c>
      <c r="D1060" t="s">
        <v>18</v>
      </c>
      <c r="F1060" t="s">
        <v>60</v>
      </c>
    </row>
    <row r="1061" spans="1:6" x14ac:dyDescent="0.2">
      <c r="A1061" t="s">
        <v>133</v>
      </c>
      <c r="B1061" t="s">
        <v>33</v>
      </c>
      <c r="D1061" t="s">
        <v>36</v>
      </c>
      <c r="F1061" t="s">
        <v>60</v>
      </c>
    </row>
    <row r="1062" spans="1:6" x14ac:dyDescent="0.2">
      <c r="A1062" t="s">
        <v>133</v>
      </c>
      <c r="B1062" t="s">
        <v>11</v>
      </c>
      <c r="D1062" t="s">
        <v>32</v>
      </c>
      <c r="F1062" t="s">
        <v>60</v>
      </c>
    </row>
    <row r="1063" spans="1:6" x14ac:dyDescent="0.2">
      <c r="A1063" t="s">
        <v>133</v>
      </c>
      <c r="B1063" t="s">
        <v>35</v>
      </c>
      <c r="D1063" t="s">
        <v>40</v>
      </c>
      <c r="F1063" t="s">
        <v>60</v>
      </c>
    </row>
    <row r="1064" spans="1:6" x14ac:dyDescent="0.2">
      <c r="A1064" t="s">
        <v>134</v>
      </c>
      <c r="B1064" t="s">
        <v>14</v>
      </c>
      <c r="D1064" t="s">
        <v>12</v>
      </c>
      <c r="F1064" t="s">
        <v>60</v>
      </c>
    </row>
    <row r="1065" spans="1:6" x14ac:dyDescent="0.2">
      <c r="A1065" t="s">
        <v>134</v>
      </c>
      <c r="B1065" t="s">
        <v>55</v>
      </c>
      <c r="D1065" t="s">
        <v>39</v>
      </c>
      <c r="F1065" t="s">
        <v>60</v>
      </c>
    </row>
    <row r="1066" spans="1:6" x14ac:dyDescent="0.2">
      <c r="A1066" t="s">
        <v>134</v>
      </c>
      <c r="B1066" t="s">
        <v>16</v>
      </c>
      <c r="D1066" t="s">
        <v>26</v>
      </c>
      <c r="F1066" t="s">
        <v>60</v>
      </c>
    </row>
    <row r="1067" spans="1:6" x14ac:dyDescent="0.2">
      <c r="A1067" t="s">
        <v>134</v>
      </c>
      <c r="B1067" t="s">
        <v>21</v>
      </c>
      <c r="D1067" t="s">
        <v>24</v>
      </c>
      <c r="F1067" t="s">
        <v>60</v>
      </c>
    </row>
    <row r="1068" spans="1:6" x14ac:dyDescent="0.2">
      <c r="A1068" t="s">
        <v>134</v>
      </c>
      <c r="B1068" t="s">
        <v>13</v>
      </c>
      <c r="D1068" t="s">
        <v>15</v>
      </c>
      <c r="F1068" t="s">
        <v>60</v>
      </c>
    </row>
    <row r="1069" spans="1:6" x14ac:dyDescent="0.2">
      <c r="A1069" t="s">
        <v>135</v>
      </c>
      <c r="B1069" t="s">
        <v>25</v>
      </c>
      <c r="D1069" t="s">
        <v>28</v>
      </c>
      <c r="F1069" t="s">
        <v>60</v>
      </c>
    </row>
    <row r="1070" spans="1:6" x14ac:dyDescent="0.2">
      <c r="A1070" t="s">
        <v>135</v>
      </c>
      <c r="B1070" t="s">
        <v>34</v>
      </c>
      <c r="D1070" t="s">
        <v>10</v>
      </c>
      <c r="F1070" t="s">
        <v>60</v>
      </c>
    </row>
    <row r="1071" spans="1:6" x14ac:dyDescent="0.2">
      <c r="A1071" t="s">
        <v>135</v>
      </c>
      <c r="B1071" t="s">
        <v>33</v>
      </c>
      <c r="D1071" t="s">
        <v>17</v>
      </c>
      <c r="F1071" t="s">
        <v>60</v>
      </c>
    </row>
    <row r="1072" spans="1:6" x14ac:dyDescent="0.2">
      <c r="A1072" t="s">
        <v>135</v>
      </c>
      <c r="B1072" t="s">
        <v>21</v>
      </c>
      <c r="D1072" t="s">
        <v>18</v>
      </c>
      <c r="F1072" t="s">
        <v>60</v>
      </c>
    </row>
    <row r="1073" spans="1:6" x14ac:dyDescent="0.2">
      <c r="A1073" t="s">
        <v>135</v>
      </c>
      <c r="B1073" t="s">
        <v>37</v>
      </c>
      <c r="D1073" t="s">
        <v>32</v>
      </c>
      <c r="F1073" t="s">
        <v>60</v>
      </c>
    </row>
    <row r="1074" spans="1:6" x14ac:dyDescent="0.2">
      <c r="A1074" t="s">
        <v>135</v>
      </c>
      <c r="B1074" t="s">
        <v>30</v>
      </c>
      <c r="D1074" t="s">
        <v>19</v>
      </c>
      <c r="F1074" t="s">
        <v>60</v>
      </c>
    </row>
    <row r="1075" spans="1:6" x14ac:dyDescent="0.2">
      <c r="A1075" t="s">
        <v>135</v>
      </c>
      <c r="B1075" t="s">
        <v>11</v>
      </c>
      <c r="D1075" t="s">
        <v>38</v>
      </c>
      <c r="F1075" t="s">
        <v>60</v>
      </c>
    </row>
    <row r="1076" spans="1:6" x14ac:dyDescent="0.2">
      <c r="A1076" t="s">
        <v>135</v>
      </c>
      <c r="B1076" t="s">
        <v>23</v>
      </c>
      <c r="D1076" t="s">
        <v>20</v>
      </c>
      <c r="F1076" t="s">
        <v>60</v>
      </c>
    </row>
    <row r="1077" spans="1:6" x14ac:dyDescent="0.2">
      <c r="A1077" t="s">
        <v>135</v>
      </c>
      <c r="B1077" t="s">
        <v>29</v>
      </c>
      <c r="D1077" t="s">
        <v>40</v>
      </c>
      <c r="F1077" t="s">
        <v>60</v>
      </c>
    </row>
    <row r="1078" spans="1:6" x14ac:dyDescent="0.2">
      <c r="A1078" t="s">
        <v>136</v>
      </c>
      <c r="B1078" t="s">
        <v>27</v>
      </c>
      <c r="D1078" t="s">
        <v>31</v>
      </c>
      <c r="F1078" t="s">
        <v>60</v>
      </c>
    </row>
    <row r="1079" spans="1:6" x14ac:dyDescent="0.2">
      <c r="A1079" t="s">
        <v>136</v>
      </c>
      <c r="B1079" t="s">
        <v>14</v>
      </c>
      <c r="D1079" t="s">
        <v>25</v>
      </c>
      <c r="F1079" t="s">
        <v>60</v>
      </c>
    </row>
    <row r="1080" spans="1:6" x14ac:dyDescent="0.2">
      <c r="A1080" t="s">
        <v>136</v>
      </c>
      <c r="B1080" t="s">
        <v>35</v>
      </c>
      <c r="D1080" t="s">
        <v>16</v>
      </c>
      <c r="F1080" t="s">
        <v>60</v>
      </c>
    </row>
    <row r="1081" spans="1:6" x14ac:dyDescent="0.2">
      <c r="A1081" t="s">
        <v>136</v>
      </c>
      <c r="B1081" t="s">
        <v>39</v>
      </c>
      <c r="D1081" t="s">
        <v>12</v>
      </c>
      <c r="F1081" t="s">
        <v>60</v>
      </c>
    </row>
    <row r="1082" spans="1:6" x14ac:dyDescent="0.2">
      <c r="A1082" t="s">
        <v>136</v>
      </c>
      <c r="B1082" t="s">
        <v>24</v>
      </c>
      <c r="D1082" t="s">
        <v>15</v>
      </c>
      <c r="F1082" t="s">
        <v>60</v>
      </c>
    </row>
    <row r="1083" spans="1:6" x14ac:dyDescent="0.2">
      <c r="A1083" t="s">
        <v>136</v>
      </c>
      <c r="B1083" t="s">
        <v>36</v>
      </c>
      <c r="D1083" t="s">
        <v>22</v>
      </c>
      <c r="F1083" t="s">
        <v>60</v>
      </c>
    </row>
    <row r="1084" spans="1:6" x14ac:dyDescent="0.2">
      <c r="A1084" t="s">
        <v>137</v>
      </c>
      <c r="B1084" t="s">
        <v>40</v>
      </c>
      <c r="D1084" t="s">
        <v>21</v>
      </c>
      <c r="F1084" t="s">
        <v>60</v>
      </c>
    </row>
    <row r="1085" spans="1:6" x14ac:dyDescent="0.2">
      <c r="A1085" t="s">
        <v>137</v>
      </c>
      <c r="B1085" t="s">
        <v>15</v>
      </c>
      <c r="D1085" t="s">
        <v>28</v>
      </c>
      <c r="F1085" t="s">
        <v>60</v>
      </c>
    </row>
    <row r="1086" spans="1:6" x14ac:dyDescent="0.2">
      <c r="A1086" t="s">
        <v>137</v>
      </c>
      <c r="B1086" t="s">
        <v>18</v>
      </c>
      <c r="D1086" t="s">
        <v>26</v>
      </c>
      <c r="F1086" t="s">
        <v>60</v>
      </c>
    </row>
    <row r="1087" spans="1:6" x14ac:dyDescent="0.2">
      <c r="A1087" t="s">
        <v>137</v>
      </c>
      <c r="B1087" t="s">
        <v>11</v>
      </c>
      <c r="D1087" t="s">
        <v>17</v>
      </c>
      <c r="F1087" t="s">
        <v>60</v>
      </c>
    </row>
    <row r="1088" spans="1:6" x14ac:dyDescent="0.2">
      <c r="A1088" t="s">
        <v>137</v>
      </c>
      <c r="B1088" t="s">
        <v>27</v>
      </c>
      <c r="D1088" t="s">
        <v>13</v>
      </c>
      <c r="F1088" t="s">
        <v>60</v>
      </c>
    </row>
    <row r="1089" spans="1:6" x14ac:dyDescent="0.2">
      <c r="A1089" t="s">
        <v>137</v>
      </c>
      <c r="B1089" t="s">
        <v>10</v>
      </c>
      <c r="D1089" t="s">
        <v>34</v>
      </c>
      <c r="F1089" t="s">
        <v>60</v>
      </c>
    </row>
    <row r="1090" spans="1:6" x14ac:dyDescent="0.2">
      <c r="A1090" t="s">
        <v>137</v>
      </c>
      <c r="B1090" t="s">
        <v>32</v>
      </c>
      <c r="D1090" t="s">
        <v>29</v>
      </c>
      <c r="F1090" t="s">
        <v>60</v>
      </c>
    </row>
    <row r="1091" spans="1:6" x14ac:dyDescent="0.2">
      <c r="A1091" t="s">
        <v>137</v>
      </c>
      <c r="B1091" t="s">
        <v>30</v>
      </c>
      <c r="D1091" t="s">
        <v>36</v>
      </c>
      <c r="F1091" t="s">
        <v>60</v>
      </c>
    </row>
    <row r="1092" spans="1:6" x14ac:dyDescent="0.2">
      <c r="A1092" t="s">
        <v>137</v>
      </c>
      <c r="B1092" t="s">
        <v>23</v>
      </c>
      <c r="D1092" t="s">
        <v>33</v>
      </c>
      <c r="F1092" t="s">
        <v>60</v>
      </c>
    </row>
    <row r="1093" spans="1:6" x14ac:dyDescent="0.2">
      <c r="A1093" t="s">
        <v>137</v>
      </c>
      <c r="B1093" t="s">
        <v>37</v>
      </c>
      <c r="D1093" t="s">
        <v>38</v>
      </c>
      <c r="F1093" t="s">
        <v>60</v>
      </c>
    </row>
    <row r="1094" spans="1:6" x14ac:dyDescent="0.2">
      <c r="A1094" t="s">
        <v>137</v>
      </c>
      <c r="B1094" t="s">
        <v>55</v>
      </c>
      <c r="D1094" t="s">
        <v>20</v>
      </c>
      <c r="F1094" t="s">
        <v>60</v>
      </c>
    </row>
    <row r="1095" spans="1:6" x14ac:dyDescent="0.2">
      <c r="A1095" t="s">
        <v>138</v>
      </c>
      <c r="B1095" t="s">
        <v>11</v>
      </c>
      <c r="D1095" t="s">
        <v>16</v>
      </c>
      <c r="F1095" t="s">
        <v>60</v>
      </c>
    </row>
    <row r="1096" spans="1:6" x14ac:dyDescent="0.2">
      <c r="A1096" t="s">
        <v>138</v>
      </c>
      <c r="B1096" t="s">
        <v>12</v>
      </c>
      <c r="D1096" t="s">
        <v>10</v>
      </c>
      <c r="F1096" t="s">
        <v>60</v>
      </c>
    </row>
    <row r="1097" spans="1:6" x14ac:dyDescent="0.2">
      <c r="A1097" t="s">
        <v>138</v>
      </c>
      <c r="B1097" t="s">
        <v>25</v>
      </c>
      <c r="D1097" t="s">
        <v>19</v>
      </c>
      <c r="F1097" t="s">
        <v>60</v>
      </c>
    </row>
    <row r="1098" spans="1:6" x14ac:dyDescent="0.2">
      <c r="A1098" t="s">
        <v>138</v>
      </c>
      <c r="B1098" t="s">
        <v>31</v>
      </c>
      <c r="D1098" t="s">
        <v>55</v>
      </c>
      <c r="F1098" t="s">
        <v>60</v>
      </c>
    </row>
    <row r="1099" spans="1:6" x14ac:dyDescent="0.2">
      <c r="A1099" t="s">
        <v>138</v>
      </c>
      <c r="B1099" t="s">
        <v>24</v>
      </c>
      <c r="D1099" t="s">
        <v>22</v>
      </c>
      <c r="F1099" t="s">
        <v>60</v>
      </c>
    </row>
    <row r="1100" spans="1:6" x14ac:dyDescent="0.2">
      <c r="A1100" t="s">
        <v>139</v>
      </c>
      <c r="B1100" t="s">
        <v>32</v>
      </c>
      <c r="D1100" t="s">
        <v>28</v>
      </c>
      <c r="F1100" t="s">
        <v>60</v>
      </c>
    </row>
    <row r="1101" spans="1:6" x14ac:dyDescent="0.2">
      <c r="A1101" t="s">
        <v>139</v>
      </c>
      <c r="B1101" t="s">
        <v>21</v>
      </c>
      <c r="D1101" t="s">
        <v>26</v>
      </c>
      <c r="F1101" t="s">
        <v>60</v>
      </c>
    </row>
    <row r="1102" spans="1:6" x14ac:dyDescent="0.2">
      <c r="A1102" t="s">
        <v>139</v>
      </c>
      <c r="B1102" t="s">
        <v>37</v>
      </c>
      <c r="D1102" t="s">
        <v>17</v>
      </c>
      <c r="F1102" t="s">
        <v>60</v>
      </c>
    </row>
    <row r="1103" spans="1:6" x14ac:dyDescent="0.2">
      <c r="A1103" t="s">
        <v>139</v>
      </c>
      <c r="B1103" t="s">
        <v>23</v>
      </c>
      <c r="D1103" t="s">
        <v>13</v>
      </c>
      <c r="F1103" t="s">
        <v>60</v>
      </c>
    </row>
    <row r="1104" spans="1:6" x14ac:dyDescent="0.2">
      <c r="A1104" t="s">
        <v>139</v>
      </c>
      <c r="B1104" t="s">
        <v>39</v>
      </c>
      <c r="D1104" t="s">
        <v>34</v>
      </c>
      <c r="F1104" t="s">
        <v>60</v>
      </c>
    </row>
    <row r="1105" spans="1:6" x14ac:dyDescent="0.2">
      <c r="A1105" t="s">
        <v>139</v>
      </c>
      <c r="B1105" t="s">
        <v>30</v>
      </c>
      <c r="D1105" t="s">
        <v>18</v>
      </c>
      <c r="F1105" t="s">
        <v>60</v>
      </c>
    </row>
    <row r="1106" spans="1:6" x14ac:dyDescent="0.2">
      <c r="A1106" t="s">
        <v>139</v>
      </c>
      <c r="B1106" t="s">
        <v>20</v>
      </c>
      <c r="D1106" t="s">
        <v>29</v>
      </c>
      <c r="F1106" t="s">
        <v>60</v>
      </c>
    </row>
    <row r="1107" spans="1:6" x14ac:dyDescent="0.2">
      <c r="A1107" t="s">
        <v>139</v>
      </c>
      <c r="B1107" t="s">
        <v>19</v>
      </c>
      <c r="D1107" t="s">
        <v>36</v>
      </c>
      <c r="F1107" t="s">
        <v>60</v>
      </c>
    </row>
    <row r="1108" spans="1:6" x14ac:dyDescent="0.2">
      <c r="A1108" t="s">
        <v>139</v>
      </c>
      <c r="B1108" t="s">
        <v>40</v>
      </c>
      <c r="D1108" t="s">
        <v>14</v>
      </c>
      <c r="F1108" t="s">
        <v>60</v>
      </c>
    </row>
    <row r="1109" spans="1:6" x14ac:dyDescent="0.2">
      <c r="A1109" t="s">
        <v>139</v>
      </c>
      <c r="B1109" t="s">
        <v>27</v>
      </c>
      <c r="D1109" t="s">
        <v>33</v>
      </c>
      <c r="F1109" t="s">
        <v>60</v>
      </c>
    </row>
    <row r="1110" spans="1:6" x14ac:dyDescent="0.2">
      <c r="A1110" t="s">
        <v>139</v>
      </c>
      <c r="B1110" t="s">
        <v>35</v>
      </c>
      <c r="D1110" t="s">
        <v>38</v>
      </c>
      <c r="F1110" t="s">
        <v>60</v>
      </c>
    </row>
    <row r="1111" spans="1:6" x14ac:dyDescent="0.2">
      <c r="A1111" t="s">
        <v>140</v>
      </c>
      <c r="B1111" t="s">
        <v>23</v>
      </c>
      <c r="D1111" t="s">
        <v>31</v>
      </c>
      <c r="F1111" t="s">
        <v>60</v>
      </c>
    </row>
    <row r="1112" spans="1:6" x14ac:dyDescent="0.2">
      <c r="A1112" t="s">
        <v>140</v>
      </c>
      <c r="B1112" t="s">
        <v>37</v>
      </c>
      <c r="D1112" t="s">
        <v>16</v>
      </c>
      <c r="F1112" t="s">
        <v>60</v>
      </c>
    </row>
    <row r="1113" spans="1:6" x14ac:dyDescent="0.2">
      <c r="A1113" t="s">
        <v>140</v>
      </c>
      <c r="B1113" t="s">
        <v>29</v>
      </c>
      <c r="D1113" t="s">
        <v>10</v>
      </c>
      <c r="F1113" t="s">
        <v>60</v>
      </c>
    </row>
    <row r="1114" spans="1:6" x14ac:dyDescent="0.2">
      <c r="A1114" t="s">
        <v>140</v>
      </c>
      <c r="B1114" t="s">
        <v>20</v>
      </c>
      <c r="D1114" t="s">
        <v>39</v>
      </c>
      <c r="F1114" t="s">
        <v>60</v>
      </c>
    </row>
    <row r="1115" spans="1:6" x14ac:dyDescent="0.2">
      <c r="A1115" t="s">
        <v>140</v>
      </c>
      <c r="B1115" t="s">
        <v>28</v>
      </c>
      <c r="D1115" t="s">
        <v>30</v>
      </c>
      <c r="F1115" t="s">
        <v>60</v>
      </c>
    </row>
    <row r="1116" spans="1:6" x14ac:dyDescent="0.2">
      <c r="A1116" t="s">
        <v>140</v>
      </c>
      <c r="B1116" t="s">
        <v>40</v>
      </c>
      <c r="D1116" t="s">
        <v>15</v>
      </c>
      <c r="F1116" t="s">
        <v>60</v>
      </c>
    </row>
    <row r="1117" spans="1:6" x14ac:dyDescent="0.2">
      <c r="A1117" t="s">
        <v>140</v>
      </c>
      <c r="B1117" t="s">
        <v>25</v>
      </c>
      <c r="D1117" t="s">
        <v>14</v>
      </c>
      <c r="F1117" t="s">
        <v>60</v>
      </c>
    </row>
    <row r="1118" spans="1:6" x14ac:dyDescent="0.2">
      <c r="A1118" t="s">
        <v>140</v>
      </c>
      <c r="B1118" t="s">
        <v>13</v>
      </c>
      <c r="D1118" t="s">
        <v>55</v>
      </c>
      <c r="F1118" t="s">
        <v>60</v>
      </c>
    </row>
    <row r="1119" spans="1:6" x14ac:dyDescent="0.2">
      <c r="A1119" t="s">
        <v>140</v>
      </c>
      <c r="B1119" t="s">
        <v>12</v>
      </c>
      <c r="D1119" t="s">
        <v>22</v>
      </c>
      <c r="F1119" t="s">
        <v>60</v>
      </c>
    </row>
    <row r="1120" spans="1:6" x14ac:dyDescent="0.2">
      <c r="A1120" t="s">
        <v>141</v>
      </c>
      <c r="B1120" t="s">
        <v>36</v>
      </c>
      <c r="D1120" t="s">
        <v>15</v>
      </c>
      <c r="F1120" t="s">
        <v>60</v>
      </c>
    </row>
    <row r="1121" spans="1:6" x14ac:dyDescent="0.2">
      <c r="A1121" t="s">
        <v>142</v>
      </c>
      <c r="B1121" t="s">
        <v>19</v>
      </c>
      <c r="D1121" t="s">
        <v>21</v>
      </c>
      <c r="F1121" t="s">
        <v>60</v>
      </c>
    </row>
    <row r="1122" spans="1:6" x14ac:dyDescent="0.2">
      <c r="A1122" t="s">
        <v>142</v>
      </c>
      <c r="B1122" t="s">
        <v>13</v>
      </c>
      <c r="D1122" t="s">
        <v>16</v>
      </c>
      <c r="F1122" t="s">
        <v>60</v>
      </c>
    </row>
    <row r="1123" spans="1:6" x14ac:dyDescent="0.2">
      <c r="A1123" t="s">
        <v>142</v>
      </c>
      <c r="B1123" t="s">
        <v>24</v>
      </c>
      <c r="D1123" t="s">
        <v>39</v>
      </c>
      <c r="F1123" t="s">
        <v>60</v>
      </c>
    </row>
    <row r="1124" spans="1:6" x14ac:dyDescent="0.2">
      <c r="A1124" t="s">
        <v>142</v>
      </c>
      <c r="B1124" t="s">
        <v>36</v>
      </c>
      <c r="D1124" t="s">
        <v>26</v>
      </c>
      <c r="F1124" t="s">
        <v>60</v>
      </c>
    </row>
    <row r="1125" spans="1:6" x14ac:dyDescent="0.2">
      <c r="A1125" t="s">
        <v>142</v>
      </c>
      <c r="B1125" t="s">
        <v>32</v>
      </c>
      <c r="D1125" t="s">
        <v>11</v>
      </c>
      <c r="F1125" t="s">
        <v>60</v>
      </c>
    </row>
    <row r="1126" spans="1:6" x14ac:dyDescent="0.2">
      <c r="A1126" t="s">
        <v>142</v>
      </c>
      <c r="B1126" t="s">
        <v>25</v>
      </c>
      <c r="D1126" t="s">
        <v>18</v>
      </c>
      <c r="F1126" t="s">
        <v>60</v>
      </c>
    </row>
    <row r="1127" spans="1:6" x14ac:dyDescent="0.2">
      <c r="A1127" t="s">
        <v>142</v>
      </c>
      <c r="B1127" t="s">
        <v>33</v>
      </c>
      <c r="D1127" t="s">
        <v>29</v>
      </c>
      <c r="F1127" t="s">
        <v>60</v>
      </c>
    </row>
    <row r="1128" spans="1:6" x14ac:dyDescent="0.2">
      <c r="A1128" t="s">
        <v>142</v>
      </c>
      <c r="B1128" t="s">
        <v>10</v>
      </c>
      <c r="D1128" t="s">
        <v>30</v>
      </c>
      <c r="F1128" t="s">
        <v>60</v>
      </c>
    </row>
    <row r="1129" spans="1:6" x14ac:dyDescent="0.2">
      <c r="A1129" t="s">
        <v>142</v>
      </c>
      <c r="B1129" t="s">
        <v>28</v>
      </c>
      <c r="D1129" t="s">
        <v>27</v>
      </c>
      <c r="F1129" t="s">
        <v>60</v>
      </c>
    </row>
    <row r="1130" spans="1:6" x14ac:dyDescent="0.2">
      <c r="A1130" t="s">
        <v>142</v>
      </c>
      <c r="B1130" t="s">
        <v>12</v>
      </c>
      <c r="D1130" t="s">
        <v>14</v>
      </c>
      <c r="F1130" t="s">
        <v>60</v>
      </c>
    </row>
    <row r="1131" spans="1:6" x14ac:dyDescent="0.2">
      <c r="A1131" t="s">
        <v>142</v>
      </c>
      <c r="B1131" t="s">
        <v>22</v>
      </c>
      <c r="D1131" t="s">
        <v>35</v>
      </c>
      <c r="F1131" t="s">
        <v>60</v>
      </c>
    </row>
    <row r="1132" spans="1:6" x14ac:dyDescent="0.2">
      <c r="A1132" t="s">
        <v>142</v>
      </c>
      <c r="B1132" t="s">
        <v>34</v>
      </c>
      <c r="D1132" t="s">
        <v>37</v>
      </c>
      <c r="F1132" t="s">
        <v>60</v>
      </c>
    </row>
    <row r="1133" spans="1:6" x14ac:dyDescent="0.2">
      <c r="A1133" t="s">
        <v>142</v>
      </c>
      <c r="B1133" t="s">
        <v>17</v>
      </c>
      <c r="D1133" t="s">
        <v>55</v>
      </c>
      <c r="F1133" t="s">
        <v>60</v>
      </c>
    </row>
    <row r="1134" spans="1:6" x14ac:dyDescent="0.2">
      <c r="A1134" t="s">
        <v>142</v>
      </c>
      <c r="B1134" t="s">
        <v>31</v>
      </c>
      <c r="D1134" t="s">
        <v>38</v>
      </c>
      <c r="F1134" t="s">
        <v>60</v>
      </c>
    </row>
    <row r="1135" spans="1:6" x14ac:dyDescent="0.2">
      <c r="A1135" t="s">
        <v>142</v>
      </c>
      <c r="B1135" t="s">
        <v>20</v>
      </c>
      <c r="D1135" t="s">
        <v>40</v>
      </c>
      <c r="F1135" t="s">
        <v>60</v>
      </c>
    </row>
    <row r="1136" spans="1:6" x14ac:dyDescent="0.2">
      <c r="A1136" t="s">
        <v>143</v>
      </c>
      <c r="B1136" t="s">
        <v>21</v>
      </c>
      <c r="D1136" t="s">
        <v>23</v>
      </c>
      <c r="F1136" t="s">
        <v>60</v>
      </c>
    </row>
    <row r="1137" spans="1:6" x14ac:dyDescent="0.2">
      <c r="A1137" t="s">
        <v>143</v>
      </c>
      <c r="B1137" t="s">
        <v>15</v>
      </c>
      <c r="D1137" t="s">
        <v>19</v>
      </c>
      <c r="F1137" t="s">
        <v>60</v>
      </c>
    </row>
    <row r="1138" spans="1:6" x14ac:dyDescent="0.2">
      <c r="A1138" t="s">
        <v>144</v>
      </c>
      <c r="B1138" t="s">
        <v>31</v>
      </c>
      <c r="D1138" t="s">
        <v>16</v>
      </c>
      <c r="F1138" t="s">
        <v>60</v>
      </c>
    </row>
    <row r="1139" spans="1:6" x14ac:dyDescent="0.2">
      <c r="A1139" t="s">
        <v>144</v>
      </c>
      <c r="B1139" t="s">
        <v>34</v>
      </c>
      <c r="D1139" t="s">
        <v>11</v>
      </c>
      <c r="F1139" t="s">
        <v>60</v>
      </c>
    </row>
    <row r="1140" spans="1:6" x14ac:dyDescent="0.2">
      <c r="A1140" t="s">
        <v>144</v>
      </c>
      <c r="B1140" t="s">
        <v>28</v>
      </c>
      <c r="D1140" t="s">
        <v>18</v>
      </c>
      <c r="F1140" t="s">
        <v>60</v>
      </c>
    </row>
    <row r="1141" spans="1:6" x14ac:dyDescent="0.2">
      <c r="A1141" t="s">
        <v>144</v>
      </c>
      <c r="B1141" t="s">
        <v>24</v>
      </c>
      <c r="D1141" t="s">
        <v>29</v>
      </c>
      <c r="F1141" t="s">
        <v>60</v>
      </c>
    </row>
    <row r="1142" spans="1:6" x14ac:dyDescent="0.2">
      <c r="A1142" t="s">
        <v>144</v>
      </c>
      <c r="B1142" t="s">
        <v>39</v>
      </c>
      <c r="D1142" t="s">
        <v>30</v>
      </c>
      <c r="F1142" t="s">
        <v>60</v>
      </c>
    </row>
    <row r="1143" spans="1:6" x14ac:dyDescent="0.2">
      <c r="A1143" t="s">
        <v>144</v>
      </c>
      <c r="B1143" t="s">
        <v>14</v>
      </c>
      <c r="D1143" t="s">
        <v>36</v>
      </c>
      <c r="F1143" t="s">
        <v>60</v>
      </c>
    </row>
    <row r="1144" spans="1:6" x14ac:dyDescent="0.2">
      <c r="A1144" t="s">
        <v>144</v>
      </c>
      <c r="B1144" t="s">
        <v>10</v>
      </c>
      <c r="D1144" t="s">
        <v>27</v>
      </c>
      <c r="F1144" t="s">
        <v>60</v>
      </c>
    </row>
    <row r="1145" spans="1:6" x14ac:dyDescent="0.2">
      <c r="A1145" t="s">
        <v>144</v>
      </c>
      <c r="B1145" t="s">
        <v>33</v>
      </c>
      <c r="D1145" t="s">
        <v>35</v>
      </c>
      <c r="F1145" t="s">
        <v>60</v>
      </c>
    </row>
    <row r="1146" spans="1:6" x14ac:dyDescent="0.2">
      <c r="A1146" t="s">
        <v>144</v>
      </c>
      <c r="B1146" t="s">
        <v>32</v>
      </c>
      <c r="D1146" t="s">
        <v>37</v>
      </c>
      <c r="F1146" t="s">
        <v>60</v>
      </c>
    </row>
    <row r="1147" spans="1:6" x14ac:dyDescent="0.2">
      <c r="A1147" t="s">
        <v>144</v>
      </c>
      <c r="B1147" t="s">
        <v>22</v>
      </c>
      <c r="D1147" t="s">
        <v>55</v>
      </c>
      <c r="F1147" t="s">
        <v>60</v>
      </c>
    </row>
    <row r="1148" spans="1:6" x14ac:dyDescent="0.2">
      <c r="A1148" t="s">
        <v>144</v>
      </c>
      <c r="B1148" t="s">
        <v>13</v>
      </c>
      <c r="D1148" t="s">
        <v>38</v>
      </c>
      <c r="F1148" t="s">
        <v>60</v>
      </c>
    </row>
    <row r="1149" spans="1:6" x14ac:dyDescent="0.2">
      <c r="A1149" t="s">
        <v>144</v>
      </c>
      <c r="B1149" t="s">
        <v>17</v>
      </c>
      <c r="D1149" t="s">
        <v>20</v>
      </c>
      <c r="F1149" t="s">
        <v>60</v>
      </c>
    </row>
    <row r="1150" spans="1:6" x14ac:dyDescent="0.2">
      <c r="A1150" t="s">
        <v>144</v>
      </c>
      <c r="B1150" t="s">
        <v>12</v>
      </c>
      <c r="D1150" t="s">
        <v>40</v>
      </c>
      <c r="F1150" t="s">
        <v>60</v>
      </c>
    </row>
    <row r="1151" spans="1:6" x14ac:dyDescent="0.2">
      <c r="A1151" t="s">
        <v>145</v>
      </c>
      <c r="B1151" t="s">
        <v>26</v>
      </c>
      <c r="D1151" t="s">
        <v>23</v>
      </c>
      <c r="F1151" t="s">
        <v>60</v>
      </c>
    </row>
    <row r="1152" spans="1:6" x14ac:dyDescent="0.2">
      <c r="A1152" t="s">
        <v>145</v>
      </c>
      <c r="B1152" t="s">
        <v>10</v>
      </c>
      <c r="D1152" t="s">
        <v>15</v>
      </c>
      <c r="F1152" t="s">
        <v>60</v>
      </c>
    </row>
    <row r="1153" spans="1:6" x14ac:dyDescent="0.2">
      <c r="A1153" t="s">
        <v>146</v>
      </c>
      <c r="B1153" t="s">
        <v>34</v>
      </c>
      <c r="D1153" t="s">
        <v>21</v>
      </c>
      <c r="F1153" t="s">
        <v>60</v>
      </c>
    </row>
    <row r="1154" spans="1:6" x14ac:dyDescent="0.2">
      <c r="A1154" t="s">
        <v>146</v>
      </c>
      <c r="B1154" t="s">
        <v>32</v>
      </c>
      <c r="D1154" t="s">
        <v>23</v>
      </c>
      <c r="F1154" t="s">
        <v>60</v>
      </c>
    </row>
    <row r="1155" spans="1:6" x14ac:dyDescent="0.2">
      <c r="A1155" t="s">
        <v>146</v>
      </c>
      <c r="B1155" t="s">
        <v>24</v>
      </c>
      <c r="D1155" t="s">
        <v>25</v>
      </c>
      <c r="F1155" t="s">
        <v>60</v>
      </c>
    </row>
    <row r="1156" spans="1:6" x14ac:dyDescent="0.2">
      <c r="A1156" t="s">
        <v>146</v>
      </c>
      <c r="B1156" t="s">
        <v>33</v>
      </c>
      <c r="D1156" t="s">
        <v>28</v>
      </c>
      <c r="F1156" t="s">
        <v>60</v>
      </c>
    </row>
    <row r="1157" spans="1:6" x14ac:dyDescent="0.2">
      <c r="A1157" t="s">
        <v>146</v>
      </c>
      <c r="B1157" t="s">
        <v>38</v>
      </c>
      <c r="D1157" t="s">
        <v>16</v>
      </c>
      <c r="F1157" t="s">
        <v>60</v>
      </c>
    </row>
    <row r="1158" spans="1:6" x14ac:dyDescent="0.2">
      <c r="A1158" t="s">
        <v>146</v>
      </c>
      <c r="B1158" t="s">
        <v>40</v>
      </c>
      <c r="D1158" t="s">
        <v>12</v>
      </c>
      <c r="F1158" t="s">
        <v>60</v>
      </c>
    </row>
    <row r="1159" spans="1:6" x14ac:dyDescent="0.2">
      <c r="A1159" t="s">
        <v>146</v>
      </c>
      <c r="B1159" t="s">
        <v>27</v>
      </c>
      <c r="D1159" t="s">
        <v>26</v>
      </c>
      <c r="F1159" t="s">
        <v>60</v>
      </c>
    </row>
    <row r="1160" spans="1:6" x14ac:dyDescent="0.2">
      <c r="A1160" t="s">
        <v>146</v>
      </c>
      <c r="B1160" t="s">
        <v>31</v>
      </c>
      <c r="D1160" t="s">
        <v>17</v>
      </c>
      <c r="F1160" t="s">
        <v>60</v>
      </c>
    </row>
    <row r="1161" spans="1:6" x14ac:dyDescent="0.2">
      <c r="A1161" t="s">
        <v>146</v>
      </c>
      <c r="B1161" t="s">
        <v>55</v>
      </c>
      <c r="D1161" t="s">
        <v>13</v>
      </c>
      <c r="F1161" t="s">
        <v>60</v>
      </c>
    </row>
    <row r="1162" spans="1:6" x14ac:dyDescent="0.2">
      <c r="A1162" t="s">
        <v>146</v>
      </c>
      <c r="B1162" t="s">
        <v>18</v>
      </c>
      <c r="D1162" t="s">
        <v>29</v>
      </c>
      <c r="F1162" t="s">
        <v>60</v>
      </c>
    </row>
    <row r="1163" spans="1:6" x14ac:dyDescent="0.2">
      <c r="A1163" t="s">
        <v>146</v>
      </c>
      <c r="B1163" t="s">
        <v>11</v>
      </c>
      <c r="D1163" t="s">
        <v>30</v>
      </c>
      <c r="F1163" t="s">
        <v>60</v>
      </c>
    </row>
    <row r="1164" spans="1:6" x14ac:dyDescent="0.2">
      <c r="A1164" t="s">
        <v>146</v>
      </c>
      <c r="B1164" t="s">
        <v>39</v>
      </c>
      <c r="D1164" t="s">
        <v>14</v>
      </c>
      <c r="F1164" t="s">
        <v>60</v>
      </c>
    </row>
    <row r="1165" spans="1:6" x14ac:dyDescent="0.2">
      <c r="A1165" t="s">
        <v>146</v>
      </c>
      <c r="B1165" t="s">
        <v>19</v>
      </c>
      <c r="D1165" t="s">
        <v>35</v>
      </c>
      <c r="F1165" t="s">
        <v>60</v>
      </c>
    </row>
    <row r="1166" spans="1:6" x14ac:dyDescent="0.2">
      <c r="A1166" t="s">
        <v>146</v>
      </c>
      <c r="B1166" t="s">
        <v>36</v>
      </c>
      <c r="D1166" t="s">
        <v>37</v>
      </c>
      <c r="F1166" t="s">
        <v>60</v>
      </c>
    </row>
    <row r="1167" spans="1:6" x14ac:dyDescent="0.2">
      <c r="A1167" t="s">
        <v>146</v>
      </c>
      <c r="B1167" t="s">
        <v>22</v>
      </c>
      <c r="D1167" t="s">
        <v>20</v>
      </c>
      <c r="F1167" t="s">
        <v>60</v>
      </c>
    </row>
    <row r="1168" spans="1:6" x14ac:dyDescent="0.2">
      <c r="A1168" t="s">
        <v>147</v>
      </c>
      <c r="B1168" t="s">
        <v>18</v>
      </c>
      <c r="D1168" t="s">
        <v>25</v>
      </c>
      <c r="F1168" t="s">
        <v>60</v>
      </c>
    </row>
    <row r="1169" spans="1:6" x14ac:dyDescent="0.2">
      <c r="A1169" t="s">
        <v>147</v>
      </c>
      <c r="B1169" t="s">
        <v>21</v>
      </c>
      <c r="D1169" t="s">
        <v>28</v>
      </c>
      <c r="F1169" t="s">
        <v>60</v>
      </c>
    </row>
    <row r="1170" spans="1:6" x14ac:dyDescent="0.2">
      <c r="A1170" t="s">
        <v>147</v>
      </c>
      <c r="B1170" t="s">
        <v>10</v>
      </c>
      <c r="D1170" t="s">
        <v>24</v>
      </c>
      <c r="F1170" t="s">
        <v>60</v>
      </c>
    </row>
    <row r="1171" spans="1:6" x14ac:dyDescent="0.2">
      <c r="A1171" t="s">
        <v>147</v>
      </c>
      <c r="B1171" t="s">
        <v>11</v>
      </c>
      <c r="D1171" t="s">
        <v>15</v>
      </c>
      <c r="F1171" t="s">
        <v>60</v>
      </c>
    </row>
    <row r="1172" spans="1:6" x14ac:dyDescent="0.2">
      <c r="A1172" t="s">
        <v>147</v>
      </c>
      <c r="B1172" t="s">
        <v>39</v>
      </c>
      <c r="D1172" t="s">
        <v>27</v>
      </c>
      <c r="F1172" t="s">
        <v>60</v>
      </c>
    </row>
    <row r="1173" spans="1:6" x14ac:dyDescent="0.2">
      <c r="A1173" t="s">
        <v>147</v>
      </c>
      <c r="B1173" t="s">
        <v>29</v>
      </c>
      <c r="D1173" t="s">
        <v>37</v>
      </c>
      <c r="F1173" t="s">
        <v>60</v>
      </c>
    </row>
    <row r="1174" spans="1:6" x14ac:dyDescent="0.2">
      <c r="A1174" t="s">
        <v>148</v>
      </c>
      <c r="B1174" t="s">
        <v>19</v>
      </c>
      <c r="D1174" t="s">
        <v>31</v>
      </c>
      <c r="F1174" t="s">
        <v>60</v>
      </c>
    </row>
    <row r="1175" spans="1:6" x14ac:dyDescent="0.2">
      <c r="A1175" t="s">
        <v>148</v>
      </c>
      <c r="B1175" t="s">
        <v>16</v>
      </c>
      <c r="D1175" t="s">
        <v>12</v>
      </c>
      <c r="F1175" t="s">
        <v>60</v>
      </c>
    </row>
    <row r="1176" spans="1:6" x14ac:dyDescent="0.2">
      <c r="A1176" t="s">
        <v>148</v>
      </c>
      <c r="B1176" t="s">
        <v>14</v>
      </c>
      <c r="D1176" t="s">
        <v>30</v>
      </c>
      <c r="F1176" t="s">
        <v>60</v>
      </c>
    </row>
    <row r="1177" spans="1:6" x14ac:dyDescent="0.2">
      <c r="A1177" t="s">
        <v>148</v>
      </c>
      <c r="B1177" t="s">
        <v>35</v>
      </c>
      <c r="D1177" t="s">
        <v>33</v>
      </c>
      <c r="F1177" t="s">
        <v>60</v>
      </c>
    </row>
    <row r="1178" spans="1:6" x14ac:dyDescent="0.2">
      <c r="A1178" t="s">
        <v>148</v>
      </c>
      <c r="B1178" t="s">
        <v>38</v>
      </c>
      <c r="D1178" t="s">
        <v>20</v>
      </c>
      <c r="F1178" t="s">
        <v>60</v>
      </c>
    </row>
    <row r="1179" spans="1:6" x14ac:dyDescent="0.2">
      <c r="A1179" t="s">
        <v>149</v>
      </c>
      <c r="B1179" t="s">
        <v>39</v>
      </c>
      <c r="D1179" t="s">
        <v>21</v>
      </c>
      <c r="F1179" t="s">
        <v>60</v>
      </c>
    </row>
    <row r="1180" spans="1:6" x14ac:dyDescent="0.2">
      <c r="A1180" t="s">
        <v>149</v>
      </c>
      <c r="B1180" t="s">
        <v>30</v>
      </c>
      <c r="D1180" t="s">
        <v>23</v>
      </c>
      <c r="F1180" t="s">
        <v>60</v>
      </c>
    </row>
    <row r="1181" spans="1:6" x14ac:dyDescent="0.2">
      <c r="A1181" t="s">
        <v>149</v>
      </c>
      <c r="B1181" t="s">
        <v>25</v>
      </c>
      <c r="D1181" t="s">
        <v>28</v>
      </c>
      <c r="F1181" t="s">
        <v>60</v>
      </c>
    </row>
    <row r="1182" spans="1:6" x14ac:dyDescent="0.2">
      <c r="A1182" t="s">
        <v>149</v>
      </c>
      <c r="B1182" t="s">
        <v>40</v>
      </c>
      <c r="D1182" t="s">
        <v>10</v>
      </c>
      <c r="F1182" t="s">
        <v>60</v>
      </c>
    </row>
    <row r="1183" spans="1:6" x14ac:dyDescent="0.2">
      <c r="A1183" t="s">
        <v>149</v>
      </c>
      <c r="B1183" t="s">
        <v>32</v>
      </c>
      <c r="D1183" t="s">
        <v>17</v>
      </c>
      <c r="F1183" t="s">
        <v>60</v>
      </c>
    </row>
    <row r="1184" spans="1:6" x14ac:dyDescent="0.2">
      <c r="A1184" t="s">
        <v>149</v>
      </c>
      <c r="B1184" t="s">
        <v>36</v>
      </c>
      <c r="D1184" t="s">
        <v>11</v>
      </c>
      <c r="F1184" t="s">
        <v>60</v>
      </c>
    </row>
    <row r="1185" spans="1:6" x14ac:dyDescent="0.2">
      <c r="A1185" t="s">
        <v>149</v>
      </c>
      <c r="B1185" t="s">
        <v>24</v>
      </c>
      <c r="D1185" t="s">
        <v>15</v>
      </c>
      <c r="F1185" t="s">
        <v>60</v>
      </c>
    </row>
    <row r="1186" spans="1:6" x14ac:dyDescent="0.2">
      <c r="A1186" t="s">
        <v>149</v>
      </c>
      <c r="B1186" t="s">
        <v>26</v>
      </c>
      <c r="D1186" t="s">
        <v>14</v>
      </c>
      <c r="F1186" t="s">
        <v>60</v>
      </c>
    </row>
    <row r="1187" spans="1:6" x14ac:dyDescent="0.2">
      <c r="A1187" t="s">
        <v>149</v>
      </c>
      <c r="B1187" t="s">
        <v>18</v>
      </c>
      <c r="D1187" t="s">
        <v>37</v>
      </c>
      <c r="F1187" t="s">
        <v>60</v>
      </c>
    </row>
    <row r="1188" spans="1:6" x14ac:dyDescent="0.2">
      <c r="A1188" t="s">
        <v>149</v>
      </c>
      <c r="B1188" t="s">
        <v>27</v>
      </c>
      <c r="D1188" t="s">
        <v>22</v>
      </c>
      <c r="F1188" t="s">
        <v>60</v>
      </c>
    </row>
    <row r="1189" spans="1:6" x14ac:dyDescent="0.2">
      <c r="A1189" t="s">
        <v>150</v>
      </c>
      <c r="B1189" t="s">
        <v>38</v>
      </c>
      <c r="D1189" t="s">
        <v>12</v>
      </c>
      <c r="F1189" t="s">
        <v>60</v>
      </c>
    </row>
    <row r="1190" spans="1:6" x14ac:dyDescent="0.2">
      <c r="A1190" t="s">
        <v>150</v>
      </c>
      <c r="B1190" t="s">
        <v>35</v>
      </c>
      <c r="D1190" t="s">
        <v>13</v>
      </c>
      <c r="F1190" t="s">
        <v>60</v>
      </c>
    </row>
    <row r="1191" spans="1:6" x14ac:dyDescent="0.2">
      <c r="A1191" t="s">
        <v>150</v>
      </c>
      <c r="B1191" t="s">
        <v>31</v>
      </c>
      <c r="D1191" t="s">
        <v>33</v>
      </c>
      <c r="F1191" t="s">
        <v>60</v>
      </c>
    </row>
    <row r="1192" spans="1:6" x14ac:dyDescent="0.2">
      <c r="A1192" t="s">
        <v>151</v>
      </c>
      <c r="B1192" t="s">
        <v>28</v>
      </c>
      <c r="D1192" t="s">
        <v>25</v>
      </c>
      <c r="F1192" t="s">
        <v>60</v>
      </c>
    </row>
    <row r="1193" spans="1:6" x14ac:dyDescent="0.2">
      <c r="A1193" t="s">
        <v>151</v>
      </c>
      <c r="B1193" t="s">
        <v>40</v>
      </c>
      <c r="D1193" t="s">
        <v>39</v>
      </c>
      <c r="F1193" t="s">
        <v>60</v>
      </c>
    </row>
    <row r="1194" spans="1:6" x14ac:dyDescent="0.2">
      <c r="A1194" t="s">
        <v>151</v>
      </c>
      <c r="B1194" t="s">
        <v>10</v>
      </c>
      <c r="D1194" t="s">
        <v>17</v>
      </c>
      <c r="F1194" t="s">
        <v>60</v>
      </c>
    </row>
    <row r="1195" spans="1:6" x14ac:dyDescent="0.2">
      <c r="A1195" t="s">
        <v>151</v>
      </c>
      <c r="B1195" t="s">
        <v>21</v>
      </c>
      <c r="D1195" t="s">
        <v>11</v>
      </c>
      <c r="F1195" t="s">
        <v>60</v>
      </c>
    </row>
    <row r="1196" spans="1:6" x14ac:dyDescent="0.2">
      <c r="A1196" t="s">
        <v>151</v>
      </c>
      <c r="B1196" t="s">
        <v>29</v>
      </c>
      <c r="D1196" t="s">
        <v>13</v>
      </c>
      <c r="F1196" t="s">
        <v>60</v>
      </c>
    </row>
    <row r="1197" spans="1:6" x14ac:dyDescent="0.2">
      <c r="A1197" t="s">
        <v>151</v>
      </c>
      <c r="B1197" t="s">
        <v>38</v>
      </c>
      <c r="D1197" t="s">
        <v>34</v>
      </c>
      <c r="F1197" t="s">
        <v>60</v>
      </c>
    </row>
    <row r="1198" spans="1:6" x14ac:dyDescent="0.2">
      <c r="A1198" t="s">
        <v>151</v>
      </c>
      <c r="B1198" t="s">
        <v>22</v>
      </c>
      <c r="D1198" t="s">
        <v>24</v>
      </c>
      <c r="F1198" t="s">
        <v>60</v>
      </c>
    </row>
    <row r="1199" spans="1:6" x14ac:dyDescent="0.2">
      <c r="A1199" t="s">
        <v>151</v>
      </c>
      <c r="B1199" t="s">
        <v>18</v>
      </c>
      <c r="D1199" t="s">
        <v>15</v>
      </c>
      <c r="F1199" t="s">
        <v>60</v>
      </c>
    </row>
    <row r="1200" spans="1:6" x14ac:dyDescent="0.2">
      <c r="A1200" t="s">
        <v>151</v>
      </c>
      <c r="B1200" t="s">
        <v>23</v>
      </c>
      <c r="D1200" t="s">
        <v>36</v>
      </c>
      <c r="F1200" t="s">
        <v>60</v>
      </c>
    </row>
    <row r="1201" spans="1:6" x14ac:dyDescent="0.2">
      <c r="A1201" t="s">
        <v>151</v>
      </c>
      <c r="B1201" t="s">
        <v>26</v>
      </c>
      <c r="D1201" t="s">
        <v>27</v>
      </c>
      <c r="F1201" t="s">
        <v>60</v>
      </c>
    </row>
    <row r="1202" spans="1:6" x14ac:dyDescent="0.2">
      <c r="A1202" t="s">
        <v>151</v>
      </c>
      <c r="B1202" t="s">
        <v>55</v>
      </c>
      <c r="D1202" t="s">
        <v>32</v>
      </c>
      <c r="F1202" t="s">
        <v>60</v>
      </c>
    </row>
    <row r="1203" spans="1:6" x14ac:dyDescent="0.2">
      <c r="A1203" t="s">
        <v>151</v>
      </c>
      <c r="B1203" t="s">
        <v>19</v>
      </c>
      <c r="D1203" t="s">
        <v>33</v>
      </c>
      <c r="F1203" t="s">
        <v>60</v>
      </c>
    </row>
    <row r="1204" spans="1:6" x14ac:dyDescent="0.2">
      <c r="A1204" t="s">
        <v>151</v>
      </c>
      <c r="B1204" t="s">
        <v>14</v>
      </c>
      <c r="D1204" t="s">
        <v>37</v>
      </c>
      <c r="F1204" t="s">
        <v>60</v>
      </c>
    </row>
    <row r="1205" spans="1:6" x14ac:dyDescent="0.2">
      <c r="A1205" t="s">
        <v>151</v>
      </c>
      <c r="B1205" t="s">
        <v>16</v>
      </c>
      <c r="D1205" t="s">
        <v>20</v>
      </c>
      <c r="F1205" t="s">
        <v>60</v>
      </c>
    </row>
    <row r="1206" spans="1:6" x14ac:dyDescent="0.2">
      <c r="A1206" t="s">
        <v>152</v>
      </c>
      <c r="B1206" t="s">
        <v>35</v>
      </c>
      <c r="D1206" t="s">
        <v>31</v>
      </c>
      <c r="F1206" t="s">
        <v>60</v>
      </c>
    </row>
    <row r="1207" spans="1:6" x14ac:dyDescent="0.2">
      <c r="A1207" t="s">
        <v>152</v>
      </c>
      <c r="B1207" t="s">
        <v>27</v>
      </c>
      <c r="D1207" t="s">
        <v>30</v>
      </c>
      <c r="F1207" t="s">
        <v>60</v>
      </c>
    </row>
    <row r="1208" spans="1:6" x14ac:dyDescent="0.2">
      <c r="A1208" t="s">
        <v>153</v>
      </c>
      <c r="B1208" t="s">
        <v>16</v>
      </c>
      <c r="D1208" t="s">
        <v>31</v>
      </c>
      <c r="F1208" t="s">
        <v>60</v>
      </c>
    </row>
    <row r="1209" spans="1:6" x14ac:dyDescent="0.2">
      <c r="A1209" t="s">
        <v>153</v>
      </c>
      <c r="B1209" t="s">
        <v>30</v>
      </c>
      <c r="D1209" t="s">
        <v>25</v>
      </c>
      <c r="F1209" t="s">
        <v>60</v>
      </c>
    </row>
    <row r="1210" spans="1:6" x14ac:dyDescent="0.2">
      <c r="A1210" t="s">
        <v>153</v>
      </c>
      <c r="B1210" t="s">
        <v>40</v>
      </c>
      <c r="D1210" t="s">
        <v>28</v>
      </c>
      <c r="F1210" t="s">
        <v>60</v>
      </c>
    </row>
    <row r="1211" spans="1:6" x14ac:dyDescent="0.2">
      <c r="A1211" t="s">
        <v>153</v>
      </c>
      <c r="B1211" t="s">
        <v>12</v>
      </c>
      <c r="D1211" t="s">
        <v>39</v>
      </c>
      <c r="F1211" t="s">
        <v>60</v>
      </c>
    </row>
    <row r="1212" spans="1:6" x14ac:dyDescent="0.2">
      <c r="A1212" t="s">
        <v>153</v>
      </c>
      <c r="B1212" t="s">
        <v>20</v>
      </c>
      <c r="D1212" t="s">
        <v>17</v>
      </c>
      <c r="F1212" t="s">
        <v>60</v>
      </c>
    </row>
    <row r="1213" spans="1:6" x14ac:dyDescent="0.2">
      <c r="A1213" t="s">
        <v>153</v>
      </c>
      <c r="B1213" t="s">
        <v>19</v>
      </c>
      <c r="D1213" t="s">
        <v>13</v>
      </c>
      <c r="F1213" t="s">
        <v>60</v>
      </c>
    </row>
    <row r="1214" spans="1:6" x14ac:dyDescent="0.2">
      <c r="A1214" t="s">
        <v>153</v>
      </c>
      <c r="B1214" t="s">
        <v>18</v>
      </c>
      <c r="D1214" t="s">
        <v>24</v>
      </c>
      <c r="F1214" t="s">
        <v>60</v>
      </c>
    </row>
    <row r="1215" spans="1:6" x14ac:dyDescent="0.2">
      <c r="A1215" t="s">
        <v>153</v>
      </c>
      <c r="B1215" t="s">
        <v>26</v>
      </c>
      <c r="D1215" t="s">
        <v>15</v>
      </c>
      <c r="F1215" t="s">
        <v>60</v>
      </c>
    </row>
    <row r="1216" spans="1:6" x14ac:dyDescent="0.2">
      <c r="A1216" t="s">
        <v>153</v>
      </c>
      <c r="B1216" t="s">
        <v>34</v>
      </c>
      <c r="D1216" t="s">
        <v>36</v>
      </c>
      <c r="F1216" t="s">
        <v>60</v>
      </c>
    </row>
    <row r="1217" spans="1:6" x14ac:dyDescent="0.2">
      <c r="A1217" t="s">
        <v>153</v>
      </c>
      <c r="B1217" t="s">
        <v>11</v>
      </c>
      <c r="D1217" t="s">
        <v>14</v>
      </c>
      <c r="F1217" t="s">
        <v>60</v>
      </c>
    </row>
    <row r="1218" spans="1:6" x14ac:dyDescent="0.2">
      <c r="A1218" t="s">
        <v>153</v>
      </c>
      <c r="B1218" t="s">
        <v>10</v>
      </c>
      <c r="D1218" t="s">
        <v>32</v>
      </c>
      <c r="F1218" t="s">
        <v>60</v>
      </c>
    </row>
    <row r="1219" spans="1:6" x14ac:dyDescent="0.2">
      <c r="A1219" t="s">
        <v>153</v>
      </c>
      <c r="B1219" t="s">
        <v>29</v>
      </c>
      <c r="D1219" t="s">
        <v>33</v>
      </c>
      <c r="F1219" t="s">
        <v>60</v>
      </c>
    </row>
    <row r="1220" spans="1:6" x14ac:dyDescent="0.2">
      <c r="A1220" t="s">
        <v>153</v>
      </c>
      <c r="B1220" t="s">
        <v>21</v>
      </c>
      <c r="D1220" t="s">
        <v>37</v>
      </c>
      <c r="F1220" t="s">
        <v>60</v>
      </c>
    </row>
    <row r="1221" spans="1:6" x14ac:dyDescent="0.2">
      <c r="A1221" t="s">
        <v>153</v>
      </c>
      <c r="B1221" t="s">
        <v>55</v>
      </c>
      <c r="D1221" t="s">
        <v>38</v>
      </c>
      <c r="F1221" t="s">
        <v>60</v>
      </c>
    </row>
    <row r="1222" spans="1:6" x14ac:dyDescent="0.2">
      <c r="A1222" t="s">
        <v>153</v>
      </c>
      <c r="B1222" t="s">
        <v>23</v>
      </c>
      <c r="D1222" t="s">
        <v>22</v>
      </c>
      <c r="F1222" t="s">
        <v>60</v>
      </c>
    </row>
    <row r="1223" spans="1:6" x14ac:dyDescent="0.2">
      <c r="A1223" t="s">
        <v>154</v>
      </c>
      <c r="B1223" t="s">
        <v>35</v>
      </c>
      <c r="D1223" t="s">
        <v>12</v>
      </c>
      <c r="F1223" t="s">
        <v>60</v>
      </c>
    </row>
    <row r="1224" spans="1:6" x14ac:dyDescent="0.2">
      <c r="A1224" t="s">
        <v>154</v>
      </c>
      <c r="B1224" t="s">
        <v>34</v>
      </c>
      <c r="D1224" t="s">
        <v>26</v>
      </c>
      <c r="F1224" t="s">
        <v>60</v>
      </c>
    </row>
    <row r="1225" spans="1:6" x14ac:dyDescent="0.2">
      <c r="A1225" t="s">
        <v>154</v>
      </c>
      <c r="B1225" t="s">
        <v>24</v>
      </c>
      <c r="D1225" t="s">
        <v>18</v>
      </c>
      <c r="F1225" t="s">
        <v>60</v>
      </c>
    </row>
    <row r="1226" spans="1:6" x14ac:dyDescent="0.2">
      <c r="A1226" t="s">
        <v>154</v>
      </c>
      <c r="B1226" t="s">
        <v>22</v>
      </c>
      <c r="D1226" t="s">
        <v>15</v>
      </c>
      <c r="F1226" t="s">
        <v>60</v>
      </c>
    </row>
    <row r="1227" spans="1:6" x14ac:dyDescent="0.2">
      <c r="A1227" t="s">
        <v>154</v>
      </c>
      <c r="B1227" t="s">
        <v>25</v>
      </c>
      <c r="D1227" t="s">
        <v>36</v>
      </c>
      <c r="F1227" t="s">
        <v>60</v>
      </c>
    </row>
    <row r="1228" spans="1:6" x14ac:dyDescent="0.2">
      <c r="A1228" t="s">
        <v>154</v>
      </c>
      <c r="B1228" t="s">
        <v>21</v>
      </c>
      <c r="D1228" t="s">
        <v>27</v>
      </c>
      <c r="F1228" t="s">
        <v>60</v>
      </c>
    </row>
    <row r="1229" spans="1:6" x14ac:dyDescent="0.2">
      <c r="A1229" t="s">
        <v>154</v>
      </c>
      <c r="B1229" t="s">
        <v>11</v>
      </c>
      <c r="D1229" t="s">
        <v>14</v>
      </c>
      <c r="F1229" t="s">
        <v>60</v>
      </c>
    </row>
    <row r="1230" spans="1:6" x14ac:dyDescent="0.2">
      <c r="A1230" t="s">
        <v>155</v>
      </c>
      <c r="B1230" t="s">
        <v>37</v>
      </c>
      <c r="D1230" t="s">
        <v>23</v>
      </c>
      <c r="F1230" t="s">
        <v>60</v>
      </c>
    </row>
    <row r="1231" spans="1:6" x14ac:dyDescent="0.2">
      <c r="A1231" t="s">
        <v>155</v>
      </c>
      <c r="B1231" t="s">
        <v>29</v>
      </c>
      <c r="D1231" t="s">
        <v>13</v>
      </c>
      <c r="F1231" t="s">
        <v>60</v>
      </c>
    </row>
    <row r="1232" spans="1:6" x14ac:dyDescent="0.2">
      <c r="A1232" t="s">
        <v>155</v>
      </c>
      <c r="B1232" t="s">
        <v>10</v>
      </c>
      <c r="D1232" t="s">
        <v>33</v>
      </c>
      <c r="F1232" t="s">
        <v>60</v>
      </c>
    </row>
    <row r="1233" spans="1:6" x14ac:dyDescent="0.2">
      <c r="A1233" t="s">
        <v>155</v>
      </c>
      <c r="B1233" t="s">
        <v>32</v>
      </c>
      <c r="D1233" t="s">
        <v>40</v>
      </c>
      <c r="F1233" t="s">
        <v>60</v>
      </c>
    </row>
    <row r="1234" spans="1:6" x14ac:dyDescent="0.2">
      <c r="A1234" t="s">
        <v>156</v>
      </c>
      <c r="B1234" t="s">
        <v>29</v>
      </c>
      <c r="D1234" t="s">
        <v>31</v>
      </c>
      <c r="F1234" t="s">
        <v>60</v>
      </c>
    </row>
    <row r="1235" spans="1:6" x14ac:dyDescent="0.2">
      <c r="A1235" t="s">
        <v>156</v>
      </c>
      <c r="B1235" t="s">
        <v>21</v>
      </c>
      <c r="D1235" t="s">
        <v>25</v>
      </c>
      <c r="F1235" t="s">
        <v>60</v>
      </c>
    </row>
    <row r="1236" spans="1:6" x14ac:dyDescent="0.2">
      <c r="A1236" t="s">
        <v>156</v>
      </c>
      <c r="B1236" t="s">
        <v>16</v>
      </c>
      <c r="D1236" t="s">
        <v>39</v>
      </c>
      <c r="F1236" t="s">
        <v>60</v>
      </c>
    </row>
    <row r="1237" spans="1:6" x14ac:dyDescent="0.2">
      <c r="A1237" t="s">
        <v>156</v>
      </c>
      <c r="B1237" t="s">
        <v>28</v>
      </c>
      <c r="D1237" t="s">
        <v>26</v>
      </c>
      <c r="F1237" t="s">
        <v>60</v>
      </c>
    </row>
    <row r="1238" spans="1:6" x14ac:dyDescent="0.2">
      <c r="A1238" t="s">
        <v>156</v>
      </c>
      <c r="B1238" t="s">
        <v>32</v>
      </c>
      <c r="D1238" t="s">
        <v>34</v>
      </c>
      <c r="F1238" t="s">
        <v>60</v>
      </c>
    </row>
    <row r="1239" spans="1:6" x14ac:dyDescent="0.2">
      <c r="A1239" t="s">
        <v>156</v>
      </c>
      <c r="B1239" t="s">
        <v>11</v>
      </c>
      <c r="D1239" t="s">
        <v>18</v>
      </c>
      <c r="F1239" t="s">
        <v>60</v>
      </c>
    </row>
    <row r="1240" spans="1:6" x14ac:dyDescent="0.2">
      <c r="A1240" t="s">
        <v>156</v>
      </c>
      <c r="B1240" t="s">
        <v>27</v>
      </c>
      <c r="D1240" t="s">
        <v>24</v>
      </c>
      <c r="F1240" t="s">
        <v>60</v>
      </c>
    </row>
    <row r="1241" spans="1:6" x14ac:dyDescent="0.2">
      <c r="A1241" t="s">
        <v>156</v>
      </c>
      <c r="B1241" t="s">
        <v>37</v>
      </c>
      <c r="D1241" t="s">
        <v>36</v>
      </c>
      <c r="F1241" t="s">
        <v>60</v>
      </c>
    </row>
    <row r="1242" spans="1:6" x14ac:dyDescent="0.2">
      <c r="A1242" t="s">
        <v>156</v>
      </c>
      <c r="B1242" t="s">
        <v>12</v>
      </c>
      <c r="D1242" t="s">
        <v>35</v>
      </c>
      <c r="F1242" t="s">
        <v>60</v>
      </c>
    </row>
    <row r="1243" spans="1:6" x14ac:dyDescent="0.2">
      <c r="A1243" t="s">
        <v>156</v>
      </c>
      <c r="B1243" t="s">
        <v>17</v>
      </c>
      <c r="D1243" t="s">
        <v>55</v>
      </c>
      <c r="F1243" t="s">
        <v>60</v>
      </c>
    </row>
    <row r="1244" spans="1:6" x14ac:dyDescent="0.2">
      <c r="A1244" t="s">
        <v>156</v>
      </c>
      <c r="B1244" t="s">
        <v>20</v>
      </c>
      <c r="D1244" t="s">
        <v>38</v>
      </c>
      <c r="F1244" t="s">
        <v>60</v>
      </c>
    </row>
    <row r="1245" spans="1:6" x14ac:dyDescent="0.2">
      <c r="A1245" t="s">
        <v>157</v>
      </c>
      <c r="B1245" t="s">
        <v>23</v>
      </c>
      <c r="D1245" t="s">
        <v>15</v>
      </c>
      <c r="F1245" t="s">
        <v>60</v>
      </c>
    </row>
    <row r="1246" spans="1:6" x14ac:dyDescent="0.2">
      <c r="A1246" t="s">
        <v>157</v>
      </c>
      <c r="B1246" t="s">
        <v>17</v>
      </c>
      <c r="D1246" t="s">
        <v>33</v>
      </c>
      <c r="F1246" t="s">
        <v>60</v>
      </c>
    </row>
    <row r="1247" spans="1:6" x14ac:dyDescent="0.2">
      <c r="A1247" t="s">
        <v>157</v>
      </c>
      <c r="B1247" t="s">
        <v>22</v>
      </c>
      <c r="D1247" t="s">
        <v>19</v>
      </c>
      <c r="F1247" t="s">
        <v>60</v>
      </c>
    </row>
    <row r="1248" spans="1:6" x14ac:dyDescent="0.2">
      <c r="A1248" t="s">
        <v>158</v>
      </c>
      <c r="B1248" t="s">
        <v>33</v>
      </c>
      <c r="D1248" t="s">
        <v>31</v>
      </c>
      <c r="F1248" t="s">
        <v>60</v>
      </c>
    </row>
    <row r="1249" spans="1:6" x14ac:dyDescent="0.2">
      <c r="A1249" t="s">
        <v>158</v>
      </c>
      <c r="B1249" t="s">
        <v>28</v>
      </c>
      <c r="D1249" t="s">
        <v>23</v>
      </c>
      <c r="F1249" t="s">
        <v>60</v>
      </c>
    </row>
    <row r="1250" spans="1:6" x14ac:dyDescent="0.2">
      <c r="A1250" t="s">
        <v>158</v>
      </c>
      <c r="B1250" t="s">
        <v>25</v>
      </c>
      <c r="D1250" t="s">
        <v>10</v>
      </c>
      <c r="F1250" t="s">
        <v>60</v>
      </c>
    </row>
    <row r="1251" spans="1:6" x14ac:dyDescent="0.2">
      <c r="A1251" t="s">
        <v>158</v>
      </c>
      <c r="B1251" t="s">
        <v>16</v>
      </c>
      <c r="D1251" t="s">
        <v>12</v>
      </c>
      <c r="F1251" t="s">
        <v>60</v>
      </c>
    </row>
    <row r="1252" spans="1:6" x14ac:dyDescent="0.2">
      <c r="A1252" t="s">
        <v>158</v>
      </c>
      <c r="B1252" t="s">
        <v>34</v>
      </c>
      <c r="D1252" t="s">
        <v>39</v>
      </c>
      <c r="F1252" t="s">
        <v>60</v>
      </c>
    </row>
    <row r="1253" spans="1:6" x14ac:dyDescent="0.2">
      <c r="A1253" t="s">
        <v>158</v>
      </c>
      <c r="B1253" t="s">
        <v>27</v>
      </c>
      <c r="D1253" t="s">
        <v>26</v>
      </c>
      <c r="F1253" t="s">
        <v>60</v>
      </c>
    </row>
    <row r="1254" spans="1:6" x14ac:dyDescent="0.2">
      <c r="A1254" t="s">
        <v>158</v>
      </c>
      <c r="B1254" t="s">
        <v>38</v>
      </c>
      <c r="D1254" t="s">
        <v>13</v>
      </c>
      <c r="F1254" t="s">
        <v>60</v>
      </c>
    </row>
    <row r="1255" spans="1:6" x14ac:dyDescent="0.2">
      <c r="A1255" t="s">
        <v>158</v>
      </c>
      <c r="B1255" t="s">
        <v>37</v>
      </c>
      <c r="D1255" t="s">
        <v>18</v>
      </c>
      <c r="F1255" t="s">
        <v>60</v>
      </c>
    </row>
    <row r="1256" spans="1:6" x14ac:dyDescent="0.2">
      <c r="A1256" t="s">
        <v>158</v>
      </c>
      <c r="B1256" t="s">
        <v>14</v>
      </c>
      <c r="D1256" t="s">
        <v>24</v>
      </c>
      <c r="F1256" t="s">
        <v>60</v>
      </c>
    </row>
    <row r="1257" spans="1:6" x14ac:dyDescent="0.2">
      <c r="A1257" t="s">
        <v>158</v>
      </c>
      <c r="B1257" t="s">
        <v>19</v>
      </c>
      <c r="D1257" t="s">
        <v>30</v>
      </c>
      <c r="F1257" t="s">
        <v>60</v>
      </c>
    </row>
    <row r="1258" spans="1:6" x14ac:dyDescent="0.2">
      <c r="A1258" t="s">
        <v>158</v>
      </c>
      <c r="B1258" t="s">
        <v>11</v>
      </c>
      <c r="D1258" t="s">
        <v>36</v>
      </c>
      <c r="F1258" t="s">
        <v>60</v>
      </c>
    </row>
    <row r="1259" spans="1:6" x14ac:dyDescent="0.2">
      <c r="A1259" t="s">
        <v>158</v>
      </c>
      <c r="B1259" t="s">
        <v>20</v>
      </c>
      <c r="D1259" t="s">
        <v>32</v>
      </c>
      <c r="F1259" t="s">
        <v>60</v>
      </c>
    </row>
    <row r="1260" spans="1:6" x14ac:dyDescent="0.2">
      <c r="A1260" t="s">
        <v>158</v>
      </c>
      <c r="B1260" t="s">
        <v>40</v>
      </c>
      <c r="D1260" t="s">
        <v>35</v>
      </c>
      <c r="F1260" t="s">
        <v>60</v>
      </c>
    </row>
    <row r="1261" spans="1:6" x14ac:dyDescent="0.2">
      <c r="A1261" t="s">
        <v>158</v>
      </c>
      <c r="B1261" t="s">
        <v>29</v>
      </c>
      <c r="D1261" t="s">
        <v>55</v>
      </c>
      <c r="F1261" t="s">
        <v>60</v>
      </c>
    </row>
    <row r="1262" spans="1:6" x14ac:dyDescent="0.2">
      <c r="A1262" t="s">
        <v>159</v>
      </c>
      <c r="B1262" t="s">
        <v>37</v>
      </c>
      <c r="D1262" t="s">
        <v>21</v>
      </c>
      <c r="F1262" t="s">
        <v>60</v>
      </c>
    </row>
    <row r="1263" spans="1:6" x14ac:dyDescent="0.2">
      <c r="A1263" t="s">
        <v>159</v>
      </c>
      <c r="B1263" t="s">
        <v>35</v>
      </c>
      <c r="D1263" t="s">
        <v>10</v>
      </c>
      <c r="F1263" t="s">
        <v>60</v>
      </c>
    </row>
    <row r="1264" spans="1:6" x14ac:dyDescent="0.2">
      <c r="A1264" t="s">
        <v>159</v>
      </c>
      <c r="B1264" t="s">
        <v>20</v>
      </c>
      <c r="D1264" t="s">
        <v>12</v>
      </c>
      <c r="F1264" t="s">
        <v>60</v>
      </c>
    </row>
    <row r="1265" spans="1:6" x14ac:dyDescent="0.2">
      <c r="A1265" t="s">
        <v>159</v>
      </c>
      <c r="B1265" t="s">
        <v>15</v>
      </c>
      <c r="D1265" t="s">
        <v>39</v>
      </c>
      <c r="F1265" t="s">
        <v>60</v>
      </c>
    </row>
    <row r="1266" spans="1:6" x14ac:dyDescent="0.2">
      <c r="A1266" t="s">
        <v>159</v>
      </c>
      <c r="B1266" t="s">
        <v>24</v>
      </c>
      <c r="D1266" t="s">
        <v>26</v>
      </c>
      <c r="F1266" t="s">
        <v>60</v>
      </c>
    </row>
    <row r="1267" spans="1:6" x14ac:dyDescent="0.2">
      <c r="A1267" t="s">
        <v>159</v>
      </c>
      <c r="B1267" t="s">
        <v>17</v>
      </c>
      <c r="D1267" t="s">
        <v>13</v>
      </c>
      <c r="F1267" t="s">
        <v>60</v>
      </c>
    </row>
    <row r="1268" spans="1:6" x14ac:dyDescent="0.2">
      <c r="A1268" t="s">
        <v>159</v>
      </c>
      <c r="B1268" t="s">
        <v>28</v>
      </c>
      <c r="D1268" t="s">
        <v>18</v>
      </c>
      <c r="F1268" t="s">
        <v>60</v>
      </c>
    </row>
    <row r="1269" spans="1:6" x14ac:dyDescent="0.2">
      <c r="A1269" t="s">
        <v>159</v>
      </c>
      <c r="B1269" t="s">
        <v>34</v>
      </c>
      <c r="D1269" t="s">
        <v>29</v>
      </c>
      <c r="F1269" t="s">
        <v>60</v>
      </c>
    </row>
    <row r="1270" spans="1:6" x14ac:dyDescent="0.2">
      <c r="A1270" t="s">
        <v>159</v>
      </c>
      <c r="B1270" t="s">
        <v>36</v>
      </c>
      <c r="D1270" t="s">
        <v>30</v>
      </c>
      <c r="F1270" t="s">
        <v>60</v>
      </c>
    </row>
    <row r="1271" spans="1:6" x14ac:dyDescent="0.2">
      <c r="A1271" t="s">
        <v>159</v>
      </c>
      <c r="B1271" t="s">
        <v>22</v>
      </c>
      <c r="D1271" t="s">
        <v>14</v>
      </c>
      <c r="F1271" t="s">
        <v>60</v>
      </c>
    </row>
    <row r="1272" spans="1:6" x14ac:dyDescent="0.2">
      <c r="A1272" t="s">
        <v>159</v>
      </c>
      <c r="B1272" t="s">
        <v>16</v>
      </c>
      <c r="D1272" t="s">
        <v>32</v>
      </c>
      <c r="F1272" t="s">
        <v>60</v>
      </c>
    </row>
    <row r="1273" spans="1:6" x14ac:dyDescent="0.2">
      <c r="A1273" t="s">
        <v>159</v>
      </c>
      <c r="B1273" t="s">
        <v>38</v>
      </c>
      <c r="D1273" t="s">
        <v>33</v>
      </c>
      <c r="F1273" t="s">
        <v>60</v>
      </c>
    </row>
    <row r="1274" spans="1:6" x14ac:dyDescent="0.2">
      <c r="A1274" t="s">
        <v>159</v>
      </c>
      <c r="B1274" t="s">
        <v>11</v>
      </c>
      <c r="D1274" t="s">
        <v>19</v>
      </c>
      <c r="F1274" t="s">
        <v>60</v>
      </c>
    </row>
    <row r="1275" spans="1:6" x14ac:dyDescent="0.2">
      <c r="A1275" t="s">
        <v>159</v>
      </c>
      <c r="B1275" t="s">
        <v>25</v>
      </c>
      <c r="D1275" t="s">
        <v>55</v>
      </c>
      <c r="F1275" t="s">
        <v>60</v>
      </c>
    </row>
    <row r="1276" spans="1:6" x14ac:dyDescent="0.2">
      <c r="A1276" t="s">
        <v>159</v>
      </c>
      <c r="B1276" t="s">
        <v>27</v>
      </c>
      <c r="D1276" t="s">
        <v>40</v>
      </c>
      <c r="F1276" t="s">
        <v>60</v>
      </c>
    </row>
    <row r="1277" spans="1:6" x14ac:dyDescent="0.2">
      <c r="A1277" t="s">
        <v>160</v>
      </c>
      <c r="B1277" t="s">
        <v>38</v>
      </c>
      <c r="D1277" t="s">
        <v>31</v>
      </c>
      <c r="F1277" t="s">
        <v>60</v>
      </c>
    </row>
    <row r="1278" spans="1:6" x14ac:dyDescent="0.2">
      <c r="A1278" t="s">
        <v>160</v>
      </c>
      <c r="B1278" t="s">
        <v>21</v>
      </c>
      <c r="D1278" t="s">
        <v>28</v>
      </c>
      <c r="F1278" t="s">
        <v>60</v>
      </c>
    </row>
    <row r="1279" spans="1:6" x14ac:dyDescent="0.2">
      <c r="A1279" t="s">
        <v>160</v>
      </c>
      <c r="B1279" t="s">
        <v>55</v>
      </c>
      <c r="D1279" t="s">
        <v>16</v>
      </c>
      <c r="F1279" t="s">
        <v>60</v>
      </c>
    </row>
    <row r="1280" spans="1:6" x14ac:dyDescent="0.2">
      <c r="A1280" t="s">
        <v>160</v>
      </c>
      <c r="B1280" t="s">
        <v>36</v>
      </c>
      <c r="D1280" t="s">
        <v>24</v>
      </c>
      <c r="F1280" t="s">
        <v>60</v>
      </c>
    </row>
    <row r="1281" spans="1:6" x14ac:dyDescent="0.2">
      <c r="A1281" t="s">
        <v>160</v>
      </c>
      <c r="B1281" t="s">
        <v>18</v>
      </c>
      <c r="D1281" t="s">
        <v>30</v>
      </c>
      <c r="F1281" t="s">
        <v>60</v>
      </c>
    </row>
    <row r="1282" spans="1:6" x14ac:dyDescent="0.2">
      <c r="A1282" t="s">
        <v>160</v>
      </c>
      <c r="B1282" t="s">
        <v>14</v>
      </c>
      <c r="D1282" t="s">
        <v>22</v>
      </c>
      <c r="F1282" t="s">
        <v>60</v>
      </c>
    </row>
    <row r="1283" spans="1:6" x14ac:dyDescent="0.2">
      <c r="A1283" t="s">
        <v>161</v>
      </c>
      <c r="B1283" t="s">
        <v>23</v>
      </c>
      <c r="D1283" t="s">
        <v>10</v>
      </c>
      <c r="F1283" t="s">
        <v>60</v>
      </c>
    </row>
    <row r="1284" spans="1:6" x14ac:dyDescent="0.2">
      <c r="A1284" t="s">
        <v>161</v>
      </c>
      <c r="B1284" t="s">
        <v>12</v>
      </c>
      <c r="D1284" t="s">
        <v>17</v>
      </c>
      <c r="F1284" t="s">
        <v>60</v>
      </c>
    </row>
    <row r="1285" spans="1:6" x14ac:dyDescent="0.2">
      <c r="A1285" t="s">
        <v>161</v>
      </c>
      <c r="B1285" t="s">
        <v>15</v>
      </c>
      <c r="D1285" t="s">
        <v>11</v>
      </c>
      <c r="F1285" t="s">
        <v>60</v>
      </c>
    </row>
    <row r="1286" spans="1:6" x14ac:dyDescent="0.2">
      <c r="A1286" t="s">
        <v>161</v>
      </c>
      <c r="B1286" t="s">
        <v>33</v>
      </c>
      <c r="D1286" t="s">
        <v>29</v>
      </c>
      <c r="F1286" t="s">
        <v>60</v>
      </c>
    </row>
    <row r="1287" spans="1:6" x14ac:dyDescent="0.2">
      <c r="A1287" t="s">
        <v>161</v>
      </c>
      <c r="B1287" t="s">
        <v>25</v>
      </c>
      <c r="D1287" t="s">
        <v>27</v>
      </c>
      <c r="F1287" t="s">
        <v>60</v>
      </c>
    </row>
    <row r="1288" spans="1:6" x14ac:dyDescent="0.2">
      <c r="A1288" t="s">
        <v>161</v>
      </c>
      <c r="B1288" t="s">
        <v>13</v>
      </c>
      <c r="D1288" t="s">
        <v>32</v>
      </c>
      <c r="F1288" t="s">
        <v>60</v>
      </c>
    </row>
    <row r="1289" spans="1:6" x14ac:dyDescent="0.2">
      <c r="A1289" t="s">
        <v>161</v>
      </c>
      <c r="B1289" t="s">
        <v>34</v>
      </c>
      <c r="D1289" t="s">
        <v>35</v>
      </c>
      <c r="F1289" t="s">
        <v>60</v>
      </c>
    </row>
    <row r="1290" spans="1:6" x14ac:dyDescent="0.2">
      <c r="A1290" t="s">
        <v>161</v>
      </c>
      <c r="B1290" t="s">
        <v>26</v>
      </c>
      <c r="D1290" t="s">
        <v>37</v>
      </c>
      <c r="F1290" t="s">
        <v>60</v>
      </c>
    </row>
    <row r="1291" spans="1:6" x14ac:dyDescent="0.2">
      <c r="A1291" t="s">
        <v>161</v>
      </c>
      <c r="B1291" t="s">
        <v>39</v>
      </c>
      <c r="D1291" t="s">
        <v>19</v>
      </c>
      <c r="F1291" t="s">
        <v>60</v>
      </c>
    </row>
    <row r="1292" spans="1:6" x14ac:dyDescent="0.2">
      <c r="A1292" t="s">
        <v>161</v>
      </c>
      <c r="B1292" t="s">
        <v>40</v>
      </c>
      <c r="D1292" t="s">
        <v>20</v>
      </c>
      <c r="F1292" t="s">
        <v>60</v>
      </c>
    </row>
    <row r="1293" spans="1:6" x14ac:dyDescent="0.2">
      <c r="A1293" t="s">
        <v>162</v>
      </c>
      <c r="B1293" t="s">
        <v>24</v>
      </c>
      <c r="D1293" t="s">
        <v>21</v>
      </c>
      <c r="F1293" t="s">
        <v>60</v>
      </c>
    </row>
    <row r="1294" spans="1:6" x14ac:dyDescent="0.2">
      <c r="A1294" t="s">
        <v>162</v>
      </c>
      <c r="B1294" t="s">
        <v>22</v>
      </c>
      <c r="D1294" t="s">
        <v>28</v>
      </c>
      <c r="F1294" t="s">
        <v>60</v>
      </c>
    </row>
    <row r="1295" spans="1:6" x14ac:dyDescent="0.2">
      <c r="A1295" t="s">
        <v>162</v>
      </c>
      <c r="B1295" t="s">
        <v>12</v>
      </c>
      <c r="D1295" t="s">
        <v>16</v>
      </c>
      <c r="F1295" t="s">
        <v>60</v>
      </c>
    </row>
    <row r="1296" spans="1:6" x14ac:dyDescent="0.2">
      <c r="A1296" t="s">
        <v>162</v>
      </c>
      <c r="B1296" t="s">
        <v>31</v>
      </c>
      <c r="D1296" t="s">
        <v>34</v>
      </c>
      <c r="F1296" t="s">
        <v>60</v>
      </c>
    </row>
    <row r="1297" spans="1:6" x14ac:dyDescent="0.2">
      <c r="A1297" t="s">
        <v>162</v>
      </c>
      <c r="B1297" t="s">
        <v>25</v>
      </c>
      <c r="D1297" t="s">
        <v>30</v>
      </c>
      <c r="F1297" t="s">
        <v>60</v>
      </c>
    </row>
    <row r="1298" spans="1:6" x14ac:dyDescent="0.2">
      <c r="A1298" t="s">
        <v>162</v>
      </c>
      <c r="B1298" t="s">
        <v>18</v>
      </c>
      <c r="D1298" t="s">
        <v>27</v>
      </c>
      <c r="F1298" t="s">
        <v>60</v>
      </c>
    </row>
    <row r="1299" spans="1:6" x14ac:dyDescent="0.2">
      <c r="A1299" t="s">
        <v>162</v>
      </c>
      <c r="B1299" t="s">
        <v>14</v>
      </c>
      <c r="D1299" t="s">
        <v>35</v>
      </c>
      <c r="F1299" t="s">
        <v>60</v>
      </c>
    </row>
    <row r="1300" spans="1:6" x14ac:dyDescent="0.2">
      <c r="A1300" t="s">
        <v>162</v>
      </c>
      <c r="B1300" t="s">
        <v>40</v>
      </c>
      <c r="D1300" t="s">
        <v>55</v>
      </c>
      <c r="F1300" t="s">
        <v>60</v>
      </c>
    </row>
    <row r="1301" spans="1:6" x14ac:dyDescent="0.2">
      <c r="A1301" t="s">
        <v>162</v>
      </c>
      <c r="B1301" t="s">
        <v>13</v>
      </c>
      <c r="D1301" t="s">
        <v>38</v>
      </c>
      <c r="F1301" t="s">
        <v>60</v>
      </c>
    </row>
    <row r="1302" spans="1:6" x14ac:dyDescent="0.2">
      <c r="A1302" t="s">
        <v>163</v>
      </c>
      <c r="B1302" t="s">
        <v>39</v>
      </c>
      <c r="D1302" t="s">
        <v>23</v>
      </c>
      <c r="F1302" t="s">
        <v>60</v>
      </c>
    </row>
    <row r="1303" spans="1:6" x14ac:dyDescent="0.2">
      <c r="A1303" t="s">
        <v>163</v>
      </c>
      <c r="B1303" t="s">
        <v>33</v>
      </c>
      <c r="D1303" t="s">
        <v>10</v>
      </c>
      <c r="F1303" t="s">
        <v>60</v>
      </c>
    </row>
    <row r="1304" spans="1:6" x14ac:dyDescent="0.2">
      <c r="A1304" t="s">
        <v>163</v>
      </c>
      <c r="B1304" t="s">
        <v>26</v>
      </c>
      <c r="D1304" t="s">
        <v>11</v>
      </c>
      <c r="F1304" t="s">
        <v>60</v>
      </c>
    </row>
    <row r="1305" spans="1:6" x14ac:dyDescent="0.2">
      <c r="A1305" t="s">
        <v>163</v>
      </c>
      <c r="B1305" t="s">
        <v>19</v>
      </c>
      <c r="D1305" t="s">
        <v>36</v>
      </c>
      <c r="F1305" t="s">
        <v>60</v>
      </c>
    </row>
    <row r="1306" spans="1:6" x14ac:dyDescent="0.2">
      <c r="A1306" t="s">
        <v>163</v>
      </c>
      <c r="B1306" t="s">
        <v>15</v>
      </c>
      <c r="D1306" t="s">
        <v>37</v>
      </c>
      <c r="F1306" t="s">
        <v>60</v>
      </c>
    </row>
    <row r="1307" spans="1:6" x14ac:dyDescent="0.2">
      <c r="A1307" t="s">
        <v>163</v>
      </c>
      <c r="B1307" t="s">
        <v>32</v>
      </c>
      <c r="D1307" t="s">
        <v>20</v>
      </c>
      <c r="F1307" t="s">
        <v>60</v>
      </c>
    </row>
    <row r="1308" spans="1:6" x14ac:dyDescent="0.2">
      <c r="A1308" t="s">
        <v>164</v>
      </c>
      <c r="B1308" t="s">
        <v>13</v>
      </c>
      <c r="D1308" t="s">
        <v>16</v>
      </c>
      <c r="F1308" t="s">
        <v>60</v>
      </c>
    </row>
    <row r="1309" spans="1:6" x14ac:dyDescent="0.2">
      <c r="A1309" t="s">
        <v>164</v>
      </c>
      <c r="B1309" t="s">
        <v>32</v>
      </c>
      <c r="D1309" t="s">
        <v>12</v>
      </c>
      <c r="F1309" t="s">
        <v>60</v>
      </c>
    </row>
    <row r="1310" spans="1:6" x14ac:dyDescent="0.2">
      <c r="A1310" t="s">
        <v>164</v>
      </c>
      <c r="B1310" t="s">
        <v>38</v>
      </c>
      <c r="D1310" t="s">
        <v>17</v>
      </c>
      <c r="F1310" t="s">
        <v>60</v>
      </c>
    </row>
    <row r="1311" spans="1:6" x14ac:dyDescent="0.2">
      <c r="A1311" t="s">
        <v>164</v>
      </c>
      <c r="B1311" t="s">
        <v>31</v>
      </c>
      <c r="D1311" t="s">
        <v>29</v>
      </c>
      <c r="F1311" t="s">
        <v>60</v>
      </c>
    </row>
    <row r="1312" spans="1:6" x14ac:dyDescent="0.2">
      <c r="A1312" t="s">
        <v>164</v>
      </c>
      <c r="B1312" t="s">
        <v>35</v>
      </c>
      <c r="D1312" t="s">
        <v>55</v>
      </c>
      <c r="F1312" t="s">
        <v>60</v>
      </c>
    </row>
    <row r="1313" spans="1:6" x14ac:dyDescent="0.2">
      <c r="A1313" t="s">
        <v>164</v>
      </c>
      <c r="B1313" t="s">
        <v>33</v>
      </c>
      <c r="D1313" t="s">
        <v>40</v>
      </c>
      <c r="F1313" t="s">
        <v>60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2822-7092-1C4D-84DD-320397CB4560}">
  <sheetPr codeName="Sheet2"/>
  <dimension ref="A1:J1317"/>
  <sheetViews>
    <sheetView zoomScale="90" zoomScaleNormal="90" workbookViewId="0">
      <selection activeCell="J3" sqref="J3"/>
    </sheetView>
  </sheetViews>
  <sheetFormatPr baseColWidth="10" defaultColWidth="10.83203125" defaultRowHeight="16" x14ac:dyDescent="0.2"/>
  <cols>
    <col min="1" max="1" width="19.83203125" bestFit="1" customWidth="1"/>
    <col min="4" max="4" width="19.83203125" bestFit="1" customWidth="1"/>
    <col min="5" max="5" width="11.5" bestFit="1" customWidth="1"/>
    <col min="6" max="6" width="19.83203125" bestFit="1" customWidth="1"/>
    <col min="7" max="7" width="10.1640625" customWidth="1"/>
    <col min="8" max="8" width="14.1640625" customWidth="1"/>
    <col min="9" max="9" width="15.83203125" customWidth="1"/>
    <col min="10" max="10" width="19.33203125" customWidth="1"/>
  </cols>
  <sheetData>
    <row r="1" spans="1:10" x14ac:dyDescent="0.2">
      <c r="A1" s="3" t="s">
        <v>41</v>
      </c>
      <c r="B1">
        <v>0.12960698581152411</v>
      </c>
    </row>
    <row r="2" spans="1:10" x14ac:dyDescent="0.2">
      <c r="J2" s="3" t="s">
        <v>49</v>
      </c>
    </row>
    <row r="3" spans="1:10" x14ac:dyDescent="0.2">
      <c r="B3">
        <v>0</v>
      </c>
      <c r="J3">
        <f>SUM(Table3[Squared Difference])</f>
        <v>5481.6372135704396</v>
      </c>
    </row>
    <row r="5" spans="1:10" x14ac:dyDescent="0.2">
      <c r="D5" s="8" t="s">
        <v>2</v>
      </c>
      <c r="E5" s="8" t="s">
        <v>3</v>
      </c>
      <c r="F5" s="8" t="s">
        <v>4</v>
      </c>
      <c r="G5" s="8" t="s">
        <v>5</v>
      </c>
      <c r="H5" s="7" t="s">
        <v>46</v>
      </c>
      <c r="I5" s="6" t="s">
        <v>47</v>
      </c>
      <c r="J5" s="6" t="s">
        <v>48</v>
      </c>
    </row>
    <row r="6" spans="1:10" x14ac:dyDescent="0.2">
      <c r="A6" s="3" t="s">
        <v>42</v>
      </c>
      <c r="B6" s="3" t="s">
        <v>43</v>
      </c>
      <c r="D6" t="s">
        <v>10</v>
      </c>
      <c r="E6">
        <f>'NHL2025-26Results'!C2</f>
        <v>2</v>
      </c>
      <c r="F6" t="s">
        <v>11</v>
      </c>
      <c r="G6">
        <f>'NHL2025-26Results'!E2</f>
        <v>3</v>
      </c>
      <c r="H6">
        <f>Table3[[#This Row],[G_1]]-Table3[[#This Row],[G]]</f>
        <v>1</v>
      </c>
      <c r="I6">
        <f>HomeEdge+VLOOKUP(Table3[[#This Row],[Home]],$A$6:$B$38,2,FALSE)-VLOOKUP(Table3[[#This Row],[Visitor]],$A$6:$B$38,2,FALSE)</f>
        <v>0.49923563590546194</v>
      </c>
      <c r="J6">
        <f>(Table3[[#This Row],[HomeMargin]]-Table3[[#This Row],[HomeForecast]])^2</f>
        <v>0.25076494834700708</v>
      </c>
    </row>
    <row r="7" spans="1:10" x14ac:dyDescent="0.2">
      <c r="A7" s="4" t="s">
        <v>31</v>
      </c>
      <c r="B7">
        <v>-0.46360583111358089</v>
      </c>
      <c r="D7" t="s">
        <v>12</v>
      </c>
      <c r="E7">
        <f>'NHL2025-26Results'!C3</f>
        <v>4</v>
      </c>
      <c r="F7" t="s">
        <v>13</v>
      </c>
      <c r="G7">
        <f>'NHL2025-26Results'!E3</f>
        <v>1</v>
      </c>
      <c r="H7">
        <f>Table3[[#This Row],[G_1]]-Table3[[#This Row],[G]]</f>
        <v>-3</v>
      </c>
      <c r="I7">
        <f>HomeEdge+VLOOKUP(Table3[[#This Row],[Home]],$A$6:$B$38,2,FALSE)-VLOOKUP(Table3[[#This Row],[Visitor]],$A$6:$B$38,2,FALSE)</f>
        <v>-1.4597567465727801</v>
      </c>
      <c r="J7">
        <f>(Table3[[#This Row],[HomeMargin]]-Table3[[#This Row],[HomeForecast]])^2</f>
        <v>2.3723492797280672</v>
      </c>
    </row>
    <row r="8" spans="1:10" x14ac:dyDescent="0.2">
      <c r="A8" s="4" t="s">
        <v>21</v>
      </c>
      <c r="B8">
        <v>-0.10253061303059285</v>
      </c>
      <c r="D8" t="s">
        <v>14</v>
      </c>
      <c r="E8">
        <f>'NHL2025-26Results'!C4</f>
        <v>3</v>
      </c>
      <c r="F8" t="s">
        <v>15</v>
      </c>
      <c r="G8">
        <f>'NHL2025-26Results'!E4</f>
        <v>0</v>
      </c>
      <c r="H8">
        <f>Table3[[#This Row],[G_1]]-Table3[[#This Row],[G]]</f>
        <v>-3</v>
      </c>
      <c r="I8">
        <f>HomeEdge+VLOOKUP(Table3[[#This Row],[Home]],$A$6:$B$38,2,FALSE)-VLOOKUP(Table3[[#This Row],[Visitor]],$A$6:$B$38,2,FALSE)</f>
        <v>-0.6069485184659702</v>
      </c>
      <c r="J8">
        <f>(Table3[[#This Row],[HomeMargin]]-Table3[[#This Row],[HomeForecast]])^2</f>
        <v>5.7266953932722151</v>
      </c>
    </row>
    <row r="9" spans="1:10" x14ac:dyDescent="0.2">
      <c r="A9" s="4" t="s">
        <v>23</v>
      </c>
      <c r="B9">
        <v>8.1543966060426461E-3</v>
      </c>
      <c r="D9" t="s">
        <v>16</v>
      </c>
      <c r="E9">
        <f>'NHL2025-26Results'!C5</f>
        <v>4</v>
      </c>
      <c r="F9" t="s">
        <v>17</v>
      </c>
      <c r="G9">
        <f>'NHL2025-26Results'!E5</f>
        <v>3</v>
      </c>
      <c r="H9">
        <f>Table3[[#This Row],[G_1]]-Table3[[#This Row],[G]]</f>
        <v>-1</v>
      </c>
      <c r="I9">
        <f>HomeEdge+VLOOKUP(Table3[[#This Row],[Home]],$A$6:$B$38,2,FALSE)-VLOOKUP(Table3[[#This Row],[Visitor]],$A$6:$B$38,2,FALSE)</f>
        <v>0.65529325494545054</v>
      </c>
      <c r="J9">
        <f>(Table3[[#This Row],[HomeMargin]]-Table3[[#This Row],[HomeForecast]])^2</f>
        <v>2.7399957598679041</v>
      </c>
    </row>
    <row r="10" spans="1:10" x14ac:dyDescent="0.2">
      <c r="A10" s="4" t="s">
        <v>16</v>
      </c>
      <c r="B10">
        <v>-0.89031221864884547</v>
      </c>
      <c r="D10" t="s">
        <v>18</v>
      </c>
      <c r="E10">
        <f>'NHL2025-26Results'!C6</f>
        <v>2</v>
      </c>
      <c r="F10" t="s">
        <v>19</v>
      </c>
      <c r="G10">
        <f>'NHL2025-26Results'!E6</f>
        <v>5</v>
      </c>
      <c r="H10">
        <f>Table3[[#This Row],[G_1]]-Table3[[#This Row],[G]]</f>
        <v>3</v>
      </c>
      <c r="I10">
        <f>HomeEdge+VLOOKUP(Table3[[#This Row],[Home]],$A$6:$B$38,2,FALSE)-VLOOKUP(Table3[[#This Row],[Visitor]],$A$6:$B$38,2,FALSE)</f>
        <v>-0.22639890570923168</v>
      </c>
      <c r="J10">
        <f>(Table3[[#This Row],[HomeMargin]]-Table3[[#This Row],[HomeForecast]])^2</f>
        <v>10.409649898761728</v>
      </c>
    </row>
    <row r="11" spans="1:10" x14ac:dyDescent="0.2">
      <c r="A11" s="4" t="s">
        <v>25</v>
      </c>
      <c r="B11">
        <v>0.2324942014830165</v>
      </c>
      <c r="D11" t="s">
        <v>13</v>
      </c>
      <c r="E11">
        <f>'NHL2025-26Results'!C7</f>
        <v>6</v>
      </c>
      <c r="F11" t="s">
        <v>20</v>
      </c>
      <c r="G11">
        <f>'NHL2025-26Results'!E7</f>
        <v>5</v>
      </c>
      <c r="H11">
        <f>Table3[[#This Row],[G_1]]-Table3[[#This Row],[G]]</f>
        <v>-1</v>
      </c>
      <c r="I11">
        <f>HomeEdge+VLOOKUP(Table3[[#This Row],[Home]],$A$6:$B$38,2,FALSE)-VLOOKUP(Table3[[#This Row],[Visitor]],$A$6:$B$38,2,FALSE)</f>
        <v>0.55733925048231003</v>
      </c>
      <c r="J11">
        <f>(Table3[[#This Row],[HomeMargin]]-Table3[[#This Row],[HomeForecast]])^2</f>
        <v>2.4253055410928033</v>
      </c>
    </row>
    <row r="12" spans="1:10" x14ac:dyDescent="0.2">
      <c r="A12" s="4" t="s">
        <v>10</v>
      </c>
      <c r="B12">
        <v>-0.92658078135875344</v>
      </c>
      <c r="D12" t="s">
        <v>21</v>
      </c>
      <c r="E12">
        <f>'NHL2025-26Results'!C8</f>
        <v>3</v>
      </c>
      <c r="F12" t="s">
        <v>22</v>
      </c>
      <c r="G12">
        <f>'NHL2025-26Results'!E8</f>
        <v>1</v>
      </c>
      <c r="H12">
        <f>Table3[[#This Row],[G_1]]-Table3[[#This Row],[G]]</f>
        <v>-2</v>
      </c>
      <c r="I12">
        <f>HomeEdge+VLOOKUP(Table3[[#This Row],[Home]],$A$6:$B$38,2,FALSE)-VLOOKUP(Table3[[#This Row],[Visitor]],$A$6:$B$38,2,FALSE)</f>
        <v>0.11236166700560281</v>
      </c>
      <c r="J12">
        <f>(Table3[[#This Row],[HomeMargin]]-Table3[[#This Row],[HomeForecast]])^2</f>
        <v>4.4620718122346883</v>
      </c>
    </row>
    <row r="13" spans="1:10" x14ac:dyDescent="0.2">
      <c r="A13" s="4" t="s">
        <v>12</v>
      </c>
      <c r="B13">
        <v>0.99866683349964291</v>
      </c>
      <c r="D13" t="s">
        <v>10</v>
      </c>
      <c r="E13">
        <f>'NHL2025-26Results'!C9</f>
        <v>3</v>
      </c>
      <c r="F13" t="s">
        <v>21</v>
      </c>
      <c r="G13">
        <f>'NHL2025-26Results'!E9</f>
        <v>4</v>
      </c>
      <c r="H13">
        <f>Table3[[#This Row],[G_1]]-Table3[[#This Row],[G]]</f>
        <v>1</v>
      </c>
      <c r="I13">
        <f>HomeEdge+VLOOKUP(Table3[[#This Row],[Home]],$A$6:$B$38,2,FALSE)-VLOOKUP(Table3[[#This Row],[Visitor]],$A$6:$B$38,2,FALSE)</f>
        <v>0.95365715413968466</v>
      </c>
      <c r="J13">
        <f>(Table3[[#This Row],[HomeMargin]]-Table3[[#This Row],[HomeForecast]])^2</f>
        <v>2.1476593624329466E-3</v>
      </c>
    </row>
    <row r="14" spans="1:10" x14ac:dyDescent="0.2">
      <c r="A14" s="4" t="s">
        <v>28</v>
      </c>
      <c r="B14">
        <v>-0.28156479873410767</v>
      </c>
      <c r="D14" t="s">
        <v>15</v>
      </c>
      <c r="E14">
        <f>'NHL2025-26Results'!C10</f>
        <v>4</v>
      </c>
      <c r="F14" t="s">
        <v>23</v>
      </c>
      <c r="G14">
        <f>'NHL2025-26Results'!E10</f>
        <v>0</v>
      </c>
      <c r="H14">
        <f>Table3[[#This Row],[G_1]]-Table3[[#This Row],[G]]</f>
        <v>-4</v>
      </c>
      <c r="I14">
        <f>HomeEdge+VLOOKUP(Table3[[#This Row],[Home]],$A$6:$B$38,2,FALSE)-VLOOKUP(Table3[[#This Row],[Visitor]],$A$6:$B$38,2,FALSE)</f>
        <v>0.87428053718160004</v>
      </c>
      <c r="J14">
        <f>(Table3[[#This Row],[HomeMargin]]-Table3[[#This Row],[HomeForecast]])^2</f>
        <v>23.758610755147348</v>
      </c>
    </row>
    <row r="15" spans="1:10" x14ac:dyDescent="0.2">
      <c r="A15" s="4" t="s">
        <v>39</v>
      </c>
      <c r="B15">
        <v>0.21708030788125537</v>
      </c>
      <c r="D15" t="s">
        <v>24</v>
      </c>
      <c r="E15">
        <f>'NHL2025-26Results'!C11</f>
        <v>3</v>
      </c>
      <c r="F15" t="s">
        <v>25</v>
      </c>
      <c r="G15">
        <f>'NHL2025-26Results'!E11</f>
        <v>6</v>
      </c>
      <c r="H15">
        <f>Table3[[#This Row],[G_1]]-Table3[[#This Row],[G]]</f>
        <v>3</v>
      </c>
      <c r="I15">
        <f>HomeEdge+VLOOKUP(Table3[[#This Row],[Home]],$A$6:$B$38,2,FALSE)-VLOOKUP(Table3[[#This Row],[Visitor]],$A$6:$B$38,2,FALSE)</f>
        <v>1.1072092226224646</v>
      </c>
      <c r="J15">
        <f>(Table3[[#This Row],[HomeMargin]]-Table3[[#This Row],[HomeForecast]])^2</f>
        <v>3.5826569269254547</v>
      </c>
    </row>
    <row r="16" spans="1:10" x14ac:dyDescent="0.2">
      <c r="A16" s="4" t="s">
        <v>26</v>
      </c>
      <c r="B16">
        <v>-0.33113778518110382</v>
      </c>
      <c r="D16" t="s">
        <v>55</v>
      </c>
      <c r="E16">
        <f>'NHL2025-26Results'!C12</f>
        <v>1</v>
      </c>
      <c r="F16" t="s">
        <v>12</v>
      </c>
      <c r="G16">
        <f>'NHL2025-26Results'!E12</f>
        <v>2</v>
      </c>
      <c r="H16">
        <f>Table3[[#This Row],[G_1]]-Table3[[#This Row],[G]]</f>
        <v>1</v>
      </c>
      <c r="I16">
        <f>HomeEdge+VLOOKUP(Table3[[#This Row],[Home]],$A$6:$B$38,2,FALSE)-VLOOKUP(Table3[[#This Row],[Visitor]],$A$6:$B$38,2,FALSE)</f>
        <v>1.0441790934825554</v>
      </c>
      <c r="J16">
        <f>(Table3[[#This Row],[HomeMargin]]-Table3[[#This Row],[HomeForecast]])^2</f>
        <v>1.9517923009403728E-3</v>
      </c>
    </row>
    <row r="17" spans="1:10" x14ac:dyDescent="0.2">
      <c r="A17" s="4" t="s">
        <v>17</v>
      </c>
      <c r="B17">
        <v>-0.36462594951491906</v>
      </c>
      <c r="D17" t="s">
        <v>18</v>
      </c>
      <c r="E17">
        <f>'NHL2025-26Results'!C13</f>
        <v>5</v>
      </c>
      <c r="F17" t="s">
        <v>26</v>
      </c>
      <c r="G17">
        <f>'NHL2025-26Results'!E13</f>
        <v>1</v>
      </c>
      <c r="H17">
        <f>Table3[[#This Row],[G_1]]-Table3[[#This Row],[G]]</f>
        <v>-4</v>
      </c>
      <c r="I17">
        <f>HomeEdge+VLOOKUP(Table3[[#This Row],[Home]],$A$6:$B$38,2,FALSE)-VLOOKUP(Table3[[#This Row],[Visitor]],$A$6:$B$38,2,FALSE)</f>
        <v>-0.1152561226034941</v>
      </c>
      <c r="J17">
        <f>(Table3[[#This Row],[HomeMargin]]-Table3[[#This Row],[HomeForecast]])^2</f>
        <v>15.091234992969639</v>
      </c>
    </row>
    <row r="18" spans="1:10" x14ac:dyDescent="0.2">
      <c r="A18" s="4" t="s">
        <v>11</v>
      </c>
      <c r="B18">
        <v>-0.55695213126481558</v>
      </c>
      <c r="D18" t="s">
        <v>27</v>
      </c>
      <c r="E18">
        <f>'NHL2025-26Results'!C14</f>
        <v>1</v>
      </c>
      <c r="F18" t="s">
        <v>11</v>
      </c>
      <c r="G18">
        <f>'NHL2025-26Results'!E14</f>
        <v>2</v>
      </c>
      <c r="H18">
        <f>Table3[[#This Row],[G_1]]-Table3[[#This Row],[G]]</f>
        <v>1</v>
      </c>
      <c r="I18">
        <f>HomeEdge+VLOOKUP(Table3[[#This Row],[Home]],$A$6:$B$38,2,FALSE)-VLOOKUP(Table3[[#This Row],[Visitor]],$A$6:$B$38,2,FALSE)</f>
        <v>0.12363419383846541</v>
      </c>
      <c r="J18">
        <f>(Table3[[#This Row],[HomeMargin]]-Table3[[#This Row],[HomeForecast]])^2</f>
        <v>0.76801702620915646</v>
      </c>
    </row>
    <row r="19" spans="1:10" x14ac:dyDescent="0.2">
      <c r="A19" s="4" t="s">
        <v>13</v>
      </c>
      <c r="B19">
        <v>-0.59069689888466137</v>
      </c>
      <c r="D19" t="s">
        <v>28</v>
      </c>
      <c r="E19">
        <f>'NHL2025-26Results'!C15</f>
        <v>1</v>
      </c>
      <c r="F19" t="s">
        <v>29</v>
      </c>
      <c r="G19">
        <f>'NHL2025-26Results'!E15</f>
        <v>2</v>
      </c>
      <c r="H19">
        <f>Table3[[#This Row],[G_1]]-Table3[[#This Row],[G]]</f>
        <v>1</v>
      </c>
      <c r="I19">
        <f>HomeEdge+VLOOKUP(Table3[[#This Row],[Home]],$A$6:$B$38,2,FALSE)-VLOOKUP(Table3[[#This Row],[Visitor]],$A$6:$B$38,2,FALSE)</f>
        <v>-0.40939302666235566</v>
      </c>
      <c r="J19">
        <f>(Table3[[#This Row],[HomeMargin]]-Table3[[#This Row],[HomeForecast]])^2</f>
        <v>1.9863887036044752</v>
      </c>
    </row>
    <row r="20" spans="1:10" x14ac:dyDescent="0.2">
      <c r="A20" s="4" t="s">
        <v>34</v>
      </c>
      <c r="B20">
        <v>6.0485283743665949E-2</v>
      </c>
      <c r="D20" t="s">
        <v>30</v>
      </c>
      <c r="E20">
        <f>'NHL2025-26Results'!C16</f>
        <v>3</v>
      </c>
      <c r="F20" t="s">
        <v>14</v>
      </c>
      <c r="G20">
        <f>'NHL2025-26Results'!E16</f>
        <v>4</v>
      </c>
      <c r="H20">
        <f>Table3[[#This Row],[G_1]]-Table3[[#This Row],[G]]</f>
        <v>1</v>
      </c>
      <c r="I20">
        <f>HomeEdge+VLOOKUP(Table3[[#This Row],[Home]],$A$6:$B$38,2,FALSE)-VLOOKUP(Table3[[#This Row],[Visitor]],$A$6:$B$38,2,FALSE)</f>
        <v>0.31594796090728228</v>
      </c>
      <c r="J20">
        <f>(Table3[[#This Row],[HomeMargin]]-Table3[[#This Row],[HomeForecast]])^2</f>
        <v>0.46792719218690504</v>
      </c>
    </row>
    <row r="21" spans="1:10" x14ac:dyDescent="0.2">
      <c r="A21" s="4" t="s">
        <v>18</v>
      </c>
      <c r="B21">
        <v>-8.6274676766085606E-2</v>
      </c>
      <c r="D21" t="s">
        <v>31</v>
      </c>
      <c r="E21">
        <f>'NHL2025-26Results'!C17</f>
        <v>1</v>
      </c>
      <c r="F21" t="s">
        <v>32</v>
      </c>
      <c r="G21">
        <f>'NHL2025-26Results'!E17</f>
        <v>3</v>
      </c>
      <c r="H21">
        <f>Table3[[#This Row],[G_1]]-Table3[[#This Row],[G]]</f>
        <v>2</v>
      </c>
      <c r="I21">
        <f>HomeEdge+VLOOKUP(Table3[[#This Row],[Home]],$A$6:$B$38,2,FALSE)-VLOOKUP(Table3[[#This Row],[Visitor]],$A$6:$B$38,2,FALSE)</f>
        <v>0.11084566254705297</v>
      </c>
      <c r="J21">
        <f>(Table3[[#This Row],[HomeMargin]]-Table3[[#This Row],[HomeForecast]])^2</f>
        <v>3.5689041107172828</v>
      </c>
    </row>
    <row r="22" spans="1:10" x14ac:dyDescent="0.2">
      <c r="A22" s="4" t="s">
        <v>29</v>
      </c>
      <c r="B22">
        <v>-0.82056481120798741</v>
      </c>
      <c r="D22" t="s">
        <v>20</v>
      </c>
      <c r="E22">
        <f>'NHL2025-26Results'!C18</f>
        <v>4</v>
      </c>
      <c r="F22" t="s">
        <v>33</v>
      </c>
      <c r="G22">
        <f>'NHL2025-26Results'!E18</f>
        <v>3</v>
      </c>
      <c r="H22">
        <f>Table3[[#This Row],[G_1]]-Table3[[#This Row],[G]]</f>
        <v>-1</v>
      </c>
      <c r="I22">
        <f>HomeEdge+VLOOKUP(Table3[[#This Row],[Home]],$A$6:$B$38,2,FALSE)-VLOOKUP(Table3[[#This Row],[Visitor]],$A$6:$B$38,2,FALSE)</f>
        <v>-0.35979420490836322</v>
      </c>
      <c r="J22">
        <f>(Table3[[#This Row],[HomeMargin]]-Table3[[#This Row],[HomeForecast]])^2</f>
        <v>0.40986346006891483</v>
      </c>
    </row>
    <row r="23" spans="1:10" x14ac:dyDescent="0.2">
      <c r="A23" s="4" t="s">
        <v>24</v>
      </c>
      <c r="B23">
        <v>-0.74510803532792402</v>
      </c>
      <c r="D23" t="s">
        <v>34</v>
      </c>
      <c r="E23">
        <f>'NHL2025-26Results'!C19</f>
        <v>5</v>
      </c>
      <c r="F23" t="s">
        <v>35</v>
      </c>
      <c r="G23">
        <f>'NHL2025-26Results'!E19</f>
        <v>0</v>
      </c>
      <c r="H23">
        <f>Table3[[#This Row],[G_1]]-Table3[[#This Row],[G]]</f>
        <v>-5</v>
      </c>
      <c r="I23">
        <f>HomeEdge+VLOOKUP(Table3[[#This Row],[Home]],$A$6:$B$38,2,FALSE)-VLOOKUP(Table3[[#This Row],[Visitor]],$A$6:$B$38,2,FALSE)</f>
        <v>-1.2437355712369327</v>
      </c>
      <c r="J23">
        <f>(Table3[[#This Row],[HomeMargin]]-Table3[[#This Row],[HomeForecast]])^2</f>
        <v>14.109522458790734</v>
      </c>
    </row>
    <row r="24" spans="1:10" x14ac:dyDescent="0.2">
      <c r="A24" s="4" t="s">
        <v>30</v>
      </c>
      <c r="B24">
        <v>-0.18630462558229716</v>
      </c>
      <c r="D24" t="s">
        <v>36</v>
      </c>
      <c r="E24">
        <f>'NHL2025-26Results'!C20</f>
        <v>5</v>
      </c>
      <c r="F24" t="s">
        <v>37</v>
      </c>
      <c r="G24">
        <f>'NHL2025-26Results'!E20</f>
        <v>4</v>
      </c>
      <c r="H24">
        <f>Table3[[#This Row],[G_1]]-Table3[[#This Row],[G]]</f>
        <v>-1</v>
      </c>
      <c r="I24">
        <f>HomeEdge+VLOOKUP(Table3[[#This Row],[Home]],$A$6:$B$38,2,FALSE)-VLOOKUP(Table3[[#This Row],[Visitor]],$A$6:$B$38,2,FALSE)</f>
        <v>1.0407963157794859</v>
      </c>
      <c r="J24">
        <f>(Table3[[#This Row],[HomeMargin]]-Table3[[#This Row],[HomeForecast]])^2</f>
        <v>4.1648496024991237</v>
      </c>
    </row>
    <row r="25" spans="1:10" x14ac:dyDescent="0.2">
      <c r="A25" s="4" t="s">
        <v>15</v>
      </c>
      <c r="B25">
        <v>-0.73651915476403329</v>
      </c>
      <c r="D25" t="s">
        <v>16</v>
      </c>
      <c r="E25">
        <f>'NHL2025-26Results'!C21</f>
        <v>1</v>
      </c>
      <c r="F25" t="s">
        <v>38</v>
      </c>
      <c r="G25">
        <f>'NHL2025-26Results'!E21</f>
        <v>5</v>
      </c>
      <c r="H25">
        <f>Table3[[#This Row],[G_1]]-Table3[[#This Row],[G]]</f>
        <v>4</v>
      </c>
      <c r="I25">
        <f>HomeEdge+VLOOKUP(Table3[[#This Row],[Home]],$A$6:$B$38,2,FALSE)-VLOOKUP(Table3[[#This Row],[Visitor]],$A$6:$B$38,2,FALSE)</f>
        <v>-0.372084098425425</v>
      </c>
      <c r="J25">
        <f>(Table3[[#This Row],[HomeMargin]]-Table3[[#This Row],[HomeForecast]])^2</f>
        <v>19.115119363704462</v>
      </c>
    </row>
    <row r="26" spans="1:10" x14ac:dyDescent="0.2">
      <c r="A26" s="4" t="s">
        <v>36</v>
      </c>
      <c r="B26">
        <v>-0.19010748264223354</v>
      </c>
      <c r="D26" t="s">
        <v>39</v>
      </c>
      <c r="E26">
        <f>'NHL2025-26Results'!C22</f>
        <v>5</v>
      </c>
      <c r="F26" t="s">
        <v>40</v>
      </c>
      <c r="G26">
        <f>'NHL2025-26Results'!E22</f>
        <v>4</v>
      </c>
      <c r="H26">
        <f>Table3[[#This Row],[G_1]]-Table3[[#This Row],[G]]</f>
        <v>-1</v>
      </c>
      <c r="I26">
        <f>HomeEdge+VLOOKUP(Table3[[#This Row],[Home]],$A$6:$B$38,2,FALSE)-VLOOKUP(Table3[[#This Row],[Visitor]],$A$6:$B$38,2,FALSE)</f>
        <v>-0.6759247945499538</v>
      </c>
      <c r="J26">
        <f>(Table3[[#This Row],[HomeMargin]]-Table3[[#This Row],[HomeForecast]])^2</f>
        <v>0.10502473878748965</v>
      </c>
    </row>
    <row r="27" spans="1:10" x14ac:dyDescent="0.2">
      <c r="A27" s="4" t="s">
        <v>27</v>
      </c>
      <c r="B27">
        <v>-0.55097933929175691</v>
      </c>
      <c r="D27" t="s">
        <v>23</v>
      </c>
      <c r="E27">
        <f>'NHL2025-26Results'!C23</f>
        <v>1</v>
      </c>
      <c r="F27" t="s">
        <v>21</v>
      </c>
      <c r="G27">
        <f>'NHL2025-26Results'!E23</f>
        <v>3</v>
      </c>
      <c r="H27">
        <f>Table3[[#This Row],[G_1]]-Table3[[#This Row],[G]]</f>
        <v>2</v>
      </c>
      <c r="I27">
        <f>HomeEdge+VLOOKUP(Table3[[#This Row],[Home]],$A$6:$B$38,2,FALSE)-VLOOKUP(Table3[[#This Row],[Visitor]],$A$6:$B$38,2,FALSE)</f>
        <v>1.8921976174888604E-2</v>
      </c>
      <c r="J27">
        <f>(Table3[[#This Row],[HomeMargin]]-Table3[[#This Row],[HomeForecast]])^2</f>
        <v>3.9246701364828085</v>
      </c>
    </row>
    <row r="28" spans="1:10" x14ac:dyDescent="0.2">
      <c r="A28" s="4" t="s">
        <v>14</v>
      </c>
      <c r="B28">
        <v>3.6349513460996066E-5</v>
      </c>
      <c r="D28" t="s">
        <v>27</v>
      </c>
      <c r="E28">
        <f>'NHL2025-26Results'!C24</f>
        <v>3</v>
      </c>
      <c r="F28" t="s">
        <v>25</v>
      </c>
      <c r="G28">
        <f>'NHL2025-26Results'!E24</f>
        <v>4</v>
      </c>
      <c r="H28">
        <f>Table3[[#This Row],[G_1]]-Table3[[#This Row],[G]]</f>
        <v>1</v>
      </c>
      <c r="I28">
        <f>HomeEdge+VLOOKUP(Table3[[#This Row],[Home]],$A$6:$B$38,2,FALSE)-VLOOKUP(Table3[[#This Row],[Visitor]],$A$6:$B$38,2,FALSE)</f>
        <v>0.91308052658629757</v>
      </c>
      <c r="J28">
        <f>(Table3[[#This Row],[HomeMargin]]-Table3[[#This Row],[HomeForecast]])^2</f>
        <v>7.5549948585153237E-3</v>
      </c>
    </row>
    <row r="29" spans="1:10" x14ac:dyDescent="0.2">
      <c r="A29" s="4" t="s">
        <v>33</v>
      </c>
      <c r="B29">
        <v>-0.65236582493376272</v>
      </c>
      <c r="D29" t="s">
        <v>35</v>
      </c>
      <c r="E29">
        <f>'NHL2025-26Results'!C25</f>
        <v>4</v>
      </c>
      <c r="F29" t="s">
        <v>16</v>
      </c>
      <c r="G29">
        <f>'NHL2025-26Results'!E25</f>
        <v>2</v>
      </c>
      <c r="H29">
        <f>Table3[[#This Row],[G_1]]-Table3[[#This Row],[G]]</f>
        <v>-2</v>
      </c>
      <c r="I29">
        <f>HomeEdge+VLOOKUP(Table3[[#This Row],[Home]],$A$6:$B$38,2,FALSE)-VLOOKUP(Table3[[#This Row],[Visitor]],$A$6:$B$38,2,FALSE)</f>
        <v>0.55215204046746935</v>
      </c>
      <c r="J29">
        <f>(Table3[[#This Row],[HomeMargin]]-Table3[[#This Row],[HomeForecast]])^2</f>
        <v>6.5134800376622675</v>
      </c>
    </row>
    <row r="30" spans="1:10" x14ac:dyDescent="0.2">
      <c r="A30" s="4" t="s">
        <v>32</v>
      </c>
      <c r="B30">
        <v>-0.48236715437805205</v>
      </c>
      <c r="D30" t="s">
        <v>18</v>
      </c>
      <c r="E30">
        <f>'NHL2025-26Results'!C26</f>
        <v>3</v>
      </c>
      <c r="F30" t="s">
        <v>10</v>
      </c>
      <c r="G30">
        <f>'NHL2025-26Results'!E26</f>
        <v>2</v>
      </c>
      <c r="H30">
        <f>Table3[[#This Row],[G_1]]-Table3[[#This Row],[G]]</f>
        <v>-1</v>
      </c>
      <c r="I30">
        <f>HomeEdge+VLOOKUP(Table3[[#This Row],[Home]],$A$6:$B$38,2,FALSE)-VLOOKUP(Table3[[#This Row],[Visitor]],$A$6:$B$38,2,FALSE)</f>
        <v>-0.71069911878114378</v>
      </c>
      <c r="J30">
        <f>(Table3[[#This Row],[HomeMargin]]-Table3[[#This Row],[HomeForecast]])^2</f>
        <v>8.3694999874006762E-2</v>
      </c>
    </row>
    <row r="31" spans="1:10" x14ac:dyDescent="0.2">
      <c r="A31" s="4" t="s">
        <v>35</v>
      </c>
      <c r="B31">
        <v>-1.3128572733047907</v>
      </c>
      <c r="D31" t="s">
        <v>39</v>
      </c>
      <c r="E31">
        <f>'NHL2025-26Results'!C27</f>
        <v>5</v>
      </c>
      <c r="F31" t="s">
        <v>12</v>
      </c>
      <c r="G31">
        <f>'NHL2025-26Results'!E27</f>
        <v>4</v>
      </c>
      <c r="H31">
        <f>Table3[[#This Row],[G_1]]-Table3[[#This Row],[G]]</f>
        <v>-1</v>
      </c>
      <c r="I31">
        <f>HomeEdge+VLOOKUP(Table3[[#This Row],[Home]],$A$6:$B$38,2,FALSE)-VLOOKUP(Table3[[#This Row],[Visitor]],$A$6:$B$38,2,FALSE)</f>
        <v>0.91119351142991167</v>
      </c>
      <c r="J31">
        <f>(Table3[[#This Row],[HomeMargin]]-Table3[[#This Row],[HomeForecast]])^2</f>
        <v>3.6526606381317959</v>
      </c>
    </row>
    <row r="32" spans="1:10" x14ac:dyDescent="0.2">
      <c r="A32" s="4" t="s">
        <v>37</v>
      </c>
      <c r="B32">
        <v>0.72108184732572844</v>
      </c>
      <c r="D32" t="s">
        <v>19</v>
      </c>
      <c r="E32">
        <f>'NHL2025-26Results'!C28</f>
        <v>3</v>
      </c>
      <c r="F32" t="s">
        <v>26</v>
      </c>
      <c r="G32">
        <f>'NHL2025-26Results'!E28</f>
        <v>6</v>
      </c>
      <c r="H32">
        <f>Table3[[#This Row],[G_1]]-Table3[[#This Row],[G]]</f>
        <v>3</v>
      </c>
      <c r="I32">
        <f>HomeEdge+VLOOKUP(Table3[[#This Row],[Home]],$A$6:$B$38,2,FALSE)-VLOOKUP(Table3[[#This Row],[Visitor]],$A$6:$B$38,2,FALSE)</f>
        <v>0.24074976891726166</v>
      </c>
      <c r="J32">
        <f>(Table3[[#This Row],[HomeMargin]]-Table3[[#This Row],[HomeForecast]])^2</f>
        <v>7.6134618377301457</v>
      </c>
    </row>
    <row r="33" spans="1:10" x14ac:dyDescent="0.2">
      <c r="A33" s="4" t="s">
        <v>19</v>
      </c>
      <c r="B33">
        <v>-0.44228056828684137</v>
      </c>
      <c r="D33" t="s">
        <v>38</v>
      </c>
      <c r="E33">
        <f>'NHL2025-26Results'!C29</f>
        <v>1</v>
      </c>
      <c r="F33" t="s">
        <v>17</v>
      </c>
      <c r="G33">
        <f>'NHL2025-26Results'!E29</f>
        <v>3</v>
      </c>
      <c r="H33">
        <f>Table3[[#This Row],[G_1]]-Table3[[#This Row],[G]]</f>
        <v>2</v>
      </c>
      <c r="I33">
        <f>HomeEdge+VLOOKUP(Table3[[#This Row],[Home]],$A$6:$B$38,2,FALSE)-VLOOKUP(Table3[[#This Row],[Visitor]],$A$6:$B$38,2,FALSE)</f>
        <v>1.1569843391823995</v>
      </c>
      <c r="J33">
        <f>(Table3[[#This Row],[HomeMargin]]-Table3[[#This Row],[HomeForecast]])^2</f>
        <v>0.71067540438373566</v>
      </c>
    </row>
    <row r="34" spans="1:10" x14ac:dyDescent="0.2">
      <c r="A34" t="s">
        <v>55</v>
      </c>
      <c r="B34">
        <v>8.4094725828611647E-2</v>
      </c>
      <c r="D34" t="s">
        <v>36</v>
      </c>
      <c r="E34">
        <f>'NHL2025-26Results'!C30</f>
        <v>2</v>
      </c>
      <c r="F34" t="s">
        <v>11</v>
      </c>
      <c r="G34">
        <f>'NHL2025-26Results'!E30</f>
        <v>6</v>
      </c>
      <c r="H34">
        <f>Table3[[#This Row],[G_1]]-Table3[[#This Row],[G]]</f>
        <v>4</v>
      </c>
      <c r="I34">
        <f>HomeEdge+VLOOKUP(Table3[[#This Row],[Home]],$A$6:$B$38,2,FALSE)-VLOOKUP(Table3[[#This Row],[Visitor]],$A$6:$B$38,2,FALSE)</f>
        <v>-0.23723766281105796</v>
      </c>
      <c r="J34">
        <f>(Table3[[#This Row],[HomeMargin]]-Table3[[#This Row],[HomeForecast]])^2</f>
        <v>17.954183011144519</v>
      </c>
    </row>
    <row r="35" spans="1:10" x14ac:dyDescent="0.2">
      <c r="A35" s="4" t="s">
        <v>38</v>
      </c>
      <c r="B35">
        <v>-1.3920033028857945</v>
      </c>
      <c r="D35" t="s">
        <v>28</v>
      </c>
      <c r="E35">
        <f>'NHL2025-26Results'!C31</f>
        <v>7</v>
      </c>
      <c r="F35" t="s">
        <v>34</v>
      </c>
      <c r="G35">
        <f>'NHL2025-26Results'!E31</f>
        <v>4</v>
      </c>
      <c r="H35">
        <f>Table3[[#This Row],[G_1]]-Table3[[#This Row],[G]]</f>
        <v>-3</v>
      </c>
      <c r="I35">
        <f>HomeEdge+VLOOKUP(Table3[[#This Row],[Home]],$A$6:$B$38,2,FALSE)-VLOOKUP(Table3[[#This Row],[Visitor]],$A$6:$B$38,2,FALSE)</f>
        <v>0.47165706828929771</v>
      </c>
      <c r="J35">
        <f>(Table3[[#This Row],[HomeMargin]]-Table3[[#This Row],[HomeForecast]])^2</f>
        <v>12.052402799803042</v>
      </c>
    </row>
    <row r="36" spans="1:10" x14ac:dyDescent="0.2">
      <c r="A36" s="4" t="s">
        <v>20</v>
      </c>
      <c r="B36">
        <v>-0.16296463421387539</v>
      </c>
      <c r="D36" t="s">
        <v>55</v>
      </c>
      <c r="E36">
        <f>'NHL2025-26Results'!C32</f>
        <v>3</v>
      </c>
      <c r="F36" t="s">
        <v>29</v>
      </c>
      <c r="G36">
        <f>'NHL2025-26Results'!E32</f>
        <v>2</v>
      </c>
      <c r="H36">
        <f>Table3[[#This Row],[G_1]]-Table3[[#This Row],[G]]</f>
        <v>-1</v>
      </c>
      <c r="I36">
        <f>HomeEdge+VLOOKUP(Table3[[#This Row],[Home]],$A$6:$B$38,2,FALSE)-VLOOKUP(Table3[[#This Row],[Visitor]],$A$6:$B$38,2,FALSE)</f>
        <v>-0.77505255122507499</v>
      </c>
      <c r="J36">
        <f>(Table3[[#This Row],[HomeMargin]]-Table3[[#This Row],[HomeForecast]])^2</f>
        <v>5.0601354710347511E-2</v>
      </c>
    </row>
    <row r="37" spans="1:10" x14ac:dyDescent="0.2">
      <c r="A37" s="4" t="s">
        <v>22</v>
      </c>
      <c r="B37">
        <v>-0.11977593183651415</v>
      </c>
      <c r="D37" t="s">
        <v>22</v>
      </c>
      <c r="E37">
        <f>'NHL2025-26Results'!C33</f>
        <v>4</v>
      </c>
      <c r="F37" t="s">
        <v>30</v>
      </c>
      <c r="G37">
        <f>'NHL2025-26Results'!E33</f>
        <v>2</v>
      </c>
      <c r="H37">
        <f>Table3[[#This Row],[G_1]]-Table3[[#This Row],[G]]</f>
        <v>-2</v>
      </c>
      <c r="I37">
        <f>HomeEdge+VLOOKUP(Table3[[#This Row],[Home]],$A$6:$B$38,2,FALSE)-VLOOKUP(Table3[[#This Row],[Visitor]],$A$6:$B$38,2,FALSE)</f>
        <v>6.3078292065741101E-2</v>
      </c>
      <c r="J37">
        <f>(Table3[[#This Row],[HomeMargin]]-Table3[[#This Row],[HomeForecast]])^2</f>
        <v>4.2562920391928944</v>
      </c>
    </row>
    <row r="38" spans="1:10" x14ac:dyDescent="0.2">
      <c r="A38" s="4" t="s">
        <v>40</v>
      </c>
      <c r="B38">
        <v>-0.58845147248022256</v>
      </c>
      <c r="D38" t="s">
        <v>15</v>
      </c>
      <c r="E38">
        <f>'NHL2025-26Results'!C34</f>
        <v>6</v>
      </c>
      <c r="F38" t="s">
        <v>14</v>
      </c>
      <c r="G38">
        <f>'NHL2025-26Results'!E34</f>
        <v>1</v>
      </c>
      <c r="H38">
        <f>Table3[[#This Row],[G_1]]-Table3[[#This Row],[G]]</f>
        <v>-5</v>
      </c>
      <c r="I38">
        <f>HomeEdge+VLOOKUP(Table3[[#This Row],[Home]],$A$6:$B$38,2,FALSE)-VLOOKUP(Table3[[#This Row],[Visitor]],$A$6:$B$38,2,FALSE)</f>
        <v>0.86616249008901836</v>
      </c>
      <c r="J38">
        <f>(Table3[[#This Row],[HomeMargin]]-Table3[[#This Row],[HomeForecast]])^2</f>
        <v>34.411862360127394</v>
      </c>
    </row>
    <row r="39" spans="1:10" x14ac:dyDescent="0.2">
      <c r="D39" t="s">
        <v>20</v>
      </c>
      <c r="E39">
        <f>'NHL2025-26Results'!C35</f>
        <v>1</v>
      </c>
      <c r="F39" t="s">
        <v>32</v>
      </c>
      <c r="G39">
        <f>'NHL2025-26Results'!E35</f>
        <v>2</v>
      </c>
      <c r="H39">
        <f>Table3[[#This Row],[G_1]]-Table3[[#This Row],[G]]</f>
        <v>1</v>
      </c>
      <c r="I39">
        <f>HomeEdge+VLOOKUP(Table3[[#This Row],[Home]],$A$6:$B$38,2,FALSE)-VLOOKUP(Table3[[#This Row],[Visitor]],$A$6:$B$38,2,FALSE)</f>
        <v>-0.18979553435265253</v>
      </c>
      <c r="J39">
        <f>(Table3[[#This Row],[HomeMargin]]-Table3[[#This Row],[HomeForecast]])^2</f>
        <v>1.4156134135655138</v>
      </c>
    </row>
    <row r="40" spans="1:10" x14ac:dyDescent="0.2">
      <c r="D40" t="s">
        <v>31</v>
      </c>
      <c r="E40">
        <f>'NHL2025-26Results'!C36</f>
        <v>7</v>
      </c>
      <c r="F40" t="s">
        <v>33</v>
      </c>
      <c r="G40">
        <f>'NHL2025-26Results'!E36</f>
        <v>6</v>
      </c>
      <c r="H40">
        <f>Table3[[#This Row],[G_1]]-Table3[[#This Row],[G]]</f>
        <v>-1</v>
      </c>
      <c r="I40">
        <f>HomeEdge+VLOOKUP(Table3[[#This Row],[Home]],$A$6:$B$38,2,FALSE)-VLOOKUP(Table3[[#This Row],[Visitor]],$A$6:$B$38,2,FALSE)</f>
        <v>-5.9153008008657748E-2</v>
      </c>
      <c r="J40">
        <f>(Table3[[#This Row],[HomeMargin]]-Table3[[#This Row],[HomeForecast]])^2</f>
        <v>0.88519306233915684</v>
      </c>
    </row>
    <row r="41" spans="1:10" x14ac:dyDescent="0.2">
      <c r="D41" t="s">
        <v>24</v>
      </c>
      <c r="E41">
        <f>'NHL2025-26Results'!C37</f>
        <v>5</v>
      </c>
      <c r="F41" t="s">
        <v>37</v>
      </c>
      <c r="G41">
        <f>'NHL2025-26Results'!E37</f>
        <v>3</v>
      </c>
      <c r="H41">
        <f>Table3[[#This Row],[G_1]]-Table3[[#This Row],[G]]</f>
        <v>-2</v>
      </c>
      <c r="I41">
        <f>HomeEdge+VLOOKUP(Table3[[#This Row],[Home]],$A$6:$B$38,2,FALSE)-VLOOKUP(Table3[[#This Row],[Visitor]],$A$6:$B$38,2,FALSE)</f>
        <v>1.5957968684651767</v>
      </c>
      <c r="J41">
        <f>(Table3[[#This Row],[HomeMargin]]-Table3[[#This Row],[HomeForecast]])^2</f>
        <v>12.929755119263971</v>
      </c>
    </row>
    <row r="42" spans="1:10" x14ac:dyDescent="0.2">
      <c r="D42" t="s">
        <v>13</v>
      </c>
      <c r="E42">
        <f>'NHL2025-26Results'!C38</f>
        <v>2</v>
      </c>
      <c r="F42" t="s">
        <v>40</v>
      </c>
      <c r="G42">
        <f>'NHL2025-26Results'!E38</f>
        <v>3</v>
      </c>
      <c r="H42">
        <f>Table3[[#This Row],[G_1]]-Table3[[#This Row],[G]]</f>
        <v>1</v>
      </c>
      <c r="I42">
        <f>HomeEdge+VLOOKUP(Table3[[#This Row],[Home]],$A$6:$B$38,2,FALSE)-VLOOKUP(Table3[[#This Row],[Visitor]],$A$6:$B$38,2,FALSE)</f>
        <v>0.13185241221596289</v>
      </c>
      <c r="J42">
        <f>(Table3[[#This Row],[HomeMargin]]-Table3[[#This Row],[HomeForecast]])^2</f>
        <v>0.75368023417524244</v>
      </c>
    </row>
    <row r="43" spans="1:10" x14ac:dyDescent="0.2">
      <c r="D43" t="s">
        <v>22</v>
      </c>
      <c r="E43">
        <f>'NHL2025-26Results'!C39</f>
        <v>1</v>
      </c>
      <c r="F43" t="s">
        <v>15</v>
      </c>
      <c r="G43">
        <f>'NHL2025-26Results'!E39</f>
        <v>0</v>
      </c>
      <c r="H43">
        <f>Table3[[#This Row],[G_1]]-Table3[[#This Row],[G]]</f>
        <v>-1</v>
      </c>
      <c r="I43">
        <f>HomeEdge+VLOOKUP(Table3[[#This Row],[Home]],$A$6:$B$38,2,FALSE)-VLOOKUP(Table3[[#This Row],[Visitor]],$A$6:$B$38,2,FALSE)</f>
        <v>-0.48713623711599507</v>
      </c>
      <c r="J43">
        <f>(Table3[[#This Row],[HomeMargin]]-Table3[[#This Row],[HomeForecast]])^2</f>
        <v>0.26302923927954081</v>
      </c>
    </row>
    <row r="44" spans="1:10" x14ac:dyDescent="0.2">
      <c r="D44" t="s">
        <v>37</v>
      </c>
      <c r="E44">
        <f>'NHL2025-26Results'!C40</f>
        <v>4</v>
      </c>
      <c r="F44" t="s">
        <v>21</v>
      </c>
      <c r="G44">
        <f>'NHL2025-26Results'!E40</f>
        <v>3</v>
      </c>
      <c r="H44">
        <f>Table3[[#This Row],[G_1]]-Table3[[#This Row],[G]]</f>
        <v>-1</v>
      </c>
      <c r="I44">
        <f>HomeEdge+VLOOKUP(Table3[[#This Row],[Home]],$A$6:$B$38,2,FALSE)-VLOOKUP(Table3[[#This Row],[Visitor]],$A$6:$B$38,2,FALSE)</f>
        <v>-0.69400547454479722</v>
      </c>
      <c r="J44">
        <f>(Table3[[#This Row],[HomeMargin]]-Table3[[#This Row],[HomeForecast]])^2</f>
        <v>9.3632649608554747E-2</v>
      </c>
    </row>
    <row r="45" spans="1:10" x14ac:dyDescent="0.2">
      <c r="D45" t="s">
        <v>12</v>
      </c>
      <c r="E45">
        <f>'NHL2025-26Results'!C41</f>
        <v>3</v>
      </c>
      <c r="F45" t="s">
        <v>23</v>
      </c>
      <c r="G45">
        <f>'NHL2025-26Results'!E41</f>
        <v>1</v>
      </c>
      <c r="H45">
        <f>Table3[[#This Row],[G_1]]-Table3[[#This Row],[G]]</f>
        <v>-2</v>
      </c>
      <c r="I45">
        <f>HomeEdge+VLOOKUP(Table3[[#This Row],[Home]],$A$6:$B$38,2,FALSE)-VLOOKUP(Table3[[#This Row],[Visitor]],$A$6:$B$38,2,FALSE)</f>
        <v>-0.86090545108207617</v>
      </c>
      <c r="J45">
        <f>(Table3[[#This Row],[HomeMargin]]-Table3[[#This Row],[HomeForecast]])^2</f>
        <v>1.2975363913745284</v>
      </c>
    </row>
    <row r="46" spans="1:10" x14ac:dyDescent="0.2">
      <c r="D46" t="s">
        <v>24</v>
      </c>
      <c r="E46">
        <f>'NHL2025-26Results'!C42</f>
        <v>3</v>
      </c>
      <c r="F46" t="s">
        <v>28</v>
      </c>
      <c r="G46">
        <f>'NHL2025-26Results'!E42</f>
        <v>2</v>
      </c>
      <c r="H46">
        <f>Table3[[#This Row],[G_1]]-Table3[[#This Row],[G]]</f>
        <v>-1</v>
      </c>
      <c r="I46">
        <f>HomeEdge+VLOOKUP(Table3[[#This Row],[Home]],$A$6:$B$38,2,FALSE)-VLOOKUP(Table3[[#This Row],[Visitor]],$A$6:$B$38,2,FALSE)</f>
        <v>0.59315022240534043</v>
      </c>
      <c r="J46">
        <f>(Table3[[#This Row],[HomeMargin]]-Table3[[#This Row],[HomeForecast]])^2</f>
        <v>2.5381276311501857</v>
      </c>
    </row>
    <row r="47" spans="1:10" x14ac:dyDescent="0.2">
      <c r="D47" t="s">
        <v>55</v>
      </c>
      <c r="E47">
        <f>'NHL2025-26Results'!C43</f>
        <v>1</v>
      </c>
      <c r="F47" t="s">
        <v>10</v>
      </c>
      <c r="G47">
        <f>'NHL2025-26Results'!E43</f>
        <v>3</v>
      </c>
      <c r="H47">
        <f>Table3[[#This Row],[G_1]]-Table3[[#This Row],[G]]</f>
        <v>2</v>
      </c>
      <c r="I47">
        <f>HomeEdge+VLOOKUP(Table3[[#This Row],[Home]],$A$6:$B$38,2,FALSE)-VLOOKUP(Table3[[#This Row],[Visitor]],$A$6:$B$38,2,FALSE)</f>
        <v>-0.88106852137584102</v>
      </c>
      <c r="J47">
        <f>(Table3[[#This Row],[HomeMargin]]-Table3[[#This Row],[HomeForecast]])^2</f>
        <v>8.3005558248627747</v>
      </c>
    </row>
    <row r="48" spans="1:10" x14ac:dyDescent="0.2">
      <c r="D48" t="s">
        <v>13</v>
      </c>
      <c r="E48">
        <f>'NHL2025-26Results'!C44</f>
        <v>3</v>
      </c>
      <c r="F48" t="s">
        <v>34</v>
      </c>
      <c r="G48">
        <f>'NHL2025-26Results'!E44</f>
        <v>4</v>
      </c>
      <c r="H48">
        <f>Table3[[#This Row],[G_1]]-Table3[[#This Row],[G]]</f>
        <v>1</v>
      </c>
      <c r="I48">
        <f>HomeEdge+VLOOKUP(Table3[[#This Row],[Home]],$A$6:$B$38,2,FALSE)-VLOOKUP(Table3[[#This Row],[Visitor]],$A$6:$B$38,2,FALSE)</f>
        <v>0.78078916843985136</v>
      </c>
      <c r="J48">
        <f>(Table3[[#This Row],[HomeMargin]]-Table3[[#This Row],[HomeForecast]])^2</f>
        <v>4.8053388673291862E-2</v>
      </c>
    </row>
    <row r="49" spans="4:10" x14ac:dyDescent="0.2">
      <c r="D49" t="s">
        <v>40</v>
      </c>
      <c r="E49">
        <f>'NHL2025-26Results'!C45</f>
        <v>5</v>
      </c>
      <c r="F49" t="s">
        <v>30</v>
      </c>
      <c r="G49">
        <f>'NHL2025-26Results'!E45</f>
        <v>2</v>
      </c>
      <c r="H49">
        <f>Table3[[#This Row],[G_1]]-Table3[[#This Row],[G]]</f>
        <v>-3</v>
      </c>
      <c r="I49">
        <f>HomeEdge+VLOOKUP(Table3[[#This Row],[Home]],$A$6:$B$38,2,FALSE)-VLOOKUP(Table3[[#This Row],[Visitor]],$A$6:$B$38,2,FALSE)</f>
        <v>0.53175383270944954</v>
      </c>
      <c r="J49">
        <f>(Table3[[#This Row],[HomeMargin]]-Table3[[#This Row],[HomeForecast]])^2</f>
        <v>12.473285134857887</v>
      </c>
    </row>
    <row r="50" spans="4:10" x14ac:dyDescent="0.2">
      <c r="D50" t="s">
        <v>29</v>
      </c>
      <c r="E50">
        <f>'NHL2025-26Results'!C46</f>
        <v>4</v>
      </c>
      <c r="F50" t="s">
        <v>36</v>
      </c>
      <c r="G50">
        <f>'NHL2025-26Results'!E46</f>
        <v>1</v>
      </c>
      <c r="H50">
        <f>Table3[[#This Row],[G_1]]-Table3[[#This Row],[G]]</f>
        <v>-3</v>
      </c>
      <c r="I50">
        <f>HomeEdge+VLOOKUP(Table3[[#This Row],[Home]],$A$6:$B$38,2,FALSE)-VLOOKUP(Table3[[#This Row],[Visitor]],$A$6:$B$38,2,FALSE)</f>
        <v>0.76006431437727795</v>
      </c>
      <c r="J50">
        <f>(Table3[[#This Row],[HomeMargin]]-Table3[[#This Row],[HomeForecast]])^2</f>
        <v>14.138083648253469</v>
      </c>
    </row>
    <row r="51" spans="4:10" x14ac:dyDescent="0.2">
      <c r="D51" t="s">
        <v>11</v>
      </c>
      <c r="E51">
        <f>'NHL2025-26Results'!C47</f>
        <v>2</v>
      </c>
      <c r="F51" t="s">
        <v>27</v>
      </c>
      <c r="G51">
        <f>'NHL2025-26Results'!E47</f>
        <v>5</v>
      </c>
      <c r="H51">
        <f>Table3[[#This Row],[G_1]]-Table3[[#This Row],[G]]</f>
        <v>3</v>
      </c>
      <c r="I51">
        <f>HomeEdge+VLOOKUP(Table3[[#This Row],[Home]],$A$6:$B$38,2,FALSE)-VLOOKUP(Table3[[#This Row],[Visitor]],$A$6:$B$38,2,FALSE)</f>
        <v>0.13557977778458274</v>
      </c>
      <c r="J51">
        <f>(Table3[[#This Row],[HomeMargin]]-Table3[[#This Row],[HomeForecast]])^2</f>
        <v>8.204903209436619</v>
      </c>
    </row>
    <row r="52" spans="4:10" x14ac:dyDescent="0.2">
      <c r="D52" t="s">
        <v>26</v>
      </c>
      <c r="E52">
        <f>'NHL2025-26Results'!C48</f>
        <v>3</v>
      </c>
      <c r="F52" t="s">
        <v>19</v>
      </c>
      <c r="G52">
        <f>'NHL2025-26Results'!E48</f>
        <v>2</v>
      </c>
      <c r="H52">
        <f>Table3[[#This Row],[G_1]]-Table3[[#This Row],[G]]</f>
        <v>-1</v>
      </c>
      <c r="I52">
        <f>HomeEdge+VLOOKUP(Table3[[#This Row],[Home]],$A$6:$B$38,2,FALSE)-VLOOKUP(Table3[[#This Row],[Visitor]],$A$6:$B$38,2,FALSE)</f>
        <v>1.8464202705786525E-2</v>
      </c>
      <c r="J52">
        <f>(Table3[[#This Row],[HomeMargin]]-Table3[[#This Row],[HomeForecast]])^2</f>
        <v>1.0372693321931337</v>
      </c>
    </row>
    <row r="53" spans="4:10" x14ac:dyDescent="0.2">
      <c r="D53" t="s">
        <v>35</v>
      </c>
      <c r="E53">
        <f>'NHL2025-26Results'!C49</f>
        <v>5</v>
      </c>
      <c r="F53" t="s">
        <v>38</v>
      </c>
      <c r="G53">
        <f>'NHL2025-26Results'!E49</f>
        <v>2</v>
      </c>
      <c r="H53">
        <f>Table3[[#This Row],[G_1]]-Table3[[#This Row],[G]]</f>
        <v>-3</v>
      </c>
      <c r="I53">
        <f>HomeEdge+VLOOKUP(Table3[[#This Row],[Home]],$A$6:$B$38,2,FALSE)-VLOOKUP(Table3[[#This Row],[Visitor]],$A$6:$B$38,2,FALSE)</f>
        <v>5.0460956230520271E-2</v>
      </c>
      <c r="J53">
        <f>(Table3[[#This Row],[HomeMargin]]-Table3[[#This Row],[HomeForecast]])^2</f>
        <v>9.3053120454868203</v>
      </c>
    </row>
    <row r="54" spans="4:10" x14ac:dyDescent="0.2">
      <c r="D54" t="s">
        <v>14</v>
      </c>
      <c r="E54">
        <f>'NHL2025-26Results'!C50</f>
        <v>3</v>
      </c>
      <c r="F54" t="s">
        <v>31</v>
      </c>
      <c r="G54">
        <f>'NHL2025-26Results'!E50</f>
        <v>4</v>
      </c>
      <c r="H54">
        <f>Table3[[#This Row],[G_1]]-Table3[[#This Row],[G]]</f>
        <v>1</v>
      </c>
      <c r="I54">
        <f>HomeEdge+VLOOKUP(Table3[[#This Row],[Home]],$A$6:$B$38,2,FALSE)-VLOOKUP(Table3[[#This Row],[Visitor]],$A$6:$B$38,2,FALSE)</f>
        <v>-0.3340351948155178</v>
      </c>
      <c r="J54">
        <f>(Table3[[#This Row],[HomeMargin]]-Table3[[#This Row],[HomeForecast]])^2</f>
        <v>1.7796499010064766</v>
      </c>
    </row>
    <row r="55" spans="4:10" x14ac:dyDescent="0.2">
      <c r="D55" t="s">
        <v>20</v>
      </c>
      <c r="E55">
        <f>'NHL2025-26Results'!C51</f>
        <v>4</v>
      </c>
      <c r="F55" t="s">
        <v>16</v>
      </c>
      <c r="G55">
        <f>'NHL2025-26Results'!E51</f>
        <v>2</v>
      </c>
      <c r="H55">
        <f>Table3[[#This Row],[G_1]]-Table3[[#This Row],[G]]</f>
        <v>-2</v>
      </c>
      <c r="I55">
        <f>HomeEdge+VLOOKUP(Table3[[#This Row],[Home]],$A$6:$B$38,2,FALSE)-VLOOKUP(Table3[[#This Row],[Visitor]],$A$6:$B$38,2,FALSE)</f>
        <v>-0.59774059862344597</v>
      </c>
      <c r="J55">
        <f>(Table3[[#This Row],[HomeMargin]]-Table3[[#This Row],[HomeForecast]])^2</f>
        <v>1.966331428748932</v>
      </c>
    </row>
    <row r="56" spans="4:10" x14ac:dyDescent="0.2">
      <c r="D56" t="s">
        <v>34</v>
      </c>
      <c r="E56">
        <f>'NHL2025-26Results'!C52</f>
        <v>2</v>
      </c>
      <c r="F56" t="s">
        <v>39</v>
      </c>
      <c r="G56">
        <f>'NHL2025-26Results'!E52</f>
        <v>5</v>
      </c>
      <c r="H56">
        <f>Table3[[#This Row],[G_1]]-Table3[[#This Row],[G]]</f>
        <v>3</v>
      </c>
      <c r="I56">
        <f>HomeEdge+VLOOKUP(Table3[[#This Row],[Home]],$A$6:$B$38,2,FALSE)-VLOOKUP(Table3[[#This Row],[Visitor]],$A$6:$B$38,2,FALSE)</f>
        <v>0.28620200994911354</v>
      </c>
      <c r="J56">
        <f>(Table3[[#This Row],[HomeMargin]]-Table3[[#This Row],[HomeForecast]])^2</f>
        <v>7.3646995308042325</v>
      </c>
    </row>
    <row r="57" spans="4:10" x14ac:dyDescent="0.2">
      <c r="D57" t="s">
        <v>32</v>
      </c>
      <c r="E57">
        <f>'NHL2025-26Results'!C53</f>
        <v>4</v>
      </c>
      <c r="F57" t="s">
        <v>18</v>
      </c>
      <c r="G57">
        <f>'NHL2025-26Results'!E53</f>
        <v>5</v>
      </c>
      <c r="H57">
        <f>Table3[[#This Row],[G_1]]-Table3[[#This Row],[G]]</f>
        <v>1</v>
      </c>
      <c r="I57">
        <f>HomeEdge+VLOOKUP(Table3[[#This Row],[Home]],$A$6:$B$38,2,FALSE)-VLOOKUP(Table3[[#This Row],[Visitor]],$A$6:$B$38,2,FALSE)</f>
        <v>0.52569946342349061</v>
      </c>
      <c r="J57">
        <f>(Table3[[#This Row],[HomeMargin]]-Table3[[#This Row],[HomeForecast]])^2</f>
        <v>0.22496099899676472</v>
      </c>
    </row>
    <row r="58" spans="4:10" x14ac:dyDescent="0.2">
      <c r="D58" t="s">
        <v>17</v>
      </c>
      <c r="E58">
        <f>'NHL2025-26Results'!C54</f>
        <v>2</v>
      </c>
      <c r="F58" t="s">
        <v>15</v>
      </c>
      <c r="G58">
        <f>'NHL2025-26Results'!E54</f>
        <v>0</v>
      </c>
      <c r="H58">
        <f>Table3[[#This Row],[G_1]]-Table3[[#This Row],[G]]</f>
        <v>-2</v>
      </c>
      <c r="I58">
        <f>HomeEdge+VLOOKUP(Table3[[#This Row],[Home]],$A$6:$B$38,2,FALSE)-VLOOKUP(Table3[[#This Row],[Visitor]],$A$6:$B$38,2,FALSE)</f>
        <v>-0.24228621943759016</v>
      </c>
      <c r="J58">
        <f>(Table3[[#This Row],[HomeMargin]]-Table3[[#This Row],[HomeForecast]])^2</f>
        <v>3.0895577343789995</v>
      </c>
    </row>
    <row r="59" spans="4:10" x14ac:dyDescent="0.2">
      <c r="D59" t="s">
        <v>25</v>
      </c>
      <c r="E59">
        <f>'NHL2025-26Results'!C55</f>
        <v>5</v>
      </c>
      <c r="F59" t="s">
        <v>33</v>
      </c>
      <c r="G59">
        <f>'NHL2025-26Results'!E55</f>
        <v>1</v>
      </c>
      <c r="H59">
        <f>Table3[[#This Row],[G_1]]-Table3[[#This Row],[G]]</f>
        <v>-4</v>
      </c>
      <c r="I59">
        <f>HomeEdge+VLOOKUP(Table3[[#This Row],[Home]],$A$6:$B$38,2,FALSE)-VLOOKUP(Table3[[#This Row],[Visitor]],$A$6:$B$38,2,FALSE)</f>
        <v>-0.75525304060525511</v>
      </c>
      <c r="J59">
        <f>(Table3[[#This Row],[HomeMargin]]-Table3[[#This Row],[HomeForecast]])^2</f>
        <v>10.528382830501444</v>
      </c>
    </row>
    <row r="60" spans="4:10" x14ac:dyDescent="0.2">
      <c r="D60" t="s">
        <v>29</v>
      </c>
      <c r="E60">
        <f>'NHL2025-26Results'!C56</f>
        <v>4</v>
      </c>
      <c r="F60" t="s">
        <v>19</v>
      </c>
      <c r="G60">
        <f>'NHL2025-26Results'!E56</f>
        <v>7</v>
      </c>
      <c r="H60">
        <f>Table3[[#This Row],[G_1]]-Table3[[#This Row],[G]]</f>
        <v>3</v>
      </c>
      <c r="I60">
        <f>HomeEdge+VLOOKUP(Table3[[#This Row],[Home]],$A$6:$B$38,2,FALSE)-VLOOKUP(Table3[[#This Row],[Visitor]],$A$6:$B$38,2,FALSE)</f>
        <v>0.50789122873267012</v>
      </c>
      <c r="J60">
        <f>(Table3[[#This Row],[HomeMargin]]-Table3[[#This Row],[HomeForecast]])^2</f>
        <v>6.2106061278275613</v>
      </c>
    </row>
    <row r="61" spans="4:10" x14ac:dyDescent="0.2">
      <c r="D61" t="s">
        <v>37</v>
      </c>
      <c r="E61">
        <f>'NHL2025-26Results'!C57</f>
        <v>2</v>
      </c>
      <c r="F61" t="s">
        <v>22</v>
      </c>
      <c r="G61">
        <f>'NHL2025-26Results'!E57</f>
        <v>3</v>
      </c>
      <c r="H61">
        <f>Table3[[#This Row],[G_1]]-Table3[[#This Row],[G]]</f>
        <v>1</v>
      </c>
      <c r="I61">
        <f>HomeEdge+VLOOKUP(Table3[[#This Row],[Home]],$A$6:$B$38,2,FALSE)-VLOOKUP(Table3[[#This Row],[Visitor]],$A$6:$B$38,2,FALSE)</f>
        <v>-0.7112507933507185</v>
      </c>
      <c r="J61">
        <f>(Table3[[#This Row],[HomeMargin]]-Table3[[#This Row],[HomeForecast]])^2</f>
        <v>2.9283792777434638</v>
      </c>
    </row>
    <row r="62" spans="4:10" x14ac:dyDescent="0.2">
      <c r="D62" t="s">
        <v>36</v>
      </c>
      <c r="E62">
        <f>'NHL2025-26Results'!C58</f>
        <v>4</v>
      </c>
      <c r="F62" t="s">
        <v>23</v>
      </c>
      <c r="G62">
        <f>'NHL2025-26Results'!E58</f>
        <v>8</v>
      </c>
      <c r="H62">
        <f>Table3[[#This Row],[G_1]]-Table3[[#This Row],[G]]</f>
        <v>4</v>
      </c>
      <c r="I62">
        <f>HomeEdge+VLOOKUP(Table3[[#This Row],[Home]],$A$6:$B$38,2,FALSE)-VLOOKUP(Table3[[#This Row],[Visitor]],$A$6:$B$38,2,FALSE)</f>
        <v>0.32786886505980029</v>
      </c>
      <c r="J62">
        <f>(Table3[[#This Row],[HomeMargin]]-Table3[[#This Row],[HomeForecast]])^2</f>
        <v>13.484547072197199</v>
      </c>
    </row>
    <row r="63" spans="4:10" x14ac:dyDescent="0.2">
      <c r="D63" t="s">
        <v>11</v>
      </c>
      <c r="E63">
        <f>'NHL2025-26Results'!C59</f>
        <v>1</v>
      </c>
      <c r="F63" t="s">
        <v>26</v>
      </c>
      <c r="G63">
        <f>'NHL2025-26Results'!E59</f>
        <v>4</v>
      </c>
      <c r="H63">
        <f>Table3[[#This Row],[G_1]]-Table3[[#This Row],[G]]</f>
        <v>3</v>
      </c>
      <c r="I63">
        <f>HomeEdge+VLOOKUP(Table3[[#This Row],[Home]],$A$6:$B$38,2,FALSE)-VLOOKUP(Table3[[#This Row],[Visitor]],$A$6:$B$38,2,FALSE)</f>
        <v>0.35542133189523584</v>
      </c>
      <c r="J63">
        <f>(Table3[[#This Row],[HomeMargin]]-Table3[[#This Row],[HomeForecast]])^2</f>
        <v>6.9937963317947673</v>
      </c>
    </row>
    <row r="64" spans="4:10" x14ac:dyDescent="0.2">
      <c r="D64" t="s">
        <v>10</v>
      </c>
      <c r="E64">
        <f>'NHL2025-26Results'!C60</f>
        <v>8</v>
      </c>
      <c r="F64" t="s">
        <v>35</v>
      </c>
      <c r="G64">
        <f>'NHL2025-26Results'!E60</f>
        <v>3</v>
      </c>
      <c r="H64">
        <f>Table3[[#This Row],[G_1]]-Table3[[#This Row],[G]]</f>
        <v>-5</v>
      </c>
      <c r="I64">
        <f>HomeEdge+VLOOKUP(Table3[[#This Row],[Home]],$A$6:$B$38,2,FALSE)-VLOOKUP(Table3[[#This Row],[Visitor]],$A$6:$B$38,2,FALSE)</f>
        <v>-0.25666950613451323</v>
      </c>
      <c r="J64">
        <f>(Table3[[#This Row],[HomeMargin]]-Table3[[#This Row],[HomeForecast]])^2</f>
        <v>22.499184174034202</v>
      </c>
    </row>
    <row r="65" spans="4:10" x14ac:dyDescent="0.2">
      <c r="D65" t="s">
        <v>16</v>
      </c>
      <c r="E65">
        <f>'NHL2025-26Results'!C61</f>
        <v>1</v>
      </c>
      <c r="F65" t="s">
        <v>55</v>
      </c>
      <c r="G65">
        <f>'NHL2025-26Results'!E61</f>
        <v>3</v>
      </c>
      <c r="H65">
        <f>Table3[[#This Row],[G_1]]-Table3[[#This Row],[G]]</f>
        <v>2</v>
      </c>
      <c r="I65">
        <f>HomeEdge+VLOOKUP(Table3[[#This Row],[Home]],$A$6:$B$38,2,FALSE)-VLOOKUP(Table3[[#This Row],[Visitor]],$A$6:$B$38,2,FALSE)</f>
        <v>1.1040139302889811</v>
      </c>
      <c r="J65">
        <f>(Table3[[#This Row],[HomeMargin]]-Table3[[#This Row],[HomeForecast]])^2</f>
        <v>0.80279103711619881</v>
      </c>
    </row>
    <row r="66" spans="4:10" x14ac:dyDescent="0.2">
      <c r="D66" t="s">
        <v>25</v>
      </c>
      <c r="E66">
        <f>'NHL2025-26Results'!C62</f>
        <v>4</v>
      </c>
      <c r="F66" t="s">
        <v>31</v>
      </c>
      <c r="G66">
        <f>'NHL2025-26Results'!E62</f>
        <v>1</v>
      </c>
      <c r="H66">
        <f>Table3[[#This Row],[G_1]]-Table3[[#This Row],[G]]</f>
        <v>-3</v>
      </c>
      <c r="I66">
        <f>HomeEdge+VLOOKUP(Table3[[#This Row],[Home]],$A$6:$B$38,2,FALSE)-VLOOKUP(Table3[[#This Row],[Visitor]],$A$6:$B$38,2,FALSE)</f>
        <v>-0.56649304678507328</v>
      </c>
      <c r="J66">
        <f>(Table3[[#This Row],[HomeMargin]]-Table3[[#This Row],[HomeForecast]])^2</f>
        <v>5.9219560913453968</v>
      </c>
    </row>
    <row r="67" spans="4:10" x14ac:dyDescent="0.2">
      <c r="D67" t="s">
        <v>12</v>
      </c>
      <c r="E67">
        <f>'NHL2025-26Results'!C63</f>
        <v>4</v>
      </c>
      <c r="F67" t="s">
        <v>28</v>
      </c>
      <c r="G67">
        <f>'NHL2025-26Results'!E63</f>
        <v>1</v>
      </c>
      <c r="H67">
        <f>Table3[[#This Row],[G_1]]-Table3[[#This Row],[G]]</f>
        <v>-3</v>
      </c>
      <c r="I67">
        <f>HomeEdge+VLOOKUP(Table3[[#This Row],[Home]],$A$6:$B$38,2,FALSE)-VLOOKUP(Table3[[#This Row],[Visitor]],$A$6:$B$38,2,FALSE)</f>
        <v>-1.1506246464222265</v>
      </c>
      <c r="J67">
        <f>(Table3[[#This Row],[HomeMargin]]-Table3[[#This Row],[HomeForecast]])^2</f>
        <v>3.4201891984209145</v>
      </c>
    </row>
    <row r="68" spans="4:10" x14ac:dyDescent="0.2">
      <c r="D68" t="s">
        <v>38</v>
      </c>
      <c r="E68">
        <f>'NHL2025-26Results'!C64</f>
        <v>5</v>
      </c>
      <c r="F68" t="s">
        <v>39</v>
      </c>
      <c r="G68">
        <f>'NHL2025-26Results'!E64</f>
        <v>3</v>
      </c>
      <c r="H68">
        <f>Table3[[#This Row],[G_1]]-Table3[[#This Row],[G]]</f>
        <v>-2</v>
      </c>
      <c r="I68">
        <f>HomeEdge+VLOOKUP(Table3[[#This Row],[Home]],$A$6:$B$38,2,FALSE)-VLOOKUP(Table3[[#This Row],[Visitor]],$A$6:$B$38,2,FALSE)</f>
        <v>1.7386905965785742</v>
      </c>
      <c r="J68">
        <f>(Table3[[#This Row],[HomeMargin]]-Table3[[#This Row],[HomeForecast]])^2</f>
        <v>13.977807376945055</v>
      </c>
    </row>
    <row r="69" spans="4:10" x14ac:dyDescent="0.2">
      <c r="D69" t="s">
        <v>14</v>
      </c>
      <c r="E69">
        <f>'NHL2025-26Results'!C65</f>
        <v>4</v>
      </c>
      <c r="F69" t="s">
        <v>13</v>
      </c>
      <c r="G69">
        <f>'NHL2025-26Results'!E65</f>
        <v>2</v>
      </c>
      <c r="H69">
        <f>Table3[[#This Row],[G_1]]-Table3[[#This Row],[G]]</f>
        <v>-2</v>
      </c>
      <c r="I69">
        <f>HomeEdge+VLOOKUP(Table3[[#This Row],[Home]],$A$6:$B$38,2,FALSE)-VLOOKUP(Table3[[#This Row],[Visitor]],$A$6:$B$38,2,FALSE)</f>
        <v>-0.46112626258659828</v>
      </c>
      <c r="J69">
        <f>(Table3[[#This Row],[HomeMargin]]-Table3[[#This Row],[HomeForecast]])^2</f>
        <v>2.368132379700691</v>
      </c>
    </row>
    <row r="70" spans="4:10" x14ac:dyDescent="0.2">
      <c r="D70" t="s">
        <v>29</v>
      </c>
      <c r="E70">
        <f>'NHL2025-26Results'!C66</f>
        <v>2</v>
      </c>
      <c r="F70" t="s">
        <v>18</v>
      </c>
      <c r="G70">
        <f>'NHL2025-26Results'!E66</f>
        <v>3</v>
      </c>
      <c r="H70">
        <f>Table3[[#This Row],[G_1]]-Table3[[#This Row],[G]]</f>
        <v>1</v>
      </c>
      <c r="I70">
        <f>HomeEdge+VLOOKUP(Table3[[#This Row],[Home]],$A$6:$B$38,2,FALSE)-VLOOKUP(Table3[[#This Row],[Visitor]],$A$6:$B$38,2,FALSE)</f>
        <v>0.86389712025342591</v>
      </c>
      <c r="J70">
        <f>(Table3[[#This Row],[HomeMargin]]-Table3[[#This Row],[HomeForecast]])^2</f>
        <v>1.8523993875310407E-2</v>
      </c>
    </row>
    <row r="71" spans="4:10" x14ac:dyDescent="0.2">
      <c r="D71" t="s">
        <v>11</v>
      </c>
      <c r="E71">
        <f>'NHL2025-26Results'!C67</f>
        <v>1</v>
      </c>
      <c r="F71" t="s">
        <v>24</v>
      </c>
      <c r="G71">
        <f>'NHL2025-26Results'!E67</f>
        <v>3</v>
      </c>
      <c r="H71">
        <f>Table3[[#This Row],[G_1]]-Table3[[#This Row],[G]]</f>
        <v>2</v>
      </c>
      <c r="I71">
        <f>HomeEdge+VLOOKUP(Table3[[#This Row],[Home]],$A$6:$B$38,2,FALSE)-VLOOKUP(Table3[[#This Row],[Visitor]],$A$6:$B$38,2,FALSE)</f>
        <v>-5.854891825158437E-2</v>
      </c>
      <c r="J71">
        <f>(Table3[[#This Row],[HomeMargin]]-Table3[[#This Row],[HomeForecast]])^2</f>
        <v>4.2376236488347674</v>
      </c>
    </row>
    <row r="72" spans="4:10" x14ac:dyDescent="0.2">
      <c r="D72" t="s">
        <v>17</v>
      </c>
      <c r="E72">
        <f>'NHL2025-26Results'!C68</f>
        <v>2</v>
      </c>
      <c r="F72" t="s">
        <v>30</v>
      </c>
      <c r="G72">
        <f>'NHL2025-26Results'!E68</f>
        <v>4</v>
      </c>
      <c r="H72">
        <f>Table3[[#This Row],[G_1]]-Table3[[#This Row],[G]]</f>
        <v>2</v>
      </c>
      <c r="I72">
        <f>HomeEdge+VLOOKUP(Table3[[#This Row],[Home]],$A$6:$B$38,2,FALSE)-VLOOKUP(Table3[[#This Row],[Visitor]],$A$6:$B$38,2,FALSE)</f>
        <v>0.30792830974414598</v>
      </c>
      <c r="J72">
        <f>(Table3[[#This Row],[HomeMargin]]-Table3[[#This Row],[HomeForecast]])^2</f>
        <v>2.8631066049653033</v>
      </c>
    </row>
    <row r="73" spans="4:10" x14ac:dyDescent="0.2">
      <c r="D73" t="s">
        <v>32</v>
      </c>
      <c r="E73">
        <f>'NHL2025-26Results'!C69</f>
        <v>3</v>
      </c>
      <c r="F73" t="s">
        <v>36</v>
      </c>
      <c r="G73">
        <f>'NHL2025-26Results'!E69</f>
        <v>4</v>
      </c>
      <c r="H73">
        <f>Table3[[#This Row],[G_1]]-Table3[[#This Row],[G]]</f>
        <v>1</v>
      </c>
      <c r="I73">
        <f>HomeEdge+VLOOKUP(Table3[[#This Row],[Home]],$A$6:$B$38,2,FALSE)-VLOOKUP(Table3[[#This Row],[Visitor]],$A$6:$B$38,2,FALSE)</f>
        <v>0.42186665754734265</v>
      </c>
      <c r="J73">
        <f>(Table3[[#This Row],[HomeMargin]]-Table3[[#This Row],[HomeForecast]])^2</f>
        <v>0.33423816165548159</v>
      </c>
    </row>
    <row r="74" spans="4:10" x14ac:dyDescent="0.2">
      <c r="D74" t="s">
        <v>40</v>
      </c>
      <c r="E74">
        <f>'NHL2025-26Results'!C70</f>
        <v>5</v>
      </c>
      <c r="F74" t="s">
        <v>27</v>
      </c>
      <c r="G74">
        <f>'NHL2025-26Results'!E70</f>
        <v>2</v>
      </c>
      <c r="H74">
        <f>Table3[[#This Row],[G_1]]-Table3[[#This Row],[G]]</f>
        <v>-3</v>
      </c>
      <c r="I74">
        <f>HomeEdge+VLOOKUP(Table3[[#This Row],[Home]],$A$6:$B$38,2,FALSE)-VLOOKUP(Table3[[#This Row],[Visitor]],$A$6:$B$38,2,FALSE)</f>
        <v>0.16707911899998973</v>
      </c>
      <c r="J74">
        <f>(Table3[[#This Row],[HomeMargin]]-Table3[[#This Row],[HomeForecast]])^2</f>
        <v>10.03039014600575</v>
      </c>
    </row>
    <row r="75" spans="4:10" x14ac:dyDescent="0.2">
      <c r="D75" t="s">
        <v>15</v>
      </c>
      <c r="E75">
        <f>'NHL2025-26Results'!C71</f>
        <v>1</v>
      </c>
      <c r="F75" t="s">
        <v>19</v>
      </c>
      <c r="G75">
        <f>'NHL2025-26Results'!E71</f>
        <v>2</v>
      </c>
      <c r="H75">
        <f>Table3[[#This Row],[G_1]]-Table3[[#This Row],[G]]</f>
        <v>1</v>
      </c>
      <c r="I75">
        <f>HomeEdge+VLOOKUP(Table3[[#This Row],[Home]],$A$6:$B$38,2,FALSE)-VLOOKUP(Table3[[#This Row],[Visitor]],$A$6:$B$38,2,FALSE)</f>
        <v>0.423845572288716</v>
      </c>
      <c r="J75">
        <f>(Table3[[#This Row],[HomeMargin]]-Table3[[#This Row],[HomeForecast]])^2</f>
        <v>0.33195392457131717</v>
      </c>
    </row>
    <row r="76" spans="4:10" x14ac:dyDescent="0.2">
      <c r="D76" t="s">
        <v>21</v>
      </c>
      <c r="E76">
        <f>'NHL2025-26Results'!C72</f>
        <v>5</v>
      </c>
      <c r="F76" t="s">
        <v>20</v>
      </c>
      <c r="G76">
        <f>'NHL2025-26Results'!E72</f>
        <v>6</v>
      </c>
      <c r="H76">
        <f>Table3[[#This Row],[G_1]]-Table3[[#This Row],[G]]</f>
        <v>1</v>
      </c>
      <c r="I76">
        <f>HomeEdge+VLOOKUP(Table3[[#This Row],[Home]],$A$6:$B$38,2,FALSE)-VLOOKUP(Table3[[#This Row],[Visitor]],$A$6:$B$38,2,FALSE)</f>
        <v>6.9172964628241573E-2</v>
      </c>
      <c r="J76">
        <f>(Table3[[#This Row],[HomeMargin]]-Table3[[#This Row],[HomeForecast]])^2</f>
        <v>0.86643896977897694</v>
      </c>
    </row>
    <row r="77" spans="4:10" x14ac:dyDescent="0.2">
      <c r="D77" t="s">
        <v>38</v>
      </c>
      <c r="E77">
        <f>'NHL2025-26Results'!C73</f>
        <v>3</v>
      </c>
      <c r="F77" t="s">
        <v>10</v>
      </c>
      <c r="G77">
        <f>'NHL2025-26Results'!E73</f>
        <v>2</v>
      </c>
      <c r="H77">
        <f>Table3[[#This Row],[G_1]]-Table3[[#This Row],[G]]</f>
        <v>-1</v>
      </c>
      <c r="I77">
        <f>HomeEdge+VLOOKUP(Table3[[#This Row],[Home]],$A$6:$B$38,2,FALSE)-VLOOKUP(Table3[[#This Row],[Visitor]],$A$6:$B$38,2,FALSE)</f>
        <v>0.59502950733856519</v>
      </c>
      <c r="J77">
        <f>(Table3[[#This Row],[HomeMargin]]-Table3[[#This Row],[HomeForecast]])^2</f>
        <v>2.5441191292807059</v>
      </c>
    </row>
    <row r="78" spans="4:10" x14ac:dyDescent="0.2">
      <c r="D78" t="s">
        <v>37</v>
      </c>
      <c r="E78">
        <f>'NHL2025-26Results'!C74</f>
        <v>1</v>
      </c>
      <c r="F78" t="s">
        <v>26</v>
      </c>
      <c r="G78">
        <f>'NHL2025-26Results'!E74</f>
        <v>2</v>
      </c>
      <c r="H78">
        <f>Table3[[#This Row],[G_1]]-Table3[[#This Row],[G]]</f>
        <v>1</v>
      </c>
      <c r="I78">
        <f>HomeEdge+VLOOKUP(Table3[[#This Row],[Home]],$A$6:$B$38,2,FALSE)-VLOOKUP(Table3[[#This Row],[Visitor]],$A$6:$B$38,2,FALSE)</f>
        <v>-0.92261264669530818</v>
      </c>
      <c r="J78">
        <f>(Table3[[#This Row],[HomeMargin]]-Table3[[#This Row],[HomeForecast]])^2</f>
        <v>3.6964393892327378</v>
      </c>
    </row>
    <row r="79" spans="4:10" x14ac:dyDescent="0.2">
      <c r="D79" t="s">
        <v>33</v>
      </c>
      <c r="E79">
        <f>'NHL2025-26Results'!C75</f>
        <v>3</v>
      </c>
      <c r="F79" t="s">
        <v>55</v>
      </c>
      <c r="G79">
        <f>'NHL2025-26Results'!E75</f>
        <v>6</v>
      </c>
      <c r="H79">
        <f>Table3[[#This Row],[G_1]]-Table3[[#This Row],[G]]</f>
        <v>3</v>
      </c>
      <c r="I79">
        <f>HomeEdge+VLOOKUP(Table3[[#This Row],[Home]],$A$6:$B$38,2,FALSE)-VLOOKUP(Table3[[#This Row],[Visitor]],$A$6:$B$38,2,FALSE)</f>
        <v>0.86606753657389846</v>
      </c>
      <c r="J79">
        <f>(Table3[[#This Row],[HomeMargin]]-Table3[[#This Row],[HomeForecast]])^2</f>
        <v>4.5536677584637903</v>
      </c>
    </row>
    <row r="80" spans="4:10" x14ac:dyDescent="0.2">
      <c r="D80" t="s">
        <v>34</v>
      </c>
      <c r="E80">
        <f>'NHL2025-26Results'!C76</f>
        <v>1</v>
      </c>
      <c r="F80" t="s">
        <v>22</v>
      </c>
      <c r="G80">
        <f>'NHL2025-26Results'!E76</f>
        <v>5</v>
      </c>
      <c r="H80">
        <f>Table3[[#This Row],[G_1]]-Table3[[#This Row],[G]]</f>
        <v>4</v>
      </c>
      <c r="I80">
        <f>HomeEdge+VLOOKUP(Table3[[#This Row],[Home]],$A$6:$B$38,2,FALSE)-VLOOKUP(Table3[[#This Row],[Visitor]],$A$6:$B$38,2,FALSE)</f>
        <v>-5.0654229768655995E-2</v>
      </c>
      <c r="J80">
        <f>(Table3[[#This Row],[HomeMargin]]-Table3[[#This Row],[HomeForecast]])^2</f>
        <v>16.407799689142706</v>
      </c>
    </row>
    <row r="81" spans="4:10" x14ac:dyDescent="0.2">
      <c r="D81" t="s">
        <v>11</v>
      </c>
      <c r="E81">
        <f>'NHL2025-26Results'!C77</f>
        <v>0</v>
      </c>
      <c r="F81" t="s">
        <v>23</v>
      </c>
      <c r="G81">
        <f>'NHL2025-26Results'!E77</f>
        <v>3</v>
      </c>
      <c r="H81">
        <f>Table3[[#This Row],[G_1]]-Table3[[#This Row],[G]]</f>
        <v>3</v>
      </c>
      <c r="I81">
        <f>HomeEdge+VLOOKUP(Table3[[#This Row],[Home]],$A$6:$B$38,2,FALSE)-VLOOKUP(Table3[[#This Row],[Visitor]],$A$6:$B$38,2,FALSE)</f>
        <v>0.69471351368238232</v>
      </c>
      <c r="J81">
        <f>(Table3[[#This Row],[HomeMargin]]-Table3[[#This Row],[HomeForecast]])^2</f>
        <v>5.314345783998629</v>
      </c>
    </row>
    <row r="82" spans="4:10" x14ac:dyDescent="0.2">
      <c r="D82" t="s">
        <v>37</v>
      </c>
      <c r="E82">
        <f>'NHL2025-26Results'!C78</f>
        <v>2</v>
      </c>
      <c r="F82" t="s">
        <v>28</v>
      </c>
      <c r="G82">
        <f>'NHL2025-26Results'!E78</f>
        <v>3</v>
      </c>
      <c r="H82">
        <f>Table3[[#This Row],[G_1]]-Table3[[#This Row],[G]]</f>
        <v>1</v>
      </c>
      <c r="I82">
        <f>HomeEdge+VLOOKUP(Table3[[#This Row],[Home]],$A$6:$B$38,2,FALSE)-VLOOKUP(Table3[[#This Row],[Visitor]],$A$6:$B$38,2,FALSE)</f>
        <v>-0.87303966024831203</v>
      </c>
      <c r="J82">
        <f>(Table3[[#This Row],[HomeMargin]]-Table3[[#This Row],[HomeForecast]])^2</f>
        <v>3.5082775688631118</v>
      </c>
    </row>
    <row r="83" spans="4:10" x14ac:dyDescent="0.2">
      <c r="D83" t="s">
        <v>21</v>
      </c>
      <c r="E83">
        <f>'NHL2025-26Results'!C79</f>
        <v>1</v>
      </c>
      <c r="F83" t="s">
        <v>12</v>
      </c>
      <c r="G83">
        <f>'NHL2025-26Results'!E79</f>
        <v>4</v>
      </c>
      <c r="H83">
        <f>Table3[[#This Row],[G_1]]-Table3[[#This Row],[G]]</f>
        <v>3</v>
      </c>
      <c r="I83">
        <f>HomeEdge+VLOOKUP(Table3[[#This Row],[Home]],$A$6:$B$38,2,FALSE)-VLOOKUP(Table3[[#This Row],[Visitor]],$A$6:$B$38,2,FALSE)</f>
        <v>1.2308044323417597</v>
      </c>
      <c r="J83">
        <f>(Table3[[#This Row],[HomeMargin]]-Table3[[#This Row],[HomeForecast]])^2</f>
        <v>3.1300529566215629</v>
      </c>
    </row>
    <row r="84" spans="4:10" x14ac:dyDescent="0.2">
      <c r="D84" t="s">
        <v>25</v>
      </c>
      <c r="E84">
        <f>'NHL2025-26Results'!C80</f>
        <v>4</v>
      </c>
      <c r="F84" t="s">
        <v>13</v>
      </c>
      <c r="G84">
        <f>'NHL2025-26Results'!E80</f>
        <v>3</v>
      </c>
      <c r="H84">
        <f>Table3[[#This Row],[G_1]]-Table3[[#This Row],[G]]</f>
        <v>-1</v>
      </c>
      <c r="I84">
        <f>HomeEdge+VLOOKUP(Table3[[#This Row],[Home]],$A$6:$B$38,2,FALSE)-VLOOKUP(Table3[[#This Row],[Visitor]],$A$6:$B$38,2,FALSE)</f>
        <v>-0.69358411455615376</v>
      </c>
      <c r="J84">
        <f>(Table3[[#This Row],[HomeMargin]]-Table3[[#This Row],[HomeForecast]])^2</f>
        <v>9.3890694852336296E-2</v>
      </c>
    </row>
    <row r="85" spans="4:10" x14ac:dyDescent="0.2">
      <c r="D85" t="s">
        <v>15</v>
      </c>
      <c r="E85">
        <f>'NHL2025-26Results'!C81</f>
        <v>4</v>
      </c>
      <c r="F85" t="s">
        <v>18</v>
      </c>
      <c r="G85">
        <f>'NHL2025-26Results'!E81</f>
        <v>3</v>
      </c>
      <c r="H85">
        <f>Table3[[#This Row],[G_1]]-Table3[[#This Row],[G]]</f>
        <v>-1</v>
      </c>
      <c r="I85">
        <f>HomeEdge+VLOOKUP(Table3[[#This Row],[Home]],$A$6:$B$38,2,FALSE)-VLOOKUP(Table3[[#This Row],[Visitor]],$A$6:$B$38,2,FALSE)</f>
        <v>0.77985146380947179</v>
      </c>
      <c r="J85">
        <f>(Table3[[#This Row],[HomeMargin]]-Table3[[#This Row],[HomeForecast]])^2</f>
        <v>3.1678712332247194</v>
      </c>
    </row>
    <row r="86" spans="4:10" x14ac:dyDescent="0.2">
      <c r="D86" t="s">
        <v>17</v>
      </c>
      <c r="E86">
        <f>'NHL2025-26Results'!C82</f>
        <v>3</v>
      </c>
      <c r="F86" t="s">
        <v>24</v>
      </c>
      <c r="G86">
        <f>'NHL2025-26Results'!E82</f>
        <v>5</v>
      </c>
      <c r="H86">
        <f>Table3[[#This Row],[G_1]]-Table3[[#This Row],[G]]</f>
        <v>2</v>
      </c>
      <c r="I86">
        <f>HomeEdge+VLOOKUP(Table3[[#This Row],[Home]],$A$6:$B$38,2,FALSE)-VLOOKUP(Table3[[#This Row],[Visitor]],$A$6:$B$38,2,FALSE)</f>
        <v>-0.25087510000148089</v>
      </c>
      <c r="J86">
        <f>(Table3[[#This Row],[HomeMargin]]-Table3[[#This Row],[HomeForecast]])^2</f>
        <v>5.0664387158066777</v>
      </c>
    </row>
    <row r="87" spans="4:10" x14ac:dyDescent="0.2">
      <c r="D87" t="s">
        <v>30</v>
      </c>
      <c r="E87">
        <f>'NHL2025-26Results'!C83</f>
        <v>5</v>
      </c>
      <c r="F87" t="s">
        <v>36</v>
      </c>
      <c r="G87">
        <f>'NHL2025-26Results'!E83</f>
        <v>4</v>
      </c>
      <c r="H87">
        <f>Table3[[#This Row],[G_1]]-Table3[[#This Row],[G]]</f>
        <v>-1</v>
      </c>
      <c r="I87">
        <f>HomeEdge+VLOOKUP(Table3[[#This Row],[Home]],$A$6:$B$38,2,FALSE)-VLOOKUP(Table3[[#This Row],[Visitor]],$A$6:$B$38,2,FALSE)</f>
        <v>0.12580412875158772</v>
      </c>
      <c r="J87">
        <f>(Table3[[#This Row],[HomeMargin]]-Table3[[#This Row],[HomeForecast]])^2</f>
        <v>1.2674349363141213</v>
      </c>
    </row>
    <row r="88" spans="4:10" x14ac:dyDescent="0.2">
      <c r="D88" t="s">
        <v>34</v>
      </c>
      <c r="E88">
        <f>'NHL2025-26Results'!C84</f>
        <v>1</v>
      </c>
      <c r="F88" t="s">
        <v>27</v>
      </c>
      <c r="G88">
        <f>'NHL2025-26Results'!E84</f>
        <v>2</v>
      </c>
      <c r="H88">
        <f>Table3[[#This Row],[G_1]]-Table3[[#This Row],[G]]</f>
        <v>1</v>
      </c>
      <c r="I88">
        <f>HomeEdge+VLOOKUP(Table3[[#This Row],[Home]],$A$6:$B$38,2,FALSE)-VLOOKUP(Table3[[#This Row],[Visitor]],$A$6:$B$38,2,FALSE)</f>
        <v>-0.48185763722389879</v>
      </c>
      <c r="J88">
        <f>(Table3[[#This Row],[HomeMargin]]-Table3[[#This Row],[HomeForecast]])^2</f>
        <v>2.1959020569987957</v>
      </c>
    </row>
    <row r="89" spans="4:10" x14ac:dyDescent="0.2">
      <c r="D89" t="s">
        <v>14</v>
      </c>
      <c r="E89">
        <f>'NHL2025-26Results'!C85</f>
        <v>3</v>
      </c>
      <c r="F89" t="s">
        <v>33</v>
      </c>
      <c r="G89">
        <f>'NHL2025-26Results'!E85</f>
        <v>0</v>
      </c>
      <c r="H89">
        <f>Table3[[#This Row],[G_1]]-Table3[[#This Row],[G]]</f>
        <v>-3</v>
      </c>
      <c r="I89">
        <f>HomeEdge+VLOOKUP(Table3[[#This Row],[Home]],$A$6:$B$38,2,FALSE)-VLOOKUP(Table3[[#This Row],[Visitor]],$A$6:$B$38,2,FALSE)</f>
        <v>-0.52279518863569963</v>
      </c>
      <c r="J89">
        <f>(Table3[[#This Row],[HomeMargin]]-Table3[[#This Row],[HomeForecast]])^2</f>
        <v>6.1365436774464399</v>
      </c>
    </row>
    <row r="90" spans="4:10" x14ac:dyDescent="0.2">
      <c r="D90" t="s">
        <v>39</v>
      </c>
      <c r="E90">
        <f>'NHL2025-26Results'!C86</f>
        <v>1</v>
      </c>
      <c r="F90" t="s">
        <v>35</v>
      </c>
      <c r="G90">
        <f>'NHL2025-26Results'!E86</f>
        <v>3</v>
      </c>
      <c r="H90">
        <f>Table3[[#This Row],[G_1]]-Table3[[#This Row],[G]]</f>
        <v>2</v>
      </c>
      <c r="I90">
        <f>HomeEdge+VLOOKUP(Table3[[#This Row],[Home]],$A$6:$B$38,2,FALSE)-VLOOKUP(Table3[[#This Row],[Visitor]],$A$6:$B$38,2,FALSE)</f>
        <v>-1.400330595374522</v>
      </c>
      <c r="J90">
        <f>(Table3[[#This Row],[HomeMargin]]-Table3[[#This Row],[HomeForecast]])^2</f>
        <v>11.562248157840051</v>
      </c>
    </row>
    <row r="91" spans="4:10" x14ac:dyDescent="0.2">
      <c r="D91" t="s">
        <v>32</v>
      </c>
      <c r="E91">
        <f>'NHL2025-26Results'!C87</f>
        <v>4</v>
      </c>
      <c r="F91" t="s">
        <v>19</v>
      </c>
      <c r="G91">
        <f>'NHL2025-26Results'!E87</f>
        <v>3</v>
      </c>
      <c r="H91">
        <f>Table3[[#This Row],[G_1]]-Table3[[#This Row],[G]]</f>
        <v>-1</v>
      </c>
      <c r="I91">
        <f>HomeEdge+VLOOKUP(Table3[[#This Row],[Home]],$A$6:$B$38,2,FALSE)-VLOOKUP(Table3[[#This Row],[Visitor]],$A$6:$B$38,2,FALSE)</f>
        <v>0.16969357190273476</v>
      </c>
      <c r="J91">
        <f>(Table3[[#This Row],[HomeMargin]]-Table3[[#This Row],[HomeForecast]])^2</f>
        <v>1.3681830521505782</v>
      </c>
    </row>
    <row r="92" spans="4:10" x14ac:dyDescent="0.2">
      <c r="D92" t="s">
        <v>16</v>
      </c>
      <c r="E92">
        <f>'NHL2025-26Results'!C88</f>
        <v>1</v>
      </c>
      <c r="F92" t="s">
        <v>20</v>
      </c>
      <c r="G92">
        <f>'NHL2025-26Results'!E88</f>
        <v>6</v>
      </c>
      <c r="H92">
        <f>Table3[[#This Row],[G_1]]-Table3[[#This Row],[G]]</f>
        <v>5</v>
      </c>
      <c r="I92">
        <f>HomeEdge+VLOOKUP(Table3[[#This Row],[Home]],$A$6:$B$38,2,FALSE)-VLOOKUP(Table3[[#This Row],[Visitor]],$A$6:$B$38,2,FALSE)</f>
        <v>0.85695457024649424</v>
      </c>
      <c r="J92">
        <f>(Table3[[#This Row],[HomeMargin]]-Table3[[#This Row],[HomeForecast]])^2</f>
        <v>17.164825433001408</v>
      </c>
    </row>
    <row r="93" spans="4:10" x14ac:dyDescent="0.2">
      <c r="D93" t="s">
        <v>29</v>
      </c>
      <c r="E93">
        <f>'NHL2025-26Results'!C89</f>
        <v>1</v>
      </c>
      <c r="F93" t="s">
        <v>40</v>
      </c>
      <c r="G93">
        <f>'NHL2025-26Results'!E89</f>
        <v>4</v>
      </c>
      <c r="H93">
        <f>Table3[[#This Row],[G_1]]-Table3[[#This Row],[G]]</f>
        <v>3</v>
      </c>
      <c r="I93">
        <f>HomeEdge+VLOOKUP(Table3[[#This Row],[Home]],$A$6:$B$38,2,FALSE)-VLOOKUP(Table3[[#This Row],[Visitor]],$A$6:$B$38,2,FALSE)</f>
        <v>0.36172032453928893</v>
      </c>
      <c r="J93">
        <f>(Table3[[#This Row],[HomeMargin]]-Table3[[#This Row],[HomeForecast]])^2</f>
        <v>6.9605196459490752</v>
      </c>
    </row>
    <row r="94" spans="4:10" x14ac:dyDescent="0.2">
      <c r="D94" t="s">
        <v>31</v>
      </c>
      <c r="E94">
        <f>'NHL2025-26Results'!C90</f>
        <v>1</v>
      </c>
      <c r="F94" t="s">
        <v>10</v>
      </c>
      <c r="G94">
        <f>'NHL2025-26Results'!E90</f>
        <v>2</v>
      </c>
      <c r="H94">
        <f>Table3[[#This Row],[G_1]]-Table3[[#This Row],[G]]</f>
        <v>1</v>
      </c>
      <c r="I94">
        <f>HomeEdge+VLOOKUP(Table3[[#This Row],[Home]],$A$6:$B$38,2,FALSE)-VLOOKUP(Table3[[#This Row],[Visitor]],$A$6:$B$38,2,FALSE)</f>
        <v>-0.33336796443364847</v>
      </c>
      <c r="J94">
        <f>(Table3[[#This Row],[HomeMargin]]-Table3[[#This Row],[HomeForecast]])^2</f>
        <v>1.7778701285779313</v>
      </c>
    </row>
    <row r="95" spans="4:10" x14ac:dyDescent="0.2">
      <c r="D95" t="s">
        <v>17</v>
      </c>
      <c r="E95">
        <f>'NHL2025-26Results'!C91</f>
        <v>2</v>
      </c>
      <c r="F95" t="s">
        <v>26</v>
      </c>
      <c r="G95">
        <f>'NHL2025-26Results'!E91</f>
        <v>4</v>
      </c>
      <c r="H95">
        <f>Table3[[#This Row],[G_1]]-Table3[[#This Row],[G]]</f>
        <v>2</v>
      </c>
      <c r="I95">
        <f>HomeEdge+VLOOKUP(Table3[[#This Row],[Home]],$A$6:$B$38,2,FALSE)-VLOOKUP(Table3[[#This Row],[Visitor]],$A$6:$B$38,2,FALSE)</f>
        <v>0.16309515014533935</v>
      </c>
      <c r="J95">
        <f>(Table3[[#This Row],[HomeMargin]]-Table3[[#This Row],[HomeForecast]])^2</f>
        <v>3.3742194274195736</v>
      </c>
    </row>
    <row r="96" spans="4:10" x14ac:dyDescent="0.2">
      <c r="D96" t="s">
        <v>21</v>
      </c>
      <c r="E96">
        <f>'NHL2025-26Results'!C92</f>
        <v>2</v>
      </c>
      <c r="F96" t="s">
        <v>55</v>
      </c>
      <c r="G96">
        <f>'NHL2025-26Results'!E92</f>
        <v>3</v>
      </c>
      <c r="H96">
        <f>Table3[[#This Row],[G_1]]-Table3[[#This Row],[G]]</f>
        <v>1</v>
      </c>
      <c r="I96">
        <f>HomeEdge+VLOOKUP(Table3[[#This Row],[Home]],$A$6:$B$38,2,FALSE)-VLOOKUP(Table3[[#This Row],[Visitor]],$A$6:$B$38,2,FALSE)</f>
        <v>0.31623232467072859</v>
      </c>
      <c r="J96">
        <f>(Table3[[#This Row],[HomeMargin]]-Table3[[#This Row],[HomeForecast]])^2</f>
        <v>0.46753823382519594</v>
      </c>
    </row>
    <row r="97" spans="4:10" x14ac:dyDescent="0.2">
      <c r="D97" t="s">
        <v>38</v>
      </c>
      <c r="E97">
        <f>'NHL2025-26Results'!C93</f>
        <v>4</v>
      </c>
      <c r="F97" t="s">
        <v>22</v>
      </c>
      <c r="G97">
        <f>'NHL2025-26Results'!E93</f>
        <v>3</v>
      </c>
      <c r="H97">
        <f>Table3[[#This Row],[G_1]]-Table3[[#This Row],[G]]</f>
        <v>-1</v>
      </c>
      <c r="I97">
        <f>HomeEdge+VLOOKUP(Table3[[#This Row],[Home]],$A$6:$B$38,2,FALSE)-VLOOKUP(Table3[[#This Row],[Visitor]],$A$6:$B$38,2,FALSE)</f>
        <v>1.4018343568608045</v>
      </c>
      <c r="J97">
        <f>(Table3[[#This Row],[HomeMargin]]-Table3[[#This Row],[HomeForecast]])^2</f>
        <v>5.7688082777969543</v>
      </c>
    </row>
    <row r="98" spans="4:10" x14ac:dyDescent="0.2">
      <c r="D98" t="s">
        <v>40</v>
      </c>
      <c r="E98">
        <f>'NHL2025-26Results'!C94</f>
        <v>2</v>
      </c>
      <c r="F98" t="s">
        <v>16</v>
      </c>
      <c r="G98">
        <f>'NHL2025-26Results'!E94</f>
        <v>1</v>
      </c>
      <c r="H98">
        <f>Table3[[#This Row],[G_1]]-Table3[[#This Row],[G]]</f>
        <v>-1</v>
      </c>
      <c r="I98">
        <f>HomeEdge+VLOOKUP(Table3[[#This Row],[Home]],$A$6:$B$38,2,FALSE)-VLOOKUP(Table3[[#This Row],[Visitor]],$A$6:$B$38,2,FALSE)</f>
        <v>-0.17225376035709883</v>
      </c>
      <c r="J98">
        <f>(Table3[[#This Row],[HomeMargin]]-Table3[[#This Row],[HomeForecast]])^2</f>
        <v>0.68516383724296315</v>
      </c>
    </row>
    <row r="99" spans="4:10" x14ac:dyDescent="0.2">
      <c r="D99" t="s">
        <v>23</v>
      </c>
      <c r="E99">
        <f>'NHL2025-26Results'!C95</f>
        <v>2</v>
      </c>
      <c r="F99" t="s">
        <v>18</v>
      </c>
      <c r="G99">
        <f>'NHL2025-26Results'!E95</f>
        <v>4</v>
      </c>
      <c r="H99">
        <f>Table3[[#This Row],[G_1]]-Table3[[#This Row],[G]]</f>
        <v>2</v>
      </c>
      <c r="I99">
        <f>HomeEdge+VLOOKUP(Table3[[#This Row],[Home]],$A$6:$B$38,2,FALSE)-VLOOKUP(Table3[[#This Row],[Visitor]],$A$6:$B$38,2,FALSE)</f>
        <v>3.5177912439395852E-2</v>
      </c>
      <c r="J99">
        <f>(Table3[[#This Row],[HomeMargin]]-Table3[[#This Row],[HomeForecast]])^2</f>
        <v>3.8605258357660106</v>
      </c>
    </row>
    <row r="100" spans="4:10" x14ac:dyDescent="0.2">
      <c r="D100" t="s">
        <v>34</v>
      </c>
      <c r="E100">
        <f>'NHL2025-26Results'!C96</f>
        <v>3</v>
      </c>
      <c r="F100" t="s">
        <v>15</v>
      </c>
      <c r="G100">
        <f>'NHL2025-26Results'!E96</f>
        <v>1</v>
      </c>
      <c r="H100">
        <f>Table3[[#This Row],[G_1]]-Table3[[#This Row],[G]]</f>
        <v>-2</v>
      </c>
      <c r="I100">
        <f>HomeEdge+VLOOKUP(Table3[[#This Row],[Home]],$A$6:$B$38,2,FALSE)-VLOOKUP(Table3[[#This Row],[Visitor]],$A$6:$B$38,2,FALSE)</f>
        <v>-0.66739745269617512</v>
      </c>
      <c r="J100">
        <f>(Table3[[#This Row],[HomeMargin]]-Table3[[#This Row],[HomeForecast]])^2</f>
        <v>1.7758295490806431</v>
      </c>
    </row>
    <row r="101" spans="4:10" x14ac:dyDescent="0.2">
      <c r="D101" t="s">
        <v>32</v>
      </c>
      <c r="E101">
        <f>'NHL2025-26Results'!C97</f>
        <v>2</v>
      </c>
      <c r="F101" t="s">
        <v>27</v>
      </c>
      <c r="G101">
        <f>'NHL2025-26Results'!E97</f>
        <v>5</v>
      </c>
      <c r="H101">
        <f>Table3[[#This Row],[G_1]]-Table3[[#This Row],[G]]</f>
        <v>3</v>
      </c>
      <c r="I101">
        <f>HomeEdge+VLOOKUP(Table3[[#This Row],[Home]],$A$6:$B$38,2,FALSE)-VLOOKUP(Table3[[#This Row],[Visitor]],$A$6:$B$38,2,FALSE)</f>
        <v>6.0994800897819224E-2</v>
      </c>
      <c r="J101">
        <f>(Table3[[#This Row],[HomeMargin]]-Table3[[#This Row],[HomeForecast]])^2</f>
        <v>8.6377515603496491</v>
      </c>
    </row>
    <row r="102" spans="4:10" x14ac:dyDescent="0.2">
      <c r="D102" t="s">
        <v>25</v>
      </c>
      <c r="E102">
        <f>'NHL2025-26Results'!C98</f>
        <v>1</v>
      </c>
      <c r="F102" t="s">
        <v>20</v>
      </c>
      <c r="G102">
        <f>'NHL2025-26Results'!E98</f>
        <v>4</v>
      </c>
      <c r="H102">
        <f>Table3[[#This Row],[G_1]]-Table3[[#This Row],[G]]</f>
        <v>3</v>
      </c>
      <c r="I102">
        <f>HomeEdge+VLOOKUP(Table3[[#This Row],[Home]],$A$6:$B$38,2,FALSE)-VLOOKUP(Table3[[#This Row],[Visitor]],$A$6:$B$38,2,FALSE)</f>
        <v>-0.26585184988536781</v>
      </c>
      <c r="J102">
        <f>(Table3[[#This Row],[HomeMargin]]-Table3[[#This Row],[HomeForecast]])^2</f>
        <v>10.66578830539968</v>
      </c>
    </row>
    <row r="103" spans="4:10" x14ac:dyDescent="0.2">
      <c r="D103" t="s">
        <v>11</v>
      </c>
      <c r="E103">
        <f>'NHL2025-26Results'!C99</f>
        <v>4</v>
      </c>
      <c r="F103" t="s">
        <v>21</v>
      </c>
      <c r="G103">
        <f>'NHL2025-26Results'!E99</f>
        <v>3</v>
      </c>
      <c r="H103">
        <f>Table3[[#This Row],[G_1]]-Table3[[#This Row],[G]]</f>
        <v>-1</v>
      </c>
      <c r="I103">
        <f>HomeEdge+VLOOKUP(Table3[[#This Row],[Home]],$A$6:$B$38,2,FALSE)-VLOOKUP(Table3[[#This Row],[Visitor]],$A$6:$B$38,2,FALSE)</f>
        <v>0.5840285040457468</v>
      </c>
      <c r="J103">
        <f>(Table3[[#This Row],[HomeMargin]]-Table3[[#This Row],[HomeForecast]])^2</f>
        <v>2.5091463016294067</v>
      </c>
    </row>
    <row r="104" spans="4:10" x14ac:dyDescent="0.2">
      <c r="D104" t="s">
        <v>28</v>
      </c>
      <c r="E104">
        <f>'NHL2025-26Results'!C100</f>
        <v>5</v>
      </c>
      <c r="F104" t="s">
        <v>39</v>
      </c>
      <c r="G104">
        <f>'NHL2025-26Results'!E100</f>
        <v>1</v>
      </c>
      <c r="H104">
        <f>Table3[[#This Row],[G_1]]-Table3[[#This Row],[G]]</f>
        <v>-4</v>
      </c>
      <c r="I104">
        <f>HomeEdge+VLOOKUP(Table3[[#This Row],[Home]],$A$6:$B$38,2,FALSE)-VLOOKUP(Table3[[#This Row],[Visitor]],$A$6:$B$38,2,FALSE)</f>
        <v>0.62825209242688718</v>
      </c>
      <c r="J104">
        <f>(Table3[[#This Row],[HomeMargin]]-Table3[[#This Row],[HomeForecast]])^2</f>
        <v>21.420717431053859</v>
      </c>
    </row>
    <row r="105" spans="4:10" x14ac:dyDescent="0.2">
      <c r="D105" t="s">
        <v>31</v>
      </c>
      <c r="E105">
        <f>'NHL2025-26Results'!C101</f>
        <v>5</v>
      </c>
      <c r="F105" t="s">
        <v>29</v>
      </c>
      <c r="G105">
        <f>'NHL2025-26Results'!E101</f>
        <v>2</v>
      </c>
      <c r="H105">
        <f>Table3[[#This Row],[G_1]]-Table3[[#This Row],[G]]</f>
        <v>-3</v>
      </c>
      <c r="I105">
        <f>HomeEdge+VLOOKUP(Table3[[#This Row],[Home]],$A$6:$B$38,2,FALSE)-VLOOKUP(Table3[[#This Row],[Visitor]],$A$6:$B$38,2,FALSE)</f>
        <v>-0.22735199428288244</v>
      </c>
      <c r="J105">
        <f>(Table3[[#This Row],[HomeMargin]]-Table3[[#This Row],[HomeForecast]])^2</f>
        <v>7.6875769636071096</v>
      </c>
    </row>
    <row r="106" spans="4:10" x14ac:dyDescent="0.2">
      <c r="D106" t="s">
        <v>33</v>
      </c>
      <c r="E106">
        <f>'NHL2025-26Results'!C102</f>
        <v>3</v>
      </c>
      <c r="F106" t="s">
        <v>30</v>
      </c>
      <c r="G106">
        <f>'NHL2025-26Results'!E102</f>
        <v>4</v>
      </c>
      <c r="H106">
        <f>Table3[[#This Row],[G_1]]-Table3[[#This Row],[G]]</f>
        <v>1</v>
      </c>
      <c r="I106">
        <f>HomeEdge+VLOOKUP(Table3[[#This Row],[Home]],$A$6:$B$38,2,FALSE)-VLOOKUP(Table3[[#This Row],[Visitor]],$A$6:$B$38,2,FALSE)</f>
        <v>0.59566818516298969</v>
      </c>
      <c r="J106">
        <f>(Table3[[#This Row],[HomeMargin]]-Table3[[#This Row],[HomeForecast]])^2</f>
        <v>0.16348421648939038</v>
      </c>
    </row>
    <row r="107" spans="4:10" x14ac:dyDescent="0.2">
      <c r="D107" t="s">
        <v>17</v>
      </c>
      <c r="E107">
        <f>'NHL2025-26Results'!C103</f>
        <v>3</v>
      </c>
      <c r="F107" t="s">
        <v>36</v>
      </c>
      <c r="G107">
        <f>'NHL2025-26Results'!E103</f>
        <v>2</v>
      </c>
      <c r="H107">
        <f>Table3[[#This Row],[G_1]]-Table3[[#This Row],[G]]</f>
        <v>-1</v>
      </c>
      <c r="I107">
        <f>HomeEdge+VLOOKUP(Table3[[#This Row],[Home]],$A$6:$B$38,2,FALSE)-VLOOKUP(Table3[[#This Row],[Visitor]],$A$6:$B$38,2,FALSE)</f>
        <v>0.30412545268420965</v>
      </c>
      <c r="J107">
        <f>(Table3[[#This Row],[HomeMargin]]-Table3[[#This Row],[HomeForecast]])^2</f>
        <v>1.7007431963387947</v>
      </c>
    </row>
    <row r="108" spans="4:10" x14ac:dyDescent="0.2">
      <c r="D108" t="s">
        <v>38</v>
      </c>
      <c r="E108">
        <f>'NHL2025-26Results'!C104</f>
        <v>1</v>
      </c>
      <c r="F108" t="s">
        <v>14</v>
      </c>
      <c r="G108">
        <f>'NHL2025-26Results'!E104</f>
        <v>5</v>
      </c>
      <c r="H108">
        <f>Table3[[#This Row],[G_1]]-Table3[[#This Row],[G]]</f>
        <v>4</v>
      </c>
      <c r="I108">
        <f>HomeEdge+VLOOKUP(Table3[[#This Row],[Home]],$A$6:$B$38,2,FALSE)-VLOOKUP(Table3[[#This Row],[Visitor]],$A$6:$B$38,2,FALSE)</f>
        <v>1.5216466382107796</v>
      </c>
      <c r="J108">
        <f>(Table3[[#This Row],[HomeMargin]]-Table3[[#This Row],[HomeForecast]])^2</f>
        <v>6.1422353858919294</v>
      </c>
    </row>
    <row r="109" spans="4:10" x14ac:dyDescent="0.2">
      <c r="D109" t="s">
        <v>13</v>
      </c>
      <c r="E109">
        <f>'NHL2025-26Results'!C105</f>
        <v>2</v>
      </c>
      <c r="F109" t="s">
        <v>35</v>
      </c>
      <c r="G109">
        <f>'NHL2025-26Results'!E105</f>
        <v>1</v>
      </c>
      <c r="H109">
        <f>Table3[[#This Row],[G_1]]-Table3[[#This Row],[G]]</f>
        <v>-1</v>
      </c>
      <c r="I109">
        <f>HomeEdge+VLOOKUP(Table3[[#This Row],[Home]],$A$6:$B$38,2,FALSE)-VLOOKUP(Table3[[#This Row],[Visitor]],$A$6:$B$38,2,FALSE)</f>
        <v>-0.59255338860860529</v>
      </c>
      <c r="J109">
        <f>(Table3[[#This Row],[HomeMargin]]-Table3[[#This Row],[HomeForecast]])^2</f>
        <v>0.16601274113433021</v>
      </c>
    </row>
    <row r="110" spans="4:10" x14ac:dyDescent="0.2">
      <c r="D110" t="s">
        <v>24</v>
      </c>
      <c r="E110">
        <f>'NHL2025-26Results'!C106</f>
        <v>5</v>
      </c>
      <c r="F110" t="s">
        <v>19</v>
      </c>
      <c r="G110">
        <f>'NHL2025-26Results'!E106</f>
        <v>2</v>
      </c>
      <c r="H110">
        <f>Table3[[#This Row],[G_1]]-Table3[[#This Row],[G]]</f>
        <v>-3</v>
      </c>
      <c r="I110">
        <f>HomeEdge+VLOOKUP(Table3[[#This Row],[Home]],$A$6:$B$38,2,FALSE)-VLOOKUP(Table3[[#This Row],[Visitor]],$A$6:$B$38,2,FALSE)</f>
        <v>0.43243445285260673</v>
      </c>
      <c r="J110">
        <f>(Table3[[#This Row],[HomeMargin]]-Table3[[#This Row],[HomeForecast]])^2</f>
        <v>11.781606273129574</v>
      </c>
    </row>
    <row r="111" spans="4:10" x14ac:dyDescent="0.2">
      <c r="D111" t="s">
        <v>12</v>
      </c>
      <c r="E111">
        <f>'NHL2025-26Results'!C107</f>
        <v>3</v>
      </c>
      <c r="F111" t="s">
        <v>55</v>
      </c>
      <c r="G111">
        <f>'NHL2025-26Results'!E107</f>
        <v>4</v>
      </c>
      <c r="H111">
        <f>Table3[[#This Row],[G_1]]-Table3[[#This Row],[G]]</f>
        <v>1</v>
      </c>
      <c r="I111">
        <f>HomeEdge+VLOOKUP(Table3[[#This Row],[Home]],$A$6:$B$38,2,FALSE)-VLOOKUP(Table3[[#This Row],[Visitor]],$A$6:$B$38,2,FALSE)</f>
        <v>-0.78496512185950718</v>
      </c>
      <c r="J111">
        <f>(Table3[[#This Row],[HomeMargin]]-Table3[[#This Row],[HomeForecast]])^2</f>
        <v>3.1861004862549249</v>
      </c>
    </row>
    <row r="112" spans="4:10" x14ac:dyDescent="0.2">
      <c r="D112" t="s">
        <v>32</v>
      </c>
      <c r="E112">
        <f>'NHL2025-26Results'!C108</f>
        <v>1</v>
      </c>
      <c r="F112" t="s">
        <v>22</v>
      </c>
      <c r="G112">
        <f>'NHL2025-26Results'!E108</f>
        <v>4</v>
      </c>
      <c r="H112">
        <f>Table3[[#This Row],[G_1]]-Table3[[#This Row],[G]]</f>
        <v>3</v>
      </c>
      <c r="I112">
        <f>HomeEdge+VLOOKUP(Table3[[#This Row],[Home]],$A$6:$B$38,2,FALSE)-VLOOKUP(Table3[[#This Row],[Visitor]],$A$6:$B$38,2,FALSE)</f>
        <v>0.49219820835306199</v>
      </c>
      <c r="J112">
        <f>(Table3[[#This Row],[HomeMargin]]-Table3[[#This Row],[HomeForecast]])^2</f>
        <v>6.2890698261875917</v>
      </c>
    </row>
    <row r="113" spans="4:10" x14ac:dyDescent="0.2">
      <c r="D113" t="s">
        <v>26</v>
      </c>
      <c r="E113">
        <f>'NHL2025-26Results'!C109</f>
        <v>2</v>
      </c>
      <c r="F113" t="s">
        <v>23</v>
      </c>
      <c r="G113">
        <f>'NHL2025-26Results'!E109</f>
        <v>4</v>
      </c>
      <c r="H113">
        <f>Table3[[#This Row],[G_1]]-Table3[[#This Row],[G]]</f>
        <v>2</v>
      </c>
      <c r="I113">
        <f>HomeEdge+VLOOKUP(Table3[[#This Row],[Home]],$A$6:$B$38,2,FALSE)-VLOOKUP(Table3[[#This Row],[Visitor]],$A$6:$B$38,2,FALSE)</f>
        <v>0.46889916759867056</v>
      </c>
      <c r="J113">
        <f>(Table3[[#This Row],[HomeMargin]]-Table3[[#This Row],[HomeForecast]])^2</f>
        <v>2.3442697589800443</v>
      </c>
    </row>
    <row r="114" spans="4:10" x14ac:dyDescent="0.2">
      <c r="D114" t="s">
        <v>18</v>
      </c>
      <c r="E114">
        <f>'NHL2025-26Results'!C110</f>
        <v>2</v>
      </c>
      <c r="F114" t="s">
        <v>16</v>
      </c>
      <c r="G114">
        <f>'NHL2025-26Results'!E110</f>
        <v>1</v>
      </c>
      <c r="H114">
        <f>Table3[[#This Row],[G_1]]-Table3[[#This Row],[G]]</f>
        <v>-1</v>
      </c>
      <c r="I114">
        <f>HomeEdge+VLOOKUP(Table3[[#This Row],[Home]],$A$6:$B$38,2,FALSE)-VLOOKUP(Table3[[#This Row],[Visitor]],$A$6:$B$38,2,FALSE)</f>
        <v>-0.67443055607123581</v>
      </c>
      <c r="J114">
        <f>(Table3[[#This Row],[HomeMargin]]-Table3[[#This Row],[HomeForecast]])^2</f>
        <v>0.10599546282008473</v>
      </c>
    </row>
    <row r="115" spans="4:10" x14ac:dyDescent="0.2">
      <c r="D115" t="s">
        <v>34</v>
      </c>
      <c r="E115">
        <f>'NHL2025-26Results'!C111</f>
        <v>1</v>
      </c>
      <c r="F115" t="s">
        <v>24</v>
      </c>
      <c r="G115">
        <f>'NHL2025-26Results'!E111</f>
        <v>4</v>
      </c>
      <c r="H115">
        <f>Table3[[#This Row],[G_1]]-Table3[[#This Row],[G]]</f>
        <v>3</v>
      </c>
      <c r="I115">
        <f>HomeEdge+VLOOKUP(Table3[[#This Row],[Home]],$A$6:$B$38,2,FALSE)-VLOOKUP(Table3[[#This Row],[Visitor]],$A$6:$B$38,2,FALSE)</f>
        <v>-0.67598633326006585</v>
      </c>
      <c r="J115">
        <f>(Table3[[#This Row],[HomeMargin]]-Table3[[#This Row],[HomeForecast]])^2</f>
        <v>13.512875522314783</v>
      </c>
    </row>
    <row r="116" spans="4:10" x14ac:dyDescent="0.2">
      <c r="D116" t="s">
        <v>31</v>
      </c>
      <c r="E116">
        <f>'NHL2025-26Results'!C112</f>
        <v>7</v>
      </c>
      <c r="F116" t="s">
        <v>21</v>
      </c>
      <c r="G116">
        <f>'NHL2025-26Results'!E112</f>
        <v>5</v>
      </c>
      <c r="H116">
        <f>Table3[[#This Row],[G_1]]-Table3[[#This Row],[G]]</f>
        <v>-2</v>
      </c>
      <c r="I116">
        <f>HomeEdge+VLOOKUP(Table3[[#This Row],[Home]],$A$6:$B$38,2,FALSE)-VLOOKUP(Table3[[#This Row],[Visitor]],$A$6:$B$38,2,FALSE)</f>
        <v>0.49068220389451211</v>
      </c>
      <c r="J116">
        <f>(Table3[[#This Row],[HomeMargin]]-Table3[[#This Row],[HomeForecast]])^2</f>
        <v>6.2034978407968238</v>
      </c>
    </row>
    <row r="117" spans="4:10" x14ac:dyDescent="0.2">
      <c r="D117" t="s">
        <v>25</v>
      </c>
      <c r="E117">
        <f>'NHL2025-26Results'!C113</f>
        <v>5</v>
      </c>
      <c r="F117" t="s">
        <v>12</v>
      </c>
      <c r="G117">
        <f>'NHL2025-26Results'!E113</f>
        <v>4</v>
      </c>
      <c r="H117">
        <f>Table3[[#This Row],[G_1]]-Table3[[#This Row],[G]]</f>
        <v>-1</v>
      </c>
      <c r="I117">
        <f>HomeEdge+VLOOKUP(Table3[[#This Row],[Home]],$A$6:$B$38,2,FALSE)-VLOOKUP(Table3[[#This Row],[Visitor]],$A$6:$B$38,2,FALSE)</f>
        <v>0.89577961782815052</v>
      </c>
      <c r="J117">
        <f>(Table3[[#This Row],[HomeMargin]]-Table3[[#This Row],[HomeForecast]])^2</f>
        <v>3.5939803593726483</v>
      </c>
    </row>
    <row r="118" spans="4:10" x14ac:dyDescent="0.2">
      <c r="D118" t="s">
        <v>13</v>
      </c>
      <c r="E118">
        <f>'NHL2025-26Results'!C114</f>
        <v>3</v>
      </c>
      <c r="F118" t="s">
        <v>39</v>
      </c>
      <c r="G118">
        <f>'NHL2025-26Results'!E114</f>
        <v>2</v>
      </c>
      <c r="H118">
        <f>Table3[[#This Row],[G_1]]-Table3[[#This Row],[G]]</f>
        <v>-1</v>
      </c>
      <c r="I118">
        <f>HomeEdge+VLOOKUP(Table3[[#This Row],[Home]],$A$6:$B$38,2,FALSE)-VLOOKUP(Table3[[#This Row],[Visitor]],$A$6:$B$38,2,FALSE)</f>
        <v>0.93738419257744088</v>
      </c>
      <c r="J118">
        <f>(Table3[[#This Row],[HomeMargin]]-Table3[[#This Row],[HomeForecast]])^2</f>
        <v>3.7534575096489426</v>
      </c>
    </row>
    <row r="119" spans="4:10" x14ac:dyDescent="0.2">
      <c r="D119" t="s">
        <v>18</v>
      </c>
      <c r="E119">
        <f>'NHL2025-26Results'!C115</f>
        <v>5</v>
      </c>
      <c r="F119" t="s">
        <v>17</v>
      </c>
      <c r="G119">
        <f>'NHL2025-26Results'!E115</f>
        <v>6</v>
      </c>
      <c r="H119">
        <f>Table3[[#This Row],[G_1]]-Table3[[#This Row],[G]]</f>
        <v>1</v>
      </c>
      <c r="I119">
        <f>HomeEdge+VLOOKUP(Table3[[#This Row],[Home]],$A$6:$B$38,2,FALSE)-VLOOKUP(Table3[[#This Row],[Visitor]],$A$6:$B$38,2,FALSE)</f>
        <v>-0.14874428693730934</v>
      </c>
      <c r="J119">
        <f>(Table3[[#This Row],[HomeMargin]]-Table3[[#This Row],[HomeForecast]])^2</f>
        <v>1.319613436771107</v>
      </c>
    </row>
    <row r="120" spans="4:10" x14ac:dyDescent="0.2">
      <c r="D120" t="s">
        <v>14</v>
      </c>
      <c r="E120">
        <f>'NHL2025-26Results'!C116</f>
        <v>5</v>
      </c>
      <c r="F120" t="s">
        <v>11</v>
      </c>
      <c r="G120">
        <f>'NHL2025-26Results'!E116</f>
        <v>3</v>
      </c>
      <c r="H120">
        <f>Table3[[#This Row],[G_1]]-Table3[[#This Row],[G]]</f>
        <v>-2</v>
      </c>
      <c r="I120">
        <f>HomeEdge+VLOOKUP(Table3[[#This Row],[Home]],$A$6:$B$38,2,FALSE)-VLOOKUP(Table3[[#This Row],[Visitor]],$A$6:$B$38,2,FALSE)</f>
        <v>-0.42738149496675248</v>
      </c>
      <c r="J120">
        <f>(Table3[[#This Row],[HomeMargin]]-Table3[[#This Row],[HomeForecast]])^2</f>
        <v>2.4731289623730062</v>
      </c>
    </row>
    <row r="121" spans="4:10" x14ac:dyDescent="0.2">
      <c r="D121" t="s">
        <v>38</v>
      </c>
      <c r="E121">
        <f>'NHL2025-26Results'!C117</f>
        <v>1</v>
      </c>
      <c r="F121" t="s">
        <v>29</v>
      </c>
      <c r="G121">
        <f>'NHL2025-26Results'!E117</f>
        <v>2</v>
      </c>
      <c r="H121">
        <f>Table3[[#This Row],[G_1]]-Table3[[#This Row],[G]]</f>
        <v>1</v>
      </c>
      <c r="I121">
        <f>HomeEdge+VLOOKUP(Table3[[#This Row],[Home]],$A$6:$B$38,2,FALSE)-VLOOKUP(Table3[[#This Row],[Visitor]],$A$6:$B$38,2,FALSE)</f>
        <v>0.70104547748933121</v>
      </c>
      <c r="J121">
        <f>(Table3[[#This Row],[HomeMargin]]-Table3[[#This Row],[HomeForecast]])^2</f>
        <v>8.9373806529581976E-2</v>
      </c>
    </row>
    <row r="122" spans="4:10" x14ac:dyDescent="0.2">
      <c r="D122" t="s">
        <v>26</v>
      </c>
      <c r="E122">
        <f>'NHL2025-26Results'!C118</f>
        <v>2</v>
      </c>
      <c r="F122" t="s">
        <v>30</v>
      </c>
      <c r="G122">
        <f>'NHL2025-26Results'!E118</f>
        <v>7</v>
      </c>
      <c r="H122">
        <f>Table3[[#This Row],[G_1]]-Table3[[#This Row],[G]]</f>
        <v>5</v>
      </c>
      <c r="I122">
        <f>HomeEdge+VLOOKUP(Table3[[#This Row],[Home]],$A$6:$B$38,2,FALSE)-VLOOKUP(Table3[[#This Row],[Visitor]],$A$6:$B$38,2,FALSE)</f>
        <v>0.27444014541033079</v>
      </c>
      <c r="J122">
        <f>(Table3[[#This Row],[HomeMargin]]-Table3[[#This Row],[HomeForecast]])^2</f>
        <v>22.330915939309531</v>
      </c>
    </row>
    <row r="123" spans="4:10" x14ac:dyDescent="0.2">
      <c r="D123" t="s">
        <v>33</v>
      </c>
      <c r="E123">
        <f>'NHL2025-26Results'!C119</f>
        <v>6</v>
      </c>
      <c r="F123" t="s">
        <v>15</v>
      </c>
      <c r="G123">
        <f>'NHL2025-26Results'!E119</f>
        <v>5</v>
      </c>
      <c r="H123">
        <f>Table3[[#This Row],[G_1]]-Table3[[#This Row],[G]]</f>
        <v>-1</v>
      </c>
      <c r="I123">
        <f>HomeEdge+VLOOKUP(Table3[[#This Row],[Home]],$A$6:$B$38,2,FALSE)-VLOOKUP(Table3[[#This Row],[Visitor]],$A$6:$B$38,2,FALSE)</f>
        <v>4.5453655981253505E-2</v>
      </c>
      <c r="J123">
        <f>(Table3[[#This Row],[HomeMargin]]-Table3[[#This Row],[HomeForecast]])^2</f>
        <v>1.0929733468045693</v>
      </c>
    </row>
    <row r="124" spans="4:10" x14ac:dyDescent="0.2">
      <c r="D124" t="s">
        <v>27</v>
      </c>
      <c r="E124">
        <f>'NHL2025-26Results'!C120</f>
        <v>1</v>
      </c>
      <c r="F124" t="s">
        <v>36</v>
      </c>
      <c r="G124">
        <f>'NHL2025-26Results'!E120</f>
        <v>2</v>
      </c>
      <c r="H124">
        <f>Table3[[#This Row],[G_1]]-Table3[[#This Row],[G]]</f>
        <v>1</v>
      </c>
      <c r="I124">
        <f>HomeEdge+VLOOKUP(Table3[[#This Row],[Home]],$A$6:$B$38,2,FALSE)-VLOOKUP(Table3[[#This Row],[Visitor]],$A$6:$B$38,2,FALSE)</f>
        <v>0.49047884246104745</v>
      </c>
      <c r="J124">
        <f>(Table3[[#This Row],[HomeMargin]]-Table3[[#This Row],[HomeForecast]])^2</f>
        <v>0.25961180997983413</v>
      </c>
    </row>
    <row r="125" spans="4:10" x14ac:dyDescent="0.2">
      <c r="D125" t="s">
        <v>55</v>
      </c>
      <c r="E125">
        <f>'NHL2025-26Results'!C121</f>
        <v>7</v>
      </c>
      <c r="F125" t="s">
        <v>35</v>
      </c>
      <c r="G125">
        <f>'NHL2025-26Results'!E121</f>
        <v>4</v>
      </c>
      <c r="H125">
        <f>Table3[[#This Row],[G_1]]-Table3[[#This Row],[G]]</f>
        <v>-3</v>
      </c>
      <c r="I125">
        <f>HomeEdge+VLOOKUP(Table3[[#This Row],[Home]],$A$6:$B$38,2,FALSE)-VLOOKUP(Table3[[#This Row],[Visitor]],$A$6:$B$38,2,FALSE)</f>
        <v>-1.2673450133218782</v>
      </c>
      <c r="J125">
        <f>(Table3[[#This Row],[HomeMargin]]-Table3[[#This Row],[HomeForecast]])^2</f>
        <v>3.0020933028605623</v>
      </c>
    </row>
    <row r="126" spans="4:10" x14ac:dyDescent="0.2">
      <c r="D126" t="s">
        <v>10</v>
      </c>
      <c r="E126">
        <f>'NHL2025-26Results'!C122</f>
        <v>3</v>
      </c>
      <c r="F126" t="s">
        <v>37</v>
      </c>
      <c r="G126">
        <f>'NHL2025-26Results'!E122</f>
        <v>2</v>
      </c>
      <c r="H126">
        <f>Table3[[#This Row],[G_1]]-Table3[[#This Row],[G]]</f>
        <v>-1</v>
      </c>
      <c r="I126">
        <f>HomeEdge+VLOOKUP(Table3[[#This Row],[Home]],$A$6:$B$38,2,FALSE)-VLOOKUP(Table3[[#This Row],[Visitor]],$A$6:$B$38,2,FALSE)</f>
        <v>1.7772696144960061</v>
      </c>
      <c r="J126">
        <f>(Table3[[#This Row],[HomeMargin]]-Table3[[#This Row],[HomeForecast]])^2</f>
        <v>7.7132265116027945</v>
      </c>
    </row>
    <row r="127" spans="4:10" x14ac:dyDescent="0.2">
      <c r="D127" t="s">
        <v>32</v>
      </c>
      <c r="E127">
        <f>'NHL2025-26Results'!C123</f>
        <v>3</v>
      </c>
      <c r="F127" t="s">
        <v>40</v>
      </c>
      <c r="G127">
        <f>'NHL2025-26Results'!E123</f>
        <v>0</v>
      </c>
      <c r="H127">
        <f>Table3[[#This Row],[G_1]]-Table3[[#This Row],[G]]</f>
        <v>-3</v>
      </c>
      <c r="I127">
        <f>HomeEdge+VLOOKUP(Table3[[#This Row],[Home]],$A$6:$B$38,2,FALSE)-VLOOKUP(Table3[[#This Row],[Visitor]],$A$6:$B$38,2,FALSE)</f>
        <v>2.3522667709353573E-2</v>
      </c>
      <c r="J127">
        <f>(Table3[[#This Row],[HomeMargin]]-Table3[[#This Row],[HomeForecast]])^2</f>
        <v>9.1416893221522848</v>
      </c>
    </row>
    <row r="128" spans="4:10" x14ac:dyDescent="0.2">
      <c r="D128" t="s">
        <v>19</v>
      </c>
      <c r="E128">
        <f>'NHL2025-26Results'!C124</f>
        <v>3</v>
      </c>
      <c r="F128" t="s">
        <v>23</v>
      </c>
      <c r="G128">
        <f>'NHL2025-26Results'!E124</f>
        <v>5</v>
      </c>
      <c r="H128">
        <f>Table3[[#This Row],[G_1]]-Table3[[#This Row],[G]]</f>
        <v>2</v>
      </c>
      <c r="I128">
        <f>HomeEdge+VLOOKUP(Table3[[#This Row],[Home]],$A$6:$B$38,2,FALSE)-VLOOKUP(Table3[[#This Row],[Visitor]],$A$6:$B$38,2,FALSE)</f>
        <v>0.58004195070440812</v>
      </c>
      <c r="J128">
        <f>(Table3[[#This Row],[HomeMargin]]-Table3[[#This Row],[HomeForecast]])^2</f>
        <v>2.0162808617593426</v>
      </c>
    </row>
    <row r="129" spans="4:10" x14ac:dyDescent="0.2">
      <c r="D129" t="s">
        <v>22</v>
      </c>
      <c r="E129">
        <f>'NHL2025-26Results'!C125</f>
        <v>5</v>
      </c>
      <c r="F129" t="s">
        <v>28</v>
      </c>
      <c r="G129">
        <f>'NHL2025-26Results'!E125</f>
        <v>1</v>
      </c>
      <c r="H129">
        <f>Table3[[#This Row],[G_1]]-Table3[[#This Row],[G]]</f>
        <v>-4</v>
      </c>
      <c r="I129">
        <f>HomeEdge+VLOOKUP(Table3[[#This Row],[Home]],$A$6:$B$38,2,FALSE)-VLOOKUP(Table3[[#This Row],[Visitor]],$A$6:$B$38,2,FALSE)</f>
        <v>-3.2181881086069411E-2</v>
      </c>
      <c r="J129">
        <f>(Table3[[#This Row],[HomeMargin]]-Table3[[#This Row],[HomeForecast]])^2</f>
        <v>15.743580624781682</v>
      </c>
    </row>
    <row r="130" spans="4:10" x14ac:dyDescent="0.2">
      <c r="D130" t="s">
        <v>33</v>
      </c>
      <c r="E130">
        <f>'NHL2025-26Results'!C126</f>
        <v>1</v>
      </c>
      <c r="F130" t="s">
        <v>24</v>
      </c>
      <c r="G130">
        <f>'NHL2025-26Results'!E126</f>
        <v>3</v>
      </c>
      <c r="H130">
        <f>Table3[[#This Row],[G_1]]-Table3[[#This Row],[G]]</f>
        <v>2</v>
      </c>
      <c r="I130">
        <f>HomeEdge+VLOOKUP(Table3[[#This Row],[Home]],$A$6:$B$38,2,FALSE)-VLOOKUP(Table3[[#This Row],[Visitor]],$A$6:$B$38,2,FALSE)</f>
        <v>3.6864775417362772E-2</v>
      </c>
      <c r="J130">
        <f>(Table3[[#This Row],[HomeMargin]]-Table3[[#This Row],[HomeForecast]])^2</f>
        <v>3.8538999099971214</v>
      </c>
    </row>
    <row r="131" spans="4:10" x14ac:dyDescent="0.2">
      <c r="D131" t="s">
        <v>16</v>
      </c>
      <c r="E131">
        <f>'NHL2025-26Results'!C127</f>
        <v>3</v>
      </c>
      <c r="F131" t="s">
        <v>40</v>
      </c>
      <c r="G131">
        <f>'NHL2025-26Results'!E127</f>
        <v>5</v>
      </c>
      <c r="H131">
        <f>Table3[[#This Row],[G_1]]-Table3[[#This Row],[G]]</f>
        <v>2</v>
      </c>
      <c r="I131">
        <f>HomeEdge+VLOOKUP(Table3[[#This Row],[Home]],$A$6:$B$38,2,FALSE)-VLOOKUP(Table3[[#This Row],[Visitor]],$A$6:$B$38,2,FALSE)</f>
        <v>0.43146773198014698</v>
      </c>
      <c r="J131">
        <f>(Table3[[#This Row],[HomeMargin]]-Table3[[#This Row],[HomeForecast]])^2</f>
        <v>2.4602934758195039</v>
      </c>
    </row>
    <row r="132" spans="4:10" x14ac:dyDescent="0.2">
      <c r="D132" t="s">
        <v>12</v>
      </c>
      <c r="E132">
        <f>'NHL2025-26Results'!C128</f>
        <v>2</v>
      </c>
      <c r="F132" t="s">
        <v>21</v>
      </c>
      <c r="G132">
        <f>'NHL2025-26Results'!E128</f>
        <v>3</v>
      </c>
      <c r="H132">
        <f>Table3[[#This Row],[G_1]]-Table3[[#This Row],[G]]</f>
        <v>1</v>
      </c>
      <c r="I132">
        <f>HomeEdge+VLOOKUP(Table3[[#This Row],[Home]],$A$6:$B$38,2,FALSE)-VLOOKUP(Table3[[#This Row],[Visitor]],$A$6:$B$38,2,FALSE)</f>
        <v>-0.97159046071871169</v>
      </c>
      <c r="J132">
        <f>(Table3[[#This Row],[HomeMargin]]-Table3[[#This Row],[HomeForecast]])^2</f>
        <v>3.8871689447970215</v>
      </c>
    </row>
    <row r="133" spans="4:10" x14ac:dyDescent="0.2">
      <c r="D133" t="s">
        <v>25</v>
      </c>
      <c r="E133">
        <f>'NHL2025-26Results'!C129</f>
        <v>2</v>
      </c>
      <c r="F133" t="s">
        <v>39</v>
      </c>
      <c r="G133">
        <f>'NHL2025-26Results'!E129</f>
        <v>3</v>
      </c>
      <c r="H133">
        <f>Table3[[#This Row],[G_1]]-Table3[[#This Row],[G]]</f>
        <v>1</v>
      </c>
      <c r="I133">
        <f>HomeEdge+VLOOKUP(Table3[[#This Row],[Home]],$A$6:$B$38,2,FALSE)-VLOOKUP(Table3[[#This Row],[Visitor]],$A$6:$B$38,2,FALSE)</f>
        <v>0.11419309220976301</v>
      </c>
      <c r="J133">
        <f>(Table3[[#This Row],[HomeMargin]]-Table3[[#This Row],[HomeForecast]])^2</f>
        <v>0.7846538778889014</v>
      </c>
    </row>
    <row r="134" spans="4:10" x14ac:dyDescent="0.2">
      <c r="D134" t="s">
        <v>35</v>
      </c>
      <c r="E134">
        <f>'NHL2025-26Results'!C130</f>
        <v>4</v>
      </c>
      <c r="F134" t="s">
        <v>26</v>
      </c>
      <c r="G134">
        <f>'NHL2025-26Results'!E130</f>
        <v>6</v>
      </c>
      <c r="H134">
        <f>Table3[[#This Row],[G_1]]-Table3[[#This Row],[G]]</f>
        <v>2</v>
      </c>
      <c r="I134">
        <f>HomeEdge+VLOOKUP(Table3[[#This Row],[Home]],$A$6:$B$38,2,FALSE)-VLOOKUP(Table3[[#This Row],[Visitor]],$A$6:$B$38,2,FALSE)</f>
        <v>1.1113264739352111</v>
      </c>
      <c r="J134">
        <f>(Table3[[#This Row],[HomeMargin]]-Table3[[#This Row],[HomeForecast]])^2</f>
        <v>0.78974063592842503</v>
      </c>
    </row>
    <row r="135" spans="4:10" x14ac:dyDescent="0.2">
      <c r="D135" t="s">
        <v>20</v>
      </c>
      <c r="E135">
        <f>'NHL2025-26Results'!C131</f>
        <v>0</v>
      </c>
      <c r="F135" t="s">
        <v>11</v>
      </c>
      <c r="G135">
        <f>'NHL2025-26Results'!E131</f>
        <v>3</v>
      </c>
      <c r="H135">
        <f>Table3[[#This Row],[G_1]]-Table3[[#This Row],[G]]</f>
        <v>3</v>
      </c>
      <c r="I135">
        <f>HomeEdge+VLOOKUP(Table3[[#This Row],[Home]],$A$6:$B$38,2,FALSE)-VLOOKUP(Table3[[#This Row],[Visitor]],$A$6:$B$38,2,FALSE)</f>
        <v>-0.26438051123941608</v>
      </c>
      <c r="J135">
        <f>(Table3[[#This Row],[HomeMargin]]-Table3[[#This Row],[HomeForecast]])^2</f>
        <v>10.656180122159713</v>
      </c>
    </row>
    <row r="136" spans="4:10" x14ac:dyDescent="0.2">
      <c r="D136" t="s">
        <v>55</v>
      </c>
      <c r="E136">
        <f>'NHL2025-26Results'!C132</f>
        <v>6</v>
      </c>
      <c r="F136" t="s">
        <v>34</v>
      </c>
      <c r="G136">
        <f>'NHL2025-26Results'!E132</f>
        <v>2</v>
      </c>
      <c r="H136">
        <f>Table3[[#This Row],[G_1]]-Table3[[#This Row],[G]]</f>
        <v>-4</v>
      </c>
      <c r="I136">
        <f>HomeEdge+VLOOKUP(Table3[[#This Row],[Home]],$A$6:$B$38,2,FALSE)-VLOOKUP(Table3[[#This Row],[Visitor]],$A$6:$B$38,2,FALSE)</f>
        <v>0.10599754372657839</v>
      </c>
      <c r="J136">
        <f>(Table3[[#This Row],[HomeMargin]]-Table3[[#This Row],[HomeForecast]])^2</f>
        <v>16.859215829088697</v>
      </c>
    </row>
    <row r="137" spans="4:10" x14ac:dyDescent="0.2">
      <c r="D137" t="s">
        <v>13</v>
      </c>
      <c r="E137">
        <f>'NHL2025-26Results'!C133</f>
        <v>4</v>
      </c>
      <c r="F137" t="s">
        <v>29</v>
      </c>
      <c r="G137">
        <f>'NHL2025-26Results'!E133</f>
        <v>5</v>
      </c>
      <c r="H137">
        <f>Table3[[#This Row],[G_1]]-Table3[[#This Row],[G]]</f>
        <v>1</v>
      </c>
      <c r="I137">
        <f>HomeEdge+VLOOKUP(Table3[[#This Row],[Home]],$A$6:$B$38,2,FALSE)-VLOOKUP(Table3[[#This Row],[Visitor]],$A$6:$B$38,2,FALSE)</f>
        <v>-0.10026092651180196</v>
      </c>
      <c r="J137">
        <f>(Table3[[#This Row],[HomeMargin]]-Table3[[#This Row],[HomeForecast]])^2</f>
        <v>1.2105741064086089</v>
      </c>
    </row>
    <row r="138" spans="4:10" x14ac:dyDescent="0.2">
      <c r="D138" t="s">
        <v>30</v>
      </c>
      <c r="E138">
        <f>'NHL2025-26Results'!C134</f>
        <v>3</v>
      </c>
      <c r="F138" t="s">
        <v>27</v>
      </c>
      <c r="G138">
        <f>'NHL2025-26Results'!E134</f>
        <v>4</v>
      </c>
      <c r="H138">
        <f>Table3[[#This Row],[G_1]]-Table3[[#This Row],[G]]</f>
        <v>1</v>
      </c>
      <c r="I138">
        <f>HomeEdge+VLOOKUP(Table3[[#This Row],[Home]],$A$6:$B$38,2,FALSE)-VLOOKUP(Table3[[#This Row],[Visitor]],$A$6:$B$38,2,FALSE)</f>
        <v>-0.23506772789793567</v>
      </c>
      <c r="J138">
        <f>(Table3[[#This Row],[HomeMargin]]-Table3[[#This Row],[HomeForecast]])^2</f>
        <v>1.5253922924949692</v>
      </c>
    </row>
    <row r="139" spans="4:10" x14ac:dyDescent="0.2">
      <c r="D139" t="s">
        <v>28</v>
      </c>
      <c r="E139">
        <f>'NHL2025-26Results'!C135</f>
        <v>5</v>
      </c>
      <c r="F139" t="s">
        <v>14</v>
      </c>
      <c r="G139">
        <f>'NHL2025-26Results'!E135</f>
        <v>4</v>
      </c>
      <c r="H139">
        <f>Table3[[#This Row],[G_1]]-Table3[[#This Row],[G]]</f>
        <v>-1</v>
      </c>
      <c r="I139">
        <f>HomeEdge+VLOOKUP(Table3[[#This Row],[Home]],$A$6:$B$38,2,FALSE)-VLOOKUP(Table3[[#This Row],[Visitor]],$A$6:$B$38,2,FALSE)</f>
        <v>0.41120813405909273</v>
      </c>
      <c r="J139">
        <f>(Table3[[#This Row],[HomeMargin]]-Table3[[#This Row],[HomeForecast]])^2</f>
        <v>1.9915083976345462</v>
      </c>
    </row>
    <row r="140" spans="4:10" x14ac:dyDescent="0.2">
      <c r="D140" t="s">
        <v>17</v>
      </c>
      <c r="E140">
        <f>'NHL2025-26Results'!C136</f>
        <v>2</v>
      </c>
      <c r="F140" t="s">
        <v>32</v>
      </c>
      <c r="G140">
        <f>'NHL2025-26Results'!E136</f>
        <v>3</v>
      </c>
      <c r="H140">
        <f>Table3[[#This Row],[G_1]]-Table3[[#This Row],[G]]</f>
        <v>1</v>
      </c>
      <c r="I140">
        <f>HomeEdge+VLOOKUP(Table3[[#This Row],[Home]],$A$6:$B$38,2,FALSE)-VLOOKUP(Table3[[#This Row],[Visitor]],$A$6:$B$38,2,FALSE)</f>
        <v>1.1865780948391136E-2</v>
      </c>
      <c r="J140">
        <f>(Table3[[#This Row],[HomeMargin]]-Table3[[#This Row],[HomeForecast]])^2</f>
        <v>0.97640923486073306</v>
      </c>
    </row>
    <row r="141" spans="4:10" x14ac:dyDescent="0.2">
      <c r="D141" t="s">
        <v>31</v>
      </c>
      <c r="E141">
        <f>'NHL2025-26Results'!C137</f>
        <v>3</v>
      </c>
      <c r="F141" t="s">
        <v>37</v>
      </c>
      <c r="G141">
        <f>'NHL2025-26Results'!E137</f>
        <v>4</v>
      </c>
      <c r="H141">
        <f>Table3[[#This Row],[G_1]]-Table3[[#This Row],[G]]</f>
        <v>1</v>
      </c>
      <c r="I141">
        <f>HomeEdge+VLOOKUP(Table3[[#This Row],[Home]],$A$6:$B$38,2,FALSE)-VLOOKUP(Table3[[#This Row],[Visitor]],$A$6:$B$38,2,FALSE)</f>
        <v>1.3142946642508333</v>
      </c>
      <c r="J141">
        <f>(Table3[[#This Row],[HomeMargin]]-Table3[[#This Row],[HomeForecast]])^2</f>
        <v>9.8781135976544032E-2</v>
      </c>
    </row>
    <row r="142" spans="4:10" x14ac:dyDescent="0.2">
      <c r="D142" t="s">
        <v>23</v>
      </c>
      <c r="E142">
        <f>'NHL2025-26Results'!C138</f>
        <v>3</v>
      </c>
      <c r="F142" t="s">
        <v>19</v>
      </c>
      <c r="G142">
        <f>'NHL2025-26Results'!E138</f>
        <v>4</v>
      </c>
      <c r="H142">
        <f>Table3[[#This Row],[G_1]]-Table3[[#This Row],[G]]</f>
        <v>1</v>
      </c>
      <c r="I142">
        <f>HomeEdge+VLOOKUP(Table3[[#This Row],[Home]],$A$6:$B$38,2,FALSE)-VLOOKUP(Table3[[#This Row],[Visitor]],$A$6:$B$38,2,FALSE)</f>
        <v>-0.32082797908135996</v>
      </c>
      <c r="J142">
        <f>(Table3[[#This Row],[HomeMargin]]-Table3[[#This Row],[HomeForecast]])^2</f>
        <v>1.7445865503241496</v>
      </c>
    </row>
    <row r="143" spans="4:10" x14ac:dyDescent="0.2">
      <c r="D143" t="s">
        <v>18</v>
      </c>
      <c r="E143">
        <f>'NHL2025-26Results'!C139</f>
        <v>4</v>
      </c>
      <c r="F143" t="s">
        <v>38</v>
      </c>
      <c r="G143">
        <f>'NHL2025-26Results'!E139</f>
        <v>3</v>
      </c>
      <c r="H143">
        <f>Table3[[#This Row],[G_1]]-Table3[[#This Row],[G]]</f>
        <v>-1</v>
      </c>
      <c r="I143">
        <f>HomeEdge+VLOOKUP(Table3[[#This Row],[Home]],$A$6:$B$38,2,FALSE)-VLOOKUP(Table3[[#This Row],[Visitor]],$A$6:$B$38,2,FALSE)</f>
        <v>-1.1761216403081849</v>
      </c>
      <c r="J143">
        <f>(Table3[[#This Row],[HomeMargin]]-Table3[[#This Row],[HomeForecast]])^2</f>
        <v>3.1018832184845656E-2</v>
      </c>
    </row>
    <row r="144" spans="4:10" x14ac:dyDescent="0.2">
      <c r="D144" t="s">
        <v>36</v>
      </c>
      <c r="E144">
        <f>'NHL2025-26Results'!C140</f>
        <v>7</v>
      </c>
      <c r="F144" t="s">
        <v>22</v>
      </c>
      <c r="G144">
        <f>'NHL2025-26Results'!E140</f>
        <v>1</v>
      </c>
      <c r="H144">
        <f>Table3[[#This Row],[G_1]]-Table3[[#This Row],[G]]</f>
        <v>-6</v>
      </c>
      <c r="I144">
        <f>HomeEdge+VLOOKUP(Table3[[#This Row],[Home]],$A$6:$B$38,2,FALSE)-VLOOKUP(Table3[[#This Row],[Visitor]],$A$6:$B$38,2,FALSE)</f>
        <v>0.19993853661724348</v>
      </c>
      <c r="J144">
        <f>(Table3[[#This Row],[HomeMargin]]-Table3[[#This Row],[HomeForecast]])^2</f>
        <v>38.439237857831564</v>
      </c>
    </row>
    <row r="145" spans="4:10" x14ac:dyDescent="0.2">
      <c r="D145" t="s">
        <v>15</v>
      </c>
      <c r="E145">
        <f>'NHL2025-26Results'!C141</f>
        <v>1</v>
      </c>
      <c r="F145" t="s">
        <v>16</v>
      </c>
      <c r="G145">
        <f>'NHL2025-26Results'!E141</f>
        <v>5</v>
      </c>
      <c r="H145">
        <f>Table3[[#This Row],[G_1]]-Table3[[#This Row],[G]]</f>
        <v>4</v>
      </c>
      <c r="I145">
        <f>HomeEdge+VLOOKUP(Table3[[#This Row],[Home]],$A$6:$B$38,2,FALSE)-VLOOKUP(Table3[[#This Row],[Visitor]],$A$6:$B$38,2,FALSE)</f>
        <v>-2.4186078073288098E-2</v>
      </c>
      <c r="J145">
        <f>(Table3[[#This Row],[HomeMargin]]-Table3[[#This Row],[HomeForecast]])^2</f>
        <v>16.194073590958876</v>
      </c>
    </row>
    <row r="146" spans="4:10" x14ac:dyDescent="0.2">
      <c r="D146" t="s">
        <v>13</v>
      </c>
      <c r="E146">
        <f>'NHL2025-26Results'!C142</f>
        <v>3</v>
      </c>
      <c r="F146" t="s">
        <v>10</v>
      </c>
      <c r="G146">
        <f>'NHL2025-26Results'!E142</f>
        <v>1</v>
      </c>
      <c r="H146">
        <f>Table3[[#This Row],[G_1]]-Table3[[#This Row],[G]]</f>
        <v>-2</v>
      </c>
      <c r="I146">
        <f>HomeEdge+VLOOKUP(Table3[[#This Row],[Home]],$A$6:$B$38,2,FALSE)-VLOOKUP(Table3[[#This Row],[Visitor]],$A$6:$B$38,2,FALSE)</f>
        <v>-0.20627689666256799</v>
      </c>
      <c r="J146">
        <f>(Table3[[#This Row],[HomeMargin]]-Table3[[#This Row],[HomeForecast]])^2</f>
        <v>3.2174425714464676</v>
      </c>
    </row>
    <row r="147" spans="4:10" x14ac:dyDescent="0.2">
      <c r="D147" t="s">
        <v>33</v>
      </c>
      <c r="E147">
        <f>'NHL2025-26Results'!C143</f>
        <v>6</v>
      </c>
      <c r="F147" t="s">
        <v>34</v>
      </c>
      <c r="G147">
        <f>'NHL2025-26Results'!E143</f>
        <v>5</v>
      </c>
      <c r="H147">
        <f>Table3[[#This Row],[G_1]]-Table3[[#This Row],[G]]</f>
        <v>-1</v>
      </c>
      <c r="I147">
        <f>HomeEdge+VLOOKUP(Table3[[#This Row],[Home]],$A$6:$B$38,2,FALSE)-VLOOKUP(Table3[[#This Row],[Visitor]],$A$6:$B$38,2,FALSE)</f>
        <v>0.84245809448895281</v>
      </c>
      <c r="J147">
        <f>(Table3[[#This Row],[HomeMargin]]-Table3[[#This Row],[HomeForecast]])^2</f>
        <v>3.394651829947863</v>
      </c>
    </row>
    <row r="148" spans="4:10" x14ac:dyDescent="0.2">
      <c r="D148" t="s">
        <v>12</v>
      </c>
      <c r="E148">
        <f>'NHL2025-26Results'!C144</f>
        <v>3</v>
      </c>
      <c r="F148" t="s">
        <v>24</v>
      </c>
      <c r="G148">
        <f>'NHL2025-26Results'!E144</f>
        <v>4</v>
      </c>
      <c r="H148">
        <f>Table3[[#This Row],[G_1]]-Table3[[#This Row],[G]]</f>
        <v>1</v>
      </c>
      <c r="I148">
        <f>HomeEdge+VLOOKUP(Table3[[#This Row],[Home]],$A$6:$B$38,2,FALSE)-VLOOKUP(Table3[[#This Row],[Visitor]],$A$6:$B$38,2,FALSE)</f>
        <v>-1.6141678830160429</v>
      </c>
      <c r="J148">
        <f>(Table3[[#This Row],[HomeMargin]]-Table3[[#This Row],[HomeForecast]])^2</f>
        <v>6.8338737205925781</v>
      </c>
    </row>
    <row r="149" spans="4:10" x14ac:dyDescent="0.2">
      <c r="D149" t="s">
        <v>39</v>
      </c>
      <c r="E149">
        <f>'NHL2025-26Results'!C145</f>
        <v>3</v>
      </c>
      <c r="F149" t="s">
        <v>29</v>
      </c>
      <c r="G149">
        <f>'NHL2025-26Results'!E145</f>
        <v>2</v>
      </c>
      <c r="H149">
        <f>Table3[[#This Row],[G_1]]-Table3[[#This Row],[G]]</f>
        <v>-1</v>
      </c>
      <c r="I149">
        <f>HomeEdge+VLOOKUP(Table3[[#This Row],[Home]],$A$6:$B$38,2,FALSE)-VLOOKUP(Table3[[#This Row],[Visitor]],$A$6:$B$38,2,FALSE)</f>
        <v>-0.90803813327771876</v>
      </c>
      <c r="J149">
        <f>(Table3[[#This Row],[HomeMargin]]-Table3[[#This Row],[HomeForecast]])^2</f>
        <v>8.4569849310466173E-3</v>
      </c>
    </row>
    <row r="150" spans="4:10" x14ac:dyDescent="0.2">
      <c r="D150" t="s">
        <v>20</v>
      </c>
      <c r="E150">
        <f>'NHL2025-26Results'!C146</f>
        <v>1</v>
      </c>
      <c r="F150" t="s">
        <v>37</v>
      </c>
      <c r="G150">
        <f>'NHL2025-26Results'!E146</f>
        <v>2</v>
      </c>
      <c r="H150">
        <f>Table3[[#This Row],[G_1]]-Table3[[#This Row],[G]]</f>
        <v>1</v>
      </c>
      <c r="I150">
        <f>HomeEdge+VLOOKUP(Table3[[#This Row],[Home]],$A$6:$B$38,2,FALSE)-VLOOKUP(Table3[[#This Row],[Visitor]],$A$6:$B$38,2,FALSE)</f>
        <v>1.0136534673511279</v>
      </c>
      <c r="J150">
        <f>(Table3[[#This Row],[HomeMargin]]-Table3[[#This Row],[HomeForecast]])^2</f>
        <v>1.8641717070831646E-4</v>
      </c>
    </row>
    <row r="151" spans="4:10" x14ac:dyDescent="0.2">
      <c r="D151" t="s">
        <v>17</v>
      </c>
      <c r="E151">
        <f>'NHL2025-26Results'!C147</f>
        <v>3</v>
      </c>
      <c r="F151" t="s">
        <v>38</v>
      </c>
      <c r="G151">
        <f>'NHL2025-26Results'!E147</f>
        <v>4</v>
      </c>
      <c r="H151">
        <f>Table3[[#This Row],[G_1]]-Table3[[#This Row],[G]]</f>
        <v>1</v>
      </c>
      <c r="I151">
        <f>HomeEdge+VLOOKUP(Table3[[#This Row],[Home]],$A$6:$B$38,2,FALSE)-VLOOKUP(Table3[[#This Row],[Visitor]],$A$6:$B$38,2,FALSE)</f>
        <v>-0.89777036755935136</v>
      </c>
      <c r="J151">
        <f>(Table3[[#This Row],[HomeMargin]]-Table3[[#This Row],[HomeForecast]])^2</f>
        <v>3.6015323679863553</v>
      </c>
    </row>
    <row r="152" spans="4:10" x14ac:dyDescent="0.2">
      <c r="D152" t="s">
        <v>55</v>
      </c>
      <c r="E152">
        <f>'NHL2025-26Results'!C148</f>
        <v>3</v>
      </c>
      <c r="F152" t="s">
        <v>40</v>
      </c>
      <c r="G152">
        <f>'NHL2025-26Results'!E148</f>
        <v>2</v>
      </c>
      <c r="H152">
        <f>Table3[[#This Row],[G_1]]-Table3[[#This Row],[G]]</f>
        <v>-1</v>
      </c>
      <c r="I152">
        <f>HomeEdge+VLOOKUP(Table3[[#This Row],[Home]],$A$6:$B$38,2,FALSE)-VLOOKUP(Table3[[#This Row],[Visitor]],$A$6:$B$38,2,FALSE)</f>
        <v>-0.54293921249731014</v>
      </c>
      <c r="J152">
        <f>(Table3[[#This Row],[HomeMargin]]-Table3[[#This Row],[HomeForecast]])^2</f>
        <v>0.20890456347257902</v>
      </c>
    </row>
    <row r="153" spans="4:10" x14ac:dyDescent="0.2">
      <c r="D153" t="s">
        <v>21</v>
      </c>
      <c r="E153">
        <f>'NHL2025-26Results'!C149</f>
        <v>2</v>
      </c>
      <c r="F153" t="s">
        <v>36</v>
      </c>
      <c r="G153">
        <f>'NHL2025-26Results'!E149</f>
        <v>7</v>
      </c>
      <c r="H153">
        <f>Table3[[#This Row],[G_1]]-Table3[[#This Row],[G]]</f>
        <v>5</v>
      </c>
      <c r="I153">
        <f>HomeEdge+VLOOKUP(Table3[[#This Row],[Home]],$A$6:$B$38,2,FALSE)-VLOOKUP(Table3[[#This Row],[Visitor]],$A$6:$B$38,2,FALSE)</f>
        <v>4.2030116199883422E-2</v>
      </c>
      <c r="J153">
        <f>(Table3[[#This Row],[HomeMargin]]-Table3[[#This Row],[HomeForecast]])^2</f>
        <v>24.581465368668944</v>
      </c>
    </row>
    <row r="154" spans="4:10" x14ac:dyDescent="0.2">
      <c r="D154" t="s">
        <v>35</v>
      </c>
      <c r="E154">
        <f>'NHL2025-26Results'!C150</f>
        <v>3</v>
      </c>
      <c r="F154" t="s">
        <v>14</v>
      </c>
      <c r="G154">
        <f>'NHL2025-26Results'!E150</f>
        <v>6</v>
      </c>
      <c r="H154">
        <f>Table3[[#This Row],[G_1]]-Table3[[#This Row],[G]]</f>
        <v>3</v>
      </c>
      <c r="I154">
        <f>HomeEdge+VLOOKUP(Table3[[#This Row],[Home]],$A$6:$B$38,2,FALSE)-VLOOKUP(Table3[[#This Row],[Visitor]],$A$6:$B$38,2,FALSE)</f>
        <v>1.4425006086297758</v>
      </c>
      <c r="J154">
        <f>(Table3[[#This Row],[HomeMargin]]-Table3[[#This Row],[HomeForecast]])^2</f>
        <v>2.4258043541186187</v>
      </c>
    </row>
    <row r="155" spans="4:10" x14ac:dyDescent="0.2">
      <c r="D155" t="s">
        <v>30</v>
      </c>
      <c r="E155">
        <f>'NHL2025-26Results'!C151</f>
        <v>2</v>
      </c>
      <c r="F155" t="s">
        <v>21</v>
      </c>
      <c r="G155">
        <f>'NHL2025-26Results'!E151</f>
        <v>5</v>
      </c>
      <c r="H155">
        <f>Table3[[#This Row],[G_1]]-Table3[[#This Row],[G]]</f>
        <v>3</v>
      </c>
      <c r="I155">
        <f>HomeEdge+VLOOKUP(Table3[[#This Row],[Home]],$A$6:$B$38,2,FALSE)-VLOOKUP(Table3[[#This Row],[Visitor]],$A$6:$B$38,2,FALSE)</f>
        <v>0.21338099836322841</v>
      </c>
      <c r="J155">
        <f>(Table3[[#This Row],[HomeMargin]]-Table3[[#This Row],[HomeForecast]])^2</f>
        <v>7.7652454602831176</v>
      </c>
    </row>
    <row r="156" spans="4:10" x14ac:dyDescent="0.2">
      <c r="D156" t="s">
        <v>28</v>
      </c>
      <c r="E156">
        <f>'NHL2025-26Results'!C152</f>
        <v>4</v>
      </c>
      <c r="F156" t="s">
        <v>23</v>
      </c>
      <c r="G156">
        <f>'NHL2025-26Results'!E152</f>
        <v>3</v>
      </c>
      <c r="H156">
        <f>Table3[[#This Row],[G_1]]-Table3[[#This Row],[G]]</f>
        <v>-1</v>
      </c>
      <c r="I156">
        <f>HomeEdge+VLOOKUP(Table3[[#This Row],[Home]],$A$6:$B$38,2,FALSE)-VLOOKUP(Table3[[#This Row],[Visitor]],$A$6:$B$38,2,FALSE)</f>
        <v>0.41932618115167442</v>
      </c>
      <c r="J156">
        <f>(Table3[[#This Row],[HomeMargin]]-Table3[[#This Row],[HomeForecast]])^2</f>
        <v>2.0144868085025958</v>
      </c>
    </row>
    <row r="157" spans="4:10" x14ac:dyDescent="0.2">
      <c r="D157" t="s">
        <v>20</v>
      </c>
      <c r="E157">
        <f>'NHL2025-26Results'!C153</f>
        <v>6</v>
      </c>
      <c r="F157" t="s">
        <v>25</v>
      </c>
      <c r="G157">
        <f>'NHL2025-26Results'!E153</f>
        <v>3</v>
      </c>
      <c r="H157">
        <f>Table3[[#This Row],[G_1]]-Table3[[#This Row],[G]]</f>
        <v>-3</v>
      </c>
      <c r="I157">
        <f>HomeEdge+VLOOKUP(Table3[[#This Row],[Home]],$A$6:$B$38,2,FALSE)-VLOOKUP(Table3[[#This Row],[Visitor]],$A$6:$B$38,2,FALSE)</f>
        <v>0.52506582150841596</v>
      </c>
      <c r="J157">
        <f>(Table3[[#This Row],[HomeMargin]]-Table3[[#This Row],[HomeForecast]])^2</f>
        <v>12.426089045966805</v>
      </c>
    </row>
    <row r="158" spans="4:10" x14ac:dyDescent="0.2">
      <c r="D158" t="s">
        <v>36</v>
      </c>
      <c r="E158">
        <f>'NHL2025-26Results'!C154</f>
        <v>3</v>
      </c>
      <c r="F158" t="s">
        <v>10</v>
      </c>
      <c r="G158">
        <f>'NHL2025-26Results'!E154</f>
        <v>7</v>
      </c>
      <c r="H158">
        <f>Table3[[#This Row],[G_1]]-Table3[[#This Row],[G]]</f>
        <v>4</v>
      </c>
      <c r="I158">
        <f>HomeEdge+VLOOKUP(Table3[[#This Row],[Home]],$A$6:$B$38,2,FALSE)-VLOOKUP(Table3[[#This Row],[Visitor]],$A$6:$B$38,2,FALSE)</f>
        <v>-0.60686631290499582</v>
      </c>
      <c r="J158">
        <f>(Table3[[#This Row],[HomeMargin]]-Table3[[#This Row],[HomeForecast]])^2</f>
        <v>21.223217224978875</v>
      </c>
    </row>
    <row r="159" spans="4:10" x14ac:dyDescent="0.2">
      <c r="D159" t="s">
        <v>24</v>
      </c>
      <c r="E159">
        <f>'NHL2025-26Results'!C155</f>
        <v>4</v>
      </c>
      <c r="F159" t="s">
        <v>12</v>
      </c>
      <c r="G159">
        <f>'NHL2025-26Results'!E155</f>
        <v>8</v>
      </c>
      <c r="H159">
        <f>Table3[[#This Row],[G_1]]-Table3[[#This Row],[G]]</f>
        <v>4</v>
      </c>
      <c r="I159">
        <f>HomeEdge+VLOOKUP(Table3[[#This Row],[Home]],$A$6:$B$38,2,FALSE)-VLOOKUP(Table3[[#This Row],[Visitor]],$A$6:$B$38,2,FALSE)</f>
        <v>1.873381854639091</v>
      </c>
      <c r="J159">
        <f>(Table3[[#This Row],[HomeMargin]]-Table3[[#This Row],[HomeForecast]])^2</f>
        <v>4.5225047361782709</v>
      </c>
    </row>
    <row r="160" spans="4:10" x14ac:dyDescent="0.2">
      <c r="D160" t="s">
        <v>22</v>
      </c>
      <c r="E160">
        <f>'NHL2025-26Results'!C156</f>
        <v>0</v>
      </c>
      <c r="F160" t="s">
        <v>39</v>
      </c>
      <c r="G160">
        <f>'NHL2025-26Results'!E156</f>
        <v>1</v>
      </c>
      <c r="H160">
        <f>Table3[[#This Row],[G_1]]-Table3[[#This Row],[G]]</f>
        <v>1</v>
      </c>
      <c r="I160">
        <f>HomeEdge+VLOOKUP(Table3[[#This Row],[Home]],$A$6:$B$38,2,FALSE)-VLOOKUP(Table3[[#This Row],[Visitor]],$A$6:$B$38,2,FALSE)</f>
        <v>0.46646322552929365</v>
      </c>
      <c r="J160">
        <f>(Table3[[#This Row],[HomeMargin]]-Table3[[#This Row],[HomeForecast]])^2</f>
        <v>0.28466148971260535</v>
      </c>
    </row>
    <row r="161" spans="4:10" x14ac:dyDescent="0.2">
      <c r="D161" t="s">
        <v>55</v>
      </c>
      <c r="E161">
        <f>'NHL2025-26Results'!C157</f>
        <v>3</v>
      </c>
      <c r="F161" t="s">
        <v>17</v>
      </c>
      <c r="G161">
        <f>'NHL2025-26Results'!E157</f>
        <v>6</v>
      </c>
      <c r="H161">
        <f>Table3[[#This Row],[G_1]]-Table3[[#This Row],[G]]</f>
        <v>3</v>
      </c>
      <c r="I161">
        <f>HomeEdge+VLOOKUP(Table3[[#This Row],[Home]],$A$6:$B$38,2,FALSE)-VLOOKUP(Table3[[#This Row],[Visitor]],$A$6:$B$38,2,FALSE)</f>
        <v>-0.31911368953200658</v>
      </c>
      <c r="J161">
        <f>(Table3[[#This Row],[HomeMargin]]-Table3[[#This Row],[HomeForecast]])^2</f>
        <v>11.016515684038769</v>
      </c>
    </row>
    <row r="162" spans="4:10" x14ac:dyDescent="0.2">
      <c r="D162" t="s">
        <v>31</v>
      </c>
      <c r="E162">
        <f>'NHL2025-26Results'!C158</f>
        <v>3</v>
      </c>
      <c r="F162" t="s">
        <v>11</v>
      </c>
      <c r="G162">
        <f>'NHL2025-26Results'!E158</f>
        <v>2</v>
      </c>
      <c r="H162">
        <f>Table3[[#This Row],[G_1]]-Table3[[#This Row],[G]]</f>
        <v>-1</v>
      </c>
      <c r="I162">
        <f>HomeEdge+VLOOKUP(Table3[[#This Row],[Home]],$A$6:$B$38,2,FALSE)-VLOOKUP(Table3[[#This Row],[Visitor]],$A$6:$B$38,2,FALSE)</f>
        <v>3.6260685660289393E-2</v>
      </c>
      <c r="J162">
        <f>(Table3[[#This Row],[HomeMargin]]-Table3[[#This Row],[HomeForecast]])^2</f>
        <v>1.0738362086451332</v>
      </c>
    </row>
    <row r="163" spans="4:10" x14ac:dyDescent="0.2">
      <c r="D163" t="s">
        <v>40</v>
      </c>
      <c r="E163">
        <f>'NHL2025-26Results'!C159</f>
        <v>4</v>
      </c>
      <c r="F163" t="s">
        <v>34</v>
      </c>
      <c r="G163">
        <f>'NHL2025-26Results'!E159</f>
        <v>3</v>
      </c>
      <c r="H163">
        <f>Table3[[#This Row],[G_1]]-Table3[[#This Row],[G]]</f>
        <v>-1</v>
      </c>
      <c r="I163">
        <f>HomeEdge+VLOOKUP(Table3[[#This Row],[Home]],$A$6:$B$38,2,FALSE)-VLOOKUP(Table3[[#This Row],[Visitor]],$A$6:$B$38,2,FALSE)</f>
        <v>0.77854374203541266</v>
      </c>
      <c r="J163">
        <f>(Table3[[#This Row],[HomeMargin]]-Table3[[#This Row],[HomeForecast]])^2</f>
        <v>3.1632178423333284</v>
      </c>
    </row>
    <row r="164" spans="4:10" x14ac:dyDescent="0.2">
      <c r="D164" t="s">
        <v>37</v>
      </c>
      <c r="E164">
        <f>'NHL2025-26Results'!C160</f>
        <v>5</v>
      </c>
      <c r="F164" t="s">
        <v>29</v>
      </c>
      <c r="G164">
        <f>'NHL2025-26Results'!E160</f>
        <v>2</v>
      </c>
      <c r="H164">
        <f>Table3[[#This Row],[G_1]]-Table3[[#This Row],[G]]</f>
        <v>-3</v>
      </c>
      <c r="I164">
        <f>HomeEdge+VLOOKUP(Table3[[#This Row],[Home]],$A$6:$B$38,2,FALSE)-VLOOKUP(Table3[[#This Row],[Visitor]],$A$6:$B$38,2,FALSE)</f>
        <v>-1.4120396727221918</v>
      </c>
      <c r="J164">
        <f>(Table3[[#This Row],[HomeMargin]]-Table3[[#This Row],[HomeForecast]])^2</f>
        <v>2.5216180010082438</v>
      </c>
    </row>
    <row r="165" spans="4:10" x14ac:dyDescent="0.2">
      <c r="D165" t="s">
        <v>14</v>
      </c>
      <c r="E165">
        <f>'NHL2025-26Results'!C161</f>
        <v>2</v>
      </c>
      <c r="F165" t="s">
        <v>27</v>
      </c>
      <c r="G165">
        <f>'NHL2025-26Results'!E161</f>
        <v>3</v>
      </c>
      <c r="H165">
        <f>Table3[[#This Row],[G_1]]-Table3[[#This Row],[G]]</f>
        <v>1</v>
      </c>
      <c r="I165">
        <f>HomeEdge+VLOOKUP(Table3[[#This Row],[Home]],$A$6:$B$38,2,FALSE)-VLOOKUP(Table3[[#This Row],[Visitor]],$A$6:$B$38,2,FALSE)</f>
        <v>-0.42140870299369382</v>
      </c>
      <c r="J165">
        <f>(Table3[[#This Row],[HomeMargin]]-Table3[[#This Row],[HomeForecast]])^2</f>
        <v>2.0204027009462151</v>
      </c>
    </row>
    <row r="166" spans="4:10" x14ac:dyDescent="0.2">
      <c r="D166" t="s">
        <v>18</v>
      </c>
      <c r="E166">
        <f>'NHL2025-26Results'!C162</f>
        <v>4</v>
      </c>
      <c r="F166" t="s">
        <v>32</v>
      </c>
      <c r="G166">
        <f>'NHL2025-26Results'!E162</f>
        <v>3</v>
      </c>
      <c r="H166">
        <f>Table3[[#This Row],[G_1]]-Table3[[#This Row],[G]]</f>
        <v>-1</v>
      </c>
      <c r="I166">
        <f>HomeEdge+VLOOKUP(Table3[[#This Row],[Home]],$A$6:$B$38,2,FALSE)-VLOOKUP(Table3[[#This Row],[Visitor]],$A$6:$B$38,2,FALSE)</f>
        <v>-0.26648549180044234</v>
      </c>
      <c r="J166">
        <f>(Table3[[#This Row],[HomeMargin]]-Table3[[#This Row],[HomeForecast]])^2</f>
        <v>0.53804353373923897</v>
      </c>
    </row>
    <row r="167" spans="4:10" x14ac:dyDescent="0.2">
      <c r="D167" t="s">
        <v>13</v>
      </c>
      <c r="E167">
        <f>'NHL2025-26Results'!C163</f>
        <v>4</v>
      </c>
      <c r="F167" t="s">
        <v>33</v>
      </c>
      <c r="G167">
        <f>'NHL2025-26Results'!E163</f>
        <v>3</v>
      </c>
      <c r="H167">
        <f>Table3[[#This Row],[G_1]]-Table3[[#This Row],[G]]</f>
        <v>-1</v>
      </c>
      <c r="I167">
        <f>HomeEdge+VLOOKUP(Table3[[#This Row],[Home]],$A$6:$B$38,2,FALSE)-VLOOKUP(Table3[[#This Row],[Visitor]],$A$6:$B$38,2,FALSE)</f>
        <v>6.7938059762422731E-2</v>
      </c>
      <c r="J167">
        <f>(Table3[[#This Row],[HomeMargin]]-Table3[[#This Row],[HomeForecast]])^2</f>
        <v>1.1404916994891283</v>
      </c>
    </row>
    <row r="168" spans="4:10" x14ac:dyDescent="0.2">
      <c r="D168" t="s">
        <v>26</v>
      </c>
      <c r="E168">
        <f>'NHL2025-26Results'!C164</f>
        <v>5</v>
      </c>
      <c r="F168" t="s">
        <v>35</v>
      </c>
      <c r="G168">
        <f>'NHL2025-26Results'!E164</f>
        <v>2</v>
      </c>
      <c r="H168">
        <f>Table3[[#This Row],[G_1]]-Table3[[#This Row],[G]]</f>
        <v>-3</v>
      </c>
      <c r="I168">
        <f>HomeEdge+VLOOKUP(Table3[[#This Row],[Home]],$A$6:$B$38,2,FALSE)-VLOOKUP(Table3[[#This Row],[Visitor]],$A$6:$B$38,2,FALSE)</f>
        <v>-0.85211250231216285</v>
      </c>
      <c r="J168">
        <f>(Table3[[#This Row],[HomeMargin]]-Table3[[#This Row],[HomeForecast]])^2</f>
        <v>4.613420702723718</v>
      </c>
    </row>
    <row r="169" spans="4:10" x14ac:dyDescent="0.2">
      <c r="D169" t="s">
        <v>16</v>
      </c>
      <c r="E169">
        <f>'NHL2025-26Results'!C165</f>
        <v>3</v>
      </c>
      <c r="F169" t="s">
        <v>19</v>
      </c>
      <c r="G169">
        <f>'NHL2025-26Results'!E165</f>
        <v>4</v>
      </c>
      <c r="H169">
        <f>Table3[[#This Row],[G_1]]-Table3[[#This Row],[G]]</f>
        <v>1</v>
      </c>
      <c r="I169">
        <f>HomeEdge+VLOOKUP(Table3[[#This Row],[Home]],$A$6:$B$38,2,FALSE)-VLOOKUP(Table3[[#This Row],[Visitor]],$A$6:$B$38,2,FALSE)</f>
        <v>0.57763863617352817</v>
      </c>
      <c r="J169">
        <f>(Table3[[#This Row],[HomeMargin]]-Table3[[#This Row],[HomeForecast]])^2</f>
        <v>0.1783891216533573</v>
      </c>
    </row>
    <row r="170" spans="4:10" x14ac:dyDescent="0.2">
      <c r="D170" t="s">
        <v>15</v>
      </c>
      <c r="E170">
        <f>'NHL2025-26Results'!C166</f>
        <v>2</v>
      </c>
      <c r="F170" t="s">
        <v>38</v>
      </c>
      <c r="G170">
        <f>'NHL2025-26Results'!E166</f>
        <v>0</v>
      </c>
      <c r="H170">
        <f>Table3[[#This Row],[G_1]]-Table3[[#This Row],[G]]</f>
        <v>-2</v>
      </c>
      <c r="I170">
        <f>HomeEdge+VLOOKUP(Table3[[#This Row],[Home]],$A$6:$B$38,2,FALSE)-VLOOKUP(Table3[[#This Row],[Visitor]],$A$6:$B$38,2,FALSE)</f>
        <v>-0.52587716231023718</v>
      </c>
      <c r="J170">
        <f>(Table3[[#This Row],[HomeMargin]]-Table3[[#This Row],[HomeForecast]])^2</f>
        <v>2.1730381405985186</v>
      </c>
    </row>
    <row r="171" spans="4:10" x14ac:dyDescent="0.2">
      <c r="D171" t="s">
        <v>19</v>
      </c>
      <c r="E171">
        <f>'NHL2025-26Results'!C167</f>
        <v>3</v>
      </c>
      <c r="F171" t="s">
        <v>28</v>
      </c>
      <c r="G171">
        <f>'NHL2025-26Results'!E167</f>
        <v>6</v>
      </c>
      <c r="H171">
        <f>Table3[[#This Row],[G_1]]-Table3[[#This Row],[G]]</f>
        <v>3</v>
      </c>
      <c r="I171">
        <f>HomeEdge+VLOOKUP(Table3[[#This Row],[Home]],$A$6:$B$38,2,FALSE)-VLOOKUP(Table3[[#This Row],[Visitor]],$A$6:$B$38,2,FALSE)</f>
        <v>0.29032275536425778</v>
      </c>
      <c r="J171">
        <f>(Table3[[#This Row],[HomeMargin]]-Table3[[#This Row],[HomeForecast]])^2</f>
        <v>7.342350770096747</v>
      </c>
    </row>
    <row r="172" spans="4:10" x14ac:dyDescent="0.2">
      <c r="D172" t="s">
        <v>23</v>
      </c>
      <c r="E172">
        <f>'NHL2025-26Results'!C168</f>
        <v>3</v>
      </c>
      <c r="F172" t="s">
        <v>21</v>
      </c>
      <c r="G172">
        <f>'NHL2025-26Results'!E168</f>
        <v>4</v>
      </c>
      <c r="H172">
        <f>Table3[[#This Row],[G_1]]-Table3[[#This Row],[G]]</f>
        <v>1</v>
      </c>
      <c r="I172">
        <f>HomeEdge+VLOOKUP(Table3[[#This Row],[Home]],$A$6:$B$38,2,FALSE)-VLOOKUP(Table3[[#This Row],[Visitor]],$A$6:$B$38,2,FALSE)</f>
        <v>1.8921976174888604E-2</v>
      </c>
      <c r="J172">
        <f>(Table3[[#This Row],[HomeMargin]]-Table3[[#This Row],[HomeForecast]])^2</f>
        <v>0.96251408883258593</v>
      </c>
    </row>
    <row r="173" spans="4:10" x14ac:dyDescent="0.2">
      <c r="D173" t="s">
        <v>30</v>
      </c>
      <c r="E173">
        <f>'NHL2025-26Results'!C169</f>
        <v>2</v>
      </c>
      <c r="F173" t="s">
        <v>25</v>
      </c>
      <c r="G173">
        <f>'NHL2025-26Results'!E169</f>
        <v>6</v>
      </c>
      <c r="H173">
        <f>Table3[[#This Row],[G_1]]-Table3[[#This Row],[G]]</f>
        <v>4</v>
      </c>
      <c r="I173">
        <f>HomeEdge+VLOOKUP(Table3[[#This Row],[Home]],$A$6:$B$38,2,FALSE)-VLOOKUP(Table3[[#This Row],[Visitor]],$A$6:$B$38,2,FALSE)</f>
        <v>0.54840581287683776</v>
      </c>
      <c r="J173">
        <f>(Table3[[#This Row],[HomeMargin]]-Table3[[#This Row],[HomeForecast]])^2</f>
        <v>11.913502432582403</v>
      </c>
    </row>
    <row r="174" spans="4:10" x14ac:dyDescent="0.2">
      <c r="D174" t="s">
        <v>15</v>
      </c>
      <c r="E174">
        <f>'NHL2025-26Results'!C170</f>
        <v>4</v>
      </c>
      <c r="F174" t="s">
        <v>17</v>
      </c>
      <c r="G174">
        <f>'NHL2025-26Results'!E170</f>
        <v>3</v>
      </c>
      <c r="H174">
        <f>Table3[[#This Row],[G_1]]-Table3[[#This Row],[G]]</f>
        <v>-1</v>
      </c>
      <c r="I174">
        <f>HomeEdge+VLOOKUP(Table3[[#This Row],[Home]],$A$6:$B$38,2,FALSE)-VLOOKUP(Table3[[#This Row],[Visitor]],$A$6:$B$38,2,FALSE)</f>
        <v>0.50150019106063837</v>
      </c>
      <c r="J174">
        <f>(Table3[[#This Row],[HomeMargin]]-Table3[[#This Row],[HomeForecast]])^2</f>
        <v>2.2545028237551339</v>
      </c>
    </row>
    <row r="175" spans="4:10" x14ac:dyDescent="0.2">
      <c r="D175" t="s">
        <v>26</v>
      </c>
      <c r="E175">
        <f>'NHL2025-26Results'!C171</f>
        <v>4</v>
      </c>
      <c r="F175" t="s">
        <v>13</v>
      </c>
      <c r="G175">
        <f>'NHL2025-26Results'!E171</f>
        <v>3</v>
      </c>
      <c r="H175">
        <f>Table3[[#This Row],[G_1]]-Table3[[#This Row],[G]]</f>
        <v>-1</v>
      </c>
      <c r="I175">
        <f>HomeEdge+VLOOKUP(Table3[[#This Row],[Home]],$A$6:$B$38,2,FALSE)-VLOOKUP(Table3[[#This Row],[Visitor]],$A$6:$B$38,2,FALSE)</f>
        <v>-0.12995212789203348</v>
      </c>
      <c r="J175">
        <f>(Table3[[#This Row],[HomeMargin]]-Table3[[#This Row],[HomeForecast]])^2</f>
        <v>0.75698329975960044</v>
      </c>
    </row>
    <row r="176" spans="4:10" x14ac:dyDescent="0.2">
      <c r="D176" t="s">
        <v>14</v>
      </c>
      <c r="E176">
        <f>'NHL2025-26Results'!C172</f>
        <v>4</v>
      </c>
      <c r="F176" t="s">
        <v>34</v>
      </c>
      <c r="G176">
        <f>'NHL2025-26Results'!E172</f>
        <v>1</v>
      </c>
      <c r="H176">
        <f>Table3[[#This Row],[G_1]]-Table3[[#This Row],[G]]</f>
        <v>-3</v>
      </c>
      <c r="I176">
        <f>HomeEdge+VLOOKUP(Table3[[#This Row],[Home]],$A$6:$B$38,2,FALSE)-VLOOKUP(Table3[[#This Row],[Visitor]],$A$6:$B$38,2,FALSE)</f>
        <v>0.19005592004172905</v>
      </c>
      <c r="J176">
        <f>(Table3[[#This Row],[HomeMargin]]-Table3[[#This Row],[HomeForecast]])^2</f>
        <v>10.176456772993284</v>
      </c>
    </row>
    <row r="177" spans="4:10" x14ac:dyDescent="0.2">
      <c r="D177" t="s">
        <v>16</v>
      </c>
      <c r="E177">
        <f>'NHL2025-26Results'!C173</f>
        <v>3</v>
      </c>
      <c r="F177" t="s">
        <v>36</v>
      </c>
      <c r="G177">
        <f>'NHL2025-26Results'!E173</f>
        <v>4</v>
      </c>
      <c r="H177">
        <f>Table3[[#This Row],[G_1]]-Table3[[#This Row],[G]]</f>
        <v>1</v>
      </c>
      <c r="I177">
        <f>HomeEdge+VLOOKUP(Table3[[#This Row],[Home]],$A$6:$B$38,2,FALSE)-VLOOKUP(Table3[[#This Row],[Visitor]],$A$6:$B$38,2,FALSE)</f>
        <v>0.82981172181813601</v>
      </c>
      <c r="J177">
        <f>(Table3[[#This Row],[HomeMargin]]-Table3[[#This Row],[HomeForecast]])^2</f>
        <v>2.8964050030507525E-2</v>
      </c>
    </row>
    <row r="178" spans="4:10" x14ac:dyDescent="0.2">
      <c r="D178" t="s">
        <v>29</v>
      </c>
      <c r="E178">
        <f>'NHL2025-26Results'!C174</f>
        <v>1</v>
      </c>
      <c r="F178" t="s">
        <v>27</v>
      </c>
      <c r="G178">
        <f>'NHL2025-26Results'!E174</f>
        <v>4</v>
      </c>
      <c r="H178">
        <f>Table3[[#This Row],[G_1]]-Table3[[#This Row],[G]]</f>
        <v>3</v>
      </c>
      <c r="I178">
        <f>HomeEdge+VLOOKUP(Table3[[#This Row],[Home]],$A$6:$B$38,2,FALSE)-VLOOKUP(Table3[[#This Row],[Visitor]],$A$6:$B$38,2,FALSE)</f>
        <v>0.39919245772775458</v>
      </c>
      <c r="J178">
        <f>(Table3[[#This Row],[HomeMargin]]-Table3[[#This Row],[HomeForecast]])^2</f>
        <v>6.7641998719401979</v>
      </c>
    </row>
    <row r="179" spans="4:10" x14ac:dyDescent="0.2">
      <c r="D179" t="s">
        <v>24</v>
      </c>
      <c r="E179">
        <f>'NHL2025-26Results'!C175</f>
        <v>2</v>
      </c>
      <c r="F179" t="s">
        <v>33</v>
      </c>
      <c r="G179">
        <f>'NHL2025-26Results'!E175</f>
        <v>5</v>
      </c>
      <c r="H179">
        <f>Table3[[#This Row],[G_1]]-Table3[[#This Row],[G]]</f>
        <v>3</v>
      </c>
      <c r="I179">
        <f>HomeEdge+VLOOKUP(Table3[[#This Row],[Home]],$A$6:$B$38,2,FALSE)-VLOOKUP(Table3[[#This Row],[Visitor]],$A$6:$B$38,2,FALSE)</f>
        <v>0.22234919620568538</v>
      </c>
      <c r="J179">
        <f>(Table3[[#This Row],[HomeMargin]]-Table3[[#This Row],[HomeForecast]])^2</f>
        <v>7.7153439878192023</v>
      </c>
    </row>
    <row r="180" spans="4:10" x14ac:dyDescent="0.2">
      <c r="D180" t="s">
        <v>38</v>
      </c>
      <c r="E180">
        <f>'NHL2025-26Results'!C176</f>
        <v>4</v>
      </c>
      <c r="F180" t="s">
        <v>35</v>
      </c>
      <c r="G180">
        <f>'NHL2025-26Results'!E176</f>
        <v>3</v>
      </c>
      <c r="H180">
        <f>Table3[[#This Row],[G_1]]-Table3[[#This Row],[G]]</f>
        <v>-1</v>
      </c>
      <c r="I180">
        <f>HomeEdge+VLOOKUP(Table3[[#This Row],[Home]],$A$6:$B$38,2,FALSE)-VLOOKUP(Table3[[#This Row],[Visitor]],$A$6:$B$38,2,FALSE)</f>
        <v>0.20875301539252789</v>
      </c>
      <c r="J180">
        <f>(Table3[[#This Row],[HomeMargin]]-Table3[[#This Row],[HomeForecast]])^2</f>
        <v>1.4610838522205287</v>
      </c>
    </row>
    <row r="181" spans="4:10" x14ac:dyDescent="0.2">
      <c r="D181" t="s">
        <v>39</v>
      </c>
      <c r="E181">
        <f>'NHL2025-26Results'!C177</f>
        <v>1</v>
      </c>
      <c r="F181" t="s">
        <v>37</v>
      </c>
      <c r="G181">
        <f>'NHL2025-26Results'!E177</f>
        <v>2</v>
      </c>
      <c r="H181">
        <f>Table3[[#This Row],[G_1]]-Table3[[#This Row],[G]]</f>
        <v>1</v>
      </c>
      <c r="I181">
        <f>HomeEdge+VLOOKUP(Table3[[#This Row],[Home]],$A$6:$B$38,2,FALSE)-VLOOKUP(Table3[[#This Row],[Visitor]],$A$6:$B$38,2,FALSE)</f>
        <v>0.63360852525599709</v>
      </c>
      <c r="J181">
        <f>(Table3[[#This Row],[HomeMargin]]-Table3[[#This Row],[HomeForecast]])^2</f>
        <v>0.13424271276508531</v>
      </c>
    </row>
    <row r="182" spans="4:10" x14ac:dyDescent="0.2">
      <c r="D182" t="s">
        <v>10</v>
      </c>
      <c r="E182">
        <f>'NHL2025-26Results'!C178</f>
        <v>3</v>
      </c>
      <c r="F182" t="s">
        <v>40</v>
      </c>
      <c r="G182">
        <f>'NHL2025-26Results'!E178</f>
        <v>6</v>
      </c>
      <c r="H182">
        <f>Table3[[#This Row],[G_1]]-Table3[[#This Row],[G]]</f>
        <v>3</v>
      </c>
      <c r="I182">
        <f>HomeEdge+VLOOKUP(Table3[[#This Row],[Home]],$A$6:$B$38,2,FALSE)-VLOOKUP(Table3[[#This Row],[Visitor]],$A$6:$B$38,2,FALSE)</f>
        <v>0.46773629469005495</v>
      </c>
      <c r="J182">
        <f>(Table3[[#This Row],[HomeMargin]]-Table3[[#This Row],[HomeForecast]])^2</f>
        <v>6.412359473230052</v>
      </c>
    </row>
    <row r="183" spans="4:10" x14ac:dyDescent="0.2">
      <c r="D183" t="s">
        <v>26</v>
      </c>
      <c r="E183">
        <f>'NHL2025-26Results'!C179</f>
        <v>2</v>
      </c>
      <c r="F183" t="s">
        <v>31</v>
      </c>
      <c r="G183">
        <f>'NHL2025-26Results'!E179</f>
        <v>5</v>
      </c>
      <c r="H183">
        <f>Table3[[#This Row],[G_1]]-Table3[[#This Row],[G]]</f>
        <v>3</v>
      </c>
      <c r="I183">
        <f>HomeEdge+VLOOKUP(Table3[[#This Row],[Home]],$A$6:$B$38,2,FALSE)-VLOOKUP(Table3[[#This Row],[Visitor]],$A$6:$B$38,2,FALSE)</f>
        <v>-2.8610601209529962E-3</v>
      </c>
      <c r="J183">
        <f>(Table3[[#This Row],[HomeMargin]]-Table3[[#This Row],[HomeForecast]])^2</f>
        <v>9.0171745463907325</v>
      </c>
    </row>
    <row r="184" spans="4:10" x14ac:dyDescent="0.2">
      <c r="D184" t="s">
        <v>12</v>
      </c>
      <c r="E184">
        <f>'NHL2025-26Results'!C180</f>
        <v>4</v>
      </c>
      <c r="F184" t="s">
        <v>20</v>
      </c>
      <c r="G184">
        <f>'NHL2025-26Results'!E180</f>
        <v>2</v>
      </c>
      <c r="H184">
        <f>Table3[[#This Row],[G_1]]-Table3[[#This Row],[G]]</f>
        <v>-2</v>
      </c>
      <c r="I184">
        <f>HomeEdge+VLOOKUP(Table3[[#This Row],[Home]],$A$6:$B$38,2,FALSE)-VLOOKUP(Table3[[#This Row],[Visitor]],$A$6:$B$38,2,FALSE)</f>
        <v>-1.0320244819019941</v>
      </c>
      <c r="J184">
        <f>(Table3[[#This Row],[HomeMargin]]-Table3[[#This Row],[HomeForecast]])^2</f>
        <v>0.93697660363710289</v>
      </c>
    </row>
    <row r="185" spans="4:10" x14ac:dyDescent="0.2">
      <c r="D185" t="s">
        <v>30</v>
      </c>
      <c r="E185">
        <f>'NHL2025-26Results'!C181</f>
        <v>3</v>
      </c>
      <c r="F185" t="s">
        <v>22</v>
      </c>
      <c r="G185">
        <f>'NHL2025-26Results'!E181</f>
        <v>1</v>
      </c>
      <c r="H185">
        <f>Table3[[#This Row],[G_1]]-Table3[[#This Row],[G]]</f>
        <v>-2</v>
      </c>
      <c r="I185">
        <f>HomeEdge+VLOOKUP(Table3[[#This Row],[Home]],$A$6:$B$38,2,FALSE)-VLOOKUP(Table3[[#This Row],[Visitor]],$A$6:$B$38,2,FALSE)</f>
        <v>0.1961356795573071</v>
      </c>
      <c r="J185">
        <f>(Table3[[#This Row],[HomeMargin]]-Table3[[#This Row],[HomeForecast]])^2</f>
        <v>4.8230119230246355</v>
      </c>
    </row>
    <row r="186" spans="4:10" x14ac:dyDescent="0.2">
      <c r="D186" t="s">
        <v>25</v>
      </c>
      <c r="E186">
        <f>'NHL2025-26Results'!C182</f>
        <v>1</v>
      </c>
      <c r="F186" t="s">
        <v>21</v>
      </c>
      <c r="G186">
        <f>'NHL2025-26Results'!E182</f>
        <v>2</v>
      </c>
      <c r="H186">
        <f>Table3[[#This Row],[G_1]]-Table3[[#This Row],[G]]</f>
        <v>1</v>
      </c>
      <c r="I186">
        <f>HomeEdge+VLOOKUP(Table3[[#This Row],[Home]],$A$6:$B$38,2,FALSE)-VLOOKUP(Table3[[#This Row],[Visitor]],$A$6:$B$38,2,FALSE)</f>
        <v>-0.20541782870208525</v>
      </c>
      <c r="J186">
        <f>(Table3[[#This Row],[HomeMargin]]-Table3[[#This Row],[HomeForecast]])^2</f>
        <v>1.45303214175285</v>
      </c>
    </row>
    <row r="187" spans="4:10" x14ac:dyDescent="0.2">
      <c r="D187" t="s">
        <v>22</v>
      </c>
      <c r="E187">
        <f>'NHL2025-26Results'!C183</f>
        <v>3</v>
      </c>
      <c r="F187" t="s">
        <v>23</v>
      </c>
      <c r="G187">
        <f>'NHL2025-26Results'!E183</f>
        <v>4</v>
      </c>
      <c r="H187">
        <f>Table3[[#This Row],[G_1]]-Table3[[#This Row],[G]]</f>
        <v>1</v>
      </c>
      <c r="I187">
        <f>HomeEdge+VLOOKUP(Table3[[#This Row],[Home]],$A$6:$B$38,2,FALSE)-VLOOKUP(Table3[[#This Row],[Visitor]],$A$6:$B$38,2,FALSE)</f>
        <v>0.25753731425408088</v>
      </c>
      <c r="J187">
        <f>(Table3[[#This Row],[HomeMargin]]-Table3[[#This Row],[HomeForecast]])^2</f>
        <v>0.55125083972504341</v>
      </c>
    </row>
    <row r="188" spans="4:10" x14ac:dyDescent="0.2">
      <c r="D188" t="s">
        <v>35</v>
      </c>
      <c r="E188">
        <f>'NHL2025-26Results'!C184</f>
        <v>2</v>
      </c>
      <c r="F188" t="s">
        <v>28</v>
      </c>
      <c r="G188">
        <f>'NHL2025-26Results'!E184</f>
        <v>3</v>
      </c>
      <c r="H188">
        <f>Table3[[#This Row],[G_1]]-Table3[[#This Row],[G]]</f>
        <v>1</v>
      </c>
      <c r="I188">
        <f>HomeEdge+VLOOKUP(Table3[[#This Row],[Home]],$A$6:$B$38,2,FALSE)-VLOOKUP(Table3[[#This Row],[Visitor]],$A$6:$B$38,2,FALSE)</f>
        <v>1.1608994603822071</v>
      </c>
      <c r="J188">
        <f>(Table3[[#This Row],[HomeMargin]]-Table3[[#This Row],[HomeForecast]])^2</f>
        <v>2.5888636351285448E-2</v>
      </c>
    </row>
    <row r="189" spans="4:10" x14ac:dyDescent="0.2">
      <c r="D189" t="s">
        <v>10</v>
      </c>
      <c r="E189">
        <f>'NHL2025-26Results'!C185</f>
        <v>2</v>
      </c>
      <c r="F189" t="s">
        <v>17</v>
      </c>
      <c r="G189">
        <f>'NHL2025-26Results'!E185</f>
        <v>3</v>
      </c>
      <c r="H189">
        <f>Table3[[#This Row],[G_1]]-Table3[[#This Row],[G]]</f>
        <v>1</v>
      </c>
      <c r="I189">
        <f>HomeEdge+VLOOKUP(Table3[[#This Row],[Home]],$A$6:$B$38,2,FALSE)-VLOOKUP(Table3[[#This Row],[Visitor]],$A$6:$B$38,2,FALSE)</f>
        <v>0.69156181765535851</v>
      </c>
      <c r="J189">
        <f>(Table3[[#This Row],[HomeMargin]]-Table3[[#This Row],[HomeForecast]])^2</f>
        <v>9.5134112328066317E-2</v>
      </c>
    </row>
    <row r="190" spans="4:10" x14ac:dyDescent="0.2">
      <c r="D190" t="s">
        <v>39</v>
      </c>
      <c r="E190">
        <f>'NHL2025-26Results'!C186</f>
        <v>3</v>
      </c>
      <c r="F190" t="s">
        <v>11</v>
      </c>
      <c r="G190">
        <f>'NHL2025-26Results'!E186</f>
        <v>4</v>
      </c>
      <c r="H190">
        <f>Table3[[#This Row],[G_1]]-Table3[[#This Row],[G]]</f>
        <v>1</v>
      </c>
      <c r="I190">
        <f>HomeEdge+VLOOKUP(Table3[[#This Row],[Home]],$A$6:$B$38,2,FALSE)-VLOOKUP(Table3[[#This Row],[Visitor]],$A$6:$B$38,2,FALSE)</f>
        <v>-0.64442545333454682</v>
      </c>
      <c r="J190">
        <f>(Table3[[#This Row],[HomeMargin]]-Table3[[#This Row],[HomeForecast]])^2</f>
        <v>2.7041350715745298</v>
      </c>
    </row>
    <row r="191" spans="4:10" x14ac:dyDescent="0.2">
      <c r="D191" t="s">
        <v>24</v>
      </c>
      <c r="E191">
        <f>'NHL2025-26Results'!C187</f>
        <v>4</v>
      </c>
      <c r="F191" t="s">
        <v>13</v>
      </c>
      <c r="G191">
        <f>'NHL2025-26Results'!E187</f>
        <v>1</v>
      </c>
      <c r="H191">
        <f>Table3[[#This Row],[G_1]]-Table3[[#This Row],[G]]</f>
        <v>-3</v>
      </c>
      <c r="I191">
        <f>HomeEdge+VLOOKUP(Table3[[#This Row],[Home]],$A$6:$B$38,2,FALSE)-VLOOKUP(Table3[[#This Row],[Visitor]],$A$6:$B$38,2,FALSE)</f>
        <v>0.28401812225478673</v>
      </c>
      <c r="J191">
        <f>(Table3[[#This Row],[HomeMargin]]-Table3[[#This Row],[HomeForecast]])^2</f>
        <v>10.784775027297856</v>
      </c>
    </row>
    <row r="192" spans="4:10" x14ac:dyDescent="0.2">
      <c r="D192" t="s">
        <v>38</v>
      </c>
      <c r="E192">
        <f>'NHL2025-26Results'!C188</f>
        <v>2</v>
      </c>
      <c r="F192" t="s">
        <v>34</v>
      </c>
      <c r="G192">
        <f>'NHL2025-26Results'!E188</f>
        <v>5</v>
      </c>
      <c r="H192">
        <f>Table3[[#This Row],[G_1]]-Table3[[#This Row],[G]]</f>
        <v>3</v>
      </c>
      <c r="I192">
        <f>HomeEdge+VLOOKUP(Table3[[#This Row],[Home]],$A$6:$B$38,2,FALSE)-VLOOKUP(Table3[[#This Row],[Visitor]],$A$6:$B$38,2,FALSE)</f>
        <v>1.5820955724409846</v>
      </c>
      <c r="J192">
        <f>(Table3[[#This Row],[HomeMargin]]-Table3[[#This Row],[HomeForecast]])^2</f>
        <v>2.0104529656914591</v>
      </c>
    </row>
    <row r="193" spans="4:10" x14ac:dyDescent="0.2">
      <c r="D193" t="s">
        <v>36</v>
      </c>
      <c r="E193">
        <f>'NHL2025-26Results'!C189</f>
        <v>3</v>
      </c>
      <c r="F193" t="s">
        <v>18</v>
      </c>
      <c r="G193">
        <f>'NHL2025-26Results'!E189</f>
        <v>4</v>
      </c>
      <c r="H193">
        <f>Table3[[#This Row],[G_1]]-Table3[[#This Row],[G]]</f>
        <v>1</v>
      </c>
      <c r="I193">
        <f>HomeEdge+VLOOKUP(Table3[[#This Row],[Home]],$A$6:$B$38,2,FALSE)-VLOOKUP(Table3[[#This Row],[Visitor]],$A$6:$B$38,2,FALSE)</f>
        <v>0.23343979168767204</v>
      </c>
      <c r="J193">
        <f>(Table3[[#This Row],[HomeMargin]]-Table3[[#This Row],[HomeForecast]])^2</f>
        <v>0.5876145529678396</v>
      </c>
    </row>
    <row r="194" spans="4:10" x14ac:dyDescent="0.2">
      <c r="D194" t="s">
        <v>16</v>
      </c>
      <c r="E194">
        <f>'NHL2025-26Results'!C190</f>
        <v>2</v>
      </c>
      <c r="F194" t="s">
        <v>29</v>
      </c>
      <c r="G194">
        <f>'NHL2025-26Results'!E190</f>
        <v>4</v>
      </c>
      <c r="H194">
        <f>Table3[[#This Row],[G_1]]-Table3[[#This Row],[G]]</f>
        <v>2</v>
      </c>
      <c r="I194">
        <f>HomeEdge+VLOOKUP(Table3[[#This Row],[Home]],$A$6:$B$38,2,FALSE)-VLOOKUP(Table3[[#This Row],[Visitor]],$A$6:$B$38,2,FALSE)</f>
        <v>0.19935439325238213</v>
      </c>
      <c r="J194">
        <f>(Table3[[#This Row],[HomeMargin]]-Table3[[#This Row],[HomeForecast]])^2</f>
        <v>3.2423246010994964</v>
      </c>
    </row>
    <row r="195" spans="4:10" x14ac:dyDescent="0.2">
      <c r="D195" t="s">
        <v>19</v>
      </c>
      <c r="E195">
        <f>'NHL2025-26Results'!C191</f>
        <v>5</v>
      </c>
      <c r="F195" t="s">
        <v>27</v>
      </c>
      <c r="G195">
        <f>'NHL2025-26Results'!E191</f>
        <v>2</v>
      </c>
      <c r="H195">
        <f>Table3[[#This Row],[G_1]]-Table3[[#This Row],[G]]</f>
        <v>-3</v>
      </c>
      <c r="I195">
        <f>HomeEdge+VLOOKUP(Table3[[#This Row],[Home]],$A$6:$B$38,2,FALSE)-VLOOKUP(Table3[[#This Row],[Visitor]],$A$6:$B$38,2,FALSE)</f>
        <v>2.0908214806608538E-2</v>
      </c>
      <c r="J195">
        <f>(Table3[[#This Row],[HomeMargin]]-Table3[[#This Row],[HomeForecast]])^2</f>
        <v>9.1258864422860491</v>
      </c>
    </row>
    <row r="196" spans="4:10" x14ac:dyDescent="0.2">
      <c r="D196" t="s">
        <v>15</v>
      </c>
      <c r="E196">
        <f>'NHL2025-26Results'!C192</f>
        <v>3</v>
      </c>
      <c r="F196" t="s">
        <v>32</v>
      </c>
      <c r="G196">
        <f>'NHL2025-26Results'!E192</f>
        <v>2</v>
      </c>
      <c r="H196">
        <f>Table3[[#This Row],[G_1]]-Table3[[#This Row],[G]]</f>
        <v>-1</v>
      </c>
      <c r="I196">
        <f>HomeEdge+VLOOKUP(Table3[[#This Row],[Home]],$A$6:$B$38,2,FALSE)-VLOOKUP(Table3[[#This Row],[Visitor]],$A$6:$B$38,2,FALSE)</f>
        <v>0.38375898619750537</v>
      </c>
      <c r="J196">
        <f>(Table3[[#This Row],[HomeMargin]]-Table3[[#This Row],[HomeForecast]])^2</f>
        <v>1.9147889318823474</v>
      </c>
    </row>
    <row r="197" spans="4:10" x14ac:dyDescent="0.2">
      <c r="D197" t="s">
        <v>12</v>
      </c>
      <c r="E197">
        <f>'NHL2025-26Results'!C193</f>
        <v>2</v>
      </c>
      <c r="F197" t="s">
        <v>33</v>
      </c>
      <c r="G197">
        <f>'NHL2025-26Results'!E193</f>
        <v>3</v>
      </c>
      <c r="H197">
        <f>Table3[[#This Row],[G_1]]-Table3[[#This Row],[G]]</f>
        <v>1</v>
      </c>
      <c r="I197">
        <f>HomeEdge+VLOOKUP(Table3[[#This Row],[Home]],$A$6:$B$38,2,FALSE)-VLOOKUP(Table3[[#This Row],[Visitor]],$A$6:$B$38,2,FALSE)</f>
        <v>-1.5214256726218816</v>
      </c>
      <c r="J197">
        <f>(Table3[[#This Row],[HomeMargin]]-Table3[[#This Row],[HomeForecast]])^2</f>
        <v>6.3575874225567075</v>
      </c>
    </row>
    <row r="198" spans="4:10" x14ac:dyDescent="0.2">
      <c r="D198" t="s">
        <v>14</v>
      </c>
      <c r="E198">
        <f>'NHL2025-26Results'!C194</f>
        <v>2</v>
      </c>
      <c r="F198" t="s">
        <v>40</v>
      </c>
      <c r="G198">
        <f>'NHL2025-26Results'!E194</f>
        <v>5</v>
      </c>
      <c r="H198">
        <f>Table3[[#This Row],[G_1]]-Table3[[#This Row],[G]]</f>
        <v>3</v>
      </c>
      <c r="I198">
        <f>HomeEdge+VLOOKUP(Table3[[#This Row],[Home]],$A$6:$B$38,2,FALSE)-VLOOKUP(Table3[[#This Row],[Visitor]],$A$6:$B$38,2,FALSE)</f>
        <v>-0.45888083618215947</v>
      </c>
      <c r="J198">
        <f>(Table3[[#This Row],[HomeMargin]]-Table3[[#This Row],[HomeForecast]])^2</f>
        <v>11.963856638908196</v>
      </c>
    </row>
    <row r="199" spans="4:10" x14ac:dyDescent="0.2">
      <c r="D199" t="s">
        <v>24</v>
      </c>
      <c r="E199">
        <f>'NHL2025-26Results'!C195</f>
        <v>1</v>
      </c>
      <c r="F199" t="s">
        <v>31</v>
      </c>
      <c r="G199">
        <f>'NHL2025-26Results'!E195</f>
        <v>4</v>
      </c>
      <c r="H199">
        <f>Table3[[#This Row],[G_1]]-Table3[[#This Row],[G]]</f>
        <v>3</v>
      </c>
      <c r="I199">
        <f>HomeEdge+VLOOKUP(Table3[[#This Row],[Home]],$A$6:$B$38,2,FALSE)-VLOOKUP(Table3[[#This Row],[Visitor]],$A$6:$B$38,2,FALSE)</f>
        <v>0.41110919002586721</v>
      </c>
      <c r="J199">
        <f>(Table3[[#This Row],[HomeMargin]]-Table3[[#This Row],[HomeForecast]])^2</f>
        <v>6.7023556259685213</v>
      </c>
    </row>
    <row r="200" spans="4:10" x14ac:dyDescent="0.2">
      <c r="D200" t="s">
        <v>28</v>
      </c>
      <c r="E200">
        <f>'NHL2025-26Results'!C196</f>
        <v>2</v>
      </c>
      <c r="F200" t="s">
        <v>30</v>
      </c>
      <c r="G200">
        <f>'NHL2025-26Results'!E196</f>
        <v>3</v>
      </c>
      <c r="H200">
        <f>Table3[[#This Row],[G_1]]-Table3[[#This Row],[G]]</f>
        <v>1</v>
      </c>
      <c r="I200">
        <f>HomeEdge+VLOOKUP(Table3[[#This Row],[Home]],$A$6:$B$38,2,FALSE)-VLOOKUP(Table3[[#This Row],[Visitor]],$A$6:$B$38,2,FALSE)</f>
        <v>0.22486715896333462</v>
      </c>
      <c r="J200">
        <f>(Table3[[#This Row],[HomeMargin]]-Table3[[#This Row],[HomeForecast]])^2</f>
        <v>0.60083092125357229</v>
      </c>
    </row>
    <row r="201" spans="4:10" x14ac:dyDescent="0.2">
      <c r="D201" t="s">
        <v>16</v>
      </c>
      <c r="E201">
        <f>'NHL2025-26Results'!C197</f>
        <v>2</v>
      </c>
      <c r="F201" t="s">
        <v>27</v>
      </c>
      <c r="G201">
        <f>'NHL2025-26Results'!E197</f>
        <v>1</v>
      </c>
      <c r="H201">
        <f>Table3[[#This Row],[G_1]]-Table3[[#This Row],[G]]</f>
        <v>-1</v>
      </c>
      <c r="I201">
        <f>HomeEdge+VLOOKUP(Table3[[#This Row],[Home]],$A$6:$B$38,2,FALSE)-VLOOKUP(Table3[[#This Row],[Visitor]],$A$6:$B$38,2,FALSE)</f>
        <v>0.46893986516861264</v>
      </c>
      <c r="J201">
        <f>(Table3[[#This Row],[HomeMargin]]-Table3[[#This Row],[HomeForecast]])^2</f>
        <v>2.1577843274815813</v>
      </c>
    </row>
    <row r="202" spans="4:10" x14ac:dyDescent="0.2">
      <c r="D202" t="s">
        <v>26</v>
      </c>
      <c r="E202">
        <f>'NHL2025-26Results'!C198</f>
        <v>3</v>
      </c>
      <c r="F202" t="s">
        <v>33</v>
      </c>
      <c r="G202">
        <f>'NHL2025-26Results'!E198</f>
        <v>2</v>
      </c>
      <c r="H202">
        <f>Table3[[#This Row],[G_1]]-Table3[[#This Row],[G]]</f>
        <v>-1</v>
      </c>
      <c r="I202">
        <f>HomeEdge+VLOOKUP(Table3[[#This Row],[Home]],$A$6:$B$38,2,FALSE)-VLOOKUP(Table3[[#This Row],[Visitor]],$A$6:$B$38,2,FALSE)</f>
        <v>-0.19162105394113482</v>
      </c>
      <c r="J202">
        <f>(Table3[[#This Row],[HomeMargin]]-Table3[[#This Row],[HomeForecast]])^2</f>
        <v>0.6534765204312416</v>
      </c>
    </row>
    <row r="203" spans="4:10" x14ac:dyDescent="0.2">
      <c r="D203" t="s">
        <v>37</v>
      </c>
      <c r="E203">
        <f>'NHL2025-26Results'!C199</f>
        <v>4</v>
      </c>
      <c r="F203" t="s">
        <v>55</v>
      </c>
      <c r="G203">
        <f>'NHL2025-26Results'!E199</f>
        <v>2</v>
      </c>
      <c r="H203">
        <f>Table3[[#This Row],[G_1]]-Table3[[#This Row],[G]]</f>
        <v>-2</v>
      </c>
      <c r="I203">
        <f>HomeEdge+VLOOKUP(Table3[[#This Row],[Home]],$A$6:$B$38,2,FALSE)-VLOOKUP(Table3[[#This Row],[Visitor]],$A$6:$B$38,2,FALSE)</f>
        <v>-0.5073801356855927</v>
      </c>
      <c r="J203">
        <f>(Table3[[#This Row],[HomeMargin]]-Table3[[#This Row],[HomeForecast]])^2</f>
        <v>2.2279140593459594</v>
      </c>
    </row>
    <row r="204" spans="4:10" x14ac:dyDescent="0.2">
      <c r="D204" t="s">
        <v>38</v>
      </c>
      <c r="E204">
        <f>'NHL2025-26Results'!C200</f>
        <v>5</v>
      </c>
      <c r="F204" t="s">
        <v>29</v>
      </c>
      <c r="G204">
        <f>'NHL2025-26Results'!E200</f>
        <v>4</v>
      </c>
      <c r="H204">
        <f>Table3[[#This Row],[G_1]]-Table3[[#This Row],[G]]</f>
        <v>-1</v>
      </c>
      <c r="I204">
        <f>HomeEdge+VLOOKUP(Table3[[#This Row],[Home]],$A$6:$B$38,2,FALSE)-VLOOKUP(Table3[[#This Row],[Visitor]],$A$6:$B$38,2,FALSE)</f>
        <v>0.70104547748933121</v>
      </c>
      <c r="J204">
        <f>(Table3[[#This Row],[HomeMargin]]-Table3[[#This Row],[HomeForecast]])^2</f>
        <v>2.8935557164869072</v>
      </c>
    </row>
    <row r="205" spans="4:10" x14ac:dyDescent="0.2">
      <c r="D205" t="s">
        <v>10</v>
      </c>
      <c r="E205">
        <f>'NHL2025-26Results'!C201</f>
        <v>1</v>
      </c>
      <c r="F205" t="s">
        <v>32</v>
      </c>
      <c r="G205">
        <f>'NHL2025-26Results'!E201</f>
        <v>3</v>
      </c>
      <c r="H205">
        <f>Table3[[#This Row],[G_1]]-Table3[[#This Row],[G]]</f>
        <v>2</v>
      </c>
      <c r="I205">
        <f>HomeEdge+VLOOKUP(Table3[[#This Row],[Home]],$A$6:$B$38,2,FALSE)-VLOOKUP(Table3[[#This Row],[Visitor]],$A$6:$B$38,2,FALSE)</f>
        <v>0.57382061279222552</v>
      </c>
      <c r="J205">
        <f>(Table3[[#This Row],[HomeMargin]]-Table3[[#This Row],[HomeForecast]])^2</f>
        <v>2.0339876444963436</v>
      </c>
    </row>
    <row r="206" spans="4:10" x14ac:dyDescent="0.2">
      <c r="D206" t="s">
        <v>17</v>
      </c>
      <c r="E206">
        <f>'NHL2025-26Results'!C202</f>
        <v>2</v>
      </c>
      <c r="F206" t="s">
        <v>35</v>
      </c>
      <c r="G206">
        <f>'NHL2025-26Results'!E202</f>
        <v>3</v>
      </c>
      <c r="H206">
        <f>Table3[[#This Row],[G_1]]-Table3[[#This Row],[G]]</f>
        <v>1</v>
      </c>
      <c r="I206">
        <f>HomeEdge+VLOOKUP(Table3[[#This Row],[Home]],$A$6:$B$38,2,FALSE)-VLOOKUP(Table3[[#This Row],[Visitor]],$A$6:$B$38,2,FALSE)</f>
        <v>-0.81862433797834755</v>
      </c>
      <c r="J206">
        <f>(Table3[[#This Row],[HomeMargin]]-Table3[[#This Row],[HomeForecast]])^2</f>
        <v>3.3073944826871831</v>
      </c>
    </row>
    <row r="207" spans="4:10" x14ac:dyDescent="0.2">
      <c r="D207" t="s">
        <v>14</v>
      </c>
      <c r="E207">
        <f>'NHL2025-26Results'!C203</f>
        <v>3</v>
      </c>
      <c r="F207" t="s">
        <v>19</v>
      </c>
      <c r="G207">
        <f>'NHL2025-26Results'!E203</f>
        <v>4</v>
      </c>
      <c r="H207">
        <f>Table3[[#This Row],[G_1]]-Table3[[#This Row],[G]]</f>
        <v>1</v>
      </c>
      <c r="I207">
        <f>HomeEdge+VLOOKUP(Table3[[#This Row],[Home]],$A$6:$B$38,2,FALSE)-VLOOKUP(Table3[[#This Row],[Visitor]],$A$6:$B$38,2,FALSE)</f>
        <v>-0.31270993198877828</v>
      </c>
      <c r="J207">
        <f>(Table3[[#This Row],[HomeMargin]]-Table3[[#This Row],[HomeForecast]])^2</f>
        <v>1.7232073655419828</v>
      </c>
    </row>
    <row r="208" spans="4:10" x14ac:dyDescent="0.2">
      <c r="D208" t="s">
        <v>11</v>
      </c>
      <c r="E208">
        <f>'NHL2025-26Results'!C204</f>
        <v>3</v>
      </c>
      <c r="F208" t="s">
        <v>31</v>
      </c>
      <c r="G208">
        <f>'NHL2025-26Results'!E204</f>
        <v>7</v>
      </c>
      <c r="H208">
        <f>Table3[[#This Row],[G_1]]-Table3[[#This Row],[G]]</f>
        <v>4</v>
      </c>
      <c r="I208">
        <f>HomeEdge+VLOOKUP(Table3[[#This Row],[Home]],$A$6:$B$38,2,FALSE)-VLOOKUP(Table3[[#This Row],[Visitor]],$A$6:$B$38,2,FALSE)</f>
        <v>0.22295328596275876</v>
      </c>
      <c r="J208">
        <f>(Table3[[#This Row],[HomeMargin]]-Table3[[#This Row],[HomeForecast]])^2</f>
        <v>14.266081880019522</v>
      </c>
    </row>
    <row r="209" spans="4:10" x14ac:dyDescent="0.2">
      <c r="D209" t="s">
        <v>55</v>
      </c>
      <c r="E209">
        <f>'NHL2025-26Results'!C205</f>
        <v>2</v>
      </c>
      <c r="F209" t="s">
        <v>23</v>
      </c>
      <c r="G209">
        <f>'NHL2025-26Results'!E205</f>
        <v>1</v>
      </c>
      <c r="H209">
        <f>Table3[[#This Row],[G_1]]-Table3[[#This Row],[G]]</f>
        <v>-1</v>
      </c>
      <c r="I209">
        <f>HomeEdge+VLOOKUP(Table3[[#This Row],[Home]],$A$6:$B$38,2,FALSE)-VLOOKUP(Table3[[#This Row],[Visitor]],$A$6:$B$38,2,FALSE)</f>
        <v>5.36666565889551E-2</v>
      </c>
      <c r="J209">
        <f>(Table3[[#This Row],[HomeMargin]]-Table3[[#This Row],[HomeForecast]])^2</f>
        <v>1.1102134232073473</v>
      </c>
    </row>
    <row r="210" spans="4:10" x14ac:dyDescent="0.2">
      <c r="D210" t="s">
        <v>37</v>
      </c>
      <c r="E210">
        <f>'NHL2025-26Results'!C206</f>
        <v>2</v>
      </c>
      <c r="F210" t="s">
        <v>12</v>
      </c>
      <c r="G210">
        <f>'NHL2025-26Results'!E206</f>
        <v>3</v>
      </c>
      <c r="H210">
        <f>Table3[[#This Row],[G_1]]-Table3[[#This Row],[G]]</f>
        <v>1</v>
      </c>
      <c r="I210">
        <f>HomeEdge+VLOOKUP(Table3[[#This Row],[Home]],$A$6:$B$38,2,FALSE)-VLOOKUP(Table3[[#This Row],[Visitor]],$A$6:$B$38,2,FALSE)</f>
        <v>0.40719197198543855</v>
      </c>
      <c r="J210">
        <f>(Table3[[#This Row],[HomeMargin]]-Table3[[#This Row],[HomeForecast]])^2</f>
        <v>0.35142135807851305</v>
      </c>
    </row>
    <row r="211" spans="4:10" x14ac:dyDescent="0.2">
      <c r="D211" t="s">
        <v>17</v>
      </c>
      <c r="E211">
        <f>'NHL2025-26Results'!C207</f>
        <v>3</v>
      </c>
      <c r="F211" t="s">
        <v>39</v>
      </c>
      <c r="G211">
        <f>'NHL2025-26Results'!E207</f>
        <v>4</v>
      </c>
      <c r="H211">
        <f>Table3[[#This Row],[G_1]]-Table3[[#This Row],[G]]</f>
        <v>1</v>
      </c>
      <c r="I211">
        <f>HomeEdge+VLOOKUP(Table3[[#This Row],[Home]],$A$6:$B$38,2,FALSE)-VLOOKUP(Table3[[#This Row],[Visitor]],$A$6:$B$38,2,FALSE)</f>
        <v>0.71131324320769851</v>
      </c>
      <c r="J211">
        <f>(Table3[[#This Row],[HomeMargin]]-Table3[[#This Row],[HomeForecast]])^2</f>
        <v>8.3340043547257436E-2</v>
      </c>
    </row>
    <row r="212" spans="4:10" x14ac:dyDescent="0.2">
      <c r="D212" t="s">
        <v>40</v>
      </c>
      <c r="E212">
        <f>'NHL2025-26Results'!C208</f>
        <v>0</v>
      </c>
      <c r="F212" t="s">
        <v>13</v>
      </c>
      <c r="G212">
        <f>'NHL2025-26Results'!E208</f>
        <v>3</v>
      </c>
      <c r="H212">
        <f>Table3[[#This Row],[G_1]]-Table3[[#This Row],[G]]</f>
        <v>3</v>
      </c>
      <c r="I212">
        <f>HomeEdge+VLOOKUP(Table3[[#This Row],[Home]],$A$6:$B$38,2,FALSE)-VLOOKUP(Table3[[#This Row],[Visitor]],$A$6:$B$38,2,FALSE)</f>
        <v>0.12736155940708527</v>
      </c>
      <c r="J212">
        <f>(Table3[[#This Row],[HomeMargin]]-Table3[[#This Row],[HomeForecast]])^2</f>
        <v>8.252051610372094</v>
      </c>
    </row>
    <row r="213" spans="4:10" x14ac:dyDescent="0.2">
      <c r="D213" t="s">
        <v>29</v>
      </c>
      <c r="E213">
        <f>'NHL2025-26Results'!C209</f>
        <v>2</v>
      </c>
      <c r="F213" t="s">
        <v>34</v>
      </c>
      <c r="G213">
        <f>'NHL2025-26Results'!E209</f>
        <v>3</v>
      </c>
      <c r="H213">
        <f>Table3[[#This Row],[G_1]]-Table3[[#This Row],[G]]</f>
        <v>1</v>
      </c>
      <c r="I213">
        <f>HomeEdge+VLOOKUP(Table3[[#This Row],[Home]],$A$6:$B$38,2,FALSE)-VLOOKUP(Table3[[#This Row],[Visitor]],$A$6:$B$38,2,FALSE)</f>
        <v>1.0106570807631774</v>
      </c>
      <c r="J213">
        <f>(Table3[[#This Row],[HomeMargin]]-Table3[[#This Row],[HomeForecast]])^2</f>
        <v>1.1357337039288571E-4</v>
      </c>
    </row>
    <row r="214" spans="4:10" x14ac:dyDescent="0.2">
      <c r="D214" t="s">
        <v>27</v>
      </c>
      <c r="E214">
        <f>'NHL2025-26Results'!C210</f>
        <v>5</v>
      </c>
      <c r="F214" t="s">
        <v>18</v>
      </c>
      <c r="G214">
        <f>'NHL2025-26Results'!E210</f>
        <v>4</v>
      </c>
      <c r="H214">
        <f>Table3[[#This Row],[G_1]]-Table3[[#This Row],[G]]</f>
        <v>-1</v>
      </c>
      <c r="I214">
        <f>HomeEdge+VLOOKUP(Table3[[#This Row],[Home]],$A$6:$B$38,2,FALSE)-VLOOKUP(Table3[[#This Row],[Visitor]],$A$6:$B$38,2,FALSE)</f>
        <v>0.59431164833719541</v>
      </c>
      <c r="J214">
        <f>(Table3[[#This Row],[HomeMargin]]-Table3[[#This Row],[HomeForecast]])^2</f>
        <v>2.5418296320236649</v>
      </c>
    </row>
    <row r="215" spans="4:10" x14ac:dyDescent="0.2">
      <c r="D215" t="s">
        <v>21</v>
      </c>
      <c r="E215">
        <f>'NHL2025-26Results'!C211</f>
        <v>4</v>
      </c>
      <c r="F215" t="s">
        <v>30</v>
      </c>
      <c r="G215">
        <f>'NHL2025-26Results'!E211</f>
        <v>3</v>
      </c>
      <c r="H215">
        <f>Table3[[#This Row],[G_1]]-Table3[[#This Row],[G]]</f>
        <v>-1</v>
      </c>
      <c r="I215">
        <f>HomeEdge+VLOOKUP(Table3[[#This Row],[Home]],$A$6:$B$38,2,FALSE)-VLOOKUP(Table3[[#This Row],[Visitor]],$A$6:$B$38,2,FALSE)</f>
        <v>4.5832973259819804E-2</v>
      </c>
      <c r="J215">
        <f>(Table3[[#This Row],[HomeMargin]]-Table3[[#This Row],[HomeForecast]])^2</f>
        <v>1.0937666079574748</v>
      </c>
    </row>
    <row r="216" spans="4:10" x14ac:dyDescent="0.2">
      <c r="D216" t="s">
        <v>25</v>
      </c>
      <c r="E216">
        <f>'NHL2025-26Results'!C212</f>
        <v>3</v>
      </c>
      <c r="F216" t="s">
        <v>15</v>
      </c>
      <c r="G216">
        <f>'NHL2025-26Results'!E212</f>
        <v>0</v>
      </c>
      <c r="H216">
        <f>Table3[[#This Row],[G_1]]-Table3[[#This Row],[G]]</f>
        <v>-3</v>
      </c>
      <c r="I216">
        <f>HomeEdge+VLOOKUP(Table3[[#This Row],[Home]],$A$6:$B$38,2,FALSE)-VLOOKUP(Table3[[#This Row],[Visitor]],$A$6:$B$38,2,FALSE)</f>
        <v>-0.83940637043552568</v>
      </c>
      <c r="J216">
        <f>(Table3[[#This Row],[HomeMargin]]-Table3[[#This Row],[HomeForecast]])^2</f>
        <v>4.6681648321145888</v>
      </c>
    </row>
    <row r="217" spans="4:10" x14ac:dyDescent="0.2">
      <c r="D217" t="s">
        <v>26</v>
      </c>
      <c r="E217">
        <f>'NHL2025-26Results'!C213</f>
        <v>0</v>
      </c>
      <c r="F217" t="s">
        <v>20</v>
      </c>
      <c r="G217">
        <f>'NHL2025-26Results'!E213</f>
        <v>1</v>
      </c>
      <c r="H217">
        <f>Table3[[#This Row],[G_1]]-Table3[[#This Row],[G]]</f>
        <v>1</v>
      </c>
      <c r="I217">
        <f>HomeEdge+VLOOKUP(Table3[[#This Row],[Home]],$A$6:$B$38,2,FALSE)-VLOOKUP(Table3[[#This Row],[Visitor]],$A$6:$B$38,2,FALSE)</f>
        <v>0.29778013677875254</v>
      </c>
      <c r="J217">
        <f>(Table3[[#This Row],[HomeMargin]]-Table3[[#This Row],[HomeForecast]])^2</f>
        <v>0.4931127363024676</v>
      </c>
    </row>
    <row r="218" spans="4:10" x14ac:dyDescent="0.2">
      <c r="D218" t="s">
        <v>28</v>
      </c>
      <c r="E218">
        <f>'NHL2025-26Results'!C214</f>
        <v>1</v>
      </c>
      <c r="F218" t="s">
        <v>16</v>
      </c>
      <c r="G218">
        <f>'NHL2025-26Results'!E214</f>
        <v>5</v>
      </c>
      <c r="H218">
        <f>Table3[[#This Row],[G_1]]-Table3[[#This Row],[G]]</f>
        <v>4</v>
      </c>
      <c r="I218">
        <f>HomeEdge+VLOOKUP(Table3[[#This Row],[Home]],$A$6:$B$38,2,FALSE)-VLOOKUP(Table3[[#This Row],[Visitor]],$A$6:$B$38,2,FALSE)</f>
        <v>-0.47914043410321372</v>
      </c>
      <c r="J218">
        <f>(Table3[[#This Row],[HomeMargin]]-Table3[[#This Row],[HomeForecast]])^2</f>
        <v>20.062699028418329</v>
      </c>
    </row>
    <row r="219" spans="4:10" x14ac:dyDescent="0.2">
      <c r="D219" t="s">
        <v>33</v>
      </c>
      <c r="E219">
        <f>'NHL2025-26Results'!C215</f>
        <v>6</v>
      </c>
      <c r="F219" t="s">
        <v>32</v>
      </c>
      <c r="G219">
        <f>'NHL2025-26Results'!E215</f>
        <v>1</v>
      </c>
      <c r="H219">
        <f>Table3[[#This Row],[G_1]]-Table3[[#This Row],[G]]</f>
        <v>-5</v>
      </c>
      <c r="I219">
        <f>HomeEdge+VLOOKUP(Table3[[#This Row],[Home]],$A$6:$B$38,2,FALSE)-VLOOKUP(Table3[[#This Row],[Visitor]],$A$6:$B$38,2,FALSE)</f>
        <v>0.2996056563672348</v>
      </c>
      <c r="J219">
        <f>(Table3[[#This Row],[HomeMargin]]-Table3[[#This Row],[HomeForecast]])^2</f>
        <v>28.085820112999592</v>
      </c>
    </row>
    <row r="220" spans="4:10" x14ac:dyDescent="0.2">
      <c r="D220" t="s">
        <v>55</v>
      </c>
      <c r="E220">
        <f>'NHL2025-26Results'!C216</f>
        <v>3</v>
      </c>
      <c r="F220" t="s">
        <v>19</v>
      </c>
      <c r="G220">
        <f>'NHL2025-26Results'!E216</f>
        <v>5</v>
      </c>
      <c r="H220">
        <f>Table3[[#This Row],[G_1]]-Table3[[#This Row],[G]]</f>
        <v>2</v>
      </c>
      <c r="I220">
        <f>HomeEdge+VLOOKUP(Table3[[#This Row],[Home]],$A$6:$B$38,2,FALSE)-VLOOKUP(Table3[[#This Row],[Visitor]],$A$6:$B$38,2,FALSE)</f>
        <v>-0.39676830830392895</v>
      </c>
      <c r="J220">
        <f>(Table3[[#This Row],[HomeMargin]]-Table3[[#This Row],[HomeForecast]])^2</f>
        <v>5.7444983236900766</v>
      </c>
    </row>
    <row r="221" spans="4:10" x14ac:dyDescent="0.2">
      <c r="D221" t="s">
        <v>10</v>
      </c>
      <c r="E221">
        <f>'NHL2025-26Results'!C217</f>
        <v>5</v>
      </c>
      <c r="F221" t="s">
        <v>38</v>
      </c>
      <c r="G221">
        <f>'NHL2025-26Results'!E217</f>
        <v>2</v>
      </c>
      <c r="H221">
        <f>Table3[[#This Row],[G_1]]-Table3[[#This Row],[G]]</f>
        <v>-3</v>
      </c>
      <c r="I221">
        <f>HomeEdge+VLOOKUP(Table3[[#This Row],[Home]],$A$6:$B$38,2,FALSE)-VLOOKUP(Table3[[#This Row],[Visitor]],$A$6:$B$38,2,FALSE)</f>
        <v>-0.33581553571551703</v>
      </c>
      <c r="J221">
        <f>(Table3[[#This Row],[HomeMargin]]-Table3[[#This Row],[HomeForecast]])^2</f>
        <v>7.0978788597347977</v>
      </c>
    </row>
    <row r="222" spans="4:10" x14ac:dyDescent="0.2">
      <c r="D222" t="s">
        <v>35</v>
      </c>
      <c r="E222">
        <f>'NHL2025-26Results'!C218</f>
        <v>1</v>
      </c>
      <c r="F222" t="s">
        <v>22</v>
      </c>
      <c r="G222">
        <f>'NHL2025-26Results'!E218</f>
        <v>6</v>
      </c>
      <c r="H222">
        <f>Table3[[#This Row],[G_1]]-Table3[[#This Row],[G]]</f>
        <v>5</v>
      </c>
      <c r="I222">
        <f>HomeEdge+VLOOKUP(Table3[[#This Row],[Home]],$A$6:$B$38,2,FALSE)-VLOOKUP(Table3[[#This Row],[Visitor]],$A$6:$B$38,2,FALSE)</f>
        <v>1.3226883272798007</v>
      </c>
      <c r="J222">
        <f>(Table3[[#This Row],[HomeMargin]]-Table3[[#This Row],[HomeForecast]])^2</f>
        <v>13.522621138324229</v>
      </c>
    </row>
    <row r="223" spans="4:10" x14ac:dyDescent="0.2">
      <c r="D223" t="s">
        <v>36</v>
      </c>
      <c r="E223">
        <f>'NHL2025-26Results'!C219</f>
        <v>2</v>
      </c>
      <c r="F223" t="s">
        <v>21</v>
      </c>
      <c r="G223">
        <f>'NHL2025-26Results'!E219</f>
        <v>3</v>
      </c>
      <c r="H223">
        <f>Table3[[#This Row],[G_1]]-Table3[[#This Row],[G]]</f>
        <v>1</v>
      </c>
      <c r="I223">
        <f>HomeEdge+VLOOKUP(Table3[[#This Row],[Home]],$A$6:$B$38,2,FALSE)-VLOOKUP(Table3[[#This Row],[Visitor]],$A$6:$B$38,2,FALSE)</f>
        <v>0.21718385542316479</v>
      </c>
      <c r="J223">
        <f>(Table3[[#This Row],[HomeMargin]]-Table3[[#This Row],[HomeForecast]])^2</f>
        <v>0.61280111621014066</v>
      </c>
    </row>
    <row r="224" spans="4:10" x14ac:dyDescent="0.2">
      <c r="D224" t="s">
        <v>35</v>
      </c>
      <c r="E224">
        <f>'NHL2025-26Results'!C220</f>
        <v>3</v>
      </c>
      <c r="F224" t="s">
        <v>23</v>
      </c>
      <c r="G224">
        <f>'NHL2025-26Results'!E220</f>
        <v>0</v>
      </c>
      <c r="H224">
        <f>Table3[[#This Row],[G_1]]-Table3[[#This Row],[G]]</f>
        <v>-3</v>
      </c>
      <c r="I224">
        <f>HomeEdge+VLOOKUP(Table3[[#This Row],[Home]],$A$6:$B$38,2,FALSE)-VLOOKUP(Table3[[#This Row],[Visitor]],$A$6:$B$38,2,FALSE)</f>
        <v>1.4506186557223575</v>
      </c>
      <c r="J224">
        <f>(Table3[[#This Row],[HomeMargin]]-Table3[[#This Row],[HomeForecast]])^2</f>
        <v>19.808006418663886</v>
      </c>
    </row>
    <row r="225" spans="4:10" x14ac:dyDescent="0.2">
      <c r="D225" t="s">
        <v>34</v>
      </c>
      <c r="E225">
        <f>'NHL2025-26Results'!C221</f>
        <v>3</v>
      </c>
      <c r="F225" t="s">
        <v>25</v>
      </c>
      <c r="G225">
        <f>'NHL2025-26Results'!E221</f>
        <v>4</v>
      </c>
      <c r="H225">
        <f>Table3[[#This Row],[G_1]]-Table3[[#This Row],[G]]</f>
        <v>1</v>
      </c>
      <c r="I225">
        <f>HomeEdge+VLOOKUP(Table3[[#This Row],[Home]],$A$6:$B$38,2,FALSE)-VLOOKUP(Table3[[#This Row],[Visitor]],$A$6:$B$38,2,FALSE)</f>
        <v>0.30161590355087464</v>
      </c>
      <c r="J225">
        <f>(Table3[[#This Row],[HomeMargin]]-Table3[[#This Row],[HomeForecast]])^2</f>
        <v>0.48774034617306122</v>
      </c>
    </row>
    <row r="226" spans="4:10" x14ac:dyDescent="0.2">
      <c r="D226" t="s">
        <v>31</v>
      </c>
      <c r="E226">
        <f>'NHL2025-26Results'!C222</f>
        <v>7</v>
      </c>
      <c r="F226" t="s">
        <v>39</v>
      </c>
      <c r="G226">
        <f>'NHL2025-26Results'!E222</f>
        <v>5</v>
      </c>
      <c r="H226">
        <f>Table3[[#This Row],[G_1]]-Table3[[#This Row],[G]]</f>
        <v>-2</v>
      </c>
      <c r="I226">
        <f>HomeEdge+VLOOKUP(Table3[[#This Row],[Home]],$A$6:$B$38,2,FALSE)-VLOOKUP(Table3[[#This Row],[Visitor]],$A$6:$B$38,2,FALSE)</f>
        <v>0.8102931248063604</v>
      </c>
      <c r="J226">
        <f>(Table3[[#This Row],[HomeMargin]]-Table3[[#This Row],[HomeForecast]])^2</f>
        <v>7.8977474473338978</v>
      </c>
    </row>
    <row r="227" spans="4:10" x14ac:dyDescent="0.2">
      <c r="D227" t="s">
        <v>11</v>
      </c>
      <c r="E227">
        <f>'NHL2025-26Results'!C223</f>
        <v>5</v>
      </c>
      <c r="F227" t="s">
        <v>13</v>
      </c>
      <c r="G227">
        <f>'NHL2025-26Results'!E223</f>
        <v>2</v>
      </c>
      <c r="H227">
        <f>Table3[[#This Row],[G_1]]-Table3[[#This Row],[G]]</f>
        <v>-3</v>
      </c>
      <c r="I227">
        <f>HomeEdge+VLOOKUP(Table3[[#This Row],[Home]],$A$6:$B$38,2,FALSE)-VLOOKUP(Table3[[#This Row],[Visitor]],$A$6:$B$38,2,FALSE)</f>
        <v>9.5862218191678283E-2</v>
      </c>
      <c r="J227">
        <f>(Table3[[#This Row],[HomeMargin]]-Table3[[#This Row],[HomeForecast]])^2</f>
        <v>9.5843628740266986</v>
      </c>
    </row>
    <row r="228" spans="4:10" x14ac:dyDescent="0.2">
      <c r="D228" t="s">
        <v>18</v>
      </c>
      <c r="E228">
        <f>'NHL2025-26Results'!C224</f>
        <v>3</v>
      </c>
      <c r="F228" t="s">
        <v>24</v>
      </c>
      <c r="G228">
        <f>'NHL2025-26Results'!E224</f>
        <v>4</v>
      </c>
      <c r="H228">
        <f>Table3[[#This Row],[G_1]]-Table3[[#This Row],[G]]</f>
        <v>1</v>
      </c>
      <c r="I228">
        <f>HomeEdge+VLOOKUP(Table3[[#This Row],[Home]],$A$6:$B$38,2,FALSE)-VLOOKUP(Table3[[#This Row],[Visitor]],$A$6:$B$38,2,FALSE)</f>
        <v>-0.52922637275031437</v>
      </c>
      <c r="J228">
        <f>(Table3[[#This Row],[HomeMargin]]-Table3[[#This Row],[HomeForecast]])^2</f>
        <v>2.3385332991150833</v>
      </c>
    </row>
    <row r="229" spans="4:10" x14ac:dyDescent="0.2">
      <c r="D229" t="s">
        <v>27</v>
      </c>
      <c r="E229">
        <f>'NHL2025-26Results'!C225</f>
        <v>3</v>
      </c>
      <c r="F229" t="s">
        <v>29</v>
      </c>
      <c r="G229">
        <f>'NHL2025-26Results'!E225</f>
        <v>1</v>
      </c>
      <c r="H229">
        <f>Table3[[#This Row],[G_1]]-Table3[[#This Row],[G]]</f>
        <v>-2</v>
      </c>
      <c r="I229">
        <f>HomeEdge+VLOOKUP(Table3[[#This Row],[Home]],$A$6:$B$38,2,FALSE)-VLOOKUP(Table3[[#This Row],[Visitor]],$A$6:$B$38,2,FALSE)</f>
        <v>-0.13997848610470642</v>
      </c>
      <c r="J229">
        <f>(Table3[[#This Row],[HomeMargin]]-Table3[[#This Row],[HomeForecast]])^2</f>
        <v>3.4596800321533396</v>
      </c>
    </row>
    <row r="230" spans="4:10" x14ac:dyDescent="0.2">
      <c r="D230" t="s">
        <v>22</v>
      </c>
      <c r="E230">
        <f>'NHL2025-26Results'!C226</f>
        <v>3</v>
      </c>
      <c r="F230" t="s">
        <v>14</v>
      </c>
      <c r="G230">
        <f>'NHL2025-26Results'!E226</f>
        <v>5</v>
      </c>
      <c r="H230">
        <f>Table3[[#This Row],[G_1]]-Table3[[#This Row],[G]]</f>
        <v>2</v>
      </c>
      <c r="I230">
        <f>HomeEdge+VLOOKUP(Table3[[#This Row],[Home]],$A$6:$B$38,2,FALSE)-VLOOKUP(Table3[[#This Row],[Visitor]],$A$6:$B$38,2,FALSE)</f>
        <v>0.24941926716149926</v>
      </c>
      <c r="J230">
        <f>(Table3[[#This Row],[HomeMargin]]-Table3[[#This Row],[HomeForecast]])^2</f>
        <v>3.0645329021853827</v>
      </c>
    </row>
    <row r="231" spans="4:10" x14ac:dyDescent="0.2">
      <c r="D231" t="s">
        <v>37</v>
      </c>
      <c r="E231">
        <f>'NHL2025-26Results'!C227</f>
        <v>6</v>
      </c>
      <c r="F231" t="s">
        <v>20</v>
      </c>
      <c r="G231">
        <f>'NHL2025-26Results'!E227</f>
        <v>3</v>
      </c>
      <c r="H231">
        <f>Table3[[#This Row],[G_1]]-Table3[[#This Row],[G]]</f>
        <v>-3</v>
      </c>
      <c r="I231">
        <f>HomeEdge+VLOOKUP(Table3[[#This Row],[Home]],$A$6:$B$38,2,FALSE)-VLOOKUP(Table3[[#This Row],[Visitor]],$A$6:$B$38,2,FALSE)</f>
        <v>-0.75443949572807978</v>
      </c>
      <c r="J231">
        <f>(Table3[[#This Row],[HomeMargin]]-Table3[[#This Row],[HomeForecast]])^2</f>
        <v>5.0425419783459615</v>
      </c>
    </row>
    <row r="232" spans="4:10" x14ac:dyDescent="0.2">
      <c r="D232" t="s">
        <v>10</v>
      </c>
      <c r="E232">
        <f>'NHL2025-26Results'!C228</f>
        <v>4</v>
      </c>
      <c r="F232" t="s">
        <v>16</v>
      </c>
      <c r="G232">
        <f>'NHL2025-26Results'!E228</f>
        <v>0</v>
      </c>
      <c r="H232">
        <f>Table3[[#This Row],[G_1]]-Table3[[#This Row],[G]]</f>
        <v>-4</v>
      </c>
      <c r="I232">
        <f>HomeEdge+VLOOKUP(Table3[[#This Row],[Home]],$A$6:$B$38,2,FALSE)-VLOOKUP(Table3[[#This Row],[Visitor]],$A$6:$B$38,2,FALSE)</f>
        <v>0.16587554852143205</v>
      </c>
      <c r="J232">
        <f>(Table3[[#This Row],[HomeMargin]]-Table3[[#This Row],[HomeForecast]])^2</f>
        <v>17.354519085768747</v>
      </c>
    </row>
    <row r="233" spans="4:10" x14ac:dyDescent="0.2">
      <c r="D233" t="s">
        <v>15</v>
      </c>
      <c r="E233">
        <f>'NHL2025-26Results'!C229</f>
        <v>4</v>
      </c>
      <c r="F233" t="s">
        <v>26</v>
      </c>
      <c r="G233">
        <f>'NHL2025-26Results'!E229</f>
        <v>1</v>
      </c>
      <c r="H233">
        <f>Table3[[#This Row],[G_1]]-Table3[[#This Row],[G]]</f>
        <v>-3</v>
      </c>
      <c r="I233">
        <f>HomeEdge+VLOOKUP(Table3[[#This Row],[Home]],$A$6:$B$38,2,FALSE)-VLOOKUP(Table3[[#This Row],[Visitor]],$A$6:$B$38,2,FALSE)</f>
        <v>0.53498835539445355</v>
      </c>
      <c r="J233">
        <f>(Table3[[#This Row],[HomeMargin]]-Table3[[#This Row],[HomeForecast]])^2</f>
        <v>12.496142672774385</v>
      </c>
    </row>
    <row r="234" spans="4:10" x14ac:dyDescent="0.2">
      <c r="D234" t="s">
        <v>34</v>
      </c>
      <c r="E234">
        <f>'NHL2025-26Results'!C230</f>
        <v>5</v>
      </c>
      <c r="F234" t="s">
        <v>30</v>
      </c>
      <c r="G234">
        <f>'NHL2025-26Results'!E230</f>
        <v>2</v>
      </c>
      <c r="H234">
        <f>Table3[[#This Row],[G_1]]-Table3[[#This Row],[G]]</f>
        <v>-3</v>
      </c>
      <c r="I234">
        <f>HomeEdge+VLOOKUP(Table3[[#This Row],[Home]],$A$6:$B$38,2,FALSE)-VLOOKUP(Table3[[#This Row],[Visitor]],$A$6:$B$38,2,FALSE)</f>
        <v>-0.117182923514439</v>
      </c>
      <c r="J234">
        <f>(Table3[[#This Row],[HomeMargin]]-Table3[[#This Row],[HomeForecast]])^2</f>
        <v>8.3106342964767581</v>
      </c>
    </row>
    <row r="235" spans="4:10" x14ac:dyDescent="0.2">
      <c r="D235" t="s">
        <v>40</v>
      </c>
      <c r="E235">
        <f>'NHL2025-26Results'!C231</f>
        <v>1</v>
      </c>
      <c r="F235" t="s">
        <v>33</v>
      </c>
      <c r="G235">
        <f>'NHL2025-26Results'!E231</f>
        <v>2</v>
      </c>
      <c r="H235">
        <f>Table3[[#This Row],[G_1]]-Table3[[#This Row],[G]]</f>
        <v>1</v>
      </c>
      <c r="I235">
        <f>HomeEdge+VLOOKUP(Table3[[#This Row],[Home]],$A$6:$B$38,2,FALSE)-VLOOKUP(Table3[[#This Row],[Visitor]],$A$6:$B$38,2,FALSE)</f>
        <v>6.5692633357983921E-2</v>
      </c>
      <c r="J235">
        <f>(Table3[[#This Row],[HomeMargin]]-Table3[[#This Row],[HomeForecast]])^2</f>
        <v>0.87293025536153868</v>
      </c>
    </row>
    <row r="236" spans="4:10" x14ac:dyDescent="0.2">
      <c r="D236" t="s">
        <v>23</v>
      </c>
      <c r="E236">
        <f>'NHL2025-26Results'!C232</f>
        <v>3</v>
      </c>
      <c r="F236" t="s">
        <v>25</v>
      </c>
      <c r="G236">
        <f>'NHL2025-26Results'!E232</f>
        <v>6</v>
      </c>
      <c r="H236">
        <f>Table3[[#This Row],[G_1]]-Table3[[#This Row],[G]]</f>
        <v>3</v>
      </c>
      <c r="I236">
        <f>HomeEdge+VLOOKUP(Table3[[#This Row],[Home]],$A$6:$B$38,2,FALSE)-VLOOKUP(Table3[[#This Row],[Visitor]],$A$6:$B$38,2,FALSE)</f>
        <v>0.35394679068849794</v>
      </c>
      <c r="J236">
        <f>(Table3[[#This Row],[HomeMargin]]-Table3[[#This Row],[HomeForecast]])^2</f>
        <v>7.0015975865077005</v>
      </c>
    </row>
    <row r="237" spans="4:10" x14ac:dyDescent="0.2">
      <c r="D237" t="s">
        <v>12</v>
      </c>
      <c r="E237">
        <f>'NHL2025-26Results'!C233</f>
        <v>9</v>
      </c>
      <c r="F237" t="s">
        <v>17</v>
      </c>
      <c r="G237">
        <f>'NHL2025-26Results'!E233</f>
        <v>1</v>
      </c>
      <c r="H237">
        <f>Table3[[#This Row],[G_1]]-Table3[[#This Row],[G]]</f>
        <v>-8</v>
      </c>
      <c r="I237">
        <f>HomeEdge+VLOOKUP(Table3[[#This Row],[Home]],$A$6:$B$38,2,FALSE)-VLOOKUP(Table3[[#This Row],[Visitor]],$A$6:$B$38,2,FALSE)</f>
        <v>-1.2336857972030379</v>
      </c>
      <c r="J237">
        <f>(Table3[[#This Row],[HomeMargin]]-Table3[[#This Row],[HomeForecast]])^2</f>
        <v>45.783007890971888</v>
      </c>
    </row>
    <row r="238" spans="4:10" x14ac:dyDescent="0.2">
      <c r="D238" t="s">
        <v>55</v>
      </c>
      <c r="E238">
        <f>'NHL2025-26Results'!C234</f>
        <v>2</v>
      </c>
      <c r="F238" t="s">
        <v>18</v>
      </c>
      <c r="G238">
        <f>'NHL2025-26Results'!E234</f>
        <v>6</v>
      </c>
      <c r="H238">
        <f>Table3[[#This Row],[G_1]]-Table3[[#This Row],[G]]</f>
        <v>4</v>
      </c>
      <c r="I238">
        <f>HomeEdge+VLOOKUP(Table3[[#This Row],[Home]],$A$6:$B$38,2,FALSE)-VLOOKUP(Table3[[#This Row],[Visitor]],$A$6:$B$38,2,FALSE)</f>
        <v>-4.0762416783173147E-2</v>
      </c>
      <c r="J238">
        <f>(Table3[[#This Row],[HomeMargin]]-Table3[[#This Row],[HomeForecast]])^2</f>
        <v>16.327760908887392</v>
      </c>
    </row>
    <row r="239" spans="4:10" x14ac:dyDescent="0.2">
      <c r="D239" t="s">
        <v>14</v>
      </c>
      <c r="E239">
        <f>'NHL2025-26Results'!C235</f>
        <v>1</v>
      </c>
      <c r="F239" t="s">
        <v>24</v>
      </c>
      <c r="G239">
        <f>'NHL2025-26Results'!E235</f>
        <v>2</v>
      </c>
      <c r="H239">
        <f>Table3[[#This Row],[G_1]]-Table3[[#This Row],[G]]</f>
        <v>1</v>
      </c>
      <c r="I239">
        <f>HomeEdge+VLOOKUP(Table3[[#This Row],[Home]],$A$6:$B$38,2,FALSE)-VLOOKUP(Table3[[#This Row],[Visitor]],$A$6:$B$38,2,FALSE)</f>
        <v>-0.61553739902986093</v>
      </c>
      <c r="J239">
        <f>(Table3[[#This Row],[HomeMargin]]-Table3[[#This Row],[HomeForecast]])^2</f>
        <v>2.6099610876641681</v>
      </c>
    </row>
    <row r="240" spans="4:10" x14ac:dyDescent="0.2">
      <c r="D240" t="s">
        <v>39</v>
      </c>
      <c r="E240">
        <f>'NHL2025-26Results'!C236</f>
        <v>5</v>
      </c>
      <c r="F240" t="s">
        <v>29</v>
      </c>
      <c r="G240">
        <f>'NHL2025-26Results'!E236</f>
        <v>4</v>
      </c>
      <c r="H240">
        <f>Table3[[#This Row],[G_1]]-Table3[[#This Row],[G]]</f>
        <v>-1</v>
      </c>
      <c r="I240">
        <f>HomeEdge+VLOOKUP(Table3[[#This Row],[Home]],$A$6:$B$38,2,FALSE)-VLOOKUP(Table3[[#This Row],[Visitor]],$A$6:$B$38,2,FALSE)</f>
        <v>-0.90803813327771876</v>
      </c>
      <c r="J240">
        <f>(Table3[[#This Row],[HomeMargin]]-Table3[[#This Row],[HomeForecast]])^2</f>
        <v>8.4569849310466173E-3</v>
      </c>
    </row>
    <row r="241" spans="4:10" x14ac:dyDescent="0.2">
      <c r="D241" t="s">
        <v>30</v>
      </c>
      <c r="E241">
        <f>'NHL2025-26Results'!C237</f>
        <v>5</v>
      </c>
      <c r="F241" t="s">
        <v>15</v>
      </c>
      <c r="G241">
        <f>'NHL2025-26Results'!E237</f>
        <v>0</v>
      </c>
      <c r="H241">
        <f>Table3[[#This Row],[G_1]]-Table3[[#This Row],[G]]</f>
        <v>-5</v>
      </c>
      <c r="I241">
        <f>HomeEdge+VLOOKUP(Table3[[#This Row],[Home]],$A$6:$B$38,2,FALSE)-VLOOKUP(Table3[[#This Row],[Visitor]],$A$6:$B$38,2,FALSE)</f>
        <v>-0.42060754337021206</v>
      </c>
      <c r="J241">
        <f>(Table3[[#This Row],[HomeMargin]]-Table3[[#This Row],[HomeForecast]])^2</f>
        <v>20.970835271837803</v>
      </c>
    </row>
    <row r="242" spans="4:10" x14ac:dyDescent="0.2">
      <c r="D242" t="s">
        <v>36</v>
      </c>
      <c r="E242">
        <f>'NHL2025-26Results'!C238</f>
        <v>3</v>
      </c>
      <c r="F242" t="s">
        <v>27</v>
      </c>
      <c r="G242">
        <f>'NHL2025-26Results'!E238</f>
        <v>2</v>
      </c>
      <c r="H242">
        <f>Table3[[#This Row],[G_1]]-Table3[[#This Row],[G]]</f>
        <v>-1</v>
      </c>
      <c r="I242">
        <f>HomeEdge+VLOOKUP(Table3[[#This Row],[Home]],$A$6:$B$38,2,FALSE)-VLOOKUP(Table3[[#This Row],[Visitor]],$A$6:$B$38,2,FALSE)</f>
        <v>-0.23126487083799929</v>
      </c>
      <c r="J242">
        <f>(Table3[[#This Row],[HomeMargin]]-Table3[[#This Row],[HomeForecast]])^2</f>
        <v>0.59095369880771786</v>
      </c>
    </row>
    <row r="243" spans="4:10" x14ac:dyDescent="0.2">
      <c r="D243" t="s">
        <v>11</v>
      </c>
      <c r="E243">
        <f>'NHL2025-26Results'!C239</f>
        <v>1</v>
      </c>
      <c r="F243" t="s">
        <v>33</v>
      </c>
      <c r="G243">
        <f>'NHL2025-26Results'!E239</f>
        <v>3</v>
      </c>
      <c r="H243">
        <f>Table3[[#This Row],[G_1]]-Table3[[#This Row],[G]]</f>
        <v>2</v>
      </c>
      <c r="I243">
        <f>HomeEdge+VLOOKUP(Table3[[#This Row],[Home]],$A$6:$B$38,2,FALSE)-VLOOKUP(Table3[[#This Row],[Visitor]],$A$6:$B$38,2,FALSE)</f>
        <v>3.4193292142576936E-2</v>
      </c>
      <c r="J243">
        <f>(Table3[[#This Row],[HomeMargin]]-Table3[[#This Row],[HomeForecast]])^2</f>
        <v>3.8643960126572399</v>
      </c>
    </row>
    <row r="244" spans="4:10" x14ac:dyDescent="0.2">
      <c r="D244" t="s">
        <v>32</v>
      </c>
      <c r="E244">
        <f>'NHL2025-26Results'!C240</f>
        <v>4</v>
      </c>
      <c r="F244" t="s">
        <v>35</v>
      </c>
      <c r="G244">
        <f>'NHL2025-26Results'!E240</f>
        <v>3</v>
      </c>
      <c r="H244">
        <f>Table3[[#This Row],[G_1]]-Table3[[#This Row],[G]]</f>
        <v>-1</v>
      </c>
      <c r="I244">
        <f>HomeEdge+VLOOKUP(Table3[[#This Row],[Home]],$A$6:$B$38,2,FALSE)-VLOOKUP(Table3[[#This Row],[Visitor]],$A$6:$B$38,2,FALSE)</f>
        <v>-0.70088313311521455</v>
      </c>
      <c r="J244">
        <f>(Table3[[#This Row],[HomeMargin]]-Table3[[#This Row],[HomeForecast]])^2</f>
        <v>8.9470900054970451E-2</v>
      </c>
    </row>
    <row r="245" spans="4:10" x14ac:dyDescent="0.2">
      <c r="D245" t="s">
        <v>22</v>
      </c>
      <c r="E245">
        <f>'NHL2025-26Results'!C241</f>
        <v>2</v>
      </c>
      <c r="F245" t="s">
        <v>37</v>
      </c>
      <c r="G245">
        <f>'NHL2025-26Results'!E241</f>
        <v>3</v>
      </c>
      <c r="H245">
        <f>Table3[[#This Row],[G_1]]-Table3[[#This Row],[G]]</f>
        <v>1</v>
      </c>
      <c r="I245">
        <f>HomeEdge+VLOOKUP(Table3[[#This Row],[Home]],$A$6:$B$38,2,FALSE)-VLOOKUP(Table3[[#This Row],[Visitor]],$A$6:$B$38,2,FALSE)</f>
        <v>0.97046476497376666</v>
      </c>
      <c r="J245">
        <f>(Table3[[#This Row],[HomeMargin]]-Table3[[#This Row],[HomeForecast]])^2</f>
        <v>8.7233010805484084E-4</v>
      </c>
    </row>
    <row r="246" spans="4:10" x14ac:dyDescent="0.2">
      <c r="D246" t="s">
        <v>21</v>
      </c>
      <c r="E246">
        <f>'NHL2025-26Results'!C242</f>
        <v>5</v>
      </c>
      <c r="F246" t="s">
        <v>19</v>
      </c>
      <c r="G246">
        <f>'NHL2025-26Results'!E242</f>
        <v>3</v>
      </c>
      <c r="H246">
        <f>Table3[[#This Row],[G_1]]-Table3[[#This Row],[G]]</f>
        <v>-2</v>
      </c>
      <c r="I246">
        <f>HomeEdge+VLOOKUP(Table3[[#This Row],[Home]],$A$6:$B$38,2,FALSE)-VLOOKUP(Table3[[#This Row],[Visitor]],$A$6:$B$38,2,FALSE)</f>
        <v>-0.21014296944472444</v>
      </c>
      <c r="J246">
        <f>(Table3[[#This Row],[HomeMargin]]-Table3[[#This Row],[HomeForecast]])^2</f>
        <v>3.2035881898281491</v>
      </c>
    </row>
    <row r="247" spans="4:10" x14ac:dyDescent="0.2">
      <c r="D247" t="s">
        <v>28</v>
      </c>
      <c r="E247">
        <f>'NHL2025-26Results'!C243</f>
        <v>3</v>
      </c>
      <c r="F247" t="s">
        <v>38</v>
      </c>
      <c r="G247">
        <f>'NHL2025-26Results'!E243</f>
        <v>4</v>
      </c>
      <c r="H247">
        <f>Table3[[#This Row],[G_1]]-Table3[[#This Row],[G]]</f>
        <v>1</v>
      </c>
      <c r="I247">
        <f>HomeEdge+VLOOKUP(Table3[[#This Row],[Home]],$A$6:$B$38,2,FALSE)-VLOOKUP(Table3[[#This Row],[Visitor]],$A$6:$B$38,2,FALSE)</f>
        <v>-0.9808315183401628</v>
      </c>
      <c r="J247">
        <f>(Table3[[#This Row],[HomeMargin]]-Table3[[#This Row],[HomeForecast]])^2</f>
        <v>3.9236935040497949</v>
      </c>
    </row>
    <row r="248" spans="4:10" x14ac:dyDescent="0.2">
      <c r="D248" t="s">
        <v>31</v>
      </c>
      <c r="E248">
        <f>'NHL2025-26Results'!C244</f>
        <v>4</v>
      </c>
      <c r="F248" t="s">
        <v>20</v>
      </c>
      <c r="G248">
        <f>'NHL2025-26Results'!E244</f>
        <v>3</v>
      </c>
      <c r="H248">
        <f>Table3[[#This Row],[G_1]]-Table3[[#This Row],[G]]</f>
        <v>-1</v>
      </c>
      <c r="I248">
        <f>HomeEdge+VLOOKUP(Table3[[#This Row],[Home]],$A$6:$B$38,2,FALSE)-VLOOKUP(Table3[[#This Row],[Visitor]],$A$6:$B$38,2,FALSE)</f>
        <v>0.43024818271122961</v>
      </c>
      <c r="J248">
        <f>(Table3[[#This Row],[HomeMargin]]-Table3[[#This Row],[HomeForecast]])^2</f>
        <v>2.045609864148775</v>
      </c>
    </row>
    <row r="249" spans="4:10" x14ac:dyDescent="0.2">
      <c r="D249" t="s">
        <v>40</v>
      </c>
      <c r="E249">
        <f>'NHL2025-26Results'!C245</f>
        <v>1</v>
      </c>
      <c r="F249" t="s">
        <v>31</v>
      </c>
      <c r="G249">
        <f>'NHL2025-26Results'!E245</f>
        <v>4</v>
      </c>
      <c r="H249">
        <f>Table3[[#This Row],[G_1]]-Table3[[#This Row],[G]]</f>
        <v>3</v>
      </c>
      <c r="I249">
        <f>HomeEdge+VLOOKUP(Table3[[#This Row],[Home]],$A$6:$B$38,2,FALSE)-VLOOKUP(Table3[[#This Row],[Visitor]],$A$6:$B$38,2,FALSE)</f>
        <v>0.25445262717816575</v>
      </c>
      <c r="J249">
        <f>(Table3[[#This Row],[HomeMargin]]-Table3[[#This Row],[HomeForecast]])^2</f>
        <v>7.5380303764088747</v>
      </c>
    </row>
    <row r="250" spans="4:10" x14ac:dyDescent="0.2">
      <c r="D250" t="s">
        <v>32</v>
      </c>
      <c r="E250">
        <f>'NHL2025-26Results'!C246</f>
        <v>1</v>
      </c>
      <c r="F250" t="s">
        <v>39</v>
      </c>
      <c r="G250">
        <f>'NHL2025-26Results'!E246</f>
        <v>2</v>
      </c>
      <c r="H250">
        <f>Table3[[#This Row],[G_1]]-Table3[[#This Row],[G]]</f>
        <v>1</v>
      </c>
      <c r="I250">
        <f>HomeEdge+VLOOKUP(Table3[[#This Row],[Home]],$A$6:$B$38,2,FALSE)-VLOOKUP(Table3[[#This Row],[Visitor]],$A$6:$B$38,2,FALSE)</f>
        <v>0.82905444807083151</v>
      </c>
      <c r="J250">
        <f>(Table3[[#This Row],[HomeMargin]]-Table3[[#This Row],[HomeForecast]])^2</f>
        <v>2.9222381724368043E-2</v>
      </c>
    </row>
    <row r="251" spans="4:10" x14ac:dyDescent="0.2">
      <c r="D251" t="s">
        <v>10</v>
      </c>
      <c r="E251">
        <f>'NHL2025-26Results'!C247</f>
        <v>5</v>
      </c>
      <c r="F251" t="s">
        <v>26</v>
      </c>
      <c r="G251">
        <f>'NHL2025-26Results'!E247</f>
        <v>1</v>
      </c>
      <c r="H251">
        <f>Table3[[#This Row],[G_1]]-Table3[[#This Row],[G]]</f>
        <v>-4</v>
      </c>
      <c r="I251">
        <f>HomeEdge+VLOOKUP(Table3[[#This Row],[Home]],$A$6:$B$38,2,FALSE)-VLOOKUP(Table3[[#This Row],[Visitor]],$A$6:$B$38,2,FALSE)</f>
        <v>0.7250499819891737</v>
      </c>
      <c r="J251">
        <f>(Table3[[#This Row],[HomeMargin]]-Table3[[#This Row],[HomeForecast]])^2</f>
        <v>22.326097332295891</v>
      </c>
    </row>
    <row r="252" spans="4:10" x14ac:dyDescent="0.2">
      <c r="D252" t="s">
        <v>16</v>
      </c>
      <c r="E252">
        <f>'NHL2025-26Results'!C248</f>
        <v>0</v>
      </c>
      <c r="F252" t="s">
        <v>34</v>
      </c>
      <c r="G252">
        <f>'NHL2025-26Results'!E248</f>
        <v>2</v>
      </c>
      <c r="H252">
        <f>Table3[[#This Row],[G_1]]-Table3[[#This Row],[G]]</f>
        <v>2</v>
      </c>
      <c r="I252">
        <f>HomeEdge+VLOOKUP(Table3[[#This Row],[Home]],$A$6:$B$38,2,FALSE)-VLOOKUP(Table3[[#This Row],[Visitor]],$A$6:$B$38,2,FALSE)</f>
        <v>1.0804044882040356</v>
      </c>
      <c r="J252">
        <f>(Table3[[#This Row],[HomeMargin]]-Table3[[#This Row],[HomeForecast]])^2</f>
        <v>0.84565590531528179</v>
      </c>
    </row>
    <row r="253" spans="4:10" x14ac:dyDescent="0.2">
      <c r="D253" t="s">
        <v>55</v>
      </c>
      <c r="E253">
        <f>'NHL2025-26Results'!C249</f>
        <v>2</v>
      </c>
      <c r="F253" t="s">
        <v>36</v>
      </c>
      <c r="G253">
        <f>'NHL2025-26Results'!E249</f>
        <v>4</v>
      </c>
      <c r="H253">
        <f>Table3[[#This Row],[G_1]]-Table3[[#This Row],[G]]</f>
        <v>2</v>
      </c>
      <c r="I253">
        <f>HomeEdge+VLOOKUP(Table3[[#This Row],[Home]],$A$6:$B$38,2,FALSE)-VLOOKUP(Table3[[#This Row],[Visitor]],$A$6:$B$38,2,FALSE)</f>
        <v>-0.14459522265932107</v>
      </c>
      <c r="J253">
        <f>(Table3[[#This Row],[HomeMargin]]-Table3[[#This Row],[HomeForecast]])^2</f>
        <v>4.5992886690531822</v>
      </c>
    </row>
    <row r="254" spans="4:10" x14ac:dyDescent="0.2">
      <c r="D254" t="s">
        <v>13</v>
      </c>
      <c r="E254">
        <f>'NHL2025-26Results'!C250</f>
        <v>3</v>
      </c>
      <c r="F254" t="s">
        <v>14</v>
      </c>
      <c r="G254">
        <f>'NHL2025-26Results'!E250</f>
        <v>2</v>
      </c>
      <c r="H254">
        <f>Table3[[#This Row],[G_1]]-Table3[[#This Row],[G]]</f>
        <v>-1</v>
      </c>
      <c r="I254">
        <f>HomeEdge+VLOOKUP(Table3[[#This Row],[Home]],$A$6:$B$38,2,FALSE)-VLOOKUP(Table3[[#This Row],[Visitor]],$A$6:$B$38,2,FALSE)</f>
        <v>0.72034023420964644</v>
      </c>
      <c r="J254">
        <f>(Table3[[#This Row],[HomeMargin]]-Table3[[#This Row],[HomeForecast]])^2</f>
        <v>2.9595705214405017</v>
      </c>
    </row>
    <row r="255" spans="4:10" x14ac:dyDescent="0.2">
      <c r="D255" t="s">
        <v>25</v>
      </c>
      <c r="E255">
        <f>'NHL2025-26Results'!C251</f>
        <v>5</v>
      </c>
      <c r="F255" t="s">
        <v>19</v>
      </c>
      <c r="G255">
        <f>'NHL2025-26Results'!E251</f>
        <v>4</v>
      </c>
      <c r="H255">
        <f>Table3[[#This Row],[G_1]]-Table3[[#This Row],[G]]</f>
        <v>-1</v>
      </c>
      <c r="I255">
        <f>HomeEdge+VLOOKUP(Table3[[#This Row],[Home]],$A$6:$B$38,2,FALSE)-VLOOKUP(Table3[[#This Row],[Visitor]],$A$6:$B$38,2,FALSE)</f>
        <v>-0.54516778395833376</v>
      </c>
      <c r="J255">
        <f>(Table3[[#This Row],[HomeMargin]]-Table3[[#This Row],[HomeForecast]])^2</f>
        <v>0.20687234474937294</v>
      </c>
    </row>
    <row r="256" spans="4:10" x14ac:dyDescent="0.2">
      <c r="D256" t="s">
        <v>12</v>
      </c>
      <c r="E256">
        <f>'NHL2025-26Results'!C252</f>
        <v>5</v>
      </c>
      <c r="F256" t="s">
        <v>38</v>
      </c>
      <c r="G256">
        <f>'NHL2025-26Results'!E252</f>
        <v>4</v>
      </c>
      <c r="H256">
        <f>Table3[[#This Row],[G_1]]-Table3[[#This Row],[G]]</f>
        <v>-1</v>
      </c>
      <c r="I256">
        <f>HomeEdge+VLOOKUP(Table3[[#This Row],[Home]],$A$6:$B$38,2,FALSE)-VLOOKUP(Table3[[#This Row],[Visitor]],$A$6:$B$38,2,FALSE)</f>
        <v>-2.2610631505739134</v>
      </c>
      <c r="J256">
        <f>(Table3[[#This Row],[HomeMargin]]-Table3[[#This Row],[HomeForecast]])^2</f>
        <v>1.5902802697354046</v>
      </c>
    </row>
    <row r="257" spans="4:10" x14ac:dyDescent="0.2">
      <c r="D257" t="s">
        <v>28</v>
      </c>
      <c r="E257">
        <f>'NHL2025-26Results'!C253</f>
        <v>4</v>
      </c>
      <c r="F257" t="s">
        <v>17</v>
      </c>
      <c r="G257">
        <f>'NHL2025-26Results'!E253</f>
        <v>5</v>
      </c>
      <c r="H257">
        <f>Table3[[#This Row],[G_1]]-Table3[[#This Row],[G]]</f>
        <v>1</v>
      </c>
      <c r="I257">
        <f>HomeEdge+VLOOKUP(Table3[[#This Row],[Home]],$A$6:$B$38,2,FALSE)-VLOOKUP(Table3[[#This Row],[Visitor]],$A$6:$B$38,2,FALSE)</f>
        <v>4.6545835030712718E-2</v>
      </c>
      <c r="J257">
        <f>(Table3[[#This Row],[HomeMargin]]-Table3[[#This Row],[HomeForecast]])^2</f>
        <v>0.90907484469728084</v>
      </c>
    </row>
    <row r="258" spans="4:10" x14ac:dyDescent="0.2">
      <c r="D258" t="s">
        <v>30</v>
      </c>
      <c r="E258">
        <f>'NHL2025-26Results'!C254</f>
        <v>3</v>
      </c>
      <c r="F258" t="s">
        <v>24</v>
      </c>
      <c r="G258">
        <f>'NHL2025-26Results'!E254</f>
        <v>2</v>
      </c>
      <c r="H258">
        <f>Table3[[#This Row],[G_1]]-Table3[[#This Row],[G]]</f>
        <v>-1</v>
      </c>
      <c r="I258">
        <f>HomeEdge+VLOOKUP(Table3[[#This Row],[Home]],$A$6:$B$38,2,FALSE)-VLOOKUP(Table3[[#This Row],[Visitor]],$A$6:$B$38,2,FALSE)</f>
        <v>-0.42919642393410279</v>
      </c>
      <c r="J258">
        <f>(Table3[[#This Row],[HomeMargin]]-Table3[[#This Row],[HomeForecast]])^2</f>
        <v>0.32581672244961646</v>
      </c>
    </row>
    <row r="259" spans="4:10" x14ac:dyDescent="0.2">
      <c r="D259" t="s">
        <v>29</v>
      </c>
      <c r="E259">
        <f>'NHL2025-26Results'!C255</f>
        <v>3</v>
      </c>
      <c r="F259" t="s">
        <v>15</v>
      </c>
      <c r="G259">
        <f>'NHL2025-26Results'!E255</f>
        <v>6</v>
      </c>
      <c r="H259">
        <f>Table3[[#This Row],[G_1]]-Table3[[#This Row],[G]]</f>
        <v>3</v>
      </c>
      <c r="I259">
        <f>HomeEdge+VLOOKUP(Table3[[#This Row],[Home]],$A$6:$B$38,2,FALSE)-VLOOKUP(Table3[[#This Row],[Visitor]],$A$6:$B$38,2,FALSE)</f>
        <v>0.2136526422554782</v>
      </c>
      <c r="J259">
        <f>(Table3[[#This Row],[HomeMargin]]-Table3[[#This Row],[HomeForecast]])^2</f>
        <v>7.7637315980098771</v>
      </c>
    </row>
    <row r="260" spans="4:10" x14ac:dyDescent="0.2">
      <c r="D260" t="s">
        <v>11</v>
      </c>
      <c r="E260">
        <f>'NHL2025-26Results'!C256</f>
        <v>3</v>
      </c>
      <c r="F260" t="s">
        <v>20</v>
      </c>
      <c r="G260">
        <f>'NHL2025-26Results'!E256</f>
        <v>2</v>
      </c>
      <c r="H260">
        <f>Table3[[#This Row],[G_1]]-Table3[[#This Row],[G]]</f>
        <v>-1</v>
      </c>
      <c r="I260">
        <f>HomeEdge+VLOOKUP(Table3[[#This Row],[Home]],$A$6:$B$38,2,FALSE)-VLOOKUP(Table3[[#This Row],[Visitor]],$A$6:$B$38,2,FALSE)</f>
        <v>0.52359448286246435</v>
      </c>
      <c r="J260">
        <f>(Table3[[#This Row],[HomeMargin]]-Table3[[#This Row],[HomeForecast]])^2</f>
        <v>2.32134014820894</v>
      </c>
    </row>
    <row r="261" spans="4:10" x14ac:dyDescent="0.2">
      <c r="D261" t="s">
        <v>19</v>
      </c>
      <c r="E261">
        <f>'NHL2025-26Results'!C257</f>
        <v>3</v>
      </c>
      <c r="F261" t="s">
        <v>21</v>
      </c>
      <c r="G261">
        <f>'NHL2025-26Results'!E257</f>
        <v>5</v>
      </c>
      <c r="H261">
        <f>Table3[[#This Row],[G_1]]-Table3[[#This Row],[G]]</f>
        <v>2</v>
      </c>
      <c r="I261">
        <f>HomeEdge+VLOOKUP(Table3[[#This Row],[Home]],$A$6:$B$38,2,FALSE)-VLOOKUP(Table3[[#This Row],[Visitor]],$A$6:$B$38,2,FALSE)</f>
        <v>0.46935694106777259</v>
      </c>
      <c r="J261">
        <f>(Table3[[#This Row],[HomeMargin]]-Table3[[#This Row],[HomeForecast]])^2</f>
        <v>2.3428681738574064</v>
      </c>
    </row>
    <row r="262" spans="4:10" x14ac:dyDescent="0.2">
      <c r="D262" t="s">
        <v>22</v>
      </c>
      <c r="E262">
        <f>'NHL2025-26Results'!C258</f>
        <v>4</v>
      </c>
      <c r="F262" t="s">
        <v>25</v>
      </c>
      <c r="G262">
        <f>'NHL2025-26Results'!E258</f>
        <v>1</v>
      </c>
      <c r="H262">
        <f>Table3[[#This Row],[G_1]]-Table3[[#This Row],[G]]</f>
        <v>-3</v>
      </c>
      <c r="I262">
        <f>HomeEdge+VLOOKUP(Table3[[#This Row],[Home]],$A$6:$B$38,2,FALSE)-VLOOKUP(Table3[[#This Row],[Visitor]],$A$6:$B$38,2,FALSE)</f>
        <v>0.48187711913105474</v>
      </c>
      <c r="J262">
        <f>(Table3[[#This Row],[HomeMargin]]-Table3[[#This Row],[HomeForecast]])^2</f>
        <v>12.123468272728372</v>
      </c>
    </row>
    <row r="263" spans="4:10" x14ac:dyDescent="0.2">
      <c r="D263" t="s">
        <v>31</v>
      </c>
      <c r="E263">
        <f>'NHL2025-26Results'!C259</f>
        <v>1</v>
      </c>
      <c r="F263" t="s">
        <v>12</v>
      </c>
      <c r="G263">
        <f>'NHL2025-26Results'!E259</f>
        <v>4</v>
      </c>
      <c r="H263">
        <f>Table3[[#This Row],[G_1]]-Table3[[#This Row],[G]]</f>
        <v>3</v>
      </c>
      <c r="I263">
        <f>HomeEdge+VLOOKUP(Table3[[#This Row],[Home]],$A$6:$B$38,2,FALSE)-VLOOKUP(Table3[[#This Row],[Visitor]],$A$6:$B$38,2,FALSE)</f>
        <v>1.5918796504247479</v>
      </c>
      <c r="J263">
        <f>(Table3[[#This Row],[HomeMargin]]-Table3[[#This Row],[HomeForecast]])^2</f>
        <v>1.9828029188879301</v>
      </c>
    </row>
    <row r="264" spans="4:10" x14ac:dyDescent="0.2">
      <c r="D264" t="s">
        <v>33</v>
      </c>
      <c r="E264">
        <f>'NHL2025-26Results'!C260</f>
        <v>2</v>
      </c>
      <c r="F264" t="s">
        <v>34</v>
      </c>
      <c r="G264">
        <f>'NHL2025-26Results'!E260</f>
        <v>1</v>
      </c>
      <c r="H264">
        <f>Table3[[#This Row],[G_1]]-Table3[[#This Row],[G]]</f>
        <v>-1</v>
      </c>
      <c r="I264">
        <f>HomeEdge+VLOOKUP(Table3[[#This Row],[Home]],$A$6:$B$38,2,FALSE)-VLOOKUP(Table3[[#This Row],[Visitor]],$A$6:$B$38,2,FALSE)</f>
        <v>0.84245809448895281</v>
      </c>
      <c r="J264">
        <f>(Table3[[#This Row],[HomeMargin]]-Table3[[#This Row],[HomeForecast]])^2</f>
        <v>3.394651829947863</v>
      </c>
    </row>
    <row r="265" spans="4:10" x14ac:dyDescent="0.2">
      <c r="D265" t="s">
        <v>13</v>
      </c>
      <c r="E265">
        <f>'NHL2025-26Results'!C261</f>
        <v>5</v>
      </c>
      <c r="F265" t="s">
        <v>18</v>
      </c>
      <c r="G265">
        <f>'NHL2025-26Results'!E261</f>
        <v>1</v>
      </c>
      <c r="H265">
        <f>Table3[[#This Row],[G_1]]-Table3[[#This Row],[G]]</f>
        <v>-4</v>
      </c>
      <c r="I265">
        <f>HomeEdge+VLOOKUP(Table3[[#This Row],[Home]],$A$6:$B$38,2,FALSE)-VLOOKUP(Table3[[#This Row],[Visitor]],$A$6:$B$38,2,FALSE)</f>
        <v>0.63402920793009987</v>
      </c>
      <c r="J265">
        <f>(Table3[[#This Row],[HomeMargin]]-Table3[[#This Row],[HomeForecast]])^2</f>
        <v>21.474226699949266</v>
      </c>
    </row>
    <row r="266" spans="4:10" x14ac:dyDescent="0.2">
      <c r="D266" t="s">
        <v>39</v>
      </c>
      <c r="E266">
        <f>'NHL2025-26Results'!C262</f>
        <v>3</v>
      </c>
      <c r="F266" t="s">
        <v>36</v>
      </c>
      <c r="G266">
        <f>'NHL2025-26Results'!E262</f>
        <v>2</v>
      </c>
      <c r="H266">
        <f>Table3[[#This Row],[G_1]]-Table3[[#This Row],[G]]</f>
        <v>-1</v>
      </c>
      <c r="I266">
        <f>HomeEdge+VLOOKUP(Table3[[#This Row],[Home]],$A$6:$B$38,2,FALSE)-VLOOKUP(Table3[[#This Row],[Visitor]],$A$6:$B$38,2,FALSE)</f>
        <v>-0.27758080471196478</v>
      </c>
      <c r="J266">
        <f>(Table3[[#This Row],[HomeMargin]]-Table3[[#This Row],[HomeForecast]])^2</f>
        <v>0.52188949372061233</v>
      </c>
    </row>
    <row r="267" spans="4:10" x14ac:dyDescent="0.2">
      <c r="D267" t="s">
        <v>28</v>
      </c>
      <c r="E267">
        <f>'NHL2025-26Results'!C263</f>
        <v>2</v>
      </c>
      <c r="F267" t="s">
        <v>32</v>
      </c>
      <c r="G267">
        <f>'NHL2025-26Results'!E263</f>
        <v>1</v>
      </c>
      <c r="H267">
        <f>Table3[[#This Row],[G_1]]-Table3[[#This Row],[G]]</f>
        <v>-1</v>
      </c>
      <c r="I267">
        <f>HomeEdge+VLOOKUP(Table3[[#This Row],[Home]],$A$6:$B$38,2,FALSE)-VLOOKUP(Table3[[#This Row],[Visitor]],$A$6:$B$38,2,FALSE)</f>
        <v>-7.1195369832420252E-2</v>
      </c>
      <c r="J267">
        <f>(Table3[[#This Row],[HomeMargin]]-Table3[[#This Row],[HomeForecast]])^2</f>
        <v>0.86267804102073464</v>
      </c>
    </row>
    <row r="268" spans="4:10" x14ac:dyDescent="0.2">
      <c r="D268" t="s">
        <v>16</v>
      </c>
      <c r="E268">
        <f>'NHL2025-26Results'!C264</f>
        <v>2</v>
      </c>
      <c r="F268" t="s">
        <v>35</v>
      </c>
      <c r="G268">
        <f>'NHL2025-26Results'!E264</f>
        <v>3</v>
      </c>
      <c r="H268">
        <f>Table3[[#This Row],[G_1]]-Table3[[#This Row],[G]]</f>
        <v>1</v>
      </c>
      <c r="I268">
        <f>HomeEdge+VLOOKUP(Table3[[#This Row],[Home]],$A$6:$B$38,2,FALSE)-VLOOKUP(Table3[[#This Row],[Visitor]],$A$6:$B$38,2,FALSE)</f>
        <v>-0.2929380688444212</v>
      </c>
      <c r="J268">
        <f>(Table3[[#This Row],[HomeMargin]]-Table3[[#This Row],[HomeForecast]])^2</f>
        <v>1.6716888498671412</v>
      </c>
    </row>
    <row r="269" spans="4:10" x14ac:dyDescent="0.2">
      <c r="D269" t="s">
        <v>40</v>
      </c>
      <c r="E269">
        <f>'NHL2025-26Results'!C265</f>
        <v>5</v>
      </c>
      <c r="F269" t="s">
        <v>38</v>
      </c>
      <c r="G269">
        <f>'NHL2025-26Results'!E265</f>
        <v>3</v>
      </c>
      <c r="H269">
        <f>Table3[[#This Row],[G_1]]-Table3[[#This Row],[G]]</f>
        <v>-2</v>
      </c>
      <c r="I269">
        <f>HomeEdge+VLOOKUP(Table3[[#This Row],[Home]],$A$6:$B$38,2,FALSE)-VLOOKUP(Table3[[#This Row],[Visitor]],$A$6:$B$38,2,FALSE)</f>
        <v>-0.67394484459404791</v>
      </c>
      <c r="J269">
        <f>(Table3[[#This Row],[HomeMargin]]-Table3[[#This Row],[HomeForecast]])^2</f>
        <v>1.7584222751787038</v>
      </c>
    </row>
    <row r="270" spans="4:10" x14ac:dyDescent="0.2">
      <c r="D270" t="s">
        <v>24</v>
      </c>
      <c r="E270">
        <f>'NHL2025-26Results'!C266</f>
        <v>4</v>
      </c>
      <c r="F270" t="s">
        <v>10</v>
      </c>
      <c r="G270">
        <f>'NHL2025-26Results'!E266</f>
        <v>3</v>
      </c>
      <c r="H270">
        <f>Table3[[#This Row],[G_1]]-Table3[[#This Row],[G]]</f>
        <v>-1</v>
      </c>
      <c r="I270">
        <f>HomeEdge+VLOOKUP(Table3[[#This Row],[Home]],$A$6:$B$38,2,FALSE)-VLOOKUP(Table3[[#This Row],[Visitor]],$A$6:$B$38,2,FALSE)</f>
        <v>-5.1865760219305335E-2</v>
      </c>
      <c r="J270">
        <f>(Table3[[#This Row],[HomeMargin]]-Table3[[#This Row],[HomeForecast]])^2</f>
        <v>0.89895853664451586</v>
      </c>
    </row>
    <row r="271" spans="4:10" x14ac:dyDescent="0.2">
      <c r="D271" t="s">
        <v>17</v>
      </c>
      <c r="E271">
        <f>'NHL2025-26Results'!C267</f>
        <v>2</v>
      </c>
      <c r="F271" t="s">
        <v>27</v>
      </c>
      <c r="G271">
        <f>'NHL2025-26Results'!E267</f>
        <v>1</v>
      </c>
      <c r="H271">
        <f>Table3[[#This Row],[G_1]]-Table3[[#This Row],[G]]</f>
        <v>-1</v>
      </c>
      <c r="I271">
        <f>HomeEdge+VLOOKUP(Table3[[#This Row],[Home]],$A$6:$B$38,2,FALSE)-VLOOKUP(Table3[[#This Row],[Visitor]],$A$6:$B$38,2,FALSE)</f>
        <v>-5.6746403965313774E-2</v>
      </c>
      <c r="J271">
        <f>(Table3[[#This Row],[HomeMargin]]-Table3[[#This Row],[HomeForecast]])^2</f>
        <v>0.88972734643236695</v>
      </c>
    </row>
    <row r="272" spans="4:10" x14ac:dyDescent="0.2">
      <c r="D272" t="s">
        <v>15</v>
      </c>
      <c r="E272">
        <f>'NHL2025-26Results'!C268</f>
        <v>7</v>
      </c>
      <c r="F272" t="s">
        <v>37</v>
      </c>
      <c r="G272">
        <f>'NHL2025-26Results'!E268</f>
        <v>3</v>
      </c>
      <c r="H272">
        <f>Table3[[#This Row],[G_1]]-Table3[[#This Row],[G]]</f>
        <v>-4</v>
      </c>
      <c r="I272">
        <f>HomeEdge+VLOOKUP(Table3[[#This Row],[Home]],$A$6:$B$38,2,FALSE)-VLOOKUP(Table3[[#This Row],[Visitor]],$A$6:$B$38,2,FALSE)</f>
        <v>1.5872079879012859</v>
      </c>
      <c r="J272">
        <f>(Table3[[#This Row],[HomeMargin]]-Table3[[#This Row],[HomeForecast]])^2</f>
        <v>31.216893100067931</v>
      </c>
    </row>
    <row r="273" spans="4:10" x14ac:dyDescent="0.2">
      <c r="D273" t="s">
        <v>23</v>
      </c>
      <c r="E273">
        <f>'NHL2025-26Results'!C269</f>
        <v>2</v>
      </c>
      <c r="F273" t="s">
        <v>55</v>
      </c>
      <c r="G273">
        <f>'NHL2025-26Results'!E269</f>
        <v>5</v>
      </c>
      <c r="H273">
        <f>Table3[[#This Row],[G_1]]-Table3[[#This Row],[G]]</f>
        <v>3</v>
      </c>
      <c r="I273">
        <f>HomeEdge+VLOOKUP(Table3[[#This Row],[Home]],$A$6:$B$38,2,FALSE)-VLOOKUP(Table3[[#This Row],[Visitor]],$A$6:$B$38,2,FALSE)</f>
        <v>0.2055473150340931</v>
      </c>
      <c r="J273">
        <f>(Table3[[#This Row],[HomeMargin]]-Table3[[#This Row],[HomeForecast]])^2</f>
        <v>7.8089658085131655</v>
      </c>
    </row>
    <row r="274" spans="4:10" x14ac:dyDescent="0.2">
      <c r="D274" t="s">
        <v>17</v>
      </c>
      <c r="E274">
        <f>'NHL2025-26Results'!C270</f>
        <v>4</v>
      </c>
      <c r="F274" t="s">
        <v>28</v>
      </c>
      <c r="G274">
        <f>'NHL2025-26Results'!E270</f>
        <v>5</v>
      </c>
      <c r="H274">
        <f>Table3[[#This Row],[G_1]]-Table3[[#This Row],[G]]</f>
        <v>1</v>
      </c>
      <c r="I274">
        <f>HomeEdge+VLOOKUP(Table3[[#This Row],[Home]],$A$6:$B$38,2,FALSE)-VLOOKUP(Table3[[#This Row],[Visitor]],$A$6:$B$38,2,FALSE)</f>
        <v>0.21266813659233549</v>
      </c>
      <c r="J274">
        <f>(Table3[[#This Row],[HomeMargin]]-Table3[[#This Row],[HomeForecast]])^2</f>
        <v>0.61989146313698529</v>
      </c>
    </row>
    <row r="275" spans="4:10" x14ac:dyDescent="0.2">
      <c r="D275" t="s">
        <v>33</v>
      </c>
      <c r="E275">
        <f>'NHL2025-26Results'!C271</f>
        <v>0</v>
      </c>
      <c r="F275" t="s">
        <v>16</v>
      </c>
      <c r="G275">
        <f>'NHL2025-26Results'!E271</f>
        <v>2</v>
      </c>
      <c r="H275">
        <f>Table3[[#This Row],[G_1]]-Table3[[#This Row],[G]]</f>
        <v>2</v>
      </c>
      <c r="I275">
        <f>HomeEdge+VLOOKUP(Table3[[#This Row],[Home]],$A$6:$B$38,2,FALSE)-VLOOKUP(Table3[[#This Row],[Visitor]],$A$6:$B$38,2,FALSE)</f>
        <v>-0.10833940790355867</v>
      </c>
      <c r="J275">
        <f>(Table3[[#This Row],[HomeMargin]]-Table3[[#This Row],[HomeForecast]])^2</f>
        <v>4.4450950589191294</v>
      </c>
    </row>
    <row r="276" spans="4:10" x14ac:dyDescent="0.2">
      <c r="D276" t="s">
        <v>23</v>
      </c>
      <c r="E276">
        <f>'NHL2025-26Results'!C272</f>
        <v>3</v>
      </c>
      <c r="F276" t="s">
        <v>12</v>
      </c>
      <c r="G276">
        <f>'NHL2025-26Results'!E272</f>
        <v>6</v>
      </c>
      <c r="H276">
        <f>Table3[[#This Row],[G_1]]-Table3[[#This Row],[G]]</f>
        <v>3</v>
      </c>
      <c r="I276">
        <f>HomeEdge+VLOOKUP(Table3[[#This Row],[Home]],$A$6:$B$38,2,FALSE)-VLOOKUP(Table3[[#This Row],[Visitor]],$A$6:$B$38,2,FALSE)</f>
        <v>1.1201194227051243</v>
      </c>
      <c r="J276">
        <f>(Table3[[#This Row],[HomeMargin]]-Table3[[#This Row],[HomeForecast]])^2</f>
        <v>3.5339509848905148</v>
      </c>
    </row>
    <row r="277" spans="4:10" x14ac:dyDescent="0.2">
      <c r="D277" t="s">
        <v>31</v>
      </c>
      <c r="E277">
        <f>'NHL2025-26Results'!C273</f>
        <v>3</v>
      </c>
      <c r="F277" t="s">
        <v>26</v>
      </c>
      <c r="G277">
        <f>'NHL2025-26Results'!E273</f>
        <v>6</v>
      </c>
      <c r="H277">
        <f>Table3[[#This Row],[G_1]]-Table3[[#This Row],[G]]</f>
        <v>3</v>
      </c>
      <c r="I277">
        <f>HomeEdge+VLOOKUP(Table3[[#This Row],[Home]],$A$6:$B$38,2,FALSE)-VLOOKUP(Table3[[#This Row],[Visitor]],$A$6:$B$38,2,FALSE)</f>
        <v>0.26207503174400115</v>
      </c>
      <c r="J277">
        <f>(Table3[[#This Row],[HomeMargin]]-Table3[[#This Row],[HomeForecast]])^2</f>
        <v>7.4962331317996131</v>
      </c>
    </row>
    <row r="278" spans="4:10" x14ac:dyDescent="0.2">
      <c r="D278" t="s">
        <v>22</v>
      </c>
      <c r="E278">
        <f>'NHL2025-26Results'!C274</f>
        <v>3</v>
      </c>
      <c r="F278" t="s">
        <v>11</v>
      </c>
      <c r="G278">
        <f>'NHL2025-26Results'!E274</f>
        <v>6</v>
      </c>
      <c r="H278">
        <f>Table3[[#This Row],[G_1]]-Table3[[#This Row],[G]]</f>
        <v>3</v>
      </c>
      <c r="I278">
        <f>HomeEdge+VLOOKUP(Table3[[#This Row],[Home]],$A$6:$B$38,2,FALSE)-VLOOKUP(Table3[[#This Row],[Visitor]],$A$6:$B$38,2,FALSE)</f>
        <v>-0.30756921361677736</v>
      </c>
      <c r="J278">
        <f>(Table3[[#This Row],[HomeMargin]]-Table3[[#This Row],[HomeForecast]])^2</f>
        <v>10.940014102865508</v>
      </c>
    </row>
    <row r="279" spans="4:10" x14ac:dyDescent="0.2">
      <c r="D279" t="s">
        <v>39</v>
      </c>
      <c r="E279">
        <f>'NHL2025-26Results'!C275</f>
        <v>7</v>
      </c>
      <c r="F279" t="s">
        <v>18</v>
      </c>
      <c r="G279">
        <f>'NHL2025-26Results'!E275</f>
        <v>0</v>
      </c>
      <c r="H279">
        <f>Table3[[#This Row],[G_1]]-Table3[[#This Row],[G]]</f>
        <v>-7</v>
      </c>
      <c r="I279">
        <f>HomeEdge+VLOOKUP(Table3[[#This Row],[Home]],$A$6:$B$38,2,FALSE)-VLOOKUP(Table3[[#This Row],[Visitor]],$A$6:$B$38,2,FALSE)</f>
        <v>-0.17374799883581687</v>
      </c>
      <c r="J279">
        <f>(Table3[[#This Row],[HomeMargin]]-Table3[[#This Row],[HomeForecast]])^2</f>
        <v>46.597716383398009</v>
      </c>
    </row>
    <row r="280" spans="4:10" x14ac:dyDescent="0.2">
      <c r="D280" t="s">
        <v>21</v>
      </c>
      <c r="E280">
        <f>'NHL2025-26Results'!C276</f>
        <v>3</v>
      </c>
      <c r="F280" t="s">
        <v>36</v>
      </c>
      <c r="G280">
        <f>'NHL2025-26Results'!E276</f>
        <v>5</v>
      </c>
      <c r="H280">
        <f>Table3[[#This Row],[G_1]]-Table3[[#This Row],[G]]</f>
        <v>2</v>
      </c>
      <c r="I280">
        <f>HomeEdge+VLOOKUP(Table3[[#This Row],[Home]],$A$6:$B$38,2,FALSE)-VLOOKUP(Table3[[#This Row],[Visitor]],$A$6:$B$38,2,FALSE)</f>
        <v>4.2030116199883422E-2</v>
      </c>
      <c r="J280">
        <f>(Table3[[#This Row],[HomeMargin]]-Table3[[#This Row],[HomeForecast]])^2</f>
        <v>3.8336460658682419</v>
      </c>
    </row>
    <row r="281" spans="4:10" x14ac:dyDescent="0.2">
      <c r="D281" t="s">
        <v>40</v>
      </c>
      <c r="E281">
        <f>'NHL2025-26Results'!C277</f>
        <v>3</v>
      </c>
      <c r="F281" t="s">
        <v>32</v>
      </c>
      <c r="G281">
        <f>'NHL2025-26Results'!E277</f>
        <v>5</v>
      </c>
      <c r="H281">
        <f>Table3[[#This Row],[G_1]]-Table3[[#This Row],[G]]</f>
        <v>2</v>
      </c>
      <c r="I281">
        <f>HomeEdge+VLOOKUP(Table3[[#This Row],[Home]],$A$6:$B$38,2,FALSE)-VLOOKUP(Table3[[#This Row],[Visitor]],$A$6:$B$38,2,FALSE)</f>
        <v>0.23569130391369464</v>
      </c>
      <c r="J281">
        <f>(Table3[[#This Row],[HomeMargin]]-Table3[[#This Row],[HomeForecast]])^2</f>
        <v>3.1127851750857585</v>
      </c>
    </row>
    <row r="282" spans="4:10" x14ac:dyDescent="0.2">
      <c r="D282" t="s">
        <v>13</v>
      </c>
      <c r="E282">
        <f>'NHL2025-26Results'!C278</f>
        <v>4</v>
      </c>
      <c r="F282" t="s">
        <v>19</v>
      </c>
      <c r="G282">
        <f>'NHL2025-26Results'!E278</f>
        <v>3</v>
      </c>
      <c r="H282">
        <f>Table3[[#This Row],[G_1]]-Table3[[#This Row],[G]]</f>
        <v>-1</v>
      </c>
      <c r="I282">
        <f>HomeEdge+VLOOKUP(Table3[[#This Row],[Home]],$A$6:$B$38,2,FALSE)-VLOOKUP(Table3[[#This Row],[Visitor]],$A$6:$B$38,2,FALSE)</f>
        <v>0.27802331640934408</v>
      </c>
      <c r="J282">
        <f>(Table3[[#This Row],[HomeMargin]]-Table3[[#This Row],[HomeForecast]])^2</f>
        <v>1.6333435972859387</v>
      </c>
    </row>
    <row r="283" spans="4:10" x14ac:dyDescent="0.2">
      <c r="D283" t="s">
        <v>30</v>
      </c>
      <c r="E283">
        <f>'NHL2025-26Results'!C279</f>
        <v>4</v>
      </c>
      <c r="F283" t="s">
        <v>20</v>
      </c>
      <c r="G283">
        <f>'NHL2025-26Results'!E279</f>
        <v>3</v>
      </c>
      <c r="H283">
        <f>Table3[[#This Row],[G_1]]-Table3[[#This Row],[G]]</f>
        <v>-1</v>
      </c>
      <c r="I283">
        <f>HomeEdge+VLOOKUP(Table3[[#This Row],[Home]],$A$6:$B$38,2,FALSE)-VLOOKUP(Table3[[#This Row],[Visitor]],$A$6:$B$38,2,FALSE)</f>
        <v>0.15294697717994588</v>
      </c>
      <c r="J283">
        <f>(Table3[[#This Row],[HomeMargin]]-Table3[[#This Row],[HomeForecast]])^2</f>
        <v>1.3292867321883746</v>
      </c>
    </row>
    <row r="284" spans="4:10" x14ac:dyDescent="0.2">
      <c r="D284" t="s">
        <v>38</v>
      </c>
      <c r="E284">
        <f>'NHL2025-26Results'!C280</f>
        <v>3</v>
      </c>
      <c r="F284" t="s">
        <v>25</v>
      </c>
      <c r="G284">
        <f>'NHL2025-26Results'!E280</f>
        <v>4</v>
      </c>
      <c r="H284">
        <f>Table3[[#This Row],[G_1]]-Table3[[#This Row],[G]]</f>
        <v>1</v>
      </c>
      <c r="I284">
        <f>HomeEdge+VLOOKUP(Table3[[#This Row],[Home]],$A$6:$B$38,2,FALSE)-VLOOKUP(Table3[[#This Row],[Visitor]],$A$6:$B$38,2,FALSE)</f>
        <v>1.7541044901803351</v>
      </c>
      <c r="J284">
        <f>(Table3[[#This Row],[HomeMargin]]-Table3[[#This Row],[HomeForecast]])^2</f>
        <v>0.56867358211014307</v>
      </c>
    </row>
    <row r="285" spans="4:10" x14ac:dyDescent="0.2">
      <c r="D285" t="s">
        <v>14</v>
      </c>
      <c r="E285">
        <f>'NHL2025-26Results'!C281</f>
        <v>1</v>
      </c>
      <c r="F285" t="s">
        <v>29</v>
      </c>
      <c r="G285">
        <f>'NHL2025-26Results'!E281</f>
        <v>2</v>
      </c>
      <c r="H285">
        <f>Table3[[#This Row],[G_1]]-Table3[[#This Row],[G]]</f>
        <v>1</v>
      </c>
      <c r="I285">
        <f>HomeEdge+VLOOKUP(Table3[[#This Row],[Home]],$A$6:$B$38,2,FALSE)-VLOOKUP(Table3[[#This Row],[Visitor]],$A$6:$B$38,2,FALSE)</f>
        <v>-0.69099417490992432</v>
      </c>
      <c r="J285">
        <f>(Table3[[#This Row],[HomeMargin]]-Table3[[#This Row],[HomeForecast]])^2</f>
        <v>2.8594612995792952</v>
      </c>
    </row>
    <row r="286" spans="4:10" x14ac:dyDescent="0.2">
      <c r="D286" t="s">
        <v>27</v>
      </c>
      <c r="E286">
        <f>'NHL2025-26Results'!C282</f>
        <v>6</v>
      </c>
      <c r="F286" t="s">
        <v>35</v>
      </c>
      <c r="G286">
        <f>'NHL2025-26Results'!E282</f>
        <v>5</v>
      </c>
      <c r="H286">
        <f>Table3[[#This Row],[G_1]]-Table3[[#This Row],[G]]</f>
        <v>-1</v>
      </c>
      <c r="I286">
        <f>HomeEdge+VLOOKUP(Table3[[#This Row],[Home]],$A$6:$B$38,2,FALSE)-VLOOKUP(Table3[[#This Row],[Visitor]],$A$6:$B$38,2,FALSE)</f>
        <v>-0.63227094820150975</v>
      </c>
      <c r="J286">
        <f>(Table3[[#This Row],[HomeMargin]]-Table3[[#This Row],[HomeForecast]])^2</f>
        <v>0.13522465553661672</v>
      </c>
    </row>
    <row r="287" spans="4:10" x14ac:dyDescent="0.2">
      <c r="D287" t="s">
        <v>30</v>
      </c>
      <c r="E287">
        <f>'NHL2025-26Results'!C283</f>
        <v>3</v>
      </c>
      <c r="F287" t="s">
        <v>55</v>
      </c>
      <c r="G287">
        <f>'NHL2025-26Results'!E283</f>
        <v>2</v>
      </c>
      <c r="H287">
        <f>Table3[[#This Row],[G_1]]-Table3[[#This Row],[G]]</f>
        <v>-1</v>
      </c>
      <c r="I287">
        <f>HomeEdge+VLOOKUP(Table3[[#This Row],[Home]],$A$6:$B$38,2,FALSE)-VLOOKUP(Table3[[#This Row],[Visitor]],$A$6:$B$38,2,FALSE)</f>
        <v>0.4000063372224329</v>
      </c>
      <c r="J287">
        <f>(Table3[[#This Row],[HomeMargin]]-Table3[[#This Row],[HomeForecast]])^2</f>
        <v>1.9600177442629727</v>
      </c>
    </row>
    <row r="288" spans="4:10" x14ac:dyDescent="0.2">
      <c r="D288" t="s">
        <v>17</v>
      </c>
      <c r="E288">
        <f>'NHL2025-26Results'!C284</f>
        <v>4</v>
      </c>
      <c r="F288" t="s">
        <v>25</v>
      </c>
      <c r="G288">
        <f>'NHL2025-26Results'!E284</f>
        <v>3</v>
      </c>
      <c r="H288">
        <f>Table3[[#This Row],[G_1]]-Table3[[#This Row],[G]]</f>
        <v>-1</v>
      </c>
      <c r="I288">
        <f>HomeEdge+VLOOKUP(Table3[[#This Row],[Home]],$A$6:$B$38,2,FALSE)-VLOOKUP(Table3[[#This Row],[Visitor]],$A$6:$B$38,2,FALSE)</f>
        <v>0.72672713680945966</v>
      </c>
      <c r="J288">
        <f>(Table3[[#This Row],[HomeMargin]]-Table3[[#This Row],[HomeForecast]])^2</f>
        <v>2.9815866049941944</v>
      </c>
    </row>
    <row r="289" spans="4:10" x14ac:dyDescent="0.2">
      <c r="D289" t="s">
        <v>15</v>
      </c>
      <c r="E289">
        <f>'NHL2025-26Results'!C285</f>
        <v>2</v>
      </c>
      <c r="F289" t="s">
        <v>28</v>
      </c>
      <c r="G289">
        <f>'NHL2025-26Results'!E285</f>
        <v>1</v>
      </c>
      <c r="H289">
        <f>Table3[[#This Row],[G_1]]-Table3[[#This Row],[G]]</f>
        <v>-1</v>
      </c>
      <c r="I289">
        <f>HomeEdge+VLOOKUP(Table3[[#This Row],[Home]],$A$6:$B$38,2,FALSE)-VLOOKUP(Table3[[#This Row],[Visitor]],$A$6:$B$38,2,FALSE)</f>
        <v>0.5845613418414497</v>
      </c>
      <c r="J289">
        <f>(Table3[[#This Row],[HomeMargin]]-Table3[[#This Row],[HomeForecast]])^2</f>
        <v>2.5108346460583757</v>
      </c>
    </row>
    <row r="290" spans="4:10" x14ac:dyDescent="0.2">
      <c r="D290" t="s">
        <v>40</v>
      </c>
      <c r="E290">
        <f>'NHL2025-26Results'!C286</f>
        <v>4</v>
      </c>
      <c r="F290" t="s">
        <v>16</v>
      </c>
      <c r="G290">
        <f>'NHL2025-26Results'!E286</f>
        <v>3</v>
      </c>
      <c r="H290">
        <f>Table3[[#This Row],[G_1]]-Table3[[#This Row],[G]]</f>
        <v>-1</v>
      </c>
      <c r="I290">
        <f>HomeEdge+VLOOKUP(Table3[[#This Row],[Home]],$A$6:$B$38,2,FALSE)-VLOOKUP(Table3[[#This Row],[Visitor]],$A$6:$B$38,2,FALSE)</f>
        <v>-0.17225376035709883</v>
      </c>
      <c r="J290">
        <f>(Table3[[#This Row],[HomeMargin]]-Table3[[#This Row],[HomeForecast]])^2</f>
        <v>0.68516383724296315</v>
      </c>
    </row>
    <row r="291" spans="4:10" x14ac:dyDescent="0.2">
      <c r="D291" t="s">
        <v>19</v>
      </c>
      <c r="E291">
        <f>'NHL2025-26Results'!C287</f>
        <v>2</v>
      </c>
      <c r="F291" t="s">
        <v>10</v>
      </c>
      <c r="G291">
        <f>'NHL2025-26Results'!E287</f>
        <v>3</v>
      </c>
      <c r="H291">
        <f>Table3[[#This Row],[G_1]]-Table3[[#This Row],[G]]</f>
        <v>1</v>
      </c>
      <c r="I291">
        <f>HomeEdge+VLOOKUP(Table3[[#This Row],[Home]],$A$6:$B$38,2,FALSE)-VLOOKUP(Table3[[#This Row],[Visitor]],$A$6:$B$38,2,FALSE)</f>
        <v>-0.35469322726038799</v>
      </c>
      <c r="J291">
        <f>(Table3[[#This Row],[HomeMargin]]-Table3[[#This Row],[HomeForecast]])^2</f>
        <v>1.8351937399851652</v>
      </c>
    </row>
    <row r="292" spans="4:10" x14ac:dyDescent="0.2">
      <c r="D292" t="s">
        <v>27</v>
      </c>
      <c r="E292">
        <f>'NHL2025-26Results'!C288</f>
        <v>1</v>
      </c>
      <c r="F292" t="s">
        <v>39</v>
      </c>
      <c r="G292">
        <f>'NHL2025-26Results'!E288</f>
        <v>5</v>
      </c>
      <c r="H292">
        <f>Table3[[#This Row],[G_1]]-Table3[[#This Row],[G]]</f>
        <v>4</v>
      </c>
      <c r="I292">
        <f>HomeEdge+VLOOKUP(Table3[[#This Row],[Home]],$A$6:$B$38,2,FALSE)-VLOOKUP(Table3[[#This Row],[Visitor]],$A$6:$B$38,2,FALSE)</f>
        <v>0.89766663298453642</v>
      </c>
      <c r="J292">
        <f>(Table3[[#This Row],[HomeMargin]]-Table3[[#This Row],[HomeForecast]])^2</f>
        <v>9.6244723200975031</v>
      </c>
    </row>
    <row r="293" spans="4:10" x14ac:dyDescent="0.2">
      <c r="D293" t="s">
        <v>23</v>
      </c>
      <c r="E293">
        <f>'NHL2025-26Results'!C289</f>
        <v>5</v>
      </c>
      <c r="F293" t="s">
        <v>26</v>
      </c>
      <c r="G293">
        <f>'NHL2025-26Results'!E289</f>
        <v>4</v>
      </c>
      <c r="H293">
        <f>Table3[[#This Row],[G_1]]-Table3[[#This Row],[G]]</f>
        <v>-1</v>
      </c>
      <c r="I293">
        <f>HomeEdge+VLOOKUP(Table3[[#This Row],[Home]],$A$6:$B$38,2,FALSE)-VLOOKUP(Table3[[#This Row],[Visitor]],$A$6:$B$38,2,FALSE)</f>
        <v>-0.20968519597562235</v>
      </c>
      <c r="J293">
        <f>(Table3[[#This Row],[HomeMargin]]-Table3[[#This Row],[HomeForecast]])^2</f>
        <v>0.62459748946009053</v>
      </c>
    </row>
    <row r="294" spans="4:10" x14ac:dyDescent="0.2">
      <c r="D294" t="s">
        <v>37</v>
      </c>
      <c r="E294">
        <f>'NHL2025-26Results'!C290</f>
        <v>3</v>
      </c>
      <c r="F294" t="s">
        <v>11</v>
      </c>
      <c r="G294">
        <f>'NHL2025-26Results'!E290</f>
        <v>1</v>
      </c>
      <c r="H294">
        <f>Table3[[#This Row],[G_1]]-Table3[[#This Row],[G]]</f>
        <v>-2</v>
      </c>
      <c r="I294">
        <f>HomeEdge+VLOOKUP(Table3[[#This Row],[Home]],$A$6:$B$38,2,FALSE)-VLOOKUP(Table3[[#This Row],[Visitor]],$A$6:$B$38,2,FALSE)</f>
        <v>-1.1484269927790201</v>
      </c>
      <c r="J294">
        <f>(Table3[[#This Row],[HomeMargin]]-Table3[[#This Row],[HomeForecast]])^2</f>
        <v>0.72517658662738316</v>
      </c>
    </row>
    <row r="295" spans="4:10" x14ac:dyDescent="0.2">
      <c r="D295" t="s">
        <v>31</v>
      </c>
      <c r="E295">
        <f>'NHL2025-26Results'!C291</f>
        <v>0</v>
      </c>
      <c r="F295" t="s">
        <v>34</v>
      </c>
      <c r="G295">
        <f>'NHL2025-26Results'!E291</f>
        <v>2</v>
      </c>
      <c r="H295">
        <f>Table3[[#This Row],[G_1]]-Table3[[#This Row],[G]]</f>
        <v>2</v>
      </c>
      <c r="I295">
        <f>HomeEdge+VLOOKUP(Table3[[#This Row],[Home]],$A$6:$B$38,2,FALSE)-VLOOKUP(Table3[[#This Row],[Visitor]],$A$6:$B$38,2,FALSE)</f>
        <v>0.65369810066877099</v>
      </c>
      <c r="J295">
        <f>(Table3[[#This Row],[HomeMargin]]-Table3[[#This Row],[HomeForecast]])^2</f>
        <v>1.8125288041428746</v>
      </c>
    </row>
    <row r="296" spans="4:10" x14ac:dyDescent="0.2">
      <c r="D296" t="s">
        <v>21</v>
      </c>
      <c r="E296">
        <f>'NHL2025-26Results'!C292</f>
        <v>3</v>
      </c>
      <c r="F296" t="s">
        <v>18</v>
      </c>
      <c r="G296">
        <f>'NHL2025-26Results'!E292</f>
        <v>2</v>
      </c>
      <c r="H296">
        <f>Table3[[#This Row],[G_1]]-Table3[[#This Row],[G]]</f>
        <v>-1</v>
      </c>
      <c r="I296">
        <f>HomeEdge+VLOOKUP(Table3[[#This Row],[Home]],$A$6:$B$38,2,FALSE)-VLOOKUP(Table3[[#This Row],[Visitor]],$A$6:$B$38,2,FALSE)</f>
        <v>0.14586292207603135</v>
      </c>
      <c r="J296">
        <f>(Table3[[#This Row],[HomeMargin]]-Table3[[#This Row],[HomeForecast]])^2</f>
        <v>1.3130018361886209</v>
      </c>
    </row>
    <row r="297" spans="4:10" x14ac:dyDescent="0.2">
      <c r="D297" t="s">
        <v>13</v>
      </c>
      <c r="E297">
        <f>'NHL2025-26Results'!C293</f>
        <v>1</v>
      </c>
      <c r="F297" t="s">
        <v>36</v>
      </c>
      <c r="G297">
        <f>'NHL2025-26Results'!E293</f>
        <v>0</v>
      </c>
      <c r="H297">
        <f>Table3[[#This Row],[G_1]]-Table3[[#This Row],[G]]</f>
        <v>-1</v>
      </c>
      <c r="I297">
        <f>HomeEdge+VLOOKUP(Table3[[#This Row],[Home]],$A$6:$B$38,2,FALSE)-VLOOKUP(Table3[[#This Row],[Visitor]],$A$6:$B$38,2,FALSE)</f>
        <v>0.53019640205395191</v>
      </c>
      <c r="J297">
        <f>(Table3[[#This Row],[HomeMargin]]-Table3[[#This Row],[HomeForecast]])^2</f>
        <v>2.3415010288588598</v>
      </c>
    </row>
    <row r="298" spans="4:10" x14ac:dyDescent="0.2">
      <c r="D298" t="s">
        <v>33</v>
      </c>
      <c r="E298">
        <f>'NHL2025-26Results'!C294</f>
        <v>1</v>
      </c>
      <c r="F298" t="s">
        <v>32</v>
      </c>
      <c r="G298">
        <f>'NHL2025-26Results'!E294</f>
        <v>4</v>
      </c>
      <c r="H298">
        <f>Table3[[#This Row],[G_1]]-Table3[[#This Row],[G]]</f>
        <v>3</v>
      </c>
      <c r="I298">
        <f>HomeEdge+VLOOKUP(Table3[[#This Row],[Home]],$A$6:$B$38,2,FALSE)-VLOOKUP(Table3[[#This Row],[Visitor]],$A$6:$B$38,2,FALSE)</f>
        <v>0.2996056563672348</v>
      </c>
      <c r="J298">
        <f>(Table3[[#This Row],[HomeMargin]]-Table3[[#This Row],[HomeForecast]])^2</f>
        <v>7.2921296111238325</v>
      </c>
    </row>
    <row r="299" spans="4:10" x14ac:dyDescent="0.2">
      <c r="D299" t="s">
        <v>20</v>
      </c>
      <c r="E299">
        <f>'NHL2025-26Results'!C295</f>
        <v>4</v>
      </c>
      <c r="F299" t="s">
        <v>35</v>
      </c>
      <c r="G299">
        <f>'NHL2025-26Results'!E295</f>
        <v>1</v>
      </c>
      <c r="H299">
        <f>Table3[[#This Row],[G_1]]-Table3[[#This Row],[G]]</f>
        <v>-3</v>
      </c>
      <c r="I299">
        <f>HomeEdge+VLOOKUP(Table3[[#This Row],[Home]],$A$6:$B$38,2,FALSE)-VLOOKUP(Table3[[#This Row],[Visitor]],$A$6:$B$38,2,FALSE)</f>
        <v>-1.0202856532793914</v>
      </c>
      <c r="J299">
        <f>(Table3[[#This Row],[HomeMargin]]-Table3[[#This Row],[HomeForecast]])^2</f>
        <v>3.919268894611406</v>
      </c>
    </row>
    <row r="300" spans="4:10" x14ac:dyDescent="0.2">
      <c r="D300" t="s">
        <v>24</v>
      </c>
      <c r="E300">
        <f>'NHL2025-26Results'!C296</f>
        <v>3</v>
      </c>
      <c r="F300" t="s">
        <v>22</v>
      </c>
      <c r="G300">
        <f>'NHL2025-26Results'!E296</f>
        <v>2</v>
      </c>
      <c r="H300">
        <f>Table3[[#This Row],[G_1]]-Table3[[#This Row],[G]]</f>
        <v>-1</v>
      </c>
      <c r="I300">
        <f>HomeEdge+VLOOKUP(Table3[[#This Row],[Home]],$A$6:$B$38,2,FALSE)-VLOOKUP(Table3[[#This Row],[Visitor]],$A$6:$B$38,2,FALSE)</f>
        <v>0.75493908930293396</v>
      </c>
      <c r="J300">
        <f>(Table3[[#This Row],[HomeMargin]]-Table3[[#This Row],[HomeForecast]])^2</f>
        <v>3.0798112071634112</v>
      </c>
    </row>
    <row r="301" spans="4:10" x14ac:dyDescent="0.2">
      <c r="D301" t="s">
        <v>30</v>
      </c>
      <c r="E301">
        <f>'NHL2025-26Results'!C297</f>
        <v>1</v>
      </c>
      <c r="F301" t="s">
        <v>12</v>
      </c>
      <c r="G301">
        <f>'NHL2025-26Results'!E297</f>
        <v>4</v>
      </c>
      <c r="H301">
        <f>Table3[[#This Row],[G_1]]-Table3[[#This Row],[G]]</f>
        <v>3</v>
      </c>
      <c r="I301">
        <f>HomeEdge+VLOOKUP(Table3[[#This Row],[Home]],$A$6:$B$38,2,FALSE)-VLOOKUP(Table3[[#This Row],[Visitor]],$A$6:$B$38,2,FALSE)</f>
        <v>1.3145784448934641</v>
      </c>
      <c r="J301">
        <f>(Table3[[#This Row],[HomeMargin]]-Table3[[#This Row],[HomeForecast]])^2</f>
        <v>2.8406458184177339</v>
      </c>
    </row>
    <row r="302" spans="4:10" x14ac:dyDescent="0.2">
      <c r="D302" t="s">
        <v>20</v>
      </c>
      <c r="E302">
        <f>'NHL2025-26Results'!C298</f>
        <v>2</v>
      </c>
      <c r="F302" t="s">
        <v>34</v>
      </c>
      <c r="G302">
        <f>'NHL2025-26Results'!E298</f>
        <v>3</v>
      </c>
      <c r="H302">
        <f>Table3[[#This Row],[G_1]]-Table3[[#This Row],[G]]</f>
        <v>1</v>
      </c>
      <c r="I302">
        <f>HomeEdge+VLOOKUP(Table3[[#This Row],[Home]],$A$6:$B$38,2,FALSE)-VLOOKUP(Table3[[#This Row],[Visitor]],$A$6:$B$38,2,FALSE)</f>
        <v>0.3530569037690654</v>
      </c>
      <c r="J302">
        <f>(Table3[[#This Row],[HomeMargin]]-Table3[[#This Row],[HomeForecast]])^2</f>
        <v>0.4185353697608683</v>
      </c>
    </row>
    <row r="303" spans="4:10" x14ac:dyDescent="0.2">
      <c r="D303" t="s">
        <v>26</v>
      </c>
      <c r="E303">
        <f>'NHL2025-26Results'!C299</f>
        <v>2</v>
      </c>
      <c r="F303" t="s">
        <v>15</v>
      </c>
      <c r="G303">
        <f>'NHL2025-26Results'!E299</f>
        <v>1</v>
      </c>
      <c r="H303">
        <f>Table3[[#This Row],[G_1]]-Table3[[#This Row],[G]]</f>
        <v>-1</v>
      </c>
      <c r="I303">
        <f>HomeEdge+VLOOKUP(Table3[[#This Row],[Home]],$A$6:$B$38,2,FALSE)-VLOOKUP(Table3[[#This Row],[Visitor]],$A$6:$B$38,2,FALSE)</f>
        <v>-0.2757743837714054</v>
      </c>
      <c r="J303">
        <f>(Table3[[#This Row],[HomeMargin]]-Table3[[#This Row],[HomeForecast]])^2</f>
        <v>0.52450274320168755</v>
      </c>
    </row>
    <row r="304" spans="4:10" x14ac:dyDescent="0.2">
      <c r="D304" t="s">
        <v>29</v>
      </c>
      <c r="E304">
        <f>'NHL2025-26Results'!C300</f>
        <v>0</v>
      </c>
      <c r="F304" t="s">
        <v>14</v>
      </c>
      <c r="G304">
        <f>'NHL2025-26Results'!E300</f>
        <v>4</v>
      </c>
      <c r="H304">
        <f>Table3[[#This Row],[G_1]]-Table3[[#This Row],[G]]</f>
        <v>4</v>
      </c>
      <c r="I304">
        <f>HomeEdge+VLOOKUP(Table3[[#This Row],[Home]],$A$6:$B$38,2,FALSE)-VLOOKUP(Table3[[#This Row],[Visitor]],$A$6:$B$38,2,FALSE)</f>
        <v>0.95020814653297248</v>
      </c>
      <c r="J304">
        <f>(Table3[[#This Row],[HomeMargin]]-Table3[[#This Row],[HomeForecast]])^2</f>
        <v>9.3012303494738475</v>
      </c>
    </row>
    <row r="305" spans="4:10" x14ac:dyDescent="0.2">
      <c r="D305" t="s">
        <v>38</v>
      </c>
      <c r="E305">
        <f>'NHL2025-26Results'!C301</f>
        <v>6</v>
      </c>
      <c r="F305" t="s">
        <v>37</v>
      </c>
      <c r="G305">
        <f>'NHL2025-26Results'!E301</f>
        <v>2</v>
      </c>
      <c r="H305">
        <f>Table3[[#This Row],[G_1]]-Table3[[#This Row],[G]]</f>
        <v>-4</v>
      </c>
      <c r="I305">
        <f>HomeEdge+VLOOKUP(Table3[[#This Row],[Home]],$A$6:$B$38,2,FALSE)-VLOOKUP(Table3[[#This Row],[Visitor]],$A$6:$B$38,2,FALSE)</f>
        <v>2.242692136023047</v>
      </c>
      <c r="J305">
        <f>(Table3[[#This Row],[HomeMargin]]-Table3[[#This Row],[HomeForecast]])^2</f>
        <v>38.971205105163996</v>
      </c>
    </row>
    <row r="306" spans="4:10" x14ac:dyDescent="0.2">
      <c r="D306" t="s">
        <v>55</v>
      </c>
      <c r="E306">
        <f>'NHL2025-26Results'!C302</f>
        <v>2</v>
      </c>
      <c r="F306" t="s">
        <v>31</v>
      </c>
      <c r="G306">
        <f>'NHL2025-26Results'!E302</f>
        <v>3</v>
      </c>
      <c r="H306">
        <f>Table3[[#This Row],[G_1]]-Table3[[#This Row],[G]]</f>
        <v>1</v>
      </c>
      <c r="I306">
        <f>HomeEdge+VLOOKUP(Table3[[#This Row],[Home]],$A$6:$B$38,2,FALSE)-VLOOKUP(Table3[[#This Row],[Visitor]],$A$6:$B$38,2,FALSE)</f>
        <v>-0.41809357113066847</v>
      </c>
      <c r="J306">
        <f>(Table3[[#This Row],[HomeMargin]]-Table3[[#This Row],[HomeForecast]])^2</f>
        <v>2.0109893764821321</v>
      </c>
    </row>
    <row r="307" spans="4:10" x14ac:dyDescent="0.2">
      <c r="D307" t="s">
        <v>25</v>
      </c>
      <c r="E307">
        <f>'NHL2025-26Results'!C303</f>
        <v>3</v>
      </c>
      <c r="F307" t="s">
        <v>21</v>
      </c>
      <c r="G307">
        <f>'NHL2025-26Results'!E303</f>
        <v>1</v>
      </c>
      <c r="H307">
        <f>Table3[[#This Row],[G_1]]-Table3[[#This Row],[G]]</f>
        <v>-2</v>
      </c>
      <c r="I307">
        <f>HomeEdge+VLOOKUP(Table3[[#This Row],[Home]],$A$6:$B$38,2,FALSE)-VLOOKUP(Table3[[#This Row],[Visitor]],$A$6:$B$38,2,FALSE)</f>
        <v>-0.20541782870208525</v>
      </c>
      <c r="J307">
        <f>(Table3[[#This Row],[HomeMargin]]-Table3[[#This Row],[HomeForecast]])^2</f>
        <v>3.2205251695403376</v>
      </c>
    </row>
    <row r="308" spans="4:10" x14ac:dyDescent="0.2">
      <c r="D308" t="s">
        <v>17</v>
      </c>
      <c r="E308">
        <f>'NHL2025-26Results'!C304</f>
        <v>1</v>
      </c>
      <c r="F308" t="s">
        <v>23</v>
      </c>
      <c r="G308">
        <f>'NHL2025-26Results'!E304</f>
        <v>5</v>
      </c>
      <c r="H308">
        <f>Table3[[#This Row],[G_1]]-Table3[[#This Row],[G]]</f>
        <v>4</v>
      </c>
      <c r="I308">
        <f>HomeEdge+VLOOKUP(Table3[[#This Row],[Home]],$A$6:$B$38,2,FALSE)-VLOOKUP(Table3[[#This Row],[Visitor]],$A$6:$B$38,2,FALSE)</f>
        <v>0.50238733193248586</v>
      </c>
      <c r="J308">
        <f>(Table3[[#This Row],[HomeMargin]]-Table3[[#This Row],[HomeForecast]])^2</f>
        <v>12.233294375826356</v>
      </c>
    </row>
    <row r="309" spans="4:10" x14ac:dyDescent="0.2">
      <c r="D309" t="s">
        <v>18</v>
      </c>
      <c r="E309">
        <f>'NHL2025-26Results'!C305</f>
        <v>3</v>
      </c>
      <c r="F309" t="s">
        <v>28</v>
      </c>
      <c r="G309">
        <f>'NHL2025-26Results'!E305</f>
        <v>4</v>
      </c>
      <c r="H309">
        <f>Table3[[#This Row],[G_1]]-Table3[[#This Row],[G]]</f>
        <v>1</v>
      </c>
      <c r="I309">
        <f>HomeEdge+VLOOKUP(Table3[[#This Row],[Home]],$A$6:$B$38,2,FALSE)-VLOOKUP(Table3[[#This Row],[Visitor]],$A$6:$B$38,2,FALSE)</f>
        <v>-6.5683136156497957E-2</v>
      </c>
      <c r="J309">
        <f>(Table3[[#This Row],[HomeMargin]]-Table3[[#This Row],[HomeForecast]])^2</f>
        <v>1.1356805466883491</v>
      </c>
    </row>
    <row r="310" spans="4:10" x14ac:dyDescent="0.2">
      <c r="D310" t="s">
        <v>38</v>
      </c>
      <c r="E310">
        <f>'NHL2025-26Results'!C306</f>
        <v>5</v>
      </c>
      <c r="F310" t="s">
        <v>11</v>
      </c>
      <c r="G310">
        <f>'NHL2025-26Results'!E306</f>
        <v>8</v>
      </c>
      <c r="H310">
        <f>Table3[[#This Row],[G_1]]-Table3[[#This Row],[G]]</f>
        <v>3</v>
      </c>
      <c r="I310">
        <f>HomeEdge+VLOOKUP(Table3[[#This Row],[Home]],$A$6:$B$38,2,FALSE)-VLOOKUP(Table3[[#This Row],[Visitor]],$A$6:$B$38,2,FALSE)</f>
        <v>0.96465815743250305</v>
      </c>
      <c r="J310">
        <f>(Table3[[#This Row],[HomeMargin]]-Table3[[#This Row],[HomeForecast]])^2</f>
        <v>4.1426164161060539</v>
      </c>
    </row>
    <row r="311" spans="4:10" x14ac:dyDescent="0.2">
      <c r="D311" t="s">
        <v>13</v>
      </c>
      <c r="E311">
        <f>'NHL2025-26Results'!C307</f>
        <v>1</v>
      </c>
      <c r="F311" t="s">
        <v>22</v>
      </c>
      <c r="G311">
        <f>'NHL2025-26Results'!E307</f>
        <v>2</v>
      </c>
      <c r="H311">
        <f>Table3[[#This Row],[G_1]]-Table3[[#This Row],[G]]</f>
        <v>1</v>
      </c>
      <c r="I311">
        <f>HomeEdge+VLOOKUP(Table3[[#This Row],[Home]],$A$6:$B$38,2,FALSE)-VLOOKUP(Table3[[#This Row],[Visitor]],$A$6:$B$38,2,FALSE)</f>
        <v>0.60052795285967131</v>
      </c>
      <c r="J311">
        <f>(Table3[[#This Row],[HomeMargin]]-Table3[[#This Row],[HomeForecast]])^2</f>
        <v>0.15957791644648497</v>
      </c>
    </row>
    <row r="312" spans="4:10" x14ac:dyDescent="0.2">
      <c r="D312" t="s">
        <v>16</v>
      </c>
      <c r="E312">
        <f>'NHL2025-26Results'!C308</f>
        <v>2</v>
      </c>
      <c r="F312" t="s">
        <v>10</v>
      </c>
      <c r="G312">
        <f>'NHL2025-26Results'!E308</f>
        <v>5</v>
      </c>
      <c r="H312">
        <f>Table3[[#This Row],[G_1]]-Table3[[#This Row],[G]]</f>
        <v>3</v>
      </c>
      <c r="I312">
        <f>HomeEdge+VLOOKUP(Table3[[#This Row],[Home]],$A$6:$B$38,2,FALSE)-VLOOKUP(Table3[[#This Row],[Visitor]],$A$6:$B$38,2,FALSE)</f>
        <v>9.3338423101616108E-2</v>
      </c>
      <c r="J312">
        <f>(Table3[[#This Row],[HomeMargin]]-Table3[[#This Row],[HomeForecast]])^2</f>
        <v>8.4486815226173988</v>
      </c>
    </row>
    <row r="313" spans="4:10" x14ac:dyDescent="0.2">
      <c r="D313" t="s">
        <v>30</v>
      </c>
      <c r="E313">
        <f>'NHL2025-26Results'!C309</f>
        <v>3</v>
      </c>
      <c r="F313" t="s">
        <v>39</v>
      </c>
      <c r="G313">
        <f>'NHL2025-26Results'!E309</f>
        <v>2</v>
      </c>
      <c r="H313">
        <f>Table3[[#This Row],[G_1]]-Table3[[#This Row],[G]]</f>
        <v>-1</v>
      </c>
      <c r="I313">
        <f>HomeEdge+VLOOKUP(Table3[[#This Row],[Home]],$A$6:$B$38,2,FALSE)-VLOOKUP(Table3[[#This Row],[Visitor]],$A$6:$B$38,2,FALSE)</f>
        <v>0.53299191927507672</v>
      </c>
      <c r="J313">
        <f>(Table3[[#This Row],[HomeMargin]]-Table3[[#This Row],[HomeForecast]])^2</f>
        <v>2.3500642245626833</v>
      </c>
    </row>
    <row r="314" spans="4:10" x14ac:dyDescent="0.2">
      <c r="D314" t="s">
        <v>32</v>
      </c>
      <c r="E314">
        <f>'NHL2025-26Results'!C310</f>
        <v>2</v>
      </c>
      <c r="F314" t="s">
        <v>26</v>
      </c>
      <c r="G314">
        <f>'NHL2025-26Results'!E310</f>
        <v>4</v>
      </c>
      <c r="H314">
        <f>Table3[[#This Row],[G_1]]-Table3[[#This Row],[G]]</f>
        <v>2</v>
      </c>
      <c r="I314">
        <f>HomeEdge+VLOOKUP(Table3[[#This Row],[Home]],$A$6:$B$38,2,FALSE)-VLOOKUP(Table3[[#This Row],[Visitor]],$A$6:$B$38,2,FALSE)</f>
        <v>0.28083635500847237</v>
      </c>
      <c r="J314">
        <f>(Table3[[#This Row],[HomeMargin]]-Table3[[#This Row],[HomeForecast]])^2</f>
        <v>2.9555236382605554</v>
      </c>
    </row>
    <row r="315" spans="4:10" x14ac:dyDescent="0.2">
      <c r="D315" t="s">
        <v>55</v>
      </c>
      <c r="E315">
        <f>'NHL2025-26Results'!C311</f>
        <v>2</v>
      </c>
      <c r="F315" t="s">
        <v>33</v>
      </c>
      <c r="G315">
        <f>'NHL2025-26Results'!E311</f>
        <v>3</v>
      </c>
      <c r="H315">
        <f>Table3[[#This Row],[G_1]]-Table3[[#This Row],[G]]</f>
        <v>1</v>
      </c>
      <c r="I315">
        <f>HomeEdge+VLOOKUP(Table3[[#This Row],[Home]],$A$6:$B$38,2,FALSE)-VLOOKUP(Table3[[#This Row],[Visitor]],$A$6:$B$38,2,FALSE)</f>
        <v>-0.6068535649508503</v>
      </c>
      <c r="J315">
        <f>(Table3[[#This Row],[HomeMargin]]-Table3[[#This Row],[HomeForecast]])^2</f>
        <v>2.581978379195256</v>
      </c>
    </row>
    <row r="316" spans="4:10" x14ac:dyDescent="0.2">
      <c r="D316" t="s">
        <v>24</v>
      </c>
      <c r="E316">
        <f>'NHL2025-26Results'!C312</f>
        <v>1</v>
      </c>
      <c r="F316" t="s">
        <v>37</v>
      </c>
      <c r="G316">
        <f>'NHL2025-26Results'!E312</f>
        <v>5</v>
      </c>
      <c r="H316">
        <f>Table3[[#This Row],[G_1]]-Table3[[#This Row],[G]]</f>
        <v>4</v>
      </c>
      <c r="I316">
        <f>HomeEdge+VLOOKUP(Table3[[#This Row],[Home]],$A$6:$B$38,2,FALSE)-VLOOKUP(Table3[[#This Row],[Visitor]],$A$6:$B$38,2,FALSE)</f>
        <v>1.5957968684651767</v>
      </c>
      <c r="J316">
        <f>(Table3[[#This Row],[HomeMargin]]-Table3[[#This Row],[HomeForecast]])^2</f>
        <v>5.7801926976818514</v>
      </c>
    </row>
    <row r="317" spans="4:10" x14ac:dyDescent="0.2">
      <c r="D317" t="s">
        <v>35</v>
      </c>
      <c r="E317">
        <f>'NHL2025-26Results'!C313</f>
        <v>2</v>
      </c>
      <c r="F317" t="s">
        <v>19</v>
      </c>
      <c r="G317">
        <f>'NHL2025-26Results'!E313</f>
        <v>3</v>
      </c>
      <c r="H317">
        <f>Table3[[#This Row],[G_1]]-Table3[[#This Row],[G]]</f>
        <v>1</v>
      </c>
      <c r="I317">
        <f>HomeEdge+VLOOKUP(Table3[[#This Row],[Home]],$A$6:$B$38,2,FALSE)-VLOOKUP(Table3[[#This Row],[Visitor]],$A$6:$B$38,2,FALSE)</f>
        <v>1.0001836908294734</v>
      </c>
      <c r="J317">
        <f>(Table3[[#This Row],[HomeMargin]]-Table3[[#This Row],[HomeForecast]])^2</f>
        <v>3.374232083264354E-8</v>
      </c>
    </row>
    <row r="318" spans="4:10" x14ac:dyDescent="0.2">
      <c r="D318" t="s">
        <v>15</v>
      </c>
      <c r="E318">
        <f>'NHL2025-26Results'!C314</f>
        <v>2</v>
      </c>
      <c r="F318" t="s">
        <v>20</v>
      </c>
      <c r="G318">
        <f>'NHL2025-26Results'!E314</f>
        <v>3</v>
      </c>
      <c r="H318">
        <f>Table3[[#This Row],[G_1]]-Table3[[#This Row],[G]]</f>
        <v>1</v>
      </c>
      <c r="I318">
        <f>HomeEdge+VLOOKUP(Table3[[#This Row],[Home]],$A$6:$B$38,2,FALSE)-VLOOKUP(Table3[[#This Row],[Visitor]],$A$6:$B$38,2,FALSE)</f>
        <v>0.70316150636168206</v>
      </c>
      <c r="J318">
        <f>(Table3[[#This Row],[HomeMargin]]-Table3[[#This Row],[HomeForecast]])^2</f>
        <v>8.8113091305465713E-2</v>
      </c>
    </row>
    <row r="319" spans="4:10" x14ac:dyDescent="0.2">
      <c r="D319" t="s">
        <v>28</v>
      </c>
      <c r="E319">
        <f>'NHL2025-26Results'!C315</f>
        <v>2</v>
      </c>
      <c r="F319" t="s">
        <v>40</v>
      </c>
      <c r="G319">
        <f>'NHL2025-26Results'!E315</f>
        <v>5</v>
      </c>
      <c r="H319">
        <f>Table3[[#This Row],[G_1]]-Table3[[#This Row],[G]]</f>
        <v>3</v>
      </c>
      <c r="I319">
        <f>HomeEdge+VLOOKUP(Table3[[#This Row],[Home]],$A$6:$B$38,2,FALSE)-VLOOKUP(Table3[[#This Row],[Visitor]],$A$6:$B$38,2,FALSE)</f>
        <v>-0.17727968793459081</v>
      </c>
      <c r="J319">
        <f>(Table3[[#This Row],[HomeMargin]]-Table3[[#This Row],[HomeForecast]])^2</f>
        <v>10.09510621536173</v>
      </c>
    </row>
    <row r="320" spans="4:10" x14ac:dyDescent="0.2">
      <c r="D320" t="s">
        <v>21</v>
      </c>
      <c r="E320">
        <f>'NHL2025-26Results'!C316</f>
        <v>3</v>
      </c>
      <c r="F320" t="s">
        <v>31</v>
      </c>
      <c r="G320">
        <f>'NHL2025-26Results'!E316</f>
        <v>4</v>
      </c>
      <c r="H320">
        <f>Table3[[#This Row],[G_1]]-Table3[[#This Row],[G]]</f>
        <v>1</v>
      </c>
      <c r="I320">
        <f>HomeEdge+VLOOKUP(Table3[[#This Row],[Home]],$A$6:$B$38,2,FALSE)-VLOOKUP(Table3[[#This Row],[Visitor]],$A$6:$B$38,2,FALSE)</f>
        <v>-0.23146823227146396</v>
      </c>
      <c r="J320">
        <f>(Table3[[#This Row],[HomeMargin]]-Table3[[#This Row],[HomeForecast]])^2</f>
        <v>1.5165140070938041</v>
      </c>
    </row>
    <row r="321" spans="4:10" x14ac:dyDescent="0.2">
      <c r="D321" t="s">
        <v>16</v>
      </c>
      <c r="E321">
        <f>'NHL2025-26Results'!C317</f>
        <v>6</v>
      </c>
      <c r="F321" t="s">
        <v>23</v>
      </c>
      <c r="G321">
        <f>'NHL2025-26Results'!E317</f>
        <v>2</v>
      </c>
      <c r="H321">
        <f>Table3[[#This Row],[G_1]]-Table3[[#This Row],[G]]</f>
        <v>-4</v>
      </c>
      <c r="I321">
        <f>HomeEdge+VLOOKUP(Table3[[#This Row],[Home]],$A$6:$B$38,2,FALSE)-VLOOKUP(Table3[[#This Row],[Visitor]],$A$6:$B$38,2,FALSE)</f>
        <v>1.0280736010664122</v>
      </c>
      <c r="J321">
        <f>(Table3[[#This Row],[HomeMargin]]-Table3[[#This Row],[HomeForecast]])^2</f>
        <v>25.281524137740952</v>
      </c>
    </row>
    <row r="322" spans="4:10" x14ac:dyDescent="0.2">
      <c r="D322" t="s">
        <v>25</v>
      </c>
      <c r="E322">
        <f>'NHL2025-26Results'!C318</f>
        <v>3</v>
      </c>
      <c r="F322" t="s">
        <v>34</v>
      </c>
      <c r="G322">
        <f>'NHL2025-26Results'!E318</f>
        <v>4</v>
      </c>
      <c r="H322">
        <f>Table3[[#This Row],[G_1]]-Table3[[#This Row],[G]]</f>
        <v>1</v>
      </c>
      <c r="I322">
        <f>HomeEdge+VLOOKUP(Table3[[#This Row],[Home]],$A$6:$B$38,2,FALSE)-VLOOKUP(Table3[[#This Row],[Visitor]],$A$6:$B$38,2,FALSE)</f>
        <v>-4.2401931927826458E-2</v>
      </c>
      <c r="J322">
        <f>(Table3[[#This Row],[HomeMargin]]-Table3[[#This Row],[HomeForecast]])^2</f>
        <v>1.0866017876868648</v>
      </c>
    </row>
    <row r="323" spans="4:10" x14ac:dyDescent="0.2">
      <c r="D323" t="s">
        <v>17</v>
      </c>
      <c r="E323">
        <f>'NHL2025-26Results'!C319</f>
        <v>4</v>
      </c>
      <c r="F323" t="s">
        <v>22</v>
      </c>
      <c r="G323">
        <f>'NHL2025-26Results'!E319</f>
        <v>7</v>
      </c>
      <c r="H323">
        <f>Table3[[#This Row],[G_1]]-Table3[[#This Row],[G]]</f>
        <v>3</v>
      </c>
      <c r="I323">
        <f>HomeEdge+VLOOKUP(Table3[[#This Row],[Home]],$A$6:$B$38,2,FALSE)-VLOOKUP(Table3[[#This Row],[Visitor]],$A$6:$B$38,2,FALSE)</f>
        <v>0.374457003489929</v>
      </c>
      <c r="J323">
        <f>(Table3[[#This Row],[HomeMargin]]-Table3[[#This Row],[HomeForecast]])^2</f>
        <v>6.8934760265230839</v>
      </c>
    </row>
    <row r="324" spans="4:10" x14ac:dyDescent="0.2">
      <c r="D324" t="s">
        <v>36</v>
      </c>
      <c r="E324">
        <f>'NHL2025-26Results'!C320</f>
        <v>3</v>
      </c>
      <c r="F324" t="s">
        <v>31</v>
      </c>
      <c r="G324">
        <f>'NHL2025-26Results'!E320</f>
        <v>2</v>
      </c>
      <c r="H324">
        <f>Table3[[#This Row],[G_1]]-Table3[[#This Row],[G]]</f>
        <v>-1</v>
      </c>
      <c r="I324">
        <f>HomeEdge+VLOOKUP(Table3[[#This Row],[Home]],$A$6:$B$38,2,FALSE)-VLOOKUP(Table3[[#This Row],[Visitor]],$A$6:$B$38,2,FALSE)</f>
        <v>-0.14389136265982327</v>
      </c>
      <c r="J324">
        <f>(Table3[[#This Row],[HomeMargin]]-Table3[[#This Row],[HomeForecast]])^2</f>
        <v>0.73292199892845422</v>
      </c>
    </row>
    <row r="325" spans="4:10" x14ac:dyDescent="0.2">
      <c r="D325" t="s">
        <v>32</v>
      </c>
      <c r="E325">
        <f>'NHL2025-26Results'!C321</f>
        <v>3</v>
      </c>
      <c r="F325" t="s">
        <v>10</v>
      </c>
      <c r="G325">
        <f>'NHL2025-26Results'!E321</f>
        <v>2</v>
      </c>
      <c r="H325">
        <f>Table3[[#This Row],[G_1]]-Table3[[#This Row],[G]]</f>
        <v>-1</v>
      </c>
      <c r="I325">
        <f>HomeEdge+VLOOKUP(Table3[[#This Row],[Home]],$A$6:$B$38,2,FALSE)-VLOOKUP(Table3[[#This Row],[Visitor]],$A$6:$B$38,2,FALSE)</f>
        <v>-0.3146066411691773</v>
      </c>
      <c r="J325">
        <f>(Table3[[#This Row],[HomeMargin]]-Table3[[#This Row],[HomeForecast]])^2</f>
        <v>0.46976405632939694</v>
      </c>
    </row>
    <row r="326" spans="4:10" x14ac:dyDescent="0.2">
      <c r="D326" t="s">
        <v>15</v>
      </c>
      <c r="E326">
        <f>'NHL2025-26Results'!C322</f>
        <v>3</v>
      </c>
      <c r="F326" t="s">
        <v>12</v>
      </c>
      <c r="G326">
        <f>'NHL2025-26Results'!E322</f>
        <v>6</v>
      </c>
      <c r="H326">
        <f>Table3[[#This Row],[G_1]]-Table3[[#This Row],[G]]</f>
        <v>3</v>
      </c>
      <c r="I326">
        <f>HomeEdge+VLOOKUP(Table3[[#This Row],[Home]],$A$6:$B$38,2,FALSE)-VLOOKUP(Table3[[#This Row],[Visitor]],$A$6:$B$38,2,FALSE)</f>
        <v>1.8647929740752003</v>
      </c>
      <c r="J326">
        <f>(Table3[[#This Row],[HomeMargin]]-Table3[[#This Row],[HomeForecast]])^2</f>
        <v>1.2886949917090289</v>
      </c>
    </row>
    <row r="327" spans="4:10" x14ac:dyDescent="0.2">
      <c r="D327" t="s">
        <v>30</v>
      </c>
      <c r="E327">
        <f>'NHL2025-26Results'!C323</f>
        <v>5</v>
      </c>
      <c r="F327" t="s">
        <v>26</v>
      </c>
      <c r="G327">
        <f>'NHL2025-26Results'!E323</f>
        <v>0</v>
      </c>
      <c r="H327">
        <f>Table3[[#This Row],[G_1]]-Table3[[#This Row],[G]]</f>
        <v>-5</v>
      </c>
      <c r="I327">
        <f>HomeEdge+VLOOKUP(Table3[[#This Row],[Home]],$A$6:$B$38,2,FALSE)-VLOOKUP(Table3[[#This Row],[Visitor]],$A$6:$B$38,2,FALSE)</f>
        <v>-1.5226173787282554E-2</v>
      </c>
      <c r="J327">
        <f>(Table3[[#This Row],[HomeMargin]]-Table3[[#This Row],[HomeForecast]])^2</f>
        <v>24.847970098495374</v>
      </c>
    </row>
    <row r="328" spans="4:10" x14ac:dyDescent="0.2">
      <c r="D328" t="s">
        <v>24</v>
      </c>
      <c r="E328">
        <f>'NHL2025-26Results'!C324</f>
        <v>0</v>
      </c>
      <c r="F328" t="s">
        <v>11</v>
      </c>
      <c r="G328">
        <f>'NHL2025-26Results'!E324</f>
        <v>1</v>
      </c>
      <c r="H328">
        <f>Table3[[#This Row],[G_1]]-Table3[[#This Row],[G]]</f>
        <v>1</v>
      </c>
      <c r="I328">
        <f>HomeEdge+VLOOKUP(Table3[[#This Row],[Home]],$A$6:$B$38,2,FALSE)-VLOOKUP(Table3[[#This Row],[Visitor]],$A$6:$B$38,2,FALSE)</f>
        <v>0.31776288987463253</v>
      </c>
      <c r="J328">
        <f>(Table3[[#This Row],[HomeMargin]]-Table3[[#This Row],[HomeForecast]])^2</f>
        <v>0.46544747443221279</v>
      </c>
    </row>
    <row r="329" spans="4:10" x14ac:dyDescent="0.2">
      <c r="D329" t="s">
        <v>22</v>
      </c>
      <c r="E329">
        <f>'NHL2025-26Results'!C325</f>
        <v>8</v>
      </c>
      <c r="F329" t="s">
        <v>18</v>
      </c>
      <c r="G329">
        <f>'NHL2025-26Results'!E325</f>
        <v>4</v>
      </c>
      <c r="H329">
        <f>Table3[[#This Row],[G_1]]-Table3[[#This Row],[G]]</f>
        <v>-4</v>
      </c>
      <c r="I329">
        <f>HomeEdge+VLOOKUP(Table3[[#This Row],[Home]],$A$6:$B$38,2,FALSE)-VLOOKUP(Table3[[#This Row],[Visitor]],$A$6:$B$38,2,FALSE)</f>
        <v>0.16310824088195264</v>
      </c>
      <c r="J329">
        <f>(Table3[[#This Row],[HomeMargin]]-Table3[[#This Row],[HomeForecast]])^2</f>
        <v>17.331470225299228</v>
      </c>
    </row>
    <row r="330" spans="4:10" x14ac:dyDescent="0.2">
      <c r="D330" t="s">
        <v>35</v>
      </c>
      <c r="E330">
        <f>'NHL2025-26Results'!C326</f>
        <v>2</v>
      </c>
      <c r="F330" t="s">
        <v>27</v>
      </c>
      <c r="G330">
        <f>'NHL2025-26Results'!E326</f>
        <v>3</v>
      </c>
      <c r="H330">
        <f>Table3[[#This Row],[G_1]]-Table3[[#This Row],[G]]</f>
        <v>1</v>
      </c>
      <c r="I330">
        <f>HomeEdge+VLOOKUP(Table3[[#This Row],[Home]],$A$6:$B$38,2,FALSE)-VLOOKUP(Table3[[#This Row],[Visitor]],$A$6:$B$38,2,FALSE)</f>
        <v>0.89148491982455791</v>
      </c>
      <c r="J330">
        <f>(Table3[[#This Row],[HomeMargin]]-Table3[[#This Row],[HomeForecast]])^2</f>
        <v>1.1775522625482626E-2</v>
      </c>
    </row>
    <row r="331" spans="4:10" x14ac:dyDescent="0.2">
      <c r="D331" t="s">
        <v>13</v>
      </c>
      <c r="E331">
        <f>'NHL2025-26Results'!C327</f>
        <v>3</v>
      </c>
      <c r="F331" t="s">
        <v>33</v>
      </c>
      <c r="G331">
        <f>'NHL2025-26Results'!E327</f>
        <v>4</v>
      </c>
      <c r="H331">
        <f>Table3[[#This Row],[G_1]]-Table3[[#This Row],[G]]</f>
        <v>1</v>
      </c>
      <c r="I331">
        <f>HomeEdge+VLOOKUP(Table3[[#This Row],[Home]],$A$6:$B$38,2,FALSE)-VLOOKUP(Table3[[#This Row],[Visitor]],$A$6:$B$38,2,FALSE)</f>
        <v>6.7938059762422731E-2</v>
      </c>
      <c r="J331">
        <f>(Table3[[#This Row],[HomeMargin]]-Table3[[#This Row],[HomeForecast]])^2</f>
        <v>0.86873946043943706</v>
      </c>
    </row>
    <row r="332" spans="4:10" x14ac:dyDescent="0.2">
      <c r="D332" t="s">
        <v>17</v>
      </c>
      <c r="E332">
        <f>'NHL2025-26Results'!C328</f>
        <v>1</v>
      </c>
      <c r="F332" t="s">
        <v>37</v>
      </c>
      <c r="G332">
        <f>'NHL2025-26Results'!E328</f>
        <v>2</v>
      </c>
      <c r="H332">
        <f>Table3[[#This Row],[G_1]]-Table3[[#This Row],[G]]</f>
        <v>1</v>
      </c>
      <c r="I332">
        <f>HomeEdge+VLOOKUP(Table3[[#This Row],[Home]],$A$6:$B$38,2,FALSE)-VLOOKUP(Table3[[#This Row],[Visitor]],$A$6:$B$38,2,FALSE)</f>
        <v>1.2153147826521715</v>
      </c>
      <c r="J332">
        <f>(Table3[[#This Row],[HomeMargin]]-Table3[[#This Row],[HomeForecast]])^2</f>
        <v>4.6360455628551865E-2</v>
      </c>
    </row>
    <row r="333" spans="4:10" x14ac:dyDescent="0.2">
      <c r="D333" t="s">
        <v>28</v>
      </c>
      <c r="E333">
        <f>'NHL2025-26Results'!C329</f>
        <v>3</v>
      </c>
      <c r="F333" t="s">
        <v>19</v>
      </c>
      <c r="G333">
        <f>'NHL2025-26Results'!E329</f>
        <v>2</v>
      </c>
      <c r="H333">
        <f>Table3[[#This Row],[G_1]]-Table3[[#This Row],[G]]</f>
        <v>-1</v>
      </c>
      <c r="I333">
        <f>HomeEdge+VLOOKUP(Table3[[#This Row],[Home]],$A$6:$B$38,2,FALSE)-VLOOKUP(Table3[[#This Row],[Visitor]],$A$6:$B$38,2,FALSE)</f>
        <v>-3.1108783741209622E-2</v>
      </c>
      <c r="J333">
        <f>(Table3[[#This Row],[HomeMargin]]-Table3[[#This Row],[HomeForecast]])^2</f>
        <v>0.93875018894343809</v>
      </c>
    </row>
    <row r="334" spans="4:10" x14ac:dyDescent="0.2">
      <c r="D334" t="s">
        <v>20</v>
      </c>
      <c r="E334">
        <f>'NHL2025-26Results'!C330</f>
        <v>4</v>
      </c>
      <c r="F334" t="s">
        <v>55</v>
      </c>
      <c r="G334">
        <f>'NHL2025-26Results'!E330</f>
        <v>1</v>
      </c>
      <c r="H334">
        <f>Table3[[#This Row],[G_1]]-Table3[[#This Row],[G]]</f>
        <v>-3</v>
      </c>
      <c r="I334">
        <f>HomeEdge+VLOOKUP(Table3[[#This Row],[Home]],$A$6:$B$38,2,FALSE)-VLOOKUP(Table3[[#This Row],[Visitor]],$A$6:$B$38,2,FALSE)</f>
        <v>0.37666634585401115</v>
      </c>
      <c r="J334">
        <f>(Table3[[#This Row],[HomeMargin]]-Table3[[#This Row],[HomeForecast]])^2</f>
        <v>11.401875611223081</v>
      </c>
    </row>
    <row r="335" spans="4:10" x14ac:dyDescent="0.2">
      <c r="D335" t="s">
        <v>39</v>
      </c>
      <c r="E335">
        <f>'NHL2025-26Results'!C331</f>
        <v>4</v>
      </c>
      <c r="F335" t="s">
        <v>38</v>
      </c>
      <c r="G335">
        <f>'NHL2025-26Results'!E331</f>
        <v>2</v>
      </c>
      <c r="H335">
        <f>Table3[[#This Row],[G_1]]-Table3[[#This Row],[G]]</f>
        <v>-2</v>
      </c>
      <c r="I335">
        <f>HomeEdge+VLOOKUP(Table3[[#This Row],[Home]],$A$6:$B$38,2,FALSE)-VLOOKUP(Table3[[#This Row],[Visitor]],$A$6:$B$38,2,FALSE)</f>
        <v>-1.4794766249555258</v>
      </c>
      <c r="J335">
        <f>(Table3[[#This Row],[HomeMargin]]-Table3[[#This Row],[HomeForecast]])^2</f>
        <v>0.27094458396769033</v>
      </c>
    </row>
    <row r="336" spans="4:10" x14ac:dyDescent="0.2">
      <c r="D336" t="s">
        <v>10</v>
      </c>
      <c r="E336">
        <f>'NHL2025-26Results'!C332</f>
        <v>3</v>
      </c>
      <c r="F336" t="s">
        <v>23</v>
      </c>
      <c r="G336">
        <f>'NHL2025-26Results'!E332</f>
        <v>9</v>
      </c>
      <c r="H336">
        <f>Table3[[#This Row],[G_1]]-Table3[[#This Row],[G]]</f>
        <v>6</v>
      </c>
      <c r="I336">
        <f>HomeEdge+VLOOKUP(Table3[[#This Row],[Home]],$A$6:$B$38,2,FALSE)-VLOOKUP(Table3[[#This Row],[Visitor]],$A$6:$B$38,2,FALSE)</f>
        <v>1.0643421637763202</v>
      </c>
      <c r="J336">
        <f>(Table3[[#This Row],[HomeMargin]]-Table3[[#This Row],[HomeForecast]])^2</f>
        <v>24.360718276276216</v>
      </c>
    </row>
    <row r="337" spans="4:10" x14ac:dyDescent="0.2">
      <c r="D337" t="s">
        <v>21</v>
      </c>
      <c r="E337">
        <f>'NHL2025-26Results'!C333</f>
        <v>2</v>
      </c>
      <c r="F337" t="s">
        <v>13</v>
      </c>
      <c r="G337">
        <f>'NHL2025-26Results'!E333</f>
        <v>1</v>
      </c>
      <c r="H337">
        <f>Table3[[#This Row],[G_1]]-Table3[[#This Row],[G]]</f>
        <v>-1</v>
      </c>
      <c r="I337">
        <f>HomeEdge+VLOOKUP(Table3[[#This Row],[Home]],$A$6:$B$38,2,FALSE)-VLOOKUP(Table3[[#This Row],[Visitor]],$A$6:$B$38,2,FALSE)</f>
        <v>-0.35855930004254444</v>
      </c>
      <c r="J337">
        <f>(Table3[[#This Row],[HomeMargin]]-Table3[[#This Row],[HomeForecast]])^2</f>
        <v>0.41144617156191055</v>
      </c>
    </row>
    <row r="338" spans="4:10" x14ac:dyDescent="0.2">
      <c r="D338" t="s">
        <v>34</v>
      </c>
      <c r="E338">
        <f>'NHL2025-26Results'!C334</f>
        <v>5</v>
      </c>
      <c r="F338" t="s">
        <v>14</v>
      </c>
      <c r="G338">
        <f>'NHL2025-26Results'!E334</f>
        <v>0</v>
      </c>
      <c r="H338">
        <f>Table3[[#This Row],[G_1]]-Table3[[#This Row],[G]]</f>
        <v>-5</v>
      </c>
      <c r="I338">
        <f>HomeEdge+VLOOKUP(Table3[[#This Row],[Home]],$A$6:$B$38,2,FALSE)-VLOOKUP(Table3[[#This Row],[Visitor]],$A$6:$B$38,2,FALSE)</f>
        <v>6.9158051581319144E-2</v>
      </c>
      <c r="J338">
        <f>(Table3[[#This Row],[HomeMargin]]-Table3[[#This Row],[HomeForecast]])^2</f>
        <v>25.696363351911721</v>
      </c>
    </row>
    <row r="339" spans="4:10" x14ac:dyDescent="0.2">
      <c r="D339" t="s">
        <v>25</v>
      </c>
      <c r="E339">
        <f>'NHL2025-26Results'!C335</f>
        <v>4</v>
      </c>
      <c r="F339" t="s">
        <v>40</v>
      </c>
      <c r="G339">
        <f>'NHL2025-26Results'!E335</f>
        <v>3</v>
      </c>
      <c r="H339">
        <f>Table3[[#This Row],[G_1]]-Table3[[#This Row],[G]]</f>
        <v>-1</v>
      </c>
      <c r="I339">
        <f>HomeEdge+VLOOKUP(Table3[[#This Row],[Home]],$A$6:$B$38,2,FALSE)-VLOOKUP(Table3[[#This Row],[Visitor]],$A$6:$B$38,2,FALSE)</f>
        <v>-0.69133868815171495</v>
      </c>
      <c r="J339">
        <f>(Table3[[#This Row],[HomeMargin]]-Table3[[#This Row],[HomeForecast]])^2</f>
        <v>9.5271805431904277E-2</v>
      </c>
    </row>
    <row r="340" spans="4:10" x14ac:dyDescent="0.2">
      <c r="D340" t="s">
        <v>20</v>
      </c>
      <c r="E340">
        <f>'NHL2025-26Results'!C336</f>
        <v>3</v>
      </c>
      <c r="F340" t="s">
        <v>31</v>
      </c>
      <c r="G340">
        <f>'NHL2025-26Results'!E336</f>
        <v>4</v>
      </c>
      <c r="H340">
        <f>Table3[[#This Row],[G_1]]-Table3[[#This Row],[G]]</f>
        <v>1</v>
      </c>
      <c r="I340">
        <f>HomeEdge+VLOOKUP(Table3[[#This Row],[Home]],$A$6:$B$38,2,FALSE)-VLOOKUP(Table3[[#This Row],[Visitor]],$A$6:$B$38,2,FALSE)</f>
        <v>-0.17103421108818143</v>
      </c>
      <c r="J340">
        <f>(Table3[[#This Row],[HomeMargin]]-Table3[[#This Row],[HomeForecast]])^2</f>
        <v>1.3713211235389196</v>
      </c>
    </row>
    <row r="341" spans="4:10" x14ac:dyDescent="0.2">
      <c r="D341" t="s">
        <v>39</v>
      </c>
      <c r="E341">
        <f>'NHL2025-26Results'!C337</f>
        <v>2</v>
      </c>
      <c r="F341" t="s">
        <v>16</v>
      </c>
      <c r="G341">
        <f>'NHL2025-26Results'!E337</f>
        <v>3</v>
      </c>
      <c r="H341">
        <f>Table3[[#This Row],[G_1]]-Table3[[#This Row],[G]]</f>
        <v>1</v>
      </c>
      <c r="I341">
        <f>HomeEdge+VLOOKUP(Table3[[#This Row],[Home]],$A$6:$B$38,2,FALSE)-VLOOKUP(Table3[[#This Row],[Visitor]],$A$6:$B$38,2,FALSE)</f>
        <v>-0.97778554071857671</v>
      </c>
      <c r="J341">
        <f>(Table3[[#This Row],[HomeMargin]]-Table3[[#This Row],[HomeForecast]])^2</f>
        <v>3.911635645075473</v>
      </c>
    </row>
    <row r="342" spans="4:10" x14ac:dyDescent="0.2">
      <c r="D342" t="s">
        <v>28</v>
      </c>
      <c r="E342">
        <f>'NHL2025-26Results'!C338</f>
        <v>3</v>
      </c>
      <c r="F342" t="s">
        <v>26</v>
      </c>
      <c r="G342">
        <f>'NHL2025-26Results'!E338</f>
        <v>4</v>
      </c>
      <c r="H342">
        <f>Table3[[#This Row],[G_1]]-Table3[[#This Row],[G]]</f>
        <v>1</v>
      </c>
      <c r="I342">
        <f>HomeEdge+VLOOKUP(Table3[[#This Row],[Home]],$A$6:$B$38,2,FALSE)-VLOOKUP(Table3[[#This Row],[Visitor]],$A$6:$B$38,2,FALSE)</f>
        <v>8.0033999364527958E-2</v>
      </c>
      <c r="J342">
        <f>(Table3[[#This Row],[HomeMargin]]-Table3[[#This Row],[HomeForecast]])^2</f>
        <v>0.84633744232522534</v>
      </c>
    </row>
    <row r="343" spans="4:10" x14ac:dyDescent="0.2">
      <c r="D343" t="s">
        <v>17</v>
      </c>
      <c r="E343">
        <f>'NHL2025-26Results'!C339</f>
        <v>6</v>
      </c>
      <c r="F343" t="s">
        <v>11</v>
      </c>
      <c r="G343">
        <f>'NHL2025-26Results'!E339</f>
        <v>3</v>
      </c>
      <c r="H343">
        <f>Table3[[#This Row],[G_1]]-Table3[[#This Row],[G]]</f>
        <v>-3</v>
      </c>
      <c r="I343">
        <f>HomeEdge+VLOOKUP(Table3[[#This Row],[Home]],$A$6:$B$38,2,FALSE)-VLOOKUP(Table3[[#This Row],[Visitor]],$A$6:$B$38,2,FALSE)</f>
        <v>-6.2719195938372441E-2</v>
      </c>
      <c r="J343">
        <f>(Table3[[#This Row],[HomeMargin]]-Table3[[#This Row],[HomeForecast]])^2</f>
        <v>8.6276185219089196</v>
      </c>
    </row>
    <row r="344" spans="4:10" x14ac:dyDescent="0.2">
      <c r="D344" t="s">
        <v>19</v>
      </c>
      <c r="E344">
        <f>'NHL2025-26Results'!C340</f>
        <v>2</v>
      </c>
      <c r="F344" t="s">
        <v>18</v>
      </c>
      <c r="G344">
        <f>'NHL2025-26Results'!E340</f>
        <v>5</v>
      </c>
      <c r="H344">
        <f>Table3[[#This Row],[G_1]]-Table3[[#This Row],[G]]</f>
        <v>3</v>
      </c>
      <c r="I344">
        <f>HomeEdge+VLOOKUP(Table3[[#This Row],[Home]],$A$6:$B$38,2,FALSE)-VLOOKUP(Table3[[#This Row],[Visitor]],$A$6:$B$38,2,FALSE)</f>
        <v>0.48561287733227987</v>
      </c>
      <c r="J344">
        <f>(Table3[[#This Row],[HomeMargin]]-Table3[[#This Row],[HomeForecast]])^2</f>
        <v>6.3221426026372569</v>
      </c>
    </row>
    <row r="345" spans="4:10" x14ac:dyDescent="0.2">
      <c r="D345" t="s">
        <v>12</v>
      </c>
      <c r="E345">
        <f>'NHL2025-26Results'!C341</f>
        <v>3</v>
      </c>
      <c r="F345" t="s">
        <v>29</v>
      </c>
      <c r="G345">
        <f>'NHL2025-26Results'!E341</f>
        <v>0</v>
      </c>
      <c r="H345">
        <f>Table3[[#This Row],[G_1]]-Table3[[#This Row],[G]]</f>
        <v>-3</v>
      </c>
      <c r="I345">
        <f>HomeEdge+VLOOKUP(Table3[[#This Row],[Home]],$A$6:$B$38,2,FALSE)-VLOOKUP(Table3[[#This Row],[Visitor]],$A$6:$B$38,2,FALSE)</f>
        <v>-1.6896246588961064</v>
      </c>
      <c r="J345">
        <f>(Table3[[#This Row],[HomeMargin]]-Table3[[#This Row],[HomeForecast]])^2</f>
        <v>1.7170835345731457</v>
      </c>
    </row>
    <row r="346" spans="4:10" x14ac:dyDescent="0.2">
      <c r="D346" t="s">
        <v>35</v>
      </c>
      <c r="E346">
        <f>'NHL2025-26Results'!C342</f>
        <v>2</v>
      </c>
      <c r="F346" t="s">
        <v>30</v>
      </c>
      <c r="G346">
        <f>'NHL2025-26Results'!E342</f>
        <v>1</v>
      </c>
      <c r="H346">
        <f>Table3[[#This Row],[G_1]]-Table3[[#This Row],[G]]</f>
        <v>-1</v>
      </c>
      <c r="I346">
        <f>HomeEdge+VLOOKUP(Table3[[#This Row],[Home]],$A$6:$B$38,2,FALSE)-VLOOKUP(Table3[[#This Row],[Visitor]],$A$6:$B$38,2,FALSE)</f>
        <v>1.2561596335340177</v>
      </c>
      <c r="J346">
        <f>(Table3[[#This Row],[HomeMargin]]-Table3[[#This Row],[HomeForecast]])^2</f>
        <v>5.0902562919883518</v>
      </c>
    </row>
    <row r="347" spans="4:10" x14ac:dyDescent="0.2">
      <c r="D347" t="s">
        <v>24</v>
      </c>
      <c r="E347">
        <f>'NHL2025-26Results'!C343</f>
        <v>3</v>
      </c>
      <c r="F347" t="s">
        <v>27</v>
      </c>
      <c r="G347">
        <f>'NHL2025-26Results'!E343</f>
        <v>6</v>
      </c>
      <c r="H347">
        <f>Table3[[#This Row],[G_1]]-Table3[[#This Row],[G]]</f>
        <v>3</v>
      </c>
      <c r="I347">
        <f>HomeEdge+VLOOKUP(Table3[[#This Row],[Home]],$A$6:$B$38,2,FALSE)-VLOOKUP(Table3[[#This Row],[Visitor]],$A$6:$B$38,2,FALSE)</f>
        <v>0.32373568184769119</v>
      </c>
      <c r="J347">
        <f>(Table3[[#This Row],[HomeMargin]]-Table3[[#This Row],[HomeForecast]])^2</f>
        <v>7.1623907006152416</v>
      </c>
    </row>
    <row r="348" spans="4:10" x14ac:dyDescent="0.2">
      <c r="D348" t="s">
        <v>32</v>
      </c>
      <c r="E348">
        <f>'NHL2025-26Results'!C344</f>
        <v>3</v>
      </c>
      <c r="F348" t="s">
        <v>14</v>
      </c>
      <c r="G348">
        <f>'NHL2025-26Results'!E344</f>
        <v>2</v>
      </c>
      <c r="H348">
        <f>Table3[[#This Row],[G_1]]-Table3[[#This Row],[G]]</f>
        <v>-1</v>
      </c>
      <c r="I348">
        <f>HomeEdge+VLOOKUP(Table3[[#This Row],[Home]],$A$6:$B$38,2,FALSE)-VLOOKUP(Table3[[#This Row],[Visitor]],$A$6:$B$38,2,FALSE)</f>
        <v>0.61201048970303717</v>
      </c>
      <c r="J348">
        <f>(Table3[[#This Row],[HomeMargin]]-Table3[[#This Row],[HomeForecast]])^2</f>
        <v>2.5985778189126258</v>
      </c>
    </row>
    <row r="349" spans="4:10" x14ac:dyDescent="0.2">
      <c r="D349" t="s">
        <v>36</v>
      </c>
      <c r="E349">
        <f>'NHL2025-26Results'!C345</f>
        <v>3</v>
      </c>
      <c r="F349" t="s">
        <v>33</v>
      </c>
      <c r="G349">
        <f>'NHL2025-26Results'!E345</f>
        <v>2</v>
      </c>
      <c r="H349">
        <f>Table3[[#This Row],[G_1]]-Table3[[#This Row],[G]]</f>
        <v>-1</v>
      </c>
      <c r="I349">
        <f>HomeEdge+VLOOKUP(Table3[[#This Row],[Home]],$A$6:$B$38,2,FALSE)-VLOOKUP(Table3[[#This Row],[Visitor]],$A$6:$B$38,2,FALSE)</f>
        <v>-0.3326513564800051</v>
      </c>
      <c r="J349">
        <f>(Table3[[#This Row],[HomeMargin]]-Table3[[#This Row],[HomeForecast]])^2</f>
        <v>0.44535421200797726</v>
      </c>
    </row>
    <row r="350" spans="4:10" x14ac:dyDescent="0.2">
      <c r="D350" t="s">
        <v>15</v>
      </c>
      <c r="E350">
        <f>'NHL2025-26Results'!C346</f>
        <v>2</v>
      </c>
      <c r="F350" t="s">
        <v>55</v>
      </c>
      <c r="G350">
        <f>'NHL2025-26Results'!E346</f>
        <v>3</v>
      </c>
      <c r="H350">
        <f>Table3[[#This Row],[G_1]]-Table3[[#This Row],[G]]</f>
        <v>1</v>
      </c>
      <c r="I350">
        <f>HomeEdge+VLOOKUP(Table3[[#This Row],[Home]],$A$6:$B$38,2,FALSE)-VLOOKUP(Table3[[#This Row],[Visitor]],$A$6:$B$38,2,FALSE)</f>
        <v>0.95022086640416903</v>
      </c>
      <c r="J350">
        <f>(Table3[[#This Row],[HomeMargin]]-Table3[[#This Row],[HomeForecast]])^2</f>
        <v>2.4779621415515875E-3</v>
      </c>
    </row>
    <row r="351" spans="4:10" x14ac:dyDescent="0.2">
      <c r="D351" t="s">
        <v>37</v>
      </c>
      <c r="E351">
        <f>'NHL2025-26Results'!C347</f>
        <v>5</v>
      </c>
      <c r="F351" t="s">
        <v>22</v>
      </c>
      <c r="G351">
        <f>'NHL2025-26Results'!E347</f>
        <v>3</v>
      </c>
      <c r="H351">
        <f>Table3[[#This Row],[G_1]]-Table3[[#This Row],[G]]</f>
        <v>-2</v>
      </c>
      <c r="I351">
        <f>HomeEdge+VLOOKUP(Table3[[#This Row],[Home]],$A$6:$B$38,2,FALSE)-VLOOKUP(Table3[[#This Row],[Visitor]],$A$6:$B$38,2,FALSE)</f>
        <v>-0.7112507933507185</v>
      </c>
      <c r="J351">
        <f>(Table3[[#This Row],[HomeMargin]]-Table3[[#This Row],[HomeForecast]])^2</f>
        <v>1.6608745176391522</v>
      </c>
    </row>
    <row r="352" spans="4:10" x14ac:dyDescent="0.2">
      <c r="D352" t="s">
        <v>25</v>
      </c>
      <c r="E352">
        <f>'NHL2025-26Results'!C348</f>
        <v>1</v>
      </c>
      <c r="F352" t="s">
        <v>23</v>
      </c>
      <c r="G352">
        <f>'NHL2025-26Results'!E348</f>
        <v>4</v>
      </c>
      <c r="H352">
        <f>Table3[[#This Row],[G_1]]-Table3[[#This Row],[G]]</f>
        <v>3</v>
      </c>
      <c r="I352">
        <f>HomeEdge+VLOOKUP(Table3[[#This Row],[Home]],$A$6:$B$38,2,FALSE)-VLOOKUP(Table3[[#This Row],[Visitor]],$A$6:$B$38,2,FALSE)</f>
        <v>-9.4732819065449753E-2</v>
      </c>
      <c r="J352">
        <f>(Table3[[#This Row],[HomeMargin]]-Table3[[#This Row],[HomeForecast]])^2</f>
        <v>9.5773712214007851</v>
      </c>
    </row>
    <row r="353" spans="4:10" x14ac:dyDescent="0.2">
      <c r="D353" t="s">
        <v>12</v>
      </c>
      <c r="E353">
        <f>'NHL2025-26Results'!C349</f>
        <v>1</v>
      </c>
      <c r="F353" t="s">
        <v>10</v>
      </c>
      <c r="G353">
        <f>'NHL2025-26Results'!E349</f>
        <v>0</v>
      </c>
      <c r="H353">
        <f>Table3[[#This Row],[G_1]]-Table3[[#This Row],[G]]</f>
        <v>-1</v>
      </c>
      <c r="I353">
        <f>HomeEdge+VLOOKUP(Table3[[#This Row],[Home]],$A$6:$B$38,2,FALSE)-VLOOKUP(Table3[[#This Row],[Visitor]],$A$6:$B$38,2,FALSE)</f>
        <v>-1.7956406290468723</v>
      </c>
      <c r="J353">
        <f>(Table3[[#This Row],[HomeMargin]]-Table3[[#This Row],[HomeForecast]])^2</f>
        <v>0.63304401059010262</v>
      </c>
    </row>
    <row r="354" spans="4:10" x14ac:dyDescent="0.2">
      <c r="D354" t="s">
        <v>32</v>
      </c>
      <c r="E354">
        <f>'NHL2025-26Results'!C350</f>
        <v>0</v>
      </c>
      <c r="F354" t="s">
        <v>30</v>
      </c>
      <c r="G354">
        <f>'NHL2025-26Results'!E350</f>
        <v>1</v>
      </c>
      <c r="H354">
        <f>Table3[[#This Row],[G_1]]-Table3[[#This Row],[G]]</f>
        <v>1</v>
      </c>
      <c r="I354">
        <f>HomeEdge+VLOOKUP(Table3[[#This Row],[Home]],$A$6:$B$38,2,FALSE)-VLOOKUP(Table3[[#This Row],[Visitor]],$A$6:$B$38,2,FALSE)</f>
        <v>0.42566951460727898</v>
      </c>
      <c r="J354">
        <f>(Table3[[#This Row],[HomeMargin]]-Table3[[#This Row],[HomeForecast]])^2</f>
        <v>0.32985550645143852</v>
      </c>
    </row>
    <row r="355" spans="4:10" x14ac:dyDescent="0.2">
      <c r="D355" t="s">
        <v>21</v>
      </c>
      <c r="E355">
        <f>'NHL2025-26Results'!C351</f>
        <v>1</v>
      </c>
      <c r="F355" t="s">
        <v>33</v>
      </c>
      <c r="G355">
        <f>'NHL2025-26Results'!E351</f>
        <v>3</v>
      </c>
      <c r="H355">
        <f>Table3[[#This Row],[G_1]]-Table3[[#This Row],[G]]</f>
        <v>2</v>
      </c>
      <c r="I355">
        <f>HomeEdge+VLOOKUP(Table3[[#This Row],[Home]],$A$6:$B$38,2,FALSE)-VLOOKUP(Table3[[#This Row],[Visitor]],$A$6:$B$38,2,FALSE)</f>
        <v>-0.42022822609164578</v>
      </c>
      <c r="J355">
        <f>(Table3[[#This Row],[HomeMargin]]-Table3[[#This Row],[HomeForecast]])^2</f>
        <v>5.8575046663707138</v>
      </c>
    </row>
    <row r="356" spans="4:10" x14ac:dyDescent="0.2">
      <c r="D356" t="s">
        <v>16</v>
      </c>
      <c r="E356">
        <f>'NHL2025-26Results'!C352</f>
        <v>5</v>
      </c>
      <c r="F356" t="s">
        <v>38</v>
      </c>
      <c r="G356">
        <f>'NHL2025-26Results'!E352</f>
        <v>2</v>
      </c>
      <c r="H356">
        <f>Table3[[#This Row],[G_1]]-Table3[[#This Row],[G]]</f>
        <v>-3</v>
      </c>
      <c r="I356">
        <f>HomeEdge+VLOOKUP(Table3[[#This Row],[Home]],$A$6:$B$38,2,FALSE)-VLOOKUP(Table3[[#This Row],[Visitor]],$A$6:$B$38,2,FALSE)</f>
        <v>-0.372084098425425</v>
      </c>
      <c r="J356">
        <f>(Table3[[#This Row],[HomeMargin]]-Table3[[#This Row],[HomeForecast]])^2</f>
        <v>6.9059419857485098</v>
      </c>
    </row>
    <row r="357" spans="4:10" x14ac:dyDescent="0.2">
      <c r="D357" t="s">
        <v>34</v>
      </c>
      <c r="E357">
        <f>'NHL2025-26Results'!C353</f>
        <v>3</v>
      </c>
      <c r="F357" t="s">
        <v>40</v>
      </c>
      <c r="G357">
        <f>'NHL2025-26Results'!E353</f>
        <v>0</v>
      </c>
      <c r="H357">
        <f>Table3[[#This Row],[G_1]]-Table3[[#This Row],[G]]</f>
        <v>-3</v>
      </c>
      <c r="I357">
        <f>HomeEdge+VLOOKUP(Table3[[#This Row],[Home]],$A$6:$B$38,2,FALSE)-VLOOKUP(Table3[[#This Row],[Visitor]],$A$6:$B$38,2,FALSE)</f>
        <v>-0.51932977041236439</v>
      </c>
      <c r="J357">
        <f>(Table3[[#This Row],[HomeMargin]]-Table3[[#This Row],[HomeForecast]])^2</f>
        <v>6.1537247879623722</v>
      </c>
    </row>
    <row r="358" spans="4:10" x14ac:dyDescent="0.2">
      <c r="D358" t="s">
        <v>36</v>
      </c>
      <c r="E358">
        <f>'NHL2025-26Results'!C354</f>
        <v>1</v>
      </c>
      <c r="F358" t="s">
        <v>13</v>
      </c>
      <c r="G358">
        <f>'NHL2025-26Results'!E354</f>
        <v>2</v>
      </c>
      <c r="H358">
        <f>Table3[[#This Row],[G_1]]-Table3[[#This Row],[G]]</f>
        <v>1</v>
      </c>
      <c r="I358">
        <f>HomeEdge+VLOOKUP(Table3[[#This Row],[Home]],$A$6:$B$38,2,FALSE)-VLOOKUP(Table3[[#This Row],[Visitor]],$A$6:$B$38,2,FALSE)</f>
        <v>-0.27098243043090375</v>
      </c>
      <c r="J358">
        <f>(Table3[[#This Row],[HomeMargin]]-Table3[[#This Row],[HomeForecast]])^2</f>
        <v>1.6153963384640473</v>
      </c>
    </row>
    <row r="359" spans="4:10" x14ac:dyDescent="0.2">
      <c r="D359" t="s">
        <v>26</v>
      </c>
      <c r="E359">
        <f>'NHL2025-26Results'!C355</f>
        <v>3</v>
      </c>
      <c r="F359" t="s">
        <v>24</v>
      </c>
      <c r="G359">
        <f>'NHL2025-26Results'!E355</f>
        <v>4</v>
      </c>
      <c r="H359">
        <f>Table3[[#This Row],[G_1]]-Table3[[#This Row],[G]]</f>
        <v>1</v>
      </c>
      <c r="I359">
        <f>HomeEdge+VLOOKUP(Table3[[#This Row],[Home]],$A$6:$B$38,2,FALSE)-VLOOKUP(Table3[[#This Row],[Visitor]],$A$6:$B$38,2,FALSE)</f>
        <v>-0.28436326433529613</v>
      </c>
      <c r="J359">
        <f>(Table3[[#This Row],[HomeMargin]]-Table3[[#This Row],[HomeForecast]])^2</f>
        <v>1.6495889947740181</v>
      </c>
    </row>
    <row r="360" spans="4:10" x14ac:dyDescent="0.2">
      <c r="D360" t="s">
        <v>11</v>
      </c>
      <c r="E360">
        <f>'NHL2025-26Results'!C356</f>
        <v>8</v>
      </c>
      <c r="F360" t="s">
        <v>29</v>
      </c>
      <c r="G360">
        <f>'NHL2025-26Results'!E356</f>
        <v>3</v>
      </c>
      <c r="H360">
        <f>Table3[[#This Row],[G_1]]-Table3[[#This Row],[G]]</f>
        <v>-5</v>
      </c>
      <c r="I360">
        <f>HomeEdge+VLOOKUP(Table3[[#This Row],[Home]],$A$6:$B$38,2,FALSE)-VLOOKUP(Table3[[#This Row],[Visitor]],$A$6:$B$38,2,FALSE)</f>
        <v>-0.13400569413164776</v>
      </c>
      <c r="J360">
        <f>(Table3[[#This Row],[HomeMargin]]-Table3[[#This Row],[HomeForecast]])^2</f>
        <v>23.677900584743231</v>
      </c>
    </row>
    <row r="361" spans="4:10" x14ac:dyDescent="0.2">
      <c r="D361" t="s">
        <v>35</v>
      </c>
      <c r="E361">
        <f>'NHL2025-26Results'!C357</f>
        <v>2</v>
      </c>
      <c r="F361" t="s">
        <v>15</v>
      </c>
      <c r="G361">
        <f>'NHL2025-26Results'!E357</f>
        <v>3</v>
      </c>
      <c r="H361">
        <f>Table3[[#This Row],[G_1]]-Table3[[#This Row],[G]]</f>
        <v>1</v>
      </c>
      <c r="I361">
        <f>HomeEdge+VLOOKUP(Table3[[#This Row],[Home]],$A$6:$B$38,2,FALSE)-VLOOKUP(Table3[[#This Row],[Visitor]],$A$6:$B$38,2,FALSE)</f>
        <v>0.70594510435228153</v>
      </c>
      <c r="J361">
        <f>(Table3[[#This Row],[HomeMargin]]-Table3[[#This Row],[HomeForecast]])^2</f>
        <v>8.6468281654390605E-2</v>
      </c>
    </row>
    <row r="362" spans="4:10" x14ac:dyDescent="0.2">
      <c r="D362" t="s">
        <v>27</v>
      </c>
      <c r="E362">
        <f>'NHL2025-26Results'!C358</f>
        <v>0</v>
      </c>
      <c r="F362" t="s">
        <v>37</v>
      </c>
      <c r="G362">
        <f>'NHL2025-26Results'!E358</f>
        <v>3</v>
      </c>
      <c r="H362">
        <f>Table3[[#This Row],[G_1]]-Table3[[#This Row],[G]]</f>
        <v>3</v>
      </c>
      <c r="I362">
        <f>HomeEdge+VLOOKUP(Table3[[#This Row],[Home]],$A$6:$B$38,2,FALSE)-VLOOKUP(Table3[[#This Row],[Visitor]],$A$6:$B$38,2,FALSE)</f>
        <v>1.4016681724290094</v>
      </c>
      <c r="J362">
        <f>(Table3[[#This Row],[HomeMargin]]-Table3[[#This Row],[HomeForecast]])^2</f>
        <v>2.5546646310264229</v>
      </c>
    </row>
    <row r="363" spans="4:10" x14ac:dyDescent="0.2">
      <c r="D363" t="s">
        <v>20</v>
      </c>
      <c r="E363">
        <f>'NHL2025-26Results'!C359</f>
        <v>1</v>
      </c>
      <c r="F363" t="s">
        <v>55</v>
      </c>
      <c r="G363">
        <f>'NHL2025-26Results'!E359</f>
        <v>5</v>
      </c>
      <c r="H363">
        <f>Table3[[#This Row],[G_1]]-Table3[[#This Row],[G]]</f>
        <v>4</v>
      </c>
      <c r="I363">
        <f>HomeEdge+VLOOKUP(Table3[[#This Row],[Home]],$A$6:$B$38,2,FALSE)-VLOOKUP(Table3[[#This Row],[Visitor]],$A$6:$B$38,2,FALSE)</f>
        <v>0.37666634585401115</v>
      </c>
      <c r="J363">
        <f>(Table3[[#This Row],[HomeMargin]]-Table3[[#This Row],[HomeForecast]])^2</f>
        <v>13.128546769266922</v>
      </c>
    </row>
    <row r="364" spans="4:10" x14ac:dyDescent="0.2">
      <c r="D364" t="s">
        <v>28</v>
      </c>
      <c r="E364">
        <f>'NHL2025-26Results'!C360</f>
        <v>1</v>
      </c>
      <c r="F364" t="s">
        <v>22</v>
      </c>
      <c r="G364">
        <f>'NHL2025-26Results'!E360</f>
        <v>5</v>
      </c>
      <c r="H364">
        <f>Table3[[#This Row],[G_1]]-Table3[[#This Row],[G]]</f>
        <v>4</v>
      </c>
      <c r="I364">
        <f>HomeEdge+VLOOKUP(Table3[[#This Row],[Home]],$A$6:$B$38,2,FALSE)-VLOOKUP(Table3[[#This Row],[Visitor]],$A$6:$B$38,2,FALSE)</f>
        <v>0.29139585270911761</v>
      </c>
      <c r="J364">
        <f>(Table3[[#This Row],[HomeMargin]]-Table3[[#This Row],[HomeForecast]])^2</f>
        <v>13.753744721303132</v>
      </c>
    </row>
    <row r="365" spans="4:10" x14ac:dyDescent="0.2">
      <c r="D365" t="s">
        <v>39</v>
      </c>
      <c r="E365">
        <f>'NHL2025-26Results'!C361</f>
        <v>8</v>
      </c>
      <c r="F365" t="s">
        <v>17</v>
      </c>
      <c r="G365">
        <f>'NHL2025-26Results'!E361</f>
        <v>3</v>
      </c>
      <c r="H365">
        <f>Table3[[#This Row],[G_1]]-Table3[[#This Row],[G]]</f>
        <v>-5</v>
      </c>
      <c r="I365">
        <f>HomeEdge+VLOOKUP(Table3[[#This Row],[Home]],$A$6:$B$38,2,FALSE)-VLOOKUP(Table3[[#This Row],[Visitor]],$A$6:$B$38,2,FALSE)</f>
        <v>-0.45209927158465035</v>
      </c>
      <c r="J365">
        <f>(Table3[[#This Row],[HomeMargin]]-Table3[[#This Row],[HomeForecast]])^2</f>
        <v>20.683401035520866</v>
      </c>
    </row>
    <row r="366" spans="4:10" x14ac:dyDescent="0.2">
      <c r="D366" t="s">
        <v>38</v>
      </c>
      <c r="E366">
        <f>'NHL2025-26Results'!C362</f>
        <v>5</v>
      </c>
      <c r="F366" t="s">
        <v>31</v>
      </c>
      <c r="G366">
        <f>'NHL2025-26Results'!E362</f>
        <v>4</v>
      </c>
      <c r="H366">
        <f>Table3[[#This Row],[G_1]]-Table3[[#This Row],[G]]</f>
        <v>-1</v>
      </c>
      <c r="I366">
        <f>HomeEdge+VLOOKUP(Table3[[#This Row],[Home]],$A$6:$B$38,2,FALSE)-VLOOKUP(Table3[[#This Row],[Visitor]],$A$6:$B$38,2,FALSE)</f>
        <v>1.0580044575837377</v>
      </c>
      <c r="J366">
        <f>(Table3[[#This Row],[HomeMargin]]-Table3[[#This Row],[HomeForecast]])^2</f>
        <v>4.235382347434534</v>
      </c>
    </row>
    <row r="367" spans="4:10" x14ac:dyDescent="0.2">
      <c r="D367" t="s">
        <v>15</v>
      </c>
      <c r="E367">
        <f>'NHL2025-26Results'!C363</f>
        <v>4</v>
      </c>
      <c r="F367" t="s">
        <v>25</v>
      </c>
      <c r="G367">
        <f>'NHL2025-26Results'!E363</f>
        <v>2</v>
      </c>
      <c r="H367">
        <f>Table3[[#This Row],[G_1]]-Table3[[#This Row],[G]]</f>
        <v>-2</v>
      </c>
      <c r="I367">
        <f>HomeEdge+VLOOKUP(Table3[[#This Row],[Home]],$A$6:$B$38,2,FALSE)-VLOOKUP(Table3[[#This Row],[Visitor]],$A$6:$B$38,2,FALSE)</f>
        <v>1.0986203420585738</v>
      </c>
      <c r="J367">
        <f>(Table3[[#This Row],[HomeMargin]]-Table3[[#This Row],[HomeForecast]])^2</f>
        <v>9.6014480242191933</v>
      </c>
    </row>
    <row r="368" spans="4:10" x14ac:dyDescent="0.2">
      <c r="D368" t="s">
        <v>19</v>
      </c>
      <c r="E368">
        <f>'NHL2025-26Results'!C364</f>
        <v>2</v>
      </c>
      <c r="F368" t="s">
        <v>28</v>
      </c>
      <c r="G368">
        <f>'NHL2025-26Results'!E364</f>
        <v>1</v>
      </c>
      <c r="H368">
        <f>Table3[[#This Row],[G_1]]-Table3[[#This Row],[G]]</f>
        <v>-1</v>
      </c>
      <c r="I368">
        <f>HomeEdge+VLOOKUP(Table3[[#This Row],[Home]],$A$6:$B$38,2,FALSE)-VLOOKUP(Table3[[#This Row],[Visitor]],$A$6:$B$38,2,FALSE)</f>
        <v>0.29032275536425778</v>
      </c>
      <c r="J368">
        <f>(Table3[[#This Row],[HomeMargin]]-Table3[[#This Row],[HomeForecast]])^2</f>
        <v>1.6649328130108103</v>
      </c>
    </row>
    <row r="369" spans="4:10" x14ac:dyDescent="0.2">
      <c r="D369" t="s">
        <v>34</v>
      </c>
      <c r="E369">
        <f>'NHL2025-26Results'!C365</f>
        <v>4</v>
      </c>
      <c r="F369" t="s">
        <v>10</v>
      </c>
      <c r="G369">
        <f>'NHL2025-26Results'!E365</f>
        <v>3</v>
      </c>
      <c r="H369">
        <f>Table3[[#This Row],[G_1]]-Table3[[#This Row],[G]]</f>
        <v>-1</v>
      </c>
      <c r="I369">
        <f>HomeEdge+VLOOKUP(Table3[[#This Row],[Home]],$A$6:$B$38,2,FALSE)-VLOOKUP(Table3[[#This Row],[Visitor]],$A$6:$B$38,2,FALSE)</f>
        <v>-0.85745907929089527</v>
      </c>
      <c r="J369">
        <f>(Table3[[#This Row],[HomeMargin]]-Table3[[#This Row],[HomeForecast]])^2</f>
        <v>2.0317914076599282E-2</v>
      </c>
    </row>
    <row r="370" spans="4:10" x14ac:dyDescent="0.2">
      <c r="D370" t="s">
        <v>33</v>
      </c>
      <c r="E370">
        <f>'NHL2025-26Results'!C366</f>
        <v>0</v>
      </c>
      <c r="F370" t="s">
        <v>12</v>
      </c>
      <c r="G370">
        <f>'NHL2025-26Results'!E366</f>
        <v>6</v>
      </c>
      <c r="H370">
        <f>Table3[[#This Row],[G_1]]-Table3[[#This Row],[G]]</f>
        <v>6</v>
      </c>
      <c r="I370">
        <f>HomeEdge+VLOOKUP(Table3[[#This Row],[Home]],$A$6:$B$38,2,FALSE)-VLOOKUP(Table3[[#This Row],[Visitor]],$A$6:$B$38,2,FALSE)</f>
        <v>1.7806396442449297</v>
      </c>
      <c r="J370">
        <f>(Table3[[#This Row],[HomeMargin]]-Table3[[#This Row],[HomeForecast]])^2</f>
        <v>17.80300181171755</v>
      </c>
    </row>
    <row r="371" spans="4:10" x14ac:dyDescent="0.2">
      <c r="D371" t="s">
        <v>29</v>
      </c>
      <c r="E371">
        <f>'NHL2025-26Results'!C367</f>
        <v>6</v>
      </c>
      <c r="F371" t="s">
        <v>26</v>
      </c>
      <c r="G371">
        <f>'NHL2025-26Results'!E367</f>
        <v>3</v>
      </c>
      <c r="H371">
        <f>Table3[[#This Row],[G_1]]-Table3[[#This Row],[G]]</f>
        <v>-3</v>
      </c>
      <c r="I371">
        <f>HomeEdge+VLOOKUP(Table3[[#This Row],[Home]],$A$6:$B$38,2,FALSE)-VLOOKUP(Table3[[#This Row],[Visitor]],$A$6:$B$38,2,FALSE)</f>
        <v>0.61903401183840767</v>
      </c>
      <c r="J371">
        <f>(Table3[[#This Row],[HomeMargin]]-Table3[[#This Row],[HomeForecast]])^2</f>
        <v>13.0974071788432</v>
      </c>
    </row>
    <row r="372" spans="4:10" x14ac:dyDescent="0.2">
      <c r="D372" t="s">
        <v>27</v>
      </c>
      <c r="E372">
        <f>'NHL2025-26Results'!C368</f>
        <v>4</v>
      </c>
      <c r="F372" t="s">
        <v>11</v>
      </c>
      <c r="G372">
        <f>'NHL2025-26Results'!E368</f>
        <v>2</v>
      </c>
      <c r="H372">
        <f>Table3[[#This Row],[G_1]]-Table3[[#This Row],[G]]</f>
        <v>-2</v>
      </c>
      <c r="I372">
        <f>HomeEdge+VLOOKUP(Table3[[#This Row],[Home]],$A$6:$B$38,2,FALSE)-VLOOKUP(Table3[[#This Row],[Visitor]],$A$6:$B$38,2,FALSE)</f>
        <v>0.12363419383846541</v>
      </c>
      <c r="J372">
        <f>(Table3[[#This Row],[HomeMargin]]-Table3[[#This Row],[HomeForecast]])^2</f>
        <v>4.5098221892399488</v>
      </c>
    </row>
    <row r="373" spans="4:10" x14ac:dyDescent="0.2">
      <c r="D373" t="s">
        <v>35</v>
      </c>
      <c r="E373">
        <f>'NHL2025-26Results'!C369</f>
        <v>2</v>
      </c>
      <c r="F373" t="s">
        <v>24</v>
      </c>
      <c r="G373">
        <f>'NHL2025-26Results'!E369</f>
        <v>3</v>
      </c>
      <c r="H373">
        <f>Table3[[#This Row],[G_1]]-Table3[[#This Row],[G]]</f>
        <v>1</v>
      </c>
      <c r="I373">
        <f>HomeEdge+VLOOKUP(Table3[[#This Row],[Home]],$A$6:$B$38,2,FALSE)-VLOOKUP(Table3[[#This Row],[Visitor]],$A$6:$B$38,2,FALSE)</f>
        <v>0.69735622378839079</v>
      </c>
      <c r="J373">
        <f>(Table3[[#This Row],[HomeMargin]]-Table3[[#This Row],[HomeForecast]])^2</f>
        <v>9.1593255279622587E-2</v>
      </c>
    </row>
    <row r="374" spans="4:10" x14ac:dyDescent="0.2">
      <c r="D374" t="s">
        <v>21</v>
      </c>
      <c r="E374">
        <f>'NHL2025-26Results'!C370</f>
        <v>3</v>
      </c>
      <c r="F374" t="s">
        <v>30</v>
      </c>
      <c r="G374">
        <f>'NHL2025-26Results'!E370</f>
        <v>1</v>
      </c>
      <c r="H374">
        <f>Table3[[#This Row],[G_1]]-Table3[[#This Row],[G]]</f>
        <v>-2</v>
      </c>
      <c r="I374">
        <f>HomeEdge+VLOOKUP(Table3[[#This Row],[Home]],$A$6:$B$38,2,FALSE)-VLOOKUP(Table3[[#This Row],[Visitor]],$A$6:$B$38,2,FALSE)</f>
        <v>4.5832973259819804E-2</v>
      </c>
      <c r="J374">
        <f>(Table3[[#This Row],[HomeMargin]]-Table3[[#This Row],[HomeForecast]])^2</f>
        <v>4.1854325544771145</v>
      </c>
    </row>
    <row r="375" spans="4:10" x14ac:dyDescent="0.2">
      <c r="D375" t="s">
        <v>23</v>
      </c>
      <c r="E375">
        <f>'NHL2025-26Results'!C371</f>
        <v>2</v>
      </c>
      <c r="F375" t="s">
        <v>14</v>
      </c>
      <c r="G375">
        <f>'NHL2025-26Results'!E371</f>
        <v>4</v>
      </c>
      <c r="H375">
        <f>Table3[[#This Row],[G_1]]-Table3[[#This Row],[G]]</f>
        <v>2</v>
      </c>
      <c r="I375">
        <f>HomeEdge+VLOOKUP(Table3[[#This Row],[Home]],$A$6:$B$38,2,FALSE)-VLOOKUP(Table3[[#This Row],[Visitor]],$A$6:$B$38,2,FALSE)</f>
        <v>0.12148893871894245</v>
      </c>
      <c r="J375">
        <f>(Table3[[#This Row],[HomeMargin]]-Table3[[#This Row],[HomeForecast]])^2</f>
        <v>3.5288038073552852</v>
      </c>
    </row>
    <row r="376" spans="4:10" x14ac:dyDescent="0.2">
      <c r="D376" t="s">
        <v>39</v>
      </c>
      <c r="E376">
        <f>'NHL2025-26Results'!C372</f>
        <v>3</v>
      </c>
      <c r="F376" t="s">
        <v>32</v>
      </c>
      <c r="G376">
        <f>'NHL2025-26Results'!E372</f>
        <v>2</v>
      </c>
      <c r="H376">
        <f>Table3[[#This Row],[G_1]]-Table3[[#This Row],[G]]</f>
        <v>-1</v>
      </c>
      <c r="I376">
        <f>HomeEdge+VLOOKUP(Table3[[#This Row],[Home]],$A$6:$B$38,2,FALSE)-VLOOKUP(Table3[[#This Row],[Visitor]],$A$6:$B$38,2,FALSE)</f>
        <v>-0.56984047644778335</v>
      </c>
      <c r="J376">
        <f>(Table3[[#This Row],[HomeMargin]]-Table3[[#This Row],[HomeForecast]])^2</f>
        <v>0.18503721570267004</v>
      </c>
    </row>
    <row r="377" spans="4:10" x14ac:dyDescent="0.2">
      <c r="D377" t="s">
        <v>16</v>
      </c>
      <c r="E377">
        <f>'NHL2025-26Results'!C373</f>
        <v>1</v>
      </c>
      <c r="F377" t="s">
        <v>37</v>
      </c>
      <c r="G377">
        <f>'NHL2025-26Results'!E373</f>
        <v>5</v>
      </c>
      <c r="H377">
        <f>Table3[[#This Row],[G_1]]-Table3[[#This Row],[G]]</f>
        <v>4</v>
      </c>
      <c r="I377">
        <f>HomeEdge+VLOOKUP(Table3[[#This Row],[Home]],$A$6:$B$38,2,FALSE)-VLOOKUP(Table3[[#This Row],[Visitor]],$A$6:$B$38,2,FALSE)</f>
        <v>1.7410010517860979</v>
      </c>
      <c r="J377">
        <f>(Table3[[#This Row],[HomeMargin]]-Table3[[#This Row],[HomeForecast]])^2</f>
        <v>5.1030762480315159</v>
      </c>
    </row>
    <row r="378" spans="4:10" x14ac:dyDescent="0.2">
      <c r="D378" t="s">
        <v>18</v>
      </c>
      <c r="E378">
        <f>'NHL2025-26Results'!C374</f>
        <v>4</v>
      </c>
      <c r="F378" t="s">
        <v>55</v>
      </c>
      <c r="G378">
        <f>'NHL2025-26Results'!E374</f>
        <v>3</v>
      </c>
      <c r="H378">
        <f>Table3[[#This Row],[G_1]]-Table3[[#This Row],[G]]</f>
        <v>-1</v>
      </c>
      <c r="I378">
        <f>HomeEdge+VLOOKUP(Table3[[#This Row],[Home]],$A$6:$B$38,2,FALSE)-VLOOKUP(Table3[[#This Row],[Visitor]],$A$6:$B$38,2,FALSE)</f>
        <v>0.29997638840622132</v>
      </c>
      <c r="J378">
        <f>(Table3[[#This Row],[HomeMargin]]-Table3[[#This Row],[HomeForecast]])^2</f>
        <v>1.6899386104136831</v>
      </c>
    </row>
    <row r="379" spans="4:10" x14ac:dyDescent="0.2">
      <c r="D379" t="s">
        <v>36</v>
      </c>
      <c r="E379">
        <f>'NHL2025-26Results'!C375</f>
        <v>4</v>
      </c>
      <c r="F379" t="s">
        <v>20</v>
      </c>
      <c r="G379">
        <f>'NHL2025-26Results'!E375</f>
        <v>3</v>
      </c>
      <c r="H379">
        <f>Table3[[#This Row],[G_1]]-Table3[[#This Row],[G]]</f>
        <v>-1</v>
      </c>
      <c r="I379">
        <f>HomeEdge+VLOOKUP(Table3[[#This Row],[Home]],$A$6:$B$38,2,FALSE)-VLOOKUP(Table3[[#This Row],[Visitor]],$A$6:$B$38,2,FALSE)</f>
        <v>0.15674983423988226</v>
      </c>
      <c r="J379">
        <f>(Table3[[#This Row],[HomeMargin]]-Table3[[#This Row],[HomeForecast]])^2</f>
        <v>1.3380701790139953</v>
      </c>
    </row>
    <row r="380" spans="4:10" x14ac:dyDescent="0.2">
      <c r="D380" t="s">
        <v>40</v>
      </c>
      <c r="E380">
        <f>'NHL2025-26Results'!C376</f>
        <v>3</v>
      </c>
      <c r="F380" t="s">
        <v>22</v>
      </c>
      <c r="G380">
        <f>'NHL2025-26Results'!E376</f>
        <v>4</v>
      </c>
      <c r="H380">
        <f>Table3[[#This Row],[G_1]]-Table3[[#This Row],[G]]</f>
        <v>1</v>
      </c>
      <c r="I380">
        <f>HomeEdge+VLOOKUP(Table3[[#This Row],[Home]],$A$6:$B$38,2,FALSE)-VLOOKUP(Table3[[#This Row],[Visitor]],$A$6:$B$38,2,FALSE)</f>
        <v>0.5982825264552325</v>
      </c>
      <c r="J380">
        <f>(Table3[[#This Row],[HomeMargin]]-Table3[[#This Row],[HomeForecast]])^2</f>
        <v>0.16137692855119098</v>
      </c>
    </row>
    <row r="381" spans="4:10" x14ac:dyDescent="0.2">
      <c r="D381" t="s">
        <v>13</v>
      </c>
      <c r="E381">
        <f>'NHL2025-26Results'!C377</f>
        <v>4</v>
      </c>
      <c r="F381" t="s">
        <v>31</v>
      </c>
      <c r="G381">
        <f>'NHL2025-26Results'!E377</f>
        <v>5</v>
      </c>
      <c r="H381">
        <f>Table3[[#This Row],[G_1]]-Table3[[#This Row],[G]]</f>
        <v>1</v>
      </c>
      <c r="I381">
        <f>HomeEdge+VLOOKUP(Table3[[#This Row],[Home]],$A$6:$B$38,2,FALSE)-VLOOKUP(Table3[[#This Row],[Visitor]],$A$6:$B$38,2,FALSE)</f>
        <v>0.25669805358260456</v>
      </c>
      <c r="J381">
        <f>(Table3[[#This Row],[HomeMargin]]-Table3[[#This Row],[HomeForecast]])^2</f>
        <v>0.55249778354788859</v>
      </c>
    </row>
    <row r="382" spans="4:10" x14ac:dyDescent="0.2">
      <c r="D382" t="s">
        <v>15</v>
      </c>
      <c r="E382">
        <f>'NHL2025-26Results'!C378</f>
        <v>6</v>
      </c>
      <c r="F382" t="s">
        <v>21</v>
      </c>
      <c r="G382">
        <f>'NHL2025-26Results'!E378</f>
        <v>2</v>
      </c>
      <c r="H382">
        <f>Table3[[#This Row],[G_1]]-Table3[[#This Row],[G]]</f>
        <v>-4</v>
      </c>
      <c r="I382">
        <f>HomeEdge+VLOOKUP(Table3[[#This Row],[Home]],$A$6:$B$38,2,FALSE)-VLOOKUP(Table3[[#This Row],[Visitor]],$A$6:$B$38,2,FALSE)</f>
        <v>0.76359552754496451</v>
      </c>
      <c r="J382">
        <f>(Table3[[#This Row],[HomeMargin]]-Table3[[#This Row],[HomeForecast]])^2</f>
        <v>22.691842350046389</v>
      </c>
    </row>
    <row r="383" spans="4:10" x14ac:dyDescent="0.2">
      <c r="D383" t="s">
        <v>24</v>
      </c>
      <c r="E383">
        <f>'NHL2025-26Results'!C379</f>
        <v>5</v>
      </c>
      <c r="F383" t="s">
        <v>23</v>
      </c>
      <c r="G383">
        <f>'NHL2025-26Results'!E379</f>
        <v>0</v>
      </c>
      <c r="H383">
        <f>Table3[[#This Row],[G_1]]-Table3[[#This Row],[G]]</f>
        <v>-5</v>
      </c>
      <c r="I383">
        <f>HomeEdge+VLOOKUP(Table3[[#This Row],[Home]],$A$6:$B$38,2,FALSE)-VLOOKUP(Table3[[#This Row],[Visitor]],$A$6:$B$38,2,FALSE)</f>
        <v>0.88286941774549077</v>
      </c>
      <c r="J383">
        <f>(Table3[[#This Row],[HomeMargin]]-Table3[[#This Row],[HomeForecast]])^2</f>
        <v>34.608152586245176</v>
      </c>
    </row>
    <row r="384" spans="4:10" x14ac:dyDescent="0.2">
      <c r="D384" t="s">
        <v>40</v>
      </c>
      <c r="E384">
        <f>'NHL2025-26Results'!C380</f>
        <v>1</v>
      </c>
      <c r="F384" t="s">
        <v>25</v>
      </c>
      <c r="G384">
        <f>'NHL2025-26Results'!E380</f>
        <v>5</v>
      </c>
      <c r="H384">
        <f>Table3[[#This Row],[G_1]]-Table3[[#This Row],[G]]</f>
        <v>4</v>
      </c>
      <c r="I384">
        <f>HomeEdge+VLOOKUP(Table3[[#This Row],[Home]],$A$6:$B$38,2,FALSE)-VLOOKUP(Table3[[#This Row],[Visitor]],$A$6:$B$38,2,FALSE)</f>
        <v>0.95055265977476311</v>
      </c>
      <c r="J384">
        <f>(Table3[[#This Row],[HomeMargin]]-Table3[[#This Row],[HomeForecast]])^2</f>
        <v>9.2991290808067735</v>
      </c>
    </row>
    <row r="385" spans="4:10" x14ac:dyDescent="0.2">
      <c r="D385" t="s">
        <v>14</v>
      </c>
      <c r="E385">
        <f>'NHL2025-26Results'!C381</f>
        <v>4</v>
      </c>
      <c r="F385" t="s">
        <v>28</v>
      </c>
      <c r="G385">
        <f>'NHL2025-26Results'!E381</f>
        <v>3</v>
      </c>
      <c r="H385">
        <f>Table3[[#This Row],[G_1]]-Table3[[#This Row],[G]]</f>
        <v>-1</v>
      </c>
      <c r="I385">
        <f>HomeEdge+VLOOKUP(Table3[[#This Row],[Home]],$A$6:$B$38,2,FALSE)-VLOOKUP(Table3[[#This Row],[Visitor]],$A$6:$B$38,2,FALSE)</f>
        <v>-0.15199416243604455</v>
      </c>
      <c r="J385">
        <f>(Table3[[#This Row],[HomeMargin]]-Table3[[#This Row],[HomeForecast]])^2</f>
        <v>0.71911390054254554</v>
      </c>
    </row>
    <row r="386" spans="4:10" x14ac:dyDescent="0.2">
      <c r="D386" t="s">
        <v>29</v>
      </c>
      <c r="E386">
        <f>'NHL2025-26Results'!C382</f>
        <v>4</v>
      </c>
      <c r="F386" t="s">
        <v>10</v>
      </c>
      <c r="G386">
        <f>'NHL2025-26Results'!E382</f>
        <v>3</v>
      </c>
      <c r="H386">
        <f>Table3[[#This Row],[G_1]]-Table3[[#This Row],[G]]</f>
        <v>-1</v>
      </c>
      <c r="I386">
        <f>HomeEdge+VLOOKUP(Table3[[#This Row],[Home]],$A$6:$B$38,2,FALSE)-VLOOKUP(Table3[[#This Row],[Visitor]],$A$6:$B$38,2,FALSE)</f>
        <v>2.3591015660758052E-2</v>
      </c>
      <c r="J386">
        <f>(Table3[[#This Row],[HomeMargin]]-Table3[[#This Row],[HomeForecast]])^2</f>
        <v>1.0477385673414226</v>
      </c>
    </row>
    <row r="387" spans="4:10" x14ac:dyDescent="0.2">
      <c r="D387" t="s">
        <v>55</v>
      </c>
      <c r="E387">
        <f>'NHL2025-26Results'!C383</f>
        <v>3</v>
      </c>
      <c r="F387" t="s">
        <v>39</v>
      </c>
      <c r="G387">
        <f>'NHL2025-26Results'!E383</f>
        <v>4</v>
      </c>
      <c r="H387">
        <f>Table3[[#This Row],[G_1]]-Table3[[#This Row],[G]]</f>
        <v>1</v>
      </c>
      <c r="I387">
        <f>HomeEdge+VLOOKUP(Table3[[#This Row],[Home]],$A$6:$B$38,2,FALSE)-VLOOKUP(Table3[[#This Row],[Visitor]],$A$6:$B$38,2,FALSE)</f>
        <v>0.26259256786416785</v>
      </c>
      <c r="J387">
        <f>(Table3[[#This Row],[HomeMargin]]-Table3[[#This Row],[HomeForecast]])^2</f>
        <v>0.54376972096916187</v>
      </c>
    </row>
    <row r="388" spans="4:10" x14ac:dyDescent="0.2">
      <c r="D388" t="s">
        <v>37</v>
      </c>
      <c r="E388">
        <f>'NHL2025-26Results'!C384</f>
        <v>6</v>
      </c>
      <c r="F388" t="s">
        <v>26</v>
      </c>
      <c r="G388">
        <f>'NHL2025-26Results'!E384</f>
        <v>3</v>
      </c>
      <c r="H388">
        <f>Table3[[#This Row],[G_1]]-Table3[[#This Row],[G]]</f>
        <v>-3</v>
      </c>
      <c r="I388">
        <f>HomeEdge+VLOOKUP(Table3[[#This Row],[Home]],$A$6:$B$38,2,FALSE)-VLOOKUP(Table3[[#This Row],[Visitor]],$A$6:$B$38,2,FALSE)</f>
        <v>-0.92261264669530818</v>
      </c>
      <c r="J388">
        <f>(Table3[[#This Row],[HomeMargin]]-Table3[[#This Row],[HomeForecast]])^2</f>
        <v>4.3155382156702737</v>
      </c>
    </row>
    <row r="389" spans="4:10" x14ac:dyDescent="0.2">
      <c r="D389" t="s">
        <v>16</v>
      </c>
      <c r="E389">
        <f>'NHL2025-26Results'!C385</f>
        <v>5</v>
      </c>
      <c r="F389" t="s">
        <v>11</v>
      </c>
      <c r="G389">
        <f>'NHL2025-26Results'!E385</f>
        <v>3</v>
      </c>
      <c r="H389">
        <f>Table3[[#This Row],[G_1]]-Table3[[#This Row],[G]]</f>
        <v>-2</v>
      </c>
      <c r="I389">
        <f>HomeEdge+VLOOKUP(Table3[[#This Row],[Home]],$A$6:$B$38,2,FALSE)-VLOOKUP(Table3[[#This Row],[Visitor]],$A$6:$B$38,2,FALSE)</f>
        <v>0.46296707319555397</v>
      </c>
      <c r="J389">
        <f>(Table3[[#This Row],[HomeMargin]]-Table3[[#This Row],[HomeForecast]])^2</f>
        <v>6.066206803645473</v>
      </c>
    </row>
    <row r="390" spans="4:10" x14ac:dyDescent="0.2">
      <c r="D390" t="s">
        <v>12</v>
      </c>
      <c r="E390">
        <f>'NHL2025-26Results'!C386</f>
        <v>2</v>
      </c>
      <c r="F390" t="s">
        <v>34</v>
      </c>
      <c r="G390">
        <f>'NHL2025-26Results'!E386</f>
        <v>3</v>
      </c>
      <c r="H390">
        <f>Table3[[#This Row],[G_1]]-Table3[[#This Row],[G]]</f>
        <v>1</v>
      </c>
      <c r="I390">
        <f>HomeEdge+VLOOKUP(Table3[[#This Row],[Home]],$A$6:$B$38,2,FALSE)-VLOOKUP(Table3[[#This Row],[Visitor]],$A$6:$B$38,2,FALSE)</f>
        <v>-0.80857456394445282</v>
      </c>
      <c r="J390">
        <f>(Table3[[#This Row],[HomeMargin]]-Table3[[#This Row],[HomeForecast]])^2</f>
        <v>3.2709419533468678</v>
      </c>
    </row>
    <row r="391" spans="4:10" x14ac:dyDescent="0.2">
      <c r="D391" t="s">
        <v>27</v>
      </c>
      <c r="E391">
        <f>'NHL2025-26Results'!C387</f>
        <v>4</v>
      </c>
      <c r="F391" t="s">
        <v>30</v>
      </c>
      <c r="G391">
        <f>'NHL2025-26Results'!E387</f>
        <v>3</v>
      </c>
      <c r="H391">
        <f>Table3[[#This Row],[G_1]]-Table3[[#This Row],[G]]</f>
        <v>-1</v>
      </c>
      <c r="I391">
        <f>HomeEdge+VLOOKUP(Table3[[#This Row],[Home]],$A$6:$B$38,2,FALSE)-VLOOKUP(Table3[[#This Row],[Visitor]],$A$6:$B$38,2,FALSE)</f>
        <v>0.49428169952098389</v>
      </c>
      <c r="J391">
        <f>(Table3[[#This Row],[HomeMargin]]-Table3[[#This Row],[HomeForecast]])^2</f>
        <v>2.2328777975233196</v>
      </c>
    </row>
    <row r="392" spans="4:10" x14ac:dyDescent="0.2">
      <c r="D392" t="s">
        <v>38</v>
      </c>
      <c r="E392">
        <f>'NHL2025-26Results'!C388</f>
        <v>2</v>
      </c>
      <c r="F392" t="s">
        <v>33</v>
      </c>
      <c r="G392">
        <f>'NHL2025-26Results'!E388</f>
        <v>3</v>
      </c>
      <c r="H392">
        <f>Table3[[#This Row],[G_1]]-Table3[[#This Row],[G]]</f>
        <v>1</v>
      </c>
      <c r="I392">
        <f>HomeEdge+VLOOKUP(Table3[[#This Row],[Home]],$A$6:$B$38,2,FALSE)-VLOOKUP(Table3[[#This Row],[Visitor]],$A$6:$B$38,2,FALSE)</f>
        <v>0.86924446376355591</v>
      </c>
      <c r="J392">
        <f>(Table3[[#This Row],[HomeMargin]]-Table3[[#This Row],[HomeForecast]])^2</f>
        <v>1.7097010256480045E-2</v>
      </c>
    </row>
    <row r="393" spans="4:10" x14ac:dyDescent="0.2">
      <c r="D393" t="s">
        <v>36</v>
      </c>
      <c r="E393">
        <f>'NHL2025-26Results'!C389</f>
        <v>3</v>
      </c>
      <c r="F393" t="s">
        <v>35</v>
      </c>
      <c r="G393">
        <f>'NHL2025-26Results'!E389</f>
        <v>4</v>
      </c>
      <c r="H393">
        <f>Table3[[#This Row],[G_1]]-Table3[[#This Row],[G]]</f>
        <v>1</v>
      </c>
      <c r="I393">
        <f>HomeEdge+VLOOKUP(Table3[[#This Row],[Home]],$A$6:$B$38,2,FALSE)-VLOOKUP(Table3[[#This Row],[Visitor]],$A$6:$B$38,2,FALSE)</f>
        <v>-0.99314280485103312</v>
      </c>
      <c r="J393">
        <f>(Table3[[#This Row],[HomeMargin]]-Table3[[#This Row],[HomeForecast]])^2</f>
        <v>3.9726182405294437</v>
      </c>
    </row>
    <row r="394" spans="4:10" x14ac:dyDescent="0.2">
      <c r="D394" t="s">
        <v>18</v>
      </c>
      <c r="E394">
        <f>'NHL2025-26Results'!C390</f>
        <v>4</v>
      </c>
      <c r="F394" t="s">
        <v>20</v>
      </c>
      <c r="G394">
        <f>'NHL2025-26Results'!E390</f>
        <v>1</v>
      </c>
      <c r="H394">
        <f>Table3[[#This Row],[G_1]]-Table3[[#This Row],[G]]</f>
        <v>-3</v>
      </c>
      <c r="I394">
        <f>HomeEdge+VLOOKUP(Table3[[#This Row],[Home]],$A$6:$B$38,2,FALSE)-VLOOKUP(Table3[[#This Row],[Visitor]],$A$6:$B$38,2,FALSE)</f>
        <v>5.2917028363734325E-2</v>
      </c>
      <c r="J394">
        <f>(Table3[[#This Row],[HomeMargin]]-Table3[[#This Row],[HomeForecast]])^2</f>
        <v>9.3203023820732547</v>
      </c>
    </row>
    <row r="395" spans="4:10" x14ac:dyDescent="0.2">
      <c r="D395" t="s">
        <v>19</v>
      </c>
      <c r="E395">
        <f>'NHL2025-26Results'!C391</f>
        <v>2</v>
      </c>
      <c r="F395" t="s">
        <v>22</v>
      </c>
      <c r="G395">
        <f>'NHL2025-26Results'!E391</f>
        <v>4</v>
      </c>
      <c r="H395">
        <f>Table3[[#This Row],[G_1]]-Table3[[#This Row],[G]]</f>
        <v>2</v>
      </c>
      <c r="I395">
        <f>HomeEdge+VLOOKUP(Table3[[#This Row],[Home]],$A$6:$B$38,2,FALSE)-VLOOKUP(Table3[[#This Row],[Visitor]],$A$6:$B$38,2,FALSE)</f>
        <v>0.45211162226185131</v>
      </c>
      <c r="J395">
        <f>(Table3[[#This Row],[HomeMargin]]-Table3[[#This Row],[HomeForecast]])^2</f>
        <v>2.3959584299368375</v>
      </c>
    </row>
    <row r="396" spans="4:10" x14ac:dyDescent="0.2">
      <c r="D396" t="s">
        <v>26</v>
      </c>
      <c r="E396">
        <f>'NHL2025-26Results'!C392</f>
        <v>2</v>
      </c>
      <c r="F396" t="s">
        <v>21</v>
      </c>
      <c r="G396">
        <f>'NHL2025-26Results'!E392</f>
        <v>3</v>
      </c>
      <c r="H396">
        <f>Table3[[#This Row],[G_1]]-Table3[[#This Row],[G]]</f>
        <v>1</v>
      </c>
      <c r="I396">
        <f>HomeEdge+VLOOKUP(Table3[[#This Row],[Home]],$A$6:$B$38,2,FALSE)-VLOOKUP(Table3[[#This Row],[Visitor]],$A$6:$B$38,2,FALSE)</f>
        <v>0.35821415796203504</v>
      </c>
      <c r="J396">
        <f>(Table3[[#This Row],[HomeMargin]]-Table3[[#This Row],[HomeForecast]])^2</f>
        <v>0.4118890670403797</v>
      </c>
    </row>
    <row r="397" spans="4:10" x14ac:dyDescent="0.2">
      <c r="D397" t="s">
        <v>18</v>
      </c>
      <c r="E397">
        <f>'NHL2025-26Results'!C393</f>
        <v>2</v>
      </c>
      <c r="F397" t="s">
        <v>12</v>
      </c>
      <c r="G397">
        <f>'NHL2025-26Results'!E393</f>
        <v>7</v>
      </c>
      <c r="H397">
        <f>Table3[[#This Row],[G_1]]-Table3[[#This Row],[G]]</f>
        <v>5</v>
      </c>
      <c r="I397">
        <f>HomeEdge+VLOOKUP(Table3[[#This Row],[Home]],$A$6:$B$38,2,FALSE)-VLOOKUP(Table3[[#This Row],[Visitor]],$A$6:$B$38,2,FALSE)</f>
        <v>1.2145484960772526</v>
      </c>
      <c r="J397">
        <f>(Table3[[#This Row],[HomeMargin]]-Table3[[#This Row],[HomeForecast]])^2</f>
        <v>14.329643088550988</v>
      </c>
    </row>
    <row r="398" spans="4:10" x14ac:dyDescent="0.2">
      <c r="D398" t="s">
        <v>38</v>
      </c>
      <c r="E398">
        <f>'NHL2025-26Results'!C394</f>
        <v>1</v>
      </c>
      <c r="F398" t="s">
        <v>13</v>
      </c>
      <c r="G398">
        <f>'NHL2025-26Results'!E394</f>
        <v>2</v>
      </c>
      <c r="H398">
        <f>Table3[[#This Row],[G_1]]-Table3[[#This Row],[G]]</f>
        <v>1</v>
      </c>
      <c r="I398">
        <f>HomeEdge+VLOOKUP(Table3[[#This Row],[Home]],$A$6:$B$38,2,FALSE)-VLOOKUP(Table3[[#This Row],[Visitor]],$A$6:$B$38,2,FALSE)</f>
        <v>0.93091338981265725</v>
      </c>
      <c r="J398">
        <f>(Table3[[#This Row],[HomeMargin]]-Table3[[#This Row],[HomeForecast]])^2</f>
        <v>4.7729597071778504E-3</v>
      </c>
    </row>
    <row r="399" spans="4:10" x14ac:dyDescent="0.2">
      <c r="D399" t="s">
        <v>23</v>
      </c>
      <c r="E399">
        <f>'NHL2025-26Results'!C395</f>
        <v>3</v>
      </c>
      <c r="F399" t="s">
        <v>34</v>
      </c>
      <c r="G399">
        <f>'NHL2025-26Results'!E395</f>
        <v>2</v>
      </c>
      <c r="H399">
        <f>Table3[[#This Row],[G_1]]-Table3[[#This Row],[G]]</f>
        <v>-1</v>
      </c>
      <c r="I399">
        <f>HomeEdge+VLOOKUP(Table3[[#This Row],[Home]],$A$6:$B$38,2,FALSE)-VLOOKUP(Table3[[#This Row],[Visitor]],$A$6:$B$38,2,FALSE)</f>
        <v>0.1819378729491474</v>
      </c>
      <c r="J399">
        <f>(Table3[[#This Row],[HomeMargin]]-Table3[[#This Row],[HomeForecast]])^2</f>
        <v>1.396977135511555</v>
      </c>
    </row>
    <row r="400" spans="4:10" x14ac:dyDescent="0.2">
      <c r="D400" t="s">
        <v>27</v>
      </c>
      <c r="E400">
        <f>'NHL2025-26Results'!C396</f>
        <v>5</v>
      </c>
      <c r="F400" t="s">
        <v>24</v>
      </c>
      <c r="G400">
        <f>'NHL2025-26Results'!E396</f>
        <v>3</v>
      </c>
      <c r="H400">
        <f>Table3[[#This Row],[G_1]]-Table3[[#This Row],[G]]</f>
        <v>-2</v>
      </c>
      <c r="I400">
        <f>HomeEdge+VLOOKUP(Table3[[#This Row],[Home]],$A$6:$B$38,2,FALSE)-VLOOKUP(Table3[[#This Row],[Visitor]],$A$6:$B$38,2,FALSE)</f>
        <v>-6.4521710224643036E-2</v>
      </c>
      <c r="J400">
        <f>(Table3[[#This Row],[HomeMargin]]-Table3[[#This Row],[HomeForecast]])^2</f>
        <v>3.7460762101917404</v>
      </c>
    </row>
    <row r="401" spans="4:10" x14ac:dyDescent="0.2">
      <c r="D401" t="s">
        <v>40</v>
      </c>
      <c r="E401">
        <f>'NHL2025-26Results'!C397</f>
        <v>5</v>
      </c>
      <c r="F401" t="s">
        <v>29</v>
      </c>
      <c r="G401">
        <f>'NHL2025-26Results'!E397</f>
        <v>2</v>
      </c>
      <c r="H401">
        <f>Table3[[#This Row],[G_1]]-Table3[[#This Row],[G]]</f>
        <v>-3</v>
      </c>
      <c r="I401">
        <f>HomeEdge+VLOOKUP(Table3[[#This Row],[Home]],$A$6:$B$38,2,FALSE)-VLOOKUP(Table3[[#This Row],[Visitor]],$A$6:$B$38,2,FALSE)</f>
        <v>-0.10250635291624077</v>
      </c>
      <c r="J401">
        <f>(Table3[[#This Row],[HomeMargin]]-Table3[[#This Row],[HomeForecast]])^2</f>
        <v>8.3954694348907442</v>
      </c>
    </row>
    <row r="402" spans="4:10" x14ac:dyDescent="0.2">
      <c r="D402" t="s">
        <v>37</v>
      </c>
      <c r="E402">
        <f>'NHL2025-26Results'!C398</f>
        <v>4</v>
      </c>
      <c r="F402" t="s">
        <v>15</v>
      </c>
      <c r="G402">
        <f>'NHL2025-26Results'!E398</f>
        <v>1</v>
      </c>
      <c r="H402">
        <f>Table3[[#This Row],[G_1]]-Table3[[#This Row],[G]]</f>
        <v>-3</v>
      </c>
      <c r="I402">
        <f>HomeEdge+VLOOKUP(Table3[[#This Row],[Home]],$A$6:$B$38,2,FALSE)-VLOOKUP(Table3[[#This Row],[Visitor]],$A$6:$B$38,2,FALSE)</f>
        <v>-1.3279940162782378</v>
      </c>
      <c r="J402">
        <f>(Table3[[#This Row],[HomeMargin]]-Table3[[#This Row],[HomeForecast]])^2</f>
        <v>2.7956040096013779</v>
      </c>
    </row>
    <row r="403" spans="4:10" x14ac:dyDescent="0.2">
      <c r="D403" t="s">
        <v>19</v>
      </c>
      <c r="E403">
        <f>'NHL2025-26Results'!C399</f>
        <v>7</v>
      </c>
      <c r="F403" t="s">
        <v>14</v>
      </c>
      <c r="G403">
        <f>'NHL2025-26Results'!E399</f>
        <v>2</v>
      </c>
      <c r="H403">
        <f>Table3[[#This Row],[G_1]]-Table3[[#This Row],[G]]</f>
        <v>-5</v>
      </c>
      <c r="I403">
        <f>HomeEdge+VLOOKUP(Table3[[#This Row],[Home]],$A$6:$B$38,2,FALSE)-VLOOKUP(Table3[[#This Row],[Visitor]],$A$6:$B$38,2,FALSE)</f>
        <v>0.57192390361182643</v>
      </c>
      <c r="J403">
        <f>(Table3[[#This Row],[HomeMargin]]-Table3[[#This Row],[HomeForecast]])^2</f>
        <v>31.046335987640852</v>
      </c>
    </row>
    <row r="404" spans="4:10" x14ac:dyDescent="0.2">
      <c r="D404" t="s">
        <v>17</v>
      </c>
      <c r="E404">
        <f>'NHL2025-26Results'!C400</f>
        <v>4</v>
      </c>
      <c r="F404" t="s">
        <v>32</v>
      </c>
      <c r="G404">
        <f>'NHL2025-26Results'!E400</f>
        <v>0</v>
      </c>
      <c r="H404">
        <f>Table3[[#This Row],[G_1]]-Table3[[#This Row],[G]]</f>
        <v>-4</v>
      </c>
      <c r="I404">
        <f>HomeEdge+VLOOKUP(Table3[[#This Row],[Home]],$A$6:$B$38,2,FALSE)-VLOOKUP(Table3[[#This Row],[Visitor]],$A$6:$B$38,2,FALSE)</f>
        <v>1.1865780948391136E-2</v>
      </c>
      <c r="J404">
        <f>(Table3[[#This Row],[HomeMargin]]-Table3[[#This Row],[HomeForecast]])^2</f>
        <v>16.095067044344649</v>
      </c>
    </row>
    <row r="405" spans="4:10" x14ac:dyDescent="0.2">
      <c r="D405" t="s">
        <v>55</v>
      </c>
      <c r="E405">
        <f>'NHL2025-26Results'!C401</f>
        <v>0</v>
      </c>
      <c r="F405" t="s">
        <v>35</v>
      </c>
      <c r="G405">
        <f>'NHL2025-26Results'!E401</f>
        <v>1</v>
      </c>
      <c r="H405">
        <f>Table3[[#This Row],[G_1]]-Table3[[#This Row],[G]]</f>
        <v>1</v>
      </c>
      <c r="I405">
        <f>HomeEdge+VLOOKUP(Table3[[#This Row],[Home]],$A$6:$B$38,2,FALSE)-VLOOKUP(Table3[[#This Row],[Visitor]],$A$6:$B$38,2,FALSE)</f>
        <v>-1.2673450133218782</v>
      </c>
      <c r="J405">
        <f>(Table3[[#This Row],[HomeMargin]]-Table3[[#This Row],[HomeForecast]])^2</f>
        <v>5.1408534094355893</v>
      </c>
    </row>
    <row r="406" spans="4:10" x14ac:dyDescent="0.2">
      <c r="D406" t="s">
        <v>33</v>
      </c>
      <c r="E406">
        <f>'NHL2025-26Results'!C402</f>
        <v>3</v>
      </c>
      <c r="F406" t="s">
        <v>20</v>
      </c>
      <c r="G406">
        <f>'NHL2025-26Results'!E402</f>
        <v>4</v>
      </c>
      <c r="H406">
        <f>Table3[[#This Row],[G_1]]-Table3[[#This Row],[G]]</f>
        <v>1</v>
      </c>
      <c r="I406">
        <f>HomeEdge+VLOOKUP(Table3[[#This Row],[Home]],$A$6:$B$38,2,FALSE)-VLOOKUP(Table3[[#This Row],[Visitor]],$A$6:$B$38,2,FALSE)</f>
        <v>0.61900817653141149</v>
      </c>
      <c r="J406">
        <f>(Table3[[#This Row],[HomeMargin]]-Table3[[#This Row],[HomeForecast]])^2</f>
        <v>0.1451547695499201</v>
      </c>
    </row>
    <row r="407" spans="4:10" x14ac:dyDescent="0.2">
      <c r="D407" t="s">
        <v>16</v>
      </c>
      <c r="E407">
        <f>'NHL2025-26Results'!C403</f>
        <v>0</v>
      </c>
      <c r="F407" t="s">
        <v>25</v>
      </c>
      <c r="G407">
        <f>'NHL2025-26Results'!E403</f>
        <v>1</v>
      </c>
      <c r="H407">
        <f>Table3[[#This Row],[G_1]]-Table3[[#This Row],[G]]</f>
        <v>1</v>
      </c>
      <c r="I407">
        <f>HomeEdge+VLOOKUP(Table3[[#This Row],[Home]],$A$6:$B$38,2,FALSE)-VLOOKUP(Table3[[#This Row],[Visitor]],$A$6:$B$38,2,FALSE)</f>
        <v>1.252413405943386</v>
      </c>
      <c r="J407">
        <f>(Table3[[#This Row],[HomeMargin]]-Table3[[#This Row],[HomeForecast]])^2</f>
        <v>6.371252749994058E-2</v>
      </c>
    </row>
    <row r="408" spans="4:10" x14ac:dyDescent="0.2">
      <c r="D408" t="s">
        <v>31</v>
      </c>
      <c r="E408">
        <f>'NHL2025-26Results'!C404</f>
        <v>3</v>
      </c>
      <c r="F408" t="s">
        <v>10</v>
      </c>
      <c r="G408">
        <f>'NHL2025-26Results'!E404</f>
        <v>5</v>
      </c>
      <c r="H408">
        <f>Table3[[#This Row],[G_1]]-Table3[[#This Row],[G]]</f>
        <v>2</v>
      </c>
      <c r="I408">
        <f>HomeEdge+VLOOKUP(Table3[[#This Row],[Home]],$A$6:$B$38,2,FALSE)-VLOOKUP(Table3[[#This Row],[Visitor]],$A$6:$B$38,2,FALSE)</f>
        <v>-0.33336796443364847</v>
      </c>
      <c r="J408">
        <f>(Table3[[#This Row],[HomeMargin]]-Table3[[#This Row],[HomeForecast]])^2</f>
        <v>5.4446060574452284</v>
      </c>
    </row>
    <row r="409" spans="4:10" x14ac:dyDescent="0.2">
      <c r="D409" t="s">
        <v>36</v>
      </c>
      <c r="E409">
        <f>'NHL2025-26Results'!C405</f>
        <v>1</v>
      </c>
      <c r="F409" t="s">
        <v>39</v>
      </c>
      <c r="G409">
        <f>'NHL2025-26Results'!E405</f>
        <v>6</v>
      </c>
      <c r="H409">
        <f>Table3[[#This Row],[G_1]]-Table3[[#This Row],[G]]</f>
        <v>5</v>
      </c>
      <c r="I409">
        <f>HomeEdge+VLOOKUP(Table3[[#This Row],[Home]],$A$6:$B$38,2,FALSE)-VLOOKUP(Table3[[#This Row],[Visitor]],$A$6:$B$38,2,FALSE)</f>
        <v>0.53679477633501305</v>
      </c>
      <c r="J409">
        <f>(Table3[[#This Row],[HomeMargin]]-Table3[[#This Row],[HomeForecast]])^2</f>
        <v>19.920200868550427</v>
      </c>
    </row>
    <row r="410" spans="4:10" x14ac:dyDescent="0.2">
      <c r="D410" t="s">
        <v>22</v>
      </c>
      <c r="E410">
        <f>'NHL2025-26Results'!C406</f>
        <v>4</v>
      </c>
      <c r="F410" t="s">
        <v>30</v>
      </c>
      <c r="G410">
        <f>'NHL2025-26Results'!E406</f>
        <v>1</v>
      </c>
      <c r="H410">
        <f>Table3[[#This Row],[G_1]]-Table3[[#This Row],[G]]</f>
        <v>-3</v>
      </c>
      <c r="I410">
        <f>HomeEdge+VLOOKUP(Table3[[#This Row],[Home]],$A$6:$B$38,2,FALSE)-VLOOKUP(Table3[[#This Row],[Visitor]],$A$6:$B$38,2,FALSE)</f>
        <v>6.3078292065741101E-2</v>
      </c>
      <c r="J410">
        <f>(Table3[[#This Row],[HomeMargin]]-Table3[[#This Row],[HomeForecast]])^2</f>
        <v>9.3824486233243771</v>
      </c>
    </row>
    <row r="411" spans="4:10" x14ac:dyDescent="0.2">
      <c r="D411" t="s">
        <v>40</v>
      </c>
      <c r="E411">
        <f>'NHL2025-26Results'!C407</f>
        <v>1</v>
      </c>
      <c r="F411" t="s">
        <v>23</v>
      </c>
      <c r="G411">
        <f>'NHL2025-26Results'!E407</f>
        <v>5</v>
      </c>
      <c r="H411">
        <f>Table3[[#This Row],[G_1]]-Table3[[#This Row],[G]]</f>
        <v>4</v>
      </c>
      <c r="I411">
        <f>HomeEdge+VLOOKUP(Table3[[#This Row],[Home]],$A$6:$B$38,2,FALSE)-VLOOKUP(Table3[[#This Row],[Visitor]],$A$6:$B$38,2,FALSE)</f>
        <v>0.72621285489778931</v>
      </c>
      <c r="J411">
        <f>(Table3[[#This Row],[HomeMargin]]-Table3[[#This Row],[HomeForecast]])^2</f>
        <v>10.717682271436484</v>
      </c>
    </row>
    <row r="412" spans="4:10" x14ac:dyDescent="0.2">
      <c r="D412" t="s">
        <v>28</v>
      </c>
      <c r="E412">
        <f>'NHL2025-26Results'!C408</f>
        <v>5</v>
      </c>
      <c r="F412" t="s">
        <v>24</v>
      </c>
      <c r="G412">
        <f>'NHL2025-26Results'!E408</f>
        <v>3</v>
      </c>
      <c r="H412">
        <f>Table3[[#This Row],[G_1]]-Table3[[#This Row],[G]]</f>
        <v>-2</v>
      </c>
      <c r="I412">
        <f>HomeEdge+VLOOKUP(Table3[[#This Row],[Home]],$A$6:$B$38,2,FALSE)-VLOOKUP(Table3[[#This Row],[Visitor]],$A$6:$B$38,2,FALSE)</f>
        <v>-0.33393625078229228</v>
      </c>
      <c r="J412">
        <f>(Table3[[#This Row],[HomeMargin]]-Table3[[#This Row],[HomeForecast]])^2</f>
        <v>2.7757684164573648</v>
      </c>
    </row>
    <row r="413" spans="4:10" x14ac:dyDescent="0.2">
      <c r="D413" t="s">
        <v>14</v>
      </c>
      <c r="E413">
        <f>'NHL2025-26Results'!C409</f>
        <v>5</v>
      </c>
      <c r="F413" t="s">
        <v>27</v>
      </c>
      <c r="G413">
        <f>'NHL2025-26Results'!E409</f>
        <v>1</v>
      </c>
      <c r="H413">
        <f>Table3[[#This Row],[G_1]]-Table3[[#This Row],[G]]</f>
        <v>-4</v>
      </c>
      <c r="I413">
        <f>HomeEdge+VLOOKUP(Table3[[#This Row],[Home]],$A$6:$B$38,2,FALSE)-VLOOKUP(Table3[[#This Row],[Visitor]],$A$6:$B$38,2,FALSE)</f>
        <v>-0.42140870299369382</v>
      </c>
      <c r="J413">
        <f>(Table3[[#This Row],[HomeMargin]]-Table3[[#This Row],[HomeForecast]])^2</f>
        <v>12.806315671009276</v>
      </c>
    </row>
    <row r="414" spans="4:10" x14ac:dyDescent="0.2">
      <c r="D414" t="s">
        <v>55</v>
      </c>
      <c r="E414">
        <f>'NHL2025-26Results'!C410</f>
        <v>3</v>
      </c>
      <c r="F414" t="s">
        <v>33</v>
      </c>
      <c r="G414">
        <f>'NHL2025-26Results'!E410</f>
        <v>6</v>
      </c>
      <c r="H414">
        <f>Table3[[#This Row],[G_1]]-Table3[[#This Row],[G]]</f>
        <v>3</v>
      </c>
      <c r="I414">
        <f>HomeEdge+VLOOKUP(Table3[[#This Row],[Home]],$A$6:$B$38,2,FALSE)-VLOOKUP(Table3[[#This Row],[Visitor]],$A$6:$B$38,2,FALSE)</f>
        <v>-0.6068535649508503</v>
      </c>
      <c r="J414">
        <f>(Table3[[#This Row],[HomeMargin]]-Table3[[#This Row],[HomeForecast]])^2</f>
        <v>13.009392638998657</v>
      </c>
    </row>
    <row r="415" spans="4:10" x14ac:dyDescent="0.2">
      <c r="D415" t="s">
        <v>31</v>
      </c>
      <c r="E415">
        <f>'NHL2025-26Results'!C411</f>
        <v>4</v>
      </c>
      <c r="F415" t="s">
        <v>35</v>
      </c>
      <c r="G415">
        <f>'NHL2025-26Results'!E411</f>
        <v>1</v>
      </c>
      <c r="H415">
        <f>Table3[[#This Row],[G_1]]-Table3[[#This Row],[G]]</f>
        <v>-3</v>
      </c>
      <c r="I415">
        <f>HomeEdge+VLOOKUP(Table3[[#This Row],[Home]],$A$6:$B$38,2,FALSE)-VLOOKUP(Table3[[#This Row],[Visitor]],$A$6:$B$38,2,FALSE)</f>
        <v>-0.71964445637968577</v>
      </c>
      <c r="J415">
        <f>(Table3[[#This Row],[HomeMargin]]-Table3[[#This Row],[HomeForecast]])^2</f>
        <v>5.200021405319899</v>
      </c>
    </row>
    <row r="416" spans="4:10" x14ac:dyDescent="0.2">
      <c r="D416" t="s">
        <v>38</v>
      </c>
      <c r="E416">
        <f>'NHL2025-26Results'!C412</f>
        <v>1</v>
      </c>
      <c r="F416" t="s">
        <v>12</v>
      </c>
      <c r="G416">
        <f>'NHL2025-26Results'!E412</f>
        <v>3</v>
      </c>
      <c r="H416">
        <f>Table3[[#This Row],[G_1]]-Table3[[#This Row],[G]]</f>
        <v>2</v>
      </c>
      <c r="I416">
        <f>HomeEdge+VLOOKUP(Table3[[#This Row],[Home]],$A$6:$B$38,2,FALSE)-VLOOKUP(Table3[[#This Row],[Visitor]],$A$6:$B$38,2,FALSE)</f>
        <v>2.5202771221969615</v>
      </c>
      <c r="J416">
        <f>(Table3[[#This Row],[HomeMargin]]-Table3[[#This Row],[HomeForecast]])^2</f>
        <v>0.27068828388155203</v>
      </c>
    </row>
    <row r="417" spans="4:10" x14ac:dyDescent="0.2">
      <c r="D417" t="s">
        <v>21</v>
      </c>
      <c r="E417">
        <f>'NHL2025-26Results'!C413</f>
        <v>4</v>
      </c>
      <c r="F417" t="s">
        <v>26</v>
      </c>
      <c r="G417">
        <f>'NHL2025-26Results'!E413</f>
        <v>5</v>
      </c>
      <c r="H417">
        <f>Table3[[#This Row],[G_1]]-Table3[[#This Row],[G]]</f>
        <v>1</v>
      </c>
      <c r="I417">
        <f>HomeEdge+VLOOKUP(Table3[[#This Row],[Home]],$A$6:$B$38,2,FALSE)-VLOOKUP(Table3[[#This Row],[Visitor]],$A$6:$B$38,2,FALSE)</f>
        <v>-9.9000186338986856E-2</v>
      </c>
      <c r="J417">
        <f>(Table3[[#This Row],[HomeMargin]]-Table3[[#This Row],[HomeForecast]])^2</f>
        <v>1.207801409573128</v>
      </c>
    </row>
    <row r="418" spans="4:10" x14ac:dyDescent="0.2">
      <c r="D418" t="s">
        <v>34</v>
      </c>
      <c r="E418">
        <f>'NHL2025-26Results'!C414</f>
        <v>1</v>
      </c>
      <c r="F418" t="s">
        <v>17</v>
      </c>
      <c r="G418">
        <f>'NHL2025-26Results'!E414</f>
        <v>0</v>
      </c>
      <c r="H418">
        <f>Table3[[#This Row],[G_1]]-Table3[[#This Row],[G]]</f>
        <v>-1</v>
      </c>
      <c r="I418">
        <f>HomeEdge+VLOOKUP(Table3[[#This Row],[Home]],$A$6:$B$38,2,FALSE)-VLOOKUP(Table3[[#This Row],[Visitor]],$A$6:$B$38,2,FALSE)</f>
        <v>-0.29550424744706089</v>
      </c>
      <c r="J418">
        <f>(Table3[[#This Row],[HomeMargin]]-Table3[[#This Row],[HomeForecast]])^2</f>
        <v>0.49631426536513212</v>
      </c>
    </row>
    <row r="419" spans="4:10" x14ac:dyDescent="0.2">
      <c r="D419" t="s">
        <v>19</v>
      </c>
      <c r="E419">
        <f>'NHL2025-26Results'!C415</f>
        <v>4</v>
      </c>
      <c r="F419" t="s">
        <v>11</v>
      </c>
      <c r="G419">
        <f>'NHL2025-26Results'!E415</f>
        <v>1</v>
      </c>
      <c r="H419">
        <f>Table3[[#This Row],[G_1]]-Table3[[#This Row],[G]]</f>
        <v>-3</v>
      </c>
      <c r="I419">
        <f>HomeEdge+VLOOKUP(Table3[[#This Row],[Home]],$A$6:$B$38,2,FALSE)-VLOOKUP(Table3[[#This Row],[Visitor]],$A$6:$B$38,2,FALSE)</f>
        <v>1.4935422833549872E-2</v>
      </c>
      <c r="J419">
        <f>(Table3[[#This Row],[HomeMargin]]-Table3[[#This Row],[HomeForecast]])^2</f>
        <v>9.0898356038565158</v>
      </c>
    </row>
    <row r="420" spans="4:10" x14ac:dyDescent="0.2">
      <c r="D420" t="s">
        <v>22</v>
      </c>
      <c r="E420">
        <f>'NHL2025-26Results'!C416</f>
        <v>3</v>
      </c>
      <c r="F420" t="s">
        <v>13</v>
      </c>
      <c r="G420">
        <f>'NHL2025-26Results'!E416</f>
        <v>1</v>
      </c>
      <c r="H420">
        <f>Table3[[#This Row],[G_1]]-Table3[[#This Row],[G]]</f>
        <v>-2</v>
      </c>
      <c r="I420">
        <f>HomeEdge+VLOOKUP(Table3[[#This Row],[Home]],$A$6:$B$38,2,FALSE)-VLOOKUP(Table3[[#This Row],[Visitor]],$A$6:$B$38,2,FALSE)</f>
        <v>-0.34131398123662315</v>
      </c>
      <c r="J420">
        <f>(Table3[[#This Row],[HomeMargin]]-Table3[[#This Row],[HomeForecast]])^2</f>
        <v>2.7512393088411016</v>
      </c>
    </row>
    <row r="421" spans="4:10" x14ac:dyDescent="0.2">
      <c r="D421" t="s">
        <v>36</v>
      </c>
      <c r="E421">
        <f>'NHL2025-26Results'!C417</f>
        <v>5</v>
      </c>
      <c r="F421" t="s">
        <v>18</v>
      </c>
      <c r="G421">
        <f>'NHL2025-26Results'!E417</f>
        <v>2</v>
      </c>
      <c r="H421">
        <f>Table3[[#This Row],[G_1]]-Table3[[#This Row],[G]]</f>
        <v>-3</v>
      </c>
      <c r="I421">
        <f>HomeEdge+VLOOKUP(Table3[[#This Row],[Home]],$A$6:$B$38,2,FALSE)-VLOOKUP(Table3[[#This Row],[Visitor]],$A$6:$B$38,2,FALSE)</f>
        <v>0.23343979168767204</v>
      </c>
      <c r="J421">
        <f>(Table3[[#This Row],[HomeMargin]]-Table3[[#This Row],[HomeForecast]])^2</f>
        <v>10.455132886469215</v>
      </c>
    </row>
    <row r="422" spans="4:10" x14ac:dyDescent="0.2">
      <c r="D422" t="s">
        <v>16</v>
      </c>
      <c r="E422">
        <f>'NHL2025-26Results'!C418</f>
        <v>1</v>
      </c>
      <c r="F422" t="s">
        <v>29</v>
      </c>
      <c r="G422">
        <f>'NHL2025-26Results'!E418</f>
        <v>5</v>
      </c>
      <c r="H422">
        <f>Table3[[#This Row],[G_1]]-Table3[[#This Row],[G]]</f>
        <v>4</v>
      </c>
      <c r="I422">
        <f>HomeEdge+VLOOKUP(Table3[[#This Row],[Home]],$A$6:$B$38,2,FALSE)-VLOOKUP(Table3[[#This Row],[Visitor]],$A$6:$B$38,2,FALSE)</f>
        <v>0.19935439325238213</v>
      </c>
      <c r="J422">
        <f>(Table3[[#This Row],[HomeMargin]]-Table3[[#This Row],[HomeForecast]])^2</f>
        <v>14.444907028089968</v>
      </c>
    </row>
    <row r="423" spans="4:10" x14ac:dyDescent="0.2">
      <c r="D423" t="s">
        <v>37</v>
      </c>
      <c r="E423">
        <f>'NHL2025-26Results'!C419</f>
        <v>1</v>
      </c>
      <c r="F423" t="s">
        <v>30</v>
      </c>
      <c r="G423">
        <f>'NHL2025-26Results'!E419</f>
        <v>2</v>
      </c>
      <c r="H423">
        <f>Table3[[#This Row],[G_1]]-Table3[[#This Row],[G]]</f>
        <v>1</v>
      </c>
      <c r="I423">
        <f>HomeEdge+VLOOKUP(Table3[[#This Row],[Home]],$A$6:$B$38,2,FALSE)-VLOOKUP(Table3[[#This Row],[Visitor]],$A$6:$B$38,2,FALSE)</f>
        <v>-0.77777948709650147</v>
      </c>
      <c r="J423">
        <f>(Table3[[#This Row],[HomeMargin]]-Table3[[#This Row],[HomeForecast]])^2</f>
        <v>3.1604999047411004</v>
      </c>
    </row>
    <row r="424" spans="4:10" x14ac:dyDescent="0.2">
      <c r="D424" t="s">
        <v>39</v>
      </c>
      <c r="E424">
        <f>'NHL2025-26Results'!C420</f>
        <v>2</v>
      </c>
      <c r="F424" t="s">
        <v>15</v>
      </c>
      <c r="G424">
        <f>'NHL2025-26Results'!E420</f>
        <v>3</v>
      </c>
      <c r="H424">
        <f>Table3[[#This Row],[G_1]]-Table3[[#This Row],[G]]</f>
        <v>1</v>
      </c>
      <c r="I424">
        <f>HomeEdge+VLOOKUP(Table3[[#This Row],[Home]],$A$6:$B$38,2,FALSE)-VLOOKUP(Table3[[#This Row],[Visitor]],$A$6:$B$38,2,FALSE)</f>
        <v>-0.82399247683376453</v>
      </c>
      <c r="J424">
        <f>(Table3[[#This Row],[HomeMargin]]-Table3[[#This Row],[HomeForecast]])^2</f>
        <v>3.3269485555461711</v>
      </c>
    </row>
    <row r="425" spans="4:10" x14ac:dyDescent="0.2">
      <c r="D425" t="s">
        <v>10</v>
      </c>
      <c r="E425">
        <f>'NHL2025-26Results'!C421</f>
        <v>3</v>
      </c>
      <c r="F425" t="s">
        <v>20</v>
      </c>
      <c r="G425">
        <f>'NHL2025-26Results'!E421</f>
        <v>4</v>
      </c>
      <c r="H425">
        <f>Table3[[#This Row],[G_1]]-Table3[[#This Row],[G]]</f>
        <v>1</v>
      </c>
      <c r="I425">
        <f>HomeEdge+VLOOKUP(Table3[[#This Row],[Home]],$A$6:$B$38,2,FALSE)-VLOOKUP(Table3[[#This Row],[Visitor]],$A$6:$B$38,2,FALSE)</f>
        <v>0.89322313295640221</v>
      </c>
      <c r="J425">
        <f>(Table3[[#This Row],[HomeMargin]]-Table3[[#This Row],[HomeForecast]])^2</f>
        <v>1.140129933564616E-2</v>
      </c>
    </row>
    <row r="426" spans="4:10" x14ac:dyDescent="0.2">
      <c r="D426" t="s">
        <v>55</v>
      </c>
      <c r="E426">
        <f>'NHL2025-26Results'!C422</f>
        <v>7</v>
      </c>
      <c r="F426" t="s">
        <v>31</v>
      </c>
      <c r="G426">
        <f>'NHL2025-26Results'!E422</f>
        <v>0</v>
      </c>
      <c r="H426">
        <f>Table3[[#This Row],[G_1]]-Table3[[#This Row],[G]]</f>
        <v>-7</v>
      </c>
      <c r="I426">
        <f>HomeEdge+VLOOKUP(Table3[[#This Row],[Home]],$A$6:$B$38,2,FALSE)-VLOOKUP(Table3[[#This Row],[Visitor]],$A$6:$B$38,2,FALSE)</f>
        <v>-0.41809357113066847</v>
      </c>
      <c r="J426">
        <f>(Table3[[#This Row],[HomeMargin]]-Table3[[#This Row],[HomeForecast]])^2</f>
        <v>43.321492238391436</v>
      </c>
    </row>
    <row r="427" spans="4:10" x14ac:dyDescent="0.2">
      <c r="D427" t="s">
        <v>40</v>
      </c>
      <c r="E427">
        <f>'NHL2025-26Results'!C423</f>
        <v>2</v>
      </c>
      <c r="F427" t="s">
        <v>18</v>
      </c>
      <c r="G427">
        <f>'NHL2025-26Results'!E423</f>
        <v>3</v>
      </c>
      <c r="H427">
        <f>Table3[[#This Row],[G_1]]-Table3[[#This Row],[G]]</f>
        <v>1</v>
      </c>
      <c r="I427">
        <f>HomeEdge+VLOOKUP(Table3[[#This Row],[Home]],$A$6:$B$38,2,FALSE)-VLOOKUP(Table3[[#This Row],[Visitor]],$A$6:$B$38,2,FALSE)</f>
        <v>0.63178378152566106</v>
      </c>
      <c r="J427">
        <f>(Table3[[#This Row],[HomeMargin]]-Table3[[#This Row],[HomeForecast]])^2</f>
        <v>0.13558318354754212</v>
      </c>
    </row>
    <row r="428" spans="4:10" x14ac:dyDescent="0.2">
      <c r="D428" t="s">
        <v>39</v>
      </c>
      <c r="E428">
        <f>'NHL2025-26Results'!C424</f>
        <v>3</v>
      </c>
      <c r="F428" t="s">
        <v>24</v>
      </c>
      <c r="G428">
        <f>'NHL2025-26Results'!E424</f>
        <v>0</v>
      </c>
      <c r="H428">
        <f>Table3[[#This Row],[G_1]]-Table3[[#This Row],[G]]</f>
        <v>-3</v>
      </c>
      <c r="I428">
        <f>HomeEdge+VLOOKUP(Table3[[#This Row],[Home]],$A$6:$B$38,2,FALSE)-VLOOKUP(Table3[[#This Row],[Visitor]],$A$6:$B$38,2,FALSE)</f>
        <v>-0.83258135739765526</v>
      </c>
      <c r="J428">
        <f>(Table3[[#This Row],[HomeMargin]]-Table3[[#This Row],[HomeForecast]])^2</f>
        <v>4.697703572300191</v>
      </c>
    </row>
    <row r="429" spans="4:10" x14ac:dyDescent="0.2">
      <c r="D429" t="s">
        <v>23</v>
      </c>
      <c r="E429">
        <f>'NHL2025-26Results'!C425</f>
        <v>2</v>
      </c>
      <c r="F429" t="s">
        <v>27</v>
      </c>
      <c r="G429">
        <f>'NHL2025-26Results'!E425</f>
        <v>5</v>
      </c>
      <c r="H429">
        <f>Table3[[#This Row],[G_1]]-Table3[[#This Row],[G]]</f>
        <v>3</v>
      </c>
      <c r="I429">
        <f>HomeEdge+VLOOKUP(Table3[[#This Row],[Home]],$A$6:$B$38,2,FALSE)-VLOOKUP(Table3[[#This Row],[Visitor]],$A$6:$B$38,2,FALSE)</f>
        <v>-0.4295267500862755</v>
      </c>
      <c r="J429">
        <f>(Table3[[#This Row],[HomeMargin]]-Table3[[#This Row],[HomeForecast]])^2</f>
        <v>11.761653729557329</v>
      </c>
    </row>
    <row r="430" spans="4:10" x14ac:dyDescent="0.2">
      <c r="D430" t="s">
        <v>22</v>
      </c>
      <c r="E430">
        <f>'NHL2025-26Results'!C426</f>
        <v>7</v>
      </c>
      <c r="F430" t="s">
        <v>33</v>
      </c>
      <c r="G430">
        <f>'NHL2025-26Results'!E426</f>
        <v>1</v>
      </c>
      <c r="H430">
        <f>Table3[[#This Row],[G_1]]-Table3[[#This Row],[G]]</f>
        <v>-6</v>
      </c>
      <c r="I430">
        <f>HomeEdge+VLOOKUP(Table3[[#This Row],[Home]],$A$6:$B$38,2,FALSE)-VLOOKUP(Table3[[#This Row],[Visitor]],$A$6:$B$38,2,FALSE)</f>
        <v>-0.4029829072857245</v>
      </c>
      <c r="J430">
        <f>(Table3[[#This Row],[HomeMargin]]-Table3[[#This Row],[HomeForecast]])^2</f>
        <v>31.326600336135762</v>
      </c>
    </row>
    <row r="431" spans="4:10" x14ac:dyDescent="0.2">
      <c r="D431" t="s">
        <v>35</v>
      </c>
      <c r="E431">
        <f>'NHL2025-26Results'!C427</f>
        <v>2</v>
      </c>
      <c r="F431" t="s">
        <v>21</v>
      </c>
      <c r="G431">
        <f>'NHL2025-26Results'!E427</f>
        <v>5</v>
      </c>
      <c r="H431">
        <f>Table3[[#This Row],[G_1]]-Table3[[#This Row],[G]]</f>
        <v>3</v>
      </c>
      <c r="I431">
        <f>HomeEdge+VLOOKUP(Table3[[#This Row],[Home]],$A$6:$B$38,2,FALSE)-VLOOKUP(Table3[[#This Row],[Visitor]],$A$6:$B$38,2,FALSE)</f>
        <v>1.3399336460857221</v>
      </c>
      <c r="J431">
        <f>(Table3[[#This Row],[HomeMargin]]-Table3[[#This Row],[HomeForecast]])^2</f>
        <v>2.7558202993982448</v>
      </c>
    </row>
    <row r="432" spans="4:10" x14ac:dyDescent="0.2">
      <c r="D432" t="s">
        <v>19</v>
      </c>
      <c r="E432">
        <f>'NHL2025-26Results'!C428</f>
        <v>5</v>
      </c>
      <c r="F432" t="s">
        <v>25</v>
      </c>
      <c r="G432">
        <f>'NHL2025-26Results'!E428</f>
        <v>1</v>
      </c>
      <c r="H432">
        <f>Table3[[#This Row],[G_1]]-Table3[[#This Row],[G]]</f>
        <v>-4</v>
      </c>
      <c r="I432">
        <f>HomeEdge+VLOOKUP(Table3[[#This Row],[Home]],$A$6:$B$38,2,FALSE)-VLOOKUP(Table3[[#This Row],[Visitor]],$A$6:$B$38,2,FALSE)</f>
        <v>0.80438175558138192</v>
      </c>
      <c r="J432">
        <f>(Table3[[#This Row],[HomeMargin]]-Table3[[#This Row],[HomeForecast]])^2</f>
        <v>23.082084053363239</v>
      </c>
    </row>
    <row r="433" spans="4:10" x14ac:dyDescent="0.2">
      <c r="D433" t="s">
        <v>26</v>
      </c>
      <c r="E433">
        <f>'NHL2025-26Results'!C429</f>
        <v>5</v>
      </c>
      <c r="F433" t="s">
        <v>28</v>
      </c>
      <c r="G433">
        <f>'NHL2025-26Results'!E429</f>
        <v>6</v>
      </c>
      <c r="H433">
        <f>Table3[[#This Row],[G_1]]-Table3[[#This Row],[G]]</f>
        <v>1</v>
      </c>
      <c r="I433">
        <f>HomeEdge+VLOOKUP(Table3[[#This Row],[Home]],$A$6:$B$38,2,FALSE)-VLOOKUP(Table3[[#This Row],[Visitor]],$A$6:$B$38,2,FALSE)</f>
        <v>0.17917997225852025</v>
      </c>
      <c r="J433">
        <f>(Table3[[#This Row],[HomeMargin]]-Table3[[#This Row],[HomeForecast]])^2</f>
        <v>0.6737455179415236</v>
      </c>
    </row>
    <row r="434" spans="4:10" x14ac:dyDescent="0.2">
      <c r="D434" t="s">
        <v>34</v>
      </c>
      <c r="E434">
        <f>'NHL2025-26Results'!C430</f>
        <v>1</v>
      </c>
      <c r="F434" t="s">
        <v>16</v>
      </c>
      <c r="G434">
        <f>'NHL2025-26Results'!E430</f>
        <v>4</v>
      </c>
      <c r="H434">
        <f>Table3[[#This Row],[G_1]]-Table3[[#This Row],[G]]</f>
        <v>3</v>
      </c>
      <c r="I434">
        <f>HomeEdge+VLOOKUP(Table3[[#This Row],[Home]],$A$6:$B$38,2,FALSE)-VLOOKUP(Table3[[#This Row],[Visitor]],$A$6:$B$38,2,FALSE)</f>
        <v>-0.8211905165809873</v>
      </c>
      <c r="J434">
        <f>(Table3[[#This Row],[HomeMargin]]-Table3[[#This Row],[HomeForecast]])^2</f>
        <v>14.601496964008474</v>
      </c>
    </row>
    <row r="435" spans="4:10" x14ac:dyDescent="0.2">
      <c r="D435" t="s">
        <v>32</v>
      </c>
      <c r="E435">
        <f>'NHL2025-26Results'!C431</f>
        <v>4</v>
      </c>
      <c r="F435" t="s">
        <v>17</v>
      </c>
      <c r="G435">
        <f>'NHL2025-26Results'!E431</f>
        <v>9</v>
      </c>
      <c r="H435">
        <f>Table3[[#This Row],[G_1]]-Table3[[#This Row],[G]]</f>
        <v>5</v>
      </c>
      <c r="I435">
        <f>HomeEdge+VLOOKUP(Table3[[#This Row],[Home]],$A$6:$B$38,2,FALSE)-VLOOKUP(Table3[[#This Row],[Visitor]],$A$6:$B$38,2,FALSE)</f>
        <v>0.2473481906746571</v>
      </c>
      <c r="J435">
        <f>(Table3[[#This Row],[HomeMargin]]-Table3[[#This Row],[HomeForecast]])^2</f>
        <v>22.587699220683454</v>
      </c>
    </row>
    <row r="436" spans="4:10" x14ac:dyDescent="0.2">
      <c r="D436" t="s">
        <v>29</v>
      </c>
      <c r="E436">
        <f>'NHL2025-26Results'!C432</f>
        <v>2</v>
      </c>
      <c r="F436" t="s">
        <v>11</v>
      </c>
      <c r="G436">
        <f>'NHL2025-26Results'!E432</f>
        <v>1</v>
      </c>
      <c r="H436">
        <f>Table3[[#This Row],[G_1]]-Table3[[#This Row],[G]]</f>
        <v>-1</v>
      </c>
      <c r="I436">
        <f>HomeEdge+VLOOKUP(Table3[[#This Row],[Home]],$A$6:$B$38,2,FALSE)-VLOOKUP(Table3[[#This Row],[Visitor]],$A$6:$B$38,2,FALSE)</f>
        <v>0.39321966575469591</v>
      </c>
      <c r="J436">
        <f>(Table3[[#This Row],[HomeMargin]]-Table3[[#This Row],[HomeForecast]])^2</f>
        <v>1.9410610370456269</v>
      </c>
    </row>
    <row r="437" spans="4:10" x14ac:dyDescent="0.2">
      <c r="D437" t="s">
        <v>10</v>
      </c>
      <c r="E437">
        <f>'NHL2025-26Results'!C433</f>
        <v>2</v>
      </c>
      <c r="F437" t="s">
        <v>13</v>
      </c>
      <c r="G437">
        <f>'NHL2025-26Results'!E433</f>
        <v>1</v>
      </c>
      <c r="H437">
        <f>Table3[[#This Row],[G_1]]-Table3[[#This Row],[G]]</f>
        <v>-1</v>
      </c>
      <c r="I437">
        <f>HomeEdge+VLOOKUP(Table3[[#This Row],[Home]],$A$6:$B$38,2,FALSE)-VLOOKUP(Table3[[#This Row],[Visitor]],$A$6:$B$38,2,FALSE)</f>
        <v>0.46549086828561614</v>
      </c>
      <c r="J437">
        <f>(Table3[[#This Row],[HomeMargin]]-Table3[[#This Row],[HomeForecast]])^2</f>
        <v>2.1476634850285294</v>
      </c>
    </row>
    <row r="438" spans="4:10" x14ac:dyDescent="0.2">
      <c r="D438" t="s">
        <v>12</v>
      </c>
      <c r="E438">
        <f>'NHL2025-26Results'!C434</f>
        <v>3</v>
      </c>
      <c r="F438" t="s">
        <v>30</v>
      </c>
      <c r="G438">
        <f>'NHL2025-26Results'!E434</f>
        <v>6</v>
      </c>
      <c r="H438">
        <f>Table3[[#This Row],[G_1]]-Table3[[#This Row],[G]]</f>
        <v>3</v>
      </c>
      <c r="I438">
        <f>HomeEdge+VLOOKUP(Table3[[#This Row],[Home]],$A$6:$B$38,2,FALSE)-VLOOKUP(Table3[[#This Row],[Visitor]],$A$6:$B$38,2,FALSE)</f>
        <v>-1.0553644732704159</v>
      </c>
      <c r="J438">
        <f>(Table3[[#This Row],[HomeMargin]]-Table3[[#This Row],[HomeForecast]])^2</f>
        <v>16.445981011063836</v>
      </c>
    </row>
    <row r="439" spans="4:10" x14ac:dyDescent="0.2">
      <c r="D439" t="s">
        <v>15</v>
      </c>
      <c r="E439">
        <f>'NHL2025-26Results'!C435</f>
        <v>4</v>
      </c>
      <c r="F439" t="s">
        <v>36</v>
      </c>
      <c r="G439">
        <f>'NHL2025-26Results'!E435</f>
        <v>2</v>
      </c>
      <c r="H439">
        <f>Table3[[#This Row],[G_1]]-Table3[[#This Row],[G]]</f>
        <v>-2</v>
      </c>
      <c r="I439">
        <f>HomeEdge+VLOOKUP(Table3[[#This Row],[Home]],$A$6:$B$38,2,FALSE)-VLOOKUP(Table3[[#This Row],[Visitor]],$A$6:$B$38,2,FALSE)</f>
        <v>0.67601865793332383</v>
      </c>
      <c r="J439">
        <f>(Table3[[#This Row],[HomeMargin]]-Table3[[#This Row],[HomeForecast]])^2</f>
        <v>7.1610758576072673</v>
      </c>
    </row>
    <row r="440" spans="4:10" x14ac:dyDescent="0.2">
      <c r="D440" t="s">
        <v>14</v>
      </c>
      <c r="E440">
        <f>'NHL2025-26Results'!C436</f>
        <v>4</v>
      </c>
      <c r="F440" t="s">
        <v>37</v>
      </c>
      <c r="G440">
        <f>'NHL2025-26Results'!E436</f>
        <v>3</v>
      </c>
      <c r="H440">
        <f>Table3[[#This Row],[G_1]]-Table3[[#This Row],[G]]</f>
        <v>-1</v>
      </c>
      <c r="I440">
        <f>HomeEdge+VLOOKUP(Table3[[#This Row],[Home]],$A$6:$B$38,2,FALSE)-VLOOKUP(Table3[[#This Row],[Visitor]],$A$6:$B$38,2,FALSE)</f>
        <v>0.85065248362379153</v>
      </c>
      <c r="J440">
        <f>(Table3[[#This Row],[HomeMargin]]-Table3[[#This Row],[HomeForecast]])^2</f>
        <v>3.4249146151429075</v>
      </c>
    </row>
    <row r="441" spans="4:10" x14ac:dyDescent="0.2">
      <c r="D441" t="s">
        <v>22</v>
      </c>
      <c r="E441">
        <f>'NHL2025-26Results'!C437</f>
        <v>3</v>
      </c>
      <c r="F441" t="s">
        <v>31</v>
      </c>
      <c r="G441">
        <f>'NHL2025-26Results'!E437</f>
        <v>4</v>
      </c>
      <c r="H441">
        <f>Table3[[#This Row],[G_1]]-Table3[[#This Row],[G]]</f>
        <v>1</v>
      </c>
      <c r="I441">
        <f>HomeEdge+VLOOKUP(Table3[[#This Row],[Home]],$A$6:$B$38,2,FALSE)-VLOOKUP(Table3[[#This Row],[Visitor]],$A$6:$B$38,2,FALSE)</f>
        <v>-0.21422291346554267</v>
      </c>
      <c r="J441">
        <f>(Table3[[#This Row],[HomeMargin]]-Table3[[#This Row],[HomeForecast]])^2</f>
        <v>1.4743372835847508</v>
      </c>
    </row>
    <row r="442" spans="4:10" x14ac:dyDescent="0.2">
      <c r="D442" t="s">
        <v>33</v>
      </c>
      <c r="E442">
        <f>'NHL2025-26Results'!C438</f>
        <v>1</v>
      </c>
      <c r="F442" t="s">
        <v>39</v>
      </c>
      <c r="G442">
        <f>'NHL2025-26Results'!E438</f>
        <v>4</v>
      </c>
      <c r="H442">
        <f>Table3[[#This Row],[G_1]]-Table3[[#This Row],[G]]</f>
        <v>3</v>
      </c>
      <c r="I442">
        <f>HomeEdge+VLOOKUP(Table3[[#This Row],[Home]],$A$6:$B$38,2,FALSE)-VLOOKUP(Table3[[#This Row],[Visitor]],$A$6:$B$38,2,FALSE)</f>
        <v>0.99905311862654222</v>
      </c>
      <c r="J442">
        <f>(Table3[[#This Row],[HomeMargin]]-Table3[[#This Row],[HomeForecast]])^2</f>
        <v>4.0037884220781663</v>
      </c>
    </row>
    <row r="443" spans="4:10" x14ac:dyDescent="0.2">
      <c r="D443" t="s">
        <v>20</v>
      </c>
      <c r="E443">
        <f>'NHL2025-26Results'!C439</f>
        <v>3</v>
      </c>
      <c r="F443" t="s">
        <v>24</v>
      </c>
      <c r="G443">
        <f>'NHL2025-26Results'!E439</f>
        <v>0</v>
      </c>
      <c r="H443">
        <f>Table3[[#This Row],[G_1]]-Table3[[#This Row],[G]]</f>
        <v>-3</v>
      </c>
      <c r="I443">
        <f>HomeEdge+VLOOKUP(Table3[[#This Row],[Home]],$A$6:$B$38,2,FALSE)-VLOOKUP(Table3[[#This Row],[Visitor]],$A$6:$B$38,2,FALSE)</f>
        <v>-0.45253641530252453</v>
      </c>
      <c r="J443">
        <f>(Table3[[#This Row],[HomeMargin]]-Table3[[#This Row],[HomeForecast]])^2</f>
        <v>6.4895707153597115</v>
      </c>
    </row>
    <row r="444" spans="4:10" x14ac:dyDescent="0.2">
      <c r="D444" t="s">
        <v>55</v>
      </c>
      <c r="E444">
        <f>'NHL2025-26Results'!C440</f>
        <v>4</v>
      </c>
      <c r="F444" t="s">
        <v>38</v>
      </c>
      <c r="G444">
        <f>'NHL2025-26Results'!E440</f>
        <v>1</v>
      </c>
      <c r="H444">
        <f>Table3[[#This Row],[G_1]]-Table3[[#This Row],[G]]</f>
        <v>-3</v>
      </c>
      <c r="I444">
        <f>HomeEdge+VLOOKUP(Table3[[#This Row],[Home]],$A$6:$B$38,2,FALSE)-VLOOKUP(Table3[[#This Row],[Visitor]],$A$6:$B$38,2,FALSE)</f>
        <v>-1.346491042902882</v>
      </c>
      <c r="J444">
        <f>(Table3[[#This Row],[HomeMargin]]-Table3[[#This Row],[HomeForecast]])^2</f>
        <v>2.7340918712003988</v>
      </c>
    </row>
    <row r="445" spans="4:10" x14ac:dyDescent="0.2">
      <c r="D445" t="s">
        <v>23</v>
      </c>
      <c r="E445">
        <f>'NHL2025-26Results'!C441</f>
        <v>1</v>
      </c>
      <c r="F445" t="s">
        <v>40</v>
      </c>
      <c r="G445">
        <f>'NHL2025-26Results'!E441</f>
        <v>4</v>
      </c>
      <c r="H445">
        <f>Table3[[#This Row],[G_1]]-Table3[[#This Row],[G]]</f>
        <v>3</v>
      </c>
      <c r="I445">
        <f>HomeEdge+VLOOKUP(Table3[[#This Row],[Home]],$A$6:$B$38,2,FALSE)-VLOOKUP(Table3[[#This Row],[Visitor]],$A$6:$B$38,2,FALSE)</f>
        <v>-0.46699888327474115</v>
      </c>
      <c r="J445">
        <f>(Table3[[#This Row],[HomeMargin]]-Table3[[#This Row],[HomeForecast]])^2</f>
        <v>12.020081256628302</v>
      </c>
    </row>
    <row r="446" spans="4:10" x14ac:dyDescent="0.2">
      <c r="D446" t="s">
        <v>24</v>
      </c>
      <c r="E446">
        <f>'NHL2025-26Results'!C442</f>
        <v>1</v>
      </c>
      <c r="F446" t="s">
        <v>21</v>
      </c>
      <c r="G446">
        <f>'NHL2025-26Results'!E442</f>
        <v>4</v>
      </c>
      <c r="H446">
        <f>Table3[[#This Row],[G_1]]-Table3[[#This Row],[G]]</f>
        <v>3</v>
      </c>
      <c r="I446">
        <f>HomeEdge+VLOOKUP(Table3[[#This Row],[Home]],$A$6:$B$38,2,FALSE)-VLOOKUP(Table3[[#This Row],[Visitor]],$A$6:$B$38,2,FALSE)</f>
        <v>0.77218440810885525</v>
      </c>
      <c r="J446">
        <f>(Table3[[#This Row],[HomeMargin]]-Table3[[#This Row],[HomeForecast]])^2</f>
        <v>4.9631623114732912</v>
      </c>
    </row>
    <row r="447" spans="4:10" x14ac:dyDescent="0.2">
      <c r="D447" t="s">
        <v>29</v>
      </c>
      <c r="E447">
        <f>'NHL2025-26Results'!C443</f>
        <v>3</v>
      </c>
      <c r="F447" t="s">
        <v>25</v>
      </c>
      <c r="G447">
        <f>'NHL2025-26Results'!E443</f>
        <v>6</v>
      </c>
      <c r="H447">
        <f>Table3[[#This Row],[G_1]]-Table3[[#This Row],[G]]</f>
        <v>3</v>
      </c>
      <c r="I447">
        <f>HomeEdge+VLOOKUP(Table3[[#This Row],[Home]],$A$6:$B$38,2,FALSE)-VLOOKUP(Table3[[#This Row],[Visitor]],$A$6:$B$38,2,FALSE)</f>
        <v>1.1826659985025281</v>
      </c>
      <c r="J447">
        <f>(Table3[[#This Row],[HomeMargin]]-Table3[[#This Row],[HomeForecast]])^2</f>
        <v>3.3027028729988133</v>
      </c>
    </row>
    <row r="448" spans="4:10" x14ac:dyDescent="0.2">
      <c r="D448" t="s">
        <v>55</v>
      </c>
      <c r="E448">
        <f>'NHL2025-26Results'!C444</f>
        <v>0</v>
      </c>
      <c r="F448" t="s">
        <v>16</v>
      </c>
      <c r="G448">
        <f>'NHL2025-26Results'!E444</f>
        <v>2</v>
      </c>
      <c r="H448">
        <f>Table3[[#This Row],[G_1]]-Table3[[#This Row],[G]]</f>
        <v>2</v>
      </c>
      <c r="I448">
        <f>HomeEdge+VLOOKUP(Table3[[#This Row],[Home]],$A$6:$B$38,2,FALSE)-VLOOKUP(Table3[[#This Row],[Visitor]],$A$6:$B$38,2,FALSE)</f>
        <v>-0.84479995866593305</v>
      </c>
      <c r="J448">
        <f>(Table3[[#This Row],[HomeMargin]]-Table3[[#This Row],[HomeForecast]])^2</f>
        <v>8.0928868048256941</v>
      </c>
    </row>
    <row r="449" spans="4:10" x14ac:dyDescent="0.2">
      <c r="D449" t="s">
        <v>40</v>
      </c>
      <c r="E449">
        <f>'NHL2025-26Results'!C445</f>
        <v>2</v>
      </c>
      <c r="F449" t="s">
        <v>17</v>
      </c>
      <c r="G449">
        <f>'NHL2025-26Results'!E445</f>
        <v>6</v>
      </c>
      <c r="H449">
        <f>Table3[[#This Row],[G_1]]-Table3[[#This Row],[G]]</f>
        <v>4</v>
      </c>
      <c r="I449">
        <f>HomeEdge+VLOOKUP(Table3[[#This Row],[Home]],$A$6:$B$38,2,FALSE)-VLOOKUP(Table3[[#This Row],[Visitor]],$A$6:$B$38,2,FALSE)</f>
        <v>0.35343250877682764</v>
      </c>
      <c r="J449">
        <f>(Table3[[#This Row],[HomeMargin]]-Table3[[#This Row],[HomeForecast]])^2</f>
        <v>13.297454468045663</v>
      </c>
    </row>
    <row r="450" spans="4:10" x14ac:dyDescent="0.2">
      <c r="D450" t="s">
        <v>28</v>
      </c>
      <c r="E450">
        <f>'NHL2025-26Results'!C446</f>
        <v>6</v>
      </c>
      <c r="F450" t="s">
        <v>11</v>
      </c>
      <c r="G450">
        <f>'NHL2025-26Results'!E446</f>
        <v>7</v>
      </c>
      <c r="H450">
        <f>Table3[[#This Row],[G_1]]-Table3[[#This Row],[G]]</f>
        <v>1</v>
      </c>
      <c r="I450">
        <f>HomeEdge+VLOOKUP(Table3[[#This Row],[Home]],$A$6:$B$38,2,FALSE)-VLOOKUP(Table3[[#This Row],[Visitor]],$A$6:$B$38,2,FALSE)</f>
        <v>-0.14578034671918383</v>
      </c>
      <c r="J450">
        <f>(Table3[[#This Row],[HomeMargin]]-Table3[[#This Row],[HomeForecast]])^2</f>
        <v>1.312812602927933</v>
      </c>
    </row>
    <row r="451" spans="4:10" x14ac:dyDescent="0.2">
      <c r="D451" t="s">
        <v>10</v>
      </c>
      <c r="E451">
        <f>'NHL2025-26Results'!C447</f>
        <v>0</v>
      </c>
      <c r="F451" t="s">
        <v>13</v>
      </c>
      <c r="G451">
        <f>'NHL2025-26Results'!E447</f>
        <v>6</v>
      </c>
      <c r="H451">
        <f>Table3[[#This Row],[G_1]]-Table3[[#This Row],[G]]</f>
        <v>6</v>
      </c>
      <c r="I451">
        <f>HomeEdge+VLOOKUP(Table3[[#This Row],[Home]],$A$6:$B$38,2,FALSE)-VLOOKUP(Table3[[#This Row],[Visitor]],$A$6:$B$38,2,FALSE)</f>
        <v>0.46549086828561614</v>
      </c>
      <c r="J451">
        <f>(Table3[[#This Row],[HomeMargin]]-Table3[[#This Row],[HomeForecast]])^2</f>
        <v>30.630791329029908</v>
      </c>
    </row>
    <row r="452" spans="4:10" x14ac:dyDescent="0.2">
      <c r="D452" t="s">
        <v>12</v>
      </c>
      <c r="E452">
        <f>'NHL2025-26Results'!C448</f>
        <v>3</v>
      </c>
      <c r="F452" t="s">
        <v>15</v>
      </c>
      <c r="G452">
        <f>'NHL2025-26Results'!E448</f>
        <v>2</v>
      </c>
      <c r="H452">
        <f>Table3[[#This Row],[G_1]]-Table3[[#This Row],[G]]</f>
        <v>-1</v>
      </c>
      <c r="I452">
        <f>HomeEdge+VLOOKUP(Table3[[#This Row],[Home]],$A$6:$B$38,2,FALSE)-VLOOKUP(Table3[[#This Row],[Visitor]],$A$6:$B$38,2,FALSE)</f>
        <v>-1.6055790024521521</v>
      </c>
      <c r="J452">
        <f>(Table3[[#This Row],[HomeMargin]]-Table3[[#This Row],[HomeForecast]])^2</f>
        <v>0.36672592821094369</v>
      </c>
    </row>
    <row r="453" spans="4:10" x14ac:dyDescent="0.2">
      <c r="D453" t="s">
        <v>35</v>
      </c>
      <c r="E453">
        <f>'NHL2025-26Results'!C449</f>
        <v>2</v>
      </c>
      <c r="F453" t="s">
        <v>36</v>
      </c>
      <c r="G453">
        <f>'NHL2025-26Results'!E449</f>
        <v>1</v>
      </c>
      <c r="H453">
        <f>Table3[[#This Row],[G_1]]-Table3[[#This Row],[G]]</f>
        <v>-1</v>
      </c>
      <c r="I453">
        <f>HomeEdge+VLOOKUP(Table3[[#This Row],[Home]],$A$6:$B$38,2,FALSE)-VLOOKUP(Table3[[#This Row],[Visitor]],$A$6:$B$38,2,FALSE)</f>
        <v>1.2523567764740813</v>
      </c>
      <c r="J453">
        <f>(Table3[[#This Row],[HomeMargin]]-Table3[[#This Row],[HomeForecast]])^2</f>
        <v>5.0731110485287143</v>
      </c>
    </row>
    <row r="454" spans="4:10" x14ac:dyDescent="0.2">
      <c r="D454" t="s">
        <v>26</v>
      </c>
      <c r="E454">
        <f>'NHL2025-26Results'!C450</f>
        <v>4</v>
      </c>
      <c r="F454" t="s">
        <v>32</v>
      </c>
      <c r="G454">
        <f>'NHL2025-26Results'!E450</f>
        <v>3</v>
      </c>
      <c r="H454">
        <f>Table3[[#This Row],[G_1]]-Table3[[#This Row],[G]]</f>
        <v>-1</v>
      </c>
      <c r="I454">
        <f>HomeEdge+VLOOKUP(Table3[[#This Row],[Home]],$A$6:$B$38,2,FALSE)-VLOOKUP(Table3[[#This Row],[Visitor]],$A$6:$B$38,2,FALSE)</f>
        <v>-2.1622383385424104E-2</v>
      </c>
      <c r="J454">
        <f>(Table3[[#This Row],[HomeMargin]]-Table3[[#This Row],[HomeForecast]])^2</f>
        <v>0.95722276069241807</v>
      </c>
    </row>
    <row r="455" spans="4:10" x14ac:dyDescent="0.2">
      <c r="D455" t="s">
        <v>30</v>
      </c>
      <c r="E455">
        <f>'NHL2025-26Results'!C451</f>
        <v>2</v>
      </c>
      <c r="F455" t="s">
        <v>37</v>
      </c>
      <c r="G455">
        <f>'NHL2025-26Results'!E451</f>
        <v>0</v>
      </c>
      <c r="H455">
        <f>Table3[[#This Row],[G_1]]-Table3[[#This Row],[G]]</f>
        <v>-2</v>
      </c>
      <c r="I455">
        <f>HomeEdge+VLOOKUP(Table3[[#This Row],[Home]],$A$6:$B$38,2,FALSE)-VLOOKUP(Table3[[#This Row],[Visitor]],$A$6:$B$38,2,FALSE)</f>
        <v>1.0369934587195497</v>
      </c>
      <c r="J455">
        <f>(Table3[[#This Row],[HomeMargin]]-Table3[[#This Row],[HomeForecast]])^2</f>
        <v>9.2233292683053332</v>
      </c>
    </row>
    <row r="456" spans="4:10" x14ac:dyDescent="0.2">
      <c r="D456" t="s">
        <v>18</v>
      </c>
      <c r="E456">
        <f>'NHL2025-26Results'!C452</f>
        <v>2</v>
      </c>
      <c r="F456" t="s">
        <v>19</v>
      </c>
      <c r="G456">
        <f>'NHL2025-26Results'!E452</f>
        <v>1</v>
      </c>
      <c r="H456">
        <f>Table3[[#This Row],[G_1]]-Table3[[#This Row],[G]]</f>
        <v>-1</v>
      </c>
      <c r="I456">
        <f>HomeEdge+VLOOKUP(Table3[[#This Row],[Home]],$A$6:$B$38,2,FALSE)-VLOOKUP(Table3[[#This Row],[Visitor]],$A$6:$B$38,2,FALSE)</f>
        <v>-0.22639890570923168</v>
      </c>
      <c r="J456">
        <f>(Table3[[#This Row],[HomeMargin]]-Table3[[#This Row],[HomeForecast]])^2</f>
        <v>0.59845865308787416</v>
      </c>
    </row>
    <row r="457" spans="4:10" x14ac:dyDescent="0.2">
      <c r="D457" t="s">
        <v>34</v>
      </c>
      <c r="E457">
        <f>'NHL2025-26Results'!C453</f>
        <v>2</v>
      </c>
      <c r="F457" t="s">
        <v>38</v>
      </c>
      <c r="G457">
        <f>'NHL2025-26Results'!E453</f>
        <v>4</v>
      </c>
      <c r="H457">
        <f>Table3[[#This Row],[G_1]]-Table3[[#This Row],[G]]</f>
        <v>2</v>
      </c>
      <c r="I457">
        <f>HomeEdge+VLOOKUP(Table3[[#This Row],[Home]],$A$6:$B$38,2,FALSE)-VLOOKUP(Table3[[#This Row],[Visitor]],$A$6:$B$38,2,FALSE)</f>
        <v>-1.3228816008179365</v>
      </c>
      <c r="J457">
        <f>(Table3[[#This Row],[HomeMargin]]-Table3[[#This Row],[HomeForecast]])^2</f>
        <v>11.041542133054373</v>
      </c>
    </row>
    <row r="458" spans="4:10" x14ac:dyDescent="0.2">
      <c r="D458" t="s">
        <v>10</v>
      </c>
      <c r="E458">
        <f>'NHL2025-26Results'!C454</f>
        <v>1</v>
      </c>
      <c r="F458" t="s">
        <v>31</v>
      </c>
      <c r="G458">
        <f>'NHL2025-26Results'!E454</f>
        <v>7</v>
      </c>
      <c r="H458">
        <f>Table3[[#This Row],[G_1]]-Table3[[#This Row],[G]]</f>
        <v>6</v>
      </c>
      <c r="I458">
        <f>HomeEdge+VLOOKUP(Table3[[#This Row],[Home]],$A$6:$B$38,2,FALSE)-VLOOKUP(Table3[[#This Row],[Visitor]],$A$6:$B$38,2,FALSE)</f>
        <v>0.59258193605669662</v>
      </c>
      <c r="J458">
        <f>(Table3[[#This Row],[HomeMargin]]-Table3[[#This Row],[HomeForecast]])^2</f>
        <v>29.240170118260348</v>
      </c>
    </row>
    <row r="459" spans="4:10" x14ac:dyDescent="0.2">
      <c r="D459" t="s">
        <v>33</v>
      </c>
      <c r="E459">
        <f>'NHL2025-26Results'!C455</f>
        <v>4</v>
      </c>
      <c r="F459" t="s">
        <v>25</v>
      </c>
      <c r="G459">
        <f>'NHL2025-26Results'!E455</f>
        <v>1</v>
      </c>
      <c r="H459">
        <f>Table3[[#This Row],[G_1]]-Table3[[#This Row],[G]]</f>
        <v>-3</v>
      </c>
      <c r="I459">
        <f>HomeEdge+VLOOKUP(Table3[[#This Row],[Home]],$A$6:$B$38,2,FALSE)-VLOOKUP(Table3[[#This Row],[Visitor]],$A$6:$B$38,2,FALSE)</f>
        <v>1.0144670122283033</v>
      </c>
      <c r="J459">
        <f>(Table3[[#This Row],[HomeMargin]]-Table3[[#This Row],[HomeForecast]])^2</f>
        <v>16.115945392269243</v>
      </c>
    </row>
    <row r="460" spans="4:10" x14ac:dyDescent="0.2">
      <c r="D460" t="s">
        <v>14</v>
      </c>
      <c r="E460">
        <f>'NHL2025-26Results'!C456</f>
        <v>2</v>
      </c>
      <c r="F460" t="s">
        <v>39</v>
      </c>
      <c r="G460">
        <f>'NHL2025-26Results'!E456</f>
        <v>3</v>
      </c>
      <c r="H460">
        <f>Table3[[#This Row],[G_1]]-Table3[[#This Row],[G]]</f>
        <v>1</v>
      </c>
      <c r="I460">
        <f>HomeEdge+VLOOKUP(Table3[[#This Row],[Home]],$A$6:$B$38,2,FALSE)-VLOOKUP(Table3[[#This Row],[Visitor]],$A$6:$B$38,2,FALSE)</f>
        <v>0.34665094417931852</v>
      </c>
      <c r="J460">
        <f>(Table3[[#This Row],[HomeMargin]]-Table3[[#This Row],[HomeForecast]])^2</f>
        <v>0.42686498874177597</v>
      </c>
    </row>
    <row r="461" spans="4:10" x14ac:dyDescent="0.2">
      <c r="D461" t="s">
        <v>30</v>
      </c>
      <c r="E461">
        <f>'NHL2025-26Results'!C457</f>
        <v>1</v>
      </c>
      <c r="F461" t="s">
        <v>11</v>
      </c>
      <c r="G461">
        <f>'NHL2025-26Results'!E457</f>
        <v>4</v>
      </c>
      <c r="H461">
        <f>Table3[[#This Row],[G_1]]-Table3[[#This Row],[G]]</f>
        <v>3</v>
      </c>
      <c r="I461">
        <f>HomeEdge+VLOOKUP(Table3[[#This Row],[Home]],$A$6:$B$38,2,FALSE)-VLOOKUP(Table3[[#This Row],[Visitor]],$A$6:$B$38,2,FALSE)</f>
        <v>-0.24104051987099434</v>
      </c>
      <c r="J461">
        <f>(Table3[[#This Row],[HomeMargin]]-Table3[[#This Row],[HomeForecast]])^2</f>
        <v>10.504343651445645</v>
      </c>
    </row>
    <row r="462" spans="4:10" x14ac:dyDescent="0.2">
      <c r="D462" t="s">
        <v>35</v>
      </c>
      <c r="E462">
        <f>'NHL2025-26Results'!C458</f>
        <v>4</v>
      </c>
      <c r="F462" t="s">
        <v>18</v>
      </c>
      <c r="G462">
        <f>'NHL2025-26Results'!E458</f>
        <v>3</v>
      </c>
      <c r="H462">
        <f>Table3[[#This Row],[G_1]]-Table3[[#This Row],[G]]</f>
        <v>-1</v>
      </c>
      <c r="I462">
        <f>HomeEdge+VLOOKUP(Table3[[#This Row],[Home]],$A$6:$B$38,2,FALSE)-VLOOKUP(Table3[[#This Row],[Visitor]],$A$6:$B$38,2,FALSE)</f>
        <v>1.3561895823502292</v>
      </c>
      <c r="J462">
        <f>(Table3[[#This Row],[HomeMargin]]-Table3[[#This Row],[HomeForecast]])^2</f>
        <v>5.551629347975747</v>
      </c>
    </row>
    <row r="463" spans="4:10" x14ac:dyDescent="0.2">
      <c r="D463" t="s">
        <v>20</v>
      </c>
      <c r="E463">
        <f>'NHL2025-26Results'!C459</f>
        <v>3</v>
      </c>
      <c r="F463" t="s">
        <v>15</v>
      </c>
      <c r="G463">
        <f>'NHL2025-26Results'!E459</f>
        <v>2</v>
      </c>
      <c r="H463">
        <f>Table3[[#This Row],[G_1]]-Table3[[#This Row],[G]]</f>
        <v>-1</v>
      </c>
      <c r="I463">
        <f>HomeEdge+VLOOKUP(Table3[[#This Row],[Home]],$A$6:$B$38,2,FALSE)-VLOOKUP(Table3[[#This Row],[Visitor]],$A$6:$B$38,2,FALSE)</f>
        <v>-0.4439475347386338</v>
      </c>
      <c r="J463">
        <f>(Table3[[#This Row],[HomeMargin]]-Table3[[#This Row],[HomeForecast]])^2</f>
        <v>0.30919434412324287</v>
      </c>
    </row>
    <row r="464" spans="4:10" x14ac:dyDescent="0.2">
      <c r="D464" t="s">
        <v>12</v>
      </c>
      <c r="E464">
        <f>'NHL2025-26Results'!C460</f>
        <v>3</v>
      </c>
      <c r="F464" t="s">
        <v>27</v>
      </c>
      <c r="G464">
        <f>'NHL2025-26Results'!E460</f>
        <v>2</v>
      </c>
      <c r="H464">
        <f>Table3[[#This Row],[G_1]]-Table3[[#This Row],[G]]</f>
        <v>-1</v>
      </c>
      <c r="I464">
        <f>HomeEdge+VLOOKUP(Table3[[#This Row],[Home]],$A$6:$B$38,2,FALSE)-VLOOKUP(Table3[[#This Row],[Visitor]],$A$6:$B$38,2,FALSE)</f>
        <v>-1.4200391869798756</v>
      </c>
      <c r="J464">
        <f>(Table3[[#This Row],[HomeMargin]]-Table3[[#This Row],[HomeForecast]])^2</f>
        <v>0.17643291859871493</v>
      </c>
    </row>
    <row r="465" spans="4:10" x14ac:dyDescent="0.2">
      <c r="D465" t="s">
        <v>28</v>
      </c>
      <c r="E465">
        <f>'NHL2025-26Results'!C461</f>
        <v>0</v>
      </c>
      <c r="F465" t="s">
        <v>22</v>
      </c>
      <c r="G465">
        <f>'NHL2025-26Results'!E461</f>
        <v>2</v>
      </c>
      <c r="H465">
        <f>Table3[[#This Row],[G_1]]-Table3[[#This Row],[G]]</f>
        <v>2</v>
      </c>
      <c r="I465">
        <f>HomeEdge+VLOOKUP(Table3[[#This Row],[Home]],$A$6:$B$38,2,FALSE)-VLOOKUP(Table3[[#This Row],[Visitor]],$A$6:$B$38,2,FALSE)</f>
        <v>0.29139585270911761</v>
      </c>
      <c r="J465">
        <f>(Table3[[#This Row],[HomeMargin]]-Table3[[#This Row],[HomeForecast]])^2</f>
        <v>2.9193281321396034</v>
      </c>
    </row>
    <row r="466" spans="4:10" x14ac:dyDescent="0.2">
      <c r="D466" t="s">
        <v>23</v>
      </c>
      <c r="E466">
        <f>'NHL2025-26Results'!C462</f>
        <v>4</v>
      </c>
      <c r="F466" t="s">
        <v>16</v>
      </c>
      <c r="G466">
        <f>'NHL2025-26Results'!E462</f>
        <v>7</v>
      </c>
      <c r="H466">
        <f>Table3[[#This Row],[G_1]]-Table3[[#This Row],[G]]</f>
        <v>3</v>
      </c>
      <c r="I466">
        <f>HomeEdge+VLOOKUP(Table3[[#This Row],[Home]],$A$6:$B$38,2,FALSE)-VLOOKUP(Table3[[#This Row],[Visitor]],$A$6:$B$38,2,FALSE)</f>
        <v>-0.76885962944336406</v>
      </c>
      <c r="J466">
        <f>(Table3[[#This Row],[HomeMargin]]-Table3[[#This Row],[HomeForecast]])^2</f>
        <v>14.204302906447971</v>
      </c>
    </row>
    <row r="467" spans="4:10" x14ac:dyDescent="0.2">
      <c r="D467" t="s">
        <v>34</v>
      </c>
      <c r="E467">
        <f>'NHL2025-26Results'!C463</f>
        <v>4</v>
      </c>
      <c r="F467" t="s">
        <v>32</v>
      </c>
      <c r="G467">
        <f>'NHL2025-26Results'!E463</f>
        <v>1</v>
      </c>
      <c r="H467">
        <f>Table3[[#This Row],[G_1]]-Table3[[#This Row],[G]]</f>
        <v>-3</v>
      </c>
      <c r="I467">
        <f>HomeEdge+VLOOKUP(Table3[[#This Row],[Home]],$A$6:$B$38,2,FALSE)-VLOOKUP(Table3[[#This Row],[Visitor]],$A$6:$B$38,2,FALSE)</f>
        <v>-0.41324545231019388</v>
      </c>
      <c r="J467">
        <f>(Table3[[#This Row],[HomeMargin]]-Table3[[#This Row],[HomeForecast]])^2</f>
        <v>6.6912990899938922</v>
      </c>
    </row>
    <row r="468" spans="4:10" x14ac:dyDescent="0.2">
      <c r="D468" t="s">
        <v>37</v>
      </c>
      <c r="E468">
        <f>'NHL2025-26Results'!C464</f>
        <v>0</v>
      </c>
      <c r="F468" t="s">
        <v>19</v>
      </c>
      <c r="G468">
        <f>'NHL2025-26Results'!E464</f>
        <v>2</v>
      </c>
      <c r="H468">
        <f>Table3[[#This Row],[G_1]]-Table3[[#This Row],[G]]</f>
        <v>2</v>
      </c>
      <c r="I468">
        <f>HomeEdge+VLOOKUP(Table3[[#This Row],[Home]],$A$6:$B$38,2,FALSE)-VLOOKUP(Table3[[#This Row],[Visitor]],$A$6:$B$38,2,FALSE)</f>
        <v>-1.0337554298010456</v>
      </c>
      <c r="J468">
        <f>(Table3[[#This Row],[HomeMargin]]-Table3[[#This Row],[HomeForecast]])^2</f>
        <v>9.2036720078473273</v>
      </c>
    </row>
    <row r="469" spans="4:10" x14ac:dyDescent="0.2">
      <c r="D469" t="s">
        <v>13</v>
      </c>
      <c r="E469">
        <f>'NHL2025-26Results'!C465</f>
        <v>4</v>
      </c>
      <c r="F469" t="s">
        <v>55</v>
      </c>
      <c r="G469">
        <f>'NHL2025-26Results'!E465</f>
        <v>2</v>
      </c>
      <c r="H469">
        <f>Table3[[#This Row],[G_1]]-Table3[[#This Row],[G]]</f>
        <v>-2</v>
      </c>
      <c r="I469">
        <f>HomeEdge+VLOOKUP(Table3[[#This Row],[Home]],$A$6:$B$38,2,FALSE)-VLOOKUP(Table3[[#This Row],[Visitor]],$A$6:$B$38,2,FALSE)</f>
        <v>0.80439861052479711</v>
      </c>
      <c r="J469">
        <f>(Table3[[#This Row],[HomeMargin]]-Table3[[#This Row],[HomeForecast]])^2</f>
        <v>7.8646515667134116</v>
      </c>
    </row>
    <row r="470" spans="4:10" x14ac:dyDescent="0.2">
      <c r="D470" t="s">
        <v>26</v>
      </c>
      <c r="E470">
        <f>'NHL2025-26Results'!C466</f>
        <v>4</v>
      </c>
      <c r="F470" t="s">
        <v>38</v>
      </c>
      <c r="G470">
        <f>'NHL2025-26Results'!E466</f>
        <v>0</v>
      </c>
      <c r="H470">
        <f>Table3[[#This Row],[G_1]]-Table3[[#This Row],[G]]</f>
        <v>-4</v>
      </c>
      <c r="I470">
        <f>HomeEdge+VLOOKUP(Table3[[#This Row],[Home]],$A$6:$B$38,2,FALSE)-VLOOKUP(Table3[[#This Row],[Visitor]],$A$6:$B$38,2,FALSE)</f>
        <v>-0.93125853189316665</v>
      </c>
      <c r="J470">
        <f>(Table3[[#This Row],[HomeMargin]]-Table3[[#This Row],[HomeForecast]])^2</f>
        <v>9.4171741980784844</v>
      </c>
    </row>
    <row r="471" spans="4:10" x14ac:dyDescent="0.2">
      <c r="D471" t="s">
        <v>28</v>
      </c>
      <c r="E471">
        <f>'NHL2025-26Results'!C467</f>
        <v>1</v>
      </c>
      <c r="F471" t="s">
        <v>25</v>
      </c>
      <c r="G471">
        <f>'NHL2025-26Results'!E467</f>
        <v>4</v>
      </c>
      <c r="H471">
        <f>Table3[[#This Row],[G_1]]-Table3[[#This Row],[G]]</f>
        <v>3</v>
      </c>
      <c r="I471">
        <f>HomeEdge+VLOOKUP(Table3[[#This Row],[Home]],$A$6:$B$38,2,FALSE)-VLOOKUP(Table3[[#This Row],[Visitor]],$A$6:$B$38,2,FALSE)</f>
        <v>0.64366598602864822</v>
      </c>
      <c r="J471">
        <f>(Table3[[#This Row],[HomeMargin]]-Table3[[#This Row],[HomeForecast]])^2</f>
        <v>5.5523099853983418</v>
      </c>
    </row>
    <row r="472" spans="4:10" x14ac:dyDescent="0.2">
      <c r="D472" t="s">
        <v>23</v>
      </c>
      <c r="E472">
        <f>'NHL2025-26Results'!C468</f>
        <v>4</v>
      </c>
      <c r="F472" t="s">
        <v>17</v>
      </c>
      <c r="G472">
        <f>'NHL2025-26Results'!E468</f>
        <v>3</v>
      </c>
      <c r="H472">
        <f>Table3[[#This Row],[G_1]]-Table3[[#This Row],[G]]</f>
        <v>-1</v>
      </c>
      <c r="I472">
        <f>HomeEdge+VLOOKUP(Table3[[#This Row],[Home]],$A$6:$B$38,2,FALSE)-VLOOKUP(Table3[[#This Row],[Visitor]],$A$6:$B$38,2,FALSE)</f>
        <v>-0.24317336030943759</v>
      </c>
      <c r="J472">
        <f>(Table3[[#This Row],[HomeMargin]]-Table3[[#This Row],[HomeForecast]])^2</f>
        <v>0.57278656254530835</v>
      </c>
    </row>
    <row r="473" spans="4:10" x14ac:dyDescent="0.2">
      <c r="D473" t="s">
        <v>37</v>
      </c>
      <c r="E473">
        <f>'NHL2025-26Results'!C469</f>
        <v>6</v>
      </c>
      <c r="F473" t="s">
        <v>18</v>
      </c>
      <c r="G473">
        <f>'NHL2025-26Results'!E469</f>
        <v>1</v>
      </c>
      <c r="H473">
        <f>Table3[[#This Row],[G_1]]-Table3[[#This Row],[G]]</f>
        <v>-5</v>
      </c>
      <c r="I473">
        <f>HomeEdge+VLOOKUP(Table3[[#This Row],[Home]],$A$6:$B$38,2,FALSE)-VLOOKUP(Table3[[#This Row],[Visitor]],$A$6:$B$38,2,FALSE)</f>
        <v>-0.67774953828028994</v>
      </c>
      <c r="J473">
        <f>(Table3[[#This Row],[HomeMargin]]-Table3[[#This Row],[HomeForecast]])^2</f>
        <v>18.681849053836245</v>
      </c>
    </row>
    <row r="474" spans="4:10" x14ac:dyDescent="0.2">
      <c r="D474" t="s">
        <v>12</v>
      </c>
      <c r="E474">
        <f>'NHL2025-26Results'!C470</f>
        <v>3</v>
      </c>
      <c r="F474" t="s">
        <v>29</v>
      </c>
      <c r="G474">
        <f>'NHL2025-26Results'!E470</f>
        <v>4</v>
      </c>
      <c r="H474">
        <f>Table3[[#This Row],[G_1]]-Table3[[#This Row],[G]]</f>
        <v>1</v>
      </c>
      <c r="I474">
        <f>HomeEdge+VLOOKUP(Table3[[#This Row],[Home]],$A$6:$B$38,2,FALSE)-VLOOKUP(Table3[[#This Row],[Visitor]],$A$6:$B$38,2,FALSE)</f>
        <v>-1.6896246588961064</v>
      </c>
      <c r="J474">
        <f>(Table3[[#This Row],[HomeMargin]]-Table3[[#This Row],[HomeForecast]])^2</f>
        <v>7.2340808057419963</v>
      </c>
    </row>
    <row r="475" spans="4:10" x14ac:dyDescent="0.2">
      <c r="D475" t="s">
        <v>20</v>
      </c>
      <c r="E475">
        <f>'NHL2025-26Results'!C471</f>
        <v>4</v>
      </c>
      <c r="F475" t="s">
        <v>30</v>
      </c>
      <c r="G475">
        <f>'NHL2025-26Results'!E471</f>
        <v>5</v>
      </c>
      <c r="H475">
        <f>Table3[[#This Row],[G_1]]-Table3[[#This Row],[G]]</f>
        <v>1</v>
      </c>
      <c r="I475">
        <f>HomeEdge+VLOOKUP(Table3[[#This Row],[Home]],$A$6:$B$38,2,FALSE)-VLOOKUP(Table3[[#This Row],[Visitor]],$A$6:$B$38,2,FALSE)</f>
        <v>0.10626699444310234</v>
      </c>
      <c r="J475">
        <f>(Table3[[#This Row],[HomeMargin]]-Table3[[#This Row],[HomeForecast]])^2</f>
        <v>0.79875868522176574</v>
      </c>
    </row>
    <row r="476" spans="4:10" x14ac:dyDescent="0.2">
      <c r="D476" t="s">
        <v>24</v>
      </c>
      <c r="E476">
        <f>'NHL2025-26Results'!C472</f>
        <v>4</v>
      </c>
      <c r="F476" t="s">
        <v>36</v>
      </c>
      <c r="G476">
        <f>'NHL2025-26Results'!E472</f>
        <v>3</v>
      </c>
      <c r="H476">
        <f>Table3[[#This Row],[G_1]]-Table3[[#This Row],[G]]</f>
        <v>-1</v>
      </c>
      <c r="I476">
        <f>HomeEdge+VLOOKUP(Table3[[#This Row],[Home]],$A$6:$B$38,2,FALSE)-VLOOKUP(Table3[[#This Row],[Visitor]],$A$6:$B$38,2,FALSE)</f>
        <v>0.68460753849721456</v>
      </c>
      <c r="J476">
        <f>(Table3[[#This Row],[HomeMargin]]-Table3[[#This Row],[HomeForecast]])^2</f>
        <v>2.8379025587616442</v>
      </c>
    </row>
    <row r="477" spans="4:10" x14ac:dyDescent="0.2">
      <c r="D477" t="s">
        <v>33</v>
      </c>
      <c r="E477">
        <f>'NHL2025-26Results'!C473</f>
        <v>1</v>
      </c>
      <c r="F477" t="s">
        <v>27</v>
      </c>
      <c r="G477">
        <f>'NHL2025-26Results'!E473</f>
        <v>4</v>
      </c>
      <c r="H477">
        <f>Table3[[#This Row],[G_1]]-Table3[[#This Row],[G]]</f>
        <v>3</v>
      </c>
      <c r="I477">
        <f>HomeEdge+VLOOKUP(Table3[[#This Row],[Home]],$A$6:$B$38,2,FALSE)-VLOOKUP(Table3[[#This Row],[Visitor]],$A$6:$B$38,2,FALSE)</f>
        <v>0.23099347145352989</v>
      </c>
      <c r="J477">
        <f>(Table3[[#This Row],[HomeMargin]]-Table3[[#This Row],[HomeForecast]])^2</f>
        <v>7.6673971551329743</v>
      </c>
    </row>
    <row r="478" spans="4:10" x14ac:dyDescent="0.2">
      <c r="D478" t="s">
        <v>31</v>
      </c>
      <c r="E478">
        <f>'NHL2025-26Results'!C474</f>
        <v>4</v>
      </c>
      <c r="F478" t="s">
        <v>14</v>
      </c>
      <c r="G478">
        <f>'NHL2025-26Results'!E474</f>
        <v>3</v>
      </c>
      <c r="H478">
        <f>Table3[[#This Row],[G_1]]-Table3[[#This Row],[G]]</f>
        <v>-1</v>
      </c>
      <c r="I478">
        <f>HomeEdge+VLOOKUP(Table3[[#This Row],[Home]],$A$6:$B$38,2,FALSE)-VLOOKUP(Table3[[#This Row],[Visitor]],$A$6:$B$38,2,FALSE)</f>
        <v>0.59324916643856596</v>
      </c>
      <c r="J478">
        <f>(Table3[[#This Row],[HomeMargin]]-Table3[[#This Row],[HomeForecast]])^2</f>
        <v>2.5384429063571852</v>
      </c>
    </row>
    <row r="479" spans="4:10" x14ac:dyDescent="0.2">
      <c r="D479" t="s">
        <v>21</v>
      </c>
      <c r="E479">
        <f>'NHL2025-26Results'!C475</f>
        <v>5</v>
      </c>
      <c r="F479" t="s">
        <v>35</v>
      </c>
      <c r="G479">
        <f>'NHL2025-26Results'!E475</f>
        <v>2</v>
      </c>
      <c r="H479">
        <f>Table3[[#This Row],[G_1]]-Table3[[#This Row],[G]]</f>
        <v>-3</v>
      </c>
      <c r="I479">
        <f>HomeEdge+VLOOKUP(Table3[[#This Row],[Home]],$A$6:$B$38,2,FALSE)-VLOOKUP(Table3[[#This Row],[Visitor]],$A$6:$B$38,2,FALSE)</f>
        <v>-1.0807196744626739</v>
      </c>
      <c r="J479">
        <f>(Table3[[#This Row],[HomeMargin]]-Table3[[#This Row],[HomeForecast]])^2</f>
        <v>3.6836369679946643</v>
      </c>
    </row>
    <row r="480" spans="4:10" x14ac:dyDescent="0.2">
      <c r="D480" t="s">
        <v>39</v>
      </c>
      <c r="E480">
        <f>'NHL2025-26Results'!C476</f>
        <v>4</v>
      </c>
      <c r="F480" t="s">
        <v>40</v>
      </c>
      <c r="G480">
        <f>'NHL2025-26Results'!E476</f>
        <v>3</v>
      </c>
      <c r="H480">
        <f>Table3[[#This Row],[G_1]]-Table3[[#This Row],[G]]</f>
        <v>-1</v>
      </c>
      <c r="I480">
        <f>HomeEdge+VLOOKUP(Table3[[#This Row],[Home]],$A$6:$B$38,2,FALSE)-VLOOKUP(Table3[[#This Row],[Visitor]],$A$6:$B$38,2,FALSE)</f>
        <v>-0.6759247945499538</v>
      </c>
      <c r="J480">
        <f>(Table3[[#This Row],[HomeMargin]]-Table3[[#This Row],[HomeForecast]])^2</f>
        <v>0.10502473878748965</v>
      </c>
    </row>
    <row r="481" spans="4:10" x14ac:dyDescent="0.2">
      <c r="D481" t="s">
        <v>26</v>
      </c>
      <c r="E481">
        <f>'NHL2025-26Results'!C477</f>
        <v>4</v>
      </c>
      <c r="F481" t="s">
        <v>16</v>
      </c>
      <c r="G481">
        <f>'NHL2025-26Results'!E477</f>
        <v>3</v>
      </c>
      <c r="H481">
        <f>Table3[[#This Row],[G_1]]-Table3[[#This Row],[G]]</f>
        <v>-1</v>
      </c>
      <c r="I481">
        <f>HomeEdge+VLOOKUP(Table3[[#This Row],[Home]],$A$6:$B$38,2,FALSE)-VLOOKUP(Table3[[#This Row],[Visitor]],$A$6:$B$38,2,FALSE)</f>
        <v>-0.42956744765621757</v>
      </c>
      <c r="J481">
        <f>(Table3[[#This Row],[HomeMargin]]-Table3[[#This Row],[HomeForecast]])^2</f>
        <v>0.32539329677344209</v>
      </c>
    </row>
    <row r="482" spans="4:10" x14ac:dyDescent="0.2">
      <c r="D482" t="s">
        <v>15</v>
      </c>
      <c r="E482">
        <f>'NHL2025-26Results'!C478</f>
        <v>0</v>
      </c>
      <c r="F482" t="s">
        <v>10</v>
      </c>
      <c r="G482">
        <f>'NHL2025-26Results'!E478</f>
        <v>3</v>
      </c>
      <c r="H482">
        <f>Table3[[#This Row],[G_1]]-Table3[[#This Row],[G]]</f>
        <v>3</v>
      </c>
      <c r="I482">
        <f>HomeEdge+VLOOKUP(Table3[[#This Row],[Home]],$A$6:$B$38,2,FALSE)-VLOOKUP(Table3[[#This Row],[Visitor]],$A$6:$B$38,2,FALSE)</f>
        <v>-6.0454640783196067E-2</v>
      </c>
      <c r="J482">
        <f>(Table3[[#This Row],[HomeMargin]]-Table3[[#This Row],[HomeForecast]])^2</f>
        <v>9.3663826082914028</v>
      </c>
    </row>
    <row r="483" spans="4:10" x14ac:dyDescent="0.2">
      <c r="D483" t="s">
        <v>13</v>
      </c>
      <c r="E483">
        <f>'NHL2025-26Results'!C479</f>
        <v>2</v>
      </c>
      <c r="F483" t="s">
        <v>32</v>
      </c>
      <c r="G483">
        <f>'NHL2025-26Results'!E479</f>
        <v>3</v>
      </c>
      <c r="H483">
        <f>Table3[[#This Row],[G_1]]-Table3[[#This Row],[G]]</f>
        <v>1</v>
      </c>
      <c r="I483">
        <f>HomeEdge+VLOOKUP(Table3[[#This Row],[Home]],$A$6:$B$38,2,FALSE)-VLOOKUP(Table3[[#This Row],[Visitor]],$A$6:$B$38,2,FALSE)</f>
        <v>0.23793673031813345</v>
      </c>
      <c r="J483">
        <f>(Table3[[#This Row],[HomeMargin]]-Table3[[#This Row],[HomeForecast]])^2</f>
        <v>0.58074042699821726</v>
      </c>
    </row>
    <row r="484" spans="4:10" x14ac:dyDescent="0.2">
      <c r="D484" t="s">
        <v>11</v>
      </c>
      <c r="E484">
        <f>'NHL2025-26Results'!C480</f>
        <v>4</v>
      </c>
      <c r="F484" t="s">
        <v>55</v>
      </c>
      <c r="G484">
        <f>'NHL2025-26Results'!E480</f>
        <v>3</v>
      </c>
      <c r="H484">
        <f>Table3[[#This Row],[G_1]]-Table3[[#This Row],[G]]</f>
        <v>-1</v>
      </c>
      <c r="I484">
        <f>HomeEdge+VLOOKUP(Table3[[#This Row],[Home]],$A$6:$B$38,2,FALSE)-VLOOKUP(Table3[[#This Row],[Visitor]],$A$6:$B$38,2,FALSE)</f>
        <v>0.77065384290495131</v>
      </c>
      <c r="J484">
        <f>(Table3[[#This Row],[HomeMargin]]-Table3[[#This Row],[HomeForecast]])^2</f>
        <v>3.1352150313940723</v>
      </c>
    </row>
    <row r="485" spans="4:10" x14ac:dyDescent="0.2">
      <c r="D485" t="s">
        <v>36</v>
      </c>
      <c r="E485">
        <f>'NHL2025-26Results'!C481</f>
        <v>6</v>
      </c>
      <c r="F485" t="s">
        <v>28</v>
      </c>
      <c r="G485">
        <f>'NHL2025-26Results'!E481</f>
        <v>3</v>
      </c>
      <c r="H485">
        <f>Table3[[#This Row],[G_1]]-Table3[[#This Row],[G]]</f>
        <v>-3</v>
      </c>
      <c r="I485">
        <f>HomeEdge+VLOOKUP(Table3[[#This Row],[Home]],$A$6:$B$38,2,FALSE)-VLOOKUP(Table3[[#This Row],[Visitor]],$A$6:$B$38,2,FALSE)</f>
        <v>3.8149669719649976E-2</v>
      </c>
      <c r="J485">
        <f>(Table3[[#This Row],[HomeMargin]]-Table3[[#This Row],[HomeForecast]])^2</f>
        <v>9.2303534156176195</v>
      </c>
    </row>
    <row r="486" spans="4:10" x14ac:dyDescent="0.2">
      <c r="D486" t="s">
        <v>11</v>
      </c>
      <c r="E486">
        <f>'NHL2025-26Results'!C482</f>
        <v>2</v>
      </c>
      <c r="F486" t="s">
        <v>12</v>
      </c>
      <c r="G486">
        <f>'NHL2025-26Results'!E482</f>
        <v>6</v>
      </c>
      <c r="H486">
        <f>Table3[[#This Row],[G_1]]-Table3[[#This Row],[G]]</f>
        <v>4</v>
      </c>
      <c r="I486">
        <f>HomeEdge+VLOOKUP(Table3[[#This Row],[Home]],$A$6:$B$38,2,FALSE)-VLOOKUP(Table3[[#This Row],[Visitor]],$A$6:$B$38,2,FALSE)</f>
        <v>1.6852259505759826</v>
      </c>
      <c r="J486">
        <f>(Table3[[#This Row],[HomeMargin]]-Table3[[#This Row],[HomeForecast]])^2</f>
        <v>5.3581788998868642</v>
      </c>
    </row>
    <row r="487" spans="4:10" x14ac:dyDescent="0.2">
      <c r="D487" t="s">
        <v>26</v>
      </c>
      <c r="E487">
        <f>'NHL2025-26Results'!C483</f>
        <v>1</v>
      </c>
      <c r="F487" t="s">
        <v>17</v>
      </c>
      <c r="G487">
        <f>'NHL2025-26Results'!E483</f>
        <v>4</v>
      </c>
      <c r="H487">
        <f>Table3[[#This Row],[G_1]]-Table3[[#This Row],[G]]</f>
        <v>3</v>
      </c>
      <c r="I487">
        <f>HomeEdge+VLOOKUP(Table3[[#This Row],[Home]],$A$6:$B$38,2,FALSE)-VLOOKUP(Table3[[#This Row],[Visitor]],$A$6:$B$38,2,FALSE)</f>
        <v>9.6118821477708866E-2</v>
      </c>
      <c r="J487">
        <f>(Table3[[#This Row],[HomeMargin]]-Table3[[#This Row],[HomeForecast]])^2</f>
        <v>8.4325258989760119</v>
      </c>
    </row>
    <row r="488" spans="4:10" x14ac:dyDescent="0.2">
      <c r="D488" t="s">
        <v>39</v>
      </c>
      <c r="E488">
        <f>'NHL2025-26Results'!C484</f>
        <v>2</v>
      </c>
      <c r="F488" t="s">
        <v>34</v>
      </c>
      <c r="G488">
        <f>'NHL2025-26Results'!E484</f>
        <v>5</v>
      </c>
      <c r="H488">
        <f>Table3[[#This Row],[G_1]]-Table3[[#This Row],[G]]</f>
        <v>3</v>
      </c>
      <c r="I488">
        <f>HomeEdge+VLOOKUP(Table3[[#This Row],[Home]],$A$6:$B$38,2,FALSE)-VLOOKUP(Table3[[#This Row],[Visitor]],$A$6:$B$38,2,FALSE)</f>
        <v>-2.6988038326065333E-2</v>
      </c>
      <c r="J488">
        <f>(Table3[[#This Row],[HomeMargin]]-Table3[[#This Row],[HomeForecast]])^2</f>
        <v>9.1626565841690812</v>
      </c>
    </row>
    <row r="489" spans="4:10" x14ac:dyDescent="0.2">
      <c r="D489" t="s">
        <v>37</v>
      </c>
      <c r="E489">
        <f>'NHL2025-26Results'!C485</f>
        <v>8</v>
      </c>
      <c r="F489" t="s">
        <v>24</v>
      </c>
      <c r="G489">
        <f>'NHL2025-26Results'!E485</f>
        <v>4</v>
      </c>
      <c r="H489">
        <f>Table3[[#This Row],[G_1]]-Table3[[#This Row],[G]]</f>
        <v>-4</v>
      </c>
      <c r="I489">
        <f>HomeEdge+VLOOKUP(Table3[[#This Row],[Home]],$A$6:$B$38,2,FALSE)-VLOOKUP(Table3[[#This Row],[Visitor]],$A$6:$B$38,2,FALSE)</f>
        <v>-1.3365828968421285</v>
      </c>
      <c r="J489">
        <f>(Table3[[#This Row],[HomeMargin]]-Table3[[#This Row],[HomeForecast]])^2</f>
        <v>7.0937906653938683</v>
      </c>
    </row>
    <row r="490" spans="4:10" x14ac:dyDescent="0.2">
      <c r="D490" t="s">
        <v>35</v>
      </c>
      <c r="E490">
        <f>'NHL2025-26Results'!C486</f>
        <v>2</v>
      </c>
      <c r="F490" t="s">
        <v>29</v>
      </c>
      <c r="G490">
        <f>'NHL2025-26Results'!E486</f>
        <v>7</v>
      </c>
      <c r="H490">
        <f>Table3[[#This Row],[G_1]]-Table3[[#This Row],[G]]</f>
        <v>5</v>
      </c>
      <c r="I490">
        <f>HomeEdge+VLOOKUP(Table3[[#This Row],[Home]],$A$6:$B$38,2,FALSE)-VLOOKUP(Table3[[#This Row],[Visitor]],$A$6:$B$38,2,FALSE)</f>
        <v>0.62189944790832741</v>
      </c>
      <c r="J490">
        <f>(Table3[[#This Row],[HomeMargin]]-Table3[[#This Row],[HomeForecast]])^2</f>
        <v>19.167764444225408</v>
      </c>
    </row>
    <row r="491" spans="4:10" x14ac:dyDescent="0.2">
      <c r="D491" t="s">
        <v>31</v>
      </c>
      <c r="E491">
        <f>'NHL2025-26Results'!C487</f>
        <v>2</v>
      </c>
      <c r="F491" t="s">
        <v>30</v>
      </c>
      <c r="G491">
        <f>'NHL2025-26Results'!E487</f>
        <v>5</v>
      </c>
      <c r="H491">
        <f>Table3[[#This Row],[G_1]]-Table3[[#This Row],[G]]</f>
        <v>3</v>
      </c>
      <c r="I491">
        <f>HomeEdge+VLOOKUP(Table3[[#This Row],[Home]],$A$6:$B$38,2,FALSE)-VLOOKUP(Table3[[#This Row],[Visitor]],$A$6:$B$38,2,FALSE)</f>
        <v>0.40690819134280787</v>
      </c>
      <c r="J491">
        <f>(Table3[[#This Row],[HomeMargin]]-Table3[[#This Row],[HomeForecast]])^2</f>
        <v>6.7241251281250278</v>
      </c>
    </row>
    <row r="492" spans="4:10" x14ac:dyDescent="0.2">
      <c r="D492" t="s">
        <v>20</v>
      </c>
      <c r="E492">
        <f>'NHL2025-26Results'!C488</f>
        <v>3</v>
      </c>
      <c r="F492" t="s">
        <v>27</v>
      </c>
      <c r="G492">
        <f>'NHL2025-26Results'!E488</f>
        <v>2</v>
      </c>
      <c r="H492">
        <f>Table3[[#This Row],[G_1]]-Table3[[#This Row],[G]]</f>
        <v>-1</v>
      </c>
      <c r="I492">
        <f>HomeEdge+VLOOKUP(Table3[[#This Row],[Home]],$A$6:$B$38,2,FALSE)-VLOOKUP(Table3[[#This Row],[Visitor]],$A$6:$B$38,2,FALSE)</f>
        <v>-0.25840771926635742</v>
      </c>
      <c r="J492">
        <f>(Table3[[#This Row],[HomeMargin]]-Table3[[#This Row],[HomeForecast]])^2</f>
        <v>0.54995911084372573</v>
      </c>
    </row>
    <row r="493" spans="4:10" x14ac:dyDescent="0.2">
      <c r="D493" t="s">
        <v>18</v>
      </c>
      <c r="E493">
        <f>'NHL2025-26Results'!C489</f>
        <v>4</v>
      </c>
      <c r="F493" t="s">
        <v>14</v>
      </c>
      <c r="G493">
        <f>'NHL2025-26Results'!E489</f>
        <v>2</v>
      </c>
      <c r="H493">
        <f>Table3[[#This Row],[G_1]]-Table3[[#This Row],[G]]</f>
        <v>-2</v>
      </c>
      <c r="I493">
        <f>HomeEdge+VLOOKUP(Table3[[#This Row],[Home]],$A$6:$B$38,2,FALSE)-VLOOKUP(Table3[[#This Row],[Visitor]],$A$6:$B$38,2,FALSE)</f>
        <v>0.2159180120910707</v>
      </c>
      <c r="J493">
        <f>(Table3[[#This Row],[HomeMargin]]-Table3[[#This Row],[HomeForecast]])^2</f>
        <v>4.9102926363096424</v>
      </c>
    </row>
    <row r="494" spans="4:10" x14ac:dyDescent="0.2">
      <c r="D494" t="s">
        <v>33</v>
      </c>
      <c r="E494">
        <f>'NHL2025-26Results'!C490</f>
        <v>3</v>
      </c>
      <c r="F494" t="s">
        <v>19</v>
      </c>
      <c r="G494">
        <f>'NHL2025-26Results'!E490</f>
        <v>2</v>
      </c>
      <c r="H494">
        <f>Table3[[#This Row],[G_1]]-Table3[[#This Row],[G]]</f>
        <v>-1</v>
      </c>
      <c r="I494">
        <f>HomeEdge+VLOOKUP(Table3[[#This Row],[Home]],$A$6:$B$38,2,FALSE)-VLOOKUP(Table3[[#This Row],[Visitor]],$A$6:$B$38,2,FALSE)</f>
        <v>0.33969224245844543</v>
      </c>
      <c r="J494">
        <f>(Table3[[#This Row],[HomeMargin]]-Table3[[#This Row],[HomeForecast]])^2</f>
        <v>1.7947753045033381</v>
      </c>
    </row>
    <row r="495" spans="4:10" x14ac:dyDescent="0.2">
      <c r="D495" t="s">
        <v>23</v>
      </c>
      <c r="E495">
        <f>'NHL2025-26Results'!C491</f>
        <v>3</v>
      </c>
      <c r="F495" t="s">
        <v>38</v>
      </c>
      <c r="G495">
        <f>'NHL2025-26Results'!E491</f>
        <v>2</v>
      </c>
      <c r="H495">
        <f>Table3[[#This Row],[G_1]]-Table3[[#This Row],[G]]</f>
        <v>-1</v>
      </c>
      <c r="I495">
        <f>HomeEdge+VLOOKUP(Table3[[#This Row],[Home]],$A$6:$B$38,2,FALSE)-VLOOKUP(Table3[[#This Row],[Visitor]],$A$6:$B$38,2,FALSE)</f>
        <v>-1.2705507136803131</v>
      </c>
      <c r="J495">
        <f>(Table3[[#This Row],[HomeMargin]]-Table3[[#This Row],[HomeForecast]])^2</f>
        <v>7.3197688672926781E-2</v>
      </c>
    </row>
    <row r="496" spans="4:10" x14ac:dyDescent="0.2">
      <c r="D496" t="s">
        <v>21</v>
      </c>
      <c r="E496">
        <f>'NHL2025-26Results'!C492</f>
        <v>6</v>
      </c>
      <c r="F496" t="s">
        <v>40</v>
      </c>
      <c r="G496">
        <f>'NHL2025-26Results'!E492</f>
        <v>3</v>
      </c>
      <c r="H496">
        <f>Table3[[#This Row],[G_1]]-Table3[[#This Row],[G]]</f>
        <v>-3</v>
      </c>
      <c r="I496">
        <f>HomeEdge+VLOOKUP(Table3[[#This Row],[Home]],$A$6:$B$38,2,FALSE)-VLOOKUP(Table3[[#This Row],[Visitor]],$A$6:$B$38,2,FALSE)</f>
        <v>-0.35631387363810563</v>
      </c>
      <c r="J496">
        <f>(Table3[[#This Row],[HomeMargin]]-Table3[[#This Row],[HomeForecast]])^2</f>
        <v>6.9890763347183587</v>
      </c>
    </row>
    <row r="497" spans="4:10" x14ac:dyDescent="0.2">
      <c r="D497" t="s">
        <v>25</v>
      </c>
      <c r="E497">
        <f>'NHL2025-26Results'!C493</f>
        <v>3</v>
      </c>
      <c r="F497" t="s">
        <v>22</v>
      </c>
      <c r="G497">
        <f>'NHL2025-26Results'!E493</f>
        <v>2</v>
      </c>
      <c r="H497">
        <f>Table3[[#This Row],[G_1]]-Table3[[#This Row],[G]]</f>
        <v>-1</v>
      </c>
      <c r="I497">
        <f>HomeEdge+VLOOKUP(Table3[[#This Row],[Home]],$A$6:$B$38,2,FALSE)-VLOOKUP(Table3[[#This Row],[Visitor]],$A$6:$B$38,2,FALSE)</f>
        <v>-0.22266314750800653</v>
      </c>
      <c r="J497">
        <f>(Table3[[#This Row],[HomeMargin]]-Table3[[#This Row],[HomeForecast]])^2</f>
        <v>0.60425258224215916</v>
      </c>
    </row>
    <row r="498" spans="4:10" x14ac:dyDescent="0.2">
      <c r="D498" t="s">
        <v>10</v>
      </c>
      <c r="E498">
        <f>'NHL2025-26Results'!C494</f>
        <v>2</v>
      </c>
      <c r="F498" t="s">
        <v>35</v>
      </c>
      <c r="G498">
        <f>'NHL2025-26Results'!E494</f>
        <v>3</v>
      </c>
      <c r="H498">
        <f>Table3[[#This Row],[G_1]]-Table3[[#This Row],[G]]</f>
        <v>1</v>
      </c>
      <c r="I498">
        <f>HomeEdge+VLOOKUP(Table3[[#This Row],[Home]],$A$6:$B$38,2,FALSE)-VLOOKUP(Table3[[#This Row],[Visitor]],$A$6:$B$38,2,FALSE)</f>
        <v>-0.25666950613451323</v>
      </c>
      <c r="J498">
        <f>(Table3[[#This Row],[HomeMargin]]-Table3[[#This Row],[HomeForecast]])^2</f>
        <v>1.5792182476483614</v>
      </c>
    </row>
    <row r="499" spans="4:10" x14ac:dyDescent="0.2">
      <c r="D499" t="s">
        <v>32</v>
      </c>
      <c r="E499">
        <f>'NHL2025-26Results'!C495</f>
        <v>3</v>
      </c>
      <c r="F499" t="s">
        <v>55</v>
      </c>
      <c r="G499">
        <f>'NHL2025-26Results'!E495</f>
        <v>5</v>
      </c>
      <c r="H499">
        <f>Table3[[#This Row],[G_1]]-Table3[[#This Row],[G]]</f>
        <v>2</v>
      </c>
      <c r="I499">
        <f>HomeEdge+VLOOKUP(Table3[[#This Row],[Home]],$A$6:$B$38,2,FALSE)-VLOOKUP(Table3[[#This Row],[Visitor]],$A$6:$B$38,2,FALSE)</f>
        <v>0.69606886601818774</v>
      </c>
      <c r="J499">
        <f>(Table3[[#This Row],[HomeMargin]]-Table3[[#This Row],[HomeForecast]])^2</f>
        <v>1.7002364021670948</v>
      </c>
    </row>
    <row r="500" spans="4:10" x14ac:dyDescent="0.2">
      <c r="D500" t="s">
        <v>20</v>
      </c>
      <c r="E500">
        <f>'NHL2025-26Results'!C496</f>
        <v>3</v>
      </c>
      <c r="F500" t="s">
        <v>28</v>
      </c>
      <c r="G500">
        <f>'NHL2025-26Results'!E496</f>
        <v>2</v>
      </c>
      <c r="H500">
        <f>Table3[[#This Row],[G_1]]-Table3[[#This Row],[G]]</f>
        <v>-1</v>
      </c>
      <c r="I500">
        <f>HomeEdge+VLOOKUP(Table3[[#This Row],[Home]],$A$6:$B$38,2,FALSE)-VLOOKUP(Table3[[#This Row],[Visitor]],$A$6:$B$38,2,FALSE)</f>
        <v>1.1006821291291824E-2</v>
      </c>
      <c r="J500">
        <f>(Table3[[#This Row],[HomeMargin]]-Table3[[#This Row],[HomeForecast]])^2</f>
        <v>1.0221347926975224</v>
      </c>
    </row>
    <row r="501" spans="4:10" x14ac:dyDescent="0.2">
      <c r="D501" t="s">
        <v>26</v>
      </c>
      <c r="E501">
        <f>'NHL2025-26Results'!C497</f>
        <v>4</v>
      </c>
      <c r="F501" t="s">
        <v>10</v>
      </c>
      <c r="G501">
        <f>'NHL2025-26Results'!E497</f>
        <v>0</v>
      </c>
      <c r="H501">
        <f>Table3[[#This Row],[G_1]]-Table3[[#This Row],[G]]</f>
        <v>-4</v>
      </c>
      <c r="I501">
        <f>HomeEdge+VLOOKUP(Table3[[#This Row],[Home]],$A$6:$B$38,2,FALSE)-VLOOKUP(Table3[[#This Row],[Visitor]],$A$6:$B$38,2,FALSE)</f>
        <v>-0.46583601036612554</v>
      </c>
      <c r="J501">
        <f>(Table3[[#This Row],[HomeMargin]]-Table3[[#This Row],[HomeForecast]])^2</f>
        <v>12.490315105624823</v>
      </c>
    </row>
    <row r="502" spans="4:10" x14ac:dyDescent="0.2">
      <c r="D502" t="s">
        <v>29</v>
      </c>
      <c r="E502">
        <f>'NHL2025-26Results'!C498</f>
        <v>2</v>
      </c>
      <c r="F502" t="s">
        <v>12</v>
      </c>
      <c r="G502">
        <f>'NHL2025-26Results'!E498</f>
        <v>4</v>
      </c>
      <c r="H502">
        <f>Table3[[#This Row],[G_1]]-Table3[[#This Row],[G]]</f>
        <v>2</v>
      </c>
      <c r="I502">
        <f>HomeEdge+VLOOKUP(Table3[[#This Row],[Home]],$A$6:$B$38,2,FALSE)-VLOOKUP(Table3[[#This Row],[Visitor]],$A$6:$B$38,2,FALSE)</f>
        <v>1.9488386305191545</v>
      </c>
      <c r="J502">
        <f>(Table3[[#This Row],[HomeMargin]]-Table3[[#This Row],[HomeForecast]])^2</f>
        <v>2.617485727155588E-3</v>
      </c>
    </row>
    <row r="503" spans="4:10" x14ac:dyDescent="0.2">
      <c r="D503" t="s">
        <v>11</v>
      </c>
      <c r="E503">
        <f>'NHL2025-26Results'!C499</f>
        <v>4</v>
      </c>
      <c r="F503" t="s">
        <v>39</v>
      </c>
      <c r="G503">
        <f>'NHL2025-26Results'!E499</f>
        <v>0</v>
      </c>
      <c r="H503">
        <f>Table3[[#This Row],[G_1]]-Table3[[#This Row],[G]]</f>
        <v>-4</v>
      </c>
      <c r="I503">
        <f>HomeEdge+VLOOKUP(Table3[[#This Row],[Home]],$A$6:$B$38,2,FALSE)-VLOOKUP(Table3[[#This Row],[Visitor]],$A$6:$B$38,2,FALSE)</f>
        <v>0.90363942495759508</v>
      </c>
      <c r="J503">
        <f>(Table3[[#This Row],[HomeMargin]]-Table3[[#This Row],[HomeForecast]])^2</f>
        <v>24.045679609998459</v>
      </c>
    </row>
    <row r="504" spans="4:10" x14ac:dyDescent="0.2">
      <c r="D504" t="s">
        <v>16</v>
      </c>
      <c r="E504">
        <f>'NHL2025-26Results'!C500</f>
        <v>2</v>
      </c>
      <c r="F504" t="s">
        <v>13</v>
      </c>
      <c r="G504">
        <f>'NHL2025-26Results'!E500</f>
        <v>1</v>
      </c>
      <c r="H504">
        <f>Table3[[#This Row],[G_1]]-Table3[[#This Row],[G]]</f>
        <v>-1</v>
      </c>
      <c r="I504">
        <f>HomeEdge+VLOOKUP(Table3[[#This Row],[Home]],$A$6:$B$38,2,FALSE)-VLOOKUP(Table3[[#This Row],[Visitor]],$A$6:$B$38,2,FALSE)</f>
        <v>0.42922230557570817</v>
      </c>
      <c r="J504">
        <f>(Table3[[#This Row],[HomeMargin]]-Table3[[#This Row],[HomeForecast]])^2</f>
        <v>2.0426763987551428</v>
      </c>
    </row>
    <row r="505" spans="4:10" x14ac:dyDescent="0.2">
      <c r="D505" t="s">
        <v>36</v>
      </c>
      <c r="E505">
        <f>'NHL2025-26Results'!C501</f>
        <v>2</v>
      </c>
      <c r="F505" t="s">
        <v>34</v>
      </c>
      <c r="G505">
        <f>'NHL2025-26Results'!E501</f>
        <v>3</v>
      </c>
      <c r="H505">
        <f>Table3[[#This Row],[G_1]]-Table3[[#This Row],[G]]</f>
        <v>1</v>
      </c>
      <c r="I505">
        <f>HomeEdge+VLOOKUP(Table3[[#This Row],[Home]],$A$6:$B$38,2,FALSE)-VLOOKUP(Table3[[#This Row],[Visitor]],$A$6:$B$38,2,FALSE)</f>
        <v>0.38019975219742358</v>
      </c>
      <c r="J505">
        <f>(Table3[[#This Row],[HomeMargin]]-Table3[[#This Row],[HomeForecast]])^2</f>
        <v>0.38415234717613506</v>
      </c>
    </row>
    <row r="506" spans="4:10" x14ac:dyDescent="0.2">
      <c r="D506" t="s">
        <v>31</v>
      </c>
      <c r="E506">
        <f>'NHL2025-26Results'!C502</f>
        <v>1</v>
      </c>
      <c r="F506" t="s">
        <v>24</v>
      </c>
      <c r="G506">
        <f>'NHL2025-26Results'!E502</f>
        <v>4</v>
      </c>
      <c r="H506">
        <f>Table3[[#This Row],[G_1]]-Table3[[#This Row],[G]]</f>
        <v>3</v>
      </c>
      <c r="I506">
        <f>HomeEdge+VLOOKUP(Table3[[#This Row],[Home]],$A$6:$B$38,2,FALSE)-VLOOKUP(Table3[[#This Row],[Visitor]],$A$6:$B$38,2,FALSE)</f>
        <v>-0.15189521840281905</v>
      </c>
      <c r="J506">
        <f>(Table3[[#This Row],[HomeMargin]]-Table3[[#This Row],[HomeForecast]])^2</f>
        <v>9.9344434677905546</v>
      </c>
    </row>
    <row r="507" spans="4:10" x14ac:dyDescent="0.2">
      <c r="D507" t="s">
        <v>37</v>
      </c>
      <c r="E507">
        <f>'NHL2025-26Results'!C503</f>
        <v>2</v>
      </c>
      <c r="F507" t="s">
        <v>30</v>
      </c>
      <c r="G507">
        <f>'NHL2025-26Results'!E503</f>
        <v>3</v>
      </c>
      <c r="H507">
        <f>Table3[[#This Row],[G_1]]-Table3[[#This Row],[G]]</f>
        <v>1</v>
      </c>
      <c r="I507">
        <f>HomeEdge+VLOOKUP(Table3[[#This Row],[Home]],$A$6:$B$38,2,FALSE)-VLOOKUP(Table3[[#This Row],[Visitor]],$A$6:$B$38,2,FALSE)</f>
        <v>-0.77777948709650147</v>
      </c>
      <c r="J507">
        <f>(Table3[[#This Row],[HomeMargin]]-Table3[[#This Row],[HomeForecast]])^2</f>
        <v>3.1604999047411004</v>
      </c>
    </row>
    <row r="508" spans="4:10" x14ac:dyDescent="0.2">
      <c r="D508" t="s">
        <v>18</v>
      </c>
      <c r="E508">
        <f>'NHL2025-26Results'!C504</f>
        <v>4</v>
      </c>
      <c r="F508" t="s">
        <v>15</v>
      </c>
      <c r="G508">
        <f>'NHL2025-26Results'!E504</f>
        <v>5</v>
      </c>
      <c r="H508">
        <f>Table3[[#This Row],[G_1]]-Table3[[#This Row],[G]]</f>
        <v>1</v>
      </c>
      <c r="I508">
        <f>HomeEdge+VLOOKUP(Table3[[#This Row],[Home]],$A$6:$B$38,2,FALSE)-VLOOKUP(Table3[[#This Row],[Visitor]],$A$6:$B$38,2,FALSE)</f>
        <v>-0.52063749218642363</v>
      </c>
      <c r="J508">
        <f>(Table3[[#This Row],[HomeMargin]]-Table3[[#This Row],[HomeForecast]])^2</f>
        <v>2.3123383826430155</v>
      </c>
    </row>
    <row r="509" spans="4:10" x14ac:dyDescent="0.2">
      <c r="D509" t="s">
        <v>25</v>
      </c>
      <c r="E509">
        <f>'NHL2025-26Results'!C505</f>
        <v>4</v>
      </c>
      <c r="F509" t="s">
        <v>27</v>
      </c>
      <c r="G509">
        <f>'NHL2025-26Results'!E505</f>
        <v>3</v>
      </c>
      <c r="H509">
        <f>Table3[[#This Row],[G_1]]-Table3[[#This Row],[G]]</f>
        <v>-1</v>
      </c>
      <c r="I509">
        <f>HomeEdge+VLOOKUP(Table3[[#This Row],[Home]],$A$6:$B$38,2,FALSE)-VLOOKUP(Table3[[#This Row],[Visitor]],$A$6:$B$38,2,FALSE)</f>
        <v>-0.6538665549632493</v>
      </c>
      <c r="J509">
        <f>(Table3[[#This Row],[HomeMargin]]-Table3[[#This Row],[HomeForecast]])^2</f>
        <v>0.11980836177300931</v>
      </c>
    </row>
    <row r="510" spans="4:10" x14ac:dyDescent="0.2">
      <c r="D510" t="s">
        <v>33</v>
      </c>
      <c r="E510">
        <f>'NHL2025-26Results'!C506</f>
        <v>6</v>
      </c>
      <c r="F510" t="s">
        <v>14</v>
      </c>
      <c r="G510">
        <f>'NHL2025-26Results'!E506</f>
        <v>5</v>
      </c>
      <c r="H510">
        <f>Table3[[#This Row],[G_1]]-Table3[[#This Row],[G]]</f>
        <v>-1</v>
      </c>
      <c r="I510">
        <f>HomeEdge+VLOOKUP(Table3[[#This Row],[Home]],$A$6:$B$38,2,FALSE)-VLOOKUP(Table3[[#This Row],[Visitor]],$A$6:$B$38,2,FALSE)</f>
        <v>0.78200916025874778</v>
      </c>
      <c r="J510">
        <f>(Table3[[#This Row],[HomeMargin]]-Table3[[#This Row],[HomeForecast]])^2</f>
        <v>3.1755566472460872</v>
      </c>
    </row>
    <row r="511" spans="4:10" x14ac:dyDescent="0.2">
      <c r="D511" t="s">
        <v>17</v>
      </c>
      <c r="E511">
        <f>'NHL2025-26Results'!C507</f>
        <v>6</v>
      </c>
      <c r="F511" t="s">
        <v>19</v>
      </c>
      <c r="G511">
        <f>'NHL2025-26Results'!E507</f>
        <v>3</v>
      </c>
      <c r="H511">
        <f>Table3[[#This Row],[G_1]]-Table3[[#This Row],[G]]</f>
        <v>-3</v>
      </c>
      <c r="I511">
        <f>HomeEdge+VLOOKUP(Table3[[#This Row],[Home]],$A$6:$B$38,2,FALSE)-VLOOKUP(Table3[[#This Row],[Visitor]],$A$6:$B$38,2,FALSE)</f>
        <v>5.1952367039601766E-2</v>
      </c>
      <c r="J511">
        <f>(Table3[[#This Row],[HomeMargin]]-Table3[[#This Row],[HomeForecast]])^2</f>
        <v>9.3144132506786281</v>
      </c>
    </row>
    <row r="512" spans="4:10" x14ac:dyDescent="0.2">
      <c r="D512" t="s">
        <v>22</v>
      </c>
      <c r="E512">
        <f>'NHL2025-26Results'!C508</f>
        <v>1</v>
      </c>
      <c r="F512" t="s">
        <v>40</v>
      </c>
      <c r="G512">
        <f>'NHL2025-26Results'!E508</f>
        <v>5</v>
      </c>
      <c r="H512">
        <f>Table3[[#This Row],[G_1]]-Table3[[#This Row],[G]]</f>
        <v>4</v>
      </c>
      <c r="I512">
        <f>HomeEdge+VLOOKUP(Table3[[#This Row],[Home]],$A$6:$B$38,2,FALSE)-VLOOKUP(Table3[[#This Row],[Visitor]],$A$6:$B$38,2,FALSE)</f>
        <v>-0.33906855483218434</v>
      </c>
      <c r="J512">
        <f>(Table3[[#This Row],[HomeMargin]]-Table3[[#This Row],[HomeForecast]])^2</f>
        <v>18.827515923533465</v>
      </c>
    </row>
    <row r="513" spans="4:10" x14ac:dyDescent="0.2">
      <c r="D513" t="s">
        <v>27</v>
      </c>
      <c r="E513">
        <f>'NHL2025-26Results'!C509</f>
        <v>2</v>
      </c>
      <c r="F513" t="s">
        <v>25</v>
      </c>
      <c r="G513">
        <f>'NHL2025-26Results'!E509</f>
        <v>3</v>
      </c>
      <c r="H513">
        <f>Table3[[#This Row],[G_1]]-Table3[[#This Row],[G]]</f>
        <v>1</v>
      </c>
      <c r="I513">
        <f>HomeEdge+VLOOKUP(Table3[[#This Row],[Home]],$A$6:$B$38,2,FALSE)-VLOOKUP(Table3[[#This Row],[Visitor]],$A$6:$B$38,2,FALSE)</f>
        <v>0.91308052658629757</v>
      </c>
      <c r="J513">
        <f>(Table3[[#This Row],[HomeMargin]]-Table3[[#This Row],[HomeForecast]])^2</f>
        <v>7.5549948585153237E-3</v>
      </c>
    </row>
    <row r="514" spans="4:10" x14ac:dyDescent="0.2">
      <c r="D514" t="s">
        <v>21</v>
      </c>
      <c r="E514">
        <f>'NHL2025-26Results'!C510</f>
        <v>2</v>
      </c>
      <c r="F514" t="s">
        <v>34</v>
      </c>
      <c r="G514">
        <f>'NHL2025-26Results'!E510</f>
        <v>6</v>
      </c>
      <c r="H514">
        <f>Table3[[#This Row],[G_1]]-Table3[[#This Row],[G]]</f>
        <v>4</v>
      </c>
      <c r="I514">
        <f>HomeEdge+VLOOKUP(Table3[[#This Row],[Home]],$A$6:$B$38,2,FALSE)-VLOOKUP(Table3[[#This Row],[Visitor]],$A$6:$B$38,2,FALSE)</f>
        <v>0.2926228825857829</v>
      </c>
      <c r="J514">
        <f>(Table3[[#This Row],[HomeMargin]]-Table3[[#This Row],[HomeForecast]])^2</f>
        <v>13.74464509072655</v>
      </c>
    </row>
    <row r="515" spans="4:10" x14ac:dyDescent="0.2">
      <c r="D515" t="s">
        <v>17</v>
      </c>
      <c r="E515">
        <f>'NHL2025-26Results'!C511</f>
        <v>1</v>
      </c>
      <c r="F515" t="s">
        <v>18</v>
      </c>
      <c r="G515">
        <f>'NHL2025-26Results'!E511</f>
        <v>4</v>
      </c>
      <c r="H515">
        <f>Table3[[#This Row],[G_1]]-Table3[[#This Row],[G]]</f>
        <v>3</v>
      </c>
      <c r="I515">
        <f>HomeEdge+VLOOKUP(Table3[[#This Row],[Home]],$A$6:$B$38,2,FALSE)-VLOOKUP(Table3[[#This Row],[Visitor]],$A$6:$B$38,2,FALSE)</f>
        <v>0.40795825856035756</v>
      </c>
      <c r="J515">
        <f>(Table3[[#This Row],[HomeMargin]]-Table3[[#This Row],[HomeForecast]])^2</f>
        <v>6.7186803893654554</v>
      </c>
    </row>
    <row r="516" spans="4:10" x14ac:dyDescent="0.2">
      <c r="D516" t="s">
        <v>38</v>
      </c>
      <c r="E516">
        <f>'NHL2025-26Results'!C512</f>
        <v>2</v>
      </c>
      <c r="F516" t="s">
        <v>24</v>
      </c>
      <c r="G516">
        <f>'NHL2025-26Results'!E512</f>
        <v>1</v>
      </c>
      <c r="H516">
        <f>Table3[[#This Row],[G_1]]-Table3[[#This Row],[G]]</f>
        <v>-1</v>
      </c>
      <c r="I516">
        <f>HomeEdge+VLOOKUP(Table3[[#This Row],[Home]],$A$6:$B$38,2,FALSE)-VLOOKUP(Table3[[#This Row],[Visitor]],$A$6:$B$38,2,FALSE)</f>
        <v>0.7765022533693946</v>
      </c>
      <c r="J516">
        <f>(Table3[[#This Row],[HomeMargin]]-Table3[[#This Row],[HomeForecast]])^2</f>
        <v>3.1559602562265368</v>
      </c>
    </row>
    <row r="517" spans="4:10" x14ac:dyDescent="0.2">
      <c r="D517" t="s">
        <v>55</v>
      </c>
      <c r="E517">
        <f>'NHL2025-26Results'!C513</f>
        <v>5</v>
      </c>
      <c r="F517" t="s">
        <v>14</v>
      </c>
      <c r="G517">
        <f>'NHL2025-26Results'!E513</f>
        <v>4</v>
      </c>
      <c r="H517">
        <f>Table3[[#This Row],[G_1]]-Table3[[#This Row],[G]]</f>
        <v>-1</v>
      </c>
      <c r="I517">
        <f>HomeEdge+VLOOKUP(Table3[[#This Row],[Home]],$A$6:$B$38,2,FALSE)-VLOOKUP(Table3[[#This Row],[Visitor]],$A$6:$B$38,2,FALSE)</f>
        <v>4.5548609496373446E-2</v>
      </c>
      <c r="J517">
        <f>(Table3[[#This Row],[HomeMargin]]-Table3[[#This Row],[HomeForecast]])^2</f>
        <v>1.0931718948198001</v>
      </c>
    </row>
    <row r="518" spans="4:10" x14ac:dyDescent="0.2">
      <c r="D518" t="s">
        <v>23</v>
      </c>
      <c r="E518">
        <f>'NHL2025-26Results'!C514</f>
        <v>3</v>
      </c>
      <c r="F518" t="s">
        <v>32</v>
      </c>
      <c r="G518">
        <f>'NHL2025-26Results'!E514</f>
        <v>1</v>
      </c>
      <c r="H518">
        <f>Table3[[#This Row],[G_1]]-Table3[[#This Row],[G]]</f>
        <v>-2</v>
      </c>
      <c r="I518">
        <f>HomeEdge+VLOOKUP(Table3[[#This Row],[Home]],$A$6:$B$38,2,FALSE)-VLOOKUP(Table3[[#This Row],[Visitor]],$A$6:$B$38,2,FALSE)</f>
        <v>-0.36091456517257059</v>
      </c>
      <c r="J518">
        <f>(Table3[[#This Row],[HomeMargin]]-Table3[[#This Row],[HomeForecast]])^2</f>
        <v>2.6866010626634229</v>
      </c>
    </row>
    <row r="519" spans="4:10" x14ac:dyDescent="0.2">
      <c r="D519" t="s">
        <v>13</v>
      </c>
      <c r="E519">
        <f>'NHL2025-26Results'!C515</f>
        <v>1</v>
      </c>
      <c r="F519" t="s">
        <v>39</v>
      </c>
      <c r="G519">
        <f>'NHL2025-26Results'!E515</f>
        <v>4</v>
      </c>
      <c r="H519">
        <f>Table3[[#This Row],[G_1]]-Table3[[#This Row],[G]]</f>
        <v>3</v>
      </c>
      <c r="I519">
        <f>HomeEdge+VLOOKUP(Table3[[#This Row],[Home]],$A$6:$B$38,2,FALSE)-VLOOKUP(Table3[[#This Row],[Visitor]],$A$6:$B$38,2,FALSE)</f>
        <v>0.93738419257744088</v>
      </c>
      <c r="J519">
        <f>(Table3[[#This Row],[HomeMargin]]-Table3[[#This Row],[HomeForecast]])^2</f>
        <v>4.2543839690294156</v>
      </c>
    </row>
    <row r="520" spans="4:10" x14ac:dyDescent="0.2">
      <c r="D520" t="s">
        <v>31</v>
      </c>
      <c r="E520">
        <f>'NHL2025-26Results'!C516</f>
        <v>4</v>
      </c>
      <c r="F520" t="s">
        <v>15</v>
      </c>
      <c r="G520">
        <f>'NHL2025-26Results'!E516</f>
        <v>1</v>
      </c>
      <c r="H520">
        <f>Table3[[#This Row],[G_1]]-Table3[[#This Row],[G]]</f>
        <v>-3</v>
      </c>
      <c r="I520">
        <f>HomeEdge+VLOOKUP(Table3[[#This Row],[Home]],$A$6:$B$38,2,FALSE)-VLOOKUP(Table3[[#This Row],[Visitor]],$A$6:$B$38,2,FALSE)</f>
        <v>-0.14330633783892832</v>
      </c>
      <c r="J520">
        <f>(Table3[[#This Row],[HomeMargin]]-Table3[[#This Row],[HomeForecast]])^2</f>
        <v>8.1606986794312348</v>
      </c>
    </row>
    <row r="521" spans="4:10" x14ac:dyDescent="0.2">
      <c r="D521" t="s">
        <v>29</v>
      </c>
      <c r="E521">
        <f>'NHL2025-26Results'!C517</f>
        <v>5</v>
      </c>
      <c r="F521" t="s">
        <v>35</v>
      </c>
      <c r="G521">
        <f>'NHL2025-26Results'!E517</f>
        <v>2</v>
      </c>
      <c r="H521">
        <f>Table3[[#This Row],[G_1]]-Table3[[#This Row],[G]]</f>
        <v>-3</v>
      </c>
      <c r="I521">
        <f>HomeEdge+VLOOKUP(Table3[[#This Row],[Home]],$A$6:$B$38,2,FALSE)-VLOOKUP(Table3[[#This Row],[Visitor]],$A$6:$B$38,2,FALSE)</f>
        <v>-0.36268547628527925</v>
      </c>
      <c r="J521">
        <f>(Table3[[#This Row],[HomeMargin]]-Table3[[#This Row],[HomeForecast]])^2</f>
        <v>6.9554278969966052</v>
      </c>
    </row>
    <row r="522" spans="4:10" x14ac:dyDescent="0.2">
      <c r="D522" t="s">
        <v>11</v>
      </c>
      <c r="E522">
        <f>'NHL2025-26Results'!C518</f>
        <v>5</v>
      </c>
      <c r="F522" t="s">
        <v>37</v>
      </c>
      <c r="G522">
        <f>'NHL2025-26Results'!E518</f>
        <v>2</v>
      </c>
      <c r="H522">
        <f>Table3[[#This Row],[G_1]]-Table3[[#This Row],[G]]</f>
        <v>-3</v>
      </c>
      <c r="I522">
        <f>HomeEdge+VLOOKUP(Table3[[#This Row],[Home]],$A$6:$B$38,2,FALSE)-VLOOKUP(Table3[[#This Row],[Visitor]],$A$6:$B$38,2,FALSE)</f>
        <v>1.4076409644020682</v>
      </c>
      <c r="J522">
        <f>(Table3[[#This Row],[HomeMargin]]-Table3[[#This Row],[HomeForecast]])^2</f>
        <v>19.427298871075195</v>
      </c>
    </row>
    <row r="523" spans="4:10" x14ac:dyDescent="0.2">
      <c r="D523" t="s">
        <v>36</v>
      </c>
      <c r="E523">
        <f>'NHL2025-26Results'!C519</f>
        <v>3</v>
      </c>
      <c r="F523" t="s">
        <v>40</v>
      </c>
      <c r="G523">
        <f>'NHL2025-26Results'!E519</f>
        <v>2</v>
      </c>
      <c r="H523">
        <f>Table3[[#This Row],[G_1]]-Table3[[#This Row],[G]]</f>
        <v>-1</v>
      </c>
      <c r="I523">
        <f>HomeEdge+VLOOKUP(Table3[[#This Row],[Home]],$A$6:$B$38,2,FALSE)-VLOOKUP(Table3[[#This Row],[Visitor]],$A$6:$B$38,2,FALSE)</f>
        <v>-0.26873700402646494</v>
      </c>
      <c r="J523">
        <f>(Table3[[#This Row],[HomeMargin]]-Table3[[#This Row],[HomeForecast]])^2</f>
        <v>0.53474556928019035</v>
      </c>
    </row>
    <row r="524" spans="4:10" x14ac:dyDescent="0.2">
      <c r="D524" t="s">
        <v>55</v>
      </c>
      <c r="E524">
        <f>'NHL2025-26Results'!C520</f>
        <v>1</v>
      </c>
      <c r="F524" t="s">
        <v>21</v>
      </c>
      <c r="G524">
        <f>'NHL2025-26Results'!E520</f>
        <v>4</v>
      </c>
      <c r="H524">
        <f>Table3[[#This Row],[G_1]]-Table3[[#This Row],[G]]</f>
        <v>3</v>
      </c>
      <c r="I524">
        <f>HomeEdge+VLOOKUP(Table3[[#This Row],[Home]],$A$6:$B$38,2,FALSE)-VLOOKUP(Table3[[#This Row],[Visitor]],$A$6:$B$38,2,FALSE)</f>
        <v>-5.7018353047680395E-2</v>
      </c>
      <c r="J524">
        <f>(Table3[[#This Row],[HomeMargin]]-Table3[[#This Row],[HomeForecast]])^2</f>
        <v>9.345361210870351</v>
      </c>
    </row>
    <row r="525" spans="4:10" x14ac:dyDescent="0.2">
      <c r="D525" t="s">
        <v>31</v>
      </c>
      <c r="E525">
        <f>'NHL2025-26Results'!C521</f>
        <v>3</v>
      </c>
      <c r="F525" t="s">
        <v>28</v>
      </c>
      <c r="G525">
        <f>'NHL2025-26Results'!E521</f>
        <v>4</v>
      </c>
      <c r="H525">
        <f>Table3[[#This Row],[G_1]]-Table3[[#This Row],[G]]</f>
        <v>1</v>
      </c>
      <c r="I525">
        <f>HomeEdge+VLOOKUP(Table3[[#This Row],[Home]],$A$6:$B$38,2,FALSE)-VLOOKUP(Table3[[#This Row],[Visitor]],$A$6:$B$38,2,FALSE)</f>
        <v>0.3116480181909973</v>
      </c>
      <c r="J525">
        <f>(Table3[[#This Row],[HomeMargin]]-Table3[[#This Row],[HomeForecast]])^2</f>
        <v>0.47382845086038161</v>
      </c>
    </row>
    <row r="526" spans="4:10" x14ac:dyDescent="0.2">
      <c r="D526" t="s">
        <v>30</v>
      </c>
      <c r="E526">
        <f>'NHL2025-26Results'!C522</f>
        <v>2</v>
      </c>
      <c r="F526" t="s">
        <v>26</v>
      </c>
      <c r="G526">
        <f>'NHL2025-26Results'!E522</f>
        <v>3</v>
      </c>
      <c r="H526">
        <f>Table3[[#This Row],[G_1]]-Table3[[#This Row],[G]]</f>
        <v>1</v>
      </c>
      <c r="I526">
        <f>HomeEdge+VLOOKUP(Table3[[#This Row],[Home]],$A$6:$B$38,2,FALSE)-VLOOKUP(Table3[[#This Row],[Visitor]],$A$6:$B$38,2,FALSE)</f>
        <v>-1.5226173787282554E-2</v>
      </c>
      <c r="J526">
        <f>(Table3[[#This Row],[HomeMargin]]-Table3[[#This Row],[HomeForecast]])^2</f>
        <v>1.0306841839427656</v>
      </c>
    </row>
    <row r="527" spans="4:10" x14ac:dyDescent="0.2">
      <c r="D527" t="s">
        <v>22</v>
      </c>
      <c r="E527">
        <f>'NHL2025-26Results'!C523</f>
        <v>0</v>
      </c>
      <c r="F527" t="s">
        <v>34</v>
      </c>
      <c r="G527">
        <f>'NHL2025-26Results'!E523</f>
        <v>5</v>
      </c>
      <c r="H527">
        <f>Table3[[#This Row],[G_1]]-Table3[[#This Row],[G]]</f>
        <v>5</v>
      </c>
      <c r="I527">
        <f>HomeEdge+VLOOKUP(Table3[[#This Row],[Home]],$A$6:$B$38,2,FALSE)-VLOOKUP(Table3[[#This Row],[Visitor]],$A$6:$B$38,2,FALSE)</f>
        <v>0.30986820139170418</v>
      </c>
      <c r="J527">
        <f>(Table3[[#This Row],[HomeMargin]]-Table3[[#This Row],[HomeForecast]])^2</f>
        <v>21.997336288316689</v>
      </c>
    </row>
    <row r="528" spans="4:10" x14ac:dyDescent="0.2">
      <c r="D528" t="s">
        <v>27</v>
      </c>
      <c r="E528">
        <f>'NHL2025-26Results'!C524</f>
        <v>4</v>
      </c>
      <c r="F528" t="s">
        <v>18</v>
      </c>
      <c r="G528">
        <f>'NHL2025-26Results'!E524</f>
        <v>1</v>
      </c>
      <c r="H528">
        <f>Table3[[#This Row],[G_1]]-Table3[[#This Row],[G]]</f>
        <v>-3</v>
      </c>
      <c r="I528">
        <f>HomeEdge+VLOOKUP(Table3[[#This Row],[Home]],$A$6:$B$38,2,FALSE)-VLOOKUP(Table3[[#This Row],[Visitor]],$A$6:$B$38,2,FALSE)</f>
        <v>0.59431164833719541</v>
      </c>
      <c r="J528">
        <f>(Table3[[#This Row],[HomeMargin]]-Table3[[#This Row],[HomeForecast]])^2</f>
        <v>12.919076225372446</v>
      </c>
    </row>
    <row r="529" spans="4:10" x14ac:dyDescent="0.2">
      <c r="D529" t="s">
        <v>38</v>
      </c>
      <c r="E529">
        <f>'NHL2025-26Results'!C525</f>
        <v>3</v>
      </c>
      <c r="F529" t="s">
        <v>15</v>
      </c>
      <c r="G529">
        <f>'NHL2025-26Results'!E525</f>
        <v>0</v>
      </c>
      <c r="H529">
        <f>Table3[[#This Row],[G_1]]-Table3[[#This Row],[G]]</f>
        <v>-3</v>
      </c>
      <c r="I529">
        <f>HomeEdge+VLOOKUP(Table3[[#This Row],[Home]],$A$6:$B$38,2,FALSE)-VLOOKUP(Table3[[#This Row],[Visitor]],$A$6:$B$38,2,FALSE)</f>
        <v>0.78509113393328533</v>
      </c>
      <c r="J529">
        <f>(Table3[[#This Row],[HomeMargin]]-Table3[[#This Row],[HomeForecast]])^2</f>
        <v>14.326914892180364</v>
      </c>
    </row>
    <row r="530" spans="4:10" x14ac:dyDescent="0.2">
      <c r="D530" t="s">
        <v>17</v>
      </c>
      <c r="E530">
        <f>'NHL2025-26Results'!C526</f>
        <v>6</v>
      </c>
      <c r="F530" t="s">
        <v>14</v>
      </c>
      <c r="G530">
        <f>'NHL2025-26Results'!E526</f>
        <v>4</v>
      </c>
      <c r="H530">
        <f>Table3[[#This Row],[G_1]]-Table3[[#This Row],[G]]</f>
        <v>-2</v>
      </c>
      <c r="I530">
        <f>HomeEdge+VLOOKUP(Table3[[#This Row],[Home]],$A$6:$B$38,2,FALSE)-VLOOKUP(Table3[[#This Row],[Visitor]],$A$6:$B$38,2,FALSE)</f>
        <v>0.49426928483990418</v>
      </c>
      <c r="J530">
        <f>(Table3[[#This Row],[HomeMargin]]-Table3[[#This Row],[HomeForecast]])^2</f>
        <v>6.2213792652957673</v>
      </c>
    </row>
    <row r="531" spans="4:10" x14ac:dyDescent="0.2">
      <c r="D531" t="s">
        <v>12</v>
      </c>
      <c r="E531">
        <f>'NHL2025-26Results'!C527</f>
        <v>5</v>
      </c>
      <c r="F531" t="s">
        <v>32</v>
      </c>
      <c r="G531">
        <f>'NHL2025-26Results'!E527</f>
        <v>3</v>
      </c>
      <c r="H531">
        <f>Table3[[#This Row],[G_1]]-Table3[[#This Row],[G]]</f>
        <v>-2</v>
      </c>
      <c r="I531">
        <f>HomeEdge+VLOOKUP(Table3[[#This Row],[Home]],$A$6:$B$38,2,FALSE)-VLOOKUP(Table3[[#This Row],[Visitor]],$A$6:$B$38,2,FALSE)</f>
        <v>-1.3514270020661709</v>
      </c>
      <c r="J531">
        <f>(Table3[[#This Row],[HomeMargin]]-Table3[[#This Row],[HomeForecast]])^2</f>
        <v>0.42064693364887462</v>
      </c>
    </row>
    <row r="532" spans="4:10" x14ac:dyDescent="0.2">
      <c r="D532" t="s">
        <v>16</v>
      </c>
      <c r="E532">
        <f>'NHL2025-26Results'!C528</f>
        <v>3</v>
      </c>
      <c r="F532" t="s">
        <v>33</v>
      </c>
      <c r="G532">
        <f>'NHL2025-26Results'!E528</f>
        <v>6</v>
      </c>
      <c r="H532">
        <f>Table3[[#This Row],[G_1]]-Table3[[#This Row],[G]]</f>
        <v>3</v>
      </c>
      <c r="I532">
        <f>HomeEdge+VLOOKUP(Table3[[#This Row],[Home]],$A$6:$B$38,2,FALSE)-VLOOKUP(Table3[[#This Row],[Visitor]],$A$6:$B$38,2,FALSE)</f>
        <v>0.36755337952660683</v>
      </c>
      <c r="J532">
        <f>(Table3[[#This Row],[HomeMargin]]-Table3[[#This Row],[HomeForecast]])^2</f>
        <v>6.9297752096417904</v>
      </c>
    </row>
    <row r="533" spans="4:10" x14ac:dyDescent="0.2">
      <c r="D533" t="s">
        <v>10</v>
      </c>
      <c r="E533">
        <f>'NHL2025-26Results'!C529</f>
        <v>2</v>
      </c>
      <c r="F533" t="s">
        <v>19</v>
      </c>
      <c r="G533">
        <f>'NHL2025-26Results'!E529</f>
        <v>3</v>
      </c>
      <c r="H533">
        <f>Table3[[#This Row],[G_1]]-Table3[[#This Row],[G]]</f>
        <v>1</v>
      </c>
      <c r="I533">
        <f>HomeEdge+VLOOKUP(Table3[[#This Row],[Home]],$A$6:$B$38,2,FALSE)-VLOOKUP(Table3[[#This Row],[Visitor]],$A$6:$B$38,2,FALSE)</f>
        <v>0.61390719888343614</v>
      </c>
      <c r="J533">
        <f>(Table3[[#This Row],[HomeMargin]]-Table3[[#This Row],[HomeForecast]])^2</f>
        <v>0.14906765107403452</v>
      </c>
    </row>
    <row r="534" spans="4:10" x14ac:dyDescent="0.2">
      <c r="D534" t="s">
        <v>55</v>
      </c>
      <c r="E534">
        <f>'NHL2025-26Results'!C530</f>
        <v>4</v>
      </c>
      <c r="F534" t="s">
        <v>26</v>
      </c>
      <c r="G534">
        <f>'NHL2025-26Results'!E530</f>
        <v>1</v>
      </c>
      <c r="H534">
        <f>Table3[[#This Row],[G_1]]-Table3[[#This Row],[G]]</f>
        <v>-3</v>
      </c>
      <c r="I534">
        <f>HomeEdge+VLOOKUP(Table3[[#This Row],[Home]],$A$6:$B$38,2,FALSE)-VLOOKUP(Table3[[#This Row],[Visitor]],$A$6:$B$38,2,FALSE)</f>
        <v>-0.28562552519819134</v>
      </c>
      <c r="J534">
        <f>(Table3[[#This Row],[HomeMargin]]-Table3[[#This Row],[HomeForecast]])^2</f>
        <v>7.3678287894555954</v>
      </c>
    </row>
    <row r="535" spans="4:10" x14ac:dyDescent="0.2">
      <c r="D535" t="s">
        <v>13</v>
      </c>
      <c r="E535">
        <f>'NHL2025-26Results'!C531</f>
        <v>2</v>
      </c>
      <c r="F535" t="s">
        <v>11</v>
      </c>
      <c r="G535">
        <f>'NHL2025-26Results'!E531</f>
        <v>3</v>
      </c>
      <c r="H535">
        <f>Table3[[#This Row],[G_1]]-Table3[[#This Row],[G]]</f>
        <v>1</v>
      </c>
      <c r="I535">
        <f>HomeEdge+VLOOKUP(Table3[[#This Row],[Home]],$A$6:$B$38,2,FALSE)-VLOOKUP(Table3[[#This Row],[Visitor]],$A$6:$B$38,2,FALSE)</f>
        <v>0.16335175343136987</v>
      </c>
      <c r="J535">
        <f>(Table3[[#This Row],[HomeMargin]]-Table3[[#This Row],[HomeForecast]])^2</f>
        <v>0.69998028848636329</v>
      </c>
    </row>
    <row r="536" spans="4:10" x14ac:dyDescent="0.2">
      <c r="D536" t="s">
        <v>25</v>
      </c>
      <c r="E536">
        <f>'NHL2025-26Results'!C532</f>
        <v>4</v>
      </c>
      <c r="F536" t="s">
        <v>29</v>
      </c>
      <c r="G536">
        <f>'NHL2025-26Results'!E532</f>
        <v>1</v>
      </c>
      <c r="H536">
        <f>Table3[[#This Row],[G_1]]-Table3[[#This Row],[G]]</f>
        <v>-3</v>
      </c>
      <c r="I536">
        <f>HomeEdge+VLOOKUP(Table3[[#This Row],[Home]],$A$6:$B$38,2,FALSE)-VLOOKUP(Table3[[#This Row],[Visitor]],$A$6:$B$38,2,FALSE)</f>
        <v>-0.9234520268794798</v>
      </c>
      <c r="J536">
        <f>(Table3[[#This Row],[HomeMargin]]-Table3[[#This Row],[HomeForecast]])^2</f>
        <v>4.312051484670941</v>
      </c>
    </row>
    <row r="537" spans="4:10" x14ac:dyDescent="0.2">
      <c r="D537" t="s">
        <v>40</v>
      </c>
      <c r="E537">
        <f>'NHL2025-26Results'!C533</f>
        <v>0</v>
      </c>
      <c r="F537" t="s">
        <v>35</v>
      </c>
      <c r="G537">
        <f>'NHL2025-26Results'!E533</f>
        <v>1</v>
      </c>
      <c r="H537">
        <f>Table3[[#This Row],[G_1]]-Table3[[#This Row],[G]]</f>
        <v>1</v>
      </c>
      <c r="I537">
        <f>HomeEdge+VLOOKUP(Table3[[#This Row],[Home]],$A$6:$B$38,2,FALSE)-VLOOKUP(Table3[[#This Row],[Visitor]],$A$6:$B$38,2,FALSE)</f>
        <v>-0.5947988150130441</v>
      </c>
      <c r="J537">
        <f>(Table3[[#This Row],[HomeMargin]]-Table3[[#This Row],[HomeForecast]])^2</f>
        <v>2.5433832603670097</v>
      </c>
    </row>
    <row r="538" spans="4:10" x14ac:dyDescent="0.2">
      <c r="D538" t="s">
        <v>24</v>
      </c>
      <c r="E538">
        <f>'NHL2025-26Results'!C534</f>
        <v>2</v>
      </c>
      <c r="F538" t="s">
        <v>20</v>
      </c>
      <c r="G538">
        <f>'NHL2025-26Results'!E534</f>
        <v>1</v>
      </c>
      <c r="H538">
        <f>Table3[[#This Row],[G_1]]-Table3[[#This Row],[G]]</f>
        <v>-1</v>
      </c>
      <c r="I538">
        <f>HomeEdge+VLOOKUP(Table3[[#This Row],[Home]],$A$6:$B$38,2,FALSE)-VLOOKUP(Table3[[#This Row],[Visitor]],$A$6:$B$38,2,FALSE)</f>
        <v>0.7117503869255728</v>
      </c>
      <c r="J538">
        <f>(Table3[[#This Row],[HomeMargin]]-Table3[[#This Row],[HomeForecast]])^2</f>
        <v>2.9300893871398483</v>
      </c>
    </row>
    <row r="539" spans="4:10" x14ac:dyDescent="0.2">
      <c r="D539" t="s">
        <v>17</v>
      </c>
      <c r="E539">
        <f>'NHL2025-26Results'!C535</f>
        <v>3</v>
      </c>
      <c r="F539" t="s">
        <v>21</v>
      </c>
      <c r="G539">
        <f>'NHL2025-26Results'!E535</f>
        <v>1</v>
      </c>
      <c r="H539">
        <f>Table3[[#This Row],[G_1]]-Table3[[#This Row],[G]]</f>
        <v>-2</v>
      </c>
      <c r="I539">
        <f>HomeEdge+VLOOKUP(Table3[[#This Row],[Home]],$A$6:$B$38,2,FALSE)-VLOOKUP(Table3[[#This Row],[Visitor]],$A$6:$B$38,2,FALSE)</f>
        <v>0.39170232229585034</v>
      </c>
      <c r="J539">
        <f>(Table3[[#This Row],[HomeMargin]]-Table3[[#This Row],[HomeForecast]])^2</f>
        <v>5.720239998475364</v>
      </c>
    </row>
    <row r="540" spans="4:10" x14ac:dyDescent="0.2">
      <c r="D540" t="s">
        <v>27</v>
      </c>
      <c r="E540">
        <f>'NHL2025-26Results'!C536</f>
        <v>3</v>
      </c>
      <c r="F540" t="s">
        <v>23</v>
      </c>
      <c r="G540">
        <f>'NHL2025-26Results'!E536</f>
        <v>5</v>
      </c>
      <c r="H540">
        <f>Table3[[#This Row],[G_1]]-Table3[[#This Row],[G]]</f>
        <v>2</v>
      </c>
      <c r="I540">
        <f>HomeEdge+VLOOKUP(Table3[[#This Row],[Home]],$A$6:$B$38,2,FALSE)-VLOOKUP(Table3[[#This Row],[Visitor]],$A$6:$B$38,2,FALSE)</f>
        <v>0.68874072170932366</v>
      </c>
      <c r="J540">
        <f>(Table3[[#This Row],[HomeMargin]]-Table3[[#This Row],[HomeForecast]])^2</f>
        <v>1.7194008949033857</v>
      </c>
    </row>
    <row r="541" spans="4:10" x14ac:dyDescent="0.2">
      <c r="D541" t="s">
        <v>34</v>
      </c>
      <c r="E541">
        <f>'NHL2025-26Results'!C537</f>
        <v>5</v>
      </c>
      <c r="F541" t="s">
        <v>28</v>
      </c>
      <c r="G541">
        <f>'NHL2025-26Results'!E537</f>
        <v>2</v>
      </c>
      <c r="H541">
        <f>Table3[[#This Row],[G_1]]-Table3[[#This Row],[G]]</f>
        <v>-3</v>
      </c>
      <c r="I541">
        <f>HomeEdge+VLOOKUP(Table3[[#This Row],[Home]],$A$6:$B$38,2,FALSE)-VLOOKUP(Table3[[#This Row],[Visitor]],$A$6:$B$38,2,FALSE)</f>
        <v>-0.2124430966662495</v>
      </c>
      <c r="J541">
        <f>(Table3[[#This Row],[HomeMargin]]-Table3[[#This Row],[HomeForecast]])^2</f>
        <v>7.7704734893236482</v>
      </c>
    </row>
    <row r="542" spans="4:10" x14ac:dyDescent="0.2">
      <c r="D542" t="s">
        <v>32</v>
      </c>
      <c r="E542">
        <f>'NHL2025-26Results'!C538</f>
        <v>2</v>
      </c>
      <c r="F542" t="s">
        <v>16</v>
      </c>
      <c r="G542">
        <f>'NHL2025-26Results'!E538</f>
        <v>4</v>
      </c>
      <c r="H542">
        <f>Table3[[#This Row],[G_1]]-Table3[[#This Row],[G]]</f>
        <v>2</v>
      </c>
      <c r="I542">
        <f>HomeEdge+VLOOKUP(Table3[[#This Row],[Home]],$A$6:$B$38,2,FALSE)-VLOOKUP(Table3[[#This Row],[Visitor]],$A$6:$B$38,2,FALSE)</f>
        <v>-0.27833807845926933</v>
      </c>
      <c r="J542">
        <f>(Table3[[#This Row],[HomeMargin]]-Table3[[#This Row],[HomeForecast]])^2</f>
        <v>5.1908243997574761</v>
      </c>
    </row>
    <row r="543" spans="4:10" x14ac:dyDescent="0.2">
      <c r="D543" t="s">
        <v>10</v>
      </c>
      <c r="E543">
        <f>'NHL2025-26Results'!C539</f>
        <v>1</v>
      </c>
      <c r="F543" t="s">
        <v>18</v>
      </c>
      <c r="G543">
        <f>'NHL2025-26Results'!E539</f>
        <v>4</v>
      </c>
      <c r="H543">
        <f>Table3[[#This Row],[G_1]]-Table3[[#This Row],[G]]</f>
        <v>3</v>
      </c>
      <c r="I543">
        <f>HomeEdge+VLOOKUP(Table3[[#This Row],[Home]],$A$6:$B$38,2,FALSE)-VLOOKUP(Table3[[#This Row],[Visitor]],$A$6:$B$38,2,FALSE)</f>
        <v>0.96991309040419194</v>
      </c>
      <c r="J543">
        <f>(Table3[[#This Row],[HomeMargin]]-Table3[[#This Row],[HomeForecast]])^2</f>
        <v>4.1212528605122598</v>
      </c>
    </row>
    <row r="544" spans="4:10" x14ac:dyDescent="0.2">
      <c r="D544" t="s">
        <v>14</v>
      </c>
      <c r="E544">
        <f>'NHL2025-26Results'!C540</f>
        <v>0</v>
      </c>
      <c r="F544" t="s">
        <v>36</v>
      </c>
      <c r="G544">
        <f>'NHL2025-26Results'!E540</f>
        <v>4</v>
      </c>
      <c r="H544">
        <f>Table3[[#This Row],[G_1]]-Table3[[#This Row],[G]]</f>
        <v>4</v>
      </c>
      <c r="I544">
        <f>HomeEdge+VLOOKUP(Table3[[#This Row],[Home]],$A$6:$B$38,2,FALSE)-VLOOKUP(Table3[[#This Row],[Visitor]],$A$6:$B$38,2,FALSE)</f>
        <v>-6.0536846344170427E-2</v>
      </c>
      <c r="J544">
        <f>(Table3[[#This Row],[HomeMargin]]-Table3[[#This Row],[HomeForecast]])^2</f>
        <v>16.487959480518661</v>
      </c>
    </row>
    <row r="545" spans="4:10" x14ac:dyDescent="0.2">
      <c r="D545" t="s">
        <v>39</v>
      </c>
      <c r="E545">
        <f>'NHL2025-26Results'!C541</f>
        <v>5</v>
      </c>
      <c r="F545" t="s">
        <v>33</v>
      </c>
      <c r="G545">
        <f>'NHL2025-26Results'!E541</f>
        <v>3</v>
      </c>
      <c r="H545">
        <f>Table3[[#This Row],[G_1]]-Table3[[#This Row],[G]]</f>
        <v>-2</v>
      </c>
      <c r="I545">
        <f>HomeEdge+VLOOKUP(Table3[[#This Row],[Home]],$A$6:$B$38,2,FALSE)-VLOOKUP(Table3[[#This Row],[Visitor]],$A$6:$B$38,2,FALSE)</f>
        <v>-0.73983914700349396</v>
      </c>
      <c r="J545">
        <f>(Table3[[#This Row],[HomeMargin]]-Table3[[#This Row],[HomeForecast]])^2</f>
        <v>1.5880053754248817</v>
      </c>
    </row>
    <row r="546" spans="4:10" x14ac:dyDescent="0.2">
      <c r="D546" t="s">
        <v>15</v>
      </c>
      <c r="E546">
        <f>'NHL2025-26Results'!C542</f>
        <v>2</v>
      </c>
      <c r="F546" t="s">
        <v>35</v>
      </c>
      <c r="G546">
        <f>'NHL2025-26Results'!E542</f>
        <v>1</v>
      </c>
      <c r="H546">
        <f>Table3[[#This Row],[G_1]]-Table3[[#This Row],[G]]</f>
        <v>-1</v>
      </c>
      <c r="I546">
        <f>HomeEdge+VLOOKUP(Table3[[#This Row],[Home]],$A$6:$B$38,2,FALSE)-VLOOKUP(Table3[[#This Row],[Visitor]],$A$6:$B$38,2,FALSE)</f>
        <v>-0.44673113272923337</v>
      </c>
      <c r="J546">
        <f>(Table3[[#This Row],[HomeMargin]]-Table3[[#This Row],[HomeForecast]])^2</f>
        <v>0.30610643949107719</v>
      </c>
    </row>
    <row r="547" spans="4:10" x14ac:dyDescent="0.2">
      <c r="D547" t="s">
        <v>13</v>
      </c>
      <c r="E547">
        <f>'NHL2025-26Results'!C543</f>
        <v>2</v>
      </c>
      <c r="F547" t="s">
        <v>37</v>
      </c>
      <c r="G547">
        <f>'NHL2025-26Results'!E543</f>
        <v>1</v>
      </c>
      <c r="H547">
        <f>Table3[[#This Row],[G_1]]-Table3[[#This Row],[G]]</f>
        <v>-1</v>
      </c>
      <c r="I547">
        <f>HomeEdge+VLOOKUP(Table3[[#This Row],[Home]],$A$6:$B$38,2,FALSE)-VLOOKUP(Table3[[#This Row],[Visitor]],$A$6:$B$38,2,FALSE)</f>
        <v>1.4413857320219139</v>
      </c>
      <c r="J547">
        <f>(Table3[[#This Row],[HomeMargin]]-Table3[[#This Row],[HomeForecast]])^2</f>
        <v>5.9603642925201754</v>
      </c>
    </row>
    <row r="548" spans="4:10" x14ac:dyDescent="0.2">
      <c r="D548" t="s">
        <v>19</v>
      </c>
      <c r="E548">
        <f>'NHL2025-26Results'!C544</f>
        <v>0</v>
      </c>
      <c r="F548" t="s">
        <v>22</v>
      </c>
      <c r="G548">
        <f>'NHL2025-26Results'!E544</f>
        <v>4</v>
      </c>
      <c r="H548">
        <f>Table3[[#This Row],[G_1]]-Table3[[#This Row],[G]]</f>
        <v>4</v>
      </c>
      <c r="I548">
        <f>HomeEdge+VLOOKUP(Table3[[#This Row],[Home]],$A$6:$B$38,2,FALSE)-VLOOKUP(Table3[[#This Row],[Visitor]],$A$6:$B$38,2,FALSE)</f>
        <v>0.45211162226185131</v>
      </c>
      <c r="J548">
        <f>(Table3[[#This Row],[HomeMargin]]-Table3[[#This Row],[HomeForecast]])^2</f>
        <v>12.587511940889433</v>
      </c>
    </row>
    <row r="549" spans="4:10" x14ac:dyDescent="0.2">
      <c r="D549" t="s">
        <v>39</v>
      </c>
      <c r="E549">
        <f>'NHL2025-26Results'!C545</f>
        <v>8</v>
      </c>
      <c r="F549" t="s">
        <v>31</v>
      </c>
      <c r="G549">
        <f>'NHL2025-26Results'!E545</f>
        <v>3</v>
      </c>
      <c r="H549">
        <f>Table3[[#This Row],[G_1]]-Table3[[#This Row],[G]]</f>
        <v>-5</v>
      </c>
      <c r="I549">
        <f>HomeEdge+VLOOKUP(Table3[[#This Row],[Home]],$A$6:$B$38,2,FALSE)-VLOOKUP(Table3[[#This Row],[Visitor]],$A$6:$B$38,2,FALSE)</f>
        <v>-0.55107915318331213</v>
      </c>
      <c r="J549">
        <f>(Table3[[#This Row],[HomeMargin]]-Table3[[#This Row],[HomeForecast]])^2</f>
        <v>19.792896701240117</v>
      </c>
    </row>
    <row r="550" spans="4:10" x14ac:dyDescent="0.2">
      <c r="D550" t="s">
        <v>40</v>
      </c>
      <c r="E550">
        <f>'NHL2025-26Results'!C546</f>
        <v>2</v>
      </c>
      <c r="F550" t="s">
        <v>12</v>
      </c>
      <c r="G550">
        <f>'NHL2025-26Results'!E546</f>
        <v>3</v>
      </c>
      <c r="H550">
        <f>Table3[[#This Row],[G_1]]-Table3[[#This Row],[G]]</f>
        <v>1</v>
      </c>
      <c r="I550">
        <f>HomeEdge+VLOOKUP(Table3[[#This Row],[Home]],$A$6:$B$38,2,FALSE)-VLOOKUP(Table3[[#This Row],[Visitor]],$A$6:$B$38,2,FALSE)</f>
        <v>1.7167252917913896</v>
      </c>
      <c r="J550">
        <f>(Table3[[#This Row],[HomeMargin]]-Table3[[#This Row],[HomeForecast]])^2</f>
        <v>0.5136951438934525</v>
      </c>
    </row>
    <row r="551" spans="4:10" x14ac:dyDescent="0.2">
      <c r="D551" t="s">
        <v>25</v>
      </c>
      <c r="E551">
        <f>'NHL2025-26Results'!C547</f>
        <v>3</v>
      </c>
      <c r="F551" t="s">
        <v>11</v>
      </c>
      <c r="G551">
        <f>'NHL2025-26Results'!E547</f>
        <v>4</v>
      </c>
      <c r="H551">
        <f>Table3[[#This Row],[G_1]]-Table3[[#This Row],[G]]</f>
        <v>1</v>
      </c>
      <c r="I551">
        <f>HomeEdge+VLOOKUP(Table3[[#This Row],[Home]],$A$6:$B$38,2,FALSE)-VLOOKUP(Table3[[#This Row],[Visitor]],$A$6:$B$38,2,FALSE)</f>
        <v>-0.65983934693630797</v>
      </c>
      <c r="J551">
        <f>(Table3[[#This Row],[HomeMargin]]-Table3[[#This Row],[HomeForecast]])^2</f>
        <v>2.7550666576379492</v>
      </c>
    </row>
    <row r="552" spans="4:10" x14ac:dyDescent="0.2">
      <c r="D552" t="s">
        <v>38</v>
      </c>
      <c r="E552">
        <f>'NHL2025-26Results'!C548</f>
        <v>4</v>
      </c>
      <c r="F552" t="s">
        <v>30</v>
      </c>
      <c r="G552">
        <f>'NHL2025-26Results'!E548</f>
        <v>1</v>
      </c>
      <c r="H552">
        <f>Table3[[#This Row],[G_1]]-Table3[[#This Row],[G]]</f>
        <v>-3</v>
      </c>
      <c r="I552">
        <f>HomeEdge+VLOOKUP(Table3[[#This Row],[Home]],$A$6:$B$38,2,FALSE)-VLOOKUP(Table3[[#This Row],[Visitor]],$A$6:$B$38,2,FALSE)</f>
        <v>1.3353056631150215</v>
      </c>
      <c r="J552">
        <f>(Table3[[#This Row],[HomeMargin]]-Table3[[#This Row],[HomeForecast]])^2</f>
        <v>18.794875192637175</v>
      </c>
    </row>
    <row r="553" spans="4:10" x14ac:dyDescent="0.2">
      <c r="D553" t="s">
        <v>24</v>
      </c>
      <c r="E553">
        <f>'NHL2025-26Results'!C549</f>
        <v>2</v>
      </c>
      <c r="F553" t="s">
        <v>55</v>
      </c>
      <c r="G553">
        <f>'NHL2025-26Results'!E549</f>
        <v>1</v>
      </c>
      <c r="H553">
        <f>Table3[[#This Row],[G_1]]-Table3[[#This Row],[G]]</f>
        <v>-1</v>
      </c>
      <c r="I553">
        <f>HomeEdge+VLOOKUP(Table3[[#This Row],[Home]],$A$6:$B$38,2,FALSE)-VLOOKUP(Table3[[#This Row],[Visitor]],$A$6:$B$38,2,FALSE)</f>
        <v>0.95880974696805976</v>
      </c>
      <c r="J553">
        <f>(Table3[[#This Row],[HomeMargin]]-Table3[[#This Row],[HomeForecast]])^2</f>
        <v>3.836935624817075</v>
      </c>
    </row>
    <row r="554" spans="4:10" x14ac:dyDescent="0.2">
      <c r="D554" t="s">
        <v>28</v>
      </c>
      <c r="E554">
        <f>'NHL2025-26Results'!C550</f>
        <v>3</v>
      </c>
      <c r="F554" t="s">
        <v>31</v>
      </c>
      <c r="G554">
        <f>'NHL2025-26Results'!E550</f>
        <v>4</v>
      </c>
      <c r="H554">
        <f>Table3[[#This Row],[G_1]]-Table3[[#This Row],[G]]</f>
        <v>1</v>
      </c>
      <c r="I554">
        <f>HomeEdge+VLOOKUP(Table3[[#This Row],[Home]],$A$6:$B$38,2,FALSE)-VLOOKUP(Table3[[#This Row],[Visitor]],$A$6:$B$38,2,FALSE)</f>
        <v>-5.2434046567949144E-2</v>
      </c>
      <c r="J554">
        <f>(Table3[[#This Row],[HomeMargin]]-Table3[[#This Row],[HomeForecast]])^2</f>
        <v>1.1076174223753881</v>
      </c>
    </row>
    <row r="555" spans="4:10" x14ac:dyDescent="0.2">
      <c r="D555" t="s">
        <v>38</v>
      </c>
      <c r="E555">
        <f>'NHL2025-26Results'!C551</f>
        <v>5</v>
      </c>
      <c r="F555" t="s">
        <v>21</v>
      </c>
      <c r="G555">
        <f>'NHL2025-26Results'!E551</f>
        <v>4</v>
      </c>
      <c r="H555">
        <f>Table3[[#This Row],[G_1]]-Table3[[#This Row],[G]]</f>
        <v>-1</v>
      </c>
      <c r="I555">
        <f>HomeEdge+VLOOKUP(Table3[[#This Row],[Home]],$A$6:$B$38,2,FALSE)-VLOOKUP(Table3[[#This Row],[Visitor]],$A$6:$B$38,2,FALSE)</f>
        <v>1.4190796756667259</v>
      </c>
      <c r="J555">
        <f>(Table3[[#This Row],[HomeMargin]]-Table3[[#This Row],[HomeForecast]])^2</f>
        <v>5.8519464772238328</v>
      </c>
    </row>
    <row r="556" spans="4:10" x14ac:dyDescent="0.2">
      <c r="D556" t="s">
        <v>30</v>
      </c>
      <c r="E556">
        <f>'NHL2025-26Results'!C552</f>
        <v>2</v>
      </c>
      <c r="F556" t="s">
        <v>23</v>
      </c>
      <c r="G556">
        <f>'NHL2025-26Results'!E552</f>
        <v>3</v>
      </c>
      <c r="H556">
        <f>Table3[[#This Row],[G_1]]-Table3[[#This Row],[G]]</f>
        <v>1</v>
      </c>
      <c r="I556">
        <f>HomeEdge+VLOOKUP(Table3[[#This Row],[Home]],$A$6:$B$38,2,FALSE)-VLOOKUP(Table3[[#This Row],[Visitor]],$A$6:$B$38,2,FALSE)</f>
        <v>0.3240660079998639</v>
      </c>
      <c r="J556">
        <f>(Table3[[#This Row],[HomeMargin]]-Table3[[#This Row],[HomeForecast]])^2</f>
        <v>0.45688676154124014</v>
      </c>
    </row>
    <row r="557" spans="4:10" x14ac:dyDescent="0.2">
      <c r="D557" t="s">
        <v>20</v>
      </c>
      <c r="E557">
        <f>'NHL2025-26Results'!C553</f>
        <v>3</v>
      </c>
      <c r="F557" t="s">
        <v>16</v>
      </c>
      <c r="G557">
        <f>'NHL2025-26Results'!E553</f>
        <v>6</v>
      </c>
      <c r="H557">
        <f>Table3[[#This Row],[G_1]]-Table3[[#This Row],[G]]</f>
        <v>3</v>
      </c>
      <c r="I557">
        <f>HomeEdge+VLOOKUP(Table3[[#This Row],[Home]],$A$6:$B$38,2,FALSE)-VLOOKUP(Table3[[#This Row],[Visitor]],$A$6:$B$38,2,FALSE)</f>
        <v>-0.59774059862344597</v>
      </c>
      <c r="J557">
        <f>(Table3[[#This Row],[HomeMargin]]-Table3[[#This Row],[HomeForecast]])^2</f>
        <v>12.94373741498339</v>
      </c>
    </row>
    <row r="558" spans="4:10" x14ac:dyDescent="0.2">
      <c r="D558" t="s">
        <v>35</v>
      </c>
      <c r="E558">
        <f>'NHL2025-26Results'!C554</f>
        <v>6</v>
      </c>
      <c r="F558" t="s">
        <v>11</v>
      </c>
      <c r="G558">
        <f>'NHL2025-26Results'!E554</f>
        <v>2</v>
      </c>
      <c r="H558">
        <f>Table3[[#This Row],[G_1]]-Table3[[#This Row],[G]]</f>
        <v>-4</v>
      </c>
      <c r="I558">
        <f>HomeEdge+VLOOKUP(Table3[[#This Row],[Home]],$A$6:$B$38,2,FALSE)-VLOOKUP(Table3[[#This Row],[Visitor]],$A$6:$B$38,2,FALSE)</f>
        <v>0.88551212785149924</v>
      </c>
      <c r="J558">
        <f>(Table3[[#This Row],[HomeMargin]]-Table3[[#This Row],[HomeForecast]])^2</f>
        <v>23.868228751384088</v>
      </c>
    </row>
    <row r="559" spans="4:10" x14ac:dyDescent="0.2">
      <c r="D559" t="s">
        <v>17</v>
      </c>
      <c r="E559">
        <f>'NHL2025-26Results'!C555</f>
        <v>2</v>
      </c>
      <c r="F559" t="s">
        <v>34</v>
      </c>
      <c r="G559">
        <f>'NHL2025-26Results'!E555</f>
        <v>5</v>
      </c>
      <c r="H559">
        <f>Table3[[#This Row],[G_1]]-Table3[[#This Row],[G]]</f>
        <v>3</v>
      </c>
      <c r="I559">
        <f>HomeEdge+VLOOKUP(Table3[[#This Row],[Home]],$A$6:$B$38,2,FALSE)-VLOOKUP(Table3[[#This Row],[Visitor]],$A$6:$B$38,2,FALSE)</f>
        <v>0.5547182190701091</v>
      </c>
      <c r="J559">
        <f>(Table3[[#This Row],[HomeMargin]]-Table3[[#This Row],[HomeForecast]])^2</f>
        <v>5.9794029881476591</v>
      </c>
    </row>
    <row r="560" spans="4:10" x14ac:dyDescent="0.2">
      <c r="D560" t="s">
        <v>14</v>
      </c>
      <c r="E560">
        <f>'NHL2025-26Results'!C556</f>
        <v>0</v>
      </c>
      <c r="F560" t="s">
        <v>18</v>
      </c>
      <c r="G560">
        <f>'NHL2025-26Results'!E556</f>
        <v>4</v>
      </c>
      <c r="H560">
        <f>Table3[[#This Row],[G_1]]-Table3[[#This Row],[G]]</f>
        <v>4</v>
      </c>
      <c r="I560">
        <f>HomeEdge+VLOOKUP(Table3[[#This Row],[Home]],$A$6:$B$38,2,FALSE)-VLOOKUP(Table3[[#This Row],[Visitor]],$A$6:$B$38,2,FALSE)</f>
        <v>4.3295959531977506E-2</v>
      </c>
      <c r="J560">
        <f>(Table3[[#This Row],[HomeMargin]]-Table3[[#This Row],[HomeForecast]])^2</f>
        <v>15.655506863855974</v>
      </c>
    </row>
    <row r="561" spans="4:10" x14ac:dyDescent="0.2">
      <c r="D561" t="s">
        <v>19</v>
      </c>
      <c r="E561">
        <f>'NHL2025-26Results'!C557</f>
        <v>3</v>
      </c>
      <c r="F561" t="s">
        <v>29</v>
      </c>
      <c r="G561">
        <f>'NHL2025-26Results'!E557</f>
        <v>5</v>
      </c>
      <c r="H561">
        <f>Table3[[#This Row],[G_1]]-Table3[[#This Row],[G]]</f>
        <v>2</v>
      </c>
      <c r="I561">
        <f>HomeEdge+VLOOKUP(Table3[[#This Row],[Home]],$A$6:$B$38,2,FALSE)-VLOOKUP(Table3[[#This Row],[Visitor]],$A$6:$B$38,2,FALSE)</f>
        <v>-0.24867725710962196</v>
      </c>
      <c r="J561">
        <f>(Table3[[#This Row],[HomeMargin]]-Table3[[#This Row],[HomeForecast]])^2</f>
        <v>5.056549406642052</v>
      </c>
    </row>
    <row r="562" spans="4:10" x14ac:dyDescent="0.2">
      <c r="D562" t="s">
        <v>27</v>
      </c>
      <c r="E562">
        <f>'NHL2025-26Results'!C558</f>
        <v>4</v>
      </c>
      <c r="F562" t="s">
        <v>15</v>
      </c>
      <c r="G562">
        <f>'NHL2025-26Results'!E558</f>
        <v>5</v>
      </c>
      <c r="H562">
        <f>Table3[[#This Row],[G_1]]-Table3[[#This Row],[G]]</f>
        <v>1</v>
      </c>
      <c r="I562">
        <f>HomeEdge+VLOOKUP(Table3[[#This Row],[Home]],$A$6:$B$38,2,FALSE)-VLOOKUP(Table3[[#This Row],[Visitor]],$A$6:$B$38,2,FALSE)</f>
        <v>-5.5932829660752303E-2</v>
      </c>
      <c r="J562">
        <f>(Table3[[#This Row],[HomeMargin]]-Table3[[#This Row],[HomeForecast]])^2</f>
        <v>1.1149941407553636</v>
      </c>
    </row>
    <row r="563" spans="4:10" x14ac:dyDescent="0.2">
      <c r="D563" t="s">
        <v>10</v>
      </c>
      <c r="E563">
        <f>'NHL2025-26Results'!C559</f>
        <v>4</v>
      </c>
      <c r="F563" t="s">
        <v>36</v>
      </c>
      <c r="G563">
        <f>'NHL2025-26Results'!E559</f>
        <v>6</v>
      </c>
      <c r="H563">
        <f>Table3[[#This Row],[G_1]]-Table3[[#This Row],[G]]</f>
        <v>2</v>
      </c>
      <c r="I563">
        <f>HomeEdge+VLOOKUP(Table3[[#This Row],[Home]],$A$6:$B$38,2,FALSE)-VLOOKUP(Table3[[#This Row],[Visitor]],$A$6:$B$38,2,FALSE)</f>
        <v>0.86608028452804398</v>
      </c>
      <c r="J563">
        <f>(Table3[[#This Row],[HomeMargin]]-Table3[[#This Row],[HomeForecast]])^2</f>
        <v>1.2857739211360018</v>
      </c>
    </row>
    <row r="564" spans="4:10" x14ac:dyDescent="0.2">
      <c r="D564" t="s">
        <v>32</v>
      </c>
      <c r="E564">
        <f>'NHL2025-26Results'!C560</f>
        <v>4</v>
      </c>
      <c r="F564" t="s">
        <v>33</v>
      </c>
      <c r="G564">
        <f>'NHL2025-26Results'!E560</f>
        <v>2</v>
      </c>
      <c r="H564">
        <f>Table3[[#This Row],[G_1]]-Table3[[#This Row],[G]]</f>
        <v>-2</v>
      </c>
      <c r="I564">
        <f>HomeEdge+VLOOKUP(Table3[[#This Row],[Home]],$A$6:$B$38,2,FALSE)-VLOOKUP(Table3[[#This Row],[Visitor]],$A$6:$B$38,2,FALSE)</f>
        <v>-4.0391684744186584E-2</v>
      </c>
      <c r="J564">
        <f>(Table3[[#This Row],[HomeMargin]]-Table3[[#This Row],[HomeForecast]])^2</f>
        <v>3.8400647492197275</v>
      </c>
    </row>
    <row r="565" spans="4:10" x14ac:dyDescent="0.2">
      <c r="D565" t="s">
        <v>25</v>
      </c>
      <c r="E565">
        <f>'NHL2025-26Results'!C561</f>
        <v>4</v>
      </c>
      <c r="F565" t="s">
        <v>37</v>
      </c>
      <c r="G565">
        <f>'NHL2025-26Results'!E561</f>
        <v>6</v>
      </c>
      <c r="H565">
        <f>Table3[[#This Row],[G_1]]-Table3[[#This Row],[G]]</f>
        <v>2</v>
      </c>
      <c r="I565">
        <f>HomeEdge+VLOOKUP(Table3[[#This Row],[Home]],$A$6:$B$38,2,FALSE)-VLOOKUP(Table3[[#This Row],[Visitor]],$A$6:$B$38,2,FALSE)</f>
        <v>0.61819463165423605</v>
      </c>
      <c r="J565">
        <f>(Table3[[#This Row],[HomeMargin]]-Table3[[#This Row],[HomeForecast]])^2</f>
        <v>1.9093860759891728</v>
      </c>
    </row>
    <row r="566" spans="4:10" x14ac:dyDescent="0.2">
      <c r="D566" t="s">
        <v>26</v>
      </c>
      <c r="E566">
        <f>'NHL2025-26Results'!C562</f>
        <v>5</v>
      </c>
      <c r="F566" t="s">
        <v>22</v>
      </c>
      <c r="G566">
        <f>'NHL2025-26Results'!E562</f>
        <v>2</v>
      </c>
      <c r="H566">
        <f>Table3[[#This Row],[G_1]]-Table3[[#This Row],[G]]</f>
        <v>-3</v>
      </c>
      <c r="I566">
        <f>HomeEdge+VLOOKUP(Table3[[#This Row],[Home]],$A$6:$B$38,2,FALSE)-VLOOKUP(Table3[[#This Row],[Visitor]],$A$6:$B$38,2,FALSE)</f>
        <v>0.34096883915611376</v>
      </c>
      <c r="J566">
        <f>(Table3[[#This Row],[HomeMargin]]-Table3[[#This Row],[HomeForecast]])^2</f>
        <v>11.16207278421215</v>
      </c>
    </row>
    <row r="567" spans="4:10" x14ac:dyDescent="0.2">
      <c r="D567" t="s">
        <v>36</v>
      </c>
      <c r="E567">
        <f>'NHL2025-26Results'!C563</f>
        <v>6</v>
      </c>
      <c r="F567" t="s">
        <v>21</v>
      </c>
      <c r="G567">
        <f>'NHL2025-26Results'!E563</f>
        <v>2</v>
      </c>
      <c r="H567">
        <f>Table3[[#This Row],[G_1]]-Table3[[#This Row],[G]]</f>
        <v>-4</v>
      </c>
      <c r="I567">
        <f>HomeEdge+VLOOKUP(Table3[[#This Row],[Home]],$A$6:$B$38,2,FALSE)-VLOOKUP(Table3[[#This Row],[Visitor]],$A$6:$B$38,2,FALSE)</f>
        <v>0.21718385542316479</v>
      </c>
      <c r="J567">
        <f>(Table3[[#This Row],[HomeMargin]]-Table3[[#This Row],[HomeForecast]])^2</f>
        <v>17.784639670441788</v>
      </c>
    </row>
    <row r="568" spans="4:10" x14ac:dyDescent="0.2">
      <c r="D568" t="s">
        <v>19</v>
      </c>
      <c r="E568">
        <f>'NHL2025-26Results'!C564</f>
        <v>1</v>
      </c>
      <c r="F568" t="s">
        <v>39</v>
      </c>
      <c r="G568">
        <f>'NHL2025-26Results'!E564</f>
        <v>5</v>
      </c>
      <c r="H568">
        <f>Table3[[#This Row],[G_1]]-Table3[[#This Row],[G]]</f>
        <v>4</v>
      </c>
      <c r="I568">
        <f>HomeEdge+VLOOKUP(Table3[[#This Row],[Home]],$A$6:$B$38,2,FALSE)-VLOOKUP(Table3[[#This Row],[Visitor]],$A$6:$B$38,2,FALSE)</f>
        <v>0.78896786197962088</v>
      </c>
      <c r="J568">
        <f>(Table3[[#This Row],[HomeMargin]]-Table3[[#This Row],[HomeForecast]])^2</f>
        <v>10.310727391399727</v>
      </c>
    </row>
    <row r="569" spans="4:10" x14ac:dyDescent="0.2">
      <c r="D569" t="s">
        <v>22</v>
      </c>
      <c r="E569">
        <f>'NHL2025-26Results'!C565</f>
        <v>2</v>
      </c>
      <c r="F569" t="s">
        <v>26</v>
      </c>
      <c r="G569">
        <f>'NHL2025-26Results'!E565</f>
        <v>3</v>
      </c>
      <c r="H569">
        <f>Table3[[#This Row],[G_1]]-Table3[[#This Row],[G]]</f>
        <v>1</v>
      </c>
      <c r="I569">
        <f>HomeEdge+VLOOKUP(Table3[[#This Row],[Home]],$A$6:$B$38,2,FALSE)-VLOOKUP(Table3[[#This Row],[Visitor]],$A$6:$B$38,2,FALSE)</f>
        <v>-8.1754867533065559E-2</v>
      </c>
      <c r="J569">
        <f>(Table3[[#This Row],[HomeMargin]]-Table3[[#This Row],[HomeForecast]])^2</f>
        <v>1.17019359343148</v>
      </c>
    </row>
    <row r="570" spans="4:10" x14ac:dyDescent="0.2">
      <c r="D570" t="s">
        <v>20</v>
      </c>
      <c r="E570">
        <f>'NHL2025-26Results'!C566</f>
        <v>3</v>
      </c>
      <c r="F570" t="s">
        <v>17</v>
      </c>
      <c r="G570">
        <f>'NHL2025-26Results'!E566</f>
        <v>4</v>
      </c>
      <c r="H570">
        <f>Table3[[#This Row],[G_1]]-Table3[[#This Row],[G]]</f>
        <v>1</v>
      </c>
      <c r="I570">
        <f>HomeEdge+VLOOKUP(Table3[[#This Row],[Home]],$A$6:$B$38,2,FALSE)-VLOOKUP(Table3[[#This Row],[Visitor]],$A$6:$B$38,2,FALSE)</f>
        <v>-7.2054329489519564E-2</v>
      </c>
      <c r="J570">
        <f>(Table3[[#This Row],[HomeMargin]]-Table3[[#This Row],[HomeForecast]])^2</f>
        <v>1.1493004853772233</v>
      </c>
    </row>
    <row r="571" spans="4:10" x14ac:dyDescent="0.2">
      <c r="D571" t="s">
        <v>12</v>
      </c>
      <c r="E571">
        <f>'NHL2025-26Results'!C567</f>
        <v>5</v>
      </c>
      <c r="F571" t="s">
        <v>34</v>
      </c>
      <c r="G571">
        <f>'NHL2025-26Results'!E567</f>
        <v>1</v>
      </c>
      <c r="H571">
        <f>Table3[[#This Row],[G_1]]-Table3[[#This Row],[G]]</f>
        <v>-4</v>
      </c>
      <c r="I571">
        <f>HomeEdge+VLOOKUP(Table3[[#This Row],[Home]],$A$6:$B$38,2,FALSE)-VLOOKUP(Table3[[#This Row],[Visitor]],$A$6:$B$38,2,FALSE)</f>
        <v>-0.80857456394445282</v>
      </c>
      <c r="J571">
        <f>(Table3[[#This Row],[HomeMargin]]-Table3[[#This Row],[HomeForecast]])^2</f>
        <v>10.185196313902338</v>
      </c>
    </row>
    <row r="572" spans="4:10" x14ac:dyDescent="0.2">
      <c r="D572" t="s">
        <v>23</v>
      </c>
      <c r="E572">
        <f>'NHL2025-26Results'!C568</f>
        <v>3</v>
      </c>
      <c r="F572" t="s">
        <v>24</v>
      </c>
      <c r="G572">
        <f>'NHL2025-26Results'!E568</f>
        <v>1</v>
      </c>
      <c r="H572">
        <f>Table3[[#This Row],[G_1]]-Table3[[#This Row],[G]]</f>
        <v>-2</v>
      </c>
      <c r="I572">
        <f>HomeEdge+VLOOKUP(Table3[[#This Row],[Home]],$A$6:$B$38,2,FALSE)-VLOOKUP(Table3[[#This Row],[Visitor]],$A$6:$B$38,2,FALSE)</f>
        <v>-0.62365544612244261</v>
      </c>
      <c r="J572">
        <f>(Table3[[#This Row],[HomeMargin]]-Table3[[#This Row],[HomeForecast]])^2</f>
        <v>1.8943243309884126</v>
      </c>
    </row>
    <row r="573" spans="4:10" x14ac:dyDescent="0.2">
      <c r="D573" t="s">
        <v>15</v>
      </c>
      <c r="E573">
        <f>'NHL2025-26Results'!C569</f>
        <v>1</v>
      </c>
      <c r="F573" t="s">
        <v>29</v>
      </c>
      <c r="G573">
        <f>'NHL2025-26Results'!E569</f>
        <v>2</v>
      </c>
      <c r="H573">
        <f>Table3[[#This Row],[G_1]]-Table3[[#This Row],[G]]</f>
        <v>1</v>
      </c>
      <c r="I573">
        <f>HomeEdge+VLOOKUP(Table3[[#This Row],[Home]],$A$6:$B$38,2,FALSE)-VLOOKUP(Table3[[#This Row],[Visitor]],$A$6:$B$38,2,FALSE)</f>
        <v>4.5561329367569958E-2</v>
      </c>
      <c r="J573">
        <f>(Table3[[#This Row],[HomeMargin]]-Table3[[#This Row],[HomeForecast]])^2</f>
        <v>0.91095317599860026</v>
      </c>
    </row>
    <row r="574" spans="4:10" x14ac:dyDescent="0.2">
      <c r="D574" t="s">
        <v>18</v>
      </c>
      <c r="E574">
        <f>'NHL2025-26Results'!C570</f>
        <v>3</v>
      </c>
      <c r="F574" t="s">
        <v>14</v>
      </c>
      <c r="G574">
        <f>'NHL2025-26Results'!E570</f>
        <v>4</v>
      </c>
      <c r="H574">
        <f>Table3[[#This Row],[G_1]]-Table3[[#This Row],[G]]</f>
        <v>1</v>
      </c>
      <c r="I574">
        <f>HomeEdge+VLOOKUP(Table3[[#This Row],[Home]],$A$6:$B$38,2,FALSE)-VLOOKUP(Table3[[#This Row],[Visitor]],$A$6:$B$38,2,FALSE)</f>
        <v>0.2159180120910707</v>
      </c>
      <c r="J574">
        <f>(Table3[[#This Row],[HomeMargin]]-Table3[[#This Row],[HomeForecast]])^2</f>
        <v>0.61478456376321844</v>
      </c>
    </row>
    <row r="575" spans="4:10" x14ac:dyDescent="0.2">
      <c r="D575" t="s">
        <v>40</v>
      </c>
      <c r="E575">
        <f>'NHL2025-26Results'!C571</f>
        <v>3</v>
      </c>
      <c r="F575" t="s">
        <v>55</v>
      </c>
      <c r="G575">
        <f>'NHL2025-26Results'!E571</f>
        <v>4</v>
      </c>
      <c r="H575">
        <f>Table3[[#This Row],[G_1]]-Table3[[#This Row],[G]]</f>
        <v>1</v>
      </c>
      <c r="I575">
        <f>HomeEdge+VLOOKUP(Table3[[#This Row],[Home]],$A$6:$B$38,2,FALSE)-VLOOKUP(Table3[[#This Row],[Visitor]],$A$6:$B$38,2,FALSE)</f>
        <v>0.8021531841203583</v>
      </c>
      <c r="J575">
        <f>(Table3[[#This Row],[HomeMargin]]-Table3[[#This Row],[HomeForecast]])^2</f>
        <v>3.9143362553712847E-2</v>
      </c>
    </row>
    <row r="576" spans="4:10" x14ac:dyDescent="0.2">
      <c r="D576" t="s">
        <v>32</v>
      </c>
      <c r="E576">
        <f>'NHL2025-26Results'!C572</f>
        <v>3</v>
      </c>
      <c r="F576" t="s">
        <v>31</v>
      </c>
      <c r="G576">
        <f>'NHL2025-26Results'!E572</f>
        <v>1</v>
      </c>
      <c r="H576">
        <f>Table3[[#This Row],[G_1]]-Table3[[#This Row],[G]]</f>
        <v>-2</v>
      </c>
      <c r="I576">
        <f>HomeEdge+VLOOKUP(Table3[[#This Row],[Home]],$A$6:$B$38,2,FALSE)-VLOOKUP(Table3[[#This Row],[Visitor]],$A$6:$B$38,2,FALSE)</f>
        <v>0.14836830907599524</v>
      </c>
      <c r="J576">
        <f>(Table3[[#This Row],[HomeMargin]]-Table3[[#This Row],[HomeForecast]])^2</f>
        <v>4.6154863914420501</v>
      </c>
    </row>
    <row r="577" spans="4:10" x14ac:dyDescent="0.2">
      <c r="D577" t="s">
        <v>28</v>
      </c>
      <c r="E577">
        <f>'NHL2025-26Results'!C573</f>
        <v>3</v>
      </c>
      <c r="F577" t="s">
        <v>13</v>
      </c>
      <c r="G577">
        <f>'NHL2025-26Results'!E573</f>
        <v>1</v>
      </c>
      <c r="H577">
        <f>Table3[[#This Row],[G_1]]-Table3[[#This Row],[G]]</f>
        <v>-2</v>
      </c>
      <c r="I577">
        <f>HomeEdge+VLOOKUP(Table3[[#This Row],[Home]],$A$6:$B$38,2,FALSE)-VLOOKUP(Table3[[#This Row],[Visitor]],$A$6:$B$38,2,FALSE)</f>
        <v>-0.17952511433902962</v>
      </c>
      <c r="J577">
        <f>(Table3[[#This Row],[HomeMargin]]-Table3[[#This Row],[HomeForecast]])^2</f>
        <v>3.3141288093223227</v>
      </c>
    </row>
    <row r="578" spans="4:10" x14ac:dyDescent="0.2">
      <c r="D578" t="s">
        <v>38</v>
      </c>
      <c r="E578">
        <f>'NHL2025-26Results'!C574</f>
        <v>2</v>
      </c>
      <c r="F578" t="s">
        <v>27</v>
      </c>
      <c r="G578">
        <f>'NHL2025-26Results'!E574</f>
        <v>5</v>
      </c>
      <c r="H578">
        <f>Table3[[#This Row],[G_1]]-Table3[[#This Row],[G]]</f>
        <v>3</v>
      </c>
      <c r="I578">
        <f>HomeEdge+VLOOKUP(Table3[[#This Row],[Home]],$A$6:$B$38,2,FALSE)-VLOOKUP(Table3[[#This Row],[Visitor]],$A$6:$B$38,2,FALSE)</f>
        <v>0.97063094940556172</v>
      </c>
      <c r="J578">
        <f>(Table3[[#This Row],[HomeMargin]]-Table3[[#This Row],[HomeForecast]])^2</f>
        <v>4.1183387435105718</v>
      </c>
    </row>
    <row r="579" spans="4:10" x14ac:dyDescent="0.2">
      <c r="D579" t="s">
        <v>35</v>
      </c>
      <c r="E579">
        <f>'NHL2025-26Results'!C575</f>
        <v>1</v>
      </c>
      <c r="F579" t="s">
        <v>37</v>
      </c>
      <c r="G579">
        <f>'NHL2025-26Results'!E575</f>
        <v>4</v>
      </c>
      <c r="H579">
        <f>Table3[[#This Row],[G_1]]-Table3[[#This Row],[G]]</f>
        <v>3</v>
      </c>
      <c r="I579">
        <f>HomeEdge+VLOOKUP(Table3[[#This Row],[Home]],$A$6:$B$38,2,FALSE)-VLOOKUP(Table3[[#This Row],[Visitor]],$A$6:$B$38,2,FALSE)</f>
        <v>2.1635461064420434</v>
      </c>
      <c r="J579">
        <f>(Table3[[#This Row],[HomeMargin]]-Table3[[#This Row],[HomeForecast]])^2</f>
        <v>0.69965511604826547</v>
      </c>
    </row>
    <row r="580" spans="4:10" x14ac:dyDescent="0.2">
      <c r="D580" t="s">
        <v>18</v>
      </c>
      <c r="E580">
        <f>'NHL2025-26Results'!C576</f>
        <v>6</v>
      </c>
      <c r="F580" t="s">
        <v>21</v>
      </c>
      <c r="G580">
        <f>'NHL2025-26Results'!E576</f>
        <v>2</v>
      </c>
      <c r="H580">
        <f>Table3[[#This Row],[G_1]]-Table3[[#This Row],[G]]</f>
        <v>-4</v>
      </c>
      <c r="I580">
        <f>HomeEdge+VLOOKUP(Table3[[#This Row],[Home]],$A$6:$B$38,2,FALSE)-VLOOKUP(Table3[[#This Row],[Visitor]],$A$6:$B$38,2,FALSE)</f>
        <v>0.11335104954701686</v>
      </c>
      <c r="J580">
        <f>(Table3[[#This Row],[HomeMargin]]-Table3[[#This Row],[HomeForecast]])^2</f>
        <v>16.919656856809546</v>
      </c>
    </row>
    <row r="581" spans="4:10" x14ac:dyDescent="0.2">
      <c r="D581" t="s">
        <v>11</v>
      </c>
      <c r="E581">
        <f>'NHL2025-26Results'!C577</f>
        <v>5</v>
      </c>
      <c r="F581" t="s">
        <v>25</v>
      </c>
      <c r="G581">
        <f>'NHL2025-26Results'!E577</f>
        <v>2</v>
      </c>
      <c r="H581">
        <f>Table3[[#This Row],[G_1]]-Table3[[#This Row],[G]]</f>
        <v>-3</v>
      </c>
      <c r="I581">
        <f>HomeEdge+VLOOKUP(Table3[[#This Row],[Home]],$A$6:$B$38,2,FALSE)-VLOOKUP(Table3[[#This Row],[Visitor]],$A$6:$B$38,2,FALSE)</f>
        <v>0.91905331855935612</v>
      </c>
      <c r="J581">
        <f>(Table3[[#This Row],[HomeMargin]]-Table3[[#This Row],[HomeForecast]])^2</f>
        <v>15.358978913711102</v>
      </c>
    </row>
    <row r="582" spans="4:10" x14ac:dyDescent="0.2">
      <c r="D582" t="s">
        <v>27</v>
      </c>
      <c r="E582">
        <f>'NHL2025-26Results'!C578</f>
        <v>3</v>
      </c>
      <c r="F582" t="s">
        <v>10</v>
      </c>
      <c r="G582">
        <f>'NHL2025-26Results'!E578</f>
        <v>1</v>
      </c>
      <c r="H582">
        <f>Table3[[#This Row],[G_1]]-Table3[[#This Row],[G]]</f>
        <v>-2</v>
      </c>
      <c r="I582">
        <f>HomeEdge+VLOOKUP(Table3[[#This Row],[Home]],$A$6:$B$38,2,FALSE)-VLOOKUP(Table3[[#This Row],[Visitor]],$A$6:$B$38,2,FALSE)</f>
        <v>-0.24599445625547245</v>
      </c>
      <c r="J582">
        <f>(Table3[[#This Row],[HomeMargin]]-Table3[[#This Row],[HomeForecast]])^2</f>
        <v>3.0765354474865352</v>
      </c>
    </row>
    <row r="583" spans="4:10" x14ac:dyDescent="0.2">
      <c r="D583" t="s">
        <v>55</v>
      </c>
      <c r="E583">
        <f>'NHL2025-26Results'!C579</f>
        <v>0</v>
      </c>
      <c r="F583" t="s">
        <v>12</v>
      </c>
      <c r="G583">
        <f>'NHL2025-26Results'!E579</f>
        <v>1</v>
      </c>
      <c r="H583">
        <f>Table3[[#This Row],[G_1]]-Table3[[#This Row],[G]]</f>
        <v>1</v>
      </c>
      <c r="I583">
        <f>HomeEdge+VLOOKUP(Table3[[#This Row],[Home]],$A$6:$B$38,2,FALSE)-VLOOKUP(Table3[[#This Row],[Visitor]],$A$6:$B$38,2,FALSE)</f>
        <v>1.0441790934825554</v>
      </c>
      <c r="J583">
        <f>(Table3[[#This Row],[HomeMargin]]-Table3[[#This Row],[HomeForecast]])^2</f>
        <v>1.9517923009403728E-3</v>
      </c>
    </row>
    <row r="584" spans="4:10" x14ac:dyDescent="0.2">
      <c r="D584" t="s">
        <v>39</v>
      </c>
      <c r="E584">
        <f>'NHL2025-26Results'!C580</f>
        <v>3</v>
      </c>
      <c r="F584" t="s">
        <v>26</v>
      </c>
      <c r="G584">
        <f>'NHL2025-26Results'!E580</f>
        <v>4</v>
      </c>
      <c r="H584">
        <f>Table3[[#This Row],[G_1]]-Table3[[#This Row],[G]]</f>
        <v>1</v>
      </c>
      <c r="I584">
        <f>HomeEdge+VLOOKUP(Table3[[#This Row],[Home]],$A$6:$B$38,2,FALSE)-VLOOKUP(Table3[[#This Row],[Visitor]],$A$6:$B$38,2,FALSE)</f>
        <v>-0.41861110725083506</v>
      </c>
      <c r="J584">
        <f>(Table3[[#This Row],[HomeMargin]]-Table3[[#This Row],[HomeForecast]])^2</f>
        <v>2.0124574736154406</v>
      </c>
    </row>
    <row r="585" spans="4:10" x14ac:dyDescent="0.2">
      <c r="D585" t="s">
        <v>16</v>
      </c>
      <c r="E585">
        <f>'NHL2025-26Results'!C581</f>
        <v>1</v>
      </c>
      <c r="F585" t="s">
        <v>17</v>
      </c>
      <c r="G585">
        <f>'NHL2025-26Results'!E581</f>
        <v>5</v>
      </c>
      <c r="H585">
        <f>Table3[[#This Row],[G_1]]-Table3[[#This Row],[G]]</f>
        <v>4</v>
      </c>
      <c r="I585">
        <f>HomeEdge+VLOOKUP(Table3[[#This Row],[Home]],$A$6:$B$38,2,FALSE)-VLOOKUP(Table3[[#This Row],[Visitor]],$A$6:$B$38,2,FALSE)</f>
        <v>0.65529325494545054</v>
      </c>
      <c r="J585">
        <f>(Table3[[#This Row],[HomeMargin]]-Table3[[#This Row],[HomeForecast]])^2</f>
        <v>11.187063210413399</v>
      </c>
    </row>
    <row r="586" spans="4:10" x14ac:dyDescent="0.2">
      <c r="D586" t="s">
        <v>32</v>
      </c>
      <c r="E586">
        <f>'NHL2025-26Results'!C582</f>
        <v>3</v>
      </c>
      <c r="F586" t="s">
        <v>13</v>
      </c>
      <c r="G586">
        <f>'NHL2025-26Results'!E582</f>
        <v>2</v>
      </c>
      <c r="H586">
        <f>Table3[[#This Row],[G_1]]-Table3[[#This Row],[G]]</f>
        <v>-1</v>
      </c>
      <c r="I586">
        <f>HomeEdge+VLOOKUP(Table3[[#This Row],[Home]],$A$6:$B$38,2,FALSE)-VLOOKUP(Table3[[#This Row],[Visitor]],$A$6:$B$38,2,FALSE)</f>
        <v>2.1277241304914762E-2</v>
      </c>
      <c r="J586">
        <f>(Table3[[#This Row],[HomeMargin]]-Table3[[#This Row],[HomeForecast]])^2</f>
        <v>1.043007203607377</v>
      </c>
    </row>
    <row r="587" spans="4:10" x14ac:dyDescent="0.2">
      <c r="D587" t="s">
        <v>29</v>
      </c>
      <c r="E587">
        <f>'NHL2025-26Results'!C583</f>
        <v>3</v>
      </c>
      <c r="F587" t="s">
        <v>34</v>
      </c>
      <c r="G587">
        <f>'NHL2025-26Results'!E583</f>
        <v>2</v>
      </c>
      <c r="H587">
        <f>Table3[[#This Row],[G_1]]-Table3[[#This Row],[G]]</f>
        <v>-1</v>
      </c>
      <c r="I587">
        <f>HomeEdge+VLOOKUP(Table3[[#This Row],[Home]],$A$6:$B$38,2,FALSE)-VLOOKUP(Table3[[#This Row],[Visitor]],$A$6:$B$38,2,FALSE)</f>
        <v>1.0106570807631774</v>
      </c>
      <c r="J587">
        <f>(Table3[[#This Row],[HomeMargin]]-Table3[[#This Row],[HomeForecast]])^2</f>
        <v>4.0427418964231032</v>
      </c>
    </row>
    <row r="588" spans="4:10" x14ac:dyDescent="0.2">
      <c r="D588" t="s">
        <v>24</v>
      </c>
      <c r="E588">
        <f>'NHL2025-26Results'!C584</f>
        <v>1</v>
      </c>
      <c r="F588" t="s">
        <v>30</v>
      </c>
      <c r="G588">
        <f>'NHL2025-26Results'!E584</f>
        <v>2</v>
      </c>
      <c r="H588">
        <f>Table3[[#This Row],[G_1]]-Table3[[#This Row],[G]]</f>
        <v>1</v>
      </c>
      <c r="I588">
        <f>HomeEdge+VLOOKUP(Table3[[#This Row],[Home]],$A$6:$B$38,2,FALSE)-VLOOKUP(Table3[[#This Row],[Visitor]],$A$6:$B$38,2,FALSE)</f>
        <v>0.688410395557151</v>
      </c>
      <c r="J588">
        <f>(Table3[[#This Row],[HomeMargin]]-Table3[[#This Row],[HomeForecast]])^2</f>
        <v>9.7088081596851103E-2</v>
      </c>
    </row>
    <row r="589" spans="4:10" x14ac:dyDescent="0.2">
      <c r="D589" t="s">
        <v>23</v>
      </c>
      <c r="E589">
        <f>'NHL2025-26Results'!C585</f>
        <v>3</v>
      </c>
      <c r="F589" t="s">
        <v>36</v>
      </c>
      <c r="G589">
        <f>'NHL2025-26Results'!E585</f>
        <v>2</v>
      </c>
      <c r="H589">
        <f>Table3[[#This Row],[G_1]]-Table3[[#This Row],[G]]</f>
        <v>-1</v>
      </c>
      <c r="I589">
        <f>HomeEdge+VLOOKUP(Table3[[#This Row],[Home]],$A$6:$B$38,2,FALSE)-VLOOKUP(Table3[[#This Row],[Visitor]],$A$6:$B$38,2,FALSE)</f>
        <v>-6.8654893436752074E-2</v>
      </c>
      <c r="J589">
        <f>(Table3[[#This Row],[HomeMargin]]-Table3[[#This Row],[HomeForecast]])^2</f>
        <v>0.86740370751930751</v>
      </c>
    </row>
    <row r="590" spans="4:10" x14ac:dyDescent="0.2">
      <c r="D590" t="s">
        <v>14</v>
      </c>
      <c r="E590">
        <f>'NHL2025-26Results'!C586</f>
        <v>3</v>
      </c>
      <c r="F590" t="s">
        <v>19</v>
      </c>
      <c r="G590">
        <f>'NHL2025-26Results'!E586</f>
        <v>6</v>
      </c>
      <c r="H590">
        <f>Table3[[#This Row],[G_1]]-Table3[[#This Row],[G]]</f>
        <v>3</v>
      </c>
      <c r="I590">
        <f>HomeEdge+VLOOKUP(Table3[[#This Row],[Home]],$A$6:$B$38,2,FALSE)-VLOOKUP(Table3[[#This Row],[Visitor]],$A$6:$B$38,2,FALSE)</f>
        <v>-0.31270993198877828</v>
      </c>
      <c r="J590">
        <f>(Table3[[#This Row],[HomeMargin]]-Table3[[#This Row],[HomeForecast]])^2</f>
        <v>10.974047093497097</v>
      </c>
    </row>
    <row r="591" spans="4:10" x14ac:dyDescent="0.2">
      <c r="D591" t="s">
        <v>33</v>
      </c>
      <c r="E591">
        <f>'NHL2025-26Results'!C587</f>
        <v>2</v>
      </c>
      <c r="F591" t="s">
        <v>20</v>
      </c>
      <c r="G591">
        <f>'NHL2025-26Results'!E587</f>
        <v>7</v>
      </c>
      <c r="H591">
        <f>Table3[[#This Row],[G_1]]-Table3[[#This Row],[G]]</f>
        <v>5</v>
      </c>
      <c r="I591">
        <f>HomeEdge+VLOOKUP(Table3[[#This Row],[Home]],$A$6:$B$38,2,FALSE)-VLOOKUP(Table3[[#This Row],[Visitor]],$A$6:$B$38,2,FALSE)</f>
        <v>0.61900817653141149</v>
      </c>
      <c r="J591">
        <f>(Table3[[#This Row],[HomeMargin]]-Table3[[#This Row],[HomeForecast]])^2</f>
        <v>19.193089357298625</v>
      </c>
    </row>
    <row r="592" spans="4:10" x14ac:dyDescent="0.2">
      <c r="D592" t="s">
        <v>15</v>
      </c>
      <c r="E592">
        <f>'NHL2025-26Results'!C588</f>
        <v>7</v>
      </c>
      <c r="F592" t="s">
        <v>22</v>
      </c>
      <c r="G592">
        <f>'NHL2025-26Results'!E588</f>
        <v>3</v>
      </c>
      <c r="H592">
        <f>Table3[[#This Row],[G_1]]-Table3[[#This Row],[G]]</f>
        <v>-4</v>
      </c>
      <c r="I592">
        <f>HomeEdge+VLOOKUP(Table3[[#This Row],[Home]],$A$6:$B$38,2,FALSE)-VLOOKUP(Table3[[#This Row],[Visitor]],$A$6:$B$38,2,FALSE)</f>
        <v>0.74635020873904323</v>
      </c>
      <c r="J592">
        <f>(Table3[[#This Row],[HomeMargin]]-Table3[[#This Row],[HomeForecast]])^2</f>
        <v>22.527840303997163</v>
      </c>
    </row>
    <row r="593" spans="4:10" x14ac:dyDescent="0.2">
      <c r="D593" t="s">
        <v>21</v>
      </c>
      <c r="E593">
        <f>'NHL2025-26Results'!C589</f>
        <v>1</v>
      </c>
      <c r="F593" t="s">
        <v>23</v>
      </c>
      <c r="G593">
        <f>'NHL2025-26Results'!E589</f>
        <v>4</v>
      </c>
      <c r="H593">
        <f>Table3[[#This Row],[G_1]]-Table3[[#This Row],[G]]</f>
        <v>3</v>
      </c>
      <c r="I593">
        <f>HomeEdge+VLOOKUP(Table3[[#This Row],[Home]],$A$6:$B$38,2,FALSE)-VLOOKUP(Table3[[#This Row],[Visitor]],$A$6:$B$38,2,FALSE)</f>
        <v>0.2402919954481596</v>
      </c>
      <c r="J593">
        <f>(Table3[[#This Row],[HomeMargin]]-Table3[[#This Row],[HomeForecast]])^2</f>
        <v>7.6159882703875015</v>
      </c>
    </row>
    <row r="594" spans="4:10" x14ac:dyDescent="0.2">
      <c r="D594" t="s">
        <v>26</v>
      </c>
      <c r="E594">
        <f>'NHL2025-26Results'!C590</f>
        <v>2</v>
      </c>
      <c r="F594" t="s">
        <v>25</v>
      </c>
      <c r="G594">
        <f>'NHL2025-26Results'!E590</f>
        <v>5</v>
      </c>
      <c r="H594">
        <f>Table3[[#This Row],[G_1]]-Table3[[#This Row],[G]]</f>
        <v>3</v>
      </c>
      <c r="I594">
        <f>HomeEdge+VLOOKUP(Table3[[#This Row],[Home]],$A$6:$B$38,2,FALSE)-VLOOKUP(Table3[[#This Row],[Visitor]],$A$6:$B$38,2,FALSE)</f>
        <v>0.69323897247564448</v>
      </c>
      <c r="J594">
        <f>(Table3[[#This Row],[HomeMargin]]-Table3[[#This Row],[HomeForecast]])^2</f>
        <v>5.3211464381052203</v>
      </c>
    </row>
    <row r="595" spans="4:10" x14ac:dyDescent="0.2">
      <c r="D595" t="s">
        <v>17</v>
      </c>
      <c r="E595">
        <f>'NHL2025-26Results'!C591</f>
        <v>2</v>
      </c>
      <c r="F595" t="s">
        <v>16</v>
      </c>
      <c r="G595">
        <f>'NHL2025-26Results'!E591</f>
        <v>3</v>
      </c>
      <c r="H595">
        <f>Table3[[#This Row],[G_1]]-Table3[[#This Row],[G]]</f>
        <v>1</v>
      </c>
      <c r="I595">
        <f>HomeEdge+VLOOKUP(Table3[[#This Row],[Home]],$A$6:$B$38,2,FALSE)-VLOOKUP(Table3[[#This Row],[Visitor]],$A$6:$B$38,2,FALSE)</f>
        <v>-0.39607928332240233</v>
      </c>
      <c r="J595">
        <f>(Table3[[#This Row],[HomeMargin]]-Table3[[#This Row],[HomeForecast]])^2</f>
        <v>1.9490373653219923</v>
      </c>
    </row>
    <row r="596" spans="4:10" x14ac:dyDescent="0.2">
      <c r="D596" t="s">
        <v>10</v>
      </c>
      <c r="E596">
        <f>'NHL2025-26Results'!C592</f>
        <v>4</v>
      </c>
      <c r="F596" t="s">
        <v>39</v>
      </c>
      <c r="G596">
        <f>'NHL2025-26Results'!E592</f>
        <v>3</v>
      </c>
      <c r="H596">
        <f>Table3[[#This Row],[G_1]]-Table3[[#This Row],[G]]</f>
        <v>-1</v>
      </c>
      <c r="I596">
        <f>HomeEdge+VLOOKUP(Table3[[#This Row],[Home]],$A$6:$B$38,2,FALSE)-VLOOKUP(Table3[[#This Row],[Visitor]],$A$6:$B$38,2,FALSE)</f>
        <v>1.2732680750515328</v>
      </c>
      <c r="J596">
        <f>(Table3[[#This Row],[HomeMargin]]-Table3[[#This Row],[HomeForecast]])^2</f>
        <v>5.1677477410485011</v>
      </c>
    </row>
    <row r="597" spans="4:10" x14ac:dyDescent="0.2">
      <c r="D597" t="s">
        <v>37</v>
      </c>
      <c r="E597">
        <f>'NHL2025-26Results'!C593</f>
        <v>4</v>
      </c>
      <c r="F597" t="s">
        <v>11</v>
      </c>
      <c r="G597">
        <f>'NHL2025-26Results'!E593</f>
        <v>2</v>
      </c>
      <c r="H597">
        <f>Table3[[#This Row],[G_1]]-Table3[[#This Row],[G]]</f>
        <v>-2</v>
      </c>
      <c r="I597">
        <f>HomeEdge+VLOOKUP(Table3[[#This Row],[Home]],$A$6:$B$38,2,FALSE)-VLOOKUP(Table3[[#This Row],[Visitor]],$A$6:$B$38,2,FALSE)</f>
        <v>-1.1484269927790201</v>
      </c>
      <c r="J597">
        <f>(Table3[[#This Row],[HomeMargin]]-Table3[[#This Row],[HomeForecast]])^2</f>
        <v>0.72517658662738316</v>
      </c>
    </row>
    <row r="598" spans="4:10" x14ac:dyDescent="0.2">
      <c r="D598" t="s">
        <v>31</v>
      </c>
      <c r="E598">
        <f>'NHL2025-26Results'!C594</f>
        <v>1</v>
      </c>
      <c r="F598" t="s">
        <v>13</v>
      </c>
      <c r="G598">
        <f>'NHL2025-26Results'!E594</f>
        <v>6</v>
      </c>
      <c r="H598">
        <f>Table3[[#This Row],[G_1]]-Table3[[#This Row],[G]]</f>
        <v>5</v>
      </c>
      <c r="I598">
        <f>HomeEdge+VLOOKUP(Table3[[#This Row],[Home]],$A$6:$B$38,2,FALSE)-VLOOKUP(Table3[[#This Row],[Visitor]],$A$6:$B$38,2,FALSE)</f>
        <v>2.5159180404435988E-3</v>
      </c>
      <c r="J598">
        <f>(Table3[[#This Row],[HomeMargin]]-Table3[[#This Row],[HomeForecast]])^2</f>
        <v>24.974847149439153</v>
      </c>
    </row>
    <row r="599" spans="4:10" x14ac:dyDescent="0.2">
      <c r="D599" t="s">
        <v>22</v>
      </c>
      <c r="E599">
        <f>'NHL2025-26Results'!C595</f>
        <v>4</v>
      </c>
      <c r="F599" t="s">
        <v>24</v>
      </c>
      <c r="G599">
        <f>'NHL2025-26Results'!E595</f>
        <v>3</v>
      </c>
      <c r="H599">
        <f>Table3[[#This Row],[G_1]]-Table3[[#This Row],[G]]</f>
        <v>-1</v>
      </c>
      <c r="I599">
        <f>HomeEdge+VLOOKUP(Table3[[#This Row],[Home]],$A$6:$B$38,2,FALSE)-VLOOKUP(Table3[[#This Row],[Visitor]],$A$6:$B$38,2,FALSE)</f>
        <v>-0.49572511767988581</v>
      </c>
      <c r="J599">
        <f>(Table3[[#This Row],[HomeMargin]]-Table3[[#This Row],[HomeForecast]])^2</f>
        <v>0.25429315693896504</v>
      </c>
    </row>
    <row r="600" spans="4:10" x14ac:dyDescent="0.2">
      <c r="D600" t="s">
        <v>15</v>
      </c>
      <c r="E600">
        <f>'NHL2025-26Results'!C596</f>
        <v>0</v>
      </c>
      <c r="F600" t="s">
        <v>30</v>
      </c>
      <c r="G600">
        <f>'NHL2025-26Results'!E596</f>
        <v>2</v>
      </c>
      <c r="H600">
        <f>Table3[[#This Row],[G_1]]-Table3[[#This Row],[G]]</f>
        <v>2</v>
      </c>
      <c r="I600">
        <f>HomeEdge+VLOOKUP(Table3[[#This Row],[Home]],$A$6:$B$38,2,FALSE)-VLOOKUP(Table3[[#This Row],[Visitor]],$A$6:$B$38,2,FALSE)</f>
        <v>0.67982151499326027</v>
      </c>
      <c r="J600">
        <f>(Table3[[#This Row],[HomeMargin]]-Table3[[#This Row],[HomeForecast]])^2</f>
        <v>1.7428712322746904</v>
      </c>
    </row>
    <row r="601" spans="4:10" x14ac:dyDescent="0.2">
      <c r="D601" t="s">
        <v>29</v>
      </c>
      <c r="E601">
        <f>'NHL2025-26Results'!C597</f>
        <v>2</v>
      </c>
      <c r="F601" t="s">
        <v>35</v>
      </c>
      <c r="G601">
        <f>'NHL2025-26Results'!E597</f>
        <v>3</v>
      </c>
      <c r="H601">
        <f>Table3[[#This Row],[G_1]]-Table3[[#This Row],[G]]</f>
        <v>1</v>
      </c>
      <c r="I601">
        <f>HomeEdge+VLOOKUP(Table3[[#This Row],[Home]],$A$6:$B$38,2,FALSE)-VLOOKUP(Table3[[#This Row],[Visitor]],$A$6:$B$38,2,FALSE)</f>
        <v>-0.36268547628527925</v>
      </c>
      <c r="J601">
        <f>(Table3[[#This Row],[HomeMargin]]-Table3[[#This Row],[HomeForecast]])^2</f>
        <v>1.8569117072788381</v>
      </c>
    </row>
    <row r="602" spans="4:10" x14ac:dyDescent="0.2">
      <c r="D602" t="s">
        <v>36</v>
      </c>
      <c r="E602">
        <f>'NHL2025-26Results'!C598</f>
        <v>5</v>
      </c>
      <c r="F602" t="s">
        <v>19</v>
      </c>
      <c r="G602">
        <f>'NHL2025-26Results'!E598</f>
        <v>7</v>
      </c>
      <c r="H602">
        <f>Table3[[#This Row],[G_1]]-Table3[[#This Row],[G]]</f>
        <v>2</v>
      </c>
      <c r="I602">
        <f>HomeEdge+VLOOKUP(Table3[[#This Row],[Home]],$A$6:$B$38,2,FALSE)-VLOOKUP(Table3[[#This Row],[Visitor]],$A$6:$B$38,2,FALSE)</f>
        <v>-0.12256609983308375</v>
      </c>
      <c r="J602">
        <f>(Table3[[#This Row],[HomeMargin]]-Table3[[#This Row],[HomeForecast]])^2</f>
        <v>4.5052868481606296</v>
      </c>
    </row>
    <row r="603" spans="4:10" x14ac:dyDescent="0.2">
      <c r="D603" t="s">
        <v>33</v>
      </c>
      <c r="E603">
        <f>'NHL2025-26Results'!C599</f>
        <v>6</v>
      </c>
      <c r="F603" t="s">
        <v>38</v>
      </c>
      <c r="G603">
        <f>'NHL2025-26Results'!E599</f>
        <v>3</v>
      </c>
      <c r="H603">
        <f>Table3[[#This Row],[G_1]]-Table3[[#This Row],[G]]</f>
        <v>-3</v>
      </c>
      <c r="I603">
        <f>HomeEdge+VLOOKUP(Table3[[#This Row],[Home]],$A$6:$B$38,2,FALSE)-VLOOKUP(Table3[[#This Row],[Visitor]],$A$6:$B$38,2,FALSE)</f>
        <v>-0.61003049214050775</v>
      </c>
      <c r="J603">
        <f>(Table3[[#This Row],[HomeMargin]]-Table3[[#This Row],[HomeForecast]])^2</f>
        <v>5.7119542484981425</v>
      </c>
    </row>
    <row r="604" spans="4:10" x14ac:dyDescent="0.2">
      <c r="D604" t="s">
        <v>12</v>
      </c>
      <c r="E604">
        <f>'NHL2025-26Results'!C600</f>
        <v>6</v>
      </c>
      <c r="F604" t="s">
        <v>20</v>
      </c>
      <c r="G604">
        <f>'NHL2025-26Results'!E600</f>
        <v>5</v>
      </c>
      <c r="H604">
        <f>Table3[[#This Row],[G_1]]-Table3[[#This Row],[G]]</f>
        <v>-1</v>
      </c>
      <c r="I604">
        <f>HomeEdge+VLOOKUP(Table3[[#This Row],[Home]],$A$6:$B$38,2,FALSE)-VLOOKUP(Table3[[#This Row],[Visitor]],$A$6:$B$38,2,FALSE)</f>
        <v>-1.0320244819019941</v>
      </c>
      <c r="J604">
        <f>(Table3[[#This Row],[HomeMargin]]-Table3[[#This Row],[HomeForecast]])^2</f>
        <v>1.0255674410911502E-3</v>
      </c>
    </row>
    <row r="605" spans="4:10" x14ac:dyDescent="0.2">
      <c r="D605" t="s">
        <v>34</v>
      </c>
      <c r="E605">
        <f>'NHL2025-26Results'!C601</f>
        <v>4</v>
      </c>
      <c r="F605" t="s">
        <v>40</v>
      </c>
      <c r="G605">
        <f>'NHL2025-26Results'!E601</f>
        <v>3</v>
      </c>
      <c r="H605">
        <f>Table3[[#This Row],[G_1]]-Table3[[#This Row],[G]]</f>
        <v>-1</v>
      </c>
      <c r="I605">
        <f>HomeEdge+VLOOKUP(Table3[[#This Row],[Home]],$A$6:$B$38,2,FALSE)-VLOOKUP(Table3[[#This Row],[Visitor]],$A$6:$B$38,2,FALSE)</f>
        <v>-0.51932977041236439</v>
      </c>
      <c r="J605">
        <f>(Table3[[#This Row],[HomeMargin]]-Table3[[#This Row],[HomeForecast]])^2</f>
        <v>0.23104386961183032</v>
      </c>
    </row>
    <row r="606" spans="4:10" x14ac:dyDescent="0.2">
      <c r="D606" t="s">
        <v>30</v>
      </c>
      <c r="E606">
        <f>'NHL2025-26Results'!C602</f>
        <v>2</v>
      </c>
      <c r="F606" t="s">
        <v>28</v>
      </c>
      <c r="G606">
        <f>'NHL2025-26Results'!E602</f>
        <v>4</v>
      </c>
      <c r="H606">
        <f>Table3[[#This Row],[G_1]]-Table3[[#This Row],[G]]</f>
        <v>2</v>
      </c>
      <c r="I606">
        <f>HomeEdge+VLOOKUP(Table3[[#This Row],[Home]],$A$6:$B$38,2,FALSE)-VLOOKUP(Table3[[#This Row],[Visitor]],$A$6:$B$38,2,FALSE)</f>
        <v>3.4346812659713594E-2</v>
      </c>
      <c r="J606">
        <f>(Table3[[#This Row],[HomeMargin]]-Table3[[#This Row],[HomeForecast]])^2</f>
        <v>3.8637924529010275</v>
      </c>
    </row>
    <row r="607" spans="4:10" x14ac:dyDescent="0.2">
      <c r="D607" t="s">
        <v>14</v>
      </c>
      <c r="E607">
        <f>'NHL2025-26Results'!C603</f>
        <v>7</v>
      </c>
      <c r="F607" t="s">
        <v>10</v>
      </c>
      <c r="G607">
        <f>'NHL2025-26Results'!E603</f>
        <v>3</v>
      </c>
      <c r="H607">
        <f>Table3[[#This Row],[G_1]]-Table3[[#This Row],[G]]</f>
        <v>-4</v>
      </c>
      <c r="I607">
        <f>HomeEdge+VLOOKUP(Table3[[#This Row],[Home]],$A$6:$B$38,2,FALSE)-VLOOKUP(Table3[[#This Row],[Visitor]],$A$6:$B$38,2,FALSE)</f>
        <v>-0.79701014506069034</v>
      </c>
      <c r="J607">
        <f>(Table3[[#This Row],[HomeMargin]]-Table3[[#This Row],[HomeForecast]])^2</f>
        <v>10.259144010844141</v>
      </c>
    </row>
    <row r="608" spans="4:10" x14ac:dyDescent="0.2">
      <c r="D608" t="s">
        <v>19</v>
      </c>
      <c r="E608">
        <f>'NHL2025-26Results'!C604</f>
        <v>2</v>
      </c>
      <c r="F608" t="s">
        <v>26</v>
      </c>
      <c r="G608">
        <f>'NHL2025-26Results'!E604</f>
        <v>3</v>
      </c>
      <c r="H608">
        <f>Table3[[#This Row],[G_1]]-Table3[[#This Row],[G]]</f>
        <v>1</v>
      </c>
      <c r="I608">
        <f>HomeEdge+VLOOKUP(Table3[[#This Row],[Home]],$A$6:$B$38,2,FALSE)-VLOOKUP(Table3[[#This Row],[Visitor]],$A$6:$B$38,2,FALSE)</f>
        <v>0.24074976891726166</v>
      </c>
      <c r="J608">
        <f>(Table3[[#This Row],[HomeMargin]]-Table3[[#This Row],[HomeForecast]])^2</f>
        <v>0.57646091339919159</v>
      </c>
    </row>
    <row r="609" spans="4:10" x14ac:dyDescent="0.2">
      <c r="D609" t="s">
        <v>27</v>
      </c>
      <c r="E609">
        <f>'NHL2025-26Results'!C605</f>
        <v>1</v>
      </c>
      <c r="F609" t="s">
        <v>32</v>
      </c>
      <c r="G609">
        <f>'NHL2025-26Results'!E605</f>
        <v>4</v>
      </c>
      <c r="H609">
        <f>Table3[[#This Row],[G_1]]-Table3[[#This Row],[G]]</f>
        <v>3</v>
      </c>
      <c r="I609">
        <f>HomeEdge+VLOOKUP(Table3[[#This Row],[Home]],$A$6:$B$38,2,FALSE)-VLOOKUP(Table3[[#This Row],[Visitor]],$A$6:$B$38,2,FALSE)</f>
        <v>0.19821917072522899</v>
      </c>
      <c r="J609">
        <f>(Table3[[#This Row],[HomeMargin]]-Table3[[#This Row],[HomeForecast]])^2</f>
        <v>7.8499758152916232</v>
      </c>
    </row>
    <row r="610" spans="4:10" x14ac:dyDescent="0.2">
      <c r="D610" t="s">
        <v>18</v>
      </c>
      <c r="E610">
        <f>'NHL2025-26Results'!C606</f>
        <v>4</v>
      </c>
      <c r="F610" t="s">
        <v>37</v>
      </c>
      <c r="G610">
        <f>'NHL2025-26Results'!E606</f>
        <v>5</v>
      </c>
      <c r="H610">
        <f>Table3[[#This Row],[G_1]]-Table3[[#This Row],[G]]</f>
        <v>1</v>
      </c>
      <c r="I610">
        <f>HomeEdge+VLOOKUP(Table3[[#This Row],[Home]],$A$6:$B$38,2,FALSE)-VLOOKUP(Table3[[#This Row],[Visitor]],$A$6:$B$38,2,FALSE)</f>
        <v>0.9369635099033381</v>
      </c>
      <c r="J610">
        <f>(Table3[[#This Row],[HomeMargin]]-Table3[[#This Row],[HomeForecast]])^2</f>
        <v>3.9735990837065542E-3</v>
      </c>
    </row>
    <row r="611" spans="4:10" x14ac:dyDescent="0.2">
      <c r="D611" t="s">
        <v>33</v>
      </c>
      <c r="E611">
        <f>'NHL2025-26Results'!C607</f>
        <v>5</v>
      </c>
      <c r="F611" t="s">
        <v>31</v>
      </c>
      <c r="G611">
        <f>'NHL2025-26Results'!E607</f>
        <v>4</v>
      </c>
      <c r="H611">
        <f>Table3[[#This Row],[G_1]]-Table3[[#This Row],[G]]</f>
        <v>-1</v>
      </c>
      <c r="I611">
        <f>HomeEdge+VLOOKUP(Table3[[#This Row],[Home]],$A$6:$B$38,2,FALSE)-VLOOKUP(Table3[[#This Row],[Visitor]],$A$6:$B$38,2,FALSE)</f>
        <v>0.3183669796317059</v>
      </c>
      <c r="J611">
        <f>(Table3[[#This Row],[HomeMargin]]-Table3[[#This Row],[HomeForecast]])^2</f>
        <v>1.738091492983227</v>
      </c>
    </row>
    <row r="612" spans="4:10" x14ac:dyDescent="0.2">
      <c r="D612" t="s">
        <v>15</v>
      </c>
      <c r="E612">
        <f>'NHL2025-26Results'!C608</f>
        <v>2</v>
      </c>
      <c r="F612" t="s">
        <v>25</v>
      </c>
      <c r="G612">
        <f>'NHL2025-26Results'!E608</f>
        <v>3</v>
      </c>
      <c r="H612">
        <f>Table3[[#This Row],[G_1]]-Table3[[#This Row],[G]]</f>
        <v>1</v>
      </c>
      <c r="I612">
        <f>HomeEdge+VLOOKUP(Table3[[#This Row],[Home]],$A$6:$B$38,2,FALSE)-VLOOKUP(Table3[[#This Row],[Visitor]],$A$6:$B$38,2,FALSE)</f>
        <v>1.0986203420585738</v>
      </c>
      <c r="J612">
        <f>(Table3[[#This Row],[HomeMargin]]-Table3[[#This Row],[HomeForecast]])^2</f>
        <v>9.7259718677501078E-3</v>
      </c>
    </row>
    <row r="613" spans="4:10" x14ac:dyDescent="0.2">
      <c r="D613" t="s">
        <v>21</v>
      </c>
      <c r="E613">
        <f>'NHL2025-26Results'!C609</f>
        <v>1</v>
      </c>
      <c r="F613" t="s">
        <v>16</v>
      </c>
      <c r="G613">
        <f>'NHL2025-26Results'!E609</f>
        <v>2</v>
      </c>
      <c r="H613">
        <f>Table3[[#This Row],[G_1]]-Table3[[#This Row],[G]]</f>
        <v>1</v>
      </c>
      <c r="I613">
        <f>HomeEdge+VLOOKUP(Table3[[#This Row],[Home]],$A$6:$B$38,2,FALSE)-VLOOKUP(Table3[[#This Row],[Visitor]],$A$6:$B$38,2,FALSE)</f>
        <v>-0.65817461980672853</v>
      </c>
      <c r="J613">
        <f>(Table3[[#This Row],[HomeMargin]]-Table3[[#This Row],[HomeForecast]])^2</f>
        <v>2.7495430697711885</v>
      </c>
    </row>
    <row r="614" spans="4:10" x14ac:dyDescent="0.2">
      <c r="D614" t="s">
        <v>13</v>
      </c>
      <c r="E614">
        <f>'NHL2025-26Results'!C610</f>
        <v>2</v>
      </c>
      <c r="F614" t="s">
        <v>12</v>
      </c>
      <c r="G614">
        <f>'NHL2025-26Results'!E610</f>
        <v>5</v>
      </c>
      <c r="H614">
        <f>Table3[[#This Row],[G_1]]-Table3[[#This Row],[G]]</f>
        <v>3</v>
      </c>
      <c r="I614">
        <f>HomeEdge+VLOOKUP(Table3[[#This Row],[Home]],$A$6:$B$38,2,FALSE)-VLOOKUP(Table3[[#This Row],[Visitor]],$A$6:$B$38,2,FALSE)</f>
        <v>1.7189707181958283</v>
      </c>
      <c r="J614">
        <f>(Table3[[#This Row],[HomeMargin]]-Table3[[#This Row],[HomeForecast]])^2</f>
        <v>1.6410360208397121</v>
      </c>
    </row>
    <row r="615" spans="4:10" x14ac:dyDescent="0.2">
      <c r="D615" t="s">
        <v>22</v>
      </c>
      <c r="E615">
        <f>'NHL2025-26Results'!C611</f>
        <v>3</v>
      </c>
      <c r="F615" t="s">
        <v>11</v>
      </c>
      <c r="G615">
        <f>'NHL2025-26Results'!E611</f>
        <v>5</v>
      </c>
      <c r="H615">
        <f>Table3[[#This Row],[G_1]]-Table3[[#This Row],[G]]</f>
        <v>2</v>
      </c>
      <c r="I615">
        <f>HomeEdge+VLOOKUP(Table3[[#This Row],[Home]],$A$6:$B$38,2,FALSE)-VLOOKUP(Table3[[#This Row],[Visitor]],$A$6:$B$38,2,FALSE)</f>
        <v>-0.30756921361677736</v>
      </c>
      <c r="J615">
        <f>(Table3[[#This Row],[HomeMargin]]-Table3[[#This Row],[HomeForecast]])^2</f>
        <v>5.3248756756319535</v>
      </c>
    </row>
    <row r="616" spans="4:10" x14ac:dyDescent="0.2">
      <c r="D616" t="s">
        <v>28</v>
      </c>
      <c r="E616">
        <f>'NHL2025-26Results'!C612</f>
        <v>4</v>
      </c>
      <c r="F616" t="s">
        <v>36</v>
      </c>
      <c r="G616">
        <f>'NHL2025-26Results'!E612</f>
        <v>1</v>
      </c>
      <c r="H616">
        <f>Table3[[#This Row],[G_1]]-Table3[[#This Row],[G]]</f>
        <v>-3</v>
      </c>
      <c r="I616">
        <f>HomeEdge+VLOOKUP(Table3[[#This Row],[Home]],$A$6:$B$38,2,FALSE)-VLOOKUP(Table3[[#This Row],[Visitor]],$A$6:$B$38,2,FALSE)</f>
        <v>0.22106430190339824</v>
      </c>
      <c r="J616">
        <f>(Table3[[#This Row],[HomeMargin]]-Table3[[#This Row],[HomeForecast]])^2</f>
        <v>10.375255236996427</v>
      </c>
    </row>
    <row r="617" spans="4:10" x14ac:dyDescent="0.2">
      <c r="D617" t="s">
        <v>38</v>
      </c>
      <c r="E617">
        <f>'NHL2025-26Results'!C613</f>
        <v>3</v>
      </c>
      <c r="F617" t="s">
        <v>32</v>
      </c>
      <c r="G617">
        <f>'NHL2025-26Results'!E613</f>
        <v>2</v>
      </c>
      <c r="H617">
        <f>Table3[[#This Row],[G_1]]-Table3[[#This Row],[G]]</f>
        <v>-1</v>
      </c>
      <c r="I617">
        <f>HomeEdge+VLOOKUP(Table3[[#This Row],[Home]],$A$6:$B$38,2,FALSE)-VLOOKUP(Table3[[#This Row],[Visitor]],$A$6:$B$38,2,FALSE)</f>
        <v>1.0392431343192667</v>
      </c>
      <c r="J617">
        <f>(Table3[[#This Row],[HomeMargin]]-Table3[[#This Row],[HomeForecast]])^2</f>
        <v>4.1585125608682674</v>
      </c>
    </row>
    <row r="618" spans="4:10" x14ac:dyDescent="0.2">
      <c r="D618" t="s">
        <v>23</v>
      </c>
      <c r="E618">
        <f>'NHL2025-26Results'!C614</f>
        <v>4</v>
      </c>
      <c r="F618" t="s">
        <v>35</v>
      </c>
      <c r="G618">
        <f>'NHL2025-26Results'!E614</f>
        <v>2</v>
      </c>
      <c r="H618">
        <f>Table3[[#This Row],[G_1]]-Table3[[#This Row],[G]]</f>
        <v>-2</v>
      </c>
      <c r="I618">
        <f>HomeEdge+VLOOKUP(Table3[[#This Row],[Home]],$A$6:$B$38,2,FALSE)-VLOOKUP(Table3[[#This Row],[Visitor]],$A$6:$B$38,2,FALSE)</f>
        <v>-1.1914046840993093</v>
      </c>
      <c r="J618">
        <f>(Table3[[#This Row],[HomeMargin]]-Table3[[#This Row],[HomeForecast]])^2</f>
        <v>0.65382638489653777</v>
      </c>
    </row>
    <row r="619" spans="4:10" x14ac:dyDescent="0.2">
      <c r="D619" t="s">
        <v>29</v>
      </c>
      <c r="E619">
        <f>'NHL2025-26Results'!C615</f>
        <v>4</v>
      </c>
      <c r="F619" t="s">
        <v>55</v>
      </c>
      <c r="G619">
        <f>'NHL2025-26Results'!E615</f>
        <v>3</v>
      </c>
      <c r="H619">
        <f>Table3[[#This Row],[G_1]]-Table3[[#This Row],[G]]</f>
        <v>-1</v>
      </c>
      <c r="I619">
        <f>HomeEdge+VLOOKUP(Table3[[#This Row],[Home]],$A$6:$B$38,2,FALSE)-VLOOKUP(Table3[[#This Row],[Visitor]],$A$6:$B$38,2,FALSE)</f>
        <v>1.0342665228481231</v>
      </c>
      <c r="J619">
        <f>(Table3[[#This Row],[HomeMargin]]-Table3[[#This Row],[HomeForecast]])^2</f>
        <v>4.1382402859805936</v>
      </c>
    </row>
    <row r="620" spans="4:10" x14ac:dyDescent="0.2">
      <c r="D620" t="s">
        <v>34</v>
      </c>
      <c r="E620">
        <f>'NHL2025-26Results'!C616</f>
        <v>5</v>
      </c>
      <c r="F620" t="s">
        <v>20</v>
      </c>
      <c r="G620">
        <f>'NHL2025-26Results'!E616</f>
        <v>2</v>
      </c>
      <c r="H620">
        <f>Table3[[#This Row],[G_1]]-Table3[[#This Row],[G]]</f>
        <v>-3</v>
      </c>
      <c r="I620">
        <f>HomeEdge+VLOOKUP(Table3[[#This Row],[Home]],$A$6:$B$38,2,FALSE)-VLOOKUP(Table3[[#This Row],[Visitor]],$A$6:$B$38,2,FALSE)</f>
        <v>-9.384293214601723E-2</v>
      </c>
      <c r="J620">
        <f>(Table3[[#This Row],[HomeMargin]]-Table3[[#This Row],[HomeForecast]])^2</f>
        <v>8.4457489030376589</v>
      </c>
    </row>
    <row r="621" spans="4:10" x14ac:dyDescent="0.2">
      <c r="D621" t="s">
        <v>17</v>
      </c>
      <c r="E621">
        <f>'NHL2025-26Results'!C617</f>
        <v>3</v>
      </c>
      <c r="F621" t="s">
        <v>40</v>
      </c>
      <c r="G621">
        <f>'NHL2025-26Results'!E617</f>
        <v>1</v>
      </c>
      <c r="H621">
        <f>Table3[[#This Row],[G_1]]-Table3[[#This Row],[G]]</f>
        <v>-2</v>
      </c>
      <c r="I621">
        <f>HomeEdge+VLOOKUP(Table3[[#This Row],[Home]],$A$6:$B$38,2,FALSE)-VLOOKUP(Table3[[#This Row],[Visitor]],$A$6:$B$38,2,FALSE)</f>
        <v>-9.4218537153779425E-2</v>
      </c>
      <c r="J621">
        <f>(Table3[[#This Row],[HomeMargin]]-Table3[[#This Row],[HomeForecast]])^2</f>
        <v>3.6320029841282806</v>
      </c>
    </row>
    <row r="622" spans="4:10" x14ac:dyDescent="0.2">
      <c r="D622" t="s">
        <v>30</v>
      </c>
      <c r="E622">
        <f>'NHL2025-26Results'!C618</f>
        <v>3</v>
      </c>
      <c r="F622" t="s">
        <v>10</v>
      </c>
      <c r="G622">
        <f>'NHL2025-26Results'!E618</f>
        <v>2</v>
      </c>
      <c r="H622">
        <f>Table3[[#This Row],[G_1]]-Table3[[#This Row],[G]]</f>
        <v>-1</v>
      </c>
      <c r="I622">
        <f>HomeEdge+VLOOKUP(Table3[[#This Row],[Home]],$A$6:$B$38,2,FALSE)-VLOOKUP(Table3[[#This Row],[Visitor]],$A$6:$B$38,2,FALSE)</f>
        <v>-0.61066916996493226</v>
      </c>
      <c r="J622">
        <f>(Table3[[#This Row],[HomeMargin]]-Table3[[#This Row],[HomeForecast]])^2</f>
        <v>0.15157849521579481</v>
      </c>
    </row>
    <row r="623" spans="4:10" x14ac:dyDescent="0.2">
      <c r="D623" t="s">
        <v>18</v>
      </c>
      <c r="E623">
        <f>'NHL2025-26Results'!C619</f>
        <v>3</v>
      </c>
      <c r="F623" t="s">
        <v>11</v>
      </c>
      <c r="G623">
        <f>'NHL2025-26Results'!E619</f>
        <v>2</v>
      </c>
      <c r="H623">
        <f>Table3[[#This Row],[G_1]]-Table3[[#This Row],[G]]</f>
        <v>-1</v>
      </c>
      <c r="I623">
        <f>HomeEdge+VLOOKUP(Table3[[#This Row],[Home]],$A$6:$B$38,2,FALSE)-VLOOKUP(Table3[[#This Row],[Visitor]],$A$6:$B$38,2,FALSE)</f>
        <v>-0.34107046868720592</v>
      </c>
      <c r="J623">
        <f>(Table3[[#This Row],[HomeMargin]]-Table3[[#This Row],[HomeForecast]])^2</f>
        <v>0.43418812723609845</v>
      </c>
    </row>
    <row r="624" spans="4:10" x14ac:dyDescent="0.2">
      <c r="D624" t="s">
        <v>25</v>
      </c>
      <c r="E624">
        <f>'NHL2025-26Results'!C620</f>
        <v>1</v>
      </c>
      <c r="F624" t="s">
        <v>14</v>
      </c>
      <c r="G624">
        <f>'NHL2025-26Results'!E620</f>
        <v>5</v>
      </c>
      <c r="H624">
        <f>Table3[[#This Row],[G_1]]-Table3[[#This Row],[G]]</f>
        <v>4</v>
      </c>
      <c r="I624">
        <f>HomeEdge+VLOOKUP(Table3[[#This Row],[Home]],$A$6:$B$38,2,FALSE)-VLOOKUP(Table3[[#This Row],[Visitor]],$A$6:$B$38,2,FALSE)</f>
        <v>-0.10285086615803141</v>
      </c>
      <c r="J624">
        <f>(Table3[[#This Row],[HomeMargin]]-Table3[[#This Row],[HomeForecast]])^2</f>
        <v>16.833385229933711</v>
      </c>
    </row>
    <row r="625" spans="4:10" x14ac:dyDescent="0.2">
      <c r="D625" t="s">
        <v>24</v>
      </c>
      <c r="E625">
        <f>'NHL2025-26Results'!C621</f>
        <v>0</v>
      </c>
      <c r="F625" t="s">
        <v>19</v>
      </c>
      <c r="G625">
        <f>'NHL2025-26Results'!E621</f>
        <v>4</v>
      </c>
      <c r="H625">
        <f>Table3[[#This Row],[G_1]]-Table3[[#This Row],[G]]</f>
        <v>4</v>
      </c>
      <c r="I625">
        <f>HomeEdge+VLOOKUP(Table3[[#This Row],[Home]],$A$6:$B$38,2,FALSE)-VLOOKUP(Table3[[#This Row],[Visitor]],$A$6:$B$38,2,FALSE)</f>
        <v>0.43243445285260673</v>
      </c>
      <c r="J625">
        <f>(Table3[[#This Row],[HomeMargin]]-Table3[[#This Row],[HomeForecast]])^2</f>
        <v>12.72752393319308</v>
      </c>
    </row>
    <row r="626" spans="4:10" x14ac:dyDescent="0.2">
      <c r="D626" t="s">
        <v>27</v>
      </c>
      <c r="E626">
        <f>'NHL2025-26Results'!C622</f>
        <v>6</v>
      </c>
      <c r="F626" t="s">
        <v>38</v>
      </c>
      <c r="G626">
        <f>'NHL2025-26Results'!E622</f>
        <v>3</v>
      </c>
      <c r="H626">
        <f>Table3[[#This Row],[G_1]]-Table3[[#This Row],[G]]</f>
        <v>-3</v>
      </c>
      <c r="I626">
        <f>HomeEdge+VLOOKUP(Table3[[#This Row],[Home]],$A$6:$B$38,2,FALSE)-VLOOKUP(Table3[[#This Row],[Visitor]],$A$6:$B$38,2,FALSE)</f>
        <v>-0.71141697778251356</v>
      </c>
      <c r="J626">
        <f>(Table3[[#This Row],[HomeMargin]]-Table3[[#This Row],[HomeForecast]])^2</f>
        <v>5.2376122495821242</v>
      </c>
    </row>
    <row r="627" spans="4:10" x14ac:dyDescent="0.2">
      <c r="D627" t="s">
        <v>37</v>
      </c>
      <c r="E627">
        <f>'NHL2025-26Results'!C623</f>
        <v>4</v>
      </c>
      <c r="F627" t="s">
        <v>31</v>
      </c>
      <c r="G627">
        <f>'NHL2025-26Results'!E623</f>
        <v>3</v>
      </c>
      <c r="H627">
        <f>Table3[[#This Row],[G_1]]-Table3[[#This Row],[G]]</f>
        <v>-1</v>
      </c>
      <c r="I627">
        <f>HomeEdge+VLOOKUP(Table3[[#This Row],[Home]],$A$6:$B$38,2,FALSE)-VLOOKUP(Table3[[#This Row],[Visitor]],$A$6:$B$38,2,FALSE)</f>
        <v>-1.0550806926277851</v>
      </c>
      <c r="J627">
        <f>(Table3[[#This Row],[HomeMargin]]-Table3[[#This Row],[HomeForecast]])^2</f>
        <v>3.0338827003565448E-3</v>
      </c>
    </row>
    <row r="628" spans="4:10" x14ac:dyDescent="0.2">
      <c r="D628" t="s">
        <v>24</v>
      </c>
      <c r="E628">
        <f>'NHL2025-26Results'!C624</f>
        <v>3</v>
      </c>
      <c r="F628" t="s">
        <v>28</v>
      </c>
      <c r="G628">
        <f>'NHL2025-26Results'!E624</f>
        <v>2</v>
      </c>
      <c r="H628">
        <f>Table3[[#This Row],[G_1]]-Table3[[#This Row],[G]]</f>
        <v>-1</v>
      </c>
      <c r="I628">
        <f>HomeEdge+VLOOKUP(Table3[[#This Row],[Home]],$A$6:$B$38,2,FALSE)-VLOOKUP(Table3[[#This Row],[Visitor]],$A$6:$B$38,2,FALSE)</f>
        <v>0.59315022240534043</v>
      </c>
      <c r="J628">
        <f>(Table3[[#This Row],[HomeMargin]]-Table3[[#This Row],[HomeForecast]])^2</f>
        <v>2.5381276311501857</v>
      </c>
    </row>
    <row r="629" spans="4:10" x14ac:dyDescent="0.2">
      <c r="D629" t="s">
        <v>27</v>
      </c>
      <c r="E629">
        <f>'NHL2025-26Results'!C625</f>
        <v>1</v>
      </c>
      <c r="F629" t="s">
        <v>16</v>
      </c>
      <c r="G629">
        <f>'NHL2025-26Results'!E625</f>
        <v>5</v>
      </c>
      <c r="H629">
        <f>Table3[[#This Row],[G_1]]-Table3[[#This Row],[G]]</f>
        <v>4</v>
      </c>
      <c r="I629">
        <f>HomeEdge+VLOOKUP(Table3[[#This Row],[Home]],$A$6:$B$38,2,FALSE)-VLOOKUP(Table3[[#This Row],[Visitor]],$A$6:$B$38,2,FALSE)</f>
        <v>-0.20972589354556448</v>
      </c>
      <c r="J629">
        <f>(Table3[[#This Row],[HomeMargin]]-Table3[[#This Row],[HomeForecast]])^2</f>
        <v>17.721792098788001</v>
      </c>
    </row>
    <row r="630" spans="4:10" x14ac:dyDescent="0.2">
      <c r="D630" t="s">
        <v>35</v>
      </c>
      <c r="E630">
        <f>'NHL2025-26Results'!C626</f>
        <v>1</v>
      </c>
      <c r="F630" t="s">
        <v>12</v>
      </c>
      <c r="G630">
        <f>'NHL2025-26Results'!E626</f>
        <v>6</v>
      </c>
      <c r="H630">
        <f>Table3[[#This Row],[G_1]]-Table3[[#This Row],[G]]</f>
        <v>5</v>
      </c>
      <c r="I630">
        <f>HomeEdge+VLOOKUP(Table3[[#This Row],[Home]],$A$6:$B$38,2,FALSE)-VLOOKUP(Table3[[#This Row],[Visitor]],$A$6:$B$38,2,FALSE)</f>
        <v>2.441131092615958</v>
      </c>
      <c r="J630">
        <f>(Table3[[#This Row],[HomeMargin]]-Table3[[#This Row],[HomeForecast]])^2</f>
        <v>6.5478100851768009</v>
      </c>
    </row>
    <row r="631" spans="4:10" x14ac:dyDescent="0.2">
      <c r="D631" t="s">
        <v>23</v>
      </c>
      <c r="E631">
        <f>'NHL2025-26Results'!C627</f>
        <v>4</v>
      </c>
      <c r="F631" t="s">
        <v>39</v>
      </c>
      <c r="G631">
        <f>'NHL2025-26Results'!E627</f>
        <v>1</v>
      </c>
      <c r="H631">
        <f>Table3[[#This Row],[G_1]]-Table3[[#This Row],[G]]</f>
        <v>-3</v>
      </c>
      <c r="I631">
        <f>HomeEdge+VLOOKUP(Table3[[#This Row],[Home]],$A$6:$B$38,2,FALSE)-VLOOKUP(Table3[[#This Row],[Visitor]],$A$6:$B$38,2,FALSE)</f>
        <v>0.33853289708673684</v>
      </c>
      <c r="J631">
        <f>(Table3[[#This Row],[HomeMargin]]-Table3[[#This Row],[HomeForecast]])^2</f>
        <v>11.145801904930359</v>
      </c>
    </row>
    <row r="632" spans="4:10" x14ac:dyDescent="0.2">
      <c r="D632" t="s">
        <v>40</v>
      </c>
      <c r="E632">
        <f>'NHL2025-26Results'!C628</f>
        <v>1</v>
      </c>
      <c r="F632" t="s">
        <v>26</v>
      </c>
      <c r="G632">
        <f>'NHL2025-26Results'!E628</f>
        <v>2</v>
      </c>
      <c r="H632">
        <f>Table3[[#This Row],[G_1]]-Table3[[#This Row],[G]]</f>
        <v>1</v>
      </c>
      <c r="I632">
        <f>HomeEdge+VLOOKUP(Table3[[#This Row],[Home]],$A$6:$B$38,2,FALSE)-VLOOKUP(Table3[[#This Row],[Visitor]],$A$6:$B$38,2,FALSE)</f>
        <v>0.38692067311064282</v>
      </c>
      <c r="J632">
        <f>(Table3[[#This Row],[HomeMargin]]-Table3[[#This Row],[HomeForecast]])^2</f>
        <v>0.37586626105910725</v>
      </c>
    </row>
    <row r="633" spans="4:10" x14ac:dyDescent="0.2">
      <c r="D633" t="s">
        <v>21</v>
      </c>
      <c r="E633">
        <f>'NHL2025-26Results'!C629</f>
        <v>6</v>
      </c>
      <c r="F633" t="s">
        <v>17</v>
      </c>
      <c r="G633">
        <f>'NHL2025-26Results'!E629</f>
        <v>2</v>
      </c>
      <c r="H633">
        <f>Table3[[#This Row],[G_1]]-Table3[[#This Row],[G]]</f>
        <v>-4</v>
      </c>
      <c r="I633">
        <f>HomeEdge+VLOOKUP(Table3[[#This Row],[Home]],$A$6:$B$38,2,FALSE)-VLOOKUP(Table3[[#This Row],[Visitor]],$A$6:$B$38,2,FALSE)</f>
        <v>-0.1324883506728021</v>
      </c>
      <c r="J633">
        <f>(Table3[[#This Row],[HomeMargin]]-Table3[[#This Row],[HomeForecast]])^2</f>
        <v>14.957646357681581</v>
      </c>
    </row>
    <row r="634" spans="4:10" x14ac:dyDescent="0.2">
      <c r="D634" t="s">
        <v>34</v>
      </c>
      <c r="E634">
        <f>'NHL2025-26Results'!C630</f>
        <v>3</v>
      </c>
      <c r="F634" t="s">
        <v>33</v>
      </c>
      <c r="G634">
        <f>'NHL2025-26Results'!E630</f>
        <v>4</v>
      </c>
      <c r="H634">
        <f>Table3[[#This Row],[G_1]]-Table3[[#This Row],[G]]</f>
        <v>1</v>
      </c>
      <c r="I634">
        <f>HomeEdge+VLOOKUP(Table3[[#This Row],[Home]],$A$6:$B$38,2,FALSE)-VLOOKUP(Table3[[#This Row],[Visitor]],$A$6:$B$38,2,FALSE)</f>
        <v>-0.58324412286590455</v>
      </c>
      <c r="J634">
        <f>(Table3[[#This Row],[HomeMargin]]-Table3[[#This Row],[HomeForecast]])^2</f>
        <v>2.5066619525894276</v>
      </c>
    </row>
    <row r="635" spans="4:10" x14ac:dyDescent="0.2">
      <c r="D635" t="s">
        <v>29</v>
      </c>
      <c r="E635">
        <f>'NHL2025-26Results'!C631</f>
        <v>4</v>
      </c>
      <c r="F635" t="s">
        <v>20</v>
      </c>
      <c r="G635">
        <f>'NHL2025-26Results'!E631</f>
        <v>2</v>
      </c>
      <c r="H635">
        <f>Table3[[#This Row],[G_1]]-Table3[[#This Row],[G]]</f>
        <v>-2</v>
      </c>
      <c r="I635">
        <f>HomeEdge+VLOOKUP(Table3[[#This Row],[Home]],$A$6:$B$38,2,FALSE)-VLOOKUP(Table3[[#This Row],[Visitor]],$A$6:$B$38,2,FALSE)</f>
        <v>0.78720716280563607</v>
      </c>
      <c r="J635">
        <f>(Table3[[#This Row],[HomeMargin]]-Table3[[#This Row],[HomeForecast]])^2</f>
        <v>7.7685237683950437</v>
      </c>
    </row>
    <row r="636" spans="4:10" x14ac:dyDescent="0.2">
      <c r="D636" t="s">
        <v>15</v>
      </c>
      <c r="E636">
        <f>'NHL2025-26Results'!C632</f>
        <v>3</v>
      </c>
      <c r="F636" t="s">
        <v>22</v>
      </c>
      <c r="G636">
        <f>'NHL2025-26Results'!E632</f>
        <v>6</v>
      </c>
      <c r="H636">
        <f>Table3[[#This Row],[G_1]]-Table3[[#This Row],[G]]</f>
        <v>3</v>
      </c>
      <c r="I636">
        <f>HomeEdge+VLOOKUP(Table3[[#This Row],[Home]],$A$6:$B$38,2,FALSE)-VLOOKUP(Table3[[#This Row],[Visitor]],$A$6:$B$38,2,FALSE)</f>
        <v>0.74635020873904323</v>
      </c>
      <c r="J636">
        <f>(Table3[[#This Row],[HomeMargin]]-Table3[[#This Row],[HomeForecast]])^2</f>
        <v>5.0789373816505528</v>
      </c>
    </row>
    <row r="637" spans="4:10" x14ac:dyDescent="0.2">
      <c r="D637" t="s">
        <v>18</v>
      </c>
      <c r="E637">
        <f>'NHL2025-26Results'!C633</f>
        <v>7</v>
      </c>
      <c r="F637" t="s">
        <v>25</v>
      </c>
      <c r="G637">
        <f>'NHL2025-26Results'!E633</f>
        <v>5</v>
      </c>
      <c r="H637">
        <f>Table3[[#This Row],[G_1]]-Table3[[#This Row],[G]]</f>
        <v>-2</v>
      </c>
      <c r="I637">
        <f>HomeEdge+VLOOKUP(Table3[[#This Row],[Home]],$A$6:$B$38,2,FALSE)-VLOOKUP(Table3[[#This Row],[Visitor]],$A$6:$B$38,2,FALSE)</f>
        <v>0.44837586406062624</v>
      </c>
      <c r="J637">
        <f>(Table3[[#This Row],[HomeMargin]]-Table3[[#This Row],[HomeForecast]])^2</f>
        <v>5.9945443717146176</v>
      </c>
    </row>
    <row r="638" spans="4:10" x14ac:dyDescent="0.2">
      <c r="D638" t="s">
        <v>39</v>
      </c>
      <c r="E638">
        <f>'NHL2025-26Results'!C634</f>
        <v>3</v>
      </c>
      <c r="F638" t="s">
        <v>10</v>
      </c>
      <c r="G638">
        <f>'NHL2025-26Results'!E634</f>
        <v>4</v>
      </c>
      <c r="H638">
        <f>Table3[[#This Row],[G_1]]-Table3[[#This Row],[G]]</f>
        <v>1</v>
      </c>
      <c r="I638">
        <f>HomeEdge+VLOOKUP(Table3[[#This Row],[Home]],$A$6:$B$38,2,FALSE)-VLOOKUP(Table3[[#This Row],[Visitor]],$A$6:$B$38,2,FALSE)</f>
        <v>-1.0140541034284847</v>
      </c>
      <c r="J638">
        <f>(Table3[[#This Row],[HomeMargin]]-Table3[[#This Row],[HomeForecast]])^2</f>
        <v>4.0564139315371168</v>
      </c>
    </row>
    <row r="639" spans="4:10" x14ac:dyDescent="0.2">
      <c r="D639" t="s">
        <v>37</v>
      </c>
      <c r="E639">
        <f>'NHL2025-26Results'!C635</f>
        <v>5</v>
      </c>
      <c r="F639" t="s">
        <v>13</v>
      </c>
      <c r="G639">
        <f>'NHL2025-26Results'!E635</f>
        <v>3</v>
      </c>
      <c r="H639">
        <f>Table3[[#This Row],[G_1]]-Table3[[#This Row],[G]]</f>
        <v>-2</v>
      </c>
      <c r="I639">
        <f>HomeEdge+VLOOKUP(Table3[[#This Row],[Home]],$A$6:$B$38,2,FALSE)-VLOOKUP(Table3[[#This Row],[Visitor]],$A$6:$B$38,2,FALSE)</f>
        <v>-1.1821717603988657</v>
      </c>
      <c r="J639">
        <f>(Table3[[#This Row],[HomeMargin]]-Table3[[#This Row],[HomeForecast]])^2</f>
        <v>0.66884302948909025</v>
      </c>
    </row>
    <row r="640" spans="4:10" x14ac:dyDescent="0.2">
      <c r="D640" t="s">
        <v>55</v>
      </c>
      <c r="E640">
        <f>'NHL2025-26Results'!C636</f>
        <v>7</v>
      </c>
      <c r="F640" t="s">
        <v>30</v>
      </c>
      <c r="G640">
        <f>'NHL2025-26Results'!E636</f>
        <v>2</v>
      </c>
      <c r="H640">
        <f>Table3[[#This Row],[G_1]]-Table3[[#This Row],[G]]</f>
        <v>-5</v>
      </c>
      <c r="I640">
        <f>HomeEdge+VLOOKUP(Table3[[#This Row],[Home]],$A$6:$B$38,2,FALSE)-VLOOKUP(Table3[[#This Row],[Visitor]],$A$6:$B$38,2,FALSE)</f>
        <v>-0.14079236559938468</v>
      </c>
      <c r="J640">
        <f>(Table3[[#This Row],[HomeMargin]]-Table3[[#This Row],[HomeForecast]])^2</f>
        <v>23.611898834217222</v>
      </c>
    </row>
    <row r="641" spans="4:10" x14ac:dyDescent="0.2">
      <c r="D641" t="s">
        <v>22</v>
      </c>
      <c r="E641">
        <f>'NHL2025-26Results'!C637</f>
        <v>3</v>
      </c>
      <c r="F641" t="s">
        <v>36</v>
      </c>
      <c r="G641">
        <f>'NHL2025-26Results'!E637</f>
        <v>4</v>
      </c>
      <c r="H641">
        <f>Table3[[#This Row],[G_1]]-Table3[[#This Row],[G]]</f>
        <v>1</v>
      </c>
      <c r="I641">
        <f>HomeEdge+VLOOKUP(Table3[[#This Row],[Home]],$A$6:$B$38,2,FALSE)-VLOOKUP(Table3[[#This Row],[Visitor]],$A$6:$B$38,2,FALSE)</f>
        <v>5.9275435005804719E-2</v>
      </c>
      <c r="J641">
        <f>(Table3[[#This Row],[HomeMargin]]-Table3[[#This Row],[HomeForecast]])^2</f>
        <v>0.88496270718351799</v>
      </c>
    </row>
    <row r="642" spans="4:10" x14ac:dyDescent="0.2">
      <c r="D642" t="s">
        <v>26</v>
      </c>
      <c r="E642">
        <f>'NHL2025-26Results'!C638</f>
        <v>3</v>
      </c>
      <c r="F642" t="s">
        <v>14</v>
      </c>
      <c r="G642">
        <f>'NHL2025-26Results'!E638</f>
        <v>4</v>
      </c>
      <c r="H642">
        <f>Table3[[#This Row],[G_1]]-Table3[[#This Row],[G]]</f>
        <v>1</v>
      </c>
      <c r="I642">
        <f>HomeEdge+VLOOKUP(Table3[[#This Row],[Home]],$A$6:$B$38,2,FALSE)-VLOOKUP(Table3[[#This Row],[Visitor]],$A$6:$B$38,2,FALSE)</f>
        <v>0.46078112050608888</v>
      </c>
      <c r="J642">
        <f>(Table3[[#This Row],[HomeMargin]]-Table3[[#This Row],[HomeForecast]])^2</f>
        <v>0.29075700000266902</v>
      </c>
    </row>
    <row r="643" spans="4:10" x14ac:dyDescent="0.2">
      <c r="D643" t="s">
        <v>29</v>
      </c>
      <c r="E643">
        <f>'NHL2025-26Results'!C639</f>
        <v>1</v>
      </c>
      <c r="F643" t="s">
        <v>32</v>
      </c>
      <c r="G643">
        <f>'NHL2025-26Results'!E639</f>
        <v>4</v>
      </c>
      <c r="H643">
        <f>Table3[[#This Row],[G_1]]-Table3[[#This Row],[G]]</f>
        <v>3</v>
      </c>
      <c r="I643">
        <f>HomeEdge+VLOOKUP(Table3[[#This Row],[Home]],$A$6:$B$38,2,FALSE)-VLOOKUP(Table3[[#This Row],[Visitor]],$A$6:$B$38,2,FALSE)</f>
        <v>0.46780464264145949</v>
      </c>
      <c r="J643">
        <f>(Table3[[#This Row],[HomeMargin]]-Table3[[#This Row],[HomeForecast]])^2</f>
        <v>6.4120133278281477</v>
      </c>
    </row>
    <row r="644" spans="4:10" x14ac:dyDescent="0.2">
      <c r="D644" t="s">
        <v>40</v>
      </c>
      <c r="E644">
        <f>'NHL2025-26Results'!C640</f>
        <v>5</v>
      </c>
      <c r="F644" t="s">
        <v>19</v>
      </c>
      <c r="G644">
        <f>'NHL2025-26Results'!E640</f>
        <v>6</v>
      </c>
      <c r="H644">
        <f>Table3[[#This Row],[G_1]]-Table3[[#This Row],[G]]</f>
        <v>1</v>
      </c>
      <c r="I644">
        <f>HomeEdge+VLOOKUP(Table3[[#This Row],[Home]],$A$6:$B$38,2,FALSE)-VLOOKUP(Table3[[#This Row],[Visitor]],$A$6:$B$38,2,FALSE)</f>
        <v>0.27577789000490527</v>
      </c>
      <c r="J644">
        <f>(Table3[[#This Row],[HomeMargin]]-Table3[[#This Row],[HomeForecast]])^2</f>
        <v>0.52449766460574709</v>
      </c>
    </row>
    <row r="645" spans="4:10" x14ac:dyDescent="0.2">
      <c r="D645" t="s">
        <v>34</v>
      </c>
      <c r="E645">
        <f>'NHL2025-26Results'!C641</f>
        <v>5</v>
      </c>
      <c r="F645" t="s">
        <v>31</v>
      </c>
      <c r="G645">
        <f>'NHL2025-26Results'!E641</f>
        <v>2</v>
      </c>
      <c r="H645">
        <f>Table3[[#This Row],[G_1]]-Table3[[#This Row],[G]]</f>
        <v>-3</v>
      </c>
      <c r="I645">
        <f>HomeEdge+VLOOKUP(Table3[[#This Row],[Home]],$A$6:$B$38,2,FALSE)-VLOOKUP(Table3[[#This Row],[Visitor]],$A$6:$B$38,2,FALSE)</f>
        <v>-0.39448412904572278</v>
      </c>
      <c r="J645">
        <f>(Table3[[#This Row],[HomeMargin]]-Table3[[#This Row],[HomeForecast]])^2</f>
        <v>6.7887129537946258</v>
      </c>
    </row>
    <row r="646" spans="4:10" x14ac:dyDescent="0.2">
      <c r="D646" t="s">
        <v>15</v>
      </c>
      <c r="E646">
        <f>'NHL2025-26Results'!C642</f>
        <v>5</v>
      </c>
      <c r="F646" t="s">
        <v>11</v>
      </c>
      <c r="G646">
        <f>'NHL2025-26Results'!E642</f>
        <v>1</v>
      </c>
      <c r="H646">
        <f>Table3[[#This Row],[G_1]]-Table3[[#This Row],[G]]</f>
        <v>-4</v>
      </c>
      <c r="I646">
        <f>HomeEdge+VLOOKUP(Table3[[#This Row],[Home]],$A$6:$B$38,2,FALSE)-VLOOKUP(Table3[[#This Row],[Visitor]],$A$6:$B$38,2,FALSE)</f>
        <v>0.30917400931074179</v>
      </c>
      <c r="J646">
        <f>(Table3[[#This Row],[HomeMargin]]-Table3[[#This Row],[HomeForecast]])^2</f>
        <v>18.568980642519215</v>
      </c>
    </row>
    <row r="647" spans="4:10" x14ac:dyDescent="0.2">
      <c r="D647" t="s">
        <v>20</v>
      </c>
      <c r="E647">
        <f>'NHL2025-26Results'!C643</f>
        <v>3</v>
      </c>
      <c r="F647" t="s">
        <v>35</v>
      </c>
      <c r="G647">
        <f>'NHL2025-26Results'!E643</f>
        <v>4</v>
      </c>
      <c r="H647">
        <f>Table3[[#This Row],[G_1]]-Table3[[#This Row],[G]]</f>
        <v>1</v>
      </c>
      <c r="I647">
        <f>HomeEdge+VLOOKUP(Table3[[#This Row],[Home]],$A$6:$B$38,2,FALSE)-VLOOKUP(Table3[[#This Row],[Visitor]],$A$6:$B$38,2,FALSE)</f>
        <v>-1.0202856532793914</v>
      </c>
      <c r="J647">
        <f>(Table3[[#This Row],[HomeMargin]]-Table3[[#This Row],[HomeForecast]])^2</f>
        <v>4.0815541208465369</v>
      </c>
    </row>
    <row r="648" spans="4:10" x14ac:dyDescent="0.2">
      <c r="D648" t="s">
        <v>32</v>
      </c>
      <c r="E648">
        <f>'NHL2025-26Results'!C644</f>
        <v>4</v>
      </c>
      <c r="F648" t="s">
        <v>38</v>
      </c>
      <c r="G648">
        <f>'NHL2025-26Results'!E644</f>
        <v>3</v>
      </c>
      <c r="H648">
        <f>Table3[[#This Row],[G_1]]-Table3[[#This Row],[G]]</f>
        <v>-1</v>
      </c>
      <c r="I648">
        <f>HomeEdge+VLOOKUP(Table3[[#This Row],[Home]],$A$6:$B$38,2,FALSE)-VLOOKUP(Table3[[#This Row],[Visitor]],$A$6:$B$38,2,FALSE)</f>
        <v>-0.78002916269621836</v>
      </c>
      <c r="J648">
        <f>(Table3[[#This Row],[HomeMargin]]-Table3[[#This Row],[HomeForecast]])^2</f>
        <v>4.838716926412677E-2</v>
      </c>
    </row>
    <row r="649" spans="4:10" x14ac:dyDescent="0.2">
      <c r="D649" t="s">
        <v>12</v>
      </c>
      <c r="E649">
        <f>'NHL2025-26Results'!C645</f>
        <v>5</v>
      </c>
      <c r="F649" t="s">
        <v>25</v>
      </c>
      <c r="G649">
        <f>'NHL2025-26Results'!E645</f>
        <v>3</v>
      </c>
      <c r="H649">
        <f>Table3[[#This Row],[G_1]]-Table3[[#This Row],[G]]</f>
        <v>-2</v>
      </c>
      <c r="I649">
        <f>HomeEdge+VLOOKUP(Table3[[#This Row],[Home]],$A$6:$B$38,2,FALSE)-VLOOKUP(Table3[[#This Row],[Visitor]],$A$6:$B$38,2,FALSE)</f>
        <v>-0.63656564620510236</v>
      </c>
      <c r="J649">
        <f>(Table3[[#This Row],[HomeMargin]]-Table3[[#This Row],[HomeForecast]])^2</f>
        <v>1.8589532371081101</v>
      </c>
    </row>
    <row r="650" spans="4:10" x14ac:dyDescent="0.2">
      <c r="D650" t="s">
        <v>23</v>
      </c>
      <c r="E650">
        <f>'NHL2025-26Results'!C646</f>
        <v>1</v>
      </c>
      <c r="F650" t="s">
        <v>28</v>
      </c>
      <c r="G650">
        <f>'NHL2025-26Results'!E646</f>
        <v>5</v>
      </c>
      <c r="H650">
        <f>Table3[[#This Row],[G_1]]-Table3[[#This Row],[G]]</f>
        <v>4</v>
      </c>
      <c r="I650">
        <f>HomeEdge+VLOOKUP(Table3[[#This Row],[Home]],$A$6:$B$38,2,FALSE)-VLOOKUP(Table3[[#This Row],[Visitor]],$A$6:$B$38,2,FALSE)</f>
        <v>-0.1601122095286262</v>
      </c>
      <c r="J650">
        <f>(Table3[[#This Row],[HomeMargin]]-Table3[[#This Row],[HomeForecast]])^2</f>
        <v>17.306533595869148</v>
      </c>
    </row>
    <row r="651" spans="4:10" x14ac:dyDescent="0.2">
      <c r="D651" t="s">
        <v>29</v>
      </c>
      <c r="E651">
        <f>'NHL2025-26Results'!C647</f>
        <v>4</v>
      </c>
      <c r="F651" t="s">
        <v>16</v>
      </c>
      <c r="G651">
        <f>'NHL2025-26Results'!E647</f>
        <v>3</v>
      </c>
      <c r="H651">
        <f>Table3[[#This Row],[G_1]]-Table3[[#This Row],[G]]</f>
        <v>-1</v>
      </c>
      <c r="I651">
        <f>HomeEdge+VLOOKUP(Table3[[#This Row],[Home]],$A$6:$B$38,2,FALSE)-VLOOKUP(Table3[[#This Row],[Visitor]],$A$6:$B$38,2,FALSE)</f>
        <v>5.9859578370666022E-2</v>
      </c>
      <c r="J651">
        <f>(Table3[[#This Row],[HomeMargin]]-Table3[[#This Row],[HomeForecast]])^2</f>
        <v>1.1233023258640458</v>
      </c>
    </row>
    <row r="652" spans="4:10" x14ac:dyDescent="0.2">
      <c r="D652" t="s">
        <v>14</v>
      </c>
      <c r="E652">
        <f>'NHL2025-26Results'!C648</f>
        <v>4</v>
      </c>
      <c r="F652" t="s">
        <v>26</v>
      </c>
      <c r="G652">
        <f>'NHL2025-26Results'!E648</f>
        <v>1</v>
      </c>
      <c r="H652">
        <f>Table3[[#This Row],[G_1]]-Table3[[#This Row],[G]]</f>
        <v>-3</v>
      </c>
      <c r="I652">
        <f>HomeEdge+VLOOKUP(Table3[[#This Row],[Home]],$A$6:$B$38,2,FALSE)-VLOOKUP(Table3[[#This Row],[Visitor]],$A$6:$B$38,2,FALSE)</f>
        <v>-0.2015671488830407</v>
      </c>
      <c r="J652">
        <f>(Table3[[#This Row],[HomeMargin]]-Table3[[#This Row],[HomeForecast]])^2</f>
        <v>7.8312264222105927</v>
      </c>
    </row>
    <row r="653" spans="4:10" x14ac:dyDescent="0.2">
      <c r="D653" t="s">
        <v>27</v>
      </c>
      <c r="E653">
        <f>'NHL2025-26Results'!C649</f>
        <v>5</v>
      </c>
      <c r="F653" t="s">
        <v>17</v>
      </c>
      <c r="G653">
        <f>'NHL2025-26Results'!E649</f>
        <v>2</v>
      </c>
      <c r="H653">
        <f>Table3[[#This Row],[G_1]]-Table3[[#This Row],[G]]</f>
        <v>-3</v>
      </c>
      <c r="I653">
        <f>HomeEdge+VLOOKUP(Table3[[#This Row],[Home]],$A$6:$B$38,2,FALSE)-VLOOKUP(Table3[[#This Row],[Visitor]],$A$6:$B$38,2,FALSE)</f>
        <v>0.31596037558836199</v>
      </c>
      <c r="J653">
        <f>(Table3[[#This Row],[HomeMargin]]-Table3[[#This Row],[HomeForecast]])^2</f>
        <v>10.995593212472109</v>
      </c>
    </row>
    <row r="654" spans="4:10" x14ac:dyDescent="0.2">
      <c r="D654" t="s">
        <v>34</v>
      </c>
      <c r="E654">
        <f>'NHL2025-26Results'!C650</f>
        <v>4</v>
      </c>
      <c r="F654" t="s">
        <v>13</v>
      </c>
      <c r="G654">
        <f>'NHL2025-26Results'!E650</f>
        <v>5</v>
      </c>
      <c r="H654">
        <f>Table3[[#This Row],[G_1]]-Table3[[#This Row],[G]]</f>
        <v>1</v>
      </c>
      <c r="I654">
        <f>HomeEdge+VLOOKUP(Table3[[#This Row],[Home]],$A$6:$B$38,2,FALSE)-VLOOKUP(Table3[[#This Row],[Visitor]],$A$6:$B$38,2,FALSE)</f>
        <v>-0.5215751968168032</v>
      </c>
      <c r="J654">
        <f>(Table3[[#This Row],[HomeMargin]]-Table3[[#This Row],[HomeForecast]])^2</f>
        <v>2.3151910795680934</v>
      </c>
    </row>
    <row r="655" spans="4:10" x14ac:dyDescent="0.2">
      <c r="D655" t="s">
        <v>55</v>
      </c>
      <c r="E655">
        <f>'NHL2025-26Results'!C651</f>
        <v>1</v>
      </c>
      <c r="F655" t="s">
        <v>24</v>
      </c>
      <c r="G655">
        <f>'NHL2025-26Results'!E651</f>
        <v>4</v>
      </c>
      <c r="H655">
        <f>Table3[[#This Row],[G_1]]-Table3[[#This Row],[G]]</f>
        <v>3</v>
      </c>
      <c r="I655">
        <f>HomeEdge+VLOOKUP(Table3[[#This Row],[Home]],$A$6:$B$38,2,FALSE)-VLOOKUP(Table3[[#This Row],[Visitor]],$A$6:$B$38,2,FALSE)</f>
        <v>-0.69959577534501161</v>
      </c>
      <c r="J655">
        <f>(Table3[[#This Row],[HomeMargin]]-Table3[[#This Row],[HomeForecast]])^2</f>
        <v>13.687008900950659</v>
      </c>
    </row>
    <row r="656" spans="4:10" x14ac:dyDescent="0.2">
      <c r="D656" t="s">
        <v>19</v>
      </c>
      <c r="E656">
        <f>'NHL2025-26Results'!C652</f>
        <v>3</v>
      </c>
      <c r="F656" t="s">
        <v>30</v>
      </c>
      <c r="G656">
        <f>'NHL2025-26Results'!E652</f>
        <v>4</v>
      </c>
      <c r="H656">
        <f>Table3[[#This Row],[G_1]]-Table3[[#This Row],[G]]</f>
        <v>1</v>
      </c>
      <c r="I656">
        <f>HomeEdge+VLOOKUP(Table3[[#This Row],[Home]],$A$6:$B$38,2,FALSE)-VLOOKUP(Table3[[#This Row],[Visitor]],$A$6:$B$38,2,FALSE)</f>
        <v>0.38558292851606835</v>
      </c>
      <c r="J656">
        <f>(Table3[[#This Row],[HomeMargin]]-Table3[[#This Row],[HomeForecast]])^2</f>
        <v>0.37750833773089076</v>
      </c>
    </row>
    <row r="657" spans="4:10" x14ac:dyDescent="0.2">
      <c r="D657" t="s">
        <v>40</v>
      </c>
      <c r="E657">
        <f>'NHL2025-26Results'!C653</f>
        <v>2</v>
      </c>
      <c r="F657" t="s">
        <v>36</v>
      </c>
      <c r="G657">
        <f>'NHL2025-26Results'!E653</f>
        <v>4</v>
      </c>
      <c r="H657">
        <f>Table3[[#This Row],[G_1]]-Table3[[#This Row],[G]]</f>
        <v>2</v>
      </c>
      <c r="I657">
        <f>HomeEdge+VLOOKUP(Table3[[#This Row],[Home]],$A$6:$B$38,2,FALSE)-VLOOKUP(Table3[[#This Row],[Visitor]],$A$6:$B$38,2,FALSE)</f>
        <v>0.5279509756495131</v>
      </c>
      <c r="J657">
        <f>(Table3[[#This Row],[HomeMargin]]-Table3[[#This Row],[HomeForecast]])^2</f>
        <v>2.1669283300912205</v>
      </c>
    </row>
    <row r="658" spans="4:10" x14ac:dyDescent="0.2">
      <c r="D658" t="s">
        <v>37</v>
      </c>
      <c r="E658">
        <f>'NHL2025-26Results'!C654</f>
        <v>7</v>
      </c>
      <c r="F658" t="s">
        <v>33</v>
      </c>
      <c r="G658">
        <f>'NHL2025-26Results'!E654</f>
        <v>3</v>
      </c>
      <c r="H658">
        <f>Table3[[#This Row],[G_1]]-Table3[[#This Row],[G]]</f>
        <v>-4</v>
      </c>
      <c r="I658">
        <f>HomeEdge+VLOOKUP(Table3[[#This Row],[Home]],$A$6:$B$38,2,FALSE)-VLOOKUP(Table3[[#This Row],[Visitor]],$A$6:$B$38,2,FALSE)</f>
        <v>-1.243840686447967</v>
      </c>
      <c r="J658">
        <f>(Table3[[#This Row],[HomeMargin]]-Table3[[#This Row],[HomeForecast]])^2</f>
        <v>7.5964141616796139</v>
      </c>
    </row>
    <row r="659" spans="4:10" x14ac:dyDescent="0.2">
      <c r="D659" t="s">
        <v>18</v>
      </c>
      <c r="E659">
        <f>'NHL2025-26Results'!C655</f>
        <v>0</v>
      </c>
      <c r="F659" t="s">
        <v>35</v>
      </c>
      <c r="G659">
        <f>'NHL2025-26Results'!E655</f>
        <v>2</v>
      </c>
      <c r="H659">
        <f>Table3[[#This Row],[G_1]]-Table3[[#This Row],[G]]</f>
        <v>2</v>
      </c>
      <c r="I659">
        <f>HomeEdge+VLOOKUP(Table3[[#This Row],[Home]],$A$6:$B$38,2,FALSE)-VLOOKUP(Table3[[#This Row],[Visitor]],$A$6:$B$38,2,FALSE)</f>
        <v>-1.0969756107271811</v>
      </c>
      <c r="J659">
        <f>(Table3[[#This Row],[HomeMargin]]-Table3[[#This Row],[HomeForecast]])^2</f>
        <v>9.5912579334389978</v>
      </c>
    </row>
    <row r="660" spans="4:10" x14ac:dyDescent="0.2">
      <c r="D660" t="s">
        <v>21</v>
      </c>
      <c r="E660">
        <f>'NHL2025-26Results'!C656</f>
        <v>3</v>
      </c>
      <c r="F660" t="s">
        <v>38</v>
      </c>
      <c r="G660">
        <f>'NHL2025-26Results'!E656</f>
        <v>2</v>
      </c>
      <c r="H660">
        <f>Table3[[#This Row],[G_1]]-Table3[[#This Row],[G]]</f>
        <v>-1</v>
      </c>
      <c r="I660">
        <f>HomeEdge+VLOOKUP(Table3[[#This Row],[Home]],$A$6:$B$38,2,FALSE)-VLOOKUP(Table3[[#This Row],[Visitor]],$A$6:$B$38,2,FALSE)</f>
        <v>-1.1598657040436775</v>
      </c>
      <c r="J660">
        <f>(Table3[[#This Row],[HomeMargin]]-Table3[[#This Row],[HomeForecast]])^2</f>
        <v>2.5557043329380684E-2</v>
      </c>
    </row>
    <row r="661" spans="4:10" x14ac:dyDescent="0.2">
      <c r="D661" t="s">
        <v>10</v>
      </c>
      <c r="E661">
        <f>'NHL2025-26Results'!C657</f>
        <v>3</v>
      </c>
      <c r="F661" t="s">
        <v>22</v>
      </c>
      <c r="G661">
        <f>'NHL2025-26Results'!E657</f>
        <v>2</v>
      </c>
      <c r="H661">
        <f>Table3[[#This Row],[G_1]]-Table3[[#This Row],[G]]</f>
        <v>-1</v>
      </c>
      <c r="I661">
        <f>HomeEdge+VLOOKUP(Table3[[#This Row],[Home]],$A$6:$B$38,2,FALSE)-VLOOKUP(Table3[[#This Row],[Visitor]],$A$6:$B$38,2,FALSE)</f>
        <v>0.93641183533376338</v>
      </c>
      <c r="J661">
        <f>(Table3[[#This Row],[HomeMargin]]-Table3[[#This Row],[HomeForecast]])^2</f>
        <v>3.749690796020674</v>
      </c>
    </row>
    <row r="662" spans="4:10" x14ac:dyDescent="0.2">
      <c r="D662" t="s">
        <v>14</v>
      </c>
      <c r="E662">
        <f>'NHL2025-26Results'!C658</f>
        <v>5</v>
      </c>
      <c r="F662" t="s">
        <v>28</v>
      </c>
      <c r="G662">
        <f>'NHL2025-26Results'!E658</f>
        <v>4</v>
      </c>
      <c r="H662">
        <f>Table3[[#This Row],[G_1]]-Table3[[#This Row],[G]]</f>
        <v>-1</v>
      </c>
      <c r="I662">
        <f>HomeEdge+VLOOKUP(Table3[[#This Row],[Home]],$A$6:$B$38,2,FALSE)-VLOOKUP(Table3[[#This Row],[Visitor]],$A$6:$B$38,2,FALSE)</f>
        <v>-0.15199416243604455</v>
      </c>
      <c r="J662">
        <f>(Table3[[#This Row],[HomeMargin]]-Table3[[#This Row],[HomeForecast]])^2</f>
        <v>0.71911390054254554</v>
      </c>
    </row>
    <row r="663" spans="4:10" x14ac:dyDescent="0.2">
      <c r="D663" t="s">
        <v>20</v>
      </c>
      <c r="E663">
        <f>'NHL2025-26Results'!C659</f>
        <v>2</v>
      </c>
      <c r="F663" t="s">
        <v>10</v>
      </c>
      <c r="G663">
        <f>'NHL2025-26Results'!E659</f>
        <v>3</v>
      </c>
      <c r="H663">
        <f>Table3[[#This Row],[G_1]]-Table3[[#This Row],[G]]</f>
        <v>1</v>
      </c>
      <c r="I663">
        <f>HomeEdge+VLOOKUP(Table3[[#This Row],[Home]],$A$6:$B$38,2,FALSE)-VLOOKUP(Table3[[#This Row],[Visitor]],$A$6:$B$38,2,FALSE)</f>
        <v>-0.63400916133335394</v>
      </c>
      <c r="J663">
        <f>(Table3[[#This Row],[HomeMargin]]-Table3[[#This Row],[HomeForecast]])^2</f>
        <v>2.669985939321331</v>
      </c>
    </row>
    <row r="664" spans="4:10" x14ac:dyDescent="0.2">
      <c r="D664" t="s">
        <v>18</v>
      </c>
      <c r="E664">
        <f>'NHL2025-26Results'!C660</f>
        <v>4</v>
      </c>
      <c r="F664" t="s">
        <v>39</v>
      </c>
      <c r="G664">
        <f>'NHL2025-26Results'!E660</f>
        <v>3</v>
      </c>
      <c r="H664">
        <f>Table3[[#This Row],[G_1]]-Table3[[#This Row],[G]]</f>
        <v>-1</v>
      </c>
      <c r="I664">
        <f>HomeEdge+VLOOKUP(Table3[[#This Row],[Home]],$A$6:$B$38,2,FALSE)-VLOOKUP(Table3[[#This Row],[Visitor]],$A$6:$B$38,2,FALSE)</f>
        <v>0.43296197045886509</v>
      </c>
      <c r="J664">
        <f>(Table3[[#This Row],[HomeMargin]]-Table3[[#This Row],[HomeForecast]])^2</f>
        <v>2.0533800087813532</v>
      </c>
    </row>
    <row r="665" spans="4:10" x14ac:dyDescent="0.2">
      <c r="D665" t="s">
        <v>12</v>
      </c>
      <c r="E665">
        <f>'NHL2025-26Results'!C661</f>
        <v>1</v>
      </c>
      <c r="F665" t="s">
        <v>11</v>
      </c>
      <c r="G665">
        <f>'NHL2025-26Results'!E661</f>
        <v>2</v>
      </c>
      <c r="H665">
        <f>Table3[[#This Row],[G_1]]-Table3[[#This Row],[G]]</f>
        <v>1</v>
      </c>
      <c r="I665">
        <f>HomeEdge+VLOOKUP(Table3[[#This Row],[Home]],$A$6:$B$38,2,FALSE)-VLOOKUP(Table3[[#This Row],[Visitor]],$A$6:$B$38,2,FALSE)</f>
        <v>-1.4260119789529344</v>
      </c>
      <c r="J665">
        <f>(Table3[[#This Row],[HomeMargin]]-Table3[[#This Row],[HomeForecast]])^2</f>
        <v>5.8855341220231345</v>
      </c>
    </row>
    <row r="666" spans="4:10" x14ac:dyDescent="0.2">
      <c r="D666" t="s">
        <v>25</v>
      </c>
      <c r="E666">
        <f>'NHL2025-26Results'!C662</f>
        <v>3</v>
      </c>
      <c r="F666" t="s">
        <v>24</v>
      </c>
      <c r="G666">
        <f>'NHL2025-26Results'!E662</f>
        <v>1</v>
      </c>
      <c r="H666">
        <f>Table3[[#This Row],[G_1]]-Table3[[#This Row],[G]]</f>
        <v>-2</v>
      </c>
      <c r="I666">
        <f>HomeEdge+VLOOKUP(Table3[[#This Row],[Home]],$A$6:$B$38,2,FALSE)-VLOOKUP(Table3[[#This Row],[Visitor]],$A$6:$B$38,2,FALSE)</f>
        <v>-0.84799525099941642</v>
      </c>
      <c r="J666">
        <f>(Table3[[#This Row],[HomeMargin]]-Table3[[#This Row],[HomeForecast]])^2</f>
        <v>1.3271149417198975</v>
      </c>
    </row>
    <row r="667" spans="4:10" x14ac:dyDescent="0.2">
      <c r="D667" t="s">
        <v>32</v>
      </c>
      <c r="E667">
        <f>'NHL2025-26Results'!C663</f>
        <v>5</v>
      </c>
      <c r="F667" t="s">
        <v>16</v>
      </c>
      <c r="G667">
        <f>'NHL2025-26Results'!E663</f>
        <v>1</v>
      </c>
      <c r="H667">
        <f>Table3[[#This Row],[G_1]]-Table3[[#This Row],[G]]</f>
        <v>-4</v>
      </c>
      <c r="I667">
        <f>HomeEdge+VLOOKUP(Table3[[#This Row],[Home]],$A$6:$B$38,2,FALSE)-VLOOKUP(Table3[[#This Row],[Visitor]],$A$6:$B$38,2,FALSE)</f>
        <v>-0.27833807845926933</v>
      </c>
      <c r="J667">
        <f>(Table3[[#This Row],[HomeMargin]]-Table3[[#This Row],[HomeForecast]])^2</f>
        <v>13.850767458246242</v>
      </c>
    </row>
    <row r="668" spans="4:10" x14ac:dyDescent="0.2">
      <c r="D668" t="s">
        <v>34</v>
      </c>
      <c r="E668">
        <f>'NHL2025-26Results'!C664</f>
        <v>2</v>
      </c>
      <c r="F668" t="s">
        <v>13</v>
      </c>
      <c r="G668">
        <f>'NHL2025-26Results'!E664</f>
        <v>4</v>
      </c>
      <c r="H668">
        <f>Table3[[#This Row],[G_1]]-Table3[[#This Row],[G]]</f>
        <v>2</v>
      </c>
      <c r="I668">
        <f>HomeEdge+VLOOKUP(Table3[[#This Row],[Home]],$A$6:$B$38,2,FALSE)-VLOOKUP(Table3[[#This Row],[Visitor]],$A$6:$B$38,2,FALSE)</f>
        <v>-0.5215751968168032</v>
      </c>
      <c r="J668">
        <f>(Table3[[#This Row],[HomeMargin]]-Table3[[#This Row],[HomeForecast]])^2</f>
        <v>6.3583414732016994</v>
      </c>
    </row>
    <row r="669" spans="4:10" x14ac:dyDescent="0.2">
      <c r="D669" t="s">
        <v>55</v>
      </c>
      <c r="E669">
        <f>'NHL2025-26Results'!C665</f>
        <v>3</v>
      </c>
      <c r="F669" t="s">
        <v>15</v>
      </c>
      <c r="G669">
        <f>'NHL2025-26Results'!E665</f>
        <v>2</v>
      </c>
      <c r="H669">
        <f>Table3[[#This Row],[G_1]]-Table3[[#This Row],[G]]</f>
        <v>-1</v>
      </c>
      <c r="I669">
        <f>HomeEdge+VLOOKUP(Table3[[#This Row],[Home]],$A$6:$B$38,2,FALSE)-VLOOKUP(Table3[[#This Row],[Visitor]],$A$6:$B$38,2,FALSE)</f>
        <v>-0.69100689478112087</v>
      </c>
      <c r="J669">
        <f>(Table3[[#This Row],[HomeMargin]]-Table3[[#This Row],[HomeForecast]])^2</f>
        <v>9.5476739072805308E-2</v>
      </c>
    </row>
    <row r="670" spans="4:10" x14ac:dyDescent="0.2">
      <c r="D670" t="s">
        <v>26</v>
      </c>
      <c r="E670">
        <f>'NHL2025-26Results'!C666</f>
        <v>5</v>
      </c>
      <c r="F670" t="s">
        <v>36</v>
      </c>
      <c r="G670">
        <f>'NHL2025-26Results'!E666</f>
        <v>3</v>
      </c>
      <c r="H670">
        <f>Table3[[#This Row],[G_1]]-Table3[[#This Row],[G]]</f>
        <v>-2</v>
      </c>
      <c r="I670">
        <f>HomeEdge+VLOOKUP(Table3[[#This Row],[Home]],$A$6:$B$38,2,FALSE)-VLOOKUP(Table3[[#This Row],[Visitor]],$A$6:$B$38,2,FALSE)</f>
        <v>0.27063728835039436</v>
      </c>
      <c r="J670">
        <f>(Table3[[#This Row],[HomeMargin]]-Table3[[#This Row],[HomeForecast]])^2</f>
        <v>5.1557936952472323</v>
      </c>
    </row>
    <row r="671" spans="4:10" x14ac:dyDescent="0.2">
      <c r="D671" t="s">
        <v>31</v>
      </c>
      <c r="E671">
        <f>'NHL2025-26Results'!C667</f>
        <v>4</v>
      </c>
      <c r="F671" t="s">
        <v>22</v>
      </c>
      <c r="G671">
        <f>'NHL2025-26Results'!E667</f>
        <v>7</v>
      </c>
      <c r="H671">
        <f>Table3[[#This Row],[G_1]]-Table3[[#This Row],[G]]</f>
        <v>3</v>
      </c>
      <c r="I671">
        <f>HomeEdge+VLOOKUP(Table3[[#This Row],[Home]],$A$6:$B$38,2,FALSE)-VLOOKUP(Table3[[#This Row],[Visitor]],$A$6:$B$38,2,FALSE)</f>
        <v>0.47343688508859083</v>
      </c>
      <c r="J671">
        <f>(Table3[[#This Row],[HomeMargin]]-Table3[[#This Row],[HomeForecast]])^2</f>
        <v>6.3835211736308421</v>
      </c>
    </row>
    <row r="672" spans="4:10" x14ac:dyDescent="0.2">
      <c r="D672" t="s">
        <v>38</v>
      </c>
      <c r="E672">
        <f>'NHL2025-26Results'!C668</f>
        <v>3</v>
      </c>
      <c r="F672" t="s">
        <v>23</v>
      </c>
      <c r="G672">
        <f>'NHL2025-26Results'!E668</f>
        <v>5</v>
      </c>
      <c r="H672">
        <f>Table3[[#This Row],[G_1]]-Table3[[#This Row],[G]]</f>
        <v>2</v>
      </c>
      <c r="I672">
        <f>HomeEdge+VLOOKUP(Table3[[#This Row],[Home]],$A$6:$B$38,2,FALSE)-VLOOKUP(Table3[[#This Row],[Visitor]],$A$6:$B$38,2,FALSE)</f>
        <v>1.5297646853033613</v>
      </c>
      <c r="J672">
        <f>(Table3[[#This Row],[HomeMargin]]-Table3[[#This Row],[HomeForecast]])^2</f>
        <v>0.22112125118784684</v>
      </c>
    </row>
    <row r="673" spans="4:10" x14ac:dyDescent="0.2">
      <c r="D673" t="s">
        <v>39</v>
      </c>
      <c r="E673">
        <f>'NHL2025-26Results'!C669</f>
        <v>3</v>
      </c>
      <c r="F673" t="s">
        <v>25</v>
      </c>
      <c r="G673">
        <f>'NHL2025-26Results'!E669</f>
        <v>6</v>
      </c>
      <c r="H673">
        <f>Table3[[#This Row],[G_1]]-Table3[[#This Row],[G]]</f>
        <v>3</v>
      </c>
      <c r="I673">
        <f>HomeEdge+VLOOKUP(Table3[[#This Row],[Home]],$A$6:$B$38,2,FALSE)-VLOOKUP(Table3[[#This Row],[Visitor]],$A$6:$B$38,2,FALSE)</f>
        <v>0.14502087941328523</v>
      </c>
      <c r="J673">
        <f>(Table3[[#This Row],[HomeMargin]]-Table3[[#This Row],[HomeForecast]])^2</f>
        <v>8.1509057789860933</v>
      </c>
    </row>
    <row r="674" spans="4:10" x14ac:dyDescent="0.2">
      <c r="D674" t="s">
        <v>29</v>
      </c>
      <c r="E674">
        <f>'NHL2025-26Results'!C670</f>
        <v>2</v>
      </c>
      <c r="F674" t="s">
        <v>17</v>
      </c>
      <c r="G674">
        <f>'NHL2025-26Results'!E670</f>
        <v>6</v>
      </c>
      <c r="H674">
        <f>Table3[[#This Row],[G_1]]-Table3[[#This Row],[G]]</f>
        <v>4</v>
      </c>
      <c r="I674">
        <f>HomeEdge+VLOOKUP(Table3[[#This Row],[Home]],$A$6:$B$38,2,FALSE)-VLOOKUP(Table3[[#This Row],[Visitor]],$A$6:$B$38,2,FALSE)</f>
        <v>0.58554584750459249</v>
      </c>
      <c r="J674">
        <f>(Table3[[#This Row],[HomeMargin]]-Table3[[#This Row],[HomeForecast]])^2</f>
        <v>11.658497159493132</v>
      </c>
    </row>
    <row r="675" spans="4:10" x14ac:dyDescent="0.2">
      <c r="D675" t="s">
        <v>24</v>
      </c>
      <c r="E675">
        <f>'NHL2025-26Results'!C671</f>
        <v>0</v>
      </c>
      <c r="F675" t="s">
        <v>30</v>
      </c>
      <c r="G675">
        <f>'NHL2025-26Results'!E671</f>
        <v>9</v>
      </c>
      <c r="H675">
        <f>Table3[[#This Row],[G_1]]-Table3[[#This Row],[G]]</f>
        <v>9</v>
      </c>
      <c r="I675">
        <f>HomeEdge+VLOOKUP(Table3[[#This Row],[Home]],$A$6:$B$38,2,FALSE)-VLOOKUP(Table3[[#This Row],[Visitor]],$A$6:$B$38,2,FALSE)</f>
        <v>0.688410395557151</v>
      </c>
      <c r="J675">
        <f>(Table3[[#This Row],[HomeMargin]]-Table3[[#This Row],[HomeForecast]])^2</f>
        <v>69.082521752682439</v>
      </c>
    </row>
    <row r="676" spans="4:10" x14ac:dyDescent="0.2">
      <c r="D676" t="s">
        <v>31</v>
      </c>
      <c r="E676">
        <f>'NHL2025-26Results'!C672</f>
        <v>2</v>
      </c>
      <c r="F676" t="s">
        <v>27</v>
      </c>
      <c r="G676">
        <f>'NHL2025-26Results'!E672</f>
        <v>5</v>
      </c>
      <c r="H676">
        <f>Table3[[#This Row],[G_1]]-Table3[[#This Row],[G]]</f>
        <v>3</v>
      </c>
      <c r="I676">
        <f>HomeEdge+VLOOKUP(Table3[[#This Row],[Home]],$A$6:$B$38,2,FALSE)-VLOOKUP(Table3[[#This Row],[Visitor]],$A$6:$B$38,2,FALSE)</f>
        <v>4.223347763334806E-2</v>
      </c>
      <c r="J676">
        <f>(Table3[[#This Row],[HomeMargin]]-Table3[[#This Row],[HomeForecast]])^2</f>
        <v>8.7483828008329194</v>
      </c>
    </row>
    <row r="677" spans="4:10" x14ac:dyDescent="0.2">
      <c r="D677" t="s">
        <v>21</v>
      </c>
      <c r="E677">
        <f>'NHL2025-26Results'!C673</f>
        <v>4</v>
      </c>
      <c r="F677" t="s">
        <v>32</v>
      </c>
      <c r="G677">
        <f>'NHL2025-26Results'!E673</f>
        <v>7</v>
      </c>
      <c r="H677">
        <f>Table3[[#This Row],[G_1]]-Table3[[#This Row],[G]]</f>
        <v>3</v>
      </c>
      <c r="I677">
        <f>HomeEdge+VLOOKUP(Table3[[#This Row],[Home]],$A$6:$B$38,2,FALSE)-VLOOKUP(Table3[[#This Row],[Visitor]],$A$6:$B$38,2,FALSE)</f>
        <v>-0.25022955553593507</v>
      </c>
      <c r="J677">
        <f>(Table3[[#This Row],[HomeMargin]]-Table3[[#This Row],[HomeForecast]])^2</f>
        <v>10.563992163679321</v>
      </c>
    </row>
    <row r="678" spans="4:10" x14ac:dyDescent="0.2">
      <c r="D678" t="s">
        <v>28</v>
      </c>
      <c r="E678">
        <f>'NHL2025-26Results'!C674</f>
        <v>2</v>
      </c>
      <c r="F678" t="s">
        <v>33</v>
      </c>
      <c r="G678">
        <f>'NHL2025-26Results'!E674</f>
        <v>5</v>
      </c>
      <c r="H678">
        <f>Table3[[#This Row],[G_1]]-Table3[[#This Row],[G]]</f>
        <v>3</v>
      </c>
      <c r="I678">
        <f>HomeEdge+VLOOKUP(Table3[[#This Row],[Home]],$A$6:$B$38,2,FALSE)-VLOOKUP(Table3[[#This Row],[Visitor]],$A$6:$B$38,2,FALSE)</f>
        <v>-0.24119404038813097</v>
      </c>
      <c r="J678">
        <f>(Table3[[#This Row],[HomeMargin]]-Table3[[#This Row],[HomeForecast]])^2</f>
        <v>10.505338807447538</v>
      </c>
    </row>
    <row r="679" spans="4:10" x14ac:dyDescent="0.2">
      <c r="D679" t="s">
        <v>12</v>
      </c>
      <c r="E679">
        <f>'NHL2025-26Results'!C675</f>
        <v>2</v>
      </c>
      <c r="F679" t="s">
        <v>37</v>
      </c>
      <c r="G679">
        <f>'NHL2025-26Results'!E675</f>
        <v>4</v>
      </c>
      <c r="H679">
        <f>Table3[[#This Row],[G_1]]-Table3[[#This Row],[G]]</f>
        <v>2</v>
      </c>
      <c r="I679">
        <f>HomeEdge+VLOOKUP(Table3[[#This Row],[Home]],$A$6:$B$38,2,FALSE)-VLOOKUP(Table3[[#This Row],[Visitor]],$A$6:$B$38,2,FALSE)</f>
        <v>-0.14797800036239039</v>
      </c>
      <c r="J679">
        <f>(Table3[[#This Row],[HomeMargin]]-Table3[[#This Row],[HomeForecast]])^2</f>
        <v>4.6138094900408131</v>
      </c>
    </row>
    <row r="680" spans="4:10" x14ac:dyDescent="0.2">
      <c r="D680" t="s">
        <v>11</v>
      </c>
      <c r="E680">
        <f>'NHL2025-26Results'!C676</f>
        <v>1</v>
      </c>
      <c r="F680" t="s">
        <v>19</v>
      </c>
      <c r="G680">
        <f>'NHL2025-26Results'!E676</f>
        <v>4</v>
      </c>
      <c r="H680">
        <f>Table3[[#This Row],[G_1]]-Table3[[#This Row],[G]]</f>
        <v>3</v>
      </c>
      <c r="I680">
        <f>HomeEdge+VLOOKUP(Table3[[#This Row],[Home]],$A$6:$B$38,2,FALSE)-VLOOKUP(Table3[[#This Row],[Visitor]],$A$6:$B$38,2,FALSE)</f>
        <v>0.24427854878949828</v>
      </c>
      <c r="J680">
        <f>(Table3[[#This Row],[HomeMargin]]-Table3[[#This Row],[HomeForecast]])^2</f>
        <v>7.5940007166617134</v>
      </c>
    </row>
    <row r="681" spans="4:10" x14ac:dyDescent="0.2">
      <c r="D681" t="s">
        <v>20</v>
      </c>
      <c r="E681">
        <f>'NHL2025-26Results'!C677</f>
        <v>4</v>
      </c>
      <c r="F681" t="s">
        <v>40</v>
      </c>
      <c r="G681">
        <f>'NHL2025-26Results'!E677</f>
        <v>3</v>
      </c>
      <c r="H681">
        <f>Table3[[#This Row],[G_1]]-Table3[[#This Row],[G]]</f>
        <v>-1</v>
      </c>
      <c r="I681">
        <f>HomeEdge+VLOOKUP(Table3[[#This Row],[Home]],$A$6:$B$38,2,FALSE)-VLOOKUP(Table3[[#This Row],[Visitor]],$A$6:$B$38,2,FALSE)</f>
        <v>-0.29587985245482307</v>
      </c>
      <c r="J681">
        <f>(Table3[[#This Row],[HomeMargin]]-Table3[[#This Row],[HomeForecast]])^2</f>
        <v>0.49578518217904172</v>
      </c>
    </row>
    <row r="682" spans="4:10" x14ac:dyDescent="0.2">
      <c r="D682" t="s">
        <v>35</v>
      </c>
      <c r="E682">
        <f>'NHL2025-26Results'!C678</f>
        <v>3</v>
      </c>
      <c r="F682" t="s">
        <v>10</v>
      </c>
      <c r="G682">
        <f>'NHL2025-26Results'!E678</f>
        <v>7</v>
      </c>
      <c r="H682">
        <f>Table3[[#This Row],[G_1]]-Table3[[#This Row],[G]]</f>
        <v>4</v>
      </c>
      <c r="I682">
        <f>HomeEdge+VLOOKUP(Table3[[#This Row],[Home]],$A$6:$B$38,2,FALSE)-VLOOKUP(Table3[[#This Row],[Visitor]],$A$6:$B$38,2,FALSE)</f>
        <v>0.51588347775756138</v>
      </c>
      <c r="J682">
        <f>(Table3[[#This Row],[HomeMargin]]-Table3[[#This Row],[HomeForecast]])^2</f>
        <v>12.139067940562747</v>
      </c>
    </row>
    <row r="683" spans="4:10" x14ac:dyDescent="0.2">
      <c r="D683" t="s">
        <v>33</v>
      </c>
      <c r="E683">
        <f>'NHL2025-26Results'!C679</f>
        <v>4</v>
      </c>
      <c r="F683" t="s">
        <v>13</v>
      </c>
      <c r="G683">
        <f>'NHL2025-26Results'!E679</f>
        <v>3</v>
      </c>
      <c r="H683">
        <f>Table3[[#This Row],[G_1]]-Table3[[#This Row],[G]]</f>
        <v>-1</v>
      </c>
      <c r="I683">
        <f>HomeEdge+VLOOKUP(Table3[[#This Row],[Home]],$A$6:$B$38,2,FALSE)-VLOOKUP(Table3[[#This Row],[Visitor]],$A$6:$B$38,2,FALSE)</f>
        <v>0.19127591186062542</v>
      </c>
      <c r="J683">
        <f>(Table3[[#This Row],[HomeMargin]]-Table3[[#This Row],[HomeForecast]])^2</f>
        <v>1.4191382981793643</v>
      </c>
    </row>
    <row r="684" spans="4:10" x14ac:dyDescent="0.2">
      <c r="D684" t="s">
        <v>16</v>
      </c>
      <c r="E684">
        <f>'NHL2025-26Results'!C680</f>
        <v>1</v>
      </c>
      <c r="F684" t="s">
        <v>18</v>
      </c>
      <c r="G684">
        <f>'NHL2025-26Results'!E680</f>
        <v>4</v>
      </c>
      <c r="H684">
        <f>Table3[[#This Row],[G_1]]-Table3[[#This Row],[G]]</f>
        <v>3</v>
      </c>
      <c r="I684">
        <f>HomeEdge+VLOOKUP(Table3[[#This Row],[Home]],$A$6:$B$38,2,FALSE)-VLOOKUP(Table3[[#This Row],[Visitor]],$A$6:$B$38,2,FALSE)</f>
        <v>0.93364452769428397</v>
      </c>
      <c r="J684">
        <f>(Table3[[#This Row],[HomeMargin]]-Table3[[#This Row],[HomeForecast]])^2</f>
        <v>4.2698249379277788</v>
      </c>
    </row>
    <row r="685" spans="4:10" x14ac:dyDescent="0.2">
      <c r="D685" t="s">
        <v>36</v>
      </c>
      <c r="E685">
        <f>'NHL2025-26Results'!C681</f>
        <v>1</v>
      </c>
      <c r="F685" t="s">
        <v>55</v>
      </c>
      <c r="G685">
        <f>'NHL2025-26Results'!E681</f>
        <v>3</v>
      </c>
      <c r="H685">
        <f>Table3[[#This Row],[G_1]]-Table3[[#This Row],[G]]</f>
        <v>2</v>
      </c>
      <c r="I685">
        <f>HomeEdge+VLOOKUP(Table3[[#This Row],[Home]],$A$6:$B$38,2,FALSE)-VLOOKUP(Table3[[#This Row],[Visitor]],$A$6:$B$38,2,FALSE)</f>
        <v>0.40380919428236928</v>
      </c>
      <c r="J685">
        <f>(Table3[[#This Row],[HomeMargin]]-Table3[[#This Row],[HomeForecast]])^2</f>
        <v>2.5478250882574995</v>
      </c>
    </row>
    <row r="686" spans="4:10" x14ac:dyDescent="0.2">
      <c r="D686" t="s">
        <v>39</v>
      </c>
      <c r="E686">
        <f>'NHL2025-26Results'!C682</f>
        <v>4</v>
      </c>
      <c r="F686" t="s">
        <v>22</v>
      </c>
      <c r="G686">
        <f>'NHL2025-26Results'!E682</f>
        <v>1</v>
      </c>
      <c r="H686">
        <f>Table3[[#This Row],[G_1]]-Table3[[#This Row],[G]]</f>
        <v>-3</v>
      </c>
      <c r="I686">
        <f>HomeEdge+VLOOKUP(Table3[[#This Row],[Home]],$A$6:$B$38,2,FALSE)-VLOOKUP(Table3[[#This Row],[Visitor]],$A$6:$B$38,2,FALSE)</f>
        <v>-0.20724925390624543</v>
      </c>
      <c r="J686">
        <f>(Table3[[#This Row],[HomeMargin]]-Table3[[#This Row],[HomeForecast]])^2</f>
        <v>7.7994567298072228</v>
      </c>
    </row>
    <row r="687" spans="4:10" x14ac:dyDescent="0.2">
      <c r="D687" t="s">
        <v>16</v>
      </c>
      <c r="E687">
        <f>'NHL2025-26Results'!C683</f>
        <v>1</v>
      </c>
      <c r="F687" t="s">
        <v>21</v>
      </c>
      <c r="G687">
        <f>'NHL2025-26Results'!E683</f>
        <v>4</v>
      </c>
      <c r="H687">
        <f>Table3[[#This Row],[G_1]]-Table3[[#This Row],[G]]</f>
        <v>3</v>
      </c>
      <c r="I687">
        <f>HomeEdge+VLOOKUP(Table3[[#This Row],[Home]],$A$6:$B$38,2,FALSE)-VLOOKUP(Table3[[#This Row],[Visitor]],$A$6:$B$38,2,FALSE)</f>
        <v>0.91738859142977669</v>
      </c>
      <c r="J687">
        <f>(Table3[[#This Row],[HomeMargin]]-Table3[[#This Row],[HomeForecast]])^2</f>
        <v>4.3372702791068498</v>
      </c>
    </row>
    <row r="688" spans="4:10" x14ac:dyDescent="0.2">
      <c r="D688" t="s">
        <v>31</v>
      </c>
      <c r="E688">
        <f>'NHL2025-26Results'!C684</f>
        <v>2</v>
      </c>
      <c r="F688" t="s">
        <v>25</v>
      </c>
      <c r="G688">
        <f>'NHL2025-26Results'!E684</f>
        <v>5</v>
      </c>
      <c r="H688">
        <f>Table3[[#This Row],[G_1]]-Table3[[#This Row],[G]]</f>
        <v>3</v>
      </c>
      <c r="I688">
        <f>HomeEdge+VLOOKUP(Table3[[#This Row],[Home]],$A$6:$B$38,2,FALSE)-VLOOKUP(Table3[[#This Row],[Visitor]],$A$6:$B$38,2,FALSE)</f>
        <v>0.82570701840812144</v>
      </c>
      <c r="J688">
        <f>(Table3[[#This Row],[HomeMargin]]-Table3[[#This Row],[HomeForecast]])^2</f>
        <v>4.7275499697996999</v>
      </c>
    </row>
    <row r="689" spans="4:10" x14ac:dyDescent="0.2">
      <c r="D689" t="s">
        <v>36</v>
      </c>
      <c r="E689">
        <f>'NHL2025-26Results'!C685</f>
        <v>2</v>
      </c>
      <c r="F689" t="s">
        <v>12</v>
      </c>
      <c r="G689">
        <f>'NHL2025-26Results'!E685</f>
        <v>8</v>
      </c>
      <c r="H689">
        <f>Table3[[#This Row],[G_1]]-Table3[[#This Row],[G]]</f>
        <v>6</v>
      </c>
      <c r="I689">
        <f>HomeEdge+VLOOKUP(Table3[[#This Row],[Home]],$A$6:$B$38,2,FALSE)-VLOOKUP(Table3[[#This Row],[Visitor]],$A$6:$B$38,2,FALSE)</f>
        <v>1.3183813019534005</v>
      </c>
      <c r="J689">
        <f>(Table3[[#This Row],[HomeMargin]]-Table3[[#This Row],[HomeForecast]])^2</f>
        <v>21.917553633899537</v>
      </c>
    </row>
    <row r="690" spans="4:10" x14ac:dyDescent="0.2">
      <c r="D690" t="s">
        <v>38</v>
      </c>
      <c r="E690">
        <f>'NHL2025-26Results'!C686</f>
        <v>1</v>
      </c>
      <c r="F690" t="s">
        <v>26</v>
      </c>
      <c r="G690">
        <f>'NHL2025-26Results'!E686</f>
        <v>5</v>
      </c>
      <c r="H690">
        <f>Table3[[#This Row],[G_1]]-Table3[[#This Row],[G]]</f>
        <v>4</v>
      </c>
      <c r="I690">
        <f>HomeEdge+VLOOKUP(Table3[[#This Row],[Home]],$A$6:$B$38,2,FALSE)-VLOOKUP(Table3[[#This Row],[Visitor]],$A$6:$B$38,2,FALSE)</f>
        <v>1.1904725035162149</v>
      </c>
      <c r="J690">
        <f>(Table3[[#This Row],[HomeMargin]]-Table3[[#This Row],[HomeForecast]])^2</f>
        <v>7.8934447534984438</v>
      </c>
    </row>
    <row r="691" spans="4:10" x14ac:dyDescent="0.2">
      <c r="D691" t="s">
        <v>11</v>
      </c>
      <c r="E691">
        <f>'NHL2025-26Results'!C687</f>
        <v>2</v>
      </c>
      <c r="F691" t="s">
        <v>18</v>
      </c>
      <c r="G691">
        <f>'NHL2025-26Results'!E687</f>
        <v>6</v>
      </c>
      <c r="H691">
        <f>Table3[[#This Row],[G_1]]-Table3[[#This Row],[G]]</f>
        <v>4</v>
      </c>
      <c r="I691">
        <f>HomeEdge+VLOOKUP(Table3[[#This Row],[Home]],$A$6:$B$38,2,FALSE)-VLOOKUP(Table3[[#This Row],[Visitor]],$A$6:$B$38,2,FALSE)</f>
        <v>0.60028444031025407</v>
      </c>
      <c r="J691">
        <f>(Table3[[#This Row],[HomeMargin]]-Table3[[#This Row],[HomeForecast]])^2</f>
        <v>11.558065886796561</v>
      </c>
    </row>
    <row r="692" spans="4:10" x14ac:dyDescent="0.2">
      <c r="D692" t="s">
        <v>30</v>
      </c>
      <c r="E692">
        <f>'NHL2025-26Results'!C688</f>
        <v>1</v>
      </c>
      <c r="F692" t="s">
        <v>29</v>
      </c>
      <c r="G692">
        <f>'NHL2025-26Results'!E688</f>
        <v>2</v>
      </c>
      <c r="H692">
        <f>Table3[[#This Row],[G_1]]-Table3[[#This Row],[G]]</f>
        <v>1</v>
      </c>
      <c r="I692">
        <f>HomeEdge+VLOOKUP(Table3[[#This Row],[Home]],$A$6:$B$38,2,FALSE)-VLOOKUP(Table3[[#This Row],[Visitor]],$A$6:$B$38,2,FALSE)</f>
        <v>-0.50465319981416612</v>
      </c>
      <c r="J692">
        <f>(Table3[[#This Row],[HomeMargin]]-Table3[[#This Row],[HomeForecast]])^2</f>
        <v>2.2639812517110087</v>
      </c>
    </row>
    <row r="693" spans="4:10" x14ac:dyDescent="0.2">
      <c r="D693" t="s">
        <v>23</v>
      </c>
      <c r="E693">
        <f>'NHL2025-26Results'!C689</f>
        <v>5</v>
      </c>
      <c r="F693" t="s">
        <v>15</v>
      </c>
      <c r="G693">
        <f>'NHL2025-26Results'!E689</f>
        <v>2</v>
      </c>
      <c r="H693">
        <f>Table3[[#This Row],[G_1]]-Table3[[#This Row],[G]]</f>
        <v>-3</v>
      </c>
      <c r="I693">
        <f>HomeEdge+VLOOKUP(Table3[[#This Row],[Home]],$A$6:$B$38,2,FALSE)-VLOOKUP(Table3[[#This Row],[Visitor]],$A$6:$B$38,2,FALSE)</f>
        <v>-0.61506656555855188</v>
      </c>
      <c r="J693">
        <f>(Table3[[#This Row],[HomeMargin]]-Table3[[#This Row],[HomeForecast]])^2</f>
        <v>5.6879074867166821</v>
      </c>
    </row>
    <row r="694" spans="4:10" x14ac:dyDescent="0.2">
      <c r="D694" t="s">
        <v>19</v>
      </c>
      <c r="E694">
        <f>'NHL2025-26Results'!C690</f>
        <v>2</v>
      </c>
      <c r="F694" t="s">
        <v>27</v>
      </c>
      <c r="G694">
        <f>'NHL2025-26Results'!E690</f>
        <v>1</v>
      </c>
      <c r="H694">
        <f>Table3[[#This Row],[G_1]]-Table3[[#This Row],[G]]</f>
        <v>-1</v>
      </c>
      <c r="I694">
        <f>HomeEdge+VLOOKUP(Table3[[#This Row],[Home]],$A$6:$B$38,2,FALSE)-VLOOKUP(Table3[[#This Row],[Visitor]],$A$6:$B$38,2,FALSE)</f>
        <v>2.0908214806608538E-2</v>
      </c>
      <c r="J694">
        <f>(Table3[[#This Row],[HomeMargin]]-Table3[[#This Row],[HomeForecast]])^2</f>
        <v>1.0422535830596162</v>
      </c>
    </row>
    <row r="695" spans="4:10" x14ac:dyDescent="0.2">
      <c r="D695" t="s">
        <v>24</v>
      </c>
      <c r="E695">
        <f>'NHL2025-26Results'!C691</f>
        <v>1</v>
      </c>
      <c r="F695" t="s">
        <v>14</v>
      </c>
      <c r="G695">
        <f>'NHL2025-26Results'!E691</f>
        <v>4</v>
      </c>
      <c r="H695">
        <f>Table3[[#This Row],[G_1]]-Table3[[#This Row],[G]]</f>
        <v>3</v>
      </c>
      <c r="I695">
        <f>HomeEdge+VLOOKUP(Table3[[#This Row],[Home]],$A$6:$B$38,2,FALSE)-VLOOKUP(Table3[[#This Row],[Visitor]],$A$6:$B$38,2,FALSE)</f>
        <v>0.87475137065290909</v>
      </c>
      <c r="J695">
        <f>(Table3[[#This Row],[HomeMargin]]-Table3[[#This Row],[HomeForecast]])^2</f>
        <v>4.5166817365416883</v>
      </c>
    </row>
    <row r="696" spans="4:10" x14ac:dyDescent="0.2">
      <c r="D696" t="s">
        <v>34</v>
      </c>
      <c r="E696">
        <f>'NHL2025-26Results'!C692</f>
        <v>3</v>
      </c>
      <c r="F696" t="s">
        <v>32</v>
      </c>
      <c r="G696">
        <f>'NHL2025-26Results'!E692</f>
        <v>2</v>
      </c>
      <c r="H696">
        <f>Table3[[#This Row],[G_1]]-Table3[[#This Row],[G]]</f>
        <v>-1</v>
      </c>
      <c r="I696">
        <f>HomeEdge+VLOOKUP(Table3[[#This Row],[Home]],$A$6:$B$38,2,FALSE)-VLOOKUP(Table3[[#This Row],[Visitor]],$A$6:$B$38,2,FALSE)</f>
        <v>-0.41324545231019388</v>
      </c>
      <c r="J696">
        <f>(Table3[[#This Row],[HomeMargin]]-Table3[[#This Row],[HomeForecast]])^2</f>
        <v>0.34428089923466904</v>
      </c>
    </row>
    <row r="697" spans="4:10" x14ac:dyDescent="0.2">
      <c r="D697" t="s">
        <v>28</v>
      </c>
      <c r="E697">
        <f>'NHL2025-26Results'!C693</f>
        <v>3</v>
      </c>
      <c r="F697" t="s">
        <v>20</v>
      </c>
      <c r="G697">
        <f>'NHL2025-26Results'!E693</f>
        <v>5</v>
      </c>
      <c r="H697">
        <f>Table3[[#This Row],[G_1]]-Table3[[#This Row],[G]]</f>
        <v>2</v>
      </c>
      <c r="I697">
        <f>HomeEdge+VLOOKUP(Table3[[#This Row],[Home]],$A$6:$B$38,2,FALSE)-VLOOKUP(Table3[[#This Row],[Visitor]],$A$6:$B$38,2,FALSE)</f>
        <v>0.24820715033175639</v>
      </c>
      <c r="J697">
        <f>(Table3[[#This Row],[HomeMargin]]-Table3[[#This Row],[HomeForecast]])^2</f>
        <v>3.0687781881487854</v>
      </c>
    </row>
    <row r="698" spans="4:10" x14ac:dyDescent="0.2">
      <c r="D698" t="s">
        <v>17</v>
      </c>
      <c r="E698">
        <f>'NHL2025-26Results'!C694</f>
        <v>4</v>
      </c>
      <c r="F698" t="s">
        <v>40</v>
      </c>
      <c r="G698">
        <f>'NHL2025-26Results'!E694</f>
        <v>3</v>
      </c>
      <c r="H698">
        <f>Table3[[#This Row],[G_1]]-Table3[[#This Row],[G]]</f>
        <v>-1</v>
      </c>
      <c r="I698">
        <f>HomeEdge+VLOOKUP(Table3[[#This Row],[Home]],$A$6:$B$38,2,FALSE)-VLOOKUP(Table3[[#This Row],[Visitor]],$A$6:$B$38,2,FALSE)</f>
        <v>-9.4218537153779425E-2</v>
      </c>
      <c r="J698">
        <f>(Table3[[#This Row],[HomeMargin]]-Table3[[#This Row],[HomeForecast]])^2</f>
        <v>0.82044005843583934</v>
      </c>
    </row>
    <row r="699" spans="4:10" x14ac:dyDescent="0.2">
      <c r="D699" t="s">
        <v>22</v>
      </c>
      <c r="E699">
        <f>'NHL2025-26Results'!C695</f>
        <v>5</v>
      </c>
      <c r="F699" t="s">
        <v>10</v>
      </c>
      <c r="G699">
        <f>'NHL2025-26Results'!E695</f>
        <v>1</v>
      </c>
      <c r="H699">
        <f>Table3[[#This Row],[G_1]]-Table3[[#This Row],[G]]</f>
        <v>-4</v>
      </c>
      <c r="I699">
        <f>HomeEdge+VLOOKUP(Table3[[#This Row],[Home]],$A$6:$B$38,2,FALSE)-VLOOKUP(Table3[[#This Row],[Visitor]],$A$6:$B$38,2,FALSE)</f>
        <v>-0.67719786371071522</v>
      </c>
      <c r="J699">
        <f>(Table3[[#This Row],[HomeMargin]]-Table3[[#This Row],[HomeForecast]])^2</f>
        <v>11.041014036928637</v>
      </c>
    </row>
    <row r="700" spans="4:10" x14ac:dyDescent="0.2">
      <c r="D700" t="s">
        <v>35</v>
      </c>
      <c r="E700">
        <f>'NHL2025-26Results'!C696</f>
        <v>2</v>
      </c>
      <c r="F700" t="s">
        <v>55</v>
      </c>
      <c r="G700">
        <f>'NHL2025-26Results'!E696</f>
        <v>4</v>
      </c>
      <c r="H700">
        <f>Table3[[#This Row],[G_1]]-Table3[[#This Row],[G]]</f>
        <v>2</v>
      </c>
      <c r="I700">
        <f>HomeEdge+VLOOKUP(Table3[[#This Row],[Home]],$A$6:$B$38,2,FALSE)-VLOOKUP(Table3[[#This Row],[Visitor]],$A$6:$B$38,2,FALSE)</f>
        <v>1.5265589849449266</v>
      </c>
      <c r="J700">
        <f>(Table3[[#This Row],[HomeMargin]]-Table3[[#This Row],[HomeForecast]])^2</f>
        <v>0.22414639473637823</v>
      </c>
    </row>
    <row r="701" spans="4:10" x14ac:dyDescent="0.2">
      <c r="D701" t="s">
        <v>13</v>
      </c>
      <c r="E701">
        <f>'NHL2025-26Results'!C697</f>
        <v>1</v>
      </c>
      <c r="F701" t="s">
        <v>40</v>
      </c>
      <c r="G701">
        <f>'NHL2025-26Results'!E697</f>
        <v>5</v>
      </c>
      <c r="H701">
        <f>Table3[[#This Row],[G_1]]-Table3[[#This Row],[G]]</f>
        <v>4</v>
      </c>
      <c r="I701">
        <f>HomeEdge+VLOOKUP(Table3[[#This Row],[Home]],$A$6:$B$38,2,FALSE)-VLOOKUP(Table3[[#This Row],[Visitor]],$A$6:$B$38,2,FALSE)</f>
        <v>0.13185241221596289</v>
      </c>
      <c r="J701">
        <f>(Table3[[#This Row],[HomeMargin]]-Table3[[#This Row],[HomeForecast]])^2</f>
        <v>14.962565760879464</v>
      </c>
    </row>
    <row r="702" spans="4:10" x14ac:dyDescent="0.2">
      <c r="D702" t="s">
        <v>15</v>
      </c>
      <c r="E702">
        <f>'NHL2025-26Results'!C698</f>
        <v>2</v>
      </c>
      <c r="F702" t="s">
        <v>21</v>
      </c>
      <c r="G702">
        <f>'NHL2025-26Results'!E698</f>
        <v>10</v>
      </c>
      <c r="H702">
        <f>Table3[[#This Row],[G_1]]-Table3[[#This Row],[G]]</f>
        <v>8</v>
      </c>
      <c r="I702">
        <f>HomeEdge+VLOOKUP(Table3[[#This Row],[Home]],$A$6:$B$38,2,FALSE)-VLOOKUP(Table3[[#This Row],[Visitor]],$A$6:$B$38,2,FALSE)</f>
        <v>0.76359552754496451</v>
      </c>
      <c r="J702">
        <f>(Table3[[#This Row],[HomeMargin]]-Table3[[#This Row],[HomeForecast]])^2</f>
        <v>52.365549688967242</v>
      </c>
    </row>
    <row r="703" spans="4:10" x14ac:dyDescent="0.2">
      <c r="D703" t="s">
        <v>31</v>
      </c>
      <c r="E703">
        <f>'NHL2025-26Results'!C699</f>
        <v>3</v>
      </c>
      <c r="F703" t="s">
        <v>23</v>
      </c>
      <c r="G703">
        <f>'NHL2025-26Results'!E699</f>
        <v>5</v>
      </c>
      <c r="H703">
        <f>Table3[[#This Row],[G_1]]-Table3[[#This Row],[G]]</f>
        <v>2</v>
      </c>
      <c r="I703">
        <f>HomeEdge+VLOOKUP(Table3[[#This Row],[Home]],$A$6:$B$38,2,FALSE)-VLOOKUP(Table3[[#This Row],[Visitor]],$A$6:$B$38,2,FALSE)</f>
        <v>0.60136721353114764</v>
      </c>
      <c r="J703">
        <f>(Table3[[#This Row],[HomeMargin]]-Table3[[#This Row],[HomeForecast]])^2</f>
        <v>1.9561736713856264</v>
      </c>
    </row>
    <row r="704" spans="4:10" x14ac:dyDescent="0.2">
      <c r="D704" t="s">
        <v>32</v>
      </c>
      <c r="E704">
        <f>'NHL2025-26Results'!C700</f>
        <v>2</v>
      </c>
      <c r="F704" t="s">
        <v>25</v>
      </c>
      <c r="G704">
        <f>'NHL2025-26Results'!E700</f>
        <v>3</v>
      </c>
      <c r="H704">
        <f>Table3[[#This Row],[G_1]]-Table3[[#This Row],[G]]</f>
        <v>1</v>
      </c>
      <c r="I704">
        <f>HomeEdge+VLOOKUP(Table3[[#This Row],[Home]],$A$6:$B$38,2,FALSE)-VLOOKUP(Table3[[#This Row],[Visitor]],$A$6:$B$38,2,FALSE)</f>
        <v>0.84446834167259266</v>
      </c>
      <c r="J704">
        <f>(Table3[[#This Row],[HomeMargin]]-Table3[[#This Row],[HomeForecast]])^2</f>
        <v>2.4190096742073376E-2</v>
      </c>
    </row>
    <row r="705" spans="4:10" x14ac:dyDescent="0.2">
      <c r="D705" t="s">
        <v>28</v>
      </c>
      <c r="E705">
        <f>'NHL2025-26Results'!C701</f>
        <v>0</v>
      </c>
      <c r="F705" t="s">
        <v>12</v>
      </c>
      <c r="G705">
        <f>'NHL2025-26Results'!E701</f>
        <v>4</v>
      </c>
      <c r="H705">
        <f>Table3[[#This Row],[G_1]]-Table3[[#This Row],[G]]</f>
        <v>4</v>
      </c>
      <c r="I705">
        <f>HomeEdge+VLOOKUP(Table3[[#This Row],[Home]],$A$6:$B$38,2,FALSE)-VLOOKUP(Table3[[#This Row],[Visitor]],$A$6:$B$38,2,FALSE)</f>
        <v>1.4098386180452747</v>
      </c>
      <c r="J705">
        <f>(Table3[[#This Row],[HomeMargin]]-Table3[[#This Row],[HomeForecast]])^2</f>
        <v>6.7089359845696128</v>
      </c>
    </row>
    <row r="706" spans="4:10" x14ac:dyDescent="0.2">
      <c r="D706" t="s">
        <v>13</v>
      </c>
      <c r="E706">
        <f>'NHL2025-26Results'!C702</f>
        <v>4</v>
      </c>
      <c r="F706" t="s">
        <v>17</v>
      </c>
      <c r="G706">
        <f>'NHL2025-26Results'!E702</f>
        <v>3</v>
      </c>
      <c r="H706">
        <f>Table3[[#This Row],[G_1]]-Table3[[#This Row],[G]]</f>
        <v>-1</v>
      </c>
      <c r="I706">
        <f>HomeEdge+VLOOKUP(Table3[[#This Row],[Home]],$A$6:$B$38,2,FALSE)-VLOOKUP(Table3[[#This Row],[Visitor]],$A$6:$B$38,2,FALSE)</f>
        <v>0.35567793518126645</v>
      </c>
      <c r="J706">
        <f>(Table3[[#This Row],[HomeMargin]]-Table3[[#This Row],[HomeForecast]])^2</f>
        <v>1.8378626639373421</v>
      </c>
    </row>
    <row r="707" spans="4:10" x14ac:dyDescent="0.2">
      <c r="D707" t="s">
        <v>30</v>
      </c>
      <c r="E707">
        <f>'NHL2025-26Results'!C703</f>
        <v>4</v>
      </c>
      <c r="F707" t="s">
        <v>34</v>
      </c>
      <c r="G707">
        <f>'NHL2025-26Results'!E703</f>
        <v>3</v>
      </c>
      <c r="H707">
        <f>Table3[[#This Row],[G_1]]-Table3[[#This Row],[G]]</f>
        <v>-1</v>
      </c>
      <c r="I707">
        <f>HomeEdge+VLOOKUP(Table3[[#This Row],[Home]],$A$6:$B$38,2,FALSE)-VLOOKUP(Table3[[#This Row],[Visitor]],$A$6:$B$38,2,FALSE)</f>
        <v>0.3763968951374872</v>
      </c>
      <c r="J707">
        <f>(Table3[[#This Row],[HomeMargin]]-Table3[[#This Row],[HomeForecast]])^2</f>
        <v>1.8944684129441149</v>
      </c>
    </row>
    <row r="708" spans="4:10" x14ac:dyDescent="0.2">
      <c r="D708" t="s">
        <v>26</v>
      </c>
      <c r="E708">
        <f>'NHL2025-26Results'!C704</f>
        <v>4</v>
      </c>
      <c r="F708" t="s">
        <v>18</v>
      </c>
      <c r="G708">
        <f>'NHL2025-26Results'!E704</f>
        <v>0</v>
      </c>
      <c r="H708">
        <f>Table3[[#This Row],[G_1]]-Table3[[#This Row],[G]]</f>
        <v>-4</v>
      </c>
      <c r="I708">
        <f>HomeEdge+VLOOKUP(Table3[[#This Row],[Home]],$A$6:$B$38,2,FALSE)-VLOOKUP(Table3[[#This Row],[Visitor]],$A$6:$B$38,2,FALSE)</f>
        <v>0.37447009422654232</v>
      </c>
      <c r="J708">
        <f>(Table3[[#This Row],[HomeMargin]]-Table3[[#This Row],[HomeForecast]])^2</f>
        <v>19.135988605282378</v>
      </c>
    </row>
    <row r="709" spans="4:10" x14ac:dyDescent="0.2">
      <c r="D709" t="s">
        <v>10</v>
      </c>
      <c r="E709">
        <f>'NHL2025-26Results'!C705</f>
        <v>3</v>
      </c>
      <c r="F709" t="s">
        <v>29</v>
      </c>
      <c r="G709">
        <f>'NHL2025-26Results'!E705</f>
        <v>0</v>
      </c>
      <c r="H709">
        <f>Table3[[#This Row],[G_1]]-Table3[[#This Row],[G]]</f>
        <v>-3</v>
      </c>
      <c r="I709">
        <f>HomeEdge+VLOOKUP(Table3[[#This Row],[Home]],$A$6:$B$38,2,FALSE)-VLOOKUP(Table3[[#This Row],[Visitor]],$A$6:$B$38,2,FALSE)</f>
        <v>0.2356229559622901</v>
      </c>
      <c r="J709">
        <f>(Table3[[#This Row],[HomeMargin]]-Table3[[#This Row],[HomeForecast]])^2</f>
        <v>10.469255913150148</v>
      </c>
    </row>
    <row r="710" spans="4:10" x14ac:dyDescent="0.2">
      <c r="D710" t="s">
        <v>11</v>
      </c>
      <c r="E710">
        <f>'NHL2025-26Results'!C706</f>
        <v>3</v>
      </c>
      <c r="F710" t="s">
        <v>36</v>
      </c>
      <c r="G710">
        <f>'NHL2025-26Results'!E706</f>
        <v>2</v>
      </c>
      <c r="H710">
        <f>Table3[[#This Row],[G_1]]-Table3[[#This Row],[G]]</f>
        <v>-1</v>
      </c>
      <c r="I710">
        <f>HomeEdge+VLOOKUP(Table3[[#This Row],[Home]],$A$6:$B$38,2,FALSE)-VLOOKUP(Table3[[#This Row],[Visitor]],$A$6:$B$38,2,FALSE)</f>
        <v>0.49645163443410611</v>
      </c>
      <c r="J710">
        <f>(Table3[[#This Row],[HomeMargin]]-Table3[[#This Row],[HomeForecast]])^2</f>
        <v>2.2393674942005077</v>
      </c>
    </row>
    <row r="711" spans="4:10" x14ac:dyDescent="0.2">
      <c r="D711" t="s">
        <v>37</v>
      </c>
      <c r="E711">
        <f>'NHL2025-26Results'!C707</f>
        <v>7</v>
      </c>
      <c r="F711" t="s">
        <v>27</v>
      </c>
      <c r="G711">
        <f>'NHL2025-26Results'!E707</f>
        <v>2</v>
      </c>
      <c r="H711">
        <f>Table3[[#This Row],[G_1]]-Table3[[#This Row],[G]]</f>
        <v>-5</v>
      </c>
      <c r="I711">
        <f>HomeEdge+VLOOKUP(Table3[[#This Row],[Home]],$A$6:$B$38,2,FALSE)-VLOOKUP(Table3[[#This Row],[Visitor]],$A$6:$B$38,2,FALSE)</f>
        <v>-1.1424542008059613</v>
      </c>
      <c r="J711">
        <f>(Table3[[#This Row],[HomeMargin]]-Table3[[#This Row],[HomeForecast]])^2</f>
        <v>14.880659592879576</v>
      </c>
    </row>
    <row r="712" spans="4:10" x14ac:dyDescent="0.2">
      <c r="D712" t="s">
        <v>16</v>
      </c>
      <c r="E712">
        <f>'NHL2025-26Results'!C708</f>
        <v>2</v>
      </c>
      <c r="F712" t="s">
        <v>14</v>
      </c>
      <c r="G712">
        <f>'NHL2025-26Results'!E708</f>
        <v>1</v>
      </c>
      <c r="H712">
        <f>Table3[[#This Row],[G_1]]-Table3[[#This Row],[G]]</f>
        <v>-1</v>
      </c>
      <c r="I712">
        <f>HomeEdge+VLOOKUP(Table3[[#This Row],[Home]],$A$6:$B$38,2,FALSE)-VLOOKUP(Table3[[#This Row],[Visitor]],$A$6:$B$38,2,FALSE)</f>
        <v>1.0199555539738305</v>
      </c>
      <c r="J712">
        <f>(Table3[[#This Row],[HomeMargin]]-Table3[[#This Row],[HomeForecast]])^2</f>
        <v>4.0802204400297253</v>
      </c>
    </row>
    <row r="713" spans="4:10" x14ac:dyDescent="0.2">
      <c r="D713" t="s">
        <v>39</v>
      </c>
      <c r="E713">
        <f>'NHL2025-26Results'!C709</f>
        <v>4</v>
      </c>
      <c r="F713" t="s">
        <v>33</v>
      </c>
      <c r="G713">
        <f>'NHL2025-26Results'!E709</f>
        <v>5</v>
      </c>
      <c r="H713">
        <f>Table3[[#This Row],[G_1]]-Table3[[#This Row],[G]]</f>
        <v>1</v>
      </c>
      <c r="I713">
        <f>HomeEdge+VLOOKUP(Table3[[#This Row],[Home]],$A$6:$B$38,2,FALSE)-VLOOKUP(Table3[[#This Row],[Visitor]],$A$6:$B$38,2,FALSE)</f>
        <v>-0.73983914700349396</v>
      </c>
      <c r="J713">
        <f>(Table3[[#This Row],[HomeMargin]]-Table3[[#This Row],[HomeForecast]])^2</f>
        <v>3.0270402574458455</v>
      </c>
    </row>
    <row r="714" spans="4:10" x14ac:dyDescent="0.2">
      <c r="D714" t="s">
        <v>38</v>
      </c>
      <c r="E714">
        <f>'NHL2025-26Results'!C710</f>
        <v>0</v>
      </c>
      <c r="F714" t="s">
        <v>19</v>
      </c>
      <c r="G714">
        <f>'NHL2025-26Results'!E710</f>
        <v>5</v>
      </c>
      <c r="H714">
        <f>Table3[[#This Row],[G_1]]-Table3[[#This Row],[G]]</f>
        <v>5</v>
      </c>
      <c r="I714">
        <f>HomeEdge+VLOOKUP(Table3[[#This Row],[Home]],$A$6:$B$38,2,FALSE)-VLOOKUP(Table3[[#This Row],[Visitor]],$A$6:$B$38,2,FALSE)</f>
        <v>1.0793297204104773</v>
      </c>
      <c r="J714">
        <f>(Table3[[#This Row],[HomeMargin]]-Table3[[#This Row],[HomeForecast]])^2</f>
        <v>15.371655441256586</v>
      </c>
    </row>
    <row r="715" spans="4:10" x14ac:dyDescent="0.2">
      <c r="D715" t="s">
        <v>35</v>
      </c>
      <c r="E715">
        <f>'NHL2025-26Results'!C711</f>
        <v>2</v>
      </c>
      <c r="F715" t="s">
        <v>20</v>
      </c>
      <c r="G715">
        <f>'NHL2025-26Results'!E711</f>
        <v>4</v>
      </c>
      <c r="H715">
        <f>Table3[[#This Row],[G_1]]-Table3[[#This Row],[G]]</f>
        <v>2</v>
      </c>
      <c r="I715">
        <f>HomeEdge+VLOOKUP(Table3[[#This Row],[Home]],$A$6:$B$38,2,FALSE)-VLOOKUP(Table3[[#This Row],[Visitor]],$A$6:$B$38,2,FALSE)</f>
        <v>1.2794996249024395</v>
      </c>
      <c r="J715">
        <f>(Table3[[#This Row],[HomeMargin]]-Table3[[#This Row],[HomeForecast]])^2</f>
        <v>0.51912079051572535</v>
      </c>
    </row>
    <row r="716" spans="4:10" x14ac:dyDescent="0.2">
      <c r="D716" t="s">
        <v>14</v>
      </c>
      <c r="E716">
        <f>'NHL2025-26Results'!C712</f>
        <v>0</v>
      </c>
      <c r="F716" t="s">
        <v>21</v>
      </c>
      <c r="G716">
        <f>'NHL2025-26Results'!E712</f>
        <v>1</v>
      </c>
      <c r="H716">
        <f>Table3[[#This Row],[G_1]]-Table3[[#This Row],[G]]</f>
        <v>1</v>
      </c>
      <c r="I716">
        <f>HomeEdge+VLOOKUP(Table3[[#This Row],[Home]],$A$6:$B$38,2,FALSE)-VLOOKUP(Table3[[#This Row],[Visitor]],$A$6:$B$38,2,FALSE)</f>
        <v>2.7040023267470254E-2</v>
      </c>
      <c r="J716">
        <f>(Table3[[#This Row],[HomeMargin]]-Table3[[#This Row],[HomeForecast]])^2</f>
        <v>0.94665111632336485</v>
      </c>
    </row>
    <row r="717" spans="4:10" x14ac:dyDescent="0.2">
      <c r="D717" t="s">
        <v>22</v>
      </c>
      <c r="E717">
        <f>'NHL2025-26Results'!C713</f>
        <v>2</v>
      </c>
      <c r="F717" t="s">
        <v>29</v>
      </c>
      <c r="G717">
        <f>'NHL2025-26Results'!E713</f>
        <v>3</v>
      </c>
      <c r="H717">
        <f>Table3[[#This Row],[G_1]]-Table3[[#This Row],[G]]</f>
        <v>1</v>
      </c>
      <c r="I717">
        <f>HomeEdge+VLOOKUP(Table3[[#This Row],[Home]],$A$6:$B$38,2,FALSE)-VLOOKUP(Table3[[#This Row],[Visitor]],$A$6:$B$38,2,FALSE)</f>
        <v>-0.57118189355994919</v>
      </c>
      <c r="J717">
        <f>(Table3[[#This Row],[HomeMargin]]-Table3[[#This Row],[HomeForecast]])^2</f>
        <v>2.4686125426506278</v>
      </c>
    </row>
    <row r="718" spans="4:10" x14ac:dyDescent="0.2">
      <c r="D718" t="s">
        <v>20</v>
      </c>
      <c r="E718">
        <f>'NHL2025-26Results'!C714</f>
        <v>7</v>
      </c>
      <c r="F718" t="s">
        <v>33</v>
      </c>
      <c r="G718">
        <f>'NHL2025-26Results'!E714</f>
        <v>2</v>
      </c>
      <c r="H718">
        <f>Table3[[#This Row],[G_1]]-Table3[[#This Row],[G]]</f>
        <v>-5</v>
      </c>
      <c r="I718">
        <f>HomeEdge+VLOOKUP(Table3[[#This Row],[Home]],$A$6:$B$38,2,FALSE)-VLOOKUP(Table3[[#This Row],[Visitor]],$A$6:$B$38,2,FALSE)</f>
        <v>-0.35979420490836322</v>
      </c>
      <c r="J718">
        <f>(Table3[[#This Row],[HomeMargin]]-Table3[[#This Row],[HomeForecast]])^2</f>
        <v>21.531509820802011</v>
      </c>
    </row>
    <row r="719" spans="4:10" x14ac:dyDescent="0.2">
      <c r="D719" t="s">
        <v>28</v>
      </c>
      <c r="E719">
        <f>'NHL2025-26Results'!C715</f>
        <v>3</v>
      </c>
      <c r="F719" t="s">
        <v>55</v>
      </c>
      <c r="G719">
        <f>'NHL2025-26Results'!E715</f>
        <v>2</v>
      </c>
      <c r="H719">
        <f>Table3[[#This Row],[G_1]]-Table3[[#This Row],[G]]</f>
        <v>-1</v>
      </c>
      <c r="I719">
        <f>HomeEdge+VLOOKUP(Table3[[#This Row],[Home]],$A$6:$B$38,2,FALSE)-VLOOKUP(Table3[[#This Row],[Visitor]],$A$6:$B$38,2,FALSE)</f>
        <v>0.49526651037424341</v>
      </c>
      <c r="J719">
        <f>(Table3[[#This Row],[HomeMargin]]-Table3[[#This Row],[HomeForecast]])^2</f>
        <v>2.2358219370467669</v>
      </c>
    </row>
    <row r="720" spans="4:10" x14ac:dyDescent="0.2">
      <c r="D720" t="s">
        <v>24</v>
      </c>
      <c r="E720">
        <f>'NHL2025-26Results'!C716</f>
        <v>3</v>
      </c>
      <c r="F720" t="s">
        <v>40</v>
      </c>
      <c r="G720">
        <f>'NHL2025-26Results'!E716</f>
        <v>4</v>
      </c>
      <c r="H720">
        <f>Table3[[#This Row],[G_1]]-Table3[[#This Row],[G]]</f>
        <v>1</v>
      </c>
      <c r="I720">
        <f>HomeEdge+VLOOKUP(Table3[[#This Row],[Home]],$A$6:$B$38,2,FALSE)-VLOOKUP(Table3[[#This Row],[Visitor]],$A$6:$B$38,2,FALSE)</f>
        <v>0.28626354865922554</v>
      </c>
      <c r="J720">
        <f>(Table3[[#This Row],[HomeMargin]]-Table3[[#This Row],[HomeForecast]])^2</f>
        <v>0.50941972197252172</v>
      </c>
    </row>
    <row r="721" spans="4:10" x14ac:dyDescent="0.2">
      <c r="D721" t="s">
        <v>11</v>
      </c>
      <c r="E721">
        <f>'NHL2025-26Results'!C717</f>
        <v>4</v>
      </c>
      <c r="F721" t="s">
        <v>23</v>
      </c>
      <c r="G721">
        <f>'NHL2025-26Results'!E717</f>
        <v>3</v>
      </c>
      <c r="H721">
        <f>Table3[[#This Row],[G_1]]-Table3[[#This Row],[G]]</f>
        <v>-1</v>
      </c>
      <c r="I721">
        <f>HomeEdge+VLOOKUP(Table3[[#This Row],[Home]],$A$6:$B$38,2,FALSE)-VLOOKUP(Table3[[#This Row],[Visitor]],$A$6:$B$38,2,FALSE)</f>
        <v>0.69471351368238232</v>
      </c>
      <c r="J721">
        <f>(Table3[[#This Row],[HomeMargin]]-Table3[[#This Row],[HomeForecast]])^2</f>
        <v>2.8720538934576862</v>
      </c>
    </row>
    <row r="722" spans="4:10" x14ac:dyDescent="0.2">
      <c r="D722" t="s">
        <v>17</v>
      </c>
      <c r="E722">
        <f>'NHL2025-26Results'!C718</f>
        <v>4</v>
      </c>
      <c r="F722" t="s">
        <v>10</v>
      </c>
      <c r="G722">
        <f>'NHL2025-26Results'!E718</f>
        <v>1</v>
      </c>
      <c r="H722">
        <f>Table3[[#This Row],[G_1]]-Table3[[#This Row],[G]]</f>
        <v>-3</v>
      </c>
      <c r="I722">
        <f>HomeEdge+VLOOKUP(Table3[[#This Row],[Home]],$A$6:$B$38,2,FALSE)-VLOOKUP(Table3[[#This Row],[Visitor]],$A$6:$B$38,2,FALSE)</f>
        <v>-0.4323478460323103</v>
      </c>
      <c r="J722">
        <f>(Table3[[#This Row],[HomeMargin]]-Table3[[#This Row],[HomeForecast]])^2</f>
        <v>6.5928375837749158</v>
      </c>
    </row>
    <row r="723" spans="4:10" x14ac:dyDescent="0.2">
      <c r="D723" t="s">
        <v>19</v>
      </c>
      <c r="E723">
        <f>'NHL2025-26Results'!C719</f>
        <v>4</v>
      </c>
      <c r="F723" t="s">
        <v>12</v>
      </c>
      <c r="G723">
        <f>'NHL2025-26Results'!E719</f>
        <v>3</v>
      </c>
      <c r="H723">
        <f>Table3[[#This Row],[G_1]]-Table3[[#This Row],[G]]</f>
        <v>-1</v>
      </c>
      <c r="I723">
        <f>HomeEdge+VLOOKUP(Table3[[#This Row],[Home]],$A$6:$B$38,2,FALSE)-VLOOKUP(Table3[[#This Row],[Visitor]],$A$6:$B$38,2,FALSE)</f>
        <v>1.5705543875980084</v>
      </c>
      <c r="J723">
        <f>(Table3[[#This Row],[HomeMargin]]-Table3[[#This Row],[HomeForecast]])^2</f>
        <v>6.6077498595993722</v>
      </c>
    </row>
    <row r="724" spans="4:10" x14ac:dyDescent="0.2">
      <c r="D724" t="s">
        <v>25</v>
      </c>
      <c r="E724">
        <f>'NHL2025-26Results'!C720</f>
        <v>3</v>
      </c>
      <c r="F724" t="s">
        <v>26</v>
      </c>
      <c r="G724">
        <f>'NHL2025-26Results'!E720</f>
        <v>4</v>
      </c>
      <c r="H724">
        <f>Table3[[#This Row],[G_1]]-Table3[[#This Row],[G]]</f>
        <v>1</v>
      </c>
      <c r="I724">
        <f>HomeEdge+VLOOKUP(Table3[[#This Row],[Home]],$A$6:$B$38,2,FALSE)-VLOOKUP(Table3[[#This Row],[Visitor]],$A$6:$B$38,2,FALSE)</f>
        <v>-0.43402500085259621</v>
      </c>
      <c r="J724">
        <f>(Table3[[#This Row],[HomeMargin]]-Table3[[#This Row],[HomeForecast]])^2</f>
        <v>2.0564277030702889</v>
      </c>
    </row>
    <row r="725" spans="4:10" x14ac:dyDescent="0.2">
      <c r="D725" t="s">
        <v>39</v>
      </c>
      <c r="E725">
        <f>'NHL2025-26Results'!C721</f>
        <v>3</v>
      </c>
      <c r="F725" t="s">
        <v>13</v>
      </c>
      <c r="G725">
        <f>'NHL2025-26Results'!E721</f>
        <v>1</v>
      </c>
      <c r="H725">
        <f>Table3[[#This Row],[G_1]]-Table3[[#This Row],[G]]</f>
        <v>-2</v>
      </c>
      <c r="I725">
        <f>HomeEdge+VLOOKUP(Table3[[#This Row],[Home]],$A$6:$B$38,2,FALSE)-VLOOKUP(Table3[[#This Row],[Visitor]],$A$6:$B$38,2,FALSE)</f>
        <v>-0.67817022095439272</v>
      </c>
      <c r="J725">
        <f>(Table3[[#This Row],[HomeMargin]]-Table3[[#This Row],[HomeForecast]])^2</f>
        <v>1.747233964771759</v>
      </c>
    </row>
    <row r="726" spans="4:10" x14ac:dyDescent="0.2">
      <c r="D726" t="s">
        <v>24</v>
      </c>
      <c r="E726">
        <f>'NHL2025-26Results'!C722</f>
        <v>5</v>
      </c>
      <c r="F726" t="s">
        <v>34</v>
      </c>
      <c r="G726">
        <f>'NHL2025-26Results'!E722</f>
        <v>2</v>
      </c>
      <c r="H726">
        <f>Table3[[#This Row],[G_1]]-Table3[[#This Row],[G]]</f>
        <v>-3</v>
      </c>
      <c r="I726">
        <f>HomeEdge+VLOOKUP(Table3[[#This Row],[Home]],$A$6:$B$38,2,FALSE)-VLOOKUP(Table3[[#This Row],[Visitor]],$A$6:$B$38,2,FALSE)</f>
        <v>0.93520030488311412</v>
      </c>
      <c r="J726">
        <f>(Table3[[#This Row],[HomeMargin]]-Table3[[#This Row],[HomeForecast]])^2</f>
        <v>15.485801439552157</v>
      </c>
    </row>
    <row r="727" spans="4:10" x14ac:dyDescent="0.2">
      <c r="D727" t="s">
        <v>38</v>
      </c>
      <c r="E727">
        <f>'NHL2025-26Results'!C723</f>
        <v>3</v>
      </c>
      <c r="F727" t="s">
        <v>18</v>
      </c>
      <c r="G727">
        <f>'NHL2025-26Results'!E723</f>
        <v>6</v>
      </c>
      <c r="H727">
        <f>Table3[[#This Row],[G_1]]-Table3[[#This Row],[G]]</f>
        <v>3</v>
      </c>
      <c r="I727">
        <f>HomeEdge+VLOOKUP(Table3[[#This Row],[Home]],$A$6:$B$38,2,FALSE)-VLOOKUP(Table3[[#This Row],[Visitor]],$A$6:$B$38,2,FALSE)</f>
        <v>1.435335611931233</v>
      </c>
      <c r="J727">
        <f>(Table3[[#This Row],[HomeMargin]]-Table3[[#This Row],[HomeForecast]])^2</f>
        <v>2.448174647290609</v>
      </c>
    </row>
    <row r="728" spans="4:10" x14ac:dyDescent="0.2">
      <c r="D728" t="s">
        <v>32</v>
      </c>
      <c r="E728">
        <f>'NHL2025-26Results'!C724</f>
        <v>4</v>
      </c>
      <c r="F728" t="s">
        <v>15</v>
      </c>
      <c r="G728">
        <f>'NHL2025-26Results'!E724</f>
        <v>2</v>
      </c>
      <c r="H728">
        <f>Table3[[#This Row],[G_1]]-Table3[[#This Row],[G]]</f>
        <v>-2</v>
      </c>
      <c r="I728">
        <f>HomeEdge+VLOOKUP(Table3[[#This Row],[Home]],$A$6:$B$38,2,FALSE)-VLOOKUP(Table3[[#This Row],[Visitor]],$A$6:$B$38,2,FALSE)</f>
        <v>-0.12454501457445716</v>
      </c>
      <c r="J728">
        <f>(Table3[[#This Row],[HomeMargin]]-Table3[[#This Row],[HomeForecast]])^2</f>
        <v>3.5173314023575233</v>
      </c>
    </row>
    <row r="729" spans="4:10" x14ac:dyDescent="0.2">
      <c r="D729" t="s">
        <v>37</v>
      </c>
      <c r="E729">
        <f>'NHL2025-26Results'!C725</f>
        <v>5</v>
      </c>
      <c r="F729" t="s">
        <v>27</v>
      </c>
      <c r="G729">
        <f>'NHL2025-26Results'!E725</f>
        <v>1</v>
      </c>
      <c r="H729">
        <f>Table3[[#This Row],[G_1]]-Table3[[#This Row],[G]]</f>
        <v>-4</v>
      </c>
      <c r="I729">
        <f>HomeEdge+VLOOKUP(Table3[[#This Row],[Home]],$A$6:$B$38,2,FALSE)-VLOOKUP(Table3[[#This Row],[Visitor]],$A$6:$B$38,2,FALSE)</f>
        <v>-1.1424542008059613</v>
      </c>
      <c r="J729">
        <f>(Table3[[#This Row],[HomeMargin]]-Table3[[#This Row],[HomeForecast]])^2</f>
        <v>8.1655679944914983</v>
      </c>
    </row>
    <row r="730" spans="4:10" x14ac:dyDescent="0.2">
      <c r="D730" t="s">
        <v>39</v>
      </c>
      <c r="E730">
        <f>'NHL2025-26Results'!C726</f>
        <v>1</v>
      </c>
      <c r="F730" t="s">
        <v>31</v>
      </c>
      <c r="G730">
        <f>'NHL2025-26Results'!E726</f>
        <v>3</v>
      </c>
      <c r="H730">
        <f>Table3[[#This Row],[G_1]]-Table3[[#This Row],[G]]</f>
        <v>2</v>
      </c>
      <c r="I730">
        <f>HomeEdge+VLOOKUP(Table3[[#This Row],[Home]],$A$6:$B$38,2,FALSE)-VLOOKUP(Table3[[#This Row],[Visitor]],$A$6:$B$38,2,FALSE)</f>
        <v>-0.55107915318331213</v>
      </c>
      <c r="J730">
        <f>(Table3[[#This Row],[HomeMargin]]-Table3[[#This Row],[HomeForecast]])^2</f>
        <v>6.5080048458064841</v>
      </c>
    </row>
    <row r="731" spans="4:10" x14ac:dyDescent="0.2">
      <c r="D731" t="s">
        <v>26</v>
      </c>
      <c r="E731">
        <f>'NHL2025-26Results'!C727</f>
        <v>0</v>
      </c>
      <c r="F731" t="s">
        <v>21</v>
      </c>
      <c r="G731">
        <f>'NHL2025-26Results'!E727</f>
        <v>3</v>
      </c>
      <c r="H731">
        <f>Table3[[#This Row],[G_1]]-Table3[[#This Row],[G]]</f>
        <v>3</v>
      </c>
      <c r="I731">
        <f>HomeEdge+VLOOKUP(Table3[[#This Row],[Home]],$A$6:$B$38,2,FALSE)-VLOOKUP(Table3[[#This Row],[Visitor]],$A$6:$B$38,2,FALSE)</f>
        <v>0.35821415796203504</v>
      </c>
      <c r="J731">
        <f>(Table3[[#This Row],[HomeMargin]]-Table3[[#This Row],[HomeForecast]])^2</f>
        <v>6.9790324351922406</v>
      </c>
    </row>
    <row r="732" spans="4:10" x14ac:dyDescent="0.2">
      <c r="D732" t="s">
        <v>16</v>
      </c>
      <c r="E732">
        <f>'NHL2025-26Results'!C728</f>
        <v>3</v>
      </c>
      <c r="F732" t="s">
        <v>28</v>
      </c>
      <c r="G732">
        <f>'NHL2025-26Results'!E728</f>
        <v>5</v>
      </c>
      <c r="H732">
        <f>Table3[[#This Row],[G_1]]-Table3[[#This Row],[G]]</f>
        <v>2</v>
      </c>
      <c r="I732">
        <f>HomeEdge+VLOOKUP(Table3[[#This Row],[Home]],$A$6:$B$38,2,FALSE)-VLOOKUP(Table3[[#This Row],[Visitor]],$A$6:$B$38,2,FALSE)</f>
        <v>0.73835440572626188</v>
      </c>
      <c r="J732">
        <f>(Table3[[#This Row],[HomeMargin]]-Table3[[#This Row],[HomeForecast]])^2</f>
        <v>1.5917496055503337</v>
      </c>
    </row>
    <row r="733" spans="4:10" x14ac:dyDescent="0.2">
      <c r="D733" t="s">
        <v>17</v>
      </c>
      <c r="E733">
        <f>'NHL2025-26Results'!C729</f>
        <v>3</v>
      </c>
      <c r="F733" t="s">
        <v>29</v>
      </c>
      <c r="G733">
        <f>'NHL2025-26Results'!E729</f>
        <v>4</v>
      </c>
      <c r="H733">
        <f>Table3[[#This Row],[G_1]]-Table3[[#This Row],[G]]</f>
        <v>1</v>
      </c>
      <c r="I733">
        <f>HomeEdge+VLOOKUP(Table3[[#This Row],[Home]],$A$6:$B$38,2,FALSE)-VLOOKUP(Table3[[#This Row],[Visitor]],$A$6:$B$38,2,FALSE)</f>
        <v>-0.32633187588154428</v>
      </c>
      <c r="J733">
        <f>(Table3[[#This Row],[HomeMargin]]-Table3[[#This Row],[HomeForecast]])^2</f>
        <v>1.7591562449794562</v>
      </c>
    </row>
    <row r="734" spans="4:10" x14ac:dyDescent="0.2">
      <c r="D734" t="s">
        <v>38</v>
      </c>
      <c r="E734">
        <f>'NHL2025-26Results'!C730</f>
        <v>1</v>
      </c>
      <c r="F734" t="s">
        <v>36</v>
      </c>
      <c r="G734">
        <f>'NHL2025-26Results'!E730</f>
        <v>2</v>
      </c>
      <c r="H734">
        <f>Table3[[#This Row],[G_1]]-Table3[[#This Row],[G]]</f>
        <v>1</v>
      </c>
      <c r="I734">
        <f>HomeEdge+VLOOKUP(Table3[[#This Row],[Home]],$A$6:$B$38,2,FALSE)-VLOOKUP(Table3[[#This Row],[Visitor]],$A$6:$B$38,2,FALSE)</f>
        <v>1.3315028060550851</v>
      </c>
      <c r="J734">
        <f>(Table3[[#This Row],[HomeMargin]]-Table3[[#This Row],[HomeForecast]])^2</f>
        <v>0.10989411042239536</v>
      </c>
    </row>
    <row r="735" spans="4:10" x14ac:dyDescent="0.2">
      <c r="D735" t="s">
        <v>37</v>
      </c>
      <c r="E735">
        <f>'NHL2025-26Results'!C731</f>
        <v>2</v>
      </c>
      <c r="F735" t="s">
        <v>14</v>
      </c>
      <c r="G735">
        <f>'NHL2025-26Results'!E731</f>
        <v>1</v>
      </c>
      <c r="H735">
        <f>Table3[[#This Row],[G_1]]-Table3[[#This Row],[G]]</f>
        <v>-1</v>
      </c>
      <c r="I735">
        <f>HomeEdge+VLOOKUP(Table3[[#This Row],[Home]],$A$6:$B$38,2,FALSE)-VLOOKUP(Table3[[#This Row],[Visitor]],$A$6:$B$38,2,FALSE)</f>
        <v>-0.59143851200074338</v>
      </c>
      <c r="J735">
        <f>(Table3[[#This Row],[HomeMargin]]-Table3[[#This Row],[HomeForecast]])^2</f>
        <v>0.16692248947616672</v>
      </c>
    </row>
    <row r="736" spans="4:10" x14ac:dyDescent="0.2">
      <c r="D736" t="s">
        <v>25</v>
      </c>
      <c r="E736">
        <f>'NHL2025-26Results'!C732</f>
        <v>0</v>
      </c>
      <c r="F736" t="s">
        <v>35</v>
      </c>
      <c r="G736">
        <f>'NHL2025-26Results'!E732</f>
        <v>3</v>
      </c>
      <c r="H736">
        <f>Table3[[#This Row],[G_1]]-Table3[[#This Row],[G]]</f>
        <v>3</v>
      </c>
      <c r="I736">
        <f>HomeEdge+VLOOKUP(Table3[[#This Row],[Home]],$A$6:$B$38,2,FALSE)-VLOOKUP(Table3[[#This Row],[Visitor]],$A$6:$B$38,2,FALSE)</f>
        <v>-1.4157444889762831</v>
      </c>
      <c r="J736">
        <f>(Table3[[#This Row],[HomeMargin]]-Table3[[#This Row],[HomeForecast]])^2</f>
        <v>19.498799391924418</v>
      </c>
    </row>
    <row r="737" spans="4:10" x14ac:dyDescent="0.2">
      <c r="D737" t="s">
        <v>19</v>
      </c>
      <c r="E737">
        <f>'NHL2025-26Results'!C733</f>
        <v>1</v>
      </c>
      <c r="F737" t="s">
        <v>55</v>
      </c>
      <c r="G737">
        <f>'NHL2025-26Results'!E733</f>
        <v>6</v>
      </c>
      <c r="H737">
        <f>Table3[[#This Row],[G_1]]-Table3[[#This Row],[G]]</f>
        <v>5</v>
      </c>
      <c r="I737">
        <f>HomeEdge+VLOOKUP(Table3[[#This Row],[Home]],$A$6:$B$38,2,FALSE)-VLOOKUP(Table3[[#This Row],[Visitor]],$A$6:$B$38,2,FALSE)</f>
        <v>0.65598227992697711</v>
      </c>
      <c r="J737">
        <f>(Table3[[#This Row],[HomeMargin]]-Table3[[#This Row],[HomeForecast]])^2</f>
        <v>18.870489952308422</v>
      </c>
    </row>
    <row r="738" spans="4:10" x14ac:dyDescent="0.2">
      <c r="D738" t="s">
        <v>30</v>
      </c>
      <c r="E738">
        <f>'NHL2025-26Results'!C734</f>
        <v>4</v>
      </c>
      <c r="F738" t="s">
        <v>40</v>
      </c>
      <c r="G738">
        <f>'NHL2025-26Results'!E734</f>
        <v>5</v>
      </c>
      <c r="H738">
        <f>Table3[[#This Row],[G_1]]-Table3[[#This Row],[G]]</f>
        <v>1</v>
      </c>
      <c r="I738">
        <f>HomeEdge+VLOOKUP(Table3[[#This Row],[Home]],$A$6:$B$38,2,FALSE)-VLOOKUP(Table3[[#This Row],[Visitor]],$A$6:$B$38,2,FALSE)</f>
        <v>-0.27253986108640132</v>
      </c>
      <c r="J738">
        <f>(Table3[[#This Row],[HomeMargin]]-Table3[[#This Row],[HomeForecast]])^2</f>
        <v>1.6193576980537978</v>
      </c>
    </row>
    <row r="739" spans="4:10" x14ac:dyDescent="0.2">
      <c r="D739" t="s">
        <v>18</v>
      </c>
      <c r="E739">
        <f>'NHL2025-26Results'!C735</f>
        <v>2</v>
      </c>
      <c r="F739" t="s">
        <v>22</v>
      </c>
      <c r="G739">
        <f>'NHL2025-26Results'!E735</f>
        <v>3</v>
      </c>
      <c r="H739">
        <f>Table3[[#This Row],[G_1]]-Table3[[#This Row],[G]]</f>
        <v>1</v>
      </c>
      <c r="I739">
        <f>HomeEdge+VLOOKUP(Table3[[#This Row],[Home]],$A$6:$B$38,2,FALSE)-VLOOKUP(Table3[[#This Row],[Visitor]],$A$6:$B$38,2,FALSE)</f>
        <v>9.610573074109556E-2</v>
      </c>
      <c r="J739">
        <f>(Table3[[#This Row],[HomeMargin]]-Table3[[#This Row],[HomeForecast]])^2</f>
        <v>0.81702484999908886</v>
      </c>
    </row>
    <row r="740" spans="4:10" x14ac:dyDescent="0.2">
      <c r="D740" t="s">
        <v>27</v>
      </c>
      <c r="E740">
        <f>'NHL2025-26Results'!C736</f>
        <v>2</v>
      </c>
      <c r="F740" t="s">
        <v>23</v>
      </c>
      <c r="G740">
        <f>'NHL2025-26Results'!E736</f>
        <v>5</v>
      </c>
      <c r="H740">
        <f>Table3[[#This Row],[G_1]]-Table3[[#This Row],[G]]</f>
        <v>3</v>
      </c>
      <c r="I740">
        <f>HomeEdge+VLOOKUP(Table3[[#This Row],[Home]],$A$6:$B$38,2,FALSE)-VLOOKUP(Table3[[#This Row],[Visitor]],$A$6:$B$38,2,FALSE)</f>
        <v>0.68874072170932366</v>
      </c>
      <c r="J740">
        <f>(Table3[[#This Row],[HomeMargin]]-Table3[[#This Row],[HomeForecast]])^2</f>
        <v>5.3419194514847383</v>
      </c>
    </row>
    <row r="741" spans="4:10" x14ac:dyDescent="0.2">
      <c r="D741" t="s">
        <v>20</v>
      </c>
      <c r="E741">
        <f>'NHL2025-26Results'!C737</f>
        <v>3</v>
      </c>
      <c r="F741" t="s">
        <v>13</v>
      </c>
      <c r="G741">
        <f>'NHL2025-26Results'!E737</f>
        <v>2</v>
      </c>
      <c r="H741">
        <f>Table3[[#This Row],[G_1]]-Table3[[#This Row],[G]]</f>
        <v>-1</v>
      </c>
      <c r="I741">
        <f>HomeEdge+VLOOKUP(Table3[[#This Row],[Home]],$A$6:$B$38,2,FALSE)-VLOOKUP(Table3[[#This Row],[Visitor]],$A$6:$B$38,2,FALSE)</f>
        <v>-0.29812527885926188</v>
      </c>
      <c r="J741">
        <f>(Table3[[#This Row],[HomeMargin]]-Table3[[#This Row],[HomeForecast]])^2</f>
        <v>0.4926281241763889</v>
      </c>
    </row>
    <row r="742" spans="4:10" x14ac:dyDescent="0.2">
      <c r="D742" t="s">
        <v>32</v>
      </c>
      <c r="E742">
        <f>'NHL2025-26Results'!C738</f>
        <v>2</v>
      </c>
      <c r="F742" t="s">
        <v>24</v>
      </c>
      <c r="G742">
        <f>'NHL2025-26Results'!E738</f>
        <v>3</v>
      </c>
      <c r="H742">
        <f>Table3[[#This Row],[G_1]]-Table3[[#This Row],[G]]</f>
        <v>1</v>
      </c>
      <c r="I742">
        <f>HomeEdge+VLOOKUP(Table3[[#This Row],[Home]],$A$6:$B$38,2,FALSE)-VLOOKUP(Table3[[#This Row],[Visitor]],$A$6:$B$38,2,FALSE)</f>
        <v>-0.13313389513834789</v>
      </c>
      <c r="J742">
        <f>(Table3[[#This Row],[HomeMargin]]-Table3[[#This Row],[HomeForecast]])^2</f>
        <v>1.2839924243114043</v>
      </c>
    </row>
    <row r="743" spans="4:10" x14ac:dyDescent="0.2">
      <c r="D743" t="s">
        <v>36</v>
      </c>
      <c r="E743">
        <f>'NHL2025-26Results'!C739</f>
        <v>8</v>
      </c>
      <c r="F743" t="s">
        <v>15</v>
      </c>
      <c r="G743">
        <f>'NHL2025-26Results'!E739</f>
        <v>4</v>
      </c>
      <c r="H743">
        <f>Table3[[#This Row],[G_1]]-Table3[[#This Row],[G]]</f>
        <v>-4</v>
      </c>
      <c r="I743">
        <f>HomeEdge+VLOOKUP(Table3[[#This Row],[Home]],$A$6:$B$38,2,FALSE)-VLOOKUP(Table3[[#This Row],[Visitor]],$A$6:$B$38,2,FALSE)</f>
        <v>-0.41680468631027567</v>
      </c>
      <c r="J743">
        <f>(Table3[[#This Row],[HomeMargin]]-Table3[[#This Row],[HomeForecast]])^2</f>
        <v>12.839288656048002</v>
      </c>
    </row>
    <row r="744" spans="4:10" x14ac:dyDescent="0.2">
      <c r="D744" t="s">
        <v>32</v>
      </c>
      <c r="E744">
        <f>'NHL2025-26Results'!C740</f>
        <v>2</v>
      </c>
      <c r="F744" t="s">
        <v>21</v>
      </c>
      <c r="G744">
        <f>'NHL2025-26Results'!E740</f>
        <v>4</v>
      </c>
      <c r="H744">
        <f>Table3[[#This Row],[G_1]]-Table3[[#This Row],[G]]</f>
        <v>2</v>
      </c>
      <c r="I744">
        <f>HomeEdge+VLOOKUP(Table3[[#This Row],[Home]],$A$6:$B$38,2,FALSE)-VLOOKUP(Table3[[#This Row],[Visitor]],$A$6:$B$38,2,FALSE)</f>
        <v>0.50944352715898333</v>
      </c>
      <c r="J744">
        <f>(Table3[[#This Row],[HomeMargin]]-Table3[[#This Row],[HomeForecast]])^2</f>
        <v>2.2217585987282527</v>
      </c>
    </row>
    <row r="745" spans="4:10" x14ac:dyDescent="0.2">
      <c r="D745" t="s">
        <v>18</v>
      </c>
      <c r="E745">
        <f>'NHL2025-26Results'!C741</f>
        <v>3</v>
      </c>
      <c r="F745" t="s">
        <v>23</v>
      </c>
      <c r="G745">
        <f>'NHL2025-26Results'!E741</f>
        <v>5</v>
      </c>
      <c r="H745">
        <f>Table3[[#This Row],[G_1]]-Table3[[#This Row],[G]]</f>
        <v>2</v>
      </c>
      <c r="I745">
        <f>HomeEdge+VLOOKUP(Table3[[#This Row],[Home]],$A$6:$B$38,2,FALSE)-VLOOKUP(Table3[[#This Row],[Visitor]],$A$6:$B$38,2,FALSE)</f>
        <v>0.22403605918365235</v>
      </c>
      <c r="J745">
        <f>(Table3[[#This Row],[HomeMargin]]-Table3[[#This Row],[HomeForecast]])^2</f>
        <v>3.1540479190799315</v>
      </c>
    </row>
    <row r="746" spans="4:10" x14ac:dyDescent="0.2">
      <c r="D746" t="s">
        <v>38</v>
      </c>
      <c r="E746">
        <f>'NHL2025-26Results'!C742</f>
        <v>1</v>
      </c>
      <c r="F746" t="s">
        <v>28</v>
      </c>
      <c r="G746">
        <f>'NHL2025-26Results'!E742</f>
        <v>4</v>
      </c>
      <c r="H746">
        <f>Table3[[#This Row],[G_1]]-Table3[[#This Row],[G]]</f>
        <v>3</v>
      </c>
      <c r="I746">
        <f>HomeEdge+VLOOKUP(Table3[[#This Row],[Home]],$A$6:$B$38,2,FALSE)-VLOOKUP(Table3[[#This Row],[Visitor]],$A$6:$B$38,2,FALSE)</f>
        <v>1.240045489963211</v>
      </c>
      <c r="J746">
        <f>(Table3[[#This Row],[HomeMargin]]-Table3[[#This Row],[HomeForecast]])^2</f>
        <v>3.0974398773988341</v>
      </c>
    </row>
    <row r="747" spans="4:10" x14ac:dyDescent="0.2">
      <c r="D747" t="s">
        <v>16</v>
      </c>
      <c r="E747">
        <f>'NHL2025-26Results'!C743</f>
        <v>3</v>
      </c>
      <c r="F747" t="s">
        <v>10</v>
      </c>
      <c r="G747">
        <f>'NHL2025-26Results'!E743</f>
        <v>1</v>
      </c>
      <c r="H747">
        <f>Table3[[#This Row],[G_1]]-Table3[[#This Row],[G]]</f>
        <v>-2</v>
      </c>
      <c r="I747">
        <f>HomeEdge+VLOOKUP(Table3[[#This Row],[Home]],$A$6:$B$38,2,FALSE)-VLOOKUP(Table3[[#This Row],[Visitor]],$A$6:$B$38,2,FALSE)</f>
        <v>9.3338423101616108E-2</v>
      </c>
      <c r="J747">
        <f>(Table3[[#This Row],[HomeMargin]]-Table3[[#This Row],[HomeForecast]])^2</f>
        <v>4.3820657536335608</v>
      </c>
    </row>
    <row r="748" spans="4:10" x14ac:dyDescent="0.2">
      <c r="D748" t="s">
        <v>30</v>
      </c>
      <c r="E748">
        <f>'NHL2025-26Results'!C744</f>
        <v>1</v>
      </c>
      <c r="F748" t="s">
        <v>17</v>
      </c>
      <c r="G748">
        <f>'NHL2025-26Results'!E744</f>
        <v>0</v>
      </c>
      <c r="H748">
        <f>Table3[[#This Row],[G_1]]-Table3[[#This Row],[G]]</f>
        <v>-1</v>
      </c>
      <c r="I748">
        <f>HomeEdge+VLOOKUP(Table3[[#This Row],[Home]],$A$6:$B$38,2,FALSE)-VLOOKUP(Table3[[#This Row],[Visitor]],$A$6:$B$38,2,FALSE)</f>
        <v>-4.8714338121097794E-2</v>
      </c>
      <c r="J748">
        <f>(Table3[[#This Row],[HomeMargin]]-Table3[[#This Row],[HomeForecast]])^2</f>
        <v>0.90494441049638097</v>
      </c>
    </row>
    <row r="749" spans="4:10" x14ac:dyDescent="0.2">
      <c r="D749" t="s">
        <v>40</v>
      </c>
      <c r="E749">
        <f>'NHL2025-26Results'!C745</f>
        <v>6</v>
      </c>
      <c r="F749" t="s">
        <v>34</v>
      </c>
      <c r="G749">
        <f>'NHL2025-26Results'!E745</f>
        <v>2</v>
      </c>
      <c r="H749">
        <f>Table3[[#This Row],[G_1]]-Table3[[#This Row],[G]]</f>
        <v>-4</v>
      </c>
      <c r="I749">
        <f>HomeEdge+VLOOKUP(Table3[[#This Row],[Home]],$A$6:$B$38,2,FALSE)-VLOOKUP(Table3[[#This Row],[Visitor]],$A$6:$B$38,2,FALSE)</f>
        <v>0.77854374203541266</v>
      </c>
      <c r="J749">
        <f>(Table3[[#This Row],[HomeMargin]]-Table3[[#This Row],[HomeForecast]])^2</f>
        <v>22.834480294545806</v>
      </c>
    </row>
    <row r="750" spans="4:10" x14ac:dyDescent="0.2">
      <c r="D750" t="s">
        <v>27</v>
      </c>
      <c r="E750">
        <f>'NHL2025-26Results'!C746</f>
        <v>3</v>
      </c>
      <c r="F750" t="s">
        <v>14</v>
      </c>
      <c r="G750">
        <f>'NHL2025-26Results'!E746</f>
        <v>6</v>
      </c>
      <c r="H750">
        <f>Table3[[#This Row],[G_1]]-Table3[[#This Row],[G]]</f>
        <v>3</v>
      </c>
      <c r="I750">
        <f>HomeEdge+VLOOKUP(Table3[[#This Row],[Home]],$A$6:$B$38,2,FALSE)-VLOOKUP(Table3[[#This Row],[Visitor]],$A$6:$B$38,2,FALSE)</f>
        <v>0.68062267461674197</v>
      </c>
      <c r="J750">
        <f>(Table3[[#This Row],[HomeMargin]]-Table3[[#This Row],[HomeForecast]])^2</f>
        <v>5.3795111775019953</v>
      </c>
    </row>
    <row r="751" spans="4:10" x14ac:dyDescent="0.2">
      <c r="D751" t="s">
        <v>39</v>
      </c>
      <c r="E751">
        <f>'NHL2025-26Results'!C747</f>
        <v>1</v>
      </c>
      <c r="F751" t="s">
        <v>55</v>
      </c>
      <c r="G751">
        <f>'NHL2025-26Results'!E747</f>
        <v>2</v>
      </c>
      <c r="H751">
        <f>Table3[[#This Row],[G_1]]-Table3[[#This Row],[G]]</f>
        <v>1</v>
      </c>
      <c r="I751">
        <f>HomeEdge+VLOOKUP(Table3[[#This Row],[Home]],$A$6:$B$38,2,FALSE)-VLOOKUP(Table3[[#This Row],[Visitor]],$A$6:$B$38,2,FALSE)</f>
        <v>-3.3785962411196357E-3</v>
      </c>
      <c r="J751">
        <f>(Table3[[#This Row],[HomeMargin]]-Table3[[#This Row],[HomeForecast]])^2</f>
        <v>1.0067686073947999</v>
      </c>
    </row>
    <row r="752" spans="4:10" x14ac:dyDescent="0.2">
      <c r="D752" t="s">
        <v>19</v>
      </c>
      <c r="E752">
        <f>'NHL2025-26Results'!C748</f>
        <v>5</v>
      </c>
      <c r="F752" t="s">
        <v>20</v>
      </c>
      <c r="G752">
        <f>'NHL2025-26Results'!E748</f>
        <v>6</v>
      </c>
      <c r="H752">
        <f>Table3[[#This Row],[G_1]]-Table3[[#This Row],[G]]</f>
        <v>1</v>
      </c>
      <c r="I752">
        <f>HomeEdge+VLOOKUP(Table3[[#This Row],[Home]],$A$6:$B$38,2,FALSE)-VLOOKUP(Table3[[#This Row],[Visitor]],$A$6:$B$38,2,FALSE)</f>
        <v>0.40892291988449009</v>
      </c>
      <c r="J752">
        <f>(Table3[[#This Row],[HomeMargin]]-Table3[[#This Row],[HomeForecast]])^2</f>
        <v>0.34937211463787687</v>
      </c>
    </row>
    <row r="753" spans="4:10" x14ac:dyDescent="0.2">
      <c r="D753" t="s">
        <v>33</v>
      </c>
      <c r="E753">
        <f>'NHL2025-26Results'!C749</f>
        <v>3</v>
      </c>
      <c r="F753" t="s">
        <v>22</v>
      </c>
      <c r="G753">
        <f>'NHL2025-26Results'!E749</f>
        <v>2</v>
      </c>
      <c r="H753">
        <f>Table3[[#This Row],[G_1]]-Table3[[#This Row],[G]]</f>
        <v>-1</v>
      </c>
      <c r="I753">
        <f>HomeEdge+VLOOKUP(Table3[[#This Row],[Home]],$A$6:$B$38,2,FALSE)-VLOOKUP(Table3[[#This Row],[Visitor]],$A$6:$B$38,2,FALSE)</f>
        <v>0.66219687890877266</v>
      </c>
      <c r="J753">
        <f>(Table3[[#This Row],[HomeMargin]]-Table3[[#This Row],[HomeForecast]])^2</f>
        <v>2.7628984642540648</v>
      </c>
    </row>
    <row r="754" spans="4:10" x14ac:dyDescent="0.2">
      <c r="D754" t="s">
        <v>11</v>
      </c>
      <c r="E754">
        <f>'NHL2025-26Results'!C750</f>
        <v>1</v>
      </c>
      <c r="F754" t="s">
        <v>25</v>
      </c>
      <c r="G754">
        <f>'NHL2025-26Results'!E750</f>
        <v>9</v>
      </c>
      <c r="H754">
        <f>Table3[[#This Row],[G_1]]-Table3[[#This Row],[G]]</f>
        <v>8</v>
      </c>
      <c r="I754">
        <f>HomeEdge+VLOOKUP(Table3[[#This Row],[Home]],$A$6:$B$38,2,FALSE)-VLOOKUP(Table3[[#This Row],[Visitor]],$A$6:$B$38,2,FALSE)</f>
        <v>0.91905331855935612</v>
      </c>
      <c r="J754">
        <f>(Table3[[#This Row],[HomeMargin]]-Table3[[#This Row],[HomeForecast]])^2</f>
        <v>50.139805905405261</v>
      </c>
    </row>
    <row r="755" spans="4:10" x14ac:dyDescent="0.2">
      <c r="D755" t="s">
        <v>29</v>
      </c>
      <c r="E755">
        <f>'NHL2025-26Results'!C751</f>
        <v>7</v>
      </c>
      <c r="F755" t="s">
        <v>12</v>
      </c>
      <c r="G755">
        <f>'NHL2025-26Results'!E751</f>
        <v>3</v>
      </c>
      <c r="H755">
        <f>Table3[[#This Row],[G_1]]-Table3[[#This Row],[G]]</f>
        <v>-4</v>
      </c>
      <c r="I755">
        <f>HomeEdge+VLOOKUP(Table3[[#This Row],[Home]],$A$6:$B$38,2,FALSE)-VLOOKUP(Table3[[#This Row],[Visitor]],$A$6:$B$38,2,FALSE)</f>
        <v>1.9488386305191545</v>
      </c>
      <c r="J755">
        <f>(Table3[[#This Row],[HomeMargin]]-Table3[[#This Row],[HomeForecast]])^2</f>
        <v>35.388681051957008</v>
      </c>
    </row>
    <row r="756" spans="4:10" x14ac:dyDescent="0.2">
      <c r="D756" t="s">
        <v>33</v>
      </c>
      <c r="E756">
        <f>'NHL2025-26Results'!C752</f>
        <v>2</v>
      </c>
      <c r="F756" t="s">
        <v>26</v>
      </c>
      <c r="G756">
        <f>'NHL2025-26Results'!E752</f>
        <v>4</v>
      </c>
      <c r="H756">
        <f>Table3[[#This Row],[G_1]]-Table3[[#This Row],[G]]</f>
        <v>2</v>
      </c>
      <c r="I756">
        <f>HomeEdge+VLOOKUP(Table3[[#This Row],[Home]],$A$6:$B$38,2,FALSE)-VLOOKUP(Table3[[#This Row],[Visitor]],$A$6:$B$38,2,FALSE)</f>
        <v>0.45083502556418298</v>
      </c>
      <c r="J756">
        <f>(Table3[[#This Row],[HomeMargin]]-Table3[[#This Row],[HomeForecast]])^2</f>
        <v>2.3999121180187259</v>
      </c>
    </row>
    <row r="757" spans="4:10" x14ac:dyDescent="0.2">
      <c r="D757" t="s">
        <v>31</v>
      </c>
      <c r="E757">
        <f>'NHL2025-26Results'!C753</f>
        <v>3</v>
      </c>
      <c r="F757" t="s">
        <v>13</v>
      </c>
      <c r="G757">
        <f>'NHL2025-26Results'!E753</f>
        <v>2</v>
      </c>
      <c r="H757">
        <f>Table3[[#This Row],[G_1]]-Table3[[#This Row],[G]]</f>
        <v>-1</v>
      </c>
      <c r="I757">
        <f>HomeEdge+VLOOKUP(Table3[[#This Row],[Home]],$A$6:$B$38,2,FALSE)-VLOOKUP(Table3[[#This Row],[Visitor]],$A$6:$B$38,2,FALSE)</f>
        <v>2.5159180404435988E-3</v>
      </c>
      <c r="J757">
        <f>(Table3[[#This Row],[HomeMargin]]-Table3[[#This Row],[HomeForecast]])^2</f>
        <v>1.0050381659244731</v>
      </c>
    </row>
    <row r="758" spans="4:10" x14ac:dyDescent="0.2">
      <c r="D758" t="s">
        <v>37</v>
      </c>
      <c r="E758">
        <f>'NHL2025-26Results'!C754</f>
        <v>2</v>
      </c>
      <c r="F758" t="s">
        <v>35</v>
      </c>
      <c r="G758">
        <f>'NHL2025-26Results'!E754</f>
        <v>3</v>
      </c>
      <c r="H758">
        <f>Table3[[#This Row],[G_1]]-Table3[[#This Row],[G]]</f>
        <v>1</v>
      </c>
      <c r="I758">
        <f>HomeEdge+VLOOKUP(Table3[[#This Row],[Home]],$A$6:$B$38,2,FALSE)-VLOOKUP(Table3[[#This Row],[Visitor]],$A$6:$B$38,2,FALSE)</f>
        <v>-1.9043321348189952</v>
      </c>
      <c r="J758">
        <f>(Table3[[#This Row],[HomeMargin]]-Table3[[#This Row],[HomeForecast]])^2</f>
        <v>8.4351451493422616</v>
      </c>
    </row>
    <row r="759" spans="4:10" x14ac:dyDescent="0.2">
      <c r="D759" t="s">
        <v>13</v>
      </c>
      <c r="E759">
        <f>'NHL2025-26Results'!C755</f>
        <v>1</v>
      </c>
      <c r="F759" t="s">
        <v>31</v>
      </c>
      <c r="G759">
        <f>'NHL2025-26Results'!E755</f>
        <v>2</v>
      </c>
      <c r="H759">
        <f>Table3[[#This Row],[G_1]]-Table3[[#This Row],[G]]</f>
        <v>1</v>
      </c>
      <c r="I759">
        <f>HomeEdge+VLOOKUP(Table3[[#This Row],[Home]],$A$6:$B$38,2,FALSE)-VLOOKUP(Table3[[#This Row],[Visitor]],$A$6:$B$38,2,FALSE)</f>
        <v>0.25669805358260456</v>
      </c>
      <c r="J759">
        <f>(Table3[[#This Row],[HomeMargin]]-Table3[[#This Row],[HomeForecast]])^2</f>
        <v>0.55249778354788859</v>
      </c>
    </row>
    <row r="760" spans="4:10" x14ac:dyDescent="0.2">
      <c r="D760" t="s">
        <v>34</v>
      </c>
      <c r="E760">
        <f>'NHL2025-26Results'!C756</f>
        <v>5</v>
      </c>
      <c r="F760" t="s">
        <v>23</v>
      </c>
      <c r="G760">
        <f>'NHL2025-26Results'!E756</f>
        <v>4</v>
      </c>
      <c r="H760">
        <f>Table3[[#This Row],[G_1]]-Table3[[#This Row],[G]]</f>
        <v>-1</v>
      </c>
      <c r="I760">
        <f>HomeEdge+VLOOKUP(Table3[[#This Row],[Home]],$A$6:$B$38,2,FALSE)-VLOOKUP(Table3[[#This Row],[Visitor]],$A$6:$B$38,2,FALSE)</f>
        <v>7.7276098673900798E-2</v>
      </c>
      <c r="J760">
        <f>(Table3[[#This Row],[HomeMargin]]-Table3[[#This Row],[HomeForecast]])^2</f>
        <v>1.1605237927740599</v>
      </c>
    </row>
    <row r="761" spans="4:10" x14ac:dyDescent="0.2">
      <c r="D761" t="s">
        <v>30</v>
      </c>
      <c r="E761">
        <f>'NHL2025-26Results'!C757</f>
        <v>2</v>
      </c>
      <c r="F761" t="s">
        <v>16</v>
      </c>
      <c r="G761">
        <f>'NHL2025-26Results'!E757</f>
        <v>4</v>
      </c>
      <c r="H761">
        <f>Table3[[#This Row],[G_1]]-Table3[[#This Row],[G]]</f>
        <v>2</v>
      </c>
      <c r="I761">
        <f>HomeEdge+VLOOKUP(Table3[[#This Row],[Home]],$A$6:$B$38,2,FALSE)-VLOOKUP(Table3[[#This Row],[Visitor]],$A$6:$B$38,2,FALSE)</f>
        <v>-0.57440060725502429</v>
      </c>
      <c r="J761">
        <f>(Table3[[#This Row],[HomeMargin]]-Table3[[#This Row],[HomeForecast]])^2</f>
        <v>6.6275384866350375</v>
      </c>
    </row>
    <row r="762" spans="4:10" x14ac:dyDescent="0.2">
      <c r="D762" t="s">
        <v>21</v>
      </c>
      <c r="E762">
        <f>'NHL2025-26Results'!C758</f>
        <v>5</v>
      </c>
      <c r="F762" t="s">
        <v>10</v>
      </c>
      <c r="G762">
        <f>'NHL2025-26Results'!E758</f>
        <v>2</v>
      </c>
      <c r="H762">
        <f>Table3[[#This Row],[G_1]]-Table3[[#This Row],[G]]</f>
        <v>-3</v>
      </c>
      <c r="I762">
        <f>HomeEdge+VLOOKUP(Table3[[#This Row],[Home]],$A$6:$B$38,2,FALSE)-VLOOKUP(Table3[[#This Row],[Visitor]],$A$6:$B$38,2,FALSE)</f>
        <v>-0.6944431825166365</v>
      </c>
      <c r="J762">
        <f>(Table3[[#This Row],[HomeMargin]]-Table3[[#This Row],[HomeForecast]])^2</f>
        <v>5.3155922386440153</v>
      </c>
    </row>
    <row r="763" spans="4:10" x14ac:dyDescent="0.2">
      <c r="D763" t="s">
        <v>25</v>
      </c>
      <c r="E763">
        <f>'NHL2025-26Results'!C759</f>
        <v>4</v>
      </c>
      <c r="F763" t="s">
        <v>24</v>
      </c>
      <c r="G763">
        <f>'NHL2025-26Results'!E759</f>
        <v>1</v>
      </c>
      <c r="H763">
        <f>Table3[[#This Row],[G_1]]-Table3[[#This Row],[G]]</f>
        <v>-3</v>
      </c>
      <c r="I763">
        <f>HomeEdge+VLOOKUP(Table3[[#This Row],[Home]],$A$6:$B$38,2,FALSE)-VLOOKUP(Table3[[#This Row],[Visitor]],$A$6:$B$38,2,FALSE)</f>
        <v>-0.84799525099941642</v>
      </c>
      <c r="J763">
        <f>(Table3[[#This Row],[HomeMargin]]-Table3[[#This Row],[HomeForecast]])^2</f>
        <v>4.6311244397210647</v>
      </c>
    </row>
    <row r="764" spans="4:10" x14ac:dyDescent="0.2">
      <c r="D764" t="s">
        <v>18</v>
      </c>
      <c r="E764">
        <f>'NHL2025-26Results'!C760</f>
        <v>6</v>
      </c>
      <c r="F764" t="s">
        <v>36</v>
      </c>
      <c r="G764">
        <f>'NHL2025-26Results'!E760</f>
        <v>5</v>
      </c>
      <c r="H764">
        <f>Table3[[#This Row],[G_1]]-Table3[[#This Row],[G]]</f>
        <v>-1</v>
      </c>
      <c r="I764">
        <f>HomeEdge+VLOOKUP(Table3[[#This Row],[Home]],$A$6:$B$38,2,FALSE)-VLOOKUP(Table3[[#This Row],[Visitor]],$A$6:$B$38,2,FALSE)</f>
        <v>2.5774179935376174E-2</v>
      </c>
      <c r="J764">
        <f>(Table3[[#This Row],[HomeMargin]]-Table3[[#This Row],[HomeForecast]])^2</f>
        <v>1.0522126682220934</v>
      </c>
    </row>
    <row r="765" spans="4:10" x14ac:dyDescent="0.2">
      <c r="D765" t="s">
        <v>15</v>
      </c>
      <c r="E765">
        <f>'NHL2025-26Results'!C761</f>
        <v>6</v>
      </c>
      <c r="F765" t="s">
        <v>27</v>
      </c>
      <c r="G765">
        <f>'NHL2025-26Results'!E761</f>
        <v>3</v>
      </c>
      <c r="H765">
        <f>Table3[[#This Row],[G_1]]-Table3[[#This Row],[G]]</f>
        <v>-3</v>
      </c>
      <c r="I765">
        <f>HomeEdge+VLOOKUP(Table3[[#This Row],[Home]],$A$6:$B$38,2,FALSE)-VLOOKUP(Table3[[#This Row],[Visitor]],$A$6:$B$38,2,FALSE)</f>
        <v>0.31514680128380046</v>
      </c>
      <c r="J765">
        <f>(Table3[[#This Row],[HomeMargin]]-Table3[[#This Row],[HomeForecast]])^2</f>
        <v>10.990198314062214</v>
      </c>
    </row>
    <row r="766" spans="4:10" x14ac:dyDescent="0.2">
      <c r="D766" t="s">
        <v>28</v>
      </c>
      <c r="E766">
        <f>'NHL2025-26Results'!C762</f>
        <v>4</v>
      </c>
      <c r="F766" t="s">
        <v>14</v>
      </c>
      <c r="G766">
        <f>'NHL2025-26Results'!E762</f>
        <v>3</v>
      </c>
      <c r="H766">
        <f>Table3[[#This Row],[G_1]]-Table3[[#This Row],[G]]</f>
        <v>-1</v>
      </c>
      <c r="I766">
        <f>HomeEdge+VLOOKUP(Table3[[#This Row],[Home]],$A$6:$B$38,2,FALSE)-VLOOKUP(Table3[[#This Row],[Visitor]],$A$6:$B$38,2,FALSE)</f>
        <v>0.41120813405909273</v>
      </c>
      <c r="J766">
        <f>(Table3[[#This Row],[HomeMargin]]-Table3[[#This Row],[HomeForecast]])^2</f>
        <v>1.9915083976345462</v>
      </c>
    </row>
    <row r="767" spans="4:10" x14ac:dyDescent="0.2">
      <c r="D767" t="s">
        <v>32</v>
      </c>
      <c r="E767">
        <f>'NHL2025-26Results'!C763</f>
        <v>3</v>
      </c>
      <c r="F767" t="s">
        <v>55</v>
      </c>
      <c r="G767">
        <f>'NHL2025-26Results'!E763</f>
        <v>6</v>
      </c>
      <c r="H767">
        <f>Table3[[#This Row],[G_1]]-Table3[[#This Row],[G]]</f>
        <v>3</v>
      </c>
      <c r="I767">
        <f>HomeEdge+VLOOKUP(Table3[[#This Row],[Home]],$A$6:$B$38,2,FALSE)-VLOOKUP(Table3[[#This Row],[Visitor]],$A$6:$B$38,2,FALSE)</f>
        <v>0.69606886601818774</v>
      </c>
      <c r="J767">
        <f>(Table3[[#This Row],[HomeMargin]]-Table3[[#This Row],[HomeForecast]])^2</f>
        <v>5.3080986701307191</v>
      </c>
    </row>
    <row r="768" spans="4:10" x14ac:dyDescent="0.2">
      <c r="D768" t="s">
        <v>17</v>
      </c>
      <c r="E768">
        <f>'NHL2025-26Results'!C764</f>
        <v>6</v>
      </c>
      <c r="F768" t="s">
        <v>38</v>
      </c>
      <c r="G768">
        <f>'NHL2025-26Results'!E764</f>
        <v>0</v>
      </c>
      <c r="H768">
        <f>Table3[[#This Row],[G_1]]-Table3[[#This Row],[G]]</f>
        <v>-6</v>
      </c>
      <c r="I768">
        <f>HomeEdge+VLOOKUP(Table3[[#This Row],[Home]],$A$6:$B$38,2,FALSE)-VLOOKUP(Table3[[#This Row],[Visitor]],$A$6:$B$38,2,FALSE)</f>
        <v>-0.89777036755935136</v>
      </c>
      <c r="J768">
        <f>(Table3[[#This Row],[HomeMargin]]-Table3[[#This Row],[HomeForecast]])^2</f>
        <v>26.032747222155436</v>
      </c>
    </row>
    <row r="769" spans="4:10" x14ac:dyDescent="0.2">
      <c r="D769" t="s">
        <v>29</v>
      </c>
      <c r="E769">
        <f>'NHL2025-26Results'!C765</f>
        <v>2</v>
      </c>
      <c r="F769" t="s">
        <v>20</v>
      </c>
      <c r="G769">
        <f>'NHL2025-26Results'!E765</f>
        <v>7</v>
      </c>
      <c r="H769">
        <f>Table3[[#This Row],[G_1]]-Table3[[#This Row],[G]]</f>
        <v>5</v>
      </c>
      <c r="I769">
        <f>HomeEdge+VLOOKUP(Table3[[#This Row],[Home]],$A$6:$B$38,2,FALSE)-VLOOKUP(Table3[[#This Row],[Visitor]],$A$6:$B$38,2,FALSE)</f>
        <v>0.78720716280563607</v>
      </c>
      <c r="J769">
        <f>(Table3[[#This Row],[HomeMargin]]-Table3[[#This Row],[HomeForecast]])^2</f>
        <v>17.747623489116137</v>
      </c>
    </row>
    <row r="770" spans="4:10" x14ac:dyDescent="0.2">
      <c r="D770" t="s">
        <v>19</v>
      </c>
      <c r="E770">
        <f>'NHL2025-26Results'!C766</f>
        <v>4</v>
      </c>
      <c r="F770" t="s">
        <v>40</v>
      </c>
      <c r="G770">
        <f>'NHL2025-26Results'!E766</f>
        <v>3</v>
      </c>
      <c r="H770">
        <f>Table3[[#This Row],[G_1]]-Table3[[#This Row],[G]]</f>
        <v>-1</v>
      </c>
      <c r="I770">
        <f>HomeEdge+VLOOKUP(Table3[[#This Row],[Home]],$A$6:$B$38,2,FALSE)-VLOOKUP(Table3[[#This Row],[Visitor]],$A$6:$B$38,2,FALSE)</f>
        <v>-1.6563918381857112E-2</v>
      </c>
      <c r="J770">
        <f>(Table3[[#This Row],[HomeMargin]]-Table3[[#This Row],[HomeForecast]])^2</f>
        <v>0.96714652662844658</v>
      </c>
    </row>
    <row r="771" spans="4:10" x14ac:dyDescent="0.2">
      <c r="D771" t="s">
        <v>11</v>
      </c>
      <c r="E771">
        <f>'NHL2025-26Results'!C767</f>
        <v>5</v>
      </c>
      <c r="F771" t="s">
        <v>22</v>
      </c>
      <c r="G771">
        <f>'NHL2025-26Results'!E767</f>
        <v>2</v>
      </c>
      <c r="H771">
        <f>Table3[[#This Row],[G_1]]-Table3[[#This Row],[G]]</f>
        <v>-3</v>
      </c>
      <c r="I771">
        <f>HomeEdge+VLOOKUP(Table3[[#This Row],[Home]],$A$6:$B$38,2,FALSE)-VLOOKUP(Table3[[#This Row],[Visitor]],$A$6:$B$38,2,FALSE)</f>
        <v>0.56678318523982552</v>
      </c>
      <c r="J771">
        <f>(Table3[[#This Row],[HomeMargin]]-Table3[[#This Row],[HomeForecast]])^2</f>
        <v>12.721942290509554</v>
      </c>
    </row>
    <row r="772" spans="4:10" x14ac:dyDescent="0.2">
      <c r="D772" t="s">
        <v>37</v>
      </c>
      <c r="E772">
        <f>'NHL2025-26Results'!C768</f>
        <v>4</v>
      </c>
      <c r="F772" t="s">
        <v>39</v>
      </c>
      <c r="G772">
        <f>'NHL2025-26Results'!E768</f>
        <v>1</v>
      </c>
      <c r="H772">
        <f>Table3[[#This Row],[G_1]]-Table3[[#This Row],[G]]</f>
        <v>-3</v>
      </c>
      <c r="I772">
        <f>HomeEdge+VLOOKUP(Table3[[#This Row],[Home]],$A$6:$B$38,2,FALSE)-VLOOKUP(Table3[[#This Row],[Visitor]],$A$6:$B$38,2,FALSE)</f>
        <v>-0.37439455363294893</v>
      </c>
      <c r="J772">
        <f>(Table3[[#This Row],[HomeMargin]]-Table3[[#This Row],[HomeForecast]])^2</f>
        <v>6.8938039599923213</v>
      </c>
    </row>
    <row r="773" spans="4:10" x14ac:dyDescent="0.2">
      <c r="D773" t="s">
        <v>36</v>
      </c>
      <c r="E773">
        <f>'NHL2025-26Results'!C769</f>
        <v>3</v>
      </c>
      <c r="F773" t="s">
        <v>26</v>
      </c>
      <c r="G773">
        <f>'NHL2025-26Results'!E769</f>
        <v>4</v>
      </c>
      <c r="H773">
        <f>Table3[[#This Row],[G_1]]-Table3[[#This Row],[G]]</f>
        <v>1</v>
      </c>
      <c r="I773">
        <f>HomeEdge+VLOOKUP(Table3[[#This Row],[Home]],$A$6:$B$38,2,FALSE)-VLOOKUP(Table3[[#This Row],[Visitor]],$A$6:$B$38,2,FALSE)</f>
        <v>-1.1423316727346172E-2</v>
      </c>
      <c r="J773">
        <f>(Table3[[#This Row],[HomeMargin]]-Table3[[#This Row],[HomeForecast]])^2</f>
        <v>1.0229771256197455</v>
      </c>
    </row>
    <row r="774" spans="4:10" x14ac:dyDescent="0.2">
      <c r="D774" t="s">
        <v>35</v>
      </c>
      <c r="E774">
        <f>'NHL2025-26Results'!C770</f>
        <v>0</v>
      </c>
      <c r="F774" t="s">
        <v>17</v>
      </c>
      <c r="G774">
        <f>'NHL2025-26Results'!E770</f>
        <v>5</v>
      </c>
      <c r="H774">
        <f>Table3[[#This Row],[G_1]]-Table3[[#This Row],[G]]</f>
        <v>5</v>
      </c>
      <c r="I774">
        <f>HomeEdge+VLOOKUP(Table3[[#This Row],[Home]],$A$6:$B$38,2,FALSE)-VLOOKUP(Table3[[#This Row],[Visitor]],$A$6:$B$38,2,FALSE)</f>
        <v>1.0778383096013957</v>
      </c>
      <c r="J774">
        <f>(Table3[[#This Row],[HomeMargin]]-Table3[[#This Row],[HomeForecast]])^2</f>
        <v>15.383352325630435</v>
      </c>
    </row>
    <row r="775" spans="4:10" x14ac:dyDescent="0.2">
      <c r="D775" t="s">
        <v>15</v>
      </c>
      <c r="E775">
        <f>'NHL2025-26Results'!C771</f>
        <v>3</v>
      </c>
      <c r="F775" t="s">
        <v>31</v>
      </c>
      <c r="G775">
        <f>'NHL2025-26Results'!E771</f>
        <v>5</v>
      </c>
      <c r="H775">
        <f>Table3[[#This Row],[G_1]]-Table3[[#This Row],[G]]</f>
        <v>2</v>
      </c>
      <c r="I775">
        <f>HomeEdge+VLOOKUP(Table3[[#This Row],[Home]],$A$6:$B$38,2,FALSE)-VLOOKUP(Table3[[#This Row],[Visitor]],$A$6:$B$38,2,FALSE)</f>
        <v>0.40252030946197648</v>
      </c>
      <c r="J775">
        <f>(Table3[[#This Row],[HomeMargin]]-Table3[[#This Row],[HomeForecast]])^2</f>
        <v>2.5519413616814592</v>
      </c>
    </row>
    <row r="776" spans="4:10" x14ac:dyDescent="0.2">
      <c r="D776" t="s">
        <v>23</v>
      </c>
      <c r="E776">
        <f>'NHL2025-26Results'!C772</f>
        <v>1</v>
      </c>
      <c r="F776" t="s">
        <v>25</v>
      </c>
      <c r="G776">
        <f>'NHL2025-26Results'!E772</f>
        <v>2</v>
      </c>
      <c r="H776">
        <f>Table3[[#This Row],[G_1]]-Table3[[#This Row],[G]]</f>
        <v>1</v>
      </c>
      <c r="I776">
        <f>HomeEdge+VLOOKUP(Table3[[#This Row],[Home]],$A$6:$B$38,2,FALSE)-VLOOKUP(Table3[[#This Row],[Visitor]],$A$6:$B$38,2,FALSE)</f>
        <v>0.35394679068849794</v>
      </c>
      <c r="J776">
        <f>(Table3[[#This Row],[HomeMargin]]-Table3[[#This Row],[HomeForecast]])^2</f>
        <v>0.41738474926169156</v>
      </c>
    </row>
    <row r="777" spans="4:10" x14ac:dyDescent="0.2">
      <c r="D777" t="s">
        <v>24</v>
      </c>
      <c r="E777">
        <f>'NHL2025-26Results'!C773</f>
        <v>2</v>
      </c>
      <c r="F777" t="s">
        <v>16</v>
      </c>
      <c r="G777">
        <f>'NHL2025-26Results'!E773</f>
        <v>1</v>
      </c>
      <c r="H777">
        <f>Table3[[#This Row],[G_1]]-Table3[[#This Row],[G]]</f>
        <v>-1</v>
      </c>
      <c r="I777">
        <f>HomeEdge+VLOOKUP(Table3[[#This Row],[Home]],$A$6:$B$38,2,FALSE)-VLOOKUP(Table3[[#This Row],[Visitor]],$A$6:$B$38,2,FALSE)</f>
        <v>-1.5597197509397365E-2</v>
      </c>
      <c r="J777">
        <f>(Table3[[#This Row],[HomeMargin]]-Table3[[#This Row],[HomeForecast]])^2</f>
        <v>0.96904887755135238</v>
      </c>
    </row>
    <row r="778" spans="4:10" x14ac:dyDescent="0.2">
      <c r="D778" t="s">
        <v>40</v>
      </c>
      <c r="E778">
        <f>'NHL2025-26Results'!C774</f>
        <v>0</v>
      </c>
      <c r="F778" t="s">
        <v>10</v>
      </c>
      <c r="G778">
        <f>'NHL2025-26Results'!E774</f>
        <v>2</v>
      </c>
      <c r="H778">
        <f>Table3[[#This Row],[G_1]]-Table3[[#This Row],[G]]</f>
        <v>2</v>
      </c>
      <c r="I778">
        <f>HomeEdge+VLOOKUP(Table3[[#This Row],[Home]],$A$6:$B$38,2,FALSE)-VLOOKUP(Table3[[#This Row],[Visitor]],$A$6:$B$38,2,FALSE)</f>
        <v>-0.2085223230670068</v>
      </c>
      <c r="J778">
        <f>(Table3[[#This Row],[HomeMargin]]-Table3[[#This Row],[HomeForecast]])^2</f>
        <v>4.877570851485288</v>
      </c>
    </row>
    <row r="779" spans="4:10" x14ac:dyDescent="0.2">
      <c r="D779" t="s">
        <v>22</v>
      </c>
      <c r="E779">
        <f>'NHL2025-26Results'!C775</f>
        <v>2</v>
      </c>
      <c r="F779" t="s">
        <v>12</v>
      </c>
      <c r="G779">
        <f>'NHL2025-26Results'!E775</f>
        <v>5</v>
      </c>
      <c r="H779">
        <f>Table3[[#This Row],[G_1]]-Table3[[#This Row],[G]]</f>
        <v>3</v>
      </c>
      <c r="I779">
        <f>HomeEdge+VLOOKUP(Table3[[#This Row],[Home]],$A$6:$B$38,2,FALSE)-VLOOKUP(Table3[[#This Row],[Visitor]],$A$6:$B$38,2,FALSE)</f>
        <v>1.2480497511476811</v>
      </c>
      <c r="J779">
        <f>(Table3[[#This Row],[HomeMargin]]-Table3[[#This Row],[HomeForecast]])^2</f>
        <v>3.069329674453702</v>
      </c>
    </row>
    <row r="780" spans="4:10" x14ac:dyDescent="0.2">
      <c r="D780" t="s">
        <v>33</v>
      </c>
      <c r="E780">
        <f>'NHL2025-26Results'!C776</f>
        <v>4</v>
      </c>
      <c r="F780" t="s">
        <v>11</v>
      </c>
      <c r="G780">
        <f>'NHL2025-26Results'!E776</f>
        <v>1</v>
      </c>
      <c r="H780">
        <f>Table3[[#This Row],[G_1]]-Table3[[#This Row],[G]]</f>
        <v>-3</v>
      </c>
      <c r="I780">
        <f>HomeEdge+VLOOKUP(Table3[[#This Row],[Home]],$A$6:$B$38,2,FALSE)-VLOOKUP(Table3[[#This Row],[Visitor]],$A$6:$B$38,2,FALSE)</f>
        <v>0.22502067948047122</v>
      </c>
      <c r="J780">
        <f>(Table3[[#This Row],[HomeMargin]]-Table3[[#This Row],[HomeForecast]])^2</f>
        <v>10.400758383076679</v>
      </c>
    </row>
    <row r="781" spans="4:10" x14ac:dyDescent="0.2">
      <c r="D781" t="s">
        <v>14</v>
      </c>
      <c r="E781">
        <f>'NHL2025-26Results'!C777</f>
        <v>6</v>
      </c>
      <c r="F781" t="s">
        <v>32</v>
      </c>
      <c r="G781">
        <f>'NHL2025-26Results'!E777</f>
        <v>3</v>
      </c>
      <c r="H781">
        <f>Table3[[#This Row],[G_1]]-Table3[[#This Row],[G]]</f>
        <v>-3</v>
      </c>
      <c r="I781">
        <f>HomeEdge+VLOOKUP(Table3[[#This Row],[Home]],$A$6:$B$38,2,FALSE)-VLOOKUP(Table3[[#This Row],[Visitor]],$A$6:$B$38,2,FALSE)</f>
        <v>-0.35279651807998891</v>
      </c>
      <c r="J781">
        <f>(Table3[[#This Row],[HomeMargin]]-Table3[[#This Row],[HomeForecast]])^2</f>
        <v>7.0076862746894308</v>
      </c>
    </row>
    <row r="782" spans="4:10" x14ac:dyDescent="0.2">
      <c r="D782" t="s">
        <v>34</v>
      </c>
      <c r="E782">
        <f>'NHL2025-26Results'!C778</f>
        <v>6</v>
      </c>
      <c r="F782" t="s">
        <v>19</v>
      </c>
      <c r="G782">
        <f>'NHL2025-26Results'!E778</f>
        <v>3</v>
      </c>
      <c r="H782">
        <f>Table3[[#This Row],[G_1]]-Table3[[#This Row],[G]]</f>
        <v>-3</v>
      </c>
      <c r="I782">
        <f>HomeEdge+VLOOKUP(Table3[[#This Row],[Home]],$A$6:$B$38,2,FALSE)-VLOOKUP(Table3[[#This Row],[Visitor]],$A$6:$B$38,2,FALSE)</f>
        <v>-0.37315886621898325</v>
      </c>
      <c r="J782">
        <f>(Table3[[#This Row],[HomeMargin]]-Table3[[#This Row],[HomeForecast]])^2</f>
        <v>6.9002943421239369</v>
      </c>
    </row>
    <row r="783" spans="4:10" x14ac:dyDescent="0.2">
      <c r="D783" t="s">
        <v>30</v>
      </c>
      <c r="E783">
        <f>'NHL2025-26Results'!C779</f>
        <v>4</v>
      </c>
      <c r="F783" t="s">
        <v>38</v>
      </c>
      <c r="G783">
        <f>'NHL2025-26Results'!E779</f>
        <v>3</v>
      </c>
      <c r="H783">
        <f>Table3[[#This Row],[G_1]]-Table3[[#This Row],[G]]</f>
        <v>-1</v>
      </c>
      <c r="I783">
        <f>HomeEdge+VLOOKUP(Table3[[#This Row],[Home]],$A$6:$B$38,2,FALSE)-VLOOKUP(Table3[[#This Row],[Visitor]],$A$6:$B$38,2,FALSE)</f>
        <v>-1.0760916914919734</v>
      </c>
      <c r="J783">
        <f>(Table3[[#This Row],[HomeMargin]]-Table3[[#This Row],[HomeForecast]])^2</f>
        <v>5.7899455141096519E-3</v>
      </c>
    </row>
    <row r="784" spans="4:10" x14ac:dyDescent="0.2">
      <c r="D784" t="s">
        <v>27</v>
      </c>
      <c r="E784">
        <f>'NHL2025-26Results'!C780</f>
        <v>2</v>
      </c>
      <c r="F784" t="s">
        <v>20</v>
      </c>
      <c r="G784">
        <f>'NHL2025-26Results'!E780</f>
        <v>1</v>
      </c>
      <c r="H784">
        <f>Table3[[#This Row],[G_1]]-Table3[[#This Row],[G]]</f>
        <v>-1</v>
      </c>
      <c r="I784">
        <f>HomeEdge+VLOOKUP(Table3[[#This Row],[Home]],$A$6:$B$38,2,FALSE)-VLOOKUP(Table3[[#This Row],[Visitor]],$A$6:$B$38,2,FALSE)</f>
        <v>0.51762169088940557</v>
      </c>
      <c r="J784">
        <f>(Table3[[#This Row],[HomeMargin]]-Table3[[#This Row],[HomeForecast]])^2</f>
        <v>2.3031755966580185</v>
      </c>
    </row>
    <row r="785" spans="4:10" x14ac:dyDescent="0.2">
      <c r="D785" t="s">
        <v>36</v>
      </c>
      <c r="E785">
        <f>'NHL2025-26Results'!C781</f>
        <v>4</v>
      </c>
      <c r="F785" t="s">
        <v>28</v>
      </c>
      <c r="G785">
        <f>'NHL2025-26Results'!E781</f>
        <v>1</v>
      </c>
      <c r="H785">
        <f>Table3[[#This Row],[G_1]]-Table3[[#This Row],[G]]</f>
        <v>-3</v>
      </c>
      <c r="I785">
        <f>HomeEdge+VLOOKUP(Table3[[#This Row],[Home]],$A$6:$B$38,2,FALSE)-VLOOKUP(Table3[[#This Row],[Visitor]],$A$6:$B$38,2,FALSE)</f>
        <v>3.8149669719649976E-2</v>
      </c>
      <c r="J785">
        <f>(Table3[[#This Row],[HomeMargin]]-Table3[[#This Row],[HomeForecast]])^2</f>
        <v>9.2303534156176195</v>
      </c>
    </row>
    <row r="786" spans="4:10" x14ac:dyDescent="0.2">
      <c r="D786" t="s">
        <v>21</v>
      </c>
      <c r="E786">
        <f>'NHL2025-26Results'!C782</f>
        <v>2</v>
      </c>
      <c r="F786" t="s">
        <v>39</v>
      </c>
      <c r="G786">
        <f>'NHL2025-26Results'!E782</f>
        <v>6</v>
      </c>
      <c r="H786">
        <f>Table3[[#This Row],[G_1]]-Table3[[#This Row],[G]]</f>
        <v>4</v>
      </c>
      <c r="I786">
        <f>HomeEdge+VLOOKUP(Table3[[#This Row],[Home]],$A$6:$B$38,2,FALSE)-VLOOKUP(Table3[[#This Row],[Visitor]],$A$6:$B$38,2,FALSE)</f>
        <v>0.44921790672337236</v>
      </c>
      <c r="J786">
        <f>(Table3[[#This Row],[HomeMargin]]-Table3[[#This Row],[HomeForecast]])^2</f>
        <v>12.60805347393395</v>
      </c>
    </row>
    <row r="787" spans="4:10" x14ac:dyDescent="0.2">
      <c r="D787" t="s">
        <v>24</v>
      </c>
      <c r="E787">
        <f>'NHL2025-26Results'!C783</f>
        <v>2</v>
      </c>
      <c r="F787" t="s">
        <v>17</v>
      </c>
      <c r="G787">
        <f>'NHL2025-26Results'!E783</f>
        <v>1</v>
      </c>
      <c r="H787">
        <f>Table3[[#This Row],[G_1]]-Table3[[#This Row],[G]]</f>
        <v>-1</v>
      </c>
      <c r="I787">
        <f>HomeEdge+VLOOKUP(Table3[[#This Row],[Home]],$A$6:$B$38,2,FALSE)-VLOOKUP(Table3[[#This Row],[Visitor]],$A$6:$B$38,2,FALSE)</f>
        <v>0.5100890716245291</v>
      </c>
      <c r="J787">
        <f>(Table3[[#This Row],[HomeMargin]]-Table3[[#This Row],[HomeForecast]])^2</f>
        <v>2.2803690042398324</v>
      </c>
    </row>
    <row r="788" spans="4:10" x14ac:dyDescent="0.2">
      <c r="D788" t="s">
        <v>15</v>
      </c>
      <c r="E788">
        <f>'NHL2025-26Results'!C784</f>
        <v>3</v>
      </c>
      <c r="F788" t="s">
        <v>13</v>
      </c>
      <c r="G788">
        <f>'NHL2025-26Results'!E784</f>
        <v>4</v>
      </c>
      <c r="H788">
        <f>Table3[[#This Row],[G_1]]-Table3[[#This Row],[G]]</f>
        <v>1</v>
      </c>
      <c r="I788">
        <f>HomeEdge+VLOOKUP(Table3[[#This Row],[Home]],$A$6:$B$38,2,FALSE)-VLOOKUP(Table3[[#This Row],[Visitor]],$A$6:$B$38,2,FALSE)</f>
        <v>0.275429241690896</v>
      </c>
      <c r="J788">
        <f>(Table3[[#This Row],[HomeMargin]]-Table3[[#This Row],[HomeForecast]])^2</f>
        <v>0.52500278379663001</v>
      </c>
    </row>
    <row r="789" spans="4:10" x14ac:dyDescent="0.2">
      <c r="D789" t="s">
        <v>34</v>
      </c>
      <c r="E789">
        <f>'NHL2025-26Results'!C785</f>
        <v>3</v>
      </c>
      <c r="F789" t="s">
        <v>18</v>
      </c>
      <c r="G789">
        <f>'NHL2025-26Results'!E785</f>
        <v>4</v>
      </c>
      <c r="H789">
        <f>Table3[[#This Row],[G_1]]-Table3[[#This Row],[G]]</f>
        <v>1</v>
      </c>
      <c r="I789">
        <f>HomeEdge+VLOOKUP(Table3[[#This Row],[Home]],$A$6:$B$38,2,FALSE)-VLOOKUP(Table3[[#This Row],[Visitor]],$A$6:$B$38,2,FALSE)</f>
        <v>-1.7152974698227449E-2</v>
      </c>
      <c r="J789">
        <f>(Table3[[#This Row],[HomeMargin]]-Table3[[#This Row],[HomeForecast]])^2</f>
        <v>1.0346001739374531</v>
      </c>
    </row>
    <row r="790" spans="4:10" x14ac:dyDescent="0.2">
      <c r="D790" t="s">
        <v>23</v>
      </c>
      <c r="E790">
        <f>'NHL2025-26Results'!C786</f>
        <v>5</v>
      </c>
      <c r="F790" t="s">
        <v>29</v>
      </c>
      <c r="G790">
        <f>'NHL2025-26Results'!E786</f>
        <v>3</v>
      </c>
      <c r="H790">
        <f>Table3[[#This Row],[G_1]]-Table3[[#This Row],[G]]</f>
        <v>-2</v>
      </c>
      <c r="I790">
        <f>HomeEdge+VLOOKUP(Table3[[#This Row],[Home]],$A$6:$B$38,2,FALSE)-VLOOKUP(Table3[[#This Row],[Visitor]],$A$6:$B$38,2,FALSE)</f>
        <v>-0.699112222002506</v>
      </c>
      <c r="J790">
        <f>(Table3[[#This Row],[HomeMargin]]-Table3[[#This Row],[HomeForecast]])^2</f>
        <v>1.692309010943257</v>
      </c>
    </row>
    <row r="791" spans="4:10" x14ac:dyDescent="0.2">
      <c r="D791" t="s">
        <v>33</v>
      </c>
      <c r="E791">
        <f>'NHL2025-26Results'!C787</f>
        <v>1</v>
      </c>
      <c r="F791" t="s">
        <v>37</v>
      </c>
      <c r="G791">
        <f>'NHL2025-26Results'!E787</f>
        <v>4</v>
      </c>
      <c r="H791">
        <f>Table3[[#This Row],[G_1]]-Table3[[#This Row],[G]]</f>
        <v>3</v>
      </c>
      <c r="I791">
        <f>HomeEdge+VLOOKUP(Table3[[#This Row],[Home]],$A$6:$B$38,2,FALSE)-VLOOKUP(Table3[[#This Row],[Visitor]],$A$6:$B$38,2,FALSE)</f>
        <v>1.5030546580710151</v>
      </c>
      <c r="J791">
        <f>(Table3[[#This Row],[HomeMargin]]-Table3[[#This Row],[HomeForecast]])^2</f>
        <v>2.2408453567228857</v>
      </c>
    </row>
    <row r="792" spans="4:10" x14ac:dyDescent="0.2">
      <c r="D792" t="s">
        <v>35</v>
      </c>
      <c r="E792">
        <f>'NHL2025-26Results'!C788</f>
        <v>1</v>
      </c>
      <c r="F792" t="s">
        <v>40</v>
      </c>
      <c r="G792">
        <f>'NHL2025-26Results'!E788</f>
        <v>3</v>
      </c>
      <c r="H792">
        <f>Table3[[#This Row],[G_1]]-Table3[[#This Row],[G]]</f>
        <v>2</v>
      </c>
      <c r="I792">
        <f>HomeEdge+VLOOKUP(Table3[[#This Row],[Home]],$A$6:$B$38,2,FALSE)-VLOOKUP(Table3[[#This Row],[Visitor]],$A$6:$B$38,2,FALSE)</f>
        <v>0.85401278663609226</v>
      </c>
      <c r="J792">
        <f>(Table3[[#This Row],[HomeMargin]]-Table3[[#This Row],[HomeForecast]])^2</f>
        <v>1.3132866931935747</v>
      </c>
    </row>
    <row r="793" spans="4:10" x14ac:dyDescent="0.2">
      <c r="D793" t="s">
        <v>14</v>
      </c>
      <c r="E793">
        <f>'NHL2025-26Results'!C789</f>
        <v>4</v>
      </c>
      <c r="F793" t="s">
        <v>16</v>
      </c>
      <c r="G793">
        <f>'NHL2025-26Results'!E789</f>
        <v>1</v>
      </c>
      <c r="H793">
        <f>Table3[[#This Row],[G_1]]-Table3[[#This Row],[G]]</f>
        <v>-3</v>
      </c>
      <c r="I793">
        <f>HomeEdge+VLOOKUP(Table3[[#This Row],[Home]],$A$6:$B$38,2,FALSE)-VLOOKUP(Table3[[#This Row],[Visitor]],$A$6:$B$38,2,FALSE)</f>
        <v>-0.76074158235078237</v>
      </c>
      <c r="J793">
        <f>(Table3[[#This Row],[HomeMargin]]-Table3[[#This Row],[HomeForecast]])^2</f>
        <v>5.0142782610128789</v>
      </c>
    </row>
    <row r="794" spans="4:10" x14ac:dyDescent="0.2">
      <c r="D794" t="s">
        <v>31</v>
      </c>
      <c r="E794">
        <f>'NHL2025-26Results'!C790</f>
        <v>2</v>
      </c>
      <c r="F794" t="s">
        <v>12</v>
      </c>
      <c r="G794">
        <f>'NHL2025-26Results'!E790</f>
        <v>1</v>
      </c>
      <c r="H794">
        <f>Table3[[#This Row],[G_1]]-Table3[[#This Row],[G]]</f>
        <v>-1</v>
      </c>
      <c r="I794">
        <f>HomeEdge+VLOOKUP(Table3[[#This Row],[Home]],$A$6:$B$38,2,FALSE)-VLOOKUP(Table3[[#This Row],[Visitor]],$A$6:$B$38,2,FALSE)</f>
        <v>1.5918796504247479</v>
      </c>
      <c r="J794">
        <f>(Table3[[#This Row],[HomeMargin]]-Table3[[#This Row],[HomeForecast]])^2</f>
        <v>6.7178401222859137</v>
      </c>
    </row>
    <row r="795" spans="4:10" x14ac:dyDescent="0.2">
      <c r="D795" t="s">
        <v>30</v>
      </c>
      <c r="E795">
        <f>'NHL2025-26Results'!C791</f>
        <v>1</v>
      </c>
      <c r="F795" t="s">
        <v>32</v>
      </c>
      <c r="G795">
        <f>'NHL2025-26Results'!E791</f>
        <v>4</v>
      </c>
      <c r="H795">
        <f>Table3[[#This Row],[G_1]]-Table3[[#This Row],[G]]</f>
        <v>3</v>
      </c>
      <c r="I795">
        <f>HomeEdge+VLOOKUP(Table3[[#This Row],[Home]],$A$6:$B$38,2,FALSE)-VLOOKUP(Table3[[#This Row],[Visitor]],$A$6:$B$38,2,FALSE)</f>
        <v>-0.16645554298423076</v>
      </c>
      <c r="J795">
        <f>(Table3[[#This Row],[HomeMargin]]-Table3[[#This Row],[HomeForecast]])^2</f>
        <v>10.026440705695562</v>
      </c>
    </row>
    <row r="796" spans="4:10" x14ac:dyDescent="0.2">
      <c r="D796" t="s">
        <v>26</v>
      </c>
      <c r="E796">
        <f>'NHL2025-26Results'!C792</f>
        <v>2</v>
      </c>
      <c r="F796" t="s">
        <v>19</v>
      </c>
      <c r="G796">
        <f>'NHL2025-26Results'!E792</f>
        <v>1</v>
      </c>
      <c r="H796">
        <f>Table3[[#This Row],[G_1]]-Table3[[#This Row],[G]]</f>
        <v>-1</v>
      </c>
      <c r="I796">
        <f>HomeEdge+VLOOKUP(Table3[[#This Row],[Home]],$A$6:$B$38,2,FALSE)-VLOOKUP(Table3[[#This Row],[Visitor]],$A$6:$B$38,2,FALSE)</f>
        <v>1.8464202705786525E-2</v>
      </c>
      <c r="J796">
        <f>(Table3[[#This Row],[HomeMargin]]-Table3[[#This Row],[HomeForecast]])^2</f>
        <v>1.0372693321931337</v>
      </c>
    </row>
    <row r="797" spans="4:10" x14ac:dyDescent="0.2">
      <c r="D797" t="s">
        <v>27</v>
      </c>
      <c r="E797">
        <f>'NHL2025-26Results'!C793</f>
        <v>4</v>
      </c>
      <c r="F797" t="s">
        <v>55</v>
      </c>
      <c r="G797">
        <f>'NHL2025-26Results'!E793</f>
        <v>5</v>
      </c>
      <c r="H797">
        <f>Table3[[#This Row],[G_1]]-Table3[[#This Row],[G]]</f>
        <v>1</v>
      </c>
      <c r="I797">
        <f>HomeEdge+VLOOKUP(Table3[[#This Row],[Home]],$A$6:$B$38,2,FALSE)-VLOOKUP(Table3[[#This Row],[Visitor]],$A$6:$B$38,2,FALSE)</f>
        <v>0.76468105093189265</v>
      </c>
      <c r="J797">
        <f>(Table3[[#This Row],[HomeMargin]]-Table3[[#This Row],[HomeForecast]])^2</f>
        <v>5.5375007790518502E-2</v>
      </c>
    </row>
    <row r="798" spans="4:10" x14ac:dyDescent="0.2">
      <c r="D798" t="s">
        <v>22</v>
      </c>
      <c r="E798">
        <f>'NHL2025-26Results'!C794</f>
        <v>3</v>
      </c>
      <c r="F798" t="s">
        <v>38</v>
      </c>
      <c r="G798">
        <f>'NHL2025-26Results'!E794</f>
        <v>4</v>
      </c>
      <c r="H798">
        <f>Table3[[#This Row],[G_1]]-Table3[[#This Row],[G]]</f>
        <v>1</v>
      </c>
      <c r="I798">
        <f>HomeEdge+VLOOKUP(Table3[[#This Row],[Home]],$A$6:$B$38,2,FALSE)-VLOOKUP(Table3[[#This Row],[Visitor]],$A$6:$B$38,2,FALSE)</f>
        <v>-1.1426203852377563</v>
      </c>
      <c r="J798">
        <f>(Table3[[#This Row],[HomeMargin]]-Table3[[#This Row],[HomeForecast]])^2</f>
        <v>4.5908221152363913</v>
      </c>
    </row>
    <row r="799" spans="4:10" x14ac:dyDescent="0.2">
      <c r="D799" t="s">
        <v>20</v>
      </c>
      <c r="E799">
        <f>'NHL2025-26Results'!C795</f>
        <v>3</v>
      </c>
      <c r="F799" t="s">
        <v>21</v>
      </c>
      <c r="G799">
        <f>'NHL2025-26Results'!E795</f>
        <v>4</v>
      </c>
      <c r="H799">
        <f>Table3[[#This Row],[G_1]]-Table3[[#This Row],[G]]</f>
        <v>1</v>
      </c>
      <c r="I799">
        <f>HomeEdge+VLOOKUP(Table3[[#This Row],[Home]],$A$6:$B$38,2,FALSE)-VLOOKUP(Table3[[#This Row],[Visitor]],$A$6:$B$38,2,FALSE)</f>
        <v>0.19004100699480664</v>
      </c>
      <c r="J799">
        <f>(Table3[[#This Row],[HomeMargin]]-Table3[[#This Row],[HomeForecast]])^2</f>
        <v>0.65603357034998688</v>
      </c>
    </row>
    <row r="800" spans="4:10" x14ac:dyDescent="0.2">
      <c r="D800" t="s">
        <v>10</v>
      </c>
      <c r="E800">
        <f>'NHL2025-26Results'!C796</f>
        <v>4</v>
      </c>
      <c r="F800" t="s">
        <v>25</v>
      </c>
      <c r="G800">
        <f>'NHL2025-26Results'!E796</f>
        <v>3</v>
      </c>
      <c r="H800">
        <f>Table3[[#This Row],[G_1]]-Table3[[#This Row],[G]]</f>
        <v>-1</v>
      </c>
      <c r="I800">
        <f>HomeEdge+VLOOKUP(Table3[[#This Row],[Home]],$A$6:$B$38,2,FALSE)-VLOOKUP(Table3[[#This Row],[Visitor]],$A$6:$B$38,2,FALSE)</f>
        <v>1.288681968653294</v>
      </c>
      <c r="J800">
        <f>(Table3[[#This Row],[HomeMargin]]-Table3[[#This Row],[HomeForecast]])^2</f>
        <v>5.2380651536387175</v>
      </c>
    </row>
    <row r="801" spans="4:10" x14ac:dyDescent="0.2">
      <c r="D801" t="s">
        <v>39</v>
      </c>
      <c r="E801">
        <f>'NHL2025-26Results'!C797</f>
        <v>0</v>
      </c>
      <c r="F801" t="s">
        <v>28</v>
      </c>
      <c r="G801">
        <f>'NHL2025-26Results'!E797</f>
        <v>1</v>
      </c>
      <c r="H801">
        <f>Table3[[#This Row],[G_1]]-Table3[[#This Row],[G]]</f>
        <v>1</v>
      </c>
      <c r="I801">
        <f>HomeEdge+VLOOKUP(Table3[[#This Row],[Home]],$A$6:$B$38,2,FALSE)-VLOOKUP(Table3[[#This Row],[Visitor]],$A$6:$B$38,2,FALSE)</f>
        <v>-0.36903812080383891</v>
      </c>
      <c r="J801">
        <f>(Table3[[#This Row],[HomeMargin]]-Table3[[#This Row],[HomeForecast]])^2</f>
        <v>1.8742653762141066</v>
      </c>
    </row>
    <row r="802" spans="4:10" x14ac:dyDescent="0.2">
      <c r="D802" t="s">
        <v>14</v>
      </c>
      <c r="E802">
        <f>'NHL2025-26Results'!C798</f>
        <v>6</v>
      </c>
      <c r="F802" t="s">
        <v>17</v>
      </c>
      <c r="G802">
        <f>'NHL2025-26Results'!E798</f>
        <v>2</v>
      </c>
      <c r="H802">
        <f>Table3[[#This Row],[G_1]]-Table3[[#This Row],[G]]</f>
        <v>-4</v>
      </c>
      <c r="I802">
        <f>HomeEdge+VLOOKUP(Table3[[#This Row],[Home]],$A$6:$B$38,2,FALSE)-VLOOKUP(Table3[[#This Row],[Visitor]],$A$6:$B$38,2,FALSE)</f>
        <v>-0.23505531321685594</v>
      </c>
      <c r="J802">
        <f>(Table3[[#This Row],[HomeMargin]]-Table3[[#This Row],[HomeForecast]])^2</f>
        <v>14.174808494536626</v>
      </c>
    </row>
    <row r="803" spans="4:10" x14ac:dyDescent="0.2">
      <c r="D803" t="s">
        <v>26</v>
      </c>
      <c r="E803">
        <f>'NHL2025-26Results'!C799</f>
        <v>3</v>
      </c>
      <c r="F803" t="s">
        <v>34</v>
      </c>
      <c r="G803">
        <f>'NHL2025-26Results'!E799</f>
        <v>4</v>
      </c>
      <c r="H803">
        <f>Table3[[#This Row],[G_1]]-Table3[[#This Row],[G]]</f>
        <v>1</v>
      </c>
      <c r="I803">
        <f>HomeEdge+VLOOKUP(Table3[[#This Row],[Home]],$A$6:$B$38,2,FALSE)-VLOOKUP(Table3[[#This Row],[Visitor]],$A$6:$B$38,2,FALSE)</f>
        <v>0.5212300547362938</v>
      </c>
      <c r="J803">
        <f>(Table3[[#This Row],[HomeMargin]]-Table3[[#This Row],[HomeForecast]])^2</f>
        <v>0.22922066048781223</v>
      </c>
    </row>
    <row r="804" spans="4:10" x14ac:dyDescent="0.2">
      <c r="D804" t="s">
        <v>23</v>
      </c>
      <c r="E804">
        <f>'NHL2025-26Results'!C800</f>
        <v>4</v>
      </c>
      <c r="F804" t="s">
        <v>18</v>
      </c>
      <c r="G804">
        <f>'NHL2025-26Results'!E800</f>
        <v>2</v>
      </c>
      <c r="H804">
        <f>Table3[[#This Row],[G_1]]-Table3[[#This Row],[G]]</f>
        <v>-2</v>
      </c>
      <c r="I804">
        <f>HomeEdge+VLOOKUP(Table3[[#This Row],[Home]],$A$6:$B$38,2,FALSE)-VLOOKUP(Table3[[#This Row],[Visitor]],$A$6:$B$38,2,FALSE)</f>
        <v>3.5177912439395852E-2</v>
      </c>
      <c r="J804">
        <f>(Table3[[#This Row],[HomeMargin]]-Table3[[#This Row],[HomeForecast]])^2</f>
        <v>4.1419491352811777</v>
      </c>
    </row>
    <row r="805" spans="4:10" x14ac:dyDescent="0.2">
      <c r="D805" t="s">
        <v>36</v>
      </c>
      <c r="E805">
        <f>'NHL2025-26Results'!C801</f>
        <v>3</v>
      </c>
      <c r="F805" t="s">
        <v>29</v>
      </c>
      <c r="G805">
        <f>'NHL2025-26Results'!E801</f>
        <v>5</v>
      </c>
      <c r="H805">
        <f>Table3[[#This Row],[G_1]]-Table3[[#This Row],[G]]</f>
        <v>2</v>
      </c>
      <c r="I805">
        <f>HomeEdge+VLOOKUP(Table3[[#This Row],[Home]],$A$6:$B$38,2,FALSE)-VLOOKUP(Table3[[#This Row],[Visitor]],$A$6:$B$38,2,FALSE)</f>
        <v>-0.50085034275422979</v>
      </c>
      <c r="J805">
        <f>(Table3[[#This Row],[HomeMargin]]-Table3[[#This Row],[HomeForecast]])^2</f>
        <v>6.2542524368539478</v>
      </c>
    </row>
    <row r="806" spans="4:10" x14ac:dyDescent="0.2">
      <c r="D806" t="s">
        <v>11</v>
      </c>
      <c r="E806">
        <f>'NHL2025-26Results'!C802</f>
        <v>2</v>
      </c>
      <c r="F806" t="s">
        <v>40</v>
      </c>
      <c r="G806">
        <f>'NHL2025-26Results'!E802</f>
        <v>1</v>
      </c>
      <c r="H806">
        <f>Table3[[#This Row],[G_1]]-Table3[[#This Row],[G]]</f>
        <v>-1</v>
      </c>
      <c r="I806">
        <f>HomeEdge+VLOOKUP(Table3[[#This Row],[Home]],$A$6:$B$38,2,FALSE)-VLOOKUP(Table3[[#This Row],[Visitor]],$A$6:$B$38,2,FALSE)</f>
        <v>9.8107644596117094E-2</v>
      </c>
      <c r="J806">
        <f>(Table3[[#This Row],[HomeMargin]]-Table3[[#This Row],[HomeForecast]])^2</f>
        <v>1.2058403991204323</v>
      </c>
    </row>
    <row r="807" spans="4:10" x14ac:dyDescent="0.2">
      <c r="D807" t="s">
        <v>22</v>
      </c>
      <c r="E807">
        <f>'NHL2025-26Results'!C803</f>
        <v>3</v>
      </c>
      <c r="F807" t="s">
        <v>16</v>
      </c>
      <c r="G807">
        <f>'NHL2025-26Results'!E803</f>
        <v>1</v>
      </c>
      <c r="H807">
        <f>Table3[[#This Row],[G_1]]-Table3[[#This Row],[G]]</f>
        <v>-2</v>
      </c>
      <c r="I807">
        <f>HomeEdge+VLOOKUP(Table3[[#This Row],[Home]],$A$6:$B$38,2,FALSE)-VLOOKUP(Table3[[#This Row],[Visitor]],$A$6:$B$38,2,FALSE)</f>
        <v>-0.64092930100080725</v>
      </c>
      <c r="J807">
        <f>(Table3[[#This Row],[HomeMargin]]-Table3[[#This Row],[HomeForecast]])^2</f>
        <v>1.8470731648781544</v>
      </c>
    </row>
    <row r="808" spans="4:10" x14ac:dyDescent="0.2">
      <c r="D808" t="s">
        <v>37</v>
      </c>
      <c r="E808">
        <f>'NHL2025-26Results'!C804</f>
        <v>2</v>
      </c>
      <c r="F808" t="s">
        <v>10</v>
      </c>
      <c r="G808">
        <f>'NHL2025-26Results'!E804</f>
        <v>1</v>
      </c>
      <c r="H808">
        <f>Table3[[#This Row],[G_1]]-Table3[[#This Row],[G]]</f>
        <v>-1</v>
      </c>
      <c r="I808">
        <f>HomeEdge+VLOOKUP(Table3[[#This Row],[Home]],$A$6:$B$38,2,FALSE)-VLOOKUP(Table3[[#This Row],[Visitor]],$A$6:$B$38,2,FALSE)</f>
        <v>-1.5180556428729579</v>
      </c>
      <c r="J808">
        <f>(Table3[[#This Row],[HomeMargin]]-Table3[[#This Row],[HomeForecast]])^2</f>
        <v>0.26838164911251372</v>
      </c>
    </row>
    <row r="809" spans="4:10" x14ac:dyDescent="0.2">
      <c r="D809" t="s">
        <v>27</v>
      </c>
      <c r="E809">
        <f>'NHL2025-26Results'!C805</f>
        <v>7</v>
      </c>
      <c r="F809" t="s">
        <v>12</v>
      </c>
      <c r="G809">
        <f>'NHL2025-26Results'!E805</f>
        <v>3</v>
      </c>
      <c r="H809">
        <f>Table3[[#This Row],[G_1]]-Table3[[#This Row],[G]]</f>
        <v>-4</v>
      </c>
      <c r="I809">
        <f>HomeEdge+VLOOKUP(Table3[[#This Row],[Home]],$A$6:$B$38,2,FALSE)-VLOOKUP(Table3[[#This Row],[Visitor]],$A$6:$B$38,2,FALSE)</f>
        <v>1.6792531586029238</v>
      </c>
      <c r="J809">
        <f>(Table3[[#This Row],[HomeMargin]]-Table3[[#This Row],[HomeForecast]])^2</f>
        <v>32.253916439501289</v>
      </c>
    </row>
    <row r="810" spans="4:10" x14ac:dyDescent="0.2">
      <c r="D810" t="s">
        <v>35</v>
      </c>
      <c r="E810">
        <f>'NHL2025-26Results'!C806</f>
        <v>2</v>
      </c>
      <c r="F810" t="s">
        <v>39</v>
      </c>
      <c r="G810">
        <f>'NHL2025-26Results'!E806</f>
        <v>3</v>
      </c>
      <c r="H810">
        <f>Table3[[#This Row],[G_1]]-Table3[[#This Row],[G]]</f>
        <v>1</v>
      </c>
      <c r="I810">
        <f>HomeEdge+VLOOKUP(Table3[[#This Row],[Home]],$A$6:$B$38,2,FALSE)-VLOOKUP(Table3[[#This Row],[Visitor]],$A$6:$B$38,2,FALSE)</f>
        <v>1.6595445669975701</v>
      </c>
      <c r="J810">
        <f>(Table3[[#This Row],[HomeMargin]]-Table3[[#This Row],[HomeForecast]])^2</f>
        <v>0.43499903585601229</v>
      </c>
    </row>
    <row r="811" spans="4:10" x14ac:dyDescent="0.2">
      <c r="D811" t="s">
        <v>31</v>
      </c>
      <c r="E811">
        <f>'NHL2025-26Results'!C807</f>
        <v>4</v>
      </c>
      <c r="F811" t="s">
        <v>32</v>
      </c>
      <c r="G811">
        <f>'NHL2025-26Results'!E807</f>
        <v>2</v>
      </c>
      <c r="H811">
        <f>Table3[[#This Row],[G_1]]-Table3[[#This Row],[G]]</f>
        <v>-2</v>
      </c>
      <c r="I811">
        <f>HomeEdge+VLOOKUP(Table3[[#This Row],[Home]],$A$6:$B$38,2,FALSE)-VLOOKUP(Table3[[#This Row],[Visitor]],$A$6:$B$38,2,FALSE)</f>
        <v>0.11084566254705297</v>
      </c>
      <c r="J811">
        <f>(Table3[[#This Row],[HomeMargin]]-Table3[[#This Row],[HomeForecast]])^2</f>
        <v>4.4556694110937078</v>
      </c>
    </row>
    <row r="812" spans="4:10" x14ac:dyDescent="0.2">
      <c r="D812" t="s">
        <v>15</v>
      </c>
      <c r="E812">
        <f>'NHL2025-26Results'!C808</f>
        <v>1</v>
      </c>
      <c r="F812" t="s">
        <v>33</v>
      </c>
      <c r="G812">
        <f>'NHL2025-26Results'!E808</f>
        <v>3</v>
      </c>
      <c r="H812">
        <f>Table3[[#This Row],[G_1]]-Table3[[#This Row],[G]]</f>
        <v>2</v>
      </c>
      <c r="I812">
        <f>HomeEdge+VLOOKUP(Table3[[#This Row],[Home]],$A$6:$B$38,2,FALSE)-VLOOKUP(Table3[[#This Row],[Visitor]],$A$6:$B$38,2,FALSE)</f>
        <v>0.21376031564179465</v>
      </c>
      <c r="J812">
        <f>(Table3[[#This Row],[HomeMargin]]-Table3[[#This Row],[HomeForecast]])^2</f>
        <v>3.190652209976101</v>
      </c>
    </row>
    <row r="813" spans="4:10" x14ac:dyDescent="0.2">
      <c r="D813" t="s">
        <v>20</v>
      </c>
      <c r="E813">
        <f>'NHL2025-26Results'!C809</f>
        <v>6</v>
      </c>
      <c r="F813" t="s">
        <v>19</v>
      </c>
      <c r="G813">
        <f>'NHL2025-26Results'!E809</f>
        <v>3</v>
      </c>
      <c r="H813">
        <f>Table3[[#This Row],[G_1]]-Table3[[#This Row],[G]]</f>
        <v>-3</v>
      </c>
      <c r="I813">
        <f>HomeEdge+VLOOKUP(Table3[[#This Row],[Home]],$A$6:$B$38,2,FALSE)-VLOOKUP(Table3[[#This Row],[Visitor]],$A$6:$B$38,2,FALSE)</f>
        <v>-0.1497089482614419</v>
      </c>
      <c r="J813">
        <f>(Table3[[#This Row],[HomeMargin]]-Table3[[#This Row],[HomeForecast]])^2</f>
        <v>8.1241590796208971</v>
      </c>
    </row>
    <row r="814" spans="4:10" x14ac:dyDescent="0.2">
      <c r="D814" t="s">
        <v>24</v>
      </c>
      <c r="E814">
        <f>'NHL2025-26Results'!C810</f>
        <v>5</v>
      </c>
      <c r="F814" t="s">
        <v>38</v>
      </c>
      <c r="G814">
        <f>'NHL2025-26Results'!E810</f>
        <v>4</v>
      </c>
      <c r="H814">
        <f>Table3[[#This Row],[G_1]]-Table3[[#This Row],[G]]</f>
        <v>-1</v>
      </c>
      <c r="I814">
        <f>HomeEdge+VLOOKUP(Table3[[#This Row],[Home]],$A$6:$B$38,2,FALSE)-VLOOKUP(Table3[[#This Row],[Visitor]],$A$6:$B$38,2,FALSE)</f>
        <v>-0.51728828174634645</v>
      </c>
      <c r="J814">
        <f>(Table3[[#This Row],[HomeMargin]]-Table3[[#This Row],[HomeForecast]])^2</f>
        <v>0.2330106029393946</v>
      </c>
    </row>
    <row r="815" spans="4:10" x14ac:dyDescent="0.2">
      <c r="D815" t="s">
        <v>18</v>
      </c>
      <c r="E815">
        <f>'NHL2025-26Results'!C811</f>
        <v>3</v>
      </c>
      <c r="F815" t="s">
        <v>21</v>
      </c>
      <c r="G815">
        <f>'NHL2025-26Results'!E811</f>
        <v>4</v>
      </c>
      <c r="H815">
        <f>Table3[[#This Row],[G_1]]-Table3[[#This Row],[G]]</f>
        <v>1</v>
      </c>
      <c r="I815">
        <f>HomeEdge+VLOOKUP(Table3[[#This Row],[Home]],$A$6:$B$38,2,FALSE)-VLOOKUP(Table3[[#This Row],[Visitor]],$A$6:$B$38,2,FALSE)</f>
        <v>0.11335104954701686</v>
      </c>
      <c r="J815">
        <f>(Table3[[#This Row],[HomeMargin]]-Table3[[#This Row],[HomeForecast]])^2</f>
        <v>0.78614636133937643</v>
      </c>
    </row>
    <row r="816" spans="4:10" x14ac:dyDescent="0.2">
      <c r="D816" t="s">
        <v>37</v>
      </c>
      <c r="E816">
        <f>'NHL2025-26Results'!C812</f>
        <v>5</v>
      </c>
      <c r="F816" t="s">
        <v>28</v>
      </c>
      <c r="G816">
        <f>'NHL2025-26Results'!E812</f>
        <v>8</v>
      </c>
      <c r="H816">
        <f>Table3[[#This Row],[G_1]]-Table3[[#This Row],[G]]</f>
        <v>3</v>
      </c>
      <c r="I816">
        <f>HomeEdge+VLOOKUP(Table3[[#This Row],[Home]],$A$6:$B$38,2,FALSE)-VLOOKUP(Table3[[#This Row],[Visitor]],$A$6:$B$38,2,FALSE)</f>
        <v>-0.87303966024831203</v>
      </c>
      <c r="J816">
        <f>(Table3[[#This Row],[HomeMargin]]-Table3[[#This Row],[HomeForecast]])^2</f>
        <v>15.000436209856359</v>
      </c>
    </row>
    <row r="817" spans="4:10" x14ac:dyDescent="0.2">
      <c r="D817" t="s">
        <v>22</v>
      </c>
      <c r="E817">
        <f>'NHL2025-26Results'!C813</f>
        <v>5</v>
      </c>
      <c r="F817" t="s">
        <v>17</v>
      </c>
      <c r="G817">
        <f>'NHL2025-26Results'!E813</f>
        <v>6</v>
      </c>
      <c r="H817">
        <f>Table3[[#This Row],[G_1]]-Table3[[#This Row],[G]]</f>
        <v>1</v>
      </c>
      <c r="I817">
        <f>HomeEdge+VLOOKUP(Table3[[#This Row],[Home]],$A$6:$B$38,2,FALSE)-VLOOKUP(Table3[[#This Row],[Visitor]],$A$6:$B$38,2,FALSE)</f>
        <v>-0.1152430318668808</v>
      </c>
      <c r="J817">
        <f>(Table3[[#This Row],[HomeMargin]]-Table3[[#This Row],[HomeForecast]])^2</f>
        <v>1.2437670201276327</v>
      </c>
    </row>
    <row r="818" spans="4:10" x14ac:dyDescent="0.2">
      <c r="D818" t="s">
        <v>11</v>
      </c>
      <c r="E818">
        <f>'NHL2025-26Results'!C814</f>
        <v>4</v>
      </c>
      <c r="F818" t="s">
        <v>34</v>
      </c>
      <c r="G818">
        <f>'NHL2025-26Results'!E814</f>
        <v>3</v>
      </c>
      <c r="H818">
        <f>Table3[[#This Row],[G_1]]-Table3[[#This Row],[G]]</f>
        <v>-1</v>
      </c>
      <c r="I818">
        <f>HomeEdge+VLOOKUP(Table3[[#This Row],[Home]],$A$6:$B$38,2,FALSE)-VLOOKUP(Table3[[#This Row],[Visitor]],$A$6:$B$38,2,FALSE)</f>
        <v>0.74704440082000567</v>
      </c>
      <c r="J818">
        <f>(Table3[[#This Row],[HomeMargin]]-Table3[[#This Row],[HomeForecast]])^2</f>
        <v>3.0521641384365328</v>
      </c>
    </row>
    <row r="819" spans="4:10" x14ac:dyDescent="0.2">
      <c r="D819" t="s">
        <v>55</v>
      </c>
      <c r="E819">
        <f>'NHL2025-26Results'!C815</f>
        <v>5</v>
      </c>
      <c r="F819" t="s">
        <v>29</v>
      </c>
      <c r="G819">
        <f>'NHL2025-26Results'!E815</f>
        <v>2</v>
      </c>
      <c r="H819">
        <f>Table3[[#This Row],[G_1]]-Table3[[#This Row],[G]]</f>
        <v>-3</v>
      </c>
      <c r="I819">
        <f>HomeEdge+VLOOKUP(Table3[[#This Row],[Home]],$A$6:$B$38,2,FALSE)-VLOOKUP(Table3[[#This Row],[Visitor]],$A$6:$B$38,2,FALSE)</f>
        <v>-0.77505255122507499</v>
      </c>
      <c r="J819">
        <f>(Table3[[#This Row],[HomeMargin]]-Table3[[#This Row],[HomeForecast]])^2</f>
        <v>4.9503911498100477</v>
      </c>
    </row>
    <row r="820" spans="4:10" x14ac:dyDescent="0.2">
      <c r="D820" t="s">
        <v>23</v>
      </c>
      <c r="E820">
        <f>'NHL2025-26Results'!C816</f>
        <v>5</v>
      </c>
      <c r="F820" t="s">
        <v>30</v>
      </c>
      <c r="G820">
        <f>'NHL2025-26Results'!E816</f>
        <v>0</v>
      </c>
      <c r="H820">
        <f>Table3[[#This Row],[G_1]]-Table3[[#This Row],[G]]</f>
        <v>-5</v>
      </c>
      <c r="I820">
        <f>HomeEdge+VLOOKUP(Table3[[#This Row],[Home]],$A$6:$B$38,2,FALSE)-VLOOKUP(Table3[[#This Row],[Visitor]],$A$6:$B$38,2,FALSE)</f>
        <v>-6.4852036376815692E-2</v>
      </c>
      <c r="J820">
        <f>(Table3[[#This Row],[HomeMargin]]-Table3[[#This Row],[HomeForecast]])^2</f>
        <v>24.355685422854066</v>
      </c>
    </row>
    <row r="821" spans="4:10" x14ac:dyDescent="0.2">
      <c r="D821" t="s">
        <v>25</v>
      </c>
      <c r="E821">
        <f>'NHL2025-26Results'!C817</f>
        <v>4</v>
      </c>
      <c r="F821" t="s">
        <v>36</v>
      </c>
      <c r="G821">
        <f>'NHL2025-26Results'!E817</f>
        <v>1</v>
      </c>
      <c r="H821">
        <f>Table3[[#This Row],[G_1]]-Table3[[#This Row],[G]]</f>
        <v>-3</v>
      </c>
      <c r="I821">
        <f>HomeEdge+VLOOKUP(Table3[[#This Row],[Home]],$A$6:$B$38,2,FALSE)-VLOOKUP(Table3[[#This Row],[Visitor]],$A$6:$B$38,2,FALSE)</f>
        <v>-0.29299469831372593</v>
      </c>
      <c r="J821">
        <f>(Table3[[#This Row],[HomeMargin]]-Table3[[#This Row],[HomeForecast]])^2</f>
        <v>7.3278777033575944</v>
      </c>
    </row>
    <row r="822" spans="4:10" x14ac:dyDescent="0.2">
      <c r="D822" t="s">
        <v>13</v>
      </c>
      <c r="E822">
        <f>'NHL2025-26Results'!C818</f>
        <v>5</v>
      </c>
      <c r="F822" t="s">
        <v>35</v>
      </c>
      <c r="G822">
        <f>'NHL2025-26Results'!E818</f>
        <v>4</v>
      </c>
      <c r="H822">
        <f>Table3[[#This Row],[G_1]]-Table3[[#This Row],[G]]</f>
        <v>-1</v>
      </c>
      <c r="I822">
        <f>HomeEdge+VLOOKUP(Table3[[#This Row],[Home]],$A$6:$B$38,2,FALSE)-VLOOKUP(Table3[[#This Row],[Visitor]],$A$6:$B$38,2,FALSE)</f>
        <v>-0.59255338860860529</v>
      </c>
      <c r="J822">
        <f>(Table3[[#This Row],[HomeMargin]]-Table3[[#This Row],[HomeForecast]])^2</f>
        <v>0.16601274113433021</v>
      </c>
    </row>
    <row r="823" spans="4:10" x14ac:dyDescent="0.2">
      <c r="D823" t="s">
        <v>26</v>
      </c>
      <c r="E823">
        <f>'NHL2025-26Results'!C819</f>
        <v>5</v>
      </c>
      <c r="F823" t="s">
        <v>40</v>
      </c>
      <c r="G823">
        <f>'NHL2025-26Results'!E819</f>
        <v>1</v>
      </c>
      <c r="H823">
        <f>Table3[[#This Row],[G_1]]-Table3[[#This Row],[G]]</f>
        <v>-4</v>
      </c>
      <c r="I823">
        <f>HomeEdge+VLOOKUP(Table3[[#This Row],[Home]],$A$6:$B$38,2,FALSE)-VLOOKUP(Table3[[#This Row],[Visitor]],$A$6:$B$38,2,FALSE)</f>
        <v>-0.12770670148759466</v>
      </c>
      <c r="J823">
        <f>(Table3[[#This Row],[HomeMargin]]-Table3[[#This Row],[HomeForecast]])^2</f>
        <v>14.994655389704086</v>
      </c>
    </row>
    <row r="824" spans="4:10" x14ac:dyDescent="0.2">
      <c r="D824" t="s">
        <v>31</v>
      </c>
      <c r="E824">
        <f>'NHL2025-26Results'!C820</f>
        <v>4</v>
      </c>
      <c r="F824" t="s">
        <v>16</v>
      </c>
      <c r="G824">
        <f>'NHL2025-26Results'!E820</f>
        <v>3</v>
      </c>
      <c r="H824">
        <f>Table3[[#This Row],[G_1]]-Table3[[#This Row],[G]]</f>
        <v>-1</v>
      </c>
      <c r="I824">
        <f>HomeEdge+VLOOKUP(Table3[[#This Row],[Home]],$A$6:$B$38,2,FALSE)-VLOOKUP(Table3[[#This Row],[Visitor]],$A$6:$B$38,2,FALSE)</f>
        <v>-0.2970994017237405</v>
      </c>
      <c r="J824">
        <f>(Table3[[#This Row],[HomeMargin]]-Table3[[#This Row],[HomeForecast]])^2</f>
        <v>0.49406925105712357</v>
      </c>
    </row>
    <row r="825" spans="4:10" x14ac:dyDescent="0.2">
      <c r="D825" t="s">
        <v>11</v>
      </c>
      <c r="E825">
        <f>'NHL2025-26Results'!C821</f>
        <v>5</v>
      </c>
      <c r="F825" t="s">
        <v>10</v>
      </c>
      <c r="G825">
        <f>'NHL2025-26Results'!E821</f>
        <v>1</v>
      </c>
      <c r="H825">
        <f>Table3[[#This Row],[G_1]]-Table3[[#This Row],[G]]</f>
        <v>-4</v>
      </c>
      <c r="I825">
        <f>HomeEdge+VLOOKUP(Table3[[#This Row],[Home]],$A$6:$B$38,2,FALSE)-VLOOKUP(Table3[[#This Row],[Visitor]],$A$6:$B$38,2,FALSE)</f>
        <v>-0.24002166428241378</v>
      </c>
      <c r="J825">
        <f>(Table3[[#This Row],[HomeMargin]]-Table3[[#This Row],[HomeForecast]])^2</f>
        <v>14.13743708506559</v>
      </c>
    </row>
    <row r="826" spans="4:10" x14ac:dyDescent="0.2">
      <c r="D826" t="s">
        <v>20</v>
      </c>
      <c r="E826">
        <f>'NHL2025-26Results'!C822</f>
        <v>1</v>
      </c>
      <c r="F826" t="s">
        <v>36</v>
      </c>
      <c r="G826">
        <f>'NHL2025-26Results'!E822</f>
        <v>7</v>
      </c>
      <c r="H826">
        <f>Table3[[#This Row],[G_1]]-Table3[[#This Row],[G]]</f>
        <v>6</v>
      </c>
      <c r="I826">
        <f>HomeEdge+VLOOKUP(Table3[[#This Row],[Home]],$A$6:$B$38,2,FALSE)-VLOOKUP(Table3[[#This Row],[Visitor]],$A$6:$B$38,2,FALSE)</f>
        <v>0.10246413738316595</v>
      </c>
      <c r="J826">
        <f>(Table3[[#This Row],[HomeMargin]]-Table3[[#This Row],[HomeForecast]])^2</f>
        <v>34.780929250851692</v>
      </c>
    </row>
    <row r="827" spans="4:10" x14ac:dyDescent="0.2">
      <c r="D827" t="s">
        <v>24</v>
      </c>
      <c r="E827">
        <f>'NHL2025-26Results'!C823</f>
        <v>2</v>
      </c>
      <c r="F827" t="s">
        <v>32</v>
      </c>
      <c r="G827">
        <f>'NHL2025-26Results'!E823</f>
        <v>4</v>
      </c>
      <c r="H827">
        <f>Table3[[#This Row],[G_1]]-Table3[[#This Row],[G]]</f>
        <v>2</v>
      </c>
      <c r="I827">
        <f>HomeEdge+VLOOKUP(Table3[[#This Row],[Home]],$A$6:$B$38,2,FALSE)-VLOOKUP(Table3[[#This Row],[Visitor]],$A$6:$B$38,2,FALSE)</f>
        <v>0.3923478667613961</v>
      </c>
      <c r="J827">
        <f>(Table3[[#This Row],[HomeMargin]]-Table3[[#This Row],[HomeForecast]])^2</f>
        <v>2.5845453815066342</v>
      </c>
    </row>
    <row r="828" spans="4:10" x14ac:dyDescent="0.2">
      <c r="D828" t="s">
        <v>12</v>
      </c>
      <c r="E828">
        <f>'NHL2025-26Results'!C824</f>
        <v>4</v>
      </c>
      <c r="F828" t="s">
        <v>19</v>
      </c>
      <c r="G828">
        <f>'NHL2025-26Results'!E824</f>
        <v>1</v>
      </c>
      <c r="H828">
        <f>Table3[[#This Row],[G_1]]-Table3[[#This Row],[G]]</f>
        <v>-3</v>
      </c>
      <c r="I828">
        <f>HomeEdge+VLOOKUP(Table3[[#This Row],[Home]],$A$6:$B$38,2,FALSE)-VLOOKUP(Table3[[#This Row],[Visitor]],$A$6:$B$38,2,FALSE)</f>
        <v>-1.3113404159749602</v>
      </c>
      <c r="J828">
        <f>(Table3[[#This Row],[HomeMargin]]-Table3[[#This Row],[HomeForecast]])^2</f>
        <v>2.8515711907196204</v>
      </c>
    </row>
    <row r="829" spans="4:10" x14ac:dyDescent="0.2">
      <c r="D829" t="s">
        <v>14</v>
      </c>
      <c r="E829">
        <f>'NHL2025-26Results'!C825</f>
        <v>3</v>
      </c>
      <c r="F829" t="s">
        <v>38</v>
      </c>
      <c r="G829">
        <f>'NHL2025-26Results'!E825</f>
        <v>2</v>
      </c>
      <c r="H829">
        <f>Table3[[#This Row],[G_1]]-Table3[[#This Row],[G]]</f>
        <v>-1</v>
      </c>
      <c r="I829">
        <f>HomeEdge+VLOOKUP(Table3[[#This Row],[Home]],$A$6:$B$38,2,FALSE)-VLOOKUP(Table3[[#This Row],[Visitor]],$A$6:$B$38,2,FALSE)</f>
        <v>-1.2624326665877315</v>
      </c>
      <c r="J829">
        <f>(Table3[[#This Row],[HomeMargin]]-Table3[[#This Row],[HomeForecast]])^2</f>
        <v>6.8870904492347423E-2</v>
      </c>
    </row>
    <row r="830" spans="4:10" x14ac:dyDescent="0.2">
      <c r="D830" t="s">
        <v>31</v>
      </c>
      <c r="E830">
        <f>'NHL2025-26Results'!C826</f>
        <v>4</v>
      </c>
      <c r="F830" t="s">
        <v>17</v>
      </c>
      <c r="G830">
        <f>'NHL2025-26Results'!E826</f>
        <v>7</v>
      </c>
      <c r="H830">
        <f>Table3[[#This Row],[G_1]]-Table3[[#This Row],[G]]</f>
        <v>3</v>
      </c>
      <c r="I830">
        <f>HomeEdge+VLOOKUP(Table3[[#This Row],[Home]],$A$6:$B$38,2,FALSE)-VLOOKUP(Table3[[#This Row],[Visitor]],$A$6:$B$38,2,FALSE)</f>
        <v>0.22858686741018594</v>
      </c>
      <c r="J830">
        <f>(Table3[[#This Row],[HomeMargin]]-Table3[[#This Row],[HomeForecast]])^2</f>
        <v>7.6807307514912866</v>
      </c>
    </row>
    <row r="831" spans="4:10" x14ac:dyDescent="0.2">
      <c r="D831" t="s">
        <v>21</v>
      </c>
      <c r="E831">
        <f>'NHL2025-26Results'!C827</f>
        <v>3</v>
      </c>
      <c r="F831" t="s">
        <v>15</v>
      </c>
      <c r="G831">
        <f>'NHL2025-26Results'!E827</f>
        <v>4</v>
      </c>
      <c r="H831">
        <f>Table3[[#This Row],[G_1]]-Table3[[#This Row],[G]]</f>
        <v>1</v>
      </c>
      <c r="I831">
        <f>HomeEdge+VLOOKUP(Table3[[#This Row],[Home]],$A$6:$B$38,2,FALSE)-VLOOKUP(Table3[[#This Row],[Visitor]],$A$6:$B$38,2,FALSE)</f>
        <v>-0.50438155592191636</v>
      </c>
      <c r="J831">
        <f>(Table3[[#This Row],[HomeMargin]]-Table3[[#This Row],[HomeForecast]])^2</f>
        <v>2.2631638657980462</v>
      </c>
    </row>
    <row r="832" spans="4:10" x14ac:dyDescent="0.2">
      <c r="D832" t="s">
        <v>30</v>
      </c>
      <c r="E832">
        <f>'NHL2025-26Results'!C828</f>
        <v>4</v>
      </c>
      <c r="F832" t="s">
        <v>27</v>
      </c>
      <c r="G832">
        <f>'NHL2025-26Results'!E828</f>
        <v>0</v>
      </c>
      <c r="H832">
        <f>Table3[[#This Row],[G_1]]-Table3[[#This Row],[G]]</f>
        <v>-4</v>
      </c>
      <c r="I832">
        <f>HomeEdge+VLOOKUP(Table3[[#This Row],[Home]],$A$6:$B$38,2,FALSE)-VLOOKUP(Table3[[#This Row],[Visitor]],$A$6:$B$38,2,FALSE)</f>
        <v>-0.23506772789793567</v>
      </c>
      <c r="J832">
        <f>(Table3[[#This Row],[HomeMargin]]-Table3[[#This Row],[HomeForecast]])^2</f>
        <v>14.174715013515613</v>
      </c>
    </row>
    <row r="833" spans="4:10" x14ac:dyDescent="0.2">
      <c r="D833" t="s">
        <v>55</v>
      </c>
      <c r="E833">
        <f>'NHL2025-26Results'!C829</f>
        <v>0</v>
      </c>
      <c r="F833" t="s">
        <v>37</v>
      </c>
      <c r="G833">
        <f>'NHL2025-26Results'!E829</f>
        <v>2</v>
      </c>
      <c r="H833">
        <f>Table3[[#This Row],[G_1]]-Table3[[#This Row],[G]]</f>
        <v>2</v>
      </c>
      <c r="I833">
        <f>HomeEdge+VLOOKUP(Table3[[#This Row],[Home]],$A$6:$B$38,2,FALSE)-VLOOKUP(Table3[[#This Row],[Visitor]],$A$6:$B$38,2,FALSE)</f>
        <v>0.76659410730864086</v>
      </c>
      <c r="J833">
        <f>(Table3[[#This Row],[HomeMargin]]-Table3[[#This Row],[HomeForecast]])^2</f>
        <v>1.5212900961257685</v>
      </c>
    </row>
    <row r="834" spans="4:10" x14ac:dyDescent="0.2">
      <c r="D834" t="s">
        <v>29</v>
      </c>
      <c r="E834">
        <f>'NHL2025-26Results'!C830</f>
        <v>2</v>
      </c>
      <c r="F834" t="s">
        <v>21</v>
      </c>
      <c r="G834">
        <f>'NHL2025-26Results'!E830</f>
        <v>3</v>
      </c>
      <c r="H834">
        <f>Table3[[#This Row],[G_1]]-Table3[[#This Row],[G]]</f>
        <v>1</v>
      </c>
      <c r="I834">
        <f>HomeEdge+VLOOKUP(Table3[[#This Row],[Home]],$A$6:$B$38,2,FALSE)-VLOOKUP(Table3[[#This Row],[Visitor]],$A$6:$B$38,2,FALSE)</f>
        <v>0.84764118398891863</v>
      </c>
      <c r="J834">
        <f>(Table3[[#This Row],[HomeMargin]]-Table3[[#This Row],[HomeForecast]])^2</f>
        <v>2.3213208816298545E-2</v>
      </c>
    </row>
    <row r="835" spans="4:10" x14ac:dyDescent="0.2">
      <c r="D835" t="s">
        <v>13</v>
      </c>
      <c r="E835">
        <f>'NHL2025-26Results'!C831</f>
        <v>3</v>
      </c>
      <c r="F835" t="s">
        <v>26</v>
      </c>
      <c r="G835">
        <f>'NHL2025-26Results'!E831</f>
        <v>1</v>
      </c>
      <c r="H835">
        <f>Table3[[#This Row],[G_1]]-Table3[[#This Row],[G]]</f>
        <v>-2</v>
      </c>
      <c r="I835">
        <f>HomeEdge+VLOOKUP(Table3[[#This Row],[Home]],$A$6:$B$38,2,FALSE)-VLOOKUP(Table3[[#This Row],[Visitor]],$A$6:$B$38,2,FALSE)</f>
        <v>0.38916609951508163</v>
      </c>
      <c r="J835">
        <f>(Table3[[#This Row],[HomeMargin]]-Table3[[#This Row],[HomeForecast]])^2</f>
        <v>5.7081146510721101</v>
      </c>
    </row>
    <row r="836" spans="4:10" x14ac:dyDescent="0.2">
      <c r="D836" t="s">
        <v>55</v>
      </c>
      <c r="E836">
        <f>'NHL2025-26Results'!C832</f>
        <v>4</v>
      </c>
      <c r="F836" t="s">
        <v>11</v>
      </c>
      <c r="G836">
        <f>'NHL2025-26Results'!E832</f>
        <v>3</v>
      </c>
      <c r="H836">
        <f>Table3[[#This Row],[G_1]]-Table3[[#This Row],[G]]</f>
        <v>-1</v>
      </c>
      <c r="I836">
        <f>HomeEdge+VLOOKUP(Table3[[#This Row],[Home]],$A$6:$B$38,2,FALSE)-VLOOKUP(Table3[[#This Row],[Visitor]],$A$6:$B$38,2,FALSE)</f>
        <v>-0.51143987128190316</v>
      </c>
      <c r="J836">
        <f>(Table3[[#This Row],[HomeMargin]]-Table3[[#This Row],[HomeForecast]])^2</f>
        <v>0.23869099937304336</v>
      </c>
    </row>
    <row r="837" spans="4:10" x14ac:dyDescent="0.2">
      <c r="D837" t="s">
        <v>10</v>
      </c>
      <c r="E837">
        <f>'NHL2025-26Results'!C833</f>
        <v>3</v>
      </c>
      <c r="F837" t="s">
        <v>34</v>
      </c>
      <c r="G837">
        <f>'NHL2025-26Results'!E833</f>
        <v>4</v>
      </c>
      <c r="H837">
        <f>Table3[[#This Row],[G_1]]-Table3[[#This Row],[G]]</f>
        <v>1</v>
      </c>
      <c r="I837">
        <f>HomeEdge+VLOOKUP(Table3[[#This Row],[Home]],$A$6:$B$38,2,FALSE)-VLOOKUP(Table3[[#This Row],[Visitor]],$A$6:$B$38,2,FALSE)</f>
        <v>1.1166730509139435</v>
      </c>
      <c r="J837">
        <f>(Table3[[#This Row],[HomeMargin]]-Table3[[#This Row],[HomeForecast]])^2</f>
        <v>1.361260080956766E-2</v>
      </c>
    </row>
    <row r="838" spans="4:10" x14ac:dyDescent="0.2">
      <c r="D838" t="s">
        <v>20</v>
      </c>
      <c r="E838">
        <f>'NHL2025-26Results'!C834</f>
        <v>2</v>
      </c>
      <c r="F838" t="s">
        <v>18</v>
      </c>
      <c r="G838">
        <f>'NHL2025-26Results'!E834</f>
        <v>3</v>
      </c>
      <c r="H838">
        <f>Table3[[#This Row],[G_1]]-Table3[[#This Row],[G]]</f>
        <v>1</v>
      </c>
      <c r="I838">
        <f>HomeEdge+VLOOKUP(Table3[[#This Row],[Home]],$A$6:$B$38,2,FALSE)-VLOOKUP(Table3[[#This Row],[Visitor]],$A$6:$B$38,2,FALSE)</f>
        <v>0.20629694325931389</v>
      </c>
      <c r="J838">
        <f>(Table3[[#This Row],[HomeMargin]]-Table3[[#This Row],[HomeForecast]])^2</f>
        <v>0.62996454227950871</v>
      </c>
    </row>
    <row r="839" spans="4:10" x14ac:dyDescent="0.2">
      <c r="D839" t="s">
        <v>40</v>
      </c>
      <c r="E839">
        <f>'NHL2025-26Results'!C835</f>
        <v>4</v>
      </c>
      <c r="F839" t="s">
        <v>24</v>
      </c>
      <c r="G839">
        <f>'NHL2025-26Results'!E835</f>
        <v>3</v>
      </c>
      <c r="H839">
        <f>Table3[[#This Row],[G_1]]-Table3[[#This Row],[G]]</f>
        <v>-1</v>
      </c>
      <c r="I839">
        <f>HomeEdge+VLOOKUP(Table3[[#This Row],[Home]],$A$6:$B$38,2,FALSE)-VLOOKUP(Table3[[#This Row],[Visitor]],$A$6:$B$38,2,FALSE)</f>
        <v>-2.7049577036177386E-2</v>
      </c>
      <c r="J839">
        <f>(Table3[[#This Row],[HomeMargin]]-Table3[[#This Row],[HomeForecast]])^2</f>
        <v>0.94663252554548127</v>
      </c>
    </row>
    <row r="840" spans="4:10" x14ac:dyDescent="0.2">
      <c r="D840" t="s">
        <v>22</v>
      </c>
      <c r="E840">
        <f>'NHL2025-26Results'!C836</f>
        <v>1</v>
      </c>
      <c r="F840" t="s">
        <v>32</v>
      </c>
      <c r="G840">
        <f>'NHL2025-26Results'!E836</f>
        <v>5</v>
      </c>
      <c r="H840">
        <f>Table3[[#This Row],[G_1]]-Table3[[#This Row],[G]]</f>
        <v>4</v>
      </c>
      <c r="I840">
        <f>HomeEdge+VLOOKUP(Table3[[#This Row],[Home]],$A$6:$B$38,2,FALSE)-VLOOKUP(Table3[[#This Row],[Visitor]],$A$6:$B$38,2,FALSE)</f>
        <v>-0.23298423673001378</v>
      </c>
      <c r="J840">
        <f>(Table3[[#This Row],[HomeMargin]]-Table3[[#This Row],[HomeForecast]])^2</f>
        <v>17.918155548404776</v>
      </c>
    </row>
    <row r="841" spans="4:10" x14ac:dyDescent="0.2">
      <c r="D841" t="s">
        <v>39</v>
      </c>
      <c r="E841">
        <f>'NHL2025-26Results'!C837</f>
        <v>4</v>
      </c>
      <c r="F841" t="s">
        <v>35</v>
      </c>
      <c r="G841">
        <f>'NHL2025-26Results'!E837</f>
        <v>3</v>
      </c>
      <c r="H841">
        <f>Table3[[#This Row],[G_1]]-Table3[[#This Row],[G]]</f>
        <v>-1</v>
      </c>
      <c r="I841">
        <f>HomeEdge+VLOOKUP(Table3[[#This Row],[Home]],$A$6:$B$38,2,FALSE)-VLOOKUP(Table3[[#This Row],[Visitor]],$A$6:$B$38,2,FALSE)</f>
        <v>-1.400330595374522</v>
      </c>
      <c r="J841">
        <f>(Table3[[#This Row],[HomeMargin]]-Table3[[#This Row],[HomeForecast]])^2</f>
        <v>0.16026458559291923</v>
      </c>
    </row>
    <row r="842" spans="4:10" x14ac:dyDescent="0.2">
      <c r="D842" t="s">
        <v>23</v>
      </c>
      <c r="E842">
        <f>'NHL2025-26Results'!C838</f>
        <v>7</v>
      </c>
      <c r="F842" t="s">
        <v>19</v>
      </c>
      <c r="G842">
        <f>'NHL2025-26Results'!E838</f>
        <v>4</v>
      </c>
      <c r="H842">
        <f>Table3[[#This Row],[G_1]]-Table3[[#This Row],[G]]</f>
        <v>-3</v>
      </c>
      <c r="I842">
        <f>HomeEdge+VLOOKUP(Table3[[#This Row],[Home]],$A$6:$B$38,2,FALSE)-VLOOKUP(Table3[[#This Row],[Visitor]],$A$6:$B$38,2,FALSE)</f>
        <v>-0.32082797908135996</v>
      </c>
      <c r="J842">
        <f>(Table3[[#This Row],[HomeMargin]]-Table3[[#This Row],[HomeForecast]])^2</f>
        <v>7.1779627176732701</v>
      </c>
    </row>
    <row r="843" spans="4:10" x14ac:dyDescent="0.2">
      <c r="D843" t="s">
        <v>33</v>
      </c>
      <c r="E843">
        <f>'NHL2025-26Results'!C839</f>
        <v>5</v>
      </c>
      <c r="F843" t="s">
        <v>38</v>
      </c>
      <c r="G843">
        <f>'NHL2025-26Results'!E839</f>
        <v>2</v>
      </c>
      <c r="H843">
        <f>Table3[[#This Row],[G_1]]-Table3[[#This Row],[G]]</f>
        <v>-3</v>
      </c>
      <c r="I843">
        <f>HomeEdge+VLOOKUP(Table3[[#This Row],[Home]],$A$6:$B$38,2,FALSE)-VLOOKUP(Table3[[#This Row],[Visitor]],$A$6:$B$38,2,FALSE)</f>
        <v>-0.61003049214050775</v>
      </c>
      <c r="J843">
        <f>(Table3[[#This Row],[HomeMargin]]-Table3[[#This Row],[HomeForecast]])^2</f>
        <v>5.7119542484981425</v>
      </c>
    </row>
    <row r="844" spans="4:10" x14ac:dyDescent="0.2">
      <c r="D844" t="s">
        <v>27</v>
      </c>
      <c r="E844">
        <f>'NHL2025-26Results'!C840</f>
        <v>3</v>
      </c>
      <c r="F844" t="s">
        <v>28</v>
      </c>
      <c r="G844">
        <f>'NHL2025-26Results'!E840</f>
        <v>5</v>
      </c>
      <c r="H844">
        <f>Table3[[#This Row],[G_1]]-Table3[[#This Row],[G]]</f>
        <v>2</v>
      </c>
      <c r="I844">
        <f>HomeEdge+VLOOKUP(Table3[[#This Row],[Home]],$A$6:$B$38,2,FALSE)-VLOOKUP(Table3[[#This Row],[Visitor]],$A$6:$B$38,2,FALSE)</f>
        <v>0.39902152636917332</v>
      </c>
      <c r="J844">
        <f>(Table3[[#This Row],[HomeMargin]]-Table3[[#This Row],[HomeForecast]])^2</f>
        <v>2.5631320730292915</v>
      </c>
    </row>
    <row r="845" spans="4:10" x14ac:dyDescent="0.2">
      <c r="D845" t="s">
        <v>15</v>
      </c>
      <c r="E845">
        <f>'NHL2025-26Results'!C841</f>
        <v>2</v>
      </c>
      <c r="F845" t="s">
        <v>30</v>
      </c>
      <c r="G845">
        <f>'NHL2025-26Results'!E841</f>
        <v>5</v>
      </c>
      <c r="H845">
        <f>Table3[[#This Row],[G_1]]-Table3[[#This Row],[G]]</f>
        <v>3</v>
      </c>
      <c r="I845">
        <f>HomeEdge+VLOOKUP(Table3[[#This Row],[Home]],$A$6:$B$38,2,FALSE)-VLOOKUP(Table3[[#This Row],[Visitor]],$A$6:$B$38,2,FALSE)</f>
        <v>0.67982151499326027</v>
      </c>
      <c r="J845">
        <f>(Table3[[#This Row],[HomeMargin]]-Table3[[#This Row],[HomeForecast]])^2</f>
        <v>5.383228202288171</v>
      </c>
    </row>
    <row r="846" spans="4:10" x14ac:dyDescent="0.2">
      <c r="D846" t="s">
        <v>12</v>
      </c>
      <c r="E846">
        <f>'NHL2025-26Results'!C842</f>
        <v>2</v>
      </c>
      <c r="F846" t="s">
        <v>36</v>
      </c>
      <c r="G846">
        <f>'NHL2025-26Results'!E842</f>
        <v>5</v>
      </c>
      <c r="H846">
        <f>Table3[[#This Row],[G_1]]-Table3[[#This Row],[G]]</f>
        <v>3</v>
      </c>
      <c r="I846">
        <f>HomeEdge+VLOOKUP(Table3[[#This Row],[Home]],$A$6:$B$38,2,FALSE)-VLOOKUP(Table3[[#This Row],[Visitor]],$A$6:$B$38,2,FALSE)</f>
        <v>-1.0591673303303524</v>
      </c>
      <c r="J846">
        <f>(Table3[[#This Row],[HomeMargin]]-Table3[[#This Row],[HomeForecast]])^2</f>
        <v>16.476839415621235</v>
      </c>
    </row>
    <row r="847" spans="4:10" x14ac:dyDescent="0.2">
      <c r="D847" t="s">
        <v>27</v>
      </c>
      <c r="E847">
        <f>'NHL2025-26Results'!C843</f>
        <v>3</v>
      </c>
      <c r="F847" t="s">
        <v>21</v>
      </c>
      <c r="G847">
        <f>'NHL2025-26Results'!E843</f>
        <v>6</v>
      </c>
      <c r="H847">
        <f>Table3[[#This Row],[G_1]]-Table3[[#This Row],[G]]</f>
        <v>3</v>
      </c>
      <c r="I847">
        <f>HomeEdge+VLOOKUP(Table3[[#This Row],[Home]],$A$6:$B$38,2,FALSE)-VLOOKUP(Table3[[#This Row],[Visitor]],$A$6:$B$38,2,FALSE)</f>
        <v>0.57805571207268813</v>
      </c>
      <c r="J847">
        <f>(Table3[[#This Row],[HomeMargin]]-Table3[[#This Row],[HomeForecast]])^2</f>
        <v>5.8658141338237346</v>
      </c>
    </row>
    <row r="848" spans="4:10" x14ac:dyDescent="0.2">
      <c r="D848" t="s">
        <v>13</v>
      </c>
      <c r="E848">
        <f>'NHL2025-26Results'!C844</f>
        <v>1</v>
      </c>
      <c r="F848" t="s">
        <v>23</v>
      </c>
      <c r="G848">
        <f>'NHL2025-26Results'!E844</f>
        <v>4</v>
      </c>
      <c r="H848">
        <f>Table3[[#This Row],[G_1]]-Table3[[#This Row],[G]]</f>
        <v>3</v>
      </c>
      <c r="I848">
        <f>HomeEdge+VLOOKUP(Table3[[#This Row],[Home]],$A$6:$B$38,2,FALSE)-VLOOKUP(Table3[[#This Row],[Visitor]],$A$6:$B$38,2,FALSE)</f>
        <v>0.72845828130222812</v>
      </c>
      <c r="J848">
        <f>(Table3[[#This Row],[HomeMargin]]-Table3[[#This Row],[HomeForecast]])^2</f>
        <v>5.1599017797844278</v>
      </c>
    </row>
    <row r="849" spans="4:10" x14ac:dyDescent="0.2">
      <c r="D849" t="s">
        <v>55</v>
      </c>
      <c r="E849">
        <f>'NHL2025-26Results'!C845</f>
        <v>4</v>
      </c>
      <c r="F849" t="s">
        <v>25</v>
      </c>
      <c r="G849">
        <f>'NHL2025-26Results'!E845</f>
        <v>5</v>
      </c>
      <c r="H849">
        <f>Table3[[#This Row],[G_1]]-Table3[[#This Row],[G]]</f>
        <v>1</v>
      </c>
      <c r="I849">
        <f>HomeEdge+VLOOKUP(Table3[[#This Row],[Home]],$A$6:$B$38,2,FALSE)-VLOOKUP(Table3[[#This Row],[Visitor]],$A$6:$B$38,2,FALSE)</f>
        <v>0.27800646146592894</v>
      </c>
      <c r="J849">
        <f>(Table3[[#This Row],[HomeMargin]]-Table3[[#This Row],[HomeForecast]])^2</f>
        <v>0.52127466968494907</v>
      </c>
    </row>
    <row r="850" spans="4:10" x14ac:dyDescent="0.2">
      <c r="D850" t="s">
        <v>22</v>
      </c>
      <c r="E850">
        <f>'NHL2025-26Results'!C846</f>
        <v>4</v>
      </c>
      <c r="F850" t="s">
        <v>26</v>
      </c>
      <c r="G850">
        <f>'NHL2025-26Results'!E846</f>
        <v>3</v>
      </c>
      <c r="H850">
        <f>Table3[[#This Row],[G_1]]-Table3[[#This Row],[G]]</f>
        <v>-1</v>
      </c>
      <c r="I850">
        <f>HomeEdge+VLOOKUP(Table3[[#This Row],[Home]],$A$6:$B$38,2,FALSE)-VLOOKUP(Table3[[#This Row],[Visitor]],$A$6:$B$38,2,FALSE)</f>
        <v>-8.1754867533065559E-2</v>
      </c>
      <c r="J850">
        <f>(Table3[[#This Row],[HomeMargin]]-Table3[[#This Row],[HomeForecast]])^2</f>
        <v>0.84317412329921793</v>
      </c>
    </row>
    <row r="851" spans="4:10" x14ac:dyDescent="0.2">
      <c r="D851" t="s">
        <v>33</v>
      </c>
      <c r="E851">
        <f>'NHL2025-26Results'!C847</f>
        <v>3</v>
      </c>
      <c r="F851" t="s">
        <v>17</v>
      </c>
      <c r="G851">
        <f>'NHL2025-26Results'!E847</f>
        <v>4</v>
      </c>
      <c r="H851">
        <f>Table3[[#This Row],[G_1]]-Table3[[#This Row],[G]]</f>
        <v>1</v>
      </c>
      <c r="I851">
        <f>HomeEdge+VLOOKUP(Table3[[#This Row],[Home]],$A$6:$B$38,2,FALSE)-VLOOKUP(Table3[[#This Row],[Visitor]],$A$6:$B$38,2,FALSE)</f>
        <v>0.41734686123036779</v>
      </c>
      <c r="J851">
        <f>(Table3[[#This Row],[HomeMargin]]-Table3[[#This Row],[HomeForecast]])^2</f>
        <v>0.33948468011810429</v>
      </c>
    </row>
    <row r="852" spans="4:10" x14ac:dyDescent="0.2">
      <c r="D852" t="s">
        <v>16</v>
      </c>
      <c r="E852">
        <f>'NHL2025-26Results'!C848</f>
        <v>1</v>
      </c>
      <c r="F852" t="s">
        <v>34</v>
      </c>
      <c r="G852">
        <f>'NHL2025-26Results'!E848</f>
        <v>4</v>
      </c>
      <c r="H852">
        <f>Table3[[#This Row],[G_1]]-Table3[[#This Row],[G]]</f>
        <v>3</v>
      </c>
      <c r="I852">
        <f>HomeEdge+VLOOKUP(Table3[[#This Row],[Home]],$A$6:$B$38,2,FALSE)-VLOOKUP(Table3[[#This Row],[Visitor]],$A$6:$B$38,2,FALSE)</f>
        <v>1.0804044882040356</v>
      </c>
      <c r="J852">
        <f>(Table3[[#This Row],[HomeMargin]]-Table3[[#This Row],[HomeForecast]])^2</f>
        <v>3.6848469289072106</v>
      </c>
    </row>
    <row r="853" spans="4:10" x14ac:dyDescent="0.2">
      <c r="D853" t="s">
        <v>12</v>
      </c>
      <c r="E853">
        <f>'NHL2025-26Results'!C849</f>
        <v>3</v>
      </c>
      <c r="F853" t="s">
        <v>18</v>
      </c>
      <c r="G853">
        <f>'NHL2025-26Results'!E849</f>
        <v>7</v>
      </c>
      <c r="H853">
        <f>Table3[[#This Row],[G_1]]-Table3[[#This Row],[G]]</f>
        <v>4</v>
      </c>
      <c r="I853">
        <f>HomeEdge+VLOOKUP(Table3[[#This Row],[Home]],$A$6:$B$38,2,FALSE)-VLOOKUP(Table3[[#This Row],[Visitor]],$A$6:$B$38,2,FALSE)</f>
        <v>-0.95533452445420441</v>
      </c>
      <c r="J853">
        <f>(Table3[[#This Row],[HomeMargin]]-Table3[[#This Row],[HomeForecast]])^2</f>
        <v>24.555340249247774</v>
      </c>
    </row>
    <row r="854" spans="4:10" x14ac:dyDescent="0.2">
      <c r="D854" t="s">
        <v>29</v>
      </c>
      <c r="E854">
        <f>'NHL2025-26Results'!C850</f>
        <v>2</v>
      </c>
      <c r="F854" t="s">
        <v>24</v>
      </c>
      <c r="G854">
        <f>'NHL2025-26Results'!E850</f>
        <v>3</v>
      </c>
      <c r="H854">
        <f>Table3[[#This Row],[G_1]]-Table3[[#This Row],[G]]</f>
        <v>1</v>
      </c>
      <c r="I854">
        <f>HomeEdge+VLOOKUP(Table3[[#This Row],[Home]],$A$6:$B$38,2,FALSE)-VLOOKUP(Table3[[#This Row],[Visitor]],$A$6:$B$38,2,FALSE)</f>
        <v>0.20506376169158747</v>
      </c>
      <c r="J854">
        <f>(Table3[[#This Row],[HomeMargin]]-Table3[[#This Row],[HomeForecast]])^2</f>
        <v>0.6319236229759293</v>
      </c>
    </row>
    <row r="855" spans="4:10" x14ac:dyDescent="0.2">
      <c r="D855" t="s">
        <v>30</v>
      </c>
      <c r="E855">
        <f>'NHL2025-26Results'!C851</f>
        <v>2</v>
      </c>
      <c r="F855" t="s">
        <v>15</v>
      </c>
      <c r="G855">
        <f>'NHL2025-26Results'!E851</f>
        <v>1</v>
      </c>
      <c r="H855">
        <f>Table3[[#This Row],[G_1]]-Table3[[#This Row],[G]]</f>
        <v>-1</v>
      </c>
      <c r="I855">
        <f>HomeEdge+VLOOKUP(Table3[[#This Row],[Home]],$A$6:$B$38,2,FALSE)-VLOOKUP(Table3[[#This Row],[Visitor]],$A$6:$B$38,2,FALSE)</f>
        <v>-0.42060754337021206</v>
      </c>
      <c r="J855">
        <f>(Table3[[#This Row],[HomeMargin]]-Table3[[#This Row],[HomeForecast]])^2</f>
        <v>0.33569561879950066</v>
      </c>
    </row>
    <row r="856" spans="4:10" x14ac:dyDescent="0.2">
      <c r="D856" t="s">
        <v>10</v>
      </c>
      <c r="E856">
        <f>'NHL2025-26Results'!C852</f>
        <v>2</v>
      </c>
      <c r="F856" t="s">
        <v>14</v>
      </c>
      <c r="G856">
        <f>'NHL2025-26Results'!E852</f>
        <v>6</v>
      </c>
      <c r="H856">
        <f>Table3[[#This Row],[G_1]]-Table3[[#This Row],[G]]</f>
        <v>4</v>
      </c>
      <c r="I856">
        <f>HomeEdge+VLOOKUP(Table3[[#This Row],[Home]],$A$6:$B$38,2,FALSE)-VLOOKUP(Table3[[#This Row],[Visitor]],$A$6:$B$38,2,FALSE)</f>
        <v>1.0562241166837385</v>
      </c>
      <c r="J856">
        <f>(Table3[[#This Row],[HomeMargin]]-Table3[[#This Row],[HomeForecast]])^2</f>
        <v>8.665816451194436</v>
      </c>
    </row>
    <row r="857" spans="4:10" x14ac:dyDescent="0.2">
      <c r="D857" t="s">
        <v>19</v>
      </c>
      <c r="E857">
        <f>'NHL2025-26Results'!C853</f>
        <v>2</v>
      </c>
      <c r="F857" t="s">
        <v>32</v>
      </c>
      <c r="G857">
        <f>'NHL2025-26Results'!E853</f>
        <v>5</v>
      </c>
      <c r="H857">
        <f>Table3[[#This Row],[G_1]]-Table3[[#This Row],[G]]</f>
        <v>3</v>
      </c>
      <c r="I857">
        <f>HomeEdge+VLOOKUP(Table3[[#This Row],[Home]],$A$6:$B$38,2,FALSE)-VLOOKUP(Table3[[#This Row],[Visitor]],$A$6:$B$38,2,FALSE)</f>
        <v>8.9520399720313448E-2</v>
      </c>
      <c r="J857">
        <f>(Table3[[#This Row],[HomeMargin]]-Table3[[#This Row],[HomeForecast]])^2</f>
        <v>8.4708915036442036</v>
      </c>
    </row>
    <row r="858" spans="4:10" x14ac:dyDescent="0.2">
      <c r="D858" t="s">
        <v>11</v>
      </c>
      <c r="E858">
        <f>'NHL2025-26Results'!C854</f>
        <v>4</v>
      </c>
      <c r="F858" t="s">
        <v>35</v>
      </c>
      <c r="G858">
        <f>'NHL2025-26Results'!E854</f>
        <v>5</v>
      </c>
      <c r="H858">
        <f>Table3[[#This Row],[G_1]]-Table3[[#This Row],[G]]</f>
        <v>1</v>
      </c>
      <c r="I858">
        <f>HomeEdge+VLOOKUP(Table3[[#This Row],[Home]],$A$6:$B$38,2,FALSE)-VLOOKUP(Table3[[#This Row],[Visitor]],$A$6:$B$38,2,FALSE)</f>
        <v>-0.62629815622845109</v>
      </c>
      <c r="J858">
        <f>(Table3[[#This Row],[HomeMargin]]-Table3[[#This Row],[HomeForecast]])^2</f>
        <v>2.6448456929520594</v>
      </c>
    </row>
    <row r="859" spans="4:10" x14ac:dyDescent="0.2">
      <c r="D859" t="s">
        <v>40</v>
      </c>
      <c r="E859">
        <f>'NHL2025-26Results'!C855</f>
        <v>1</v>
      </c>
      <c r="F859" t="s">
        <v>37</v>
      </c>
      <c r="G859">
        <f>'NHL2025-26Results'!E855</f>
        <v>4</v>
      </c>
      <c r="H859">
        <f>Table3[[#This Row],[G_1]]-Table3[[#This Row],[G]]</f>
        <v>3</v>
      </c>
      <c r="I859">
        <f>HomeEdge+VLOOKUP(Table3[[#This Row],[Home]],$A$6:$B$38,2,FALSE)-VLOOKUP(Table3[[#This Row],[Visitor]],$A$6:$B$38,2,FALSE)</f>
        <v>1.439140305617475</v>
      </c>
      <c r="J859">
        <f>(Table3[[#This Row],[HomeMargin]]-Table3[[#This Row],[HomeForecast]])^2</f>
        <v>2.4362829855479093</v>
      </c>
    </row>
    <row r="860" spans="4:10" x14ac:dyDescent="0.2">
      <c r="D860" t="s">
        <v>31</v>
      </c>
      <c r="E860">
        <f>'NHL2025-26Results'!C856</f>
        <v>0</v>
      </c>
      <c r="F860" t="s">
        <v>38</v>
      </c>
      <c r="G860">
        <f>'NHL2025-26Results'!E856</f>
        <v>2</v>
      </c>
      <c r="H860">
        <f>Table3[[#This Row],[G_1]]-Table3[[#This Row],[G]]</f>
        <v>2</v>
      </c>
      <c r="I860">
        <f>HomeEdge+VLOOKUP(Table3[[#This Row],[Home]],$A$6:$B$38,2,FALSE)-VLOOKUP(Table3[[#This Row],[Visitor]],$A$6:$B$38,2,FALSE)</f>
        <v>-0.79879048596068958</v>
      </c>
      <c r="J860">
        <f>(Table3[[#This Row],[HomeMargin]]-Table3[[#This Row],[HomeForecast]])^2</f>
        <v>7.8332281843040743</v>
      </c>
    </row>
    <row r="861" spans="4:10" x14ac:dyDescent="0.2">
      <c r="D861" t="s">
        <v>39</v>
      </c>
      <c r="E861">
        <f>'NHL2025-26Results'!C857</f>
        <v>5</v>
      </c>
      <c r="F861" t="s">
        <v>20</v>
      </c>
      <c r="G861">
        <f>'NHL2025-26Results'!E857</f>
        <v>4</v>
      </c>
      <c r="H861">
        <f>Table3[[#This Row],[G_1]]-Table3[[#This Row],[G]]</f>
        <v>-1</v>
      </c>
      <c r="I861">
        <f>HomeEdge+VLOOKUP(Table3[[#This Row],[Home]],$A$6:$B$38,2,FALSE)-VLOOKUP(Table3[[#This Row],[Visitor]],$A$6:$B$38,2,FALSE)</f>
        <v>-0.25043795628360666</v>
      </c>
      <c r="J861">
        <f>(Table3[[#This Row],[HomeMargin]]-Table3[[#This Row],[HomeForecast]])^2</f>
        <v>0.56184325738029639</v>
      </c>
    </row>
    <row r="862" spans="4:10" x14ac:dyDescent="0.2">
      <c r="D862" t="s">
        <v>28</v>
      </c>
      <c r="E862">
        <f>'NHL2025-26Results'!C858</f>
        <v>4</v>
      </c>
      <c r="F862" t="s">
        <v>10</v>
      </c>
      <c r="G862">
        <f>'NHL2025-26Results'!E858</f>
        <v>2</v>
      </c>
      <c r="H862">
        <f>Table3[[#This Row],[G_1]]-Table3[[#This Row],[G]]</f>
        <v>-2</v>
      </c>
      <c r="I862">
        <f>HomeEdge+VLOOKUP(Table3[[#This Row],[Home]],$A$6:$B$38,2,FALSE)-VLOOKUP(Table3[[#This Row],[Visitor]],$A$6:$B$38,2,FALSE)</f>
        <v>-0.51540899681312169</v>
      </c>
      <c r="J862">
        <f>(Table3[[#This Row],[HomeMargin]]-Table3[[#This Row],[HomeForecast]])^2</f>
        <v>2.2040104467434216</v>
      </c>
    </row>
    <row r="863" spans="4:10" x14ac:dyDescent="0.2">
      <c r="D863" t="s">
        <v>18</v>
      </c>
      <c r="E863">
        <f>'NHL2025-26Results'!C859</f>
        <v>4</v>
      </c>
      <c r="F863" t="s">
        <v>23</v>
      </c>
      <c r="G863">
        <f>'NHL2025-26Results'!E859</f>
        <v>2</v>
      </c>
      <c r="H863">
        <f>Table3[[#This Row],[G_1]]-Table3[[#This Row],[G]]</f>
        <v>-2</v>
      </c>
      <c r="I863">
        <f>HomeEdge+VLOOKUP(Table3[[#This Row],[Home]],$A$6:$B$38,2,FALSE)-VLOOKUP(Table3[[#This Row],[Visitor]],$A$6:$B$38,2,FALSE)</f>
        <v>0.22403605918365235</v>
      </c>
      <c r="J863">
        <f>(Table3[[#This Row],[HomeMargin]]-Table3[[#This Row],[HomeForecast]])^2</f>
        <v>4.946336392549151</v>
      </c>
    </row>
    <row r="864" spans="4:10" x14ac:dyDescent="0.2">
      <c r="D864" t="s">
        <v>33</v>
      </c>
      <c r="E864">
        <f>'NHL2025-26Results'!C860</f>
        <v>2</v>
      </c>
      <c r="F864" t="s">
        <v>16</v>
      </c>
      <c r="G864">
        <f>'NHL2025-26Results'!E860</f>
        <v>3</v>
      </c>
      <c r="H864">
        <f>Table3[[#This Row],[G_1]]-Table3[[#This Row],[G]]</f>
        <v>1</v>
      </c>
      <c r="I864">
        <f>HomeEdge+VLOOKUP(Table3[[#This Row],[Home]],$A$6:$B$38,2,FALSE)-VLOOKUP(Table3[[#This Row],[Visitor]],$A$6:$B$38,2,FALSE)</f>
        <v>-0.10833940790355867</v>
      </c>
      <c r="J864">
        <f>(Table3[[#This Row],[HomeMargin]]-Table3[[#This Row],[HomeForecast]])^2</f>
        <v>1.2284162431120109</v>
      </c>
    </row>
    <row r="865" spans="4:10" x14ac:dyDescent="0.2">
      <c r="D865" t="s">
        <v>12</v>
      </c>
      <c r="E865">
        <f>'NHL2025-26Results'!C861</f>
        <v>5</v>
      </c>
      <c r="F865" t="s">
        <v>26</v>
      </c>
      <c r="G865">
        <f>'NHL2025-26Results'!E861</f>
        <v>0</v>
      </c>
      <c r="H865">
        <f>Table3[[#This Row],[G_1]]-Table3[[#This Row],[G]]</f>
        <v>-5</v>
      </c>
      <c r="I865">
        <f>HomeEdge+VLOOKUP(Table3[[#This Row],[Home]],$A$6:$B$38,2,FALSE)-VLOOKUP(Table3[[#This Row],[Visitor]],$A$6:$B$38,2,FALSE)</f>
        <v>-1.2001976328692225</v>
      </c>
      <c r="J865">
        <f>(Table3[[#This Row],[HomeMargin]]-Table3[[#This Row],[HomeForecast]])^2</f>
        <v>14.43849802925266</v>
      </c>
    </row>
    <row r="866" spans="4:10" x14ac:dyDescent="0.2">
      <c r="D866" t="s">
        <v>34</v>
      </c>
      <c r="E866">
        <f>'NHL2025-26Results'!C862</f>
        <v>7</v>
      </c>
      <c r="F866" t="s">
        <v>17</v>
      </c>
      <c r="G866">
        <f>'NHL2025-26Results'!E862</f>
        <v>3</v>
      </c>
      <c r="H866">
        <f>Table3[[#This Row],[G_1]]-Table3[[#This Row],[G]]</f>
        <v>-4</v>
      </c>
      <c r="I866">
        <f>HomeEdge+VLOOKUP(Table3[[#This Row],[Home]],$A$6:$B$38,2,FALSE)-VLOOKUP(Table3[[#This Row],[Visitor]],$A$6:$B$38,2,FALSE)</f>
        <v>-0.29550424744706089</v>
      </c>
      <c r="J866">
        <f>(Table3[[#This Row],[HomeMargin]]-Table3[[#This Row],[HomeForecast]])^2</f>
        <v>13.723288780682767</v>
      </c>
    </row>
    <row r="867" spans="4:10" x14ac:dyDescent="0.2">
      <c r="D867" t="s">
        <v>40</v>
      </c>
      <c r="E867">
        <f>'NHL2025-26Results'!C863</f>
        <v>2</v>
      </c>
      <c r="F867" t="s">
        <v>11</v>
      </c>
      <c r="G867">
        <f>'NHL2025-26Results'!E863</f>
        <v>1</v>
      </c>
      <c r="H867">
        <f>Table3[[#This Row],[G_1]]-Table3[[#This Row],[G]]</f>
        <v>-1</v>
      </c>
      <c r="I867">
        <f>HomeEdge+VLOOKUP(Table3[[#This Row],[Home]],$A$6:$B$38,2,FALSE)-VLOOKUP(Table3[[#This Row],[Visitor]],$A$6:$B$38,2,FALSE)</f>
        <v>0.16110632702693106</v>
      </c>
      <c r="J867">
        <f>(Table3[[#This Row],[HomeMargin]]-Table3[[#This Row],[HomeForecast]])^2</f>
        <v>1.3481679026619706</v>
      </c>
    </row>
    <row r="868" spans="4:10" x14ac:dyDescent="0.2">
      <c r="D868" t="s">
        <v>29</v>
      </c>
      <c r="E868">
        <f>'NHL2025-26Results'!C864</f>
        <v>4</v>
      </c>
      <c r="F868" t="s">
        <v>30</v>
      </c>
      <c r="G868">
        <f>'NHL2025-26Results'!E864</f>
        <v>3</v>
      </c>
      <c r="H868">
        <f>Table3[[#This Row],[G_1]]-Table3[[#This Row],[G]]</f>
        <v>-1</v>
      </c>
      <c r="I868">
        <f>HomeEdge+VLOOKUP(Table3[[#This Row],[Home]],$A$6:$B$38,2,FALSE)-VLOOKUP(Table3[[#This Row],[Visitor]],$A$6:$B$38,2,FALSE)</f>
        <v>0.76386717143721439</v>
      </c>
      <c r="J868">
        <f>(Table3[[#This Row],[HomeMargin]]-Table3[[#This Row],[HomeForecast]])^2</f>
        <v>3.11122739847392</v>
      </c>
    </row>
    <row r="869" spans="4:10" x14ac:dyDescent="0.2">
      <c r="D869" t="s">
        <v>24</v>
      </c>
      <c r="E869">
        <f>'NHL2025-26Results'!C865</f>
        <v>1</v>
      </c>
      <c r="F869" t="s">
        <v>36</v>
      </c>
      <c r="G869">
        <f>'NHL2025-26Results'!E865</f>
        <v>4</v>
      </c>
      <c r="H869">
        <f>Table3[[#This Row],[G_1]]-Table3[[#This Row],[G]]</f>
        <v>3</v>
      </c>
      <c r="I869">
        <f>HomeEdge+VLOOKUP(Table3[[#This Row],[Home]],$A$6:$B$38,2,FALSE)-VLOOKUP(Table3[[#This Row],[Visitor]],$A$6:$B$38,2,FALSE)</f>
        <v>0.68460753849721456</v>
      </c>
      <c r="J869">
        <f>(Table3[[#This Row],[HomeMargin]]-Table3[[#This Row],[HomeForecast]])^2</f>
        <v>5.3610422507839282</v>
      </c>
    </row>
    <row r="870" spans="4:10" x14ac:dyDescent="0.2">
      <c r="D870" t="s">
        <v>13</v>
      </c>
      <c r="E870">
        <f>'NHL2025-26Results'!C866</f>
        <v>3</v>
      </c>
      <c r="F870" t="s">
        <v>27</v>
      </c>
      <c r="G870">
        <f>'NHL2025-26Results'!E866</f>
        <v>2</v>
      </c>
      <c r="H870">
        <f>Table3[[#This Row],[G_1]]-Table3[[#This Row],[G]]</f>
        <v>-1</v>
      </c>
      <c r="I870">
        <f>HomeEdge+VLOOKUP(Table3[[#This Row],[Home]],$A$6:$B$38,2,FALSE)-VLOOKUP(Table3[[#This Row],[Visitor]],$A$6:$B$38,2,FALSE)</f>
        <v>0.16932454540442854</v>
      </c>
      <c r="J870">
        <f>(Table3[[#This Row],[HomeMargin]]-Table3[[#This Row],[HomeForecast]])^2</f>
        <v>1.3673198924852734</v>
      </c>
    </row>
    <row r="871" spans="4:10" x14ac:dyDescent="0.2">
      <c r="D871" t="s">
        <v>15</v>
      </c>
      <c r="E871">
        <f>'NHL2025-26Results'!C867</f>
        <v>5</v>
      </c>
      <c r="F871" t="s">
        <v>14</v>
      </c>
      <c r="G871">
        <f>'NHL2025-26Results'!E867</f>
        <v>6</v>
      </c>
      <c r="H871">
        <f>Table3[[#This Row],[G_1]]-Table3[[#This Row],[G]]</f>
        <v>1</v>
      </c>
      <c r="I871">
        <f>HomeEdge+VLOOKUP(Table3[[#This Row],[Home]],$A$6:$B$38,2,FALSE)-VLOOKUP(Table3[[#This Row],[Visitor]],$A$6:$B$38,2,FALSE)</f>
        <v>0.86616249008901836</v>
      </c>
      <c r="J871">
        <f>(Table3[[#This Row],[HomeMargin]]-Table3[[#This Row],[HomeForecast]])^2</f>
        <v>1.791247905917211E-2</v>
      </c>
    </row>
    <row r="872" spans="4:10" x14ac:dyDescent="0.2">
      <c r="D872" t="s">
        <v>28</v>
      </c>
      <c r="E872">
        <f>'NHL2025-26Results'!C868</f>
        <v>5</v>
      </c>
      <c r="F872" t="s">
        <v>35</v>
      </c>
      <c r="G872">
        <f>'NHL2025-26Results'!E868</f>
        <v>3</v>
      </c>
      <c r="H872">
        <f>Table3[[#This Row],[G_1]]-Table3[[#This Row],[G]]</f>
        <v>-2</v>
      </c>
      <c r="I872">
        <f>HomeEdge+VLOOKUP(Table3[[#This Row],[Home]],$A$6:$B$38,2,FALSE)-VLOOKUP(Table3[[#This Row],[Visitor]],$A$6:$B$38,2,FALSE)</f>
        <v>-0.90168548875915899</v>
      </c>
      <c r="J872">
        <f>(Table3[[#This Row],[HomeMargin]]-Table3[[#This Row],[HomeForecast]])^2</f>
        <v>1.2062947656022074</v>
      </c>
    </row>
    <row r="873" spans="4:10" x14ac:dyDescent="0.2">
      <c r="D873" t="s">
        <v>39</v>
      </c>
      <c r="E873">
        <f>'NHL2025-26Results'!C869</f>
        <v>3</v>
      </c>
      <c r="F873" t="s">
        <v>55</v>
      </c>
      <c r="G873">
        <f>'NHL2025-26Results'!E869</f>
        <v>2</v>
      </c>
      <c r="H873">
        <f>Table3[[#This Row],[G_1]]-Table3[[#This Row],[G]]</f>
        <v>-1</v>
      </c>
      <c r="I873">
        <f>HomeEdge+VLOOKUP(Table3[[#This Row],[Home]],$A$6:$B$38,2,FALSE)-VLOOKUP(Table3[[#This Row],[Visitor]],$A$6:$B$38,2,FALSE)</f>
        <v>-3.3785962411196357E-3</v>
      </c>
      <c r="J873">
        <f>(Table3[[#This Row],[HomeMargin]]-Table3[[#This Row],[HomeForecast]])^2</f>
        <v>0.99325422243032113</v>
      </c>
    </row>
    <row r="874" spans="4:10" x14ac:dyDescent="0.2">
      <c r="D874" t="s">
        <v>19</v>
      </c>
      <c r="E874">
        <f>'NHL2025-26Results'!C870</f>
        <v>3</v>
      </c>
      <c r="F874" t="s">
        <v>38</v>
      </c>
      <c r="G874">
        <f>'NHL2025-26Results'!E870</f>
        <v>2</v>
      </c>
      <c r="H874">
        <f>Table3[[#This Row],[G_1]]-Table3[[#This Row],[G]]</f>
        <v>-1</v>
      </c>
      <c r="I874">
        <f>HomeEdge+VLOOKUP(Table3[[#This Row],[Home]],$A$6:$B$38,2,FALSE)-VLOOKUP(Table3[[#This Row],[Visitor]],$A$6:$B$38,2,FALSE)</f>
        <v>-0.8201157487874291</v>
      </c>
      <c r="J874">
        <f>(Table3[[#This Row],[HomeMargin]]-Table3[[#This Row],[HomeForecast]])^2</f>
        <v>3.2358343834307315E-2</v>
      </c>
    </row>
    <row r="875" spans="4:10" x14ac:dyDescent="0.2">
      <c r="D875" t="s">
        <v>32</v>
      </c>
      <c r="E875">
        <f>'NHL2025-26Results'!C871</f>
        <v>3</v>
      </c>
      <c r="F875" t="s">
        <v>20</v>
      </c>
      <c r="G875">
        <f>'NHL2025-26Results'!E871</f>
        <v>2</v>
      </c>
      <c r="H875">
        <f>Table3[[#This Row],[G_1]]-Table3[[#This Row],[G]]</f>
        <v>-1</v>
      </c>
      <c r="I875">
        <f>HomeEdge+VLOOKUP(Table3[[#This Row],[Home]],$A$6:$B$38,2,FALSE)-VLOOKUP(Table3[[#This Row],[Visitor]],$A$6:$B$38,2,FALSE)</f>
        <v>0.44900950597570077</v>
      </c>
      <c r="J875">
        <f>(Table3[[#This Row],[HomeMargin]]-Table3[[#This Row],[HomeForecast]])^2</f>
        <v>2.099628548407944</v>
      </c>
    </row>
    <row r="876" spans="4:10" x14ac:dyDescent="0.2">
      <c r="D876" t="s">
        <v>25</v>
      </c>
      <c r="E876">
        <f>'NHL2025-26Results'!C872</f>
        <v>3</v>
      </c>
      <c r="F876" t="s">
        <v>22</v>
      </c>
      <c r="G876">
        <f>'NHL2025-26Results'!E872</f>
        <v>4</v>
      </c>
      <c r="H876">
        <f>Table3[[#This Row],[G_1]]-Table3[[#This Row],[G]]</f>
        <v>1</v>
      </c>
      <c r="I876">
        <f>HomeEdge+VLOOKUP(Table3[[#This Row],[Home]],$A$6:$B$38,2,FALSE)-VLOOKUP(Table3[[#This Row],[Visitor]],$A$6:$B$38,2,FALSE)</f>
        <v>-0.22266314750800653</v>
      </c>
      <c r="J876">
        <f>(Table3[[#This Row],[HomeMargin]]-Table3[[#This Row],[HomeForecast]])^2</f>
        <v>1.4949051722741853</v>
      </c>
    </row>
    <row r="877" spans="4:10" x14ac:dyDescent="0.2">
      <c r="D877" t="s">
        <v>20</v>
      </c>
      <c r="E877">
        <f>'NHL2025-26Results'!C873</f>
        <v>3</v>
      </c>
      <c r="F877" t="s">
        <v>31</v>
      </c>
      <c r="G877">
        <f>'NHL2025-26Results'!E873</f>
        <v>4</v>
      </c>
      <c r="H877">
        <f>Table3[[#This Row],[G_1]]-Table3[[#This Row],[G]]</f>
        <v>1</v>
      </c>
      <c r="I877">
        <f>HomeEdge+VLOOKUP(Table3[[#This Row],[Home]],$A$6:$B$38,2,FALSE)-VLOOKUP(Table3[[#This Row],[Visitor]],$A$6:$B$38,2,FALSE)</f>
        <v>-0.17103421108818143</v>
      </c>
      <c r="J877">
        <f>(Table3[[#This Row],[HomeMargin]]-Table3[[#This Row],[HomeForecast]])^2</f>
        <v>1.3713211235389196</v>
      </c>
    </row>
    <row r="878" spans="4:10" x14ac:dyDescent="0.2">
      <c r="D878" t="s">
        <v>13</v>
      </c>
      <c r="E878">
        <f>'NHL2025-26Results'!C874</f>
        <v>2</v>
      </c>
      <c r="F878" t="s">
        <v>25</v>
      </c>
      <c r="G878">
        <f>'NHL2025-26Results'!E874</f>
        <v>3</v>
      </c>
      <c r="H878">
        <f>Table3[[#This Row],[G_1]]-Table3[[#This Row],[G]]</f>
        <v>1</v>
      </c>
      <c r="I878">
        <f>HomeEdge+VLOOKUP(Table3[[#This Row],[Home]],$A$6:$B$38,2,FALSE)-VLOOKUP(Table3[[#This Row],[Visitor]],$A$6:$B$38,2,FALSE)</f>
        <v>0.95279808617920203</v>
      </c>
      <c r="J878">
        <f>(Table3[[#This Row],[HomeMargin]]-Table3[[#This Row],[HomeForecast]])^2</f>
        <v>2.2280206683460385E-3</v>
      </c>
    </row>
    <row r="879" spans="4:10" x14ac:dyDescent="0.2">
      <c r="D879" t="s">
        <v>21</v>
      </c>
      <c r="E879">
        <f>'NHL2025-26Results'!C875</f>
        <v>5</v>
      </c>
      <c r="F879" t="s">
        <v>37</v>
      </c>
      <c r="G879">
        <f>'NHL2025-26Results'!E875</f>
        <v>6</v>
      </c>
      <c r="H879">
        <f>Table3[[#This Row],[G_1]]-Table3[[#This Row],[G]]</f>
        <v>1</v>
      </c>
      <c r="I879">
        <f>HomeEdge+VLOOKUP(Table3[[#This Row],[Home]],$A$6:$B$38,2,FALSE)-VLOOKUP(Table3[[#This Row],[Visitor]],$A$6:$B$38,2,FALSE)</f>
        <v>0.95321944616784537</v>
      </c>
      <c r="J879">
        <f>(Table3[[#This Row],[HomeMargin]]-Table3[[#This Row],[HomeForecast]])^2</f>
        <v>2.1884202168431168E-3</v>
      </c>
    </row>
    <row r="880" spans="4:10" x14ac:dyDescent="0.2">
      <c r="D880" t="s">
        <v>19</v>
      </c>
      <c r="E880">
        <f>'NHL2025-26Results'!C876</f>
        <v>4</v>
      </c>
      <c r="F880" t="s">
        <v>16</v>
      </c>
      <c r="G880">
        <f>'NHL2025-26Results'!E876</f>
        <v>2</v>
      </c>
      <c r="H880">
        <f>Table3[[#This Row],[G_1]]-Table3[[#This Row],[G]]</f>
        <v>-2</v>
      </c>
      <c r="I880">
        <f>HomeEdge+VLOOKUP(Table3[[#This Row],[Home]],$A$6:$B$38,2,FALSE)-VLOOKUP(Table3[[#This Row],[Visitor]],$A$6:$B$38,2,FALSE)</f>
        <v>-0.31842466455048002</v>
      </c>
      <c r="J880">
        <f>(Table3[[#This Row],[HomeMargin]]-Table3[[#This Row],[HomeForecast]])^2</f>
        <v>2.8276956087921659</v>
      </c>
    </row>
    <row r="881" spans="4:10" x14ac:dyDescent="0.2">
      <c r="D881" t="s">
        <v>33</v>
      </c>
      <c r="E881">
        <f>'NHL2025-26Results'!C877</f>
        <v>3</v>
      </c>
      <c r="F881" t="s">
        <v>10</v>
      </c>
      <c r="G881">
        <f>'NHL2025-26Results'!E877</f>
        <v>6</v>
      </c>
      <c r="H881">
        <f>Table3[[#This Row],[G_1]]-Table3[[#This Row],[G]]</f>
        <v>3</v>
      </c>
      <c r="I881">
        <f>HomeEdge+VLOOKUP(Table3[[#This Row],[Home]],$A$6:$B$38,2,FALSE)-VLOOKUP(Table3[[#This Row],[Visitor]],$A$6:$B$38,2,FALSE)</f>
        <v>-0.14460797061346664</v>
      </c>
      <c r="J881">
        <f>(Table3[[#This Row],[HomeMargin]]-Table3[[#This Row],[HomeForecast]])^2</f>
        <v>9.8885592888457445</v>
      </c>
    </row>
    <row r="882" spans="4:10" x14ac:dyDescent="0.2">
      <c r="D882" t="s">
        <v>26</v>
      </c>
      <c r="E882">
        <f>'NHL2025-26Results'!C878</f>
        <v>2</v>
      </c>
      <c r="F882" t="s">
        <v>12</v>
      </c>
      <c r="G882">
        <f>'NHL2025-26Results'!E878</f>
        <v>0</v>
      </c>
      <c r="H882">
        <f>Table3[[#This Row],[G_1]]-Table3[[#This Row],[G]]</f>
        <v>-2</v>
      </c>
      <c r="I882">
        <f>HomeEdge+VLOOKUP(Table3[[#This Row],[Home]],$A$6:$B$38,2,FALSE)-VLOOKUP(Table3[[#This Row],[Visitor]],$A$6:$B$38,2,FALSE)</f>
        <v>1.4594116044922707</v>
      </c>
      <c r="J882">
        <f>(Table3[[#This Row],[HomeMargin]]-Table3[[#This Row],[HomeForecast]])^2</f>
        <v>11.967528649295787</v>
      </c>
    </row>
    <row r="883" spans="4:10" x14ac:dyDescent="0.2">
      <c r="D883" t="s">
        <v>40</v>
      </c>
      <c r="E883">
        <f>'NHL2025-26Results'!C879</f>
        <v>3</v>
      </c>
      <c r="F883" t="s">
        <v>39</v>
      </c>
      <c r="G883">
        <f>'NHL2025-26Results'!E879</f>
        <v>4</v>
      </c>
      <c r="H883">
        <f>Table3[[#This Row],[G_1]]-Table3[[#This Row],[G]]</f>
        <v>1</v>
      </c>
      <c r="I883">
        <f>HomeEdge+VLOOKUP(Table3[[#This Row],[Home]],$A$6:$B$38,2,FALSE)-VLOOKUP(Table3[[#This Row],[Visitor]],$A$6:$B$38,2,FALSE)</f>
        <v>0.93513876617300207</v>
      </c>
      <c r="J883">
        <f>(Table3[[#This Row],[HomeMargin]]-Table3[[#This Row],[HomeForecast]])^2</f>
        <v>4.2069796535605013E-3</v>
      </c>
    </row>
    <row r="884" spans="4:10" x14ac:dyDescent="0.2">
      <c r="D884" t="s">
        <v>23</v>
      </c>
      <c r="E884">
        <f>'NHL2025-26Results'!C880</f>
        <v>5</v>
      </c>
      <c r="F884" t="s">
        <v>11</v>
      </c>
      <c r="G884">
        <f>'NHL2025-26Results'!E880</f>
        <v>3</v>
      </c>
      <c r="H884">
        <f>Table3[[#This Row],[G_1]]-Table3[[#This Row],[G]]</f>
        <v>-2</v>
      </c>
      <c r="I884">
        <f>HomeEdge+VLOOKUP(Table3[[#This Row],[Home]],$A$6:$B$38,2,FALSE)-VLOOKUP(Table3[[#This Row],[Visitor]],$A$6:$B$38,2,FALSE)</f>
        <v>-0.43549954205933417</v>
      </c>
      <c r="J884">
        <f>(Table3[[#This Row],[HomeMargin]]-Table3[[#This Row],[HomeForecast]])^2</f>
        <v>2.4476616828965532</v>
      </c>
    </row>
    <row r="885" spans="4:10" x14ac:dyDescent="0.2">
      <c r="D885" t="s">
        <v>18</v>
      </c>
      <c r="E885">
        <f>'NHL2025-26Results'!C881</f>
        <v>3</v>
      </c>
      <c r="F885" t="s">
        <v>34</v>
      </c>
      <c r="G885">
        <f>'NHL2025-26Results'!E881</f>
        <v>4</v>
      </c>
      <c r="H885">
        <f>Table3[[#This Row],[G_1]]-Table3[[#This Row],[G]]</f>
        <v>1</v>
      </c>
      <c r="I885">
        <f>HomeEdge+VLOOKUP(Table3[[#This Row],[Home]],$A$6:$B$38,2,FALSE)-VLOOKUP(Table3[[#This Row],[Visitor]],$A$6:$B$38,2,FALSE)</f>
        <v>0.27636694632127567</v>
      </c>
      <c r="J885">
        <f>(Table3[[#This Row],[HomeMargin]]-Table3[[#This Row],[HomeForecast]])^2</f>
        <v>0.52364479637639549</v>
      </c>
    </row>
    <row r="886" spans="4:10" x14ac:dyDescent="0.2">
      <c r="D886" t="s">
        <v>35</v>
      </c>
      <c r="E886">
        <f>'NHL2025-26Results'!C882</f>
        <v>5</v>
      </c>
      <c r="F886" t="s">
        <v>29</v>
      </c>
      <c r="G886">
        <f>'NHL2025-26Results'!E882</f>
        <v>6</v>
      </c>
      <c r="H886">
        <f>Table3[[#This Row],[G_1]]-Table3[[#This Row],[G]]</f>
        <v>1</v>
      </c>
      <c r="I886">
        <f>HomeEdge+VLOOKUP(Table3[[#This Row],[Home]],$A$6:$B$38,2,FALSE)-VLOOKUP(Table3[[#This Row],[Visitor]],$A$6:$B$38,2,FALSE)</f>
        <v>0.62189944790832741</v>
      </c>
      <c r="J886">
        <f>(Table3[[#This Row],[HomeMargin]]-Table3[[#This Row],[HomeForecast]])^2</f>
        <v>0.14296002749202763</v>
      </c>
    </row>
    <row r="887" spans="4:10" x14ac:dyDescent="0.2">
      <c r="D887" t="s">
        <v>36</v>
      </c>
      <c r="E887">
        <f>'NHL2025-26Results'!C883</f>
        <v>3</v>
      </c>
      <c r="F887" t="s">
        <v>14</v>
      </c>
      <c r="G887">
        <f>'NHL2025-26Results'!E883</f>
        <v>2</v>
      </c>
      <c r="H887">
        <f>Table3[[#This Row],[G_1]]-Table3[[#This Row],[G]]</f>
        <v>-1</v>
      </c>
      <c r="I887">
        <f>HomeEdge+VLOOKUP(Table3[[#This Row],[Home]],$A$6:$B$38,2,FALSE)-VLOOKUP(Table3[[#This Row],[Visitor]],$A$6:$B$38,2,FALSE)</f>
        <v>0.3197508179672186</v>
      </c>
      <c r="J887">
        <f>(Table3[[#This Row],[HomeMargin]]-Table3[[#This Row],[HomeForecast]])^2</f>
        <v>1.7417422215251426</v>
      </c>
    </row>
    <row r="888" spans="4:10" x14ac:dyDescent="0.2">
      <c r="D888" t="s">
        <v>38</v>
      </c>
      <c r="E888">
        <f>'NHL2025-26Results'!C884</f>
        <v>2</v>
      </c>
      <c r="F888" t="s">
        <v>55</v>
      </c>
      <c r="G888">
        <f>'NHL2025-26Results'!E884</f>
        <v>6</v>
      </c>
      <c r="H888">
        <f>Table3[[#This Row],[G_1]]-Table3[[#This Row],[G]]</f>
        <v>4</v>
      </c>
      <c r="I888">
        <f>HomeEdge+VLOOKUP(Table3[[#This Row],[Home]],$A$6:$B$38,2,FALSE)-VLOOKUP(Table3[[#This Row],[Visitor]],$A$6:$B$38,2,FALSE)</f>
        <v>1.6057050145259302</v>
      </c>
      <c r="J888">
        <f>(Table3[[#This Row],[HomeMargin]]-Table3[[#This Row],[HomeForecast]])^2</f>
        <v>5.7326484774662765</v>
      </c>
    </row>
    <row r="889" spans="4:10" x14ac:dyDescent="0.2">
      <c r="D889" t="s">
        <v>30</v>
      </c>
      <c r="E889">
        <f>'NHL2025-26Results'!C885</f>
        <v>1</v>
      </c>
      <c r="F889" t="s">
        <v>22</v>
      </c>
      <c r="G889">
        <f>'NHL2025-26Results'!E885</f>
        <v>4</v>
      </c>
      <c r="H889">
        <f>Table3[[#This Row],[G_1]]-Table3[[#This Row],[G]]</f>
        <v>3</v>
      </c>
      <c r="I889">
        <f>HomeEdge+VLOOKUP(Table3[[#This Row],[Home]],$A$6:$B$38,2,FALSE)-VLOOKUP(Table3[[#This Row],[Visitor]],$A$6:$B$38,2,FALSE)</f>
        <v>0.1961356795573071</v>
      </c>
      <c r="J889">
        <f>(Table3[[#This Row],[HomeMargin]]-Table3[[#This Row],[HomeForecast]])^2</f>
        <v>7.8616551274515629</v>
      </c>
    </row>
    <row r="890" spans="4:10" x14ac:dyDescent="0.2">
      <c r="D890" t="s">
        <v>32</v>
      </c>
      <c r="E890">
        <f>'NHL2025-26Results'!C886</f>
        <v>2</v>
      </c>
      <c r="F890" t="s">
        <v>31</v>
      </c>
      <c r="G890">
        <f>'NHL2025-26Results'!E886</f>
        <v>4</v>
      </c>
      <c r="H890">
        <f>Table3[[#This Row],[G_1]]-Table3[[#This Row],[G]]</f>
        <v>2</v>
      </c>
      <c r="I890">
        <f>HomeEdge+VLOOKUP(Table3[[#This Row],[Home]],$A$6:$B$38,2,FALSE)-VLOOKUP(Table3[[#This Row],[Visitor]],$A$6:$B$38,2,FALSE)</f>
        <v>0.14836830907599524</v>
      </c>
      <c r="J890">
        <f>(Table3[[#This Row],[HomeMargin]]-Table3[[#This Row],[HomeForecast]])^2</f>
        <v>3.428539918834089</v>
      </c>
    </row>
    <row r="891" spans="4:10" x14ac:dyDescent="0.2">
      <c r="D891" t="s">
        <v>36</v>
      </c>
      <c r="E891">
        <f>'NHL2025-26Results'!C887</f>
        <v>3</v>
      </c>
      <c r="F891" t="s">
        <v>25</v>
      </c>
      <c r="G891">
        <f>'NHL2025-26Results'!E887</f>
        <v>4</v>
      </c>
      <c r="H891">
        <f>Table3[[#This Row],[G_1]]-Table3[[#This Row],[G]]</f>
        <v>1</v>
      </c>
      <c r="I891">
        <f>HomeEdge+VLOOKUP(Table3[[#This Row],[Home]],$A$6:$B$38,2,FALSE)-VLOOKUP(Table3[[#This Row],[Visitor]],$A$6:$B$38,2,FALSE)</f>
        <v>0.55220866993677409</v>
      </c>
      <c r="J891">
        <f>(Table3[[#This Row],[HomeMargin]]-Table3[[#This Row],[HomeForecast]])^2</f>
        <v>0.20051707527979293</v>
      </c>
    </row>
    <row r="892" spans="4:10" x14ac:dyDescent="0.2">
      <c r="D892" t="s">
        <v>19</v>
      </c>
      <c r="E892">
        <f>'NHL2025-26Results'!C888</f>
        <v>5</v>
      </c>
      <c r="F892" t="s">
        <v>17</v>
      </c>
      <c r="G892">
        <f>'NHL2025-26Results'!E888</f>
        <v>2</v>
      </c>
      <c r="H892">
        <f>Table3[[#This Row],[G_1]]-Table3[[#This Row],[G]]</f>
        <v>-3</v>
      </c>
      <c r="I892">
        <f>HomeEdge+VLOOKUP(Table3[[#This Row],[Home]],$A$6:$B$38,2,FALSE)-VLOOKUP(Table3[[#This Row],[Visitor]],$A$6:$B$38,2,FALSE)</f>
        <v>0.20726160458344642</v>
      </c>
      <c r="J892">
        <f>(Table3[[#This Row],[HomeMargin]]-Table3[[#This Row],[HomeForecast]])^2</f>
        <v>10.286527000235182</v>
      </c>
    </row>
    <row r="893" spans="4:10" x14ac:dyDescent="0.2">
      <c r="D893" t="s">
        <v>28</v>
      </c>
      <c r="E893">
        <f>'NHL2025-26Results'!C889</f>
        <v>3</v>
      </c>
      <c r="F893" t="s">
        <v>24</v>
      </c>
      <c r="G893">
        <f>'NHL2025-26Results'!E889</f>
        <v>0</v>
      </c>
      <c r="H893">
        <f>Table3[[#This Row],[G_1]]-Table3[[#This Row],[G]]</f>
        <v>-3</v>
      </c>
      <c r="I893">
        <f>HomeEdge+VLOOKUP(Table3[[#This Row],[Home]],$A$6:$B$38,2,FALSE)-VLOOKUP(Table3[[#This Row],[Visitor]],$A$6:$B$38,2,FALSE)</f>
        <v>-0.33393625078229228</v>
      </c>
      <c r="J893">
        <f>(Table3[[#This Row],[HomeMargin]]-Table3[[#This Row],[HomeForecast]])^2</f>
        <v>7.1078959148927803</v>
      </c>
    </row>
    <row r="894" spans="4:10" x14ac:dyDescent="0.2">
      <c r="D894" t="s">
        <v>14</v>
      </c>
      <c r="E894">
        <f>'NHL2025-26Results'!C890</f>
        <v>4</v>
      </c>
      <c r="F894" t="s">
        <v>30</v>
      </c>
      <c r="G894">
        <f>'NHL2025-26Results'!E890</f>
        <v>5</v>
      </c>
      <c r="H894">
        <f>Table3[[#This Row],[G_1]]-Table3[[#This Row],[G]]</f>
        <v>1</v>
      </c>
      <c r="I894">
        <f>HomeEdge+VLOOKUP(Table3[[#This Row],[Home]],$A$6:$B$38,2,FALSE)-VLOOKUP(Table3[[#This Row],[Visitor]],$A$6:$B$38,2,FALSE)</f>
        <v>-5.6733989284234045E-2</v>
      </c>
      <c r="J894">
        <f>(Table3[[#This Row],[HomeMargin]]-Table3[[#This Row],[HomeForecast]])^2</f>
        <v>1.1166867241085716</v>
      </c>
    </row>
    <row r="895" spans="4:10" x14ac:dyDescent="0.2">
      <c r="D895" t="s">
        <v>22</v>
      </c>
      <c r="E895">
        <f>'NHL2025-26Results'!C891</f>
        <v>2</v>
      </c>
      <c r="F895" t="s">
        <v>27</v>
      </c>
      <c r="G895">
        <f>'NHL2025-26Results'!E891</f>
        <v>4</v>
      </c>
      <c r="H895">
        <f>Table3[[#This Row],[G_1]]-Table3[[#This Row],[G]]</f>
        <v>2</v>
      </c>
      <c r="I895">
        <f>HomeEdge+VLOOKUP(Table3[[#This Row],[Home]],$A$6:$B$38,2,FALSE)-VLOOKUP(Table3[[#This Row],[Visitor]],$A$6:$B$38,2,FALSE)</f>
        <v>-0.30159642164371869</v>
      </c>
      <c r="J895">
        <f>(Table3[[#This Row],[HomeMargin]]-Table3[[#This Row],[HomeForecast]])^2</f>
        <v>5.2973460881231702</v>
      </c>
    </row>
    <row r="896" spans="4:10" x14ac:dyDescent="0.2">
      <c r="D896" t="s">
        <v>23</v>
      </c>
      <c r="E896">
        <f>'NHL2025-26Results'!C892</f>
        <v>3</v>
      </c>
      <c r="F896" t="s">
        <v>37</v>
      </c>
      <c r="G896">
        <f>'NHL2025-26Results'!E892</f>
        <v>4</v>
      </c>
      <c r="H896">
        <f>Table3[[#This Row],[G_1]]-Table3[[#This Row],[G]]</f>
        <v>1</v>
      </c>
      <c r="I896">
        <f>HomeEdge+VLOOKUP(Table3[[#This Row],[Home]],$A$6:$B$38,2,FALSE)-VLOOKUP(Table3[[#This Row],[Visitor]],$A$6:$B$38,2,FALSE)</f>
        <v>0.84253443653120985</v>
      </c>
      <c r="J896">
        <f>(Table3[[#This Row],[HomeMargin]]-Table3[[#This Row],[HomeForecast]])^2</f>
        <v>2.479540367854358E-2</v>
      </c>
    </row>
    <row r="897" spans="4:10" x14ac:dyDescent="0.2">
      <c r="D897" t="s">
        <v>10</v>
      </c>
      <c r="E897">
        <f>'NHL2025-26Results'!C893</f>
        <v>0</v>
      </c>
      <c r="F897" t="s">
        <v>28</v>
      </c>
      <c r="G897">
        <f>'NHL2025-26Results'!E893</f>
        <v>4</v>
      </c>
      <c r="H897">
        <f>Table3[[#This Row],[G_1]]-Table3[[#This Row],[G]]</f>
        <v>4</v>
      </c>
      <c r="I897">
        <f>HomeEdge+VLOOKUP(Table3[[#This Row],[Home]],$A$6:$B$38,2,FALSE)-VLOOKUP(Table3[[#This Row],[Visitor]],$A$6:$B$38,2,FALSE)</f>
        <v>0.77462296843616985</v>
      </c>
      <c r="J897">
        <f>(Table3[[#This Row],[HomeMargin]]-Table3[[#This Row],[HomeForecast]])^2</f>
        <v>10.403056995739504</v>
      </c>
    </row>
    <row r="898" spans="4:10" x14ac:dyDescent="0.2">
      <c r="D898" t="s">
        <v>17</v>
      </c>
      <c r="E898">
        <f>'NHL2025-26Results'!C894</f>
        <v>3</v>
      </c>
      <c r="F898" t="s">
        <v>16</v>
      </c>
      <c r="G898">
        <f>'NHL2025-26Results'!E894</f>
        <v>4</v>
      </c>
      <c r="H898">
        <f>Table3[[#This Row],[G_1]]-Table3[[#This Row],[G]]</f>
        <v>1</v>
      </c>
      <c r="I898">
        <f>HomeEdge+VLOOKUP(Table3[[#This Row],[Home]],$A$6:$B$38,2,FALSE)-VLOOKUP(Table3[[#This Row],[Visitor]],$A$6:$B$38,2,FALSE)</f>
        <v>-0.39607928332240233</v>
      </c>
      <c r="J898">
        <f>(Table3[[#This Row],[HomeMargin]]-Table3[[#This Row],[HomeForecast]])^2</f>
        <v>1.9490373653219923</v>
      </c>
    </row>
    <row r="899" spans="4:10" x14ac:dyDescent="0.2">
      <c r="D899" t="s">
        <v>33</v>
      </c>
      <c r="E899">
        <f>'NHL2025-26Results'!C895</f>
        <v>2</v>
      </c>
      <c r="F899" t="s">
        <v>12</v>
      </c>
      <c r="G899">
        <f>'NHL2025-26Results'!E895</f>
        <v>4</v>
      </c>
      <c r="H899">
        <f>Table3[[#This Row],[G_1]]-Table3[[#This Row],[G]]</f>
        <v>2</v>
      </c>
      <c r="I899">
        <f>HomeEdge+VLOOKUP(Table3[[#This Row],[Home]],$A$6:$B$38,2,FALSE)-VLOOKUP(Table3[[#This Row],[Visitor]],$A$6:$B$38,2,FALSE)</f>
        <v>1.7806396442449297</v>
      </c>
      <c r="J899">
        <f>(Table3[[#This Row],[HomeMargin]]-Table3[[#This Row],[HomeForecast]])^2</f>
        <v>4.8118965676990998E-2</v>
      </c>
    </row>
    <row r="900" spans="4:10" x14ac:dyDescent="0.2">
      <c r="D900" t="s">
        <v>35</v>
      </c>
      <c r="E900">
        <f>'NHL2025-26Results'!C896</f>
        <v>4</v>
      </c>
      <c r="F900" t="s">
        <v>39</v>
      </c>
      <c r="G900">
        <f>'NHL2025-26Results'!E896</f>
        <v>5</v>
      </c>
      <c r="H900">
        <f>Table3[[#This Row],[G_1]]-Table3[[#This Row],[G]]</f>
        <v>1</v>
      </c>
      <c r="I900">
        <f>HomeEdge+VLOOKUP(Table3[[#This Row],[Home]],$A$6:$B$38,2,FALSE)-VLOOKUP(Table3[[#This Row],[Visitor]],$A$6:$B$38,2,FALSE)</f>
        <v>1.6595445669975701</v>
      </c>
      <c r="J900">
        <f>(Table3[[#This Row],[HomeMargin]]-Table3[[#This Row],[HomeForecast]])^2</f>
        <v>0.43499903585601229</v>
      </c>
    </row>
    <row r="901" spans="4:10" x14ac:dyDescent="0.2">
      <c r="D901" t="s">
        <v>21</v>
      </c>
      <c r="E901">
        <f>'NHL2025-26Results'!C897</f>
        <v>4</v>
      </c>
      <c r="F901" t="s">
        <v>11</v>
      </c>
      <c r="G901">
        <f>'NHL2025-26Results'!E897</f>
        <v>5</v>
      </c>
      <c r="H901">
        <f>Table3[[#This Row],[G_1]]-Table3[[#This Row],[G]]</f>
        <v>1</v>
      </c>
      <c r="I901">
        <f>HomeEdge+VLOOKUP(Table3[[#This Row],[Home]],$A$6:$B$38,2,FALSE)-VLOOKUP(Table3[[#This Row],[Visitor]],$A$6:$B$38,2,FALSE)</f>
        <v>-0.32481453242269864</v>
      </c>
      <c r="J901">
        <f>(Table3[[#This Row],[HomeMargin]]-Table3[[#This Row],[HomeForecast]])^2</f>
        <v>1.7551335453183738</v>
      </c>
    </row>
    <row r="902" spans="4:10" x14ac:dyDescent="0.2">
      <c r="D902" t="s">
        <v>32</v>
      </c>
      <c r="E902">
        <f>'NHL2025-26Results'!C898</f>
        <v>4</v>
      </c>
      <c r="F902" t="s">
        <v>13</v>
      </c>
      <c r="G902">
        <f>'NHL2025-26Results'!E898</f>
        <v>2</v>
      </c>
      <c r="H902">
        <f>Table3[[#This Row],[G_1]]-Table3[[#This Row],[G]]</f>
        <v>-2</v>
      </c>
      <c r="I902">
        <f>HomeEdge+VLOOKUP(Table3[[#This Row],[Home]],$A$6:$B$38,2,FALSE)-VLOOKUP(Table3[[#This Row],[Visitor]],$A$6:$B$38,2,FALSE)</f>
        <v>2.1277241304914762E-2</v>
      </c>
      <c r="J902">
        <f>(Table3[[#This Row],[HomeMargin]]-Table3[[#This Row],[HomeForecast]])^2</f>
        <v>4.0855616862172068</v>
      </c>
    </row>
    <row r="903" spans="4:10" x14ac:dyDescent="0.2">
      <c r="D903" t="s">
        <v>34</v>
      </c>
      <c r="E903">
        <f>'NHL2025-26Results'!C899</f>
        <v>6</v>
      </c>
      <c r="F903" t="s">
        <v>29</v>
      </c>
      <c r="G903">
        <f>'NHL2025-26Results'!E899</f>
        <v>5</v>
      </c>
      <c r="H903">
        <f>Table3[[#This Row],[G_1]]-Table3[[#This Row],[G]]</f>
        <v>-1</v>
      </c>
      <c r="I903">
        <f>HomeEdge+VLOOKUP(Table3[[#This Row],[Home]],$A$6:$B$38,2,FALSE)-VLOOKUP(Table3[[#This Row],[Visitor]],$A$6:$B$38,2,FALSE)</f>
        <v>-0.75144310914012924</v>
      </c>
      <c r="J903">
        <f>(Table3[[#This Row],[HomeMargin]]-Table3[[#This Row],[HomeForecast]])^2</f>
        <v>6.1780527993925707E-2</v>
      </c>
    </row>
    <row r="904" spans="4:10" x14ac:dyDescent="0.2">
      <c r="D904" t="s">
        <v>26</v>
      </c>
      <c r="E904">
        <f>'NHL2025-26Results'!C900</f>
        <v>1</v>
      </c>
      <c r="F904" t="s">
        <v>55</v>
      </c>
      <c r="G904">
        <f>'NHL2025-26Results'!E900</f>
        <v>4</v>
      </c>
      <c r="H904">
        <f>Table3[[#This Row],[G_1]]-Table3[[#This Row],[G]]</f>
        <v>3</v>
      </c>
      <c r="I904">
        <f>HomeEdge+VLOOKUP(Table3[[#This Row],[Home]],$A$6:$B$38,2,FALSE)-VLOOKUP(Table3[[#This Row],[Visitor]],$A$6:$B$38,2,FALSE)</f>
        <v>0.54483949682123956</v>
      </c>
      <c r="J904">
        <f>(Table3[[#This Row],[HomeMargin]]-Table3[[#This Row],[HomeForecast]])^2</f>
        <v>6.0278130963689831</v>
      </c>
    </row>
    <row r="905" spans="4:10" x14ac:dyDescent="0.2">
      <c r="D905" t="s">
        <v>38</v>
      </c>
      <c r="E905">
        <f>'NHL2025-26Results'!C901</f>
        <v>2</v>
      </c>
      <c r="F905" t="s">
        <v>20</v>
      </c>
      <c r="G905">
        <f>'NHL2025-26Results'!E901</f>
        <v>5</v>
      </c>
      <c r="H905">
        <f>Table3[[#This Row],[G_1]]-Table3[[#This Row],[G]]</f>
        <v>3</v>
      </c>
      <c r="I905">
        <f>HomeEdge+VLOOKUP(Table3[[#This Row],[Home]],$A$6:$B$38,2,FALSE)-VLOOKUP(Table3[[#This Row],[Visitor]],$A$6:$B$38,2,FALSE)</f>
        <v>1.3586456544834433</v>
      </c>
      <c r="J905">
        <f>(Table3[[#This Row],[HomeMargin]]-Table3[[#This Row],[HomeForecast]])^2</f>
        <v>2.694044087546084</v>
      </c>
    </row>
    <row r="906" spans="4:10" x14ac:dyDescent="0.2">
      <c r="D906" t="s">
        <v>18</v>
      </c>
      <c r="E906">
        <f>'NHL2025-26Results'!C902</f>
        <v>5</v>
      </c>
      <c r="F906" t="s">
        <v>40</v>
      </c>
      <c r="G906">
        <f>'NHL2025-26Results'!E902</f>
        <v>1</v>
      </c>
      <c r="H906">
        <f>Table3[[#This Row],[G_1]]-Table3[[#This Row],[G]]</f>
        <v>-4</v>
      </c>
      <c r="I906">
        <f>HomeEdge+VLOOKUP(Table3[[#This Row],[Home]],$A$6:$B$38,2,FALSE)-VLOOKUP(Table3[[#This Row],[Visitor]],$A$6:$B$38,2,FALSE)</f>
        <v>-0.3725698099026129</v>
      </c>
      <c r="J906">
        <f>(Table3[[#This Row],[HomeMargin]]-Table3[[#This Row],[HomeForecast]])^2</f>
        <v>13.158249784029966</v>
      </c>
    </row>
    <row r="907" spans="4:10" x14ac:dyDescent="0.2">
      <c r="D907" t="s">
        <v>14</v>
      </c>
      <c r="E907">
        <f>'NHL2025-26Results'!C903</f>
        <v>5</v>
      </c>
      <c r="F907" t="s">
        <v>23</v>
      </c>
      <c r="G907">
        <f>'NHL2025-26Results'!E903</f>
        <v>2</v>
      </c>
      <c r="H907">
        <f>Table3[[#This Row],[G_1]]-Table3[[#This Row],[G]]</f>
        <v>-3</v>
      </c>
      <c r="I907">
        <f>HomeEdge+VLOOKUP(Table3[[#This Row],[Home]],$A$6:$B$38,2,FALSE)-VLOOKUP(Table3[[#This Row],[Visitor]],$A$6:$B$38,2,FALSE)</f>
        <v>0.13772503290410576</v>
      </c>
      <c r="J907">
        <f>(Table3[[#This Row],[HomeMargin]]-Table3[[#This Row],[HomeForecast]])^2</f>
        <v>9.8453183821130708</v>
      </c>
    </row>
    <row r="908" spans="4:10" x14ac:dyDescent="0.2">
      <c r="D908" t="s">
        <v>30</v>
      </c>
      <c r="E908">
        <f>'NHL2025-26Results'!C904</f>
        <v>3</v>
      </c>
      <c r="F908" t="s">
        <v>24</v>
      </c>
      <c r="G908">
        <f>'NHL2025-26Results'!E904</f>
        <v>1</v>
      </c>
      <c r="H908">
        <f>Table3[[#This Row],[G_1]]-Table3[[#This Row],[G]]</f>
        <v>-2</v>
      </c>
      <c r="I908">
        <f>HomeEdge+VLOOKUP(Table3[[#This Row],[Home]],$A$6:$B$38,2,FALSE)-VLOOKUP(Table3[[#This Row],[Visitor]],$A$6:$B$38,2,FALSE)</f>
        <v>-0.42919642393410279</v>
      </c>
      <c r="J908">
        <f>(Table3[[#This Row],[HomeMargin]]-Table3[[#This Row],[HomeForecast]])^2</f>
        <v>2.4674238745814105</v>
      </c>
    </row>
    <row r="909" spans="4:10" x14ac:dyDescent="0.2">
      <c r="D909" t="s">
        <v>25</v>
      </c>
      <c r="E909">
        <f>'NHL2025-26Results'!C905</f>
        <v>2</v>
      </c>
      <c r="F909" t="s">
        <v>15</v>
      </c>
      <c r="G909">
        <f>'NHL2025-26Results'!E905</f>
        <v>0</v>
      </c>
      <c r="H909">
        <f>Table3[[#This Row],[G_1]]-Table3[[#This Row],[G]]</f>
        <v>-2</v>
      </c>
      <c r="I909">
        <f>HomeEdge+VLOOKUP(Table3[[#This Row],[Home]],$A$6:$B$38,2,FALSE)-VLOOKUP(Table3[[#This Row],[Visitor]],$A$6:$B$38,2,FALSE)</f>
        <v>-0.83940637043552568</v>
      </c>
      <c r="J909">
        <f>(Table3[[#This Row],[HomeMargin]]-Table3[[#This Row],[HomeForecast]])^2</f>
        <v>1.3469775729856401</v>
      </c>
    </row>
    <row r="910" spans="4:10" x14ac:dyDescent="0.2">
      <c r="D910" t="s">
        <v>36</v>
      </c>
      <c r="E910">
        <f>'NHL2025-26Results'!C906</f>
        <v>2</v>
      </c>
      <c r="F910" t="s">
        <v>27</v>
      </c>
      <c r="G910">
        <f>'NHL2025-26Results'!E906</f>
        <v>1</v>
      </c>
      <c r="H910">
        <f>Table3[[#This Row],[G_1]]-Table3[[#This Row],[G]]</f>
        <v>-1</v>
      </c>
      <c r="I910">
        <f>HomeEdge+VLOOKUP(Table3[[#This Row],[Home]],$A$6:$B$38,2,FALSE)-VLOOKUP(Table3[[#This Row],[Visitor]],$A$6:$B$38,2,FALSE)</f>
        <v>-0.23126487083799929</v>
      </c>
      <c r="J910">
        <f>(Table3[[#This Row],[HomeMargin]]-Table3[[#This Row],[HomeForecast]])^2</f>
        <v>0.59095369880771786</v>
      </c>
    </row>
    <row r="911" spans="4:10" x14ac:dyDescent="0.2">
      <c r="D911" t="s">
        <v>11</v>
      </c>
      <c r="E911">
        <f>'NHL2025-26Results'!C907</f>
        <v>1</v>
      </c>
      <c r="F911" t="s">
        <v>37</v>
      </c>
      <c r="G911">
        <f>'NHL2025-26Results'!E907</f>
        <v>6</v>
      </c>
      <c r="H911">
        <f>Table3[[#This Row],[G_1]]-Table3[[#This Row],[G]]</f>
        <v>5</v>
      </c>
      <c r="I911">
        <f>HomeEdge+VLOOKUP(Table3[[#This Row],[Home]],$A$6:$B$38,2,FALSE)-VLOOKUP(Table3[[#This Row],[Visitor]],$A$6:$B$38,2,FALSE)</f>
        <v>1.4076409644020682</v>
      </c>
      <c r="J911">
        <f>(Table3[[#This Row],[HomeMargin]]-Table3[[#This Row],[HomeForecast]])^2</f>
        <v>12.905043440642103</v>
      </c>
    </row>
    <row r="912" spans="4:10" x14ac:dyDescent="0.2">
      <c r="D912" t="s">
        <v>13</v>
      </c>
      <c r="E912">
        <f>'NHL2025-26Results'!C908</f>
        <v>1</v>
      </c>
      <c r="F912" t="s">
        <v>20</v>
      </c>
      <c r="G912">
        <f>'NHL2025-26Results'!E908</f>
        <v>4</v>
      </c>
      <c r="H912">
        <f>Table3[[#This Row],[G_1]]-Table3[[#This Row],[G]]</f>
        <v>3</v>
      </c>
      <c r="I912">
        <f>HomeEdge+VLOOKUP(Table3[[#This Row],[Home]],$A$6:$B$38,2,FALSE)-VLOOKUP(Table3[[#This Row],[Visitor]],$A$6:$B$38,2,FALSE)</f>
        <v>0.55733925048231003</v>
      </c>
      <c r="J912">
        <f>(Table3[[#This Row],[HomeMargin]]-Table3[[#This Row],[HomeForecast]])^2</f>
        <v>5.9665915372343221</v>
      </c>
    </row>
    <row r="913" spans="4:10" x14ac:dyDescent="0.2">
      <c r="D913" t="s">
        <v>29</v>
      </c>
      <c r="E913">
        <f>'NHL2025-26Results'!C909</f>
        <v>2</v>
      </c>
      <c r="F913" t="s">
        <v>22</v>
      </c>
      <c r="G913">
        <f>'NHL2025-26Results'!E909</f>
        <v>4</v>
      </c>
      <c r="H913">
        <f>Table3[[#This Row],[G_1]]-Table3[[#This Row],[G]]</f>
        <v>2</v>
      </c>
      <c r="I913">
        <f>HomeEdge+VLOOKUP(Table3[[#This Row],[Home]],$A$6:$B$38,2,FALSE)-VLOOKUP(Table3[[#This Row],[Visitor]],$A$6:$B$38,2,FALSE)</f>
        <v>0.83039586518299735</v>
      </c>
      <c r="J913">
        <f>(Table3[[#This Row],[HomeMargin]]-Table3[[#This Row],[HomeForecast]])^2</f>
        <v>1.3679738321810291</v>
      </c>
    </row>
    <row r="914" spans="4:10" x14ac:dyDescent="0.2">
      <c r="D914" t="s">
        <v>17</v>
      </c>
      <c r="E914">
        <f>'NHL2025-26Results'!C910</f>
        <v>5</v>
      </c>
      <c r="F914" t="s">
        <v>31</v>
      </c>
      <c r="G914">
        <f>'NHL2025-26Results'!E910</f>
        <v>6</v>
      </c>
      <c r="H914">
        <f>Table3[[#This Row],[G_1]]-Table3[[#This Row],[G]]</f>
        <v>1</v>
      </c>
      <c r="I914">
        <f>HomeEdge+VLOOKUP(Table3[[#This Row],[Home]],$A$6:$B$38,2,FALSE)-VLOOKUP(Table3[[#This Row],[Visitor]],$A$6:$B$38,2,FALSE)</f>
        <v>3.0627104212862244E-2</v>
      </c>
      <c r="J914">
        <f>(Table3[[#This Row],[HomeMargin]]-Table3[[#This Row],[HomeForecast]])^2</f>
        <v>0.93968381108674093</v>
      </c>
    </row>
    <row r="915" spans="4:10" x14ac:dyDescent="0.2">
      <c r="D915" t="s">
        <v>32</v>
      </c>
      <c r="E915">
        <f>'NHL2025-26Results'!C911</f>
        <v>1</v>
      </c>
      <c r="F915" t="s">
        <v>39</v>
      </c>
      <c r="G915">
        <f>'NHL2025-26Results'!E911</f>
        <v>4</v>
      </c>
      <c r="H915">
        <f>Table3[[#This Row],[G_1]]-Table3[[#This Row],[G]]</f>
        <v>3</v>
      </c>
      <c r="I915">
        <f>HomeEdge+VLOOKUP(Table3[[#This Row],[Home]],$A$6:$B$38,2,FALSE)-VLOOKUP(Table3[[#This Row],[Visitor]],$A$6:$B$38,2,FALSE)</f>
        <v>0.82905444807083151</v>
      </c>
      <c r="J915">
        <f>(Table3[[#This Row],[HomeMargin]]-Table3[[#This Row],[HomeForecast]])^2</f>
        <v>4.7130045894410433</v>
      </c>
    </row>
    <row r="916" spans="4:10" x14ac:dyDescent="0.2">
      <c r="D916" t="s">
        <v>20</v>
      </c>
      <c r="E916">
        <f>'NHL2025-26Results'!C912</f>
        <v>6</v>
      </c>
      <c r="F916" t="s">
        <v>13</v>
      </c>
      <c r="G916">
        <f>'NHL2025-26Results'!E912</f>
        <v>4</v>
      </c>
      <c r="H916">
        <f>Table3[[#This Row],[G_1]]-Table3[[#This Row],[G]]</f>
        <v>-2</v>
      </c>
      <c r="I916">
        <f>HomeEdge+VLOOKUP(Table3[[#This Row],[Home]],$A$6:$B$38,2,FALSE)-VLOOKUP(Table3[[#This Row],[Visitor]],$A$6:$B$38,2,FALSE)</f>
        <v>-0.29812527885926188</v>
      </c>
      <c r="J916">
        <f>(Table3[[#This Row],[HomeMargin]]-Table3[[#This Row],[HomeForecast]])^2</f>
        <v>2.8963775664578653</v>
      </c>
    </row>
    <row r="917" spans="4:10" x14ac:dyDescent="0.2">
      <c r="D917" t="s">
        <v>23</v>
      </c>
      <c r="E917">
        <f>'NHL2025-26Results'!C913</f>
        <v>2</v>
      </c>
      <c r="F917" t="s">
        <v>24</v>
      </c>
      <c r="G917">
        <f>'NHL2025-26Results'!E913</f>
        <v>1</v>
      </c>
      <c r="H917">
        <f>Table3[[#This Row],[G_1]]-Table3[[#This Row],[G]]</f>
        <v>-1</v>
      </c>
      <c r="I917">
        <f>HomeEdge+VLOOKUP(Table3[[#This Row],[Home]],$A$6:$B$38,2,FALSE)-VLOOKUP(Table3[[#This Row],[Visitor]],$A$6:$B$38,2,FALSE)</f>
        <v>-0.62365544612244261</v>
      </c>
      <c r="J917">
        <f>(Table3[[#This Row],[HomeMargin]]-Table3[[#This Row],[HomeForecast]])^2</f>
        <v>0.14163522323329769</v>
      </c>
    </row>
    <row r="918" spans="4:10" x14ac:dyDescent="0.2">
      <c r="D918" t="s">
        <v>19</v>
      </c>
      <c r="E918">
        <f>'NHL2025-26Results'!C914</f>
        <v>2</v>
      </c>
      <c r="F918" t="s">
        <v>37</v>
      </c>
      <c r="G918">
        <f>'NHL2025-26Results'!E914</f>
        <v>4</v>
      </c>
      <c r="H918">
        <f>Table3[[#This Row],[G_1]]-Table3[[#This Row],[G]]</f>
        <v>2</v>
      </c>
      <c r="I918">
        <f>HomeEdge+VLOOKUP(Table3[[#This Row],[Home]],$A$6:$B$38,2,FALSE)-VLOOKUP(Table3[[#This Row],[Visitor]],$A$6:$B$38,2,FALSE)</f>
        <v>1.2929694014240938</v>
      </c>
      <c r="J918">
        <f>(Table3[[#This Row],[HomeMargin]]-Table3[[#This Row],[HomeForecast]])^2</f>
        <v>0.49989226732260422</v>
      </c>
    </row>
    <row r="919" spans="4:10" x14ac:dyDescent="0.2">
      <c r="D919" t="s">
        <v>12</v>
      </c>
      <c r="E919">
        <f>'NHL2025-26Results'!C915</f>
        <v>4</v>
      </c>
      <c r="F919" t="s">
        <v>55</v>
      </c>
      <c r="G919">
        <f>'NHL2025-26Results'!E915</f>
        <v>2</v>
      </c>
      <c r="H919">
        <f>Table3[[#This Row],[G_1]]-Table3[[#This Row],[G]]</f>
        <v>-2</v>
      </c>
      <c r="I919">
        <f>HomeEdge+VLOOKUP(Table3[[#This Row],[Home]],$A$6:$B$38,2,FALSE)-VLOOKUP(Table3[[#This Row],[Visitor]],$A$6:$B$38,2,FALSE)</f>
        <v>-0.78496512185950718</v>
      </c>
      <c r="J919">
        <f>(Table3[[#This Row],[HomeMargin]]-Table3[[#This Row],[HomeForecast]])^2</f>
        <v>1.4763097550978825</v>
      </c>
    </row>
    <row r="920" spans="4:10" x14ac:dyDescent="0.2">
      <c r="D920" t="s">
        <v>40</v>
      </c>
      <c r="E920">
        <f>'NHL2025-26Results'!C916</f>
        <v>3</v>
      </c>
      <c r="F920" t="s">
        <v>38</v>
      </c>
      <c r="G920">
        <f>'NHL2025-26Results'!E916</f>
        <v>2</v>
      </c>
      <c r="H920">
        <f>Table3[[#This Row],[G_1]]-Table3[[#This Row],[G]]</f>
        <v>-1</v>
      </c>
      <c r="I920">
        <f>HomeEdge+VLOOKUP(Table3[[#This Row],[Home]],$A$6:$B$38,2,FALSE)-VLOOKUP(Table3[[#This Row],[Visitor]],$A$6:$B$38,2,FALSE)</f>
        <v>-0.67394484459404791</v>
      </c>
      <c r="J920">
        <f>(Table3[[#This Row],[HomeMargin]]-Table3[[#This Row],[HomeForecast]])^2</f>
        <v>0.10631196436679957</v>
      </c>
    </row>
    <row r="921" spans="4:10" x14ac:dyDescent="0.2">
      <c r="D921" t="s">
        <v>27</v>
      </c>
      <c r="E921">
        <f>'NHL2025-26Results'!C917</f>
        <v>1</v>
      </c>
      <c r="F921" t="s">
        <v>22</v>
      </c>
      <c r="G921">
        <f>'NHL2025-26Results'!E917</f>
        <v>3</v>
      </c>
      <c r="H921">
        <f>Table3[[#This Row],[G_1]]-Table3[[#This Row],[G]]</f>
        <v>2</v>
      </c>
      <c r="I921">
        <f>HomeEdge+VLOOKUP(Table3[[#This Row],[Home]],$A$6:$B$38,2,FALSE)-VLOOKUP(Table3[[#This Row],[Visitor]],$A$6:$B$38,2,FALSE)</f>
        <v>0.56081039326676685</v>
      </c>
      <c r="J921">
        <f>(Table3[[#This Row],[HomeMargin]]-Table3[[#This Row],[HomeForecast]])^2</f>
        <v>2.0712667241289586</v>
      </c>
    </row>
    <row r="922" spans="4:10" x14ac:dyDescent="0.2">
      <c r="D922" t="s">
        <v>28</v>
      </c>
      <c r="F922" t="s">
        <v>21</v>
      </c>
    </row>
    <row r="923" spans="4:10" x14ac:dyDescent="0.2">
      <c r="D923" t="s">
        <v>37</v>
      </c>
      <c r="F923" t="s">
        <v>25</v>
      </c>
    </row>
    <row r="924" spans="4:10" x14ac:dyDescent="0.2">
      <c r="D924" t="s">
        <v>34</v>
      </c>
      <c r="F924" t="s">
        <v>12</v>
      </c>
    </row>
    <row r="925" spans="4:10" x14ac:dyDescent="0.2">
      <c r="D925" t="s">
        <v>19</v>
      </c>
      <c r="F925" t="s">
        <v>11</v>
      </c>
    </row>
    <row r="926" spans="4:10" x14ac:dyDescent="0.2">
      <c r="D926" t="s">
        <v>17</v>
      </c>
      <c r="F926" t="s">
        <v>13</v>
      </c>
    </row>
    <row r="927" spans="4:10" x14ac:dyDescent="0.2">
      <c r="D927" t="s">
        <v>30</v>
      </c>
      <c r="F927" t="s">
        <v>18</v>
      </c>
    </row>
    <row r="928" spans="4:10" x14ac:dyDescent="0.2">
      <c r="D928" t="s">
        <v>10</v>
      </c>
      <c r="F928" t="s">
        <v>29</v>
      </c>
    </row>
    <row r="929" spans="4:6" x14ac:dyDescent="0.2">
      <c r="D929" t="s">
        <v>27</v>
      </c>
      <c r="F929" t="s">
        <v>15</v>
      </c>
    </row>
    <row r="930" spans="4:6" x14ac:dyDescent="0.2">
      <c r="D930" t="s">
        <v>26</v>
      </c>
      <c r="F930" t="s">
        <v>36</v>
      </c>
    </row>
    <row r="931" spans="4:6" x14ac:dyDescent="0.2">
      <c r="D931" t="s">
        <v>24</v>
      </c>
      <c r="F931" t="s">
        <v>14</v>
      </c>
    </row>
    <row r="932" spans="4:6" x14ac:dyDescent="0.2">
      <c r="D932" t="s">
        <v>16</v>
      </c>
      <c r="F932" t="s">
        <v>33</v>
      </c>
    </row>
    <row r="933" spans="4:6" x14ac:dyDescent="0.2">
      <c r="D933" t="s">
        <v>32</v>
      </c>
      <c r="F933" t="s">
        <v>35</v>
      </c>
    </row>
    <row r="934" spans="4:6" x14ac:dyDescent="0.2">
      <c r="D934" t="s">
        <v>40</v>
      </c>
      <c r="F934" t="s">
        <v>31</v>
      </c>
    </row>
    <row r="935" spans="4:6" x14ac:dyDescent="0.2">
      <c r="D935" t="s">
        <v>23</v>
      </c>
      <c r="F935" t="s">
        <v>11</v>
      </c>
    </row>
    <row r="936" spans="4:6" x14ac:dyDescent="0.2">
      <c r="D936" t="s">
        <v>34</v>
      </c>
      <c r="F936" t="s">
        <v>55</v>
      </c>
    </row>
    <row r="937" spans="4:6" x14ac:dyDescent="0.2">
      <c r="D937" t="s">
        <v>20</v>
      </c>
      <c r="F937" t="s">
        <v>22</v>
      </c>
    </row>
    <row r="938" spans="4:6" x14ac:dyDescent="0.2">
      <c r="D938" t="s">
        <v>26</v>
      </c>
      <c r="F938" t="s">
        <v>25</v>
      </c>
    </row>
    <row r="939" spans="4:6" x14ac:dyDescent="0.2">
      <c r="D939" t="s">
        <v>30</v>
      </c>
      <c r="F939" t="s">
        <v>28</v>
      </c>
    </row>
    <row r="940" spans="4:6" x14ac:dyDescent="0.2">
      <c r="D940" t="s">
        <v>10</v>
      </c>
      <c r="F940" t="s">
        <v>12</v>
      </c>
    </row>
    <row r="941" spans="4:6" x14ac:dyDescent="0.2">
      <c r="D941" t="s">
        <v>29</v>
      </c>
      <c r="F941" t="s">
        <v>39</v>
      </c>
    </row>
    <row r="942" spans="4:6" x14ac:dyDescent="0.2">
      <c r="D942" t="s">
        <v>16</v>
      </c>
      <c r="F942" t="s">
        <v>13</v>
      </c>
    </row>
    <row r="943" spans="4:6" x14ac:dyDescent="0.2">
      <c r="D943" t="s">
        <v>22</v>
      </c>
      <c r="F943" t="s">
        <v>18</v>
      </c>
    </row>
    <row r="944" spans="4:6" x14ac:dyDescent="0.2">
      <c r="D944" t="s">
        <v>14</v>
      </c>
      <c r="F944" t="s">
        <v>15</v>
      </c>
    </row>
    <row r="945" spans="4:6" x14ac:dyDescent="0.2">
      <c r="D945" t="s">
        <v>21</v>
      </c>
      <c r="F945" t="s">
        <v>27</v>
      </c>
    </row>
    <row r="946" spans="4:6" x14ac:dyDescent="0.2">
      <c r="D946" t="s">
        <v>38</v>
      </c>
      <c r="F946" t="s">
        <v>32</v>
      </c>
    </row>
    <row r="947" spans="4:6" x14ac:dyDescent="0.2">
      <c r="D947" t="s">
        <v>17</v>
      </c>
      <c r="F947" t="s">
        <v>33</v>
      </c>
    </row>
    <row r="948" spans="4:6" x14ac:dyDescent="0.2">
      <c r="D948" t="s">
        <v>24</v>
      </c>
      <c r="F948" t="s">
        <v>35</v>
      </c>
    </row>
    <row r="949" spans="4:6" x14ac:dyDescent="0.2">
      <c r="D949" t="s">
        <v>23</v>
      </c>
      <c r="F949" t="s">
        <v>37</v>
      </c>
    </row>
    <row r="950" spans="4:6" x14ac:dyDescent="0.2">
      <c r="D950" t="s">
        <v>36</v>
      </c>
      <c r="F950" t="s">
        <v>19</v>
      </c>
    </row>
    <row r="951" spans="4:6" x14ac:dyDescent="0.2">
      <c r="D951" t="s">
        <v>16</v>
      </c>
      <c r="F951" t="s">
        <v>31</v>
      </c>
    </row>
    <row r="952" spans="4:6" x14ac:dyDescent="0.2">
      <c r="D952" t="s">
        <v>35</v>
      </c>
      <c r="F952" t="s">
        <v>34</v>
      </c>
    </row>
    <row r="953" spans="4:6" x14ac:dyDescent="0.2">
      <c r="D953" t="s">
        <v>11</v>
      </c>
      <c r="F953" t="s">
        <v>30</v>
      </c>
    </row>
    <row r="954" spans="4:6" x14ac:dyDescent="0.2">
      <c r="D954" t="s">
        <v>20</v>
      </c>
      <c r="F954" t="s">
        <v>14</v>
      </c>
    </row>
    <row r="955" spans="4:6" x14ac:dyDescent="0.2">
      <c r="D955" t="s">
        <v>40</v>
      </c>
      <c r="F955" t="s">
        <v>33</v>
      </c>
    </row>
    <row r="956" spans="4:6" x14ac:dyDescent="0.2">
      <c r="D956" t="s">
        <v>10</v>
      </c>
      <c r="F956" t="s">
        <v>55</v>
      </c>
    </row>
    <row r="957" spans="4:6" x14ac:dyDescent="0.2">
      <c r="D957" t="s">
        <v>12</v>
      </c>
      <c r="F957" t="s">
        <v>13</v>
      </c>
    </row>
    <row r="958" spans="4:6" x14ac:dyDescent="0.2">
      <c r="D958" t="s">
        <v>26</v>
      </c>
      <c r="F958" t="s">
        <v>29</v>
      </c>
    </row>
    <row r="959" spans="4:6" x14ac:dyDescent="0.2">
      <c r="D959" t="s">
        <v>28</v>
      </c>
      <c r="F959" t="s">
        <v>15</v>
      </c>
    </row>
    <row r="960" spans="4:6" x14ac:dyDescent="0.2">
      <c r="D960" t="s">
        <v>25</v>
      </c>
      <c r="F960" t="s">
        <v>32</v>
      </c>
    </row>
    <row r="961" spans="4:6" x14ac:dyDescent="0.2">
      <c r="D961" t="s">
        <v>27</v>
      </c>
      <c r="F961" t="s">
        <v>19</v>
      </c>
    </row>
    <row r="962" spans="4:6" x14ac:dyDescent="0.2">
      <c r="D962" t="s">
        <v>39</v>
      </c>
      <c r="F962" t="s">
        <v>38</v>
      </c>
    </row>
    <row r="963" spans="4:6" x14ac:dyDescent="0.2">
      <c r="D963" t="s">
        <v>12</v>
      </c>
      <c r="F963" t="s">
        <v>31</v>
      </c>
    </row>
    <row r="964" spans="4:6" x14ac:dyDescent="0.2">
      <c r="D964" t="s">
        <v>14</v>
      </c>
      <c r="F964" t="s">
        <v>21</v>
      </c>
    </row>
    <row r="965" spans="4:6" x14ac:dyDescent="0.2">
      <c r="D965" t="s">
        <v>20</v>
      </c>
      <c r="F965" t="s">
        <v>23</v>
      </c>
    </row>
    <row r="966" spans="4:6" x14ac:dyDescent="0.2">
      <c r="D966" t="s">
        <v>29</v>
      </c>
      <c r="F966" t="s">
        <v>28</v>
      </c>
    </row>
    <row r="967" spans="4:6" x14ac:dyDescent="0.2">
      <c r="D967" t="s">
        <v>39</v>
      </c>
      <c r="F967" t="s">
        <v>16</v>
      </c>
    </row>
    <row r="968" spans="4:6" x14ac:dyDescent="0.2">
      <c r="D968" t="s">
        <v>36</v>
      </c>
      <c r="F968" t="s">
        <v>17</v>
      </c>
    </row>
    <row r="969" spans="4:6" x14ac:dyDescent="0.2">
      <c r="D969" t="s">
        <v>37</v>
      </c>
      <c r="F969" t="s">
        <v>34</v>
      </c>
    </row>
    <row r="970" spans="4:6" x14ac:dyDescent="0.2">
      <c r="D970" t="s">
        <v>11</v>
      </c>
      <c r="F970" t="s">
        <v>24</v>
      </c>
    </row>
    <row r="971" spans="4:6" x14ac:dyDescent="0.2">
      <c r="D971" t="s">
        <v>18</v>
      </c>
      <c r="F971" t="s">
        <v>33</v>
      </c>
    </row>
    <row r="972" spans="4:6" x14ac:dyDescent="0.2">
      <c r="D972" t="s">
        <v>10</v>
      </c>
      <c r="F972" t="s">
        <v>40</v>
      </c>
    </row>
    <row r="973" spans="4:6" x14ac:dyDescent="0.2">
      <c r="D973" t="s">
        <v>55</v>
      </c>
      <c r="F973" t="s">
        <v>22</v>
      </c>
    </row>
    <row r="974" spans="4:6" x14ac:dyDescent="0.2">
      <c r="D974" t="s">
        <v>30</v>
      </c>
      <c r="F974" t="s">
        <v>31</v>
      </c>
    </row>
    <row r="975" spans="4:6" x14ac:dyDescent="0.2">
      <c r="D975" t="s">
        <v>20</v>
      </c>
      <c r="F975" t="s">
        <v>26</v>
      </c>
    </row>
    <row r="976" spans="4:6" x14ac:dyDescent="0.2">
      <c r="D976" t="s">
        <v>19</v>
      </c>
      <c r="F976" t="s">
        <v>24</v>
      </c>
    </row>
    <row r="977" spans="4:6" x14ac:dyDescent="0.2">
      <c r="D977" t="s">
        <v>35</v>
      </c>
      <c r="F977" t="s">
        <v>32</v>
      </c>
    </row>
    <row r="978" spans="4:6" x14ac:dyDescent="0.2">
      <c r="D978" t="s">
        <v>25</v>
      </c>
      <c r="F978" t="s">
        <v>38</v>
      </c>
    </row>
    <row r="979" spans="4:6" x14ac:dyDescent="0.2">
      <c r="D979" t="s">
        <v>11</v>
      </c>
      <c r="F979" t="s">
        <v>28</v>
      </c>
    </row>
    <row r="980" spans="4:6" x14ac:dyDescent="0.2">
      <c r="D980" t="s">
        <v>36</v>
      </c>
      <c r="F980" t="s">
        <v>16</v>
      </c>
    </row>
    <row r="981" spans="4:6" x14ac:dyDescent="0.2">
      <c r="D981" t="s">
        <v>30</v>
      </c>
      <c r="F981" t="s">
        <v>13</v>
      </c>
    </row>
    <row r="982" spans="4:6" x14ac:dyDescent="0.2">
      <c r="D982" t="s">
        <v>21</v>
      </c>
      <c r="F982" t="s">
        <v>29</v>
      </c>
    </row>
    <row r="983" spans="4:6" x14ac:dyDescent="0.2">
      <c r="D983" t="s">
        <v>19</v>
      </c>
      <c r="F983" t="s">
        <v>15</v>
      </c>
    </row>
    <row r="984" spans="4:6" x14ac:dyDescent="0.2">
      <c r="D984" t="s">
        <v>55</v>
      </c>
      <c r="F984" t="s">
        <v>27</v>
      </c>
    </row>
    <row r="985" spans="4:6" x14ac:dyDescent="0.2">
      <c r="D985" t="s">
        <v>23</v>
      </c>
      <c r="F985" t="s">
        <v>14</v>
      </c>
    </row>
    <row r="986" spans="4:6" x14ac:dyDescent="0.2">
      <c r="D986" t="s">
        <v>37</v>
      </c>
      <c r="F986" t="s">
        <v>40</v>
      </c>
    </row>
    <row r="987" spans="4:6" x14ac:dyDescent="0.2">
      <c r="D987" t="s">
        <v>18</v>
      </c>
      <c r="F987" t="s">
        <v>31</v>
      </c>
    </row>
    <row r="988" spans="4:6" x14ac:dyDescent="0.2">
      <c r="D988" t="s">
        <v>38</v>
      </c>
      <c r="F988" t="s">
        <v>10</v>
      </c>
    </row>
    <row r="989" spans="4:6" x14ac:dyDescent="0.2">
      <c r="D989" t="s">
        <v>12</v>
      </c>
      <c r="F989" t="s">
        <v>39</v>
      </c>
    </row>
    <row r="990" spans="4:6" x14ac:dyDescent="0.2">
      <c r="D990" t="s">
        <v>11</v>
      </c>
      <c r="F990" t="s">
        <v>26</v>
      </c>
    </row>
    <row r="991" spans="4:6" x14ac:dyDescent="0.2">
      <c r="D991" t="s">
        <v>25</v>
      </c>
      <c r="F991" t="s">
        <v>17</v>
      </c>
    </row>
    <row r="992" spans="4:6" x14ac:dyDescent="0.2">
      <c r="D992" t="s">
        <v>35</v>
      </c>
      <c r="F992" t="s">
        <v>33</v>
      </c>
    </row>
    <row r="993" spans="4:6" x14ac:dyDescent="0.2">
      <c r="D993" t="s">
        <v>34</v>
      </c>
      <c r="F993" t="s">
        <v>20</v>
      </c>
    </row>
    <row r="994" spans="4:6" x14ac:dyDescent="0.2">
      <c r="D994" t="s">
        <v>22</v>
      </c>
      <c r="F994" t="s">
        <v>21</v>
      </c>
    </row>
    <row r="995" spans="4:6" x14ac:dyDescent="0.2">
      <c r="D995" t="s">
        <v>29</v>
      </c>
      <c r="F995" t="s">
        <v>23</v>
      </c>
    </row>
    <row r="996" spans="4:6" x14ac:dyDescent="0.2">
      <c r="D996" t="s">
        <v>55</v>
      </c>
      <c r="F996" t="s">
        <v>28</v>
      </c>
    </row>
    <row r="997" spans="4:6" x14ac:dyDescent="0.2">
      <c r="D997" t="s">
        <v>25</v>
      </c>
      <c r="F997" t="s">
        <v>16</v>
      </c>
    </row>
    <row r="998" spans="4:6" x14ac:dyDescent="0.2">
      <c r="D998" t="s">
        <v>18</v>
      </c>
      <c r="F998" t="s">
        <v>13</v>
      </c>
    </row>
    <row r="999" spans="4:6" x14ac:dyDescent="0.2">
      <c r="D999" t="s">
        <v>15</v>
      </c>
      <c r="F999" t="s">
        <v>24</v>
      </c>
    </row>
    <row r="1000" spans="4:6" x14ac:dyDescent="0.2">
      <c r="D1000" t="s">
        <v>27</v>
      </c>
      <c r="F1000" t="s">
        <v>14</v>
      </c>
    </row>
    <row r="1001" spans="4:6" x14ac:dyDescent="0.2">
      <c r="D1001" t="s">
        <v>36</v>
      </c>
      <c r="F1001" t="s">
        <v>32</v>
      </c>
    </row>
    <row r="1002" spans="4:6" x14ac:dyDescent="0.2">
      <c r="D1002" t="s">
        <v>30</v>
      </c>
      <c r="F1002" t="s">
        <v>33</v>
      </c>
    </row>
    <row r="1003" spans="4:6" x14ac:dyDescent="0.2">
      <c r="D1003" t="s">
        <v>37</v>
      </c>
      <c r="F1003" t="s">
        <v>19</v>
      </c>
    </row>
    <row r="1004" spans="4:6" x14ac:dyDescent="0.2">
      <c r="D1004" t="s">
        <v>38</v>
      </c>
      <c r="F1004" t="s">
        <v>40</v>
      </c>
    </row>
    <row r="1005" spans="4:6" x14ac:dyDescent="0.2">
      <c r="D1005" t="s">
        <v>35</v>
      </c>
      <c r="F1005" t="s">
        <v>31</v>
      </c>
    </row>
    <row r="1006" spans="4:6" x14ac:dyDescent="0.2">
      <c r="D1006" t="s">
        <v>37</v>
      </c>
      <c r="F1006" t="s">
        <v>23</v>
      </c>
    </row>
    <row r="1007" spans="4:6" x14ac:dyDescent="0.2">
      <c r="D1007" t="s">
        <v>34</v>
      </c>
      <c r="F1007" t="s">
        <v>12</v>
      </c>
    </row>
    <row r="1008" spans="4:6" x14ac:dyDescent="0.2">
      <c r="D1008" t="s">
        <v>10</v>
      </c>
      <c r="F1008" t="s">
        <v>39</v>
      </c>
    </row>
    <row r="1009" spans="4:6" x14ac:dyDescent="0.2">
      <c r="D1009" t="s">
        <v>26</v>
      </c>
      <c r="F1009" t="s">
        <v>24</v>
      </c>
    </row>
    <row r="1010" spans="4:6" x14ac:dyDescent="0.2">
      <c r="D1010" t="s">
        <v>21</v>
      </c>
      <c r="F1010" t="s">
        <v>14</v>
      </c>
    </row>
    <row r="1011" spans="4:6" x14ac:dyDescent="0.2">
      <c r="D1011" t="s">
        <v>17</v>
      </c>
      <c r="F1011" t="s">
        <v>20</v>
      </c>
    </row>
    <row r="1012" spans="4:6" x14ac:dyDescent="0.2">
      <c r="D1012" t="s">
        <v>13</v>
      </c>
      <c r="F1012" t="s">
        <v>28</v>
      </c>
    </row>
    <row r="1013" spans="4:6" x14ac:dyDescent="0.2">
      <c r="D1013" t="s">
        <v>55</v>
      </c>
      <c r="F1013" t="s">
        <v>10</v>
      </c>
    </row>
    <row r="1014" spans="4:6" x14ac:dyDescent="0.2">
      <c r="D1014" t="s">
        <v>15</v>
      </c>
      <c r="F1014" t="s">
        <v>27</v>
      </c>
    </row>
    <row r="1015" spans="4:6" x14ac:dyDescent="0.2">
      <c r="D1015" t="s">
        <v>36</v>
      </c>
      <c r="F1015" t="s">
        <v>38</v>
      </c>
    </row>
    <row r="1016" spans="4:6" x14ac:dyDescent="0.2">
      <c r="D1016" t="s">
        <v>16</v>
      </c>
      <c r="F1016" t="s">
        <v>22</v>
      </c>
    </row>
    <row r="1017" spans="4:6" x14ac:dyDescent="0.2">
      <c r="D1017" t="s">
        <v>13</v>
      </c>
      <c r="F1017" t="s">
        <v>21</v>
      </c>
    </row>
    <row r="1018" spans="4:6" x14ac:dyDescent="0.2">
      <c r="D1018" t="s">
        <v>33</v>
      </c>
      <c r="F1018" t="s">
        <v>23</v>
      </c>
    </row>
    <row r="1019" spans="4:6" x14ac:dyDescent="0.2">
      <c r="D1019" t="s">
        <v>14</v>
      </c>
      <c r="F1019" t="s">
        <v>25</v>
      </c>
    </row>
    <row r="1020" spans="4:6" x14ac:dyDescent="0.2">
      <c r="D1020" t="s">
        <v>17</v>
      </c>
      <c r="F1020" t="s">
        <v>12</v>
      </c>
    </row>
    <row r="1021" spans="4:6" x14ac:dyDescent="0.2">
      <c r="D1021" t="s">
        <v>20</v>
      </c>
      <c r="F1021" t="s">
        <v>39</v>
      </c>
    </row>
    <row r="1022" spans="4:6" x14ac:dyDescent="0.2">
      <c r="D1022" t="s">
        <v>26</v>
      </c>
      <c r="F1022" t="s">
        <v>11</v>
      </c>
    </row>
    <row r="1023" spans="4:6" x14ac:dyDescent="0.2">
      <c r="D1023" t="s">
        <v>55</v>
      </c>
      <c r="F1023" t="s">
        <v>34</v>
      </c>
    </row>
    <row r="1024" spans="4:6" x14ac:dyDescent="0.2">
      <c r="D1024" t="s">
        <v>19</v>
      </c>
      <c r="F1024" t="s">
        <v>18</v>
      </c>
    </row>
    <row r="1025" spans="4:6" x14ac:dyDescent="0.2">
      <c r="D1025" t="s">
        <v>16</v>
      </c>
      <c r="F1025" t="s">
        <v>15</v>
      </c>
    </row>
    <row r="1026" spans="4:6" x14ac:dyDescent="0.2">
      <c r="D1026" t="s">
        <v>29</v>
      </c>
      <c r="F1026" t="s">
        <v>32</v>
      </c>
    </row>
    <row r="1027" spans="4:6" x14ac:dyDescent="0.2">
      <c r="D1027" t="s">
        <v>30</v>
      </c>
      <c r="F1027" t="s">
        <v>35</v>
      </c>
    </row>
    <row r="1028" spans="4:6" x14ac:dyDescent="0.2">
      <c r="D1028" t="s">
        <v>28</v>
      </c>
      <c r="F1028" t="s">
        <v>37</v>
      </c>
    </row>
    <row r="1029" spans="4:6" x14ac:dyDescent="0.2">
      <c r="D1029" t="s">
        <v>31</v>
      </c>
      <c r="F1029" t="s">
        <v>40</v>
      </c>
    </row>
    <row r="1030" spans="4:6" x14ac:dyDescent="0.2">
      <c r="D1030" t="s">
        <v>18</v>
      </c>
      <c r="F1030" t="s">
        <v>36</v>
      </c>
    </row>
    <row r="1031" spans="4:6" x14ac:dyDescent="0.2">
      <c r="D1031" t="s">
        <v>22</v>
      </c>
      <c r="F1031" t="s">
        <v>27</v>
      </c>
    </row>
    <row r="1032" spans="4:6" x14ac:dyDescent="0.2">
      <c r="D1032" t="s">
        <v>33</v>
      </c>
      <c r="F1032" t="s">
        <v>21</v>
      </c>
    </row>
    <row r="1033" spans="4:6" x14ac:dyDescent="0.2">
      <c r="D1033" t="s">
        <v>22</v>
      </c>
      <c r="F1033" t="s">
        <v>23</v>
      </c>
    </row>
    <row r="1034" spans="4:6" x14ac:dyDescent="0.2">
      <c r="D1034" t="s">
        <v>35</v>
      </c>
      <c r="F1034" t="s">
        <v>25</v>
      </c>
    </row>
    <row r="1035" spans="4:6" x14ac:dyDescent="0.2">
      <c r="D1035" t="s">
        <v>17</v>
      </c>
      <c r="F1035" t="s">
        <v>39</v>
      </c>
    </row>
    <row r="1036" spans="4:6" x14ac:dyDescent="0.2">
      <c r="D1036" t="s">
        <v>28</v>
      </c>
      <c r="F1036" t="s">
        <v>11</v>
      </c>
    </row>
    <row r="1037" spans="4:6" x14ac:dyDescent="0.2">
      <c r="D1037" t="s">
        <v>27</v>
      </c>
      <c r="F1037" t="s">
        <v>34</v>
      </c>
    </row>
    <row r="1038" spans="4:6" x14ac:dyDescent="0.2">
      <c r="D1038" t="s">
        <v>16</v>
      </c>
      <c r="F1038" t="s">
        <v>24</v>
      </c>
    </row>
    <row r="1039" spans="4:6" x14ac:dyDescent="0.2">
      <c r="D1039" t="s">
        <v>12</v>
      </c>
      <c r="F1039" t="s">
        <v>32</v>
      </c>
    </row>
    <row r="1040" spans="4:6" x14ac:dyDescent="0.2">
      <c r="D1040" t="s">
        <v>26</v>
      </c>
      <c r="F1040" t="s">
        <v>37</v>
      </c>
    </row>
    <row r="1041" spans="4:6" x14ac:dyDescent="0.2">
      <c r="D1041" t="s">
        <v>31</v>
      </c>
      <c r="F1041" t="s">
        <v>19</v>
      </c>
    </row>
    <row r="1042" spans="4:6" x14ac:dyDescent="0.2">
      <c r="D1042" t="s">
        <v>10</v>
      </c>
      <c r="F1042" t="s">
        <v>55</v>
      </c>
    </row>
    <row r="1043" spans="4:6" x14ac:dyDescent="0.2">
      <c r="D1043" t="s">
        <v>29</v>
      </c>
      <c r="F1043" t="s">
        <v>38</v>
      </c>
    </row>
    <row r="1044" spans="4:6" x14ac:dyDescent="0.2">
      <c r="D1044" t="s">
        <v>14</v>
      </c>
      <c r="F1044" t="s">
        <v>20</v>
      </c>
    </row>
    <row r="1045" spans="4:6" x14ac:dyDescent="0.2">
      <c r="D1045" t="s">
        <v>15</v>
      </c>
      <c r="F1045" t="s">
        <v>40</v>
      </c>
    </row>
    <row r="1046" spans="4:6" x14ac:dyDescent="0.2">
      <c r="D1046" t="s">
        <v>13</v>
      </c>
      <c r="F1046" t="s">
        <v>30</v>
      </c>
    </row>
    <row r="1047" spans="4:6" x14ac:dyDescent="0.2">
      <c r="D1047" t="s">
        <v>17</v>
      </c>
      <c r="F1047" t="s">
        <v>35</v>
      </c>
    </row>
    <row r="1048" spans="4:6" x14ac:dyDescent="0.2">
      <c r="D1048" t="s">
        <v>19</v>
      </c>
      <c r="F1048" t="s">
        <v>23</v>
      </c>
    </row>
    <row r="1049" spans="4:6" x14ac:dyDescent="0.2">
      <c r="D1049" t="s">
        <v>26</v>
      </c>
      <c r="F1049" t="s">
        <v>39</v>
      </c>
    </row>
    <row r="1050" spans="4:6" x14ac:dyDescent="0.2">
      <c r="D1050" t="s">
        <v>15</v>
      </c>
      <c r="F1050" t="s">
        <v>34</v>
      </c>
    </row>
    <row r="1051" spans="4:6" x14ac:dyDescent="0.2">
      <c r="D1051" t="s">
        <v>33</v>
      </c>
      <c r="F1051" t="s">
        <v>18</v>
      </c>
    </row>
    <row r="1052" spans="4:6" x14ac:dyDescent="0.2">
      <c r="D1052" t="s">
        <v>13</v>
      </c>
      <c r="F1052" t="s">
        <v>24</v>
      </c>
    </row>
    <row r="1053" spans="4:6" x14ac:dyDescent="0.2">
      <c r="D1053" t="s">
        <v>16</v>
      </c>
      <c r="F1053" t="s">
        <v>30</v>
      </c>
    </row>
    <row r="1054" spans="4:6" x14ac:dyDescent="0.2">
      <c r="D1054" t="s">
        <v>31</v>
      </c>
      <c r="F1054" t="s">
        <v>36</v>
      </c>
    </row>
    <row r="1055" spans="4:6" x14ac:dyDescent="0.2">
      <c r="D1055" t="s">
        <v>28</v>
      </c>
      <c r="F1055" t="s">
        <v>27</v>
      </c>
    </row>
    <row r="1056" spans="4:6" x14ac:dyDescent="0.2">
      <c r="D1056" t="s">
        <v>25</v>
      </c>
      <c r="F1056" t="s">
        <v>37</v>
      </c>
    </row>
    <row r="1057" spans="4:6" x14ac:dyDescent="0.2">
      <c r="D1057" t="s">
        <v>14</v>
      </c>
      <c r="F1057" t="s">
        <v>55</v>
      </c>
    </row>
    <row r="1058" spans="4:6" x14ac:dyDescent="0.2">
      <c r="D1058" t="s">
        <v>32</v>
      </c>
      <c r="F1058" t="s">
        <v>38</v>
      </c>
    </row>
    <row r="1059" spans="4:6" x14ac:dyDescent="0.2">
      <c r="D1059" t="s">
        <v>10</v>
      </c>
      <c r="F1059" t="s">
        <v>20</v>
      </c>
    </row>
    <row r="1060" spans="4:6" x14ac:dyDescent="0.2">
      <c r="D1060" t="s">
        <v>12</v>
      </c>
      <c r="F1060" t="s">
        <v>40</v>
      </c>
    </row>
    <row r="1061" spans="4:6" x14ac:dyDescent="0.2">
      <c r="D1061" t="s">
        <v>21</v>
      </c>
      <c r="F1061" t="s">
        <v>22</v>
      </c>
    </row>
    <row r="1062" spans="4:6" x14ac:dyDescent="0.2">
      <c r="D1062" t="s">
        <v>29</v>
      </c>
      <c r="F1062" t="s">
        <v>17</v>
      </c>
    </row>
    <row r="1063" spans="4:6" x14ac:dyDescent="0.2">
      <c r="D1063" t="s">
        <v>19</v>
      </c>
      <c r="F1063" t="s">
        <v>34</v>
      </c>
    </row>
    <row r="1064" spans="4:6" x14ac:dyDescent="0.2">
      <c r="D1064" t="s">
        <v>31</v>
      </c>
      <c r="F1064" t="s">
        <v>18</v>
      </c>
    </row>
    <row r="1065" spans="4:6" x14ac:dyDescent="0.2">
      <c r="D1065" t="s">
        <v>33</v>
      </c>
      <c r="F1065" t="s">
        <v>36</v>
      </c>
    </row>
    <row r="1066" spans="4:6" x14ac:dyDescent="0.2">
      <c r="D1066" t="s">
        <v>11</v>
      </c>
      <c r="F1066" t="s">
        <v>32</v>
      </c>
    </row>
    <row r="1067" spans="4:6" x14ac:dyDescent="0.2">
      <c r="D1067" t="s">
        <v>35</v>
      </c>
      <c r="F1067" t="s">
        <v>40</v>
      </c>
    </row>
    <row r="1068" spans="4:6" x14ac:dyDescent="0.2">
      <c r="D1068" t="s">
        <v>14</v>
      </c>
      <c r="F1068" t="s">
        <v>12</v>
      </c>
    </row>
    <row r="1069" spans="4:6" x14ac:dyDescent="0.2">
      <c r="D1069" t="s">
        <v>55</v>
      </c>
      <c r="F1069" t="s">
        <v>39</v>
      </c>
    </row>
    <row r="1070" spans="4:6" x14ac:dyDescent="0.2">
      <c r="D1070" t="s">
        <v>16</v>
      </c>
      <c r="F1070" t="s">
        <v>26</v>
      </c>
    </row>
    <row r="1071" spans="4:6" x14ac:dyDescent="0.2">
      <c r="D1071" t="s">
        <v>21</v>
      </c>
      <c r="F1071" t="s">
        <v>24</v>
      </c>
    </row>
    <row r="1072" spans="4:6" x14ac:dyDescent="0.2">
      <c r="D1072" t="s">
        <v>13</v>
      </c>
      <c r="F1072" t="s">
        <v>15</v>
      </c>
    </row>
    <row r="1073" spans="4:6" x14ac:dyDescent="0.2">
      <c r="D1073" t="s">
        <v>25</v>
      </c>
      <c r="F1073" t="s">
        <v>28</v>
      </c>
    </row>
    <row r="1074" spans="4:6" x14ac:dyDescent="0.2">
      <c r="D1074" t="s">
        <v>34</v>
      </c>
      <c r="F1074" t="s">
        <v>10</v>
      </c>
    </row>
    <row r="1075" spans="4:6" x14ac:dyDescent="0.2">
      <c r="D1075" t="s">
        <v>33</v>
      </c>
      <c r="F1075" t="s">
        <v>17</v>
      </c>
    </row>
    <row r="1076" spans="4:6" x14ac:dyDescent="0.2">
      <c r="D1076" t="s">
        <v>21</v>
      </c>
      <c r="F1076" t="s">
        <v>18</v>
      </c>
    </row>
    <row r="1077" spans="4:6" x14ac:dyDescent="0.2">
      <c r="D1077" t="s">
        <v>37</v>
      </c>
      <c r="F1077" t="s">
        <v>32</v>
      </c>
    </row>
    <row r="1078" spans="4:6" x14ac:dyDescent="0.2">
      <c r="D1078" t="s">
        <v>30</v>
      </c>
      <c r="F1078" t="s">
        <v>19</v>
      </c>
    </row>
    <row r="1079" spans="4:6" x14ac:dyDescent="0.2">
      <c r="D1079" t="s">
        <v>11</v>
      </c>
      <c r="F1079" t="s">
        <v>38</v>
      </c>
    </row>
    <row r="1080" spans="4:6" x14ac:dyDescent="0.2">
      <c r="D1080" t="s">
        <v>23</v>
      </c>
      <c r="F1080" t="s">
        <v>20</v>
      </c>
    </row>
    <row r="1081" spans="4:6" x14ac:dyDescent="0.2">
      <c r="D1081" t="s">
        <v>29</v>
      </c>
      <c r="F1081" t="s">
        <v>40</v>
      </c>
    </row>
    <row r="1082" spans="4:6" x14ac:dyDescent="0.2">
      <c r="D1082" t="s">
        <v>27</v>
      </c>
      <c r="F1082" t="s">
        <v>31</v>
      </c>
    </row>
    <row r="1083" spans="4:6" x14ac:dyDescent="0.2">
      <c r="D1083" t="s">
        <v>14</v>
      </c>
      <c r="F1083" t="s">
        <v>25</v>
      </c>
    </row>
    <row r="1084" spans="4:6" x14ac:dyDescent="0.2">
      <c r="D1084" t="s">
        <v>35</v>
      </c>
      <c r="F1084" t="s">
        <v>16</v>
      </c>
    </row>
    <row r="1085" spans="4:6" x14ac:dyDescent="0.2">
      <c r="D1085" t="s">
        <v>39</v>
      </c>
      <c r="F1085" t="s">
        <v>12</v>
      </c>
    </row>
    <row r="1086" spans="4:6" x14ac:dyDescent="0.2">
      <c r="D1086" t="s">
        <v>24</v>
      </c>
      <c r="F1086" t="s">
        <v>15</v>
      </c>
    </row>
    <row r="1087" spans="4:6" x14ac:dyDescent="0.2">
      <c r="D1087" t="s">
        <v>36</v>
      </c>
      <c r="F1087" t="s">
        <v>22</v>
      </c>
    </row>
    <row r="1088" spans="4:6" x14ac:dyDescent="0.2">
      <c r="D1088" t="s">
        <v>40</v>
      </c>
      <c r="F1088" t="s">
        <v>21</v>
      </c>
    </row>
    <row r="1089" spans="4:6" x14ac:dyDescent="0.2">
      <c r="D1089" t="s">
        <v>15</v>
      </c>
      <c r="F1089" t="s">
        <v>28</v>
      </c>
    </row>
    <row r="1090" spans="4:6" x14ac:dyDescent="0.2">
      <c r="D1090" t="s">
        <v>18</v>
      </c>
      <c r="F1090" t="s">
        <v>26</v>
      </c>
    </row>
    <row r="1091" spans="4:6" x14ac:dyDescent="0.2">
      <c r="D1091" t="s">
        <v>11</v>
      </c>
      <c r="F1091" t="s">
        <v>17</v>
      </c>
    </row>
    <row r="1092" spans="4:6" x14ac:dyDescent="0.2">
      <c r="D1092" t="s">
        <v>27</v>
      </c>
      <c r="F1092" t="s">
        <v>13</v>
      </c>
    </row>
    <row r="1093" spans="4:6" x14ac:dyDescent="0.2">
      <c r="D1093" t="s">
        <v>10</v>
      </c>
      <c r="F1093" t="s">
        <v>34</v>
      </c>
    </row>
    <row r="1094" spans="4:6" x14ac:dyDescent="0.2">
      <c r="D1094" t="s">
        <v>32</v>
      </c>
      <c r="F1094" t="s">
        <v>29</v>
      </c>
    </row>
    <row r="1095" spans="4:6" x14ac:dyDescent="0.2">
      <c r="D1095" t="s">
        <v>30</v>
      </c>
      <c r="F1095" t="s">
        <v>36</v>
      </c>
    </row>
    <row r="1096" spans="4:6" x14ac:dyDescent="0.2">
      <c r="D1096" t="s">
        <v>23</v>
      </c>
      <c r="F1096" t="s">
        <v>33</v>
      </c>
    </row>
    <row r="1097" spans="4:6" x14ac:dyDescent="0.2">
      <c r="D1097" t="s">
        <v>37</v>
      </c>
      <c r="F1097" t="s">
        <v>38</v>
      </c>
    </row>
    <row r="1098" spans="4:6" x14ac:dyDescent="0.2">
      <c r="D1098" t="s">
        <v>55</v>
      </c>
      <c r="F1098" t="s">
        <v>20</v>
      </c>
    </row>
    <row r="1099" spans="4:6" x14ac:dyDescent="0.2">
      <c r="D1099" t="s">
        <v>11</v>
      </c>
      <c r="F1099" t="s">
        <v>16</v>
      </c>
    </row>
    <row r="1100" spans="4:6" x14ac:dyDescent="0.2">
      <c r="D1100" t="s">
        <v>12</v>
      </c>
      <c r="F1100" t="s">
        <v>10</v>
      </c>
    </row>
    <row r="1101" spans="4:6" x14ac:dyDescent="0.2">
      <c r="D1101" t="s">
        <v>25</v>
      </c>
      <c r="F1101" t="s">
        <v>19</v>
      </c>
    </row>
    <row r="1102" spans="4:6" x14ac:dyDescent="0.2">
      <c r="D1102" t="s">
        <v>31</v>
      </c>
      <c r="F1102" t="s">
        <v>55</v>
      </c>
    </row>
    <row r="1103" spans="4:6" x14ac:dyDescent="0.2">
      <c r="D1103" t="s">
        <v>24</v>
      </c>
      <c r="F1103" t="s">
        <v>22</v>
      </c>
    </row>
    <row r="1104" spans="4:6" x14ac:dyDescent="0.2">
      <c r="D1104" t="s">
        <v>32</v>
      </c>
      <c r="F1104" t="s">
        <v>28</v>
      </c>
    </row>
    <row r="1105" spans="4:6" x14ac:dyDescent="0.2">
      <c r="D1105" t="s">
        <v>21</v>
      </c>
      <c r="F1105" t="s">
        <v>26</v>
      </c>
    </row>
    <row r="1106" spans="4:6" x14ac:dyDescent="0.2">
      <c r="D1106" t="s">
        <v>37</v>
      </c>
      <c r="F1106" t="s">
        <v>17</v>
      </c>
    </row>
    <row r="1107" spans="4:6" x14ac:dyDescent="0.2">
      <c r="D1107" t="s">
        <v>23</v>
      </c>
      <c r="F1107" t="s">
        <v>13</v>
      </c>
    </row>
    <row r="1108" spans="4:6" x14ac:dyDescent="0.2">
      <c r="D1108" t="s">
        <v>39</v>
      </c>
      <c r="F1108" t="s">
        <v>34</v>
      </c>
    </row>
    <row r="1109" spans="4:6" x14ac:dyDescent="0.2">
      <c r="D1109" t="s">
        <v>30</v>
      </c>
      <c r="F1109" t="s">
        <v>18</v>
      </c>
    </row>
    <row r="1110" spans="4:6" x14ac:dyDescent="0.2">
      <c r="D1110" t="s">
        <v>20</v>
      </c>
      <c r="F1110" t="s">
        <v>29</v>
      </c>
    </row>
    <row r="1111" spans="4:6" x14ac:dyDescent="0.2">
      <c r="D1111" t="s">
        <v>19</v>
      </c>
      <c r="F1111" t="s">
        <v>36</v>
      </c>
    </row>
    <row r="1112" spans="4:6" x14ac:dyDescent="0.2">
      <c r="D1112" t="s">
        <v>40</v>
      </c>
      <c r="F1112" t="s">
        <v>14</v>
      </c>
    </row>
    <row r="1113" spans="4:6" x14ac:dyDescent="0.2">
      <c r="D1113" t="s">
        <v>27</v>
      </c>
      <c r="F1113" t="s">
        <v>33</v>
      </c>
    </row>
    <row r="1114" spans="4:6" x14ac:dyDescent="0.2">
      <c r="D1114" t="s">
        <v>35</v>
      </c>
      <c r="F1114" t="s">
        <v>38</v>
      </c>
    </row>
    <row r="1115" spans="4:6" x14ac:dyDescent="0.2">
      <c r="D1115" t="s">
        <v>23</v>
      </c>
      <c r="F1115" t="s">
        <v>31</v>
      </c>
    </row>
    <row r="1116" spans="4:6" x14ac:dyDescent="0.2">
      <c r="D1116" t="s">
        <v>37</v>
      </c>
      <c r="F1116" t="s">
        <v>16</v>
      </c>
    </row>
    <row r="1117" spans="4:6" x14ac:dyDescent="0.2">
      <c r="D1117" t="s">
        <v>29</v>
      </c>
      <c r="F1117" t="s">
        <v>10</v>
      </c>
    </row>
    <row r="1118" spans="4:6" x14ac:dyDescent="0.2">
      <c r="D1118" t="s">
        <v>20</v>
      </c>
      <c r="F1118" t="s">
        <v>39</v>
      </c>
    </row>
    <row r="1119" spans="4:6" x14ac:dyDescent="0.2">
      <c r="D1119" t="s">
        <v>28</v>
      </c>
      <c r="F1119" t="s">
        <v>30</v>
      </c>
    </row>
    <row r="1120" spans="4:6" x14ac:dyDescent="0.2">
      <c r="D1120" t="s">
        <v>40</v>
      </c>
      <c r="F1120" t="s">
        <v>15</v>
      </c>
    </row>
    <row r="1121" spans="4:6" x14ac:dyDescent="0.2">
      <c r="D1121" t="s">
        <v>25</v>
      </c>
      <c r="F1121" t="s">
        <v>14</v>
      </c>
    </row>
    <row r="1122" spans="4:6" x14ac:dyDescent="0.2">
      <c r="D1122" t="s">
        <v>13</v>
      </c>
      <c r="F1122" t="s">
        <v>55</v>
      </c>
    </row>
    <row r="1123" spans="4:6" x14ac:dyDescent="0.2">
      <c r="D1123" t="s">
        <v>12</v>
      </c>
      <c r="F1123" t="s">
        <v>22</v>
      </c>
    </row>
    <row r="1124" spans="4:6" x14ac:dyDescent="0.2">
      <c r="D1124" t="s">
        <v>36</v>
      </c>
      <c r="F1124" t="s">
        <v>15</v>
      </c>
    </row>
    <row r="1125" spans="4:6" x14ac:dyDescent="0.2">
      <c r="D1125" t="s">
        <v>19</v>
      </c>
      <c r="F1125" t="s">
        <v>21</v>
      </c>
    </row>
    <row r="1126" spans="4:6" x14ac:dyDescent="0.2">
      <c r="D1126" t="s">
        <v>13</v>
      </c>
      <c r="F1126" t="s">
        <v>16</v>
      </c>
    </row>
    <row r="1127" spans="4:6" x14ac:dyDescent="0.2">
      <c r="D1127" t="s">
        <v>24</v>
      </c>
      <c r="F1127" t="s">
        <v>39</v>
      </c>
    </row>
    <row r="1128" spans="4:6" x14ac:dyDescent="0.2">
      <c r="D1128" t="s">
        <v>36</v>
      </c>
      <c r="F1128" t="s">
        <v>26</v>
      </c>
    </row>
    <row r="1129" spans="4:6" x14ac:dyDescent="0.2">
      <c r="D1129" t="s">
        <v>32</v>
      </c>
      <c r="F1129" t="s">
        <v>11</v>
      </c>
    </row>
    <row r="1130" spans="4:6" x14ac:dyDescent="0.2">
      <c r="D1130" t="s">
        <v>25</v>
      </c>
      <c r="F1130" t="s">
        <v>18</v>
      </c>
    </row>
    <row r="1131" spans="4:6" x14ac:dyDescent="0.2">
      <c r="D1131" t="s">
        <v>33</v>
      </c>
      <c r="F1131" t="s">
        <v>29</v>
      </c>
    </row>
    <row r="1132" spans="4:6" x14ac:dyDescent="0.2">
      <c r="D1132" t="s">
        <v>10</v>
      </c>
      <c r="F1132" t="s">
        <v>30</v>
      </c>
    </row>
    <row r="1133" spans="4:6" x14ac:dyDescent="0.2">
      <c r="D1133" t="s">
        <v>28</v>
      </c>
      <c r="F1133" t="s">
        <v>27</v>
      </c>
    </row>
    <row r="1134" spans="4:6" x14ac:dyDescent="0.2">
      <c r="D1134" t="s">
        <v>12</v>
      </c>
      <c r="F1134" t="s">
        <v>14</v>
      </c>
    </row>
    <row r="1135" spans="4:6" x14ac:dyDescent="0.2">
      <c r="D1135" t="s">
        <v>22</v>
      </c>
      <c r="F1135" t="s">
        <v>35</v>
      </c>
    </row>
    <row r="1136" spans="4:6" x14ac:dyDescent="0.2">
      <c r="D1136" t="s">
        <v>34</v>
      </c>
      <c r="F1136" t="s">
        <v>37</v>
      </c>
    </row>
    <row r="1137" spans="4:6" x14ac:dyDescent="0.2">
      <c r="D1137" t="s">
        <v>17</v>
      </c>
      <c r="F1137" t="s">
        <v>55</v>
      </c>
    </row>
    <row r="1138" spans="4:6" x14ac:dyDescent="0.2">
      <c r="D1138" t="s">
        <v>31</v>
      </c>
      <c r="F1138" t="s">
        <v>38</v>
      </c>
    </row>
    <row r="1139" spans="4:6" x14ac:dyDescent="0.2">
      <c r="D1139" t="s">
        <v>20</v>
      </c>
      <c r="F1139" t="s">
        <v>40</v>
      </c>
    </row>
    <row r="1140" spans="4:6" x14ac:dyDescent="0.2">
      <c r="D1140" t="s">
        <v>21</v>
      </c>
      <c r="F1140" t="s">
        <v>23</v>
      </c>
    </row>
    <row r="1141" spans="4:6" x14ac:dyDescent="0.2">
      <c r="D1141" t="s">
        <v>15</v>
      </c>
      <c r="F1141" t="s">
        <v>19</v>
      </c>
    </row>
    <row r="1142" spans="4:6" x14ac:dyDescent="0.2">
      <c r="D1142" t="s">
        <v>31</v>
      </c>
      <c r="F1142" t="s">
        <v>16</v>
      </c>
    </row>
    <row r="1143" spans="4:6" x14ac:dyDescent="0.2">
      <c r="D1143" t="s">
        <v>34</v>
      </c>
      <c r="F1143" t="s">
        <v>11</v>
      </c>
    </row>
    <row r="1144" spans="4:6" x14ac:dyDescent="0.2">
      <c r="D1144" t="s">
        <v>28</v>
      </c>
      <c r="F1144" t="s">
        <v>18</v>
      </c>
    </row>
    <row r="1145" spans="4:6" x14ac:dyDescent="0.2">
      <c r="D1145" t="s">
        <v>24</v>
      </c>
      <c r="F1145" t="s">
        <v>29</v>
      </c>
    </row>
    <row r="1146" spans="4:6" x14ac:dyDescent="0.2">
      <c r="D1146" t="s">
        <v>39</v>
      </c>
      <c r="F1146" t="s">
        <v>30</v>
      </c>
    </row>
    <row r="1147" spans="4:6" x14ac:dyDescent="0.2">
      <c r="D1147" t="s">
        <v>14</v>
      </c>
      <c r="F1147" t="s">
        <v>36</v>
      </c>
    </row>
    <row r="1148" spans="4:6" x14ac:dyDescent="0.2">
      <c r="D1148" t="s">
        <v>10</v>
      </c>
      <c r="F1148" t="s">
        <v>27</v>
      </c>
    </row>
    <row r="1149" spans="4:6" x14ac:dyDescent="0.2">
      <c r="D1149" t="s">
        <v>33</v>
      </c>
      <c r="F1149" t="s">
        <v>35</v>
      </c>
    </row>
    <row r="1150" spans="4:6" x14ac:dyDescent="0.2">
      <c r="D1150" t="s">
        <v>32</v>
      </c>
      <c r="F1150" t="s">
        <v>37</v>
      </c>
    </row>
    <row r="1151" spans="4:6" x14ac:dyDescent="0.2">
      <c r="D1151" t="s">
        <v>22</v>
      </c>
      <c r="F1151" t="s">
        <v>55</v>
      </c>
    </row>
    <row r="1152" spans="4:6" x14ac:dyDescent="0.2">
      <c r="D1152" t="s">
        <v>13</v>
      </c>
      <c r="F1152" t="s">
        <v>38</v>
      </c>
    </row>
    <row r="1153" spans="4:6" x14ac:dyDescent="0.2">
      <c r="D1153" t="s">
        <v>17</v>
      </c>
      <c r="F1153" t="s">
        <v>20</v>
      </c>
    </row>
    <row r="1154" spans="4:6" x14ac:dyDescent="0.2">
      <c r="D1154" t="s">
        <v>12</v>
      </c>
      <c r="F1154" t="s">
        <v>40</v>
      </c>
    </row>
    <row r="1155" spans="4:6" x14ac:dyDescent="0.2">
      <c r="D1155" t="s">
        <v>26</v>
      </c>
      <c r="F1155" t="s">
        <v>23</v>
      </c>
    </row>
    <row r="1156" spans="4:6" x14ac:dyDescent="0.2">
      <c r="D1156" t="s">
        <v>10</v>
      </c>
      <c r="F1156" t="s">
        <v>15</v>
      </c>
    </row>
    <row r="1157" spans="4:6" x14ac:dyDescent="0.2">
      <c r="D1157" t="s">
        <v>34</v>
      </c>
      <c r="F1157" t="s">
        <v>21</v>
      </c>
    </row>
    <row r="1158" spans="4:6" x14ac:dyDescent="0.2">
      <c r="D1158" t="s">
        <v>32</v>
      </c>
      <c r="F1158" t="s">
        <v>23</v>
      </c>
    </row>
    <row r="1159" spans="4:6" x14ac:dyDescent="0.2">
      <c r="D1159" t="s">
        <v>24</v>
      </c>
      <c r="F1159" t="s">
        <v>25</v>
      </c>
    </row>
    <row r="1160" spans="4:6" x14ac:dyDescent="0.2">
      <c r="D1160" t="s">
        <v>33</v>
      </c>
      <c r="F1160" t="s">
        <v>28</v>
      </c>
    </row>
    <row r="1161" spans="4:6" x14ac:dyDescent="0.2">
      <c r="D1161" t="s">
        <v>38</v>
      </c>
      <c r="F1161" t="s">
        <v>16</v>
      </c>
    </row>
    <row r="1162" spans="4:6" x14ac:dyDescent="0.2">
      <c r="D1162" t="s">
        <v>40</v>
      </c>
      <c r="F1162" t="s">
        <v>12</v>
      </c>
    </row>
    <row r="1163" spans="4:6" x14ac:dyDescent="0.2">
      <c r="D1163" t="s">
        <v>27</v>
      </c>
      <c r="F1163" t="s">
        <v>26</v>
      </c>
    </row>
    <row r="1164" spans="4:6" x14ac:dyDescent="0.2">
      <c r="D1164" t="s">
        <v>31</v>
      </c>
      <c r="F1164" t="s">
        <v>17</v>
      </c>
    </row>
    <row r="1165" spans="4:6" x14ac:dyDescent="0.2">
      <c r="D1165" t="s">
        <v>55</v>
      </c>
      <c r="F1165" t="s">
        <v>13</v>
      </c>
    </row>
    <row r="1166" spans="4:6" x14ac:dyDescent="0.2">
      <c r="D1166" t="s">
        <v>18</v>
      </c>
      <c r="F1166" t="s">
        <v>29</v>
      </c>
    </row>
    <row r="1167" spans="4:6" x14ac:dyDescent="0.2">
      <c r="D1167" t="s">
        <v>11</v>
      </c>
      <c r="F1167" t="s">
        <v>30</v>
      </c>
    </row>
    <row r="1168" spans="4:6" x14ac:dyDescent="0.2">
      <c r="D1168" t="s">
        <v>39</v>
      </c>
      <c r="F1168" t="s">
        <v>14</v>
      </c>
    </row>
    <row r="1169" spans="4:6" x14ac:dyDescent="0.2">
      <c r="D1169" t="s">
        <v>19</v>
      </c>
      <c r="F1169" t="s">
        <v>35</v>
      </c>
    </row>
    <row r="1170" spans="4:6" x14ac:dyDescent="0.2">
      <c r="D1170" t="s">
        <v>36</v>
      </c>
      <c r="F1170" t="s">
        <v>37</v>
      </c>
    </row>
    <row r="1171" spans="4:6" x14ac:dyDescent="0.2">
      <c r="D1171" t="s">
        <v>22</v>
      </c>
      <c r="F1171" t="s">
        <v>20</v>
      </c>
    </row>
    <row r="1172" spans="4:6" x14ac:dyDescent="0.2">
      <c r="D1172" t="s">
        <v>18</v>
      </c>
      <c r="F1172" t="s">
        <v>25</v>
      </c>
    </row>
    <row r="1173" spans="4:6" x14ac:dyDescent="0.2">
      <c r="D1173" t="s">
        <v>21</v>
      </c>
      <c r="F1173" t="s">
        <v>28</v>
      </c>
    </row>
    <row r="1174" spans="4:6" x14ac:dyDescent="0.2">
      <c r="D1174" t="s">
        <v>10</v>
      </c>
      <c r="F1174" t="s">
        <v>24</v>
      </c>
    </row>
    <row r="1175" spans="4:6" x14ac:dyDescent="0.2">
      <c r="D1175" t="s">
        <v>11</v>
      </c>
      <c r="F1175" t="s">
        <v>15</v>
      </c>
    </row>
    <row r="1176" spans="4:6" x14ac:dyDescent="0.2">
      <c r="D1176" t="s">
        <v>39</v>
      </c>
      <c r="F1176" t="s">
        <v>27</v>
      </c>
    </row>
    <row r="1177" spans="4:6" x14ac:dyDescent="0.2">
      <c r="D1177" t="s">
        <v>29</v>
      </c>
      <c r="F1177" t="s">
        <v>37</v>
      </c>
    </row>
    <row r="1178" spans="4:6" x14ac:dyDescent="0.2">
      <c r="D1178" t="s">
        <v>19</v>
      </c>
      <c r="F1178" t="s">
        <v>31</v>
      </c>
    </row>
    <row r="1179" spans="4:6" x14ac:dyDescent="0.2">
      <c r="D1179" t="s">
        <v>16</v>
      </c>
      <c r="F1179" t="s">
        <v>12</v>
      </c>
    </row>
    <row r="1180" spans="4:6" x14ac:dyDescent="0.2">
      <c r="D1180" t="s">
        <v>14</v>
      </c>
      <c r="F1180" t="s">
        <v>30</v>
      </c>
    </row>
    <row r="1181" spans="4:6" x14ac:dyDescent="0.2">
      <c r="D1181" t="s">
        <v>35</v>
      </c>
      <c r="F1181" t="s">
        <v>33</v>
      </c>
    </row>
    <row r="1182" spans="4:6" x14ac:dyDescent="0.2">
      <c r="D1182" t="s">
        <v>38</v>
      </c>
      <c r="F1182" t="s">
        <v>20</v>
      </c>
    </row>
    <row r="1183" spans="4:6" x14ac:dyDescent="0.2">
      <c r="D1183" t="s">
        <v>39</v>
      </c>
      <c r="F1183" t="s">
        <v>21</v>
      </c>
    </row>
    <row r="1184" spans="4:6" x14ac:dyDescent="0.2">
      <c r="D1184" t="s">
        <v>30</v>
      </c>
      <c r="F1184" t="s">
        <v>23</v>
      </c>
    </row>
    <row r="1185" spans="4:6" x14ac:dyDescent="0.2">
      <c r="D1185" t="s">
        <v>25</v>
      </c>
      <c r="F1185" t="s">
        <v>28</v>
      </c>
    </row>
    <row r="1186" spans="4:6" x14ac:dyDescent="0.2">
      <c r="D1186" t="s">
        <v>40</v>
      </c>
      <c r="F1186" t="s">
        <v>10</v>
      </c>
    </row>
    <row r="1187" spans="4:6" x14ac:dyDescent="0.2">
      <c r="D1187" t="s">
        <v>32</v>
      </c>
      <c r="F1187" t="s">
        <v>17</v>
      </c>
    </row>
    <row r="1188" spans="4:6" x14ac:dyDescent="0.2">
      <c r="D1188" t="s">
        <v>36</v>
      </c>
      <c r="F1188" t="s">
        <v>11</v>
      </c>
    </row>
    <row r="1189" spans="4:6" x14ac:dyDescent="0.2">
      <c r="D1189" t="s">
        <v>24</v>
      </c>
      <c r="F1189" t="s">
        <v>15</v>
      </c>
    </row>
    <row r="1190" spans="4:6" x14ac:dyDescent="0.2">
      <c r="D1190" t="s">
        <v>26</v>
      </c>
      <c r="F1190" t="s">
        <v>14</v>
      </c>
    </row>
    <row r="1191" spans="4:6" x14ac:dyDescent="0.2">
      <c r="D1191" t="s">
        <v>18</v>
      </c>
      <c r="F1191" t="s">
        <v>37</v>
      </c>
    </row>
    <row r="1192" spans="4:6" x14ac:dyDescent="0.2">
      <c r="D1192" t="s">
        <v>27</v>
      </c>
      <c r="F1192" t="s">
        <v>22</v>
      </c>
    </row>
    <row r="1193" spans="4:6" x14ac:dyDescent="0.2">
      <c r="D1193" t="s">
        <v>38</v>
      </c>
      <c r="F1193" t="s">
        <v>12</v>
      </c>
    </row>
    <row r="1194" spans="4:6" x14ac:dyDescent="0.2">
      <c r="D1194" t="s">
        <v>35</v>
      </c>
      <c r="F1194" t="s">
        <v>13</v>
      </c>
    </row>
    <row r="1195" spans="4:6" x14ac:dyDescent="0.2">
      <c r="D1195" t="s">
        <v>31</v>
      </c>
      <c r="F1195" t="s">
        <v>33</v>
      </c>
    </row>
    <row r="1196" spans="4:6" x14ac:dyDescent="0.2">
      <c r="D1196" t="s">
        <v>28</v>
      </c>
      <c r="F1196" t="s">
        <v>25</v>
      </c>
    </row>
    <row r="1197" spans="4:6" x14ac:dyDescent="0.2">
      <c r="D1197" t="s">
        <v>40</v>
      </c>
      <c r="F1197" t="s">
        <v>39</v>
      </c>
    </row>
    <row r="1198" spans="4:6" x14ac:dyDescent="0.2">
      <c r="D1198" t="s">
        <v>10</v>
      </c>
      <c r="F1198" t="s">
        <v>17</v>
      </c>
    </row>
    <row r="1199" spans="4:6" x14ac:dyDescent="0.2">
      <c r="D1199" t="s">
        <v>21</v>
      </c>
      <c r="F1199" t="s">
        <v>11</v>
      </c>
    </row>
    <row r="1200" spans="4:6" x14ac:dyDescent="0.2">
      <c r="D1200" t="s">
        <v>29</v>
      </c>
      <c r="F1200" t="s">
        <v>13</v>
      </c>
    </row>
    <row r="1201" spans="4:6" x14ac:dyDescent="0.2">
      <c r="D1201" t="s">
        <v>38</v>
      </c>
      <c r="F1201" t="s">
        <v>34</v>
      </c>
    </row>
    <row r="1202" spans="4:6" x14ac:dyDescent="0.2">
      <c r="D1202" t="s">
        <v>22</v>
      </c>
      <c r="F1202" t="s">
        <v>24</v>
      </c>
    </row>
    <row r="1203" spans="4:6" x14ac:dyDescent="0.2">
      <c r="D1203" t="s">
        <v>18</v>
      </c>
      <c r="F1203" t="s">
        <v>15</v>
      </c>
    </row>
    <row r="1204" spans="4:6" x14ac:dyDescent="0.2">
      <c r="D1204" t="s">
        <v>23</v>
      </c>
      <c r="F1204" t="s">
        <v>36</v>
      </c>
    </row>
    <row r="1205" spans="4:6" x14ac:dyDescent="0.2">
      <c r="D1205" t="s">
        <v>26</v>
      </c>
      <c r="F1205" t="s">
        <v>27</v>
      </c>
    </row>
    <row r="1206" spans="4:6" x14ac:dyDescent="0.2">
      <c r="D1206" t="s">
        <v>55</v>
      </c>
      <c r="F1206" t="s">
        <v>32</v>
      </c>
    </row>
    <row r="1207" spans="4:6" x14ac:dyDescent="0.2">
      <c r="D1207" t="s">
        <v>19</v>
      </c>
      <c r="F1207" t="s">
        <v>33</v>
      </c>
    </row>
    <row r="1208" spans="4:6" x14ac:dyDescent="0.2">
      <c r="D1208" t="s">
        <v>14</v>
      </c>
      <c r="F1208" t="s">
        <v>37</v>
      </c>
    </row>
    <row r="1209" spans="4:6" x14ac:dyDescent="0.2">
      <c r="D1209" t="s">
        <v>16</v>
      </c>
      <c r="F1209" t="s">
        <v>20</v>
      </c>
    </row>
    <row r="1210" spans="4:6" x14ac:dyDescent="0.2">
      <c r="D1210" t="s">
        <v>35</v>
      </c>
      <c r="F1210" t="s">
        <v>31</v>
      </c>
    </row>
    <row r="1211" spans="4:6" x14ac:dyDescent="0.2">
      <c r="D1211" t="s">
        <v>27</v>
      </c>
      <c r="F1211" t="s">
        <v>30</v>
      </c>
    </row>
    <row r="1212" spans="4:6" x14ac:dyDescent="0.2">
      <c r="D1212" t="s">
        <v>16</v>
      </c>
      <c r="F1212" t="s">
        <v>31</v>
      </c>
    </row>
    <row r="1213" spans="4:6" x14ac:dyDescent="0.2">
      <c r="D1213" t="s">
        <v>30</v>
      </c>
      <c r="F1213" t="s">
        <v>25</v>
      </c>
    </row>
    <row r="1214" spans="4:6" x14ac:dyDescent="0.2">
      <c r="D1214" t="s">
        <v>40</v>
      </c>
      <c r="F1214" t="s">
        <v>28</v>
      </c>
    </row>
    <row r="1215" spans="4:6" x14ac:dyDescent="0.2">
      <c r="D1215" t="s">
        <v>12</v>
      </c>
      <c r="F1215" t="s">
        <v>39</v>
      </c>
    </row>
    <row r="1216" spans="4:6" x14ac:dyDescent="0.2">
      <c r="D1216" t="s">
        <v>20</v>
      </c>
      <c r="F1216" t="s">
        <v>17</v>
      </c>
    </row>
    <row r="1217" spans="4:6" x14ac:dyDescent="0.2">
      <c r="D1217" t="s">
        <v>19</v>
      </c>
      <c r="F1217" t="s">
        <v>13</v>
      </c>
    </row>
    <row r="1218" spans="4:6" x14ac:dyDescent="0.2">
      <c r="D1218" t="s">
        <v>18</v>
      </c>
      <c r="F1218" t="s">
        <v>24</v>
      </c>
    </row>
    <row r="1219" spans="4:6" x14ac:dyDescent="0.2">
      <c r="D1219" t="s">
        <v>26</v>
      </c>
      <c r="F1219" t="s">
        <v>15</v>
      </c>
    </row>
    <row r="1220" spans="4:6" x14ac:dyDescent="0.2">
      <c r="D1220" t="s">
        <v>34</v>
      </c>
      <c r="F1220" t="s">
        <v>36</v>
      </c>
    </row>
    <row r="1221" spans="4:6" x14ac:dyDescent="0.2">
      <c r="D1221" t="s">
        <v>11</v>
      </c>
      <c r="F1221" t="s">
        <v>14</v>
      </c>
    </row>
    <row r="1222" spans="4:6" x14ac:dyDescent="0.2">
      <c r="D1222" t="s">
        <v>10</v>
      </c>
      <c r="F1222" t="s">
        <v>32</v>
      </c>
    </row>
    <row r="1223" spans="4:6" x14ac:dyDescent="0.2">
      <c r="D1223" t="s">
        <v>29</v>
      </c>
      <c r="F1223" t="s">
        <v>33</v>
      </c>
    </row>
    <row r="1224" spans="4:6" x14ac:dyDescent="0.2">
      <c r="D1224" t="s">
        <v>21</v>
      </c>
      <c r="F1224" t="s">
        <v>37</v>
      </c>
    </row>
    <row r="1225" spans="4:6" x14ac:dyDescent="0.2">
      <c r="D1225" t="s">
        <v>55</v>
      </c>
      <c r="F1225" t="s">
        <v>38</v>
      </c>
    </row>
    <row r="1226" spans="4:6" x14ac:dyDescent="0.2">
      <c r="D1226" t="s">
        <v>23</v>
      </c>
      <c r="F1226" t="s">
        <v>22</v>
      </c>
    </row>
    <row r="1227" spans="4:6" x14ac:dyDescent="0.2">
      <c r="D1227" t="s">
        <v>35</v>
      </c>
      <c r="F1227" t="s">
        <v>12</v>
      </c>
    </row>
    <row r="1228" spans="4:6" x14ac:dyDescent="0.2">
      <c r="D1228" t="s">
        <v>34</v>
      </c>
      <c r="F1228" t="s">
        <v>26</v>
      </c>
    </row>
    <row r="1229" spans="4:6" x14ac:dyDescent="0.2">
      <c r="D1229" t="s">
        <v>24</v>
      </c>
      <c r="F1229" t="s">
        <v>18</v>
      </c>
    </row>
    <row r="1230" spans="4:6" x14ac:dyDescent="0.2">
      <c r="D1230" t="s">
        <v>22</v>
      </c>
      <c r="F1230" t="s">
        <v>15</v>
      </c>
    </row>
    <row r="1231" spans="4:6" x14ac:dyDescent="0.2">
      <c r="D1231" t="s">
        <v>25</v>
      </c>
      <c r="F1231" t="s">
        <v>36</v>
      </c>
    </row>
    <row r="1232" spans="4:6" x14ac:dyDescent="0.2">
      <c r="D1232" t="s">
        <v>21</v>
      </c>
      <c r="F1232" t="s">
        <v>27</v>
      </c>
    </row>
    <row r="1233" spans="4:6" x14ac:dyDescent="0.2">
      <c r="D1233" t="s">
        <v>11</v>
      </c>
      <c r="F1233" t="s">
        <v>14</v>
      </c>
    </row>
    <row r="1234" spans="4:6" x14ac:dyDescent="0.2">
      <c r="D1234" t="s">
        <v>37</v>
      </c>
      <c r="F1234" t="s">
        <v>23</v>
      </c>
    </row>
    <row r="1235" spans="4:6" x14ac:dyDescent="0.2">
      <c r="D1235" t="s">
        <v>29</v>
      </c>
      <c r="F1235" t="s">
        <v>13</v>
      </c>
    </row>
    <row r="1236" spans="4:6" x14ac:dyDescent="0.2">
      <c r="D1236" t="s">
        <v>10</v>
      </c>
      <c r="F1236" t="s">
        <v>33</v>
      </c>
    </row>
    <row r="1237" spans="4:6" x14ac:dyDescent="0.2">
      <c r="D1237" t="s">
        <v>32</v>
      </c>
      <c r="F1237" t="s">
        <v>40</v>
      </c>
    </row>
    <row r="1238" spans="4:6" x14ac:dyDescent="0.2">
      <c r="D1238" t="s">
        <v>29</v>
      </c>
      <c r="F1238" t="s">
        <v>31</v>
      </c>
    </row>
    <row r="1239" spans="4:6" x14ac:dyDescent="0.2">
      <c r="D1239" t="s">
        <v>21</v>
      </c>
      <c r="F1239" t="s">
        <v>25</v>
      </c>
    </row>
    <row r="1240" spans="4:6" x14ac:dyDescent="0.2">
      <c r="D1240" t="s">
        <v>16</v>
      </c>
      <c r="F1240" t="s">
        <v>39</v>
      </c>
    </row>
    <row r="1241" spans="4:6" x14ac:dyDescent="0.2">
      <c r="D1241" t="s">
        <v>28</v>
      </c>
      <c r="F1241" t="s">
        <v>26</v>
      </c>
    </row>
    <row r="1242" spans="4:6" x14ac:dyDescent="0.2">
      <c r="D1242" t="s">
        <v>32</v>
      </c>
      <c r="F1242" t="s">
        <v>34</v>
      </c>
    </row>
    <row r="1243" spans="4:6" x14ac:dyDescent="0.2">
      <c r="D1243" t="s">
        <v>11</v>
      </c>
      <c r="F1243" t="s">
        <v>18</v>
      </c>
    </row>
    <row r="1244" spans="4:6" x14ac:dyDescent="0.2">
      <c r="D1244" t="s">
        <v>27</v>
      </c>
      <c r="F1244" t="s">
        <v>24</v>
      </c>
    </row>
    <row r="1245" spans="4:6" x14ac:dyDescent="0.2">
      <c r="D1245" t="s">
        <v>37</v>
      </c>
      <c r="F1245" t="s">
        <v>36</v>
      </c>
    </row>
    <row r="1246" spans="4:6" x14ac:dyDescent="0.2">
      <c r="D1246" t="s">
        <v>12</v>
      </c>
      <c r="F1246" t="s">
        <v>35</v>
      </c>
    </row>
    <row r="1247" spans="4:6" x14ac:dyDescent="0.2">
      <c r="D1247" t="s">
        <v>17</v>
      </c>
      <c r="F1247" t="s">
        <v>55</v>
      </c>
    </row>
    <row r="1248" spans="4:6" x14ac:dyDescent="0.2">
      <c r="D1248" t="s">
        <v>20</v>
      </c>
      <c r="F1248" t="s">
        <v>38</v>
      </c>
    </row>
    <row r="1249" spans="4:6" x14ac:dyDescent="0.2">
      <c r="D1249" t="s">
        <v>23</v>
      </c>
      <c r="F1249" t="s">
        <v>15</v>
      </c>
    </row>
    <row r="1250" spans="4:6" x14ac:dyDescent="0.2">
      <c r="D1250" t="s">
        <v>17</v>
      </c>
      <c r="F1250" t="s">
        <v>33</v>
      </c>
    </row>
    <row r="1251" spans="4:6" x14ac:dyDescent="0.2">
      <c r="D1251" t="s">
        <v>22</v>
      </c>
      <c r="F1251" t="s">
        <v>19</v>
      </c>
    </row>
    <row r="1252" spans="4:6" x14ac:dyDescent="0.2">
      <c r="D1252" t="s">
        <v>33</v>
      </c>
      <c r="F1252" t="s">
        <v>31</v>
      </c>
    </row>
    <row r="1253" spans="4:6" x14ac:dyDescent="0.2">
      <c r="D1253" t="s">
        <v>28</v>
      </c>
      <c r="F1253" t="s">
        <v>23</v>
      </c>
    </row>
    <row r="1254" spans="4:6" x14ac:dyDescent="0.2">
      <c r="D1254" t="s">
        <v>25</v>
      </c>
      <c r="F1254" t="s">
        <v>10</v>
      </c>
    </row>
    <row r="1255" spans="4:6" x14ac:dyDescent="0.2">
      <c r="D1255" t="s">
        <v>16</v>
      </c>
      <c r="F1255" t="s">
        <v>12</v>
      </c>
    </row>
    <row r="1256" spans="4:6" x14ac:dyDescent="0.2">
      <c r="D1256" t="s">
        <v>34</v>
      </c>
      <c r="F1256" t="s">
        <v>39</v>
      </c>
    </row>
    <row r="1257" spans="4:6" x14ac:dyDescent="0.2">
      <c r="D1257" t="s">
        <v>27</v>
      </c>
      <c r="F1257" t="s">
        <v>26</v>
      </c>
    </row>
    <row r="1258" spans="4:6" x14ac:dyDescent="0.2">
      <c r="D1258" t="s">
        <v>38</v>
      </c>
      <c r="F1258" t="s">
        <v>13</v>
      </c>
    </row>
    <row r="1259" spans="4:6" x14ac:dyDescent="0.2">
      <c r="D1259" t="s">
        <v>37</v>
      </c>
      <c r="F1259" t="s">
        <v>18</v>
      </c>
    </row>
    <row r="1260" spans="4:6" x14ac:dyDescent="0.2">
      <c r="D1260" t="s">
        <v>14</v>
      </c>
      <c r="F1260" t="s">
        <v>24</v>
      </c>
    </row>
    <row r="1261" spans="4:6" x14ac:dyDescent="0.2">
      <c r="D1261" t="s">
        <v>19</v>
      </c>
      <c r="F1261" t="s">
        <v>30</v>
      </c>
    </row>
    <row r="1262" spans="4:6" x14ac:dyDescent="0.2">
      <c r="D1262" t="s">
        <v>11</v>
      </c>
      <c r="F1262" t="s">
        <v>36</v>
      </c>
    </row>
    <row r="1263" spans="4:6" x14ac:dyDescent="0.2">
      <c r="D1263" t="s">
        <v>20</v>
      </c>
      <c r="F1263" t="s">
        <v>32</v>
      </c>
    </row>
    <row r="1264" spans="4:6" x14ac:dyDescent="0.2">
      <c r="D1264" t="s">
        <v>40</v>
      </c>
      <c r="F1264" t="s">
        <v>35</v>
      </c>
    </row>
    <row r="1265" spans="4:6" x14ac:dyDescent="0.2">
      <c r="D1265" t="s">
        <v>29</v>
      </c>
      <c r="F1265" t="s">
        <v>55</v>
      </c>
    </row>
    <row r="1266" spans="4:6" x14ac:dyDescent="0.2">
      <c r="D1266" t="s">
        <v>37</v>
      </c>
      <c r="F1266" t="s">
        <v>21</v>
      </c>
    </row>
    <row r="1267" spans="4:6" x14ac:dyDescent="0.2">
      <c r="D1267" t="s">
        <v>35</v>
      </c>
      <c r="F1267" t="s">
        <v>10</v>
      </c>
    </row>
    <row r="1268" spans="4:6" x14ac:dyDescent="0.2">
      <c r="D1268" t="s">
        <v>20</v>
      </c>
      <c r="F1268" t="s">
        <v>12</v>
      </c>
    </row>
    <row r="1269" spans="4:6" x14ac:dyDescent="0.2">
      <c r="D1269" t="s">
        <v>15</v>
      </c>
      <c r="F1269" t="s">
        <v>39</v>
      </c>
    </row>
    <row r="1270" spans="4:6" x14ac:dyDescent="0.2">
      <c r="D1270" t="s">
        <v>24</v>
      </c>
      <c r="F1270" t="s">
        <v>26</v>
      </c>
    </row>
    <row r="1271" spans="4:6" x14ac:dyDescent="0.2">
      <c r="D1271" t="s">
        <v>17</v>
      </c>
      <c r="F1271" t="s">
        <v>13</v>
      </c>
    </row>
    <row r="1272" spans="4:6" x14ac:dyDescent="0.2">
      <c r="D1272" t="s">
        <v>28</v>
      </c>
      <c r="F1272" t="s">
        <v>18</v>
      </c>
    </row>
    <row r="1273" spans="4:6" x14ac:dyDescent="0.2">
      <c r="D1273" t="s">
        <v>34</v>
      </c>
      <c r="F1273" t="s">
        <v>29</v>
      </c>
    </row>
    <row r="1274" spans="4:6" x14ac:dyDescent="0.2">
      <c r="D1274" t="s">
        <v>36</v>
      </c>
      <c r="F1274" t="s">
        <v>30</v>
      </c>
    </row>
    <row r="1275" spans="4:6" x14ac:dyDescent="0.2">
      <c r="D1275" t="s">
        <v>22</v>
      </c>
      <c r="F1275" t="s">
        <v>14</v>
      </c>
    </row>
    <row r="1276" spans="4:6" x14ac:dyDescent="0.2">
      <c r="D1276" t="s">
        <v>16</v>
      </c>
      <c r="F1276" t="s">
        <v>32</v>
      </c>
    </row>
    <row r="1277" spans="4:6" x14ac:dyDescent="0.2">
      <c r="D1277" t="s">
        <v>38</v>
      </c>
      <c r="F1277" t="s">
        <v>33</v>
      </c>
    </row>
    <row r="1278" spans="4:6" x14ac:dyDescent="0.2">
      <c r="D1278" t="s">
        <v>11</v>
      </c>
      <c r="F1278" t="s">
        <v>19</v>
      </c>
    </row>
    <row r="1279" spans="4:6" x14ac:dyDescent="0.2">
      <c r="D1279" t="s">
        <v>25</v>
      </c>
      <c r="F1279" t="s">
        <v>55</v>
      </c>
    </row>
    <row r="1280" spans="4:6" x14ac:dyDescent="0.2">
      <c r="D1280" t="s">
        <v>27</v>
      </c>
      <c r="F1280" t="s">
        <v>40</v>
      </c>
    </row>
    <row r="1281" spans="4:6" x14ac:dyDescent="0.2">
      <c r="D1281" t="s">
        <v>38</v>
      </c>
      <c r="F1281" t="s">
        <v>31</v>
      </c>
    </row>
    <row r="1282" spans="4:6" x14ac:dyDescent="0.2">
      <c r="D1282" t="s">
        <v>21</v>
      </c>
      <c r="F1282" t="s">
        <v>28</v>
      </c>
    </row>
    <row r="1283" spans="4:6" x14ac:dyDescent="0.2">
      <c r="D1283" t="s">
        <v>55</v>
      </c>
      <c r="F1283" t="s">
        <v>16</v>
      </c>
    </row>
    <row r="1284" spans="4:6" x14ac:dyDescent="0.2">
      <c r="D1284" t="s">
        <v>36</v>
      </c>
      <c r="F1284" t="s">
        <v>24</v>
      </c>
    </row>
    <row r="1285" spans="4:6" x14ac:dyDescent="0.2">
      <c r="D1285" t="s">
        <v>18</v>
      </c>
      <c r="F1285" t="s">
        <v>30</v>
      </c>
    </row>
    <row r="1286" spans="4:6" x14ac:dyDescent="0.2">
      <c r="D1286" t="s">
        <v>14</v>
      </c>
      <c r="F1286" t="s">
        <v>22</v>
      </c>
    </row>
    <row r="1287" spans="4:6" x14ac:dyDescent="0.2">
      <c r="D1287" t="s">
        <v>23</v>
      </c>
      <c r="F1287" t="s">
        <v>10</v>
      </c>
    </row>
    <row r="1288" spans="4:6" x14ac:dyDescent="0.2">
      <c r="D1288" t="s">
        <v>12</v>
      </c>
      <c r="F1288" t="s">
        <v>17</v>
      </c>
    </row>
    <row r="1289" spans="4:6" x14ac:dyDescent="0.2">
      <c r="D1289" t="s">
        <v>15</v>
      </c>
      <c r="F1289" t="s">
        <v>11</v>
      </c>
    </row>
    <row r="1290" spans="4:6" x14ac:dyDescent="0.2">
      <c r="D1290" t="s">
        <v>33</v>
      </c>
      <c r="F1290" t="s">
        <v>29</v>
      </c>
    </row>
    <row r="1291" spans="4:6" x14ac:dyDescent="0.2">
      <c r="D1291" t="s">
        <v>25</v>
      </c>
      <c r="F1291" t="s">
        <v>27</v>
      </c>
    </row>
    <row r="1292" spans="4:6" x14ac:dyDescent="0.2">
      <c r="D1292" t="s">
        <v>13</v>
      </c>
      <c r="F1292" t="s">
        <v>32</v>
      </c>
    </row>
    <row r="1293" spans="4:6" x14ac:dyDescent="0.2">
      <c r="D1293" t="s">
        <v>34</v>
      </c>
      <c r="F1293" t="s">
        <v>35</v>
      </c>
    </row>
    <row r="1294" spans="4:6" x14ac:dyDescent="0.2">
      <c r="D1294" t="s">
        <v>26</v>
      </c>
      <c r="F1294" t="s">
        <v>37</v>
      </c>
    </row>
    <row r="1295" spans="4:6" x14ac:dyDescent="0.2">
      <c r="D1295" t="s">
        <v>39</v>
      </c>
      <c r="F1295" t="s">
        <v>19</v>
      </c>
    </row>
    <row r="1296" spans="4:6" x14ac:dyDescent="0.2">
      <c r="D1296" t="s">
        <v>40</v>
      </c>
      <c r="F1296" t="s">
        <v>20</v>
      </c>
    </row>
    <row r="1297" spans="4:6" x14ac:dyDescent="0.2">
      <c r="D1297" t="s">
        <v>24</v>
      </c>
      <c r="F1297" t="s">
        <v>21</v>
      </c>
    </row>
    <row r="1298" spans="4:6" x14ac:dyDescent="0.2">
      <c r="D1298" t="s">
        <v>22</v>
      </c>
      <c r="F1298" t="s">
        <v>28</v>
      </c>
    </row>
    <row r="1299" spans="4:6" x14ac:dyDescent="0.2">
      <c r="D1299" t="s">
        <v>12</v>
      </c>
      <c r="F1299" t="s">
        <v>16</v>
      </c>
    </row>
    <row r="1300" spans="4:6" x14ac:dyDescent="0.2">
      <c r="D1300" t="s">
        <v>31</v>
      </c>
      <c r="F1300" t="s">
        <v>34</v>
      </c>
    </row>
    <row r="1301" spans="4:6" x14ac:dyDescent="0.2">
      <c r="D1301" t="s">
        <v>25</v>
      </c>
      <c r="F1301" t="s">
        <v>30</v>
      </c>
    </row>
    <row r="1302" spans="4:6" x14ac:dyDescent="0.2">
      <c r="D1302" t="s">
        <v>18</v>
      </c>
      <c r="F1302" t="s">
        <v>27</v>
      </c>
    </row>
    <row r="1303" spans="4:6" x14ac:dyDescent="0.2">
      <c r="D1303" t="s">
        <v>14</v>
      </c>
      <c r="F1303" t="s">
        <v>35</v>
      </c>
    </row>
    <row r="1304" spans="4:6" x14ac:dyDescent="0.2">
      <c r="D1304" t="s">
        <v>40</v>
      </c>
      <c r="F1304" t="s">
        <v>55</v>
      </c>
    </row>
    <row r="1305" spans="4:6" x14ac:dyDescent="0.2">
      <c r="D1305" t="s">
        <v>13</v>
      </c>
      <c r="F1305" t="s">
        <v>38</v>
      </c>
    </row>
    <row r="1306" spans="4:6" x14ac:dyDescent="0.2">
      <c r="D1306" t="s">
        <v>39</v>
      </c>
      <c r="F1306" t="s">
        <v>23</v>
      </c>
    </row>
    <row r="1307" spans="4:6" x14ac:dyDescent="0.2">
      <c r="D1307" t="s">
        <v>33</v>
      </c>
      <c r="F1307" t="s">
        <v>10</v>
      </c>
    </row>
    <row r="1308" spans="4:6" x14ac:dyDescent="0.2">
      <c r="D1308" t="s">
        <v>26</v>
      </c>
      <c r="F1308" t="s">
        <v>11</v>
      </c>
    </row>
    <row r="1309" spans="4:6" x14ac:dyDescent="0.2">
      <c r="D1309" t="s">
        <v>19</v>
      </c>
      <c r="F1309" t="s">
        <v>36</v>
      </c>
    </row>
    <row r="1310" spans="4:6" x14ac:dyDescent="0.2">
      <c r="D1310" t="s">
        <v>15</v>
      </c>
      <c r="F1310" t="s">
        <v>37</v>
      </c>
    </row>
    <row r="1311" spans="4:6" x14ac:dyDescent="0.2">
      <c r="D1311" t="s">
        <v>32</v>
      </c>
      <c r="F1311" t="s">
        <v>20</v>
      </c>
    </row>
    <row r="1312" spans="4:6" x14ac:dyDescent="0.2">
      <c r="D1312" t="s">
        <v>13</v>
      </c>
      <c r="F1312" t="s">
        <v>16</v>
      </c>
    </row>
    <row r="1313" spans="4:6" x14ac:dyDescent="0.2">
      <c r="D1313" t="s">
        <v>32</v>
      </c>
      <c r="F1313" t="s">
        <v>12</v>
      </c>
    </row>
    <row r="1314" spans="4:6" x14ac:dyDescent="0.2">
      <c r="D1314" t="s">
        <v>38</v>
      </c>
      <c r="F1314" t="s">
        <v>17</v>
      </c>
    </row>
    <row r="1315" spans="4:6" x14ac:dyDescent="0.2">
      <c r="D1315" t="s">
        <v>31</v>
      </c>
      <c r="F1315" t="s">
        <v>29</v>
      </c>
    </row>
    <row r="1316" spans="4:6" x14ac:dyDescent="0.2">
      <c r="D1316" t="s">
        <v>35</v>
      </c>
      <c r="F1316" t="s">
        <v>55</v>
      </c>
    </row>
    <row r="1317" spans="4:6" x14ac:dyDescent="0.2">
      <c r="D1317" t="s">
        <v>33</v>
      </c>
      <c r="F1317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243A-F1F5-2D4F-AB55-6B8489BFE00D}">
  <sheetPr codeName="Sheet3"/>
  <dimension ref="A1:V1313"/>
  <sheetViews>
    <sheetView topLeftCell="C1" zoomScale="75" zoomScaleNormal="60" workbookViewId="0">
      <pane ySplit="1" topLeftCell="A892" activePane="bottomLeft" state="frozen"/>
      <selection activeCell="I1" sqref="I1"/>
      <selection pane="bottomLeft" activeCell="O918" sqref="O918:O929"/>
    </sheetView>
  </sheetViews>
  <sheetFormatPr baseColWidth="10" defaultColWidth="10.83203125" defaultRowHeight="16" x14ac:dyDescent="0.2"/>
  <cols>
    <col min="1" max="1" width="20.6640625" bestFit="1" customWidth="1"/>
    <col min="2" max="2" width="18" bestFit="1" customWidth="1"/>
    <col min="5" max="5" width="12.1640625" bestFit="1" customWidth="1"/>
    <col min="6" max="6" width="19.83203125" bestFit="1" customWidth="1"/>
    <col min="7" max="7" width="18.33203125" customWidth="1"/>
    <col min="8" max="8" width="19.83203125" bestFit="1" customWidth="1"/>
    <col min="9" max="9" width="17.6640625" customWidth="1"/>
    <col min="10" max="10" width="20.83203125" customWidth="1"/>
    <col min="11" max="11" width="19.83203125" bestFit="1" customWidth="1"/>
    <col min="12" max="12" width="19.83203125" customWidth="1"/>
    <col min="13" max="13" width="19.33203125" bestFit="1" customWidth="1"/>
    <col min="15" max="15" width="29.1640625" bestFit="1" customWidth="1"/>
    <col min="16" max="16" width="29.1640625" customWidth="1"/>
    <col min="17" max="17" width="19.83203125" bestFit="1" customWidth="1"/>
    <col min="18" max="18" width="17.33203125" bestFit="1" customWidth="1"/>
    <col min="20" max="20" width="13.6640625" bestFit="1" customWidth="1"/>
    <col min="22" max="22" width="15.33203125" bestFit="1" customWidth="1"/>
  </cols>
  <sheetData>
    <row r="1" spans="1:22" x14ac:dyDescent="0.2">
      <c r="A1" s="3" t="s">
        <v>41</v>
      </c>
      <c r="B1">
        <f>HomeEdge</f>
        <v>0.12960698581152411</v>
      </c>
      <c r="D1" s="9" t="s">
        <v>0</v>
      </c>
      <c r="E1" s="9" t="s">
        <v>1</v>
      </c>
      <c r="F1" s="9" t="s">
        <v>4</v>
      </c>
      <c r="G1" s="9" t="s">
        <v>50</v>
      </c>
      <c r="H1" s="9" t="s">
        <v>2</v>
      </c>
      <c r="I1" s="9" t="s">
        <v>51</v>
      </c>
      <c r="J1" s="9" t="s">
        <v>52</v>
      </c>
      <c r="K1" s="9" t="s">
        <v>53</v>
      </c>
      <c r="L1" s="9" t="s">
        <v>244</v>
      </c>
      <c r="M1" s="9" t="s">
        <v>251</v>
      </c>
      <c r="N1" s="9" t="s">
        <v>242</v>
      </c>
      <c r="O1" s="9" t="s">
        <v>247</v>
      </c>
      <c r="P1" s="9" t="s">
        <v>255</v>
      </c>
      <c r="Q1" s="9" t="s">
        <v>245</v>
      </c>
      <c r="R1" s="9" t="s">
        <v>246</v>
      </c>
    </row>
    <row r="2" spans="1:22" x14ac:dyDescent="0.2">
      <c r="D2" s="1">
        <v>45937</v>
      </c>
      <c r="E2" s="2">
        <v>0.70833333333333337</v>
      </c>
      <c r="F2" t="s">
        <v>11</v>
      </c>
      <c r="G2">
        <f>VLOOKUP(Table4[[#This Row],[Home]],'NHL Model'!$A$6:$B$38,2,FALSE)</f>
        <v>-0.55695213126481558</v>
      </c>
      <c r="H2" t="s">
        <v>10</v>
      </c>
      <c r="I2">
        <f>VLOOKUP(Table4[[#This Row],[Visitor]],'NHL Model'!$A$6:$B$38,2,FALSE)</f>
        <v>-0.92658078135875344</v>
      </c>
      <c r="J2">
        <f>($B$1+Table4[[#This Row],[Home Differential]])-Table4[[#This Row],[Away Differential]]</f>
        <v>0.49923563590546194</v>
      </c>
      <c r="K2" t="str">
        <f>IF(Table4[[#This Row],[HomeIce Differential]]&gt;0,Table4[[#This Row],[Home]],Table4[[#This Row],[Visitor]])</f>
        <v>Florida Panthers</v>
      </c>
      <c r="L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0.59606109969697219</v>
      </c>
      <c r="M2" t="str">
        <f>IF(OR((NHL2025_26Results[[#This Row],[Winning Team]]="")),"-",IF(Table4[[#This Row],[Predicted Winner]]=NHL2025_26Results[[#This Row],[Winning Team]],"YES","NO"))</f>
        <v>YES</v>
      </c>
      <c r="N2">
        <f>IF(Table4[[#This Row],[Adjusted Correct]]="-", "",IF(Table4[[#This Row],[Adjusted Correct]]="YES",(Table4[[#This Row],[Strength of Win]]-1)^2,(Table4[[#This Row],[Strength of Win]]-0)^2))</f>
        <v>0.16316663517801944</v>
      </c>
      <c r="O2">
        <v>2.0105266887074272E-2</v>
      </c>
      <c r="P2" s="11"/>
      <c r="Q2" t="s">
        <v>11</v>
      </c>
      <c r="R2" t="s">
        <v>248</v>
      </c>
      <c r="T2" s="3" t="s">
        <v>252</v>
      </c>
      <c r="V2" s="3" t="s">
        <v>253</v>
      </c>
    </row>
    <row r="3" spans="1:22" x14ac:dyDescent="0.2">
      <c r="A3" s="5" t="s">
        <v>44</v>
      </c>
      <c r="B3" t="s">
        <v>54</v>
      </c>
      <c r="D3" s="1">
        <v>45937</v>
      </c>
      <c r="E3" s="2">
        <v>0.9375</v>
      </c>
      <c r="F3" t="s">
        <v>13</v>
      </c>
      <c r="G3">
        <f>VLOOKUP(Table4[[#This Row],[Home]],'NHL Model'!$A$6:$B$38,2,FALSE)</f>
        <v>-0.59069689888466137</v>
      </c>
      <c r="H3" t="s">
        <v>12</v>
      </c>
      <c r="I3">
        <f>VLOOKUP(Table4[[#This Row],[Visitor]],'NHL Model'!$A$6:$B$38,2,FALSE)</f>
        <v>0.99866683349964291</v>
      </c>
      <c r="J3">
        <f>($B$1+Table4[[#This Row],[Home Differential]])-Table4[[#This Row],[Away Differential]]</f>
        <v>-1.4597567465727801</v>
      </c>
      <c r="K3" t="str">
        <f>IF(Table4[[#This Row],[HomeIce Differential]]&gt;0,Table4[[#This Row],[Home]],Table4[[#This Row],[Visitor]])</f>
        <v>Colorado Avalanche</v>
      </c>
      <c r="L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0.69318698406611912</v>
      </c>
      <c r="M3" t="str">
        <f>IF(OR((NHL2025_26Results[[#This Row],[Winning Team]]="")),"-",IF(Table4[[#This Row],[Predicted Winner]]=NHL2025_26Results[[#This Row],[Winning Team]],"YES","NO"))</f>
        <v>YES</v>
      </c>
      <c r="N3">
        <f>IF(Table4[[#This Row],[Adjusted Correct]]="-", "",IF(Table4[[#This Row],[Adjusted Correct]]="YES",(Table4[[#This Row],[Strength of Win]]-1)^2,(Table4[[#This Row],[Strength of Win]]-0)^2))</f>
        <v>9.4134226746443839E-2</v>
      </c>
      <c r="O3">
        <v>-7.4443026939693735E-2</v>
      </c>
      <c r="P3" s="11"/>
      <c r="Q3" t="s">
        <v>12</v>
      </c>
      <c r="R3" t="s">
        <v>248</v>
      </c>
      <c r="T3">
        <f>COUNTIF(Table4[Adjusted Correct],"YES")</f>
        <v>551</v>
      </c>
      <c r="V3">
        <f>COUNTIF(Table4[Locked Correct],"YES")</f>
        <v>515</v>
      </c>
    </row>
    <row r="4" spans="1:22" x14ac:dyDescent="0.2">
      <c r="A4" s="4" t="s">
        <v>31</v>
      </c>
      <c r="B4">
        <v>0.43613316262217472</v>
      </c>
      <c r="D4" s="1">
        <v>45937</v>
      </c>
      <c r="E4" s="2">
        <v>0.83333333333333337</v>
      </c>
      <c r="F4" t="s">
        <v>15</v>
      </c>
      <c r="G4">
        <f>VLOOKUP(Table4[[#This Row],[Home]],'NHL Model'!$A$6:$B$38,2,FALSE)</f>
        <v>-0.73651915476403329</v>
      </c>
      <c r="H4" t="s">
        <v>14</v>
      </c>
      <c r="I4">
        <f>VLOOKUP(Table4[[#This Row],[Visitor]],'NHL Model'!$A$6:$B$38,2,FALSE)</f>
        <v>3.6349513460996066E-5</v>
      </c>
      <c r="J4">
        <f>($B$1+Table4[[#This Row],[Home Differential]])-Table4[[#This Row],[Away Differential]]</f>
        <v>-0.6069485184659702</v>
      </c>
      <c r="K4" t="str">
        <f>IF(Table4[[#This Row],[HomeIce Differential]]&gt;0,Table4[[#This Row],[Home]],Table4[[#This Row],[Visitor]])</f>
        <v>Pittsburgh Penguins</v>
      </c>
      <c r="L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0.58229541319916656</v>
      </c>
      <c r="M4" t="str">
        <f>IF(OR((NHL2025_26Results[[#This Row],[Winning Team]]="")),"-",IF(Table4[[#This Row],[Predicted Winner]]=NHL2025_26Results[[#This Row],[Winning Team]],"YES","NO"))</f>
        <v>YES</v>
      </c>
      <c r="N4">
        <f>IF(Table4[[#This Row],[Adjusted Correct]]="-", "",IF(Table4[[#This Row],[Adjusted Correct]]="YES",(Table4[[#This Row],[Strength of Win]]-1)^2,(Table4[[#This Row],[Strength of Win]]-0)^2))</f>
        <v>0.17447712183445499</v>
      </c>
      <c r="O4">
        <v>-7.3597467237512884E-2</v>
      </c>
      <c r="P4" s="11"/>
      <c r="Q4" t="s">
        <v>14</v>
      </c>
      <c r="R4" t="s">
        <v>248</v>
      </c>
      <c r="T4">
        <f>COUNTIF(Table4[Adjusted Correct],"NO")</f>
        <v>365</v>
      </c>
      <c r="V4">
        <f>COUNTIF(Table4[Locked Correct],"NO")</f>
        <v>401</v>
      </c>
    </row>
    <row r="5" spans="1:22" x14ac:dyDescent="0.2">
      <c r="A5" s="4" t="s">
        <v>21</v>
      </c>
      <c r="B5">
        <v>0.20397886263987045</v>
      </c>
      <c r="D5" s="1">
        <v>45938</v>
      </c>
      <c r="E5" s="2">
        <v>0.91666666666666663</v>
      </c>
      <c r="F5" t="s">
        <v>17</v>
      </c>
      <c r="G5">
        <f>VLOOKUP(Table4[[#This Row],[Home]],'NHL Model'!$A$6:$B$38,2,FALSE)</f>
        <v>-0.36462594951491906</v>
      </c>
      <c r="H5" t="s">
        <v>16</v>
      </c>
      <c r="I5">
        <f>VLOOKUP(Table4[[#This Row],[Visitor]],'NHL Model'!$A$6:$B$38,2,FALSE)</f>
        <v>-0.89031221864884547</v>
      </c>
      <c r="J5">
        <f>($B$1+Table4[[#This Row],[Home Differential]])-Table4[[#This Row],[Away Differential]]</f>
        <v>0.65529325494545054</v>
      </c>
      <c r="K5" t="str">
        <f>IF(Table4[[#This Row],[HomeIce Differential]]&gt;0,Table4[[#This Row],[Home]],Table4[[#This Row],[Visitor]])</f>
        <v>Edmonton Oilers</v>
      </c>
      <c r="L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0.61358541308779269</v>
      </c>
      <c r="M5" t="str">
        <f>IF(OR((NHL2025_26Results[[#This Row],[Winning Team]]="")),"-",IF(Table4[[#This Row],[Predicted Winner]]=NHL2025_26Results[[#This Row],[Winning Team]],"YES","NO"))</f>
        <v>NO</v>
      </c>
      <c r="N5">
        <f>IF(Table4[[#This Row],[Adjusted Correct]]="-", "",IF(Table4[[#This Row],[Adjusted Correct]]="YES",(Table4[[#This Row],[Strength of Win]]-1)^2,(Table4[[#This Row],[Strength of Win]]-0)^2))</f>
        <v>0.37648705915411718</v>
      </c>
      <c r="O5">
        <v>-4.1674767740132361E-3</v>
      </c>
      <c r="P5" s="11"/>
      <c r="Q5" t="s">
        <v>16</v>
      </c>
      <c r="R5" t="s">
        <v>248</v>
      </c>
      <c r="T5">
        <f>SUM(T3:T4)</f>
        <v>916</v>
      </c>
      <c r="V5">
        <f>SUM(V3:V4)</f>
        <v>916</v>
      </c>
    </row>
    <row r="6" spans="1:22" x14ac:dyDescent="0.2">
      <c r="A6" s="4" t="s">
        <v>23</v>
      </c>
      <c r="B6">
        <v>-0.44950550993553839</v>
      </c>
      <c r="D6" s="1">
        <v>45938</v>
      </c>
      <c r="E6" s="2">
        <v>0.79166666666666663</v>
      </c>
      <c r="F6" t="s">
        <v>19</v>
      </c>
      <c r="G6">
        <f>VLOOKUP(Table4[[#This Row],[Home]],'NHL Model'!$A$6:$B$38,2,FALSE)</f>
        <v>-0.44228056828684137</v>
      </c>
      <c r="H6" t="s">
        <v>18</v>
      </c>
      <c r="I6">
        <f>VLOOKUP(Table4[[#This Row],[Visitor]],'NHL Model'!$A$6:$B$38,2,FALSE)</f>
        <v>-8.6274676766085606E-2</v>
      </c>
      <c r="J6">
        <f>($B$1+Table4[[#This Row],[Home Differential]])-Table4[[#This Row],[Away Differential]]</f>
        <v>-0.22639890570923168</v>
      </c>
      <c r="K6" t="str">
        <f>IF(Table4[[#This Row],[HomeIce Differential]]&gt;0,Table4[[#This Row],[Home]],Table4[[#This Row],[Visitor]])</f>
        <v>Montreal Canadiens</v>
      </c>
      <c r="L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0.53079275990839858</v>
      </c>
      <c r="M6" t="str">
        <f>IF(OR((NHL2025_26Results[[#This Row],[Winning Team]]="")),"-",IF(Table4[[#This Row],[Predicted Winner]]=NHL2025_26Results[[#This Row],[Winning Team]],"YES","NO"))</f>
        <v>NO</v>
      </c>
      <c r="N6">
        <f>IF(Table4[[#This Row],[Adjusted Correct]]="-", "",IF(Table4[[#This Row],[Adjusted Correct]]="YES",(Table4[[#This Row],[Strength of Win]]-1)^2,(Table4[[#This Row],[Strength of Win]]-0)^2))</f>
        <v>0.28174095397117488</v>
      </c>
      <c r="O6">
        <v>-4.4363714293103977E-3</v>
      </c>
      <c r="P6" s="11"/>
      <c r="Q6" t="s">
        <v>18</v>
      </c>
      <c r="R6" t="s">
        <v>249</v>
      </c>
      <c r="T6" s="13">
        <f>T3/T5</f>
        <v>0.60152838427947597</v>
      </c>
      <c r="V6" s="13">
        <f>V3/V5</f>
        <v>0.56222707423580787</v>
      </c>
    </row>
    <row r="7" spans="1:22" x14ac:dyDescent="0.2">
      <c r="A7" s="4" t="s">
        <v>16</v>
      </c>
      <c r="B7">
        <v>-0.57192591771422041</v>
      </c>
      <c r="D7" s="1">
        <v>45938</v>
      </c>
      <c r="E7" s="2">
        <v>0.91666666666666663</v>
      </c>
      <c r="F7" t="s">
        <v>20</v>
      </c>
      <c r="G7">
        <f>VLOOKUP(Table4[[#This Row],[Home]],'NHL Model'!$A$6:$B$38,2,FALSE)</f>
        <v>-0.16296463421387539</v>
      </c>
      <c r="H7" t="s">
        <v>13</v>
      </c>
      <c r="I7">
        <f>VLOOKUP(Table4[[#This Row],[Visitor]],'NHL Model'!$A$6:$B$38,2,FALSE)</f>
        <v>-0.59069689888466137</v>
      </c>
      <c r="J7">
        <f>($B$1+Table4[[#This Row],[Home Differential]])-Table4[[#This Row],[Away Differential]]</f>
        <v>0.55733925048231003</v>
      </c>
      <c r="K7" t="str">
        <f>IF(Table4[[#This Row],[HomeIce Differential]]&gt;0,Table4[[#This Row],[Home]],Table4[[#This Row],[Visitor]])</f>
        <v>Vegas Golden Knights</v>
      </c>
      <c r="L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0.58181654844834352</v>
      </c>
      <c r="M7" t="str">
        <f>IF(OR((NHL2025_26Results[[#This Row],[Winning Team]]="")),"-",IF(Table4[[#This Row],[Predicted Winner]]=NHL2025_26Results[[#This Row],[Winning Team]],"YES","NO"))</f>
        <v>NO</v>
      </c>
      <c r="N7">
        <f>IF(Table4[[#This Row],[Adjusted Correct]]="-", "",IF(Table4[[#This Row],[Adjusted Correct]]="YES",(Table4[[#This Row],[Strength of Win]]-1)^2,(Table4[[#This Row],[Strength of Win]]-0)^2))</f>
        <v>0.33851049604834366</v>
      </c>
      <c r="O7">
        <v>3.0320065545480886E-2</v>
      </c>
      <c r="P7" s="11"/>
      <c r="Q7" t="s">
        <v>20</v>
      </c>
      <c r="R7" t="s">
        <v>249</v>
      </c>
      <c r="T7" s="3" t="s">
        <v>49</v>
      </c>
    </row>
    <row r="8" spans="1:22" x14ac:dyDescent="0.2">
      <c r="A8" s="4" t="s">
        <v>25</v>
      </c>
      <c r="B8">
        <v>0.49088808424516167</v>
      </c>
      <c r="D8" s="1">
        <v>45938</v>
      </c>
      <c r="E8" s="2">
        <v>0.8125</v>
      </c>
      <c r="F8" t="s">
        <v>22</v>
      </c>
      <c r="G8">
        <f>VLOOKUP(Table4[[#This Row],[Home]],'NHL Model'!$A$6:$B$38,2,FALSE)</f>
        <v>-0.11977593183651415</v>
      </c>
      <c r="H8" t="s">
        <v>21</v>
      </c>
      <c r="I8">
        <f>VLOOKUP(Table4[[#This Row],[Visitor]],'NHL Model'!$A$6:$B$38,2,FALSE)</f>
        <v>-0.10253061303059285</v>
      </c>
      <c r="J8">
        <f>($B$1+Table4[[#This Row],[Home Differential]])-Table4[[#This Row],[Away Differential]]</f>
        <v>0.11236166700560281</v>
      </c>
      <c r="K8" t="str">
        <f>IF(Table4[[#This Row],[HomeIce Differential]]&gt;0,Table4[[#This Row],[Home]],Table4[[#This Row],[Visitor]])</f>
        <v>Washington Capitals</v>
      </c>
      <c r="L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0.57058404800859008</v>
      </c>
      <c r="M8" t="str">
        <f>IF(OR((NHL2025_26Results[[#This Row],[Winning Team]]="")),"-",IF(Table4[[#This Row],[Predicted Winner]]=NHL2025_26Results[[#This Row],[Winning Team]],"YES","NO"))</f>
        <v>NO</v>
      </c>
      <c r="N8">
        <f>IF(Table4[[#This Row],[Adjusted Correct]]="-", "",IF(Table4[[#This Row],[Adjusted Correct]]="YES",(Table4[[#This Row],[Strength of Win]]-1)^2,(Table4[[#This Row],[Strength of Win]]-0)^2))</f>
        <v>0.32556615584186904</v>
      </c>
      <c r="O8">
        <v>-4.9858230986448791E-3</v>
      </c>
      <c r="P8" s="11"/>
      <c r="Q8" t="s">
        <v>21</v>
      </c>
      <c r="R8" t="s">
        <v>248</v>
      </c>
      <c r="T8">
        <f>SUM(Table4[Error])</f>
        <v>216.1706174523855</v>
      </c>
      <c r="V8">
        <f>COUNTIF(Table4[Locked Correct],"")</f>
        <v>396</v>
      </c>
    </row>
    <row r="9" spans="1:22" x14ac:dyDescent="0.2">
      <c r="A9" s="4" t="s">
        <v>10</v>
      </c>
      <c r="B9">
        <v>-0.26132137825065499</v>
      </c>
      <c r="D9" s="1">
        <v>45939</v>
      </c>
      <c r="E9" s="2">
        <v>0.79166666666666663</v>
      </c>
      <c r="F9" t="s">
        <v>21</v>
      </c>
      <c r="G9">
        <f>VLOOKUP(Table4[[#This Row],[Home]],'NHL Model'!$A$6:$B$38,2,FALSE)</f>
        <v>-0.10253061303059285</v>
      </c>
      <c r="H9" t="s">
        <v>10</v>
      </c>
      <c r="I9">
        <f>VLOOKUP(Table4[[#This Row],[Visitor]],'NHL Model'!$A$6:$B$38,2,FALSE)</f>
        <v>-0.92658078135875344</v>
      </c>
      <c r="J9">
        <f>($B$1+Table4[[#This Row],[Home Differential]])-Table4[[#This Row],[Away Differential]]</f>
        <v>0.95365715413968466</v>
      </c>
      <c r="K9" t="str">
        <f>IF(Table4[[#This Row],[HomeIce Differential]]&gt;0,Table4[[#This Row],[Home]],Table4[[#This Row],[Visitor]])</f>
        <v>Boston Bruins</v>
      </c>
      <c r="L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0.69880582519198919</v>
      </c>
      <c r="M9" t="str">
        <f>IF(OR((NHL2025_26Results[[#This Row],[Winning Team]]="")),"-",IF(Table4[[#This Row],[Predicted Winner]]=NHL2025_26Results[[#This Row],[Winning Team]],"YES","NO"))</f>
        <v>YES</v>
      </c>
      <c r="N9">
        <f>IF(Table4[[#This Row],[Adjusted Correct]]="-", "",IF(Table4[[#This Row],[Adjusted Correct]]="YES",(Table4[[#This Row],[Strength of Win]]-1)^2,(Table4[[#This Row],[Strength of Win]]-0)^2))</f>
        <v>9.0717930938278568E-2</v>
      </c>
      <c r="O9">
        <v>6.0525584604573038E-3</v>
      </c>
      <c r="P9" s="11"/>
      <c r="Q9" t="s">
        <v>21</v>
      </c>
      <c r="R9" t="s">
        <v>248</v>
      </c>
      <c r="T9" s="3" t="s">
        <v>243</v>
      </c>
    </row>
    <row r="10" spans="1:22" x14ac:dyDescent="0.2">
      <c r="A10" s="4" t="s">
        <v>12</v>
      </c>
      <c r="B10">
        <v>1.6856886576857246</v>
      </c>
      <c r="D10" s="1">
        <v>45939</v>
      </c>
      <c r="E10" s="2">
        <v>0.79166666666666663</v>
      </c>
      <c r="F10" t="s">
        <v>23</v>
      </c>
      <c r="G10">
        <f>VLOOKUP(Table4[[#This Row],[Home]],'NHL Model'!$A$6:$B$38,2,FALSE)</f>
        <v>8.1543966060426461E-3</v>
      </c>
      <c r="H10" t="s">
        <v>15</v>
      </c>
      <c r="I10">
        <f>VLOOKUP(Table4[[#This Row],[Visitor]],'NHL Model'!$A$6:$B$38,2,FALSE)</f>
        <v>-0.73651915476403329</v>
      </c>
      <c r="J10">
        <f>($B$1+Table4[[#This Row],[Home Differential]])-Table4[[#This Row],[Away Differential]]</f>
        <v>0.87428053718160004</v>
      </c>
      <c r="K10" t="str">
        <f>IF(Table4[[#This Row],[HomeIce Differential]]&gt;0,Table4[[#This Row],[Home]],Table4[[#This Row],[Visitor]])</f>
        <v>Buffalo Sabres</v>
      </c>
      <c r="L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0.63150967499044486</v>
      </c>
      <c r="M10" t="str">
        <f>IF(OR((NHL2025_26Results[[#This Row],[Winning Team]]="")),"-",IF(Table4[[#This Row],[Predicted Winner]]=NHL2025_26Results[[#This Row],[Winning Team]],"YES","NO"))</f>
        <v>NO</v>
      </c>
      <c r="N10">
        <f>IF(Table4[[#This Row],[Adjusted Correct]]="-", "",IF(Table4[[#This Row],[Adjusted Correct]]="YES",(Table4[[#This Row],[Strength of Win]]-1)^2,(Table4[[#This Row],[Strength of Win]]-0)^2))</f>
        <v>0.39880446960653732</v>
      </c>
      <c r="O10">
        <v>2.893763878885032E-2</v>
      </c>
      <c r="P10" s="11"/>
      <c r="Q10" t="s">
        <v>23</v>
      </c>
      <c r="R10" t="s">
        <v>249</v>
      </c>
      <c r="T10">
        <v>0.11229386619265333</v>
      </c>
    </row>
    <row r="11" spans="1:22" x14ac:dyDescent="0.2">
      <c r="A11" s="4" t="s">
        <v>28</v>
      </c>
      <c r="B11">
        <v>-0.25187088001983798</v>
      </c>
      <c r="D11" s="1">
        <v>45939</v>
      </c>
      <c r="E11" s="2">
        <v>0.8125</v>
      </c>
      <c r="F11" t="s">
        <v>25</v>
      </c>
      <c r="G11">
        <f>VLOOKUP(Table4[[#This Row],[Home]],'NHL Model'!$A$6:$B$38,2,FALSE)</f>
        <v>0.2324942014830165</v>
      </c>
      <c r="H11" t="s">
        <v>24</v>
      </c>
      <c r="I11">
        <f>VLOOKUP(Table4[[#This Row],[Visitor]],'NHL Model'!$A$6:$B$38,2,FALSE)</f>
        <v>-0.74510803532792402</v>
      </c>
      <c r="J11">
        <f>($B$1+Table4[[#This Row],[Home Differential]])-Table4[[#This Row],[Away Differential]]</f>
        <v>1.1072092226224646</v>
      </c>
      <c r="K11" t="str">
        <f>IF(Table4[[#This Row],[HomeIce Differential]]&gt;0,Table4[[#This Row],[Home]],Table4[[#This Row],[Visitor]])</f>
        <v>Carolina Hurricanes</v>
      </c>
      <c r="L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0.6996752700458635</v>
      </c>
      <c r="M11" t="str">
        <f>IF(OR((NHL2025_26Results[[#This Row],[Winning Team]]="")),"-",IF(Table4[[#This Row],[Predicted Winner]]=NHL2025_26Results[[#This Row],[Winning Team]],"YES","NO"))</f>
        <v>YES</v>
      </c>
      <c r="N11">
        <f>IF(Table4[[#This Row],[Adjusted Correct]]="-", "",IF(Table4[[#This Row],[Adjusted Correct]]="YES",(Table4[[#This Row],[Strength of Win]]-1)^2,(Table4[[#This Row],[Strength of Win]]-0)^2))</f>
        <v>9.0194943422025012E-2</v>
      </c>
      <c r="O11">
        <v>-6.4941247330767612E-3</v>
      </c>
      <c r="P11" s="11"/>
      <c r="Q11" t="s">
        <v>24</v>
      </c>
      <c r="R11" t="s">
        <v>249</v>
      </c>
    </row>
    <row r="12" spans="1:22" x14ac:dyDescent="0.2">
      <c r="A12" s="4" t="s">
        <v>39</v>
      </c>
      <c r="B12">
        <v>0.85025761579570769</v>
      </c>
      <c r="D12" s="1">
        <v>45939</v>
      </c>
      <c r="E12" s="2">
        <v>0.875</v>
      </c>
      <c r="F12" t="s">
        <v>12</v>
      </c>
      <c r="G12">
        <f>VLOOKUP(Table4[[#This Row],[Home]],'NHL Model'!$A$6:$B$38,2,FALSE)</f>
        <v>0.99866683349964291</v>
      </c>
      <c r="H12" t="s">
        <v>55</v>
      </c>
      <c r="I12">
        <f>VLOOKUP(Table4[[#This Row],[Visitor]],'NHL Model'!$A$6:$B$38,2,FALSE)</f>
        <v>8.4094725828611647E-2</v>
      </c>
      <c r="J12">
        <f>($B$1+Table4[[#This Row],[Home Differential]])-Table4[[#This Row],[Away Differential]]</f>
        <v>1.0441790934825554</v>
      </c>
      <c r="K12" t="str">
        <f>IF(Table4[[#This Row],[HomeIce Differential]]&gt;0,Table4[[#This Row],[Home]],Table4[[#This Row],[Visitor]])</f>
        <v>Colorado Avalanche</v>
      </c>
      <c r="L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0.73708961814849783</v>
      </c>
      <c r="M12" t="str">
        <f>IF(OR((NHL2025_26Results[[#This Row],[Winning Team]]="")),"-",IF(Table4[[#This Row],[Predicted Winner]]=NHL2025_26Results[[#This Row],[Winning Team]],"YES","NO"))</f>
        <v>YES</v>
      </c>
      <c r="N12">
        <f>IF(Table4[[#This Row],[Adjusted Correct]]="-", "",IF(Table4[[#This Row],[Adjusted Correct]]="YES",(Table4[[#This Row],[Strength of Win]]-1)^2,(Table4[[#This Row],[Strength of Win]]-0)^2))</f>
        <v>6.9121868885302681E-2</v>
      </c>
      <c r="O12">
        <v>2.8930897748292054E-2</v>
      </c>
      <c r="P12" s="11"/>
      <c r="Q12" t="s">
        <v>12</v>
      </c>
      <c r="R12" t="s">
        <v>248</v>
      </c>
    </row>
    <row r="13" spans="1:22" x14ac:dyDescent="0.2">
      <c r="A13" s="4" t="s">
        <v>26</v>
      </c>
      <c r="B13">
        <v>-0.35553539726179545</v>
      </c>
      <c r="D13" s="1">
        <v>45939</v>
      </c>
      <c r="E13" s="2">
        <v>0.79166666666666663</v>
      </c>
      <c r="F13" t="s">
        <v>26</v>
      </c>
      <c r="G13">
        <f>VLOOKUP(Table4[[#This Row],[Home]],'NHL Model'!$A$6:$B$38,2,FALSE)</f>
        <v>-0.33113778518110382</v>
      </c>
      <c r="H13" t="s">
        <v>18</v>
      </c>
      <c r="I13">
        <f>VLOOKUP(Table4[[#This Row],[Visitor]],'NHL Model'!$A$6:$B$38,2,FALSE)</f>
        <v>-8.6274676766085606E-2</v>
      </c>
      <c r="J13">
        <f>($B$1+Table4[[#This Row],[Home Differential]])-Table4[[#This Row],[Away Differential]]</f>
        <v>-0.1152561226034941</v>
      </c>
      <c r="K13" t="str">
        <f>IF(Table4[[#This Row],[HomeIce Differential]]&gt;0,Table4[[#This Row],[Home]],Table4[[#This Row],[Visitor]])</f>
        <v>Montreal Canadiens</v>
      </c>
      <c r="L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0.49198447177718552</v>
      </c>
      <c r="M13" t="str">
        <f>IF(OR((NHL2025_26Results[[#This Row],[Winning Team]]="")),"-",IF(Table4[[#This Row],[Predicted Winner]]=NHL2025_26Results[[#This Row],[Winning Team]],"YES","NO"))</f>
        <v>YES</v>
      </c>
      <c r="N13">
        <f>IF(Table4[[#This Row],[Adjusted Correct]]="-", "",IF(Table4[[#This Row],[Adjusted Correct]]="YES",(Table4[[#This Row],[Strength of Win]]-1)^2,(Table4[[#This Row],[Strength of Win]]-0)^2))</f>
        <v>0.25807977691550521</v>
      </c>
      <c r="O13">
        <v>-5.9607629045580939E-3</v>
      </c>
      <c r="P13" s="11"/>
      <c r="Q13" t="s">
        <v>18</v>
      </c>
      <c r="R13" t="s">
        <v>248</v>
      </c>
    </row>
    <row r="14" spans="1:22" x14ac:dyDescent="0.2">
      <c r="A14" s="4" t="s">
        <v>17</v>
      </c>
      <c r="B14">
        <v>-0.21956253576397294</v>
      </c>
      <c r="D14" s="1">
        <v>45939</v>
      </c>
      <c r="E14" s="2">
        <v>0.79166666666666663</v>
      </c>
      <c r="F14" t="s">
        <v>11</v>
      </c>
      <c r="G14">
        <f>VLOOKUP(Table4[[#This Row],[Home]],'NHL Model'!$A$6:$B$38,2,FALSE)</f>
        <v>-0.55695213126481558</v>
      </c>
      <c r="H14" t="s">
        <v>27</v>
      </c>
      <c r="I14">
        <f>VLOOKUP(Table4[[#This Row],[Visitor]],'NHL Model'!$A$6:$B$38,2,FALSE)</f>
        <v>-0.55097933929175691</v>
      </c>
      <c r="J14">
        <f>($B$1+Table4[[#This Row],[Home Differential]])-Table4[[#This Row],[Away Differential]]</f>
        <v>0.12363419383846541</v>
      </c>
      <c r="K14" t="str">
        <f>IF(Table4[[#This Row],[HomeIce Differential]]&gt;0,Table4[[#This Row],[Home]],Table4[[#This Row],[Visitor]])</f>
        <v>Florida Panthers</v>
      </c>
      <c r="L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0.55388336161973328</v>
      </c>
      <c r="M14" t="str">
        <f>IF(OR((NHL2025_26Results[[#This Row],[Winning Team]]="")),"-",IF(Table4[[#This Row],[Predicted Winner]]=NHL2025_26Results[[#This Row],[Winning Team]],"YES","NO"))</f>
        <v>YES</v>
      </c>
      <c r="N14">
        <f>IF(Table4[[#This Row],[Adjusted Correct]]="-", "",IF(Table4[[#This Row],[Adjusted Correct]]="YES",(Table4[[#This Row],[Strength of Win]]-1)^2,(Table4[[#This Row],[Strength of Win]]-0)^2))</f>
        <v>0.19902005503970965</v>
      </c>
      <c r="O14">
        <v>5.6848248641608633E-3</v>
      </c>
      <c r="P14" s="11"/>
      <c r="Q14" t="s">
        <v>11</v>
      </c>
      <c r="R14" t="s">
        <v>248</v>
      </c>
    </row>
    <row r="15" spans="1:22" x14ac:dyDescent="0.2">
      <c r="A15" s="4" t="s">
        <v>11</v>
      </c>
      <c r="B15">
        <v>-0.10058357576172909</v>
      </c>
      <c r="D15" s="1">
        <v>45939</v>
      </c>
      <c r="E15" s="2">
        <v>0.83333333333333337</v>
      </c>
      <c r="F15" t="s">
        <v>29</v>
      </c>
      <c r="G15">
        <f>VLOOKUP(Table4[[#This Row],[Home]],'NHL Model'!$A$6:$B$38,2,FALSE)</f>
        <v>-0.82056481120798741</v>
      </c>
      <c r="H15" t="s">
        <v>28</v>
      </c>
      <c r="I15">
        <f>VLOOKUP(Table4[[#This Row],[Visitor]],'NHL Model'!$A$6:$B$38,2,FALSE)</f>
        <v>-0.28156479873410767</v>
      </c>
      <c r="J15">
        <f>($B$1+Table4[[#This Row],[Home Differential]])-Table4[[#This Row],[Away Differential]]</f>
        <v>-0.40939302666235566</v>
      </c>
      <c r="K15" t="str">
        <f>IF(Table4[[#This Row],[HomeIce Differential]]&gt;0,Table4[[#This Row],[Home]],Table4[[#This Row],[Visitor]])</f>
        <v>Columbus Blue Jackets</v>
      </c>
      <c r="L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0.51798850916823058</v>
      </c>
      <c r="M15" t="str">
        <f>IF(OR((NHL2025_26Results[[#This Row],[Winning Team]]="")),"-",IF(Table4[[#This Row],[Predicted Winner]]=NHL2025_26Results[[#This Row],[Winning Team]],"YES","NO"))</f>
        <v>NO</v>
      </c>
      <c r="N15">
        <f>IF(Table4[[#This Row],[Adjusted Correct]]="-", "",IF(Table4[[#This Row],[Adjusted Correct]]="YES",(Table4[[#This Row],[Strength of Win]]-1)^2,(Table4[[#This Row],[Strength of Win]]-0)^2))</f>
        <v>0.2683120956303261</v>
      </c>
      <c r="O15">
        <v>-6.6115255590244596E-3</v>
      </c>
      <c r="P15" s="11"/>
      <c r="Q15" t="s">
        <v>28</v>
      </c>
      <c r="R15" t="s">
        <v>249</v>
      </c>
    </row>
    <row r="16" spans="1:22" x14ac:dyDescent="0.2">
      <c r="A16" s="4" t="s">
        <v>13</v>
      </c>
      <c r="B16">
        <v>0.15754466068345471</v>
      </c>
      <c r="D16" s="1">
        <v>45939</v>
      </c>
      <c r="E16" s="2">
        <v>0.79166666666666663</v>
      </c>
      <c r="F16" t="s">
        <v>14</v>
      </c>
      <c r="G16">
        <f>VLOOKUP(Table4[[#This Row],[Home]],'NHL Model'!$A$6:$B$38,2,FALSE)</f>
        <v>3.6349513460996066E-5</v>
      </c>
      <c r="H16" t="s">
        <v>30</v>
      </c>
      <c r="I16">
        <f>VLOOKUP(Table4[[#This Row],[Visitor]],'NHL Model'!$A$6:$B$38,2,FALSE)</f>
        <v>-0.18630462558229716</v>
      </c>
      <c r="J16">
        <f>($B$1+Table4[[#This Row],[Home Differential]])-Table4[[#This Row],[Away Differential]]</f>
        <v>0.31594796090728228</v>
      </c>
      <c r="K16" t="str">
        <f>IF(Table4[[#This Row],[HomeIce Differential]]&gt;0,Table4[[#This Row],[Home]],Table4[[#This Row],[Visitor]])</f>
        <v>Pittsburgh Penguins</v>
      </c>
      <c r="L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0.53858460810807585</v>
      </c>
      <c r="M16" t="str">
        <f>IF(OR((NHL2025_26Results[[#This Row],[Winning Team]]="")),"-",IF(Table4[[#This Row],[Predicted Winner]]=NHL2025_26Results[[#This Row],[Winning Team]],"YES","NO"))</f>
        <v>YES</v>
      </c>
      <c r="N16">
        <f>IF(Table4[[#This Row],[Adjusted Correct]]="-", "",IF(Table4[[#This Row],[Adjusted Correct]]="YES",(Table4[[#This Row],[Strength of Win]]-1)^2,(Table4[[#This Row],[Strength of Win]]-0)^2))</f>
        <v>0.21290416387477795</v>
      </c>
      <c r="O16">
        <v>2.9201411927810918E-2</v>
      </c>
      <c r="P16" s="11"/>
      <c r="Q16" t="s">
        <v>14</v>
      </c>
      <c r="R16" t="s">
        <v>248</v>
      </c>
    </row>
    <row r="17" spans="1:18" x14ac:dyDescent="0.2">
      <c r="A17" s="4" t="s">
        <v>34</v>
      </c>
      <c r="B17">
        <v>0.11674567966052608</v>
      </c>
      <c r="D17" s="1">
        <v>45939</v>
      </c>
      <c r="E17" s="2">
        <v>0.91666666666666663</v>
      </c>
      <c r="F17" t="s">
        <v>32</v>
      </c>
      <c r="G17">
        <f>VLOOKUP(Table4[[#This Row],[Home]],'NHL Model'!$A$6:$B$38,2,FALSE)</f>
        <v>-0.48236715437805205</v>
      </c>
      <c r="H17" t="s">
        <v>31</v>
      </c>
      <c r="I17">
        <f>VLOOKUP(Table4[[#This Row],[Visitor]],'NHL Model'!$A$6:$B$38,2,FALSE)</f>
        <v>-0.46360583111358089</v>
      </c>
      <c r="J17">
        <f>($B$1+Table4[[#This Row],[Home Differential]])-Table4[[#This Row],[Away Differential]]</f>
        <v>0.11084566254705297</v>
      </c>
      <c r="K17" t="str">
        <f>IF(Table4[[#This Row],[HomeIce Differential]]&gt;0,Table4[[#This Row],[Home]],Table4[[#This Row],[Visitor]])</f>
        <v>Seattle Kraken</v>
      </c>
      <c r="L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0.55244728799809484</v>
      </c>
      <c r="M17" t="str">
        <f>IF(OR((NHL2025_26Results[[#This Row],[Winning Team]]="")),"-",IF(Table4[[#This Row],[Predicted Winner]]=NHL2025_26Results[[#This Row],[Winning Team]],"YES","NO"))</f>
        <v>YES</v>
      </c>
      <c r="N17">
        <f>IF(Table4[[#This Row],[Adjusted Correct]]="-", "",IF(Table4[[#This Row],[Adjusted Correct]]="YES",(Table4[[#This Row],[Strength of Win]]-1)^2,(Table4[[#This Row],[Strength of Win]]-0)^2))</f>
        <v>0.20030343002026027</v>
      </c>
      <c r="O17">
        <v>-6.0975676813695015E-3</v>
      </c>
      <c r="P17" s="11"/>
      <c r="Q17" t="s">
        <v>31</v>
      </c>
      <c r="R17" t="s">
        <v>249</v>
      </c>
    </row>
    <row r="18" spans="1:18" x14ac:dyDescent="0.2">
      <c r="A18" s="4" t="s">
        <v>18</v>
      </c>
      <c r="B18">
        <v>-0.31957554563279467</v>
      </c>
      <c r="D18" s="1">
        <v>45939</v>
      </c>
      <c r="E18" s="2">
        <v>0.91666666666666663</v>
      </c>
      <c r="F18" t="s">
        <v>33</v>
      </c>
      <c r="G18">
        <f>VLOOKUP(Table4[[#This Row],[Home]],'NHL Model'!$A$6:$B$38,2,FALSE)</f>
        <v>-0.65236582493376272</v>
      </c>
      <c r="H18" t="s">
        <v>20</v>
      </c>
      <c r="I18">
        <f>VLOOKUP(Table4[[#This Row],[Visitor]],'NHL Model'!$A$6:$B$38,2,FALSE)</f>
        <v>-0.16296463421387539</v>
      </c>
      <c r="J18">
        <f>($B$1+Table4[[#This Row],[Home Differential]])-Table4[[#This Row],[Away Differential]]</f>
        <v>-0.35979420490836322</v>
      </c>
      <c r="K18" t="str">
        <f>IF(Table4[[#This Row],[HomeIce Differential]]&gt;0,Table4[[#This Row],[Home]],Table4[[#This Row],[Visitor]])</f>
        <v>Vegas Golden Knights</v>
      </c>
      <c r="L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0.51241886571487449</v>
      </c>
      <c r="M18" t="str">
        <f>IF(OR((NHL2025_26Results[[#This Row],[Winning Team]]="")),"-",IF(Table4[[#This Row],[Predicted Winner]]=NHL2025_26Results[[#This Row],[Winning Team]],"YES","NO"))</f>
        <v>YES</v>
      </c>
      <c r="N18">
        <f>IF(Table4[[#This Row],[Adjusted Correct]]="-", "",IF(Table4[[#This Row],[Adjusted Correct]]="YES",(Table4[[#This Row],[Strength of Win]]-1)^2,(Table4[[#This Row],[Strength of Win]]-0)^2))</f>
        <v>0.2377353625107696</v>
      </c>
      <c r="O18">
        <v>-5.6918684069913695E-3</v>
      </c>
      <c r="P18" s="11"/>
      <c r="Q18" t="s">
        <v>20</v>
      </c>
      <c r="R18" t="s">
        <v>248</v>
      </c>
    </row>
    <row r="19" spans="1:18" x14ac:dyDescent="0.2">
      <c r="A19" s="4" t="s">
        <v>29</v>
      </c>
      <c r="B19">
        <v>-0.87778808109133233</v>
      </c>
      <c r="D19" s="1">
        <v>45939</v>
      </c>
      <c r="E19" s="2">
        <v>0.83333333333333337</v>
      </c>
      <c r="F19" t="s">
        <v>35</v>
      </c>
      <c r="G19">
        <f>VLOOKUP(Table4[[#This Row],[Home]],'NHL Model'!$A$6:$B$38,2,FALSE)</f>
        <v>-1.3128572733047907</v>
      </c>
      <c r="H19" t="s">
        <v>34</v>
      </c>
      <c r="I19">
        <f>VLOOKUP(Table4[[#This Row],[Visitor]],'NHL Model'!$A$6:$B$38,2,FALSE)</f>
        <v>6.0485283743665949E-2</v>
      </c>
      <c r="J19">
        <f>($B$1+Table4[[#This Row],[Home Differential]])-Table4[[#This Row],[Away Differential]]</f>
        <v>-1.2437355712369327</v>
      </c>
      <c r="K19" t="str">
        <f>IF(Table4[[#This Row],[HomeIce Differential]]&gt;0,Table4[[#This Row],[Home]],Table4[[#This Row],[Visitor]])</f>
        <v>Minnesota Wild</v>
      </c>
      <c r="L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0.66892913110817576</v>
      </c>
      <c r="M19" t="str">
        <f>IF(OR((NHL2025_26Results[[#This Row],[Winning Team]]="")),"-",IF(Table4[[#This Row],[Predicted Winner]]=NHL2025_26Results[[#This Row],[Winning Team]],"YES","NO"))</f>
        <v>YES</v>
      </c>
      <c r="N19">
        <f>IF(Table4[[#This Row],[Adjusted Correct]]="-", "",IF(Table4[[#This Row],[Adjusted Correct]]="YES",(Table4[[#This Row],[Strength of Win]]-1)^2,(Table4[[#This Row],[Strength of Win]]-0)^2))</f>
        <v>0.10960792022878747</v>
      </c>
      <c r="O19">
        <v>-6.50955344648943E-3</v>
      </c>
      <c r="P19" s="11"/>
      <c r="Q19" t="s">
        <v>34</v>
      </c>
      <c r="R19" t="s">
        <v>248</v>
      </c>
    </row>
    <row r="20" spans="1:18" x14ac:dyDescent="0.2">
      <c r="A20" s="4" t="s">
        <v>24</v>
      </c>
      <c r="B20">
        <v>-3.0328717719063224E-4</v>
      </c>
      <c r="D20" s="1">
        <v>45939</v>
      </c>
      <c r="E20" s="2">
        <v>0.79166666666666663</v>
      </c>
      <c r="F20" t="s">
        <v>37</v>
      </c>
      <c r="G20">
        <f>VLOOKUP(Table4[[#This Row],[Home]],'NHL Model'!$A$6:$B$38,2,FALSE)</f>
        <v>0.72108184732572844</v>
      </c>
      <c r="H20" t="s">
        <v>36</v>
      </c>
      <c r="I20">
        <f>VLOOKUP(Table4[[#This Row],[Visitor]],'NHL Model'!$A$6:$B$38,2,FALSE)</f>
        <v>-0.19010748264223354</v>
      </c>
      <c r="J20">
        <f>($B$1+Table4[[#This Row],[Home Differential]])-Table4[[#This Row],[Away Differential]]</f>
        <v>1.0407963157794859</v>
      </c>
      <c r="K20" t="str">
        <f>IF(Table4[[#This Row],[HomeIce Differential]]&gt;0,Table4[[#This Row],[Home]],Table4[[#This Row],[Visitor]])</f>
        <v>Tampa Bay Lightning</v>
      </c>
      <c r="L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0.70118045048942224</v>
      </c>
      <c r="M20" t="str">
        <f>IF(OR((NHL2025_26Results[[#This Row],[Winning Team]]="")),"-",IF(Table4[[#This Row],[Predicted Winner]]=NHL2025_26Results[[#This Row],[Winning Team]],"YES","NO"))</f>
        <v>NO</v>
      </c>
      <c r="N20">
        <f>IF(Table4[[#This Row],[Adjusted Correct]]="-", "",IF(Table4[[#This Row],[Adjusted Correct]]="YES",(Table4[[#This Row],[Strength of Win]]-1)^2,(Table4[[#This Row],[Strength of Win]]-0)^2))</f>
        <v>0.49165402414854908</v>
      </c>
      <c r="O20">
        <v>-6.0975919278263326E-3</v>
      </c>
      <c r="P20" s="11"/>
      <c r="Q20" t="s">
        <v>36</v>
      </c>
      <c r="R20" t="s">
        <v>248</v>
      </c>
    </row>
    <row r="21" spans="1:18" x14ac:dyDescent="0.2">
      <c r="A21" s="4" t="s">
        <v>30</v>
      </c>
      <c r="B21">
        <v>0.29798772063901746</v>
      </c>
      <c r="D21" s="1">
        <v>45939</v>
      </c>
      <c r="E21" s="2">
        <v>0.91666666666666663</v>
      </c>
      <c r="F21" t="s">
        <v>38</v>
      </c>
      <c r="G21">
        <f>VLOOKUP(Table4[[#This Row],[Home]],'NHL Model'!$A$6:$B$38,2,FALSE)</f>
        <v>-1.3920033028857945</v>
      </c>
      <c r="H21" t="s">
        <v>16</v>
      </c>
      <c r="I21">
        <f>VLOOKUP(Table4[[#This Row],[Visitor]],'NHL Model'!$A$6:$B$38,2,FALSE)</f>
        <v>-0.89031221864884547</v>
      </c>
      <c r="J21">
        <f>($B$1+Table4[[#This Row],[Home Differential]])-Table4[[#This Row],[Away Differential]]</f>
        <v>-0.372084098425425</v>
      </c>
      <c r="K21" t="str">
        <f>IF(Table4[[#This Row],[HomeIce Differential]]&gt;0,Table4[[#This Row],[Home]],Table4[[#This Row],[Visitor]])</f>
        <v>Calgary Flames</v>
      </c>
      <c r="L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0.50178276196099869</v>
      </c>
      <c r="M21" t="str">
        <f>IF(OR((NHL2025_26Results[[#This Row],[Winning Team]]="")),"-",IF(Table4[[#This Row],[Predicted Winner]]=NHL2025_26Results[[#This Row],[Winning Team]],"YES","NO"))</f>
        <v>NO</v>
      </c>
      <c r="N21">
        <f>IF(Table4[[#This Row],[Adjusted Correct]]="-", "",IF(Table4[[#This Row],[Adjusted Correct]]="YES",(Table4[[#This Row],[Strength of Win]]-1)^2,(Table4[[#This Row],[Strength of Win]]-0)^2))</f>
        <v>0.25178594020120826</v>
      </c>
      <c r="O21">
        <v>-6.0976402465102745E-3</v>
      </c>
      <c r="P21" s="11"/>
      <c r="Q21" t="s">
        <v>16</v>
      </c>
      <c r="R21" t="s">
        <v>249</v>
      </c>
    </row>
    <row r="22" spans="1:18" x14ac:dyDescent="0.2">
      <c r="A22" s="4" t="s">
        <v>15</v>
      </c>
      <c r="B22">
        <v>0.15808020053782848</v>
      </c>
      <c r="D22" s="1">
        <v>45939</v>
      </c>
      <c r="E22" s="2">
        <v>0.83333333333333337</v>
      </c>
      <c r="F22" t="s">
        <v>40</v>
      </c>
      <c r="G22">
        <f>VLOOKUP(Table4[[#This Row],[Home]],'NHL Model'!$A$6:$B$38,2,FALSE)</f>
        <v>-0.58845147248022256</v>
      </c>
      <c r="H22" t="s">
        <v>39</v>
      </c>
      <c r="I22">
        <f>VLOOKUP(Table4[[#This Row],[Visitor]],'NHL Model'!$A$6:$B$38,2,FALSE)</f>
        <v>0.21708030788125537</v>
      </c>
      <c r="J22">
        <f>($B$1+Table4[[#This Row],[Home Differential]])-Table4[[#This Row],[Away Differential]]</f>
        <v>-0.6759247945499538</v>
      </c>
      <c r="K22" t="str">
        <f>IF(Table4[[#This Row],[HomeIce Differential]]&gt;0,Table4[[#This Row],[Home]],Table4[[#This Row],[Visitor]])</f>
        <v>Dallas Stars</v>
      </c>
      <c r="L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0.59403692346139603</v>
      </c>
      <c r="M22" t="str">
        <f>IF(OR((NHL2025_26Results[[#This Row],[Winning Team]]="")),"-",IF(Table4[[#This Row],[Predicted Winner]]=NHL2025_26Results[[#This Row],[Winning Team]],"YES","NO"))</f>
        <v>YES</v>
      </c>
      <c r="N22">
        <f>IF(Table4[[#This Row],[Adjusted Correct]]="-", "",IF(Table4[[#This Row],[Adjusted Correct]]="YES",(Table4[[#This Row],[Strength of Win]]-1)^2,(Table4[[#This Row],[Strength of Win]]-0)^2))</f>
        <v>0.16480601951268842</v>
      </c>
      <c r="O22">
        <v>-6.2374432430158909E-3</v>
      </c>
      <c r="P22" s="11"/>
      <c r="Q22" t="s">
        <v>39</v>
      </c>
      <c r="R22" t="s">
        <v>248</v>
      </c>
    </row>
    <row r="23" spans="1:18" x14ac:dyDescent="0.2">
      <c r="A23" s="4" t="s">
        <v>36</v>
      </c>
      <c r="B23">
        <v>-0.18714922943714346</v>
      </c>
      <c r="D23" s="1">
        <v>45941</v>
      </c>
      <c r="E23" s="2">
        <v>0.79166666666666663</v>
      </c>
      <c r="F23" t="s">
        <v>21</v>
      </c>
      <c r="G23">
        <f>VLOOKUP(Table4[[#This Row],[Home]],'NHL Model'!$A$6:$B$38,2,FALSE)</f>
        <v>-0.10253061303059285</v>
      </c>
      <c r="H23" t="s">
        <v>23</v>
      </c>
      <c r="I23">
        <f>VLOOKUP(Table4[[#This Row],[Visitor]],'NHL Model'!$A$6:$B$38,2,FALSE)</f>
        <v>8.1543966060426461E-3</v>
      </c>
      <c r="J23">
        <f>($B$1+Table4[[#This Row],[Home Differential]])-Table4[[#This Row],[Away Differential]]</f>
        <v>1.8921976174888604E-2</v>
      </c>
      <c r="K23" t="str">
        <f>IF(Table4[[#This Row],[HomeIce Differential]]&gt;0,Table4[[#This Row],[Home]],Table4[[#This Row],[Visitor]])</f>
        <v>Boston Bruins</v>
      </c>
      <c r="L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0.5576803774162391</v>
      </c>
      <c r="M23" t="str">
        <f>IF(OR((NHL2025_26Results[[#This Row],[Winning Team]]="")),"-",IF(Table4[[#This Row],[Predicted Winner]]=NHL2025_26Results[[#This Row],[Winning Team]],"YES","NO"))</f>
        <v>YES</v>
      </c>
      <c r="N23">
        <f>IF(Table4[[#This Row],[Adjusted Correct]]="-", "",IF(Table4[[#This Row],[Adjusted Correct]]="YES",(Table4[[#This Row],[Strength of Win]]-1)^2,(Table4[[#This Row],[Strength of Win]]-0)^2))</f>
        <v>0.19564664852264069</v>
      </c>
      <c r="O23">
        <v>-9.3426966771708291E-3</v>
      </c>
      <c r="P23" s="11"/>
      <c r="Q23" t="s">
        <v>23</v>
      </c>
      <c r="R23" t="s">
        <v>249</v>
      </c>
    </row>
    <row r="24" spans="1:18" x14ac:dyDescent="0.2">
      <c r="A24" s="4" t="s">
        <v>27</v>
      </c>
      <c r="B24">
        <v>6.8528022263450963E-2</v>
      </c>
      <c r="D24" s="1">
        <v>45941</v>
      </c>
      <c r="E24" s="2">
        <v>0.79166666666666663</v>
      </c>
      <c r="F24" t="s">
        <v>25</v>
      </c>
      <c r="G24">
        <f>VLOOKUP(Table4[[#This Row],[Home]],'NHL Model'!$A$6:$B$38,2,FALSE)</f>
        <v>0.2324942014830165</v>
      </c>
      <c r="H24" t="s">
        <v>27</v>
      </c>
      <c r="I24">
        <f>VLOOKUP(Table4[[#This Row],[Visitor]],'NHL Model'!$A$6:$B$38,2,FALSE)</f>
        <v>-0.55097933929175691</v>
      </c>
      <c r="J24">
        <f>($B$1+Table4[[#This Row],[Home Differential]])-Table4[[#This Row],[Away Differential]]</f>
        <v>0.91308052658629757</v>
      </c>
      <c r="K24" t="str">
        <f>IF(Table4[[#This Row],[HomeIce Differential]]&gt;0,Table4[[#This Row],[Home]],Table4[[#This Row],[Visitor]])</f>
        <v>Carolina Hurricanes</v>
      </c>
      <c r="L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0.69810906567469155</v>
      </c>
      <c r="M24" t="str">
        <f>IF(OR((NHL2025_26Results[[#This Row],[Winning Team]]="")),"-",IF(Table4[[#This Row],[Predicted Winner]]=NHL2025_26Results[[#This Row],[Winning Team]],"YES","NO"))</f>
        <v>YES</v>
      </c>
      <c r="N24">
        <f>IF(Table4[[#This Row],[Adjusted Correct]]="-", "",IF(Table4[[#This Row],[Adjusted Correct]]="YES",(Table4[[#This Row],[Strength of Win]]-1)^2,(Table4[[#This Row],[Strength of Win]]-0)^2))</f>
        <v>9.1138136227807698E-2</v>
      </c>
      <c r="O24">
        <v>-9.1888913892817486E-3</v>
      </c>
      <c r="P24" s="11"/>
      <c r="Q24" t="s">
        <v>27</v>
      </c>
      <c r="R24" t="s">
        <v>249</v>
      </c>
    </row>
    <row r="25" spans="1:18" x14ac:dyDescent="0.2">
      <c r="A25" s="4" t="s">
        <v>14</v>
      </c>
      <c r="B25">
        <v>0.25778583807642019</v>
      </c>
      <c r="D25" s="1">
        <v>45941</v>
      </c>
      <c r="E25" s="2">
        <v>0.66666666666666663</v>
      </c>
      <c r="F25" t="s">
        <v>16</v>
      </c>
      <c r="G25">
        <f>VLOOKUP(Table4[[#This Row],[Home]],'NHL Model'!$A$6:$B$38,2,FALSE)</f>
        <v>-0.89031221864884547</v>
      </c>
      <c r="H25" t="s">
        <v>35</v>
      </c>
      <c r="I25">
        <f>VLOOKUP(Table4[[#This Row],[Visitor]],'NHL Model'!$A$6:$B$38,2,FALSE)</f>
        <v>-1.3128572733047907</v>
      </c>
      <c r="J25">
        <f>($B$1+Table4[[#This Row],[Home Differential]])-Table4[[#This Row],[Away Differential]]</f>
        <v>0.55215204046746935</v>
      </c>
      <c r="K25" t="str">
        <f>IF(Table4[[#This Row],[HomeIce Differential]]&gt;0,Table4[[#This Row],[Home]],Table4[[#This Row],[Visitor]])</f>
        <v>Calgary Flames</v>
      </c>
      <c r="L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0.60200328735025455</v>
      </c>
      <c r="M25" t="str">
        <f>IF(OR((NHL2025_26Results[[#This Row],[Winning Team]]="")),"-",IF(Table4[[#This Row],[Predicted Winner]]=NHL2025_26Results[[#This Row],[Winning Team]],"YES","NO"))</f>
        <v>NO</v>
      </c>
      <c r="N25">
        <f>IF(Table4[[#This Row],[Adjusted Correct]]="-", "",IF(Table4[[#This Row],[Adjusted Correct]]="YES",(Table4[[#This Row],[Strength of Win]]-1)^2,(Table4[[#This Row],[Strength of Win]]-0)^2))</f>
        <v>0.36240795798051312</v>
      </c>
      <c r="O25">
        <v>-9.5103763466094973E-3</v>
      </c>
      <c r="P25" s="11"/>
      <c r="Q25" t="s">
        <v>35</v>
      </c>
      <c r="R25" t="s">
        <v>248</v>
      </c>
    </row>
    <row r="26" spans="1:18" x14ac:dyDescent="0.2">
      <c r="A26" s="4" t="s">
        <v>33</v>
      </c>
      <c r="B26">
        <v>-0.25953570246830515</v>
      </c>
      <c r="D26" s="1">
        <v>45941</v>
      </c>
      <c r="E26" s="2">
        <v>0.79166666666666663</v>
      </c>
      <c r="F26" t="s">
        <v>10</v>
      </c>
      <c r="G26">
        <f>VLOOKUP(Table4[[#This Row],[Home]],'NHL Model'!$A$6:$B$38,2,FALSE)</f>
        <v>-0.92658078135875344</v>
      </c>
      <c r="H26" t="s">
        <v>18</v>
      </c>
      <c r="I26">
        <f>VLOOKUP(Table4[[#This Row],[Visitor]],'NHL Model'!$A$6:$B$38,2,FALSE)</f>
        <v>-8.6274676766085606E-2</v>
      </c>
      <c r="J26">
        <f>($B$1+Table4[[#This Row],[Home Differential]])-Table4[[#This Row],[Away Differential]]</f>
        <v>-0.71069911878114378</v>
      </c>
      <c r="K26" t="str">
        <f>IF(Table4[[#This Row],[HomeIce Differential]]&gt;0,Table4[[#This Row],[Home]],Table4[[#This Row],[Visitor]])</f>
        <v>Montreal Canadiens</v>
      </c>
      <c r="L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0.58517670323216942</v>
      </c>
      <c r="M26" t="str">
        <f>IF(OR((NHL2025_26Results[[#This Row],[Winning Team]]="")),"-",IF(Table4[[#This Row],[Predicted Winner]]=NHL2025_26Results[[#This Row],[Winning Team]],"YES","NO"))</f>
        <v>YES</v>
      </c>
      <c r="N26">
        <f>IF(Table4[[#This Row],[Adjusted Correct]]="-", "",IF(Table4[[#This Row],[Adjusted Correct]]="YES",(Table4[[#This Row],[Strength of Win]]-1)^2,(Table4[[#This Row],[Strength of Win]]-0)^2))</f>
        <v>0.17207836754133166</v>
      </c>
      <c r="O26">
        <v>-2.1357589868893485E-2</v>
      </c>
      <c r="P26" s="11"/>
      <c r="Q26" t="s">
        <v>18</v>
      </c>
      <c r="R26" t="s">
        <v>248</v>
      </c>
    </row>
    <row r="27" spans="1:18" x14ac:dyDescent="0.2">
      <c r="A27" s="4" t="s">
        <v>32</v>
      </c>
      <c r="B27">
        <v>-0.61063250539825409</v>
      </c>
      <c r="D27" s="1">
        <v>45941</v>
      </c>
      <c r="E27" s="2">
        <v>0.875</v>
      </c>
      <c r="F27" t="s">
        <v>12</v>
      </c>
      <c r="G27">
        <f>VLOOKUP(Table4[[#This Row],[Home]],'NHL Model'!$A$6:$B$38,2,FALSE)</f>
        <v>0.99866683349964291</v>
      </c>
      <c r="H27" t="s">
        <v>39</v>
      </c>
      <c r="I27">
        <f>VLOOKUP(Table4[[#This Row],[Visitor]],'NHL Model'!$A$6:$B$38,2,FALSE)</f>
        <v>0.21708030788125537</v>
      </c>
      <c r="J27">
        <f>($B$1+Table4[[#This Row],[Home Differential]])-Table4[[#This Row],[Away Differential]]</f>
        <v>0.91119351142991167</v>
      </c>
      <c r="K27" t="str">
        <f>IF(Table4[[#This Row],[HomeIce Differential]]&gt;0,Table4[[#This Row],[Home]],Table4[[#This Row],[Visitor]])</f>
        <v>Colorado Avalanche</v>
      </c>
      <c r="L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0.66595780588448816</v>
      </c>
      <c r="M27" t="str">
        <f>IF(OR((NHL2025_26Results[[#This Row],[Winning Team]]="")),"-",IF(Table4[[#This Row],[Predicted Winner]]=NHL2025_26Results[[#This Row],[Winning Team]],"YES","NO"))</f>
        <v>NO</v>
      </c>
      <c r="N27">
        <f>IF(Table4[[#This Row],[Adjusted Correct]]="-", "",IF(Table4[[#This Row],[Adjusted Correct]]="YES",(Table4[[#This Row],[Strength of Win]]-1)^2,(Table4[[#This Row],[Strength of Win]]-0)^2))</f>
        <v>0.44349979921848159</v>
      </c>
      <c r="O27">
        <v>2.5681029019048729E-2</v>
      </c>
      <c r="P27" s="11"/>
      <c r="Q27" t="s">
        <v>12</v>
      </c>
      <c r="R27" t="s">
        <v>249</v>
      </c>
    </row>
    <row r="28" spans="1:18" x14ac:dyDescent="0.2">
      <c r="A28" s="4" t="s">
        <v>35</v>
      </c>
      <c r="B28">
        <v>-0.95902828912897697</v>
      </c>
      <c r="D28" s="1">
        <v>45941</v>
      </c>
      <c r="E28" s="2">
        <v>0.79166666666666663</v>
      </c>
      <c r="F28" t="s">
        <v>26</v>
      </c>
      <c r="G28">
        <f>VLOOKUP(Table4[[#This Row],[Home]],'NHL Model'!$A$6:$B$38,2,FALSE)</f>
        <v>-0.33113778518110382</v>
      </c>
      <c r="H28" t="s">
        <v>19</v>
      </c>
      <c r="I28">
        <f>VLOOKUP(Table4[[#This Row],[Visitor]],'NHL Model'!$A$6:$B$38,2,FALSE)</f>
        <v>-0.44228056828684137</v>
      </c>
      <c r="J28">
        <f>($B$1+Table4[[#This Row],[Home Differential]])-Table4[[#This Row],[Away Differential]]</f>
        <v>0.24074976891726166</v>
      </c>
      <c r="K28" t="str">
        <f>IF(Table4[[#This Row],[HomeIce Differential]]&gt;0,Table4[[#This Row],[Home]],Table4[[#This Row],[Visitor]])</f>
        <v>Detroit Red Wings</v>
      </c>
      <c r="L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0.59307245818576382</v>
      </c>
      <c r="M28" t="str">
        <f>IF(OR((NHL2025_26Results[[#This Row],[Winning Team]]="")),"-",IF(Table4[[#This Row],[Predicted Winner]]=NHL2025_26Results[[#This Row],[Winning Team]],"YES","NO"))</f>
        <v>YES</v>
      </c>
      <c r="N28">
        <f>IF(Table4[[#This Row],[Adjusted Correct]]="-", "",IF(Table4[[#This Row],[Adjusted Correct]]="YES",(Table4[[#This Row],[Strength of Win]]-1)^2,(Table4[[#This Row],[Strength of Win]]-0)^2))</f>
        <v>0.16559002428697694</v>
      </c>
      <c r="O28">
        <v>-9.2074635980839616E-3</v>
      </c>
      <c r="P28" s="11"/>
      <c r="Q28" t="s">
        <v>19</v>
      </c>
      <c r="R28" t="s">
        <v>249</v>
      </c>
    </row>
    <row r="29" spans="1:18" x14ac:dyDescent="0.2">
      <c r="A29" s="4" t="s">
        <v>37</v>
      </c>
      <c r="B29">
        <v>0.58165461561244369</v>
      </c>
      <c r="D29" s="1">
        <v>45941</v>
      </c>
      <c r="E29" s="2">
        <v>0.91666666666666663</v>
      </c>
      <c r="F29" t="s">
        <v>17</v>
      </c>
      <c r="G29">
        <f>VLOOKUP(Table4[[#This Row],[Home]],'NHL Model'!$A$6:$B$38,2,FALSE)</f>
        <v>-0.36462594951491906</v>
      </c>
      <c r="H29" t="s">
        <v>38</v>
      </c>
      <c r="I29">
        <f>VLOOKUP(Table4[[#This Row],[Visitor]],'NHL Model'!$A$6:$B$38,2,FALSE)</f>
        <v>-1.3920033028857945</v>
      </c>
      <c r="J29">
        <f>($B$1+Table4[[#This Row],[Home Differential]])-Table4[[#This Row],[Away Differential]]</f>
        <v>1.1569843391823995</v>
      </c>
      <c r="K29" t="str">
        <f>IF(Table4[[#This Row],[HomeIce Differential]]&gt;0,Table4[[#This Row],[Home]],Table4[[#This Row],[Visitor]])</f>
        <v>Edmonton Oilers</v>
      </c>
      <c r="L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0.66992224457114391</v>
      </c>
      <c r="M29" t="str">
        <f>IF(OR((NHL2025_26Results[[#This Row],[Winning Team]]="")),"-",IF(Table4[[#This Row],[Predicted Winner]]=NHL2025_26Results[[#This Row],[Winning Team]],"YES","NO"))</f>
        <v>YES</v>
      </c>
      <c r="N29">
        <f>IF(Table4[[#This Row],[Adjusted Correct]]="-", "",IF(Table4[[#This Row],[Adjusted Correct]]="YES",(Table4[[#This Row],[Strength of Win]]-1)^2,(Table4[[#This Row],[Strength of Win]]-0)^2))</f>
        <v>0.10895132462895174</v>
      </c>
      <c r="O29">
        <v>-8.8016920868381129E-3</v>
      </c>
      <c r="P29" s="11"/>
      <c r="Q29" t="s">
        <v>38</v>
      </c>
      <c r="R29" t="s">
        <v>249</v>
      </c>
    </row>
    <row r="30" spans="1:18" x14ac:dyDescent="0.2">
      <c r="A30" s="4" t="s">
        <v>19</v>
      </c>
      <c r="B30">
        <v>2.8027571166317201E-2</v>
      </c>
      <c r="D30" s="1">
        <v>45941</v>
      </c>
      <c r="E30" s="2">
        <v>0.79166666666666663</v>
      </c>
      <c r="F30" t="s">
        <v>11</v>
      </c>
      <c r="G30">
        <f>VLOOKUP(Table4[[#This Row],[Home]],'NHL Model'!$A$6:$B$38,2,FALSE)</f>
        <v>-0.55695213126481558</v>
      </c>
      <c r="H30" t="s">
        <v>36</v>
      </c>
      <c r="I30">
        <f>VLOOKUP(Table4[[#This Row],[Visitor]],'NHL Model'!$A$6:$B$38,2,FALSE)</f>
        <v>-0.19010748264223354</v>
      </c>
      <c r="J30">
        <f>($B$1+Table4[[#This Row],[Home Differential]])-Table4[[#This Row],[Away Differential]]</f>
        <v>-0.23723766281105796</v>
      </c>
      <c r="K30" t="str">
        <f>IF(Table4[[#This Row],[HomeIce Differential]]&gt;0,Table4[[#This Row],[Home]],Table4[[#This Row],[Visitor]])</f>
        <v>Ottawa Senators</v>
      </c>
      <c r="L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0.49865651777556541</v>
      </c>
      <c r="M30" t="str">
        <f>IF(OR((NHL2025_26Results[[#This Row],[Winning Team]]="")),"-",IF(Table4[[#This Row],[Predicted Winner]]=NHL2025_26Results[[#This Row],[Winning Team]],"YES","NO"))</f>
        <v>NO</v>
      </c>
      <c r="N30">
        <f>IF(Table4[[#This Row],[Adjusted Correct]]="-", "",IF(Table4[[#This Row],[Adjusted Correct]]="YES",(Table4[[#This Row],[Strength of Win]]-1)^2,(Table4[[#This Row],[Strength of Win]]-0)^2))</f>
        <v>0.24865832272005278</v>
      </c>
      <c r="O30">
        <v>2.423581240189359E-3</v>
      </c>
      <c r="P30" s="11"/>
      <c r="Q30" t="s">
        <v>11</v>
      </c>
      <c r="R30" t="s">
        <v>248</v>
      </c>
    </row>
    <row r="31" spans="1:18" x14ac:dyDescent="0.2">
      <c r="A31" s="4" t="s">
        <v>55</v>
      </c>
      <c r="B31">
        <v>9.3374772766298117E-2</v>
      </c>
      <c r="D31" s="1">
        <v>45941</v>
      </c>
      <c r="E31" s="2">
        <v>0.83333333333333337</v>
      </c>
      <c r="F31" t="s">
        <v>34</v>
      </c>
      <c r="G31">
        <f>VLOOKUP(Table4[[#This Row],[Home]],'NHL Model'!$A$6:$B$38,2,FALSE)</f>
        <v>6.0485283743665949E-2</v>
      </c>
      <c r="H31" t="s">
        <v>28</v>
      </c>
      <c r="I31">
        <f>VLOOKUP(Table4[[#This Row],[Visitor]],'NHL Model'!$A$6:$B$38,2,FALSE)</f>
        <v>-0.28156479873410767</v>
      </c>
      <c r="J31">
        <f>($B$1+Table4[[#This Row],[Home Differential]])-Table4[[#This Row],[Away Differential]]</f>
        <v>0.47165706828929771</v>
      </c>
      <c r="K31" t="str">
        <f>IF(Table4[[#This Row],[HomeIce Differential]]&gt;0,Table4[[#This Row],[Home]],Table4[[#This Row],[Visitor]])</f>
        <v>Minnesota Wild</v>
      </c>
      <c r="L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0.5929422899102591</v>
      </c>
      <c r="M31" t="str">
        <f>IF(OR((NHL2025_26Results[[#This Row],[Winning Team]]="")),"-",IF(Table4[[#This Row],[Predicted Winner]]=NHL2025_26Results[[#This Row],[Winning Team]],"YES","NO"))</f>
        <v>NO</v>
      </c>
      <c r="N31">
        <f>IF(Table4[[#This Row],[Adjusted Correct]]="-", "",IF(Table4[[#This Row],[Adjusted Correct]]="YES",(Table4[[#This Row],[Strength of Win]]-1)^2,(Table4[[#This Row],[Strength of Win]]-0)^2))</f>
        <v>0.35158055916402176</v>
      </c>
      <c r="O31">
        <v>-9.7151346375800168E-3</v>
      </c>
      <c r="P31" s="11"/>
      <c r="Q31" t="s">
        <v>28</v>
      </c>
      <c r="R31" t="s">
        <v>248</v>
      </c>
    </row>
    <row r="32" spans="1:18" x14ac:dyDescent="0.2">
      <c r="A32" s="4" t="s">
        <v>38</v>
      </c>
      <c r="B32">
        <v>-0.71903499591874431</v>
      </c>
      <c r="D32" s="1">
        <v>45941</v>
      </c>
      <c r="E32" s="2">
        <v>0.83333333333333337</v>
      </c>
      <c r="F32" t="s">
        <v>29</v>
      </c>
      <c r="G32">
        <f>VLOOKUP(Table4[[#This Row],[Home]],'NHL Model'!$A$6:$B$38,2,FALSE)</f>
        <v>-0.82056481120798741</v>
      </c>
      <c r="H32" t="s">
        <v>55</v>
      </c>
      <c r="I32">
        <f>VLOOKUP(Table4[[#This Row],[Visitor]],'NHL Model'!$A$6:$B$38,2,FALSE)</f>
        <v>8.4094725828611647E-2</v>
      </c>
      <c r="J32">
        <f>($B$1+Table4[[#This Row],[Home Differential]])-Table4[[#This Row],[Away Differential]]</f>
        <v>-0.77505255122507499</v>
      </c>
      <c r="K32" t="str">
        <f>IF(Table4[[#This Row],[HomeIce Differential]]&gt;0,Table4[[#This Row],[Home]],Table4[[#This Row],[Visitor]])</f>
        <v>Utah Mammoth</v>
      </c>
      <c r="L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0.54703364747954319</v>
      </c>
      <c r="M32" t="str">
        <f>IF(OR((NHL2025_26Results[[#This Row],[Winning Team]]="")),"-",IF(Table4[[#This Row],[Predicted Winner]]=NHL2025_26Results[[#This Row],[Winning Team]],"YES","NO"))</f>
        <v>YES</v>
      </c>
      <c r="N32">
        <f>IF(Table4[[#This Row],[Adjusted Correct]]="-", "",IF(Table4[[#This Row],[Adjusted Correct]]="YES",(Table4[[#This Row],[Strength of Win]]-1)^2,(Table4[[#This Row],[Strength of Win]]-0)^2))</f>
        <v>0.20517851651568675</v>
      </c>
      <c r="O32">
        <v>-9.2090114557647589E-3</v>
      </c>
      <c r="P32" s="11"/>
      <c r="Q32" t="s">
        <v>250</v>
      </c>
      <c r="R32" t="s">
        <v>249</v>
      </c>
    </row>
    <row r="33" spans="1:18" x14ac:dyDescent="0.2">
      <c r="A33" s="4" t="s">
        <v>20</v>
      </c>
      <c r="B33">
        <v>0.22370573841653135</v>
      </c>
      <c r="D33" s="1">
        <v>45941</v>
      </c>
      <c r="E33" s="2">
        <v>0.79166666666666663</v>
      </c>
      <c r="F33" t="s">
        <v>30</v>
      </c>
      <c r="G33">
        <f>VLOOKUP(Table4[[#This Row],[Home]],'NHL Model'!$A$6:$B$38,2,FALSE)</f>
        <v>-0.18630462558229716</v>
      </c>
      <c r="H33" t="s">
        <v>22</v>
      </c>
      <c r="I33">
        <f>VLOOKUP(Table4[[#This Row],[Visitor]],'NHL Model'!$A$6:$B$38,2,FALSE)</f>
        <v>-0.11977593183651415</v>
      </c>
      <c r="J33">
        <f>($B$1+Table4[[#This Row],[Home Differential]])-Table4[[#This Row],[Away Differential]]</f>
        <v>6.3078292065741101E-2</v>
      </c>
      <c r="K33" t="str">
        <f>IF(Table4[[#This Row],[HomeIce Differential]]&gt;0,Table4[[#This Row],[Home]],Table4[[#This Row],[Visitor]])</f>
        <v>New York Islanders</v>
      </c>
      <c r="L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0.56109992578750645</v>
      </c>
      <c r="M33" t="str">
        <f>IF(OR((NHL2025_26Results[[#This Row],[Winning Team]]="")),"-",IF(Table4[[#This Row],[Predicted Winner]]=NHL2025_26Results[[#This Row],[Winning Team]],"YES","NO"))</f>
        <v>NO</v>
      </c>
      <c r="N33">
        <f>IF(Table4[[#This Row],[Adjusted Correct]]="-", "",IF(Table4[[#This Row],[Adjusted Correct]]="YES",(Table4[[#This Row],[Strength of Win]]-1)^2,(Table4[[#This Row],[Strength of Win]]-0)^2))</f>
        <v>0.31483312671874525</v>
      </c>
      <c r="O33">
        <v>-9.207463858015923E-3</v>
      </c>
      <c r="P33" s="11"/>
      <c r="Q33" t="s">
        <v>22</v>
      </c>
      <c r="R33" t="s">
        <v>248</v>
      </c>
    </row>
    <row r="34" spans="1:18" x14ac:dyDescent="0.2">
      <c r="A34" s="4" t="s">
        <v>22</v>
      </c>
      <c r="B34">
        <v>0.95516228160340044</v>
      </c>
      <c r="D34" s="1">
        <v>45941</v>
      </c>
      <c r="E34" s="2">
        <v>0.79166666666666663</v>
      </c>
      <c r="F34" t="s">
        <v>14</v>
      </c>
      <c r="G34">
        <f>VLOOKUP(Table4[[#This Row],[Home]],'NHL Model'!$A$6:$B$38,2,FALSE)</f>
        <v>3.6349513460996066E-5</v>
      </c>
      <c r="H34" t="s">
        <v>15</v>
      </c>
      <c r="I34">
        <f>VLOOKUP(Table4[[#This Row],[Visitor]],'NHL Model'!$A$6:$B$38,2,FALSE)</f>
        <v>-0.73651915476403329</v>
      </c>
      <c r="J34">
        <f>($B$1+Table4[[#This Row],[Home Differential]])-Table4[[#This Row],[Away Differential]]</f>
        <v>0.86616249008901836</v>
      </c>
      <c r="K34" t="str">
        <f>IF(Table4[[#This Row],[HomeIce Differential]]&gt;0,Table4[[#This Row],[Home]],Table4[[#This Row],[Visitor]])</f>
        <v>Pittsburgh Penguins</v>
      </c>
      <c r="L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0.60134874876548539</v>
      </c>
      <c r="M34" t="str">
        <f>IF(OR((NHL2025_26Results[[#This Row],[Winning Team]]="")),"-",IF(Table4[[#This Row],[Predicted Winner]]=NHL2025_26Results[[#This Row],[Winning Team]],"YES","NO"))</f>
        <v>NO</v>
      </c>
      <c r="N34">
        <f>IF(Table4[[#This Row],[Adjusted Correct]]="-", "",IF(Table4[[#This Row],[Adjusted Correct]]="YES",(Table4[[#This Row],[Strength of Win]]-1)^2,(Table4[[#This Row],[Strength of Win]]-0)^2))</f>
        <v>0.36162031764181485</v>
      </c>
      <c r="O34">
        <v>6.057884203130582E-2</v>
      </c>
      <c r="P34" s="11"/>
      <c r="Q34" t="s">
        <v>14</v>
      </c>
      <c r="R34" t="s">
        <v>249</v>
      </c>
    </row>
    <row r="35" spans="1:18" x14ac:dyDescent="0.2">
      <c r="A35" s="4" t="s">
        <v>40</v>
      </c>
      <c r="B35">
        <v>-0.1006543016658778</v>
      </c>
      <c r="D35" s="1">
        <v>45941</v>
      </c>
      <c r="E35" s="2">
        <v>0.91666666666666663</v>
      </c>
      <c r="F35" t="s">
        <v>32</v>
      </c>
      <c r="G35">
        <f>VLOOKUP(Table4[[#This Row],[Home]],'NHL Model'!$A$6:$B$38,2,FALSE)</f>
        <v>-0.48236715437805205</v>
      </c>
      <c r="H35" t="s">
        <v>20</v>
      </c>
      <c r="I35">
        <f>VLOOKUP(Table4[[#This Row],[Visitor]],'NHL Model'!$A$6:$B$38,2,FALSE)</f>
        <v>-0.16296463421387539</v>
      </c>
      <c r="J35">
        <f>($B$1+Table4[[#This Row],[Home Differential]])-Table4[[#This Row],[Away Differential]]</f>
        <v>-0.18979553435265253</v>
      </c>
      <c r="K35" t="str">
        <f>IF(Table4[[#This Row],[HomeIce Differential]]&gt;0,Table4[[#This Row],[Home]],Table4[[#This Row],[Visitor]])</f>
        <v>Vegas Golden Knights</v>
      </c>
      <c r="L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0.49332905775056257</v>
      </c>
      <c r="M35" t="str">
        <f>IF(OR((NHL2025_26Results[[#This Row],[Winning Team]]="")),"-",IF(Table4[[#This Row],[Predicted Winner]]=NHL2025_26Results[[#This Row],[Winning Team]],"YES","NO"))</f>
        <v>NO</v>
      </c>
      <c r="N35">
        <f>IF(Table4[[#This Row],[Adjusted Correct]]="-", "",IF(Table4[[#This Row],[Adjusted Correct]]="YES",(Table4[[#This Row],[Strength of Win]]-1)^2,(Table4[[#This Row],[Strength of Win]]-0)^2))</f>
        <v>0.24337355922105791</v>
      </c>
      <c r="O35">
        <v>-9.2121793041826973E-3</v>
      </c>
      <c r="P35" s="11"/>
      <c r="Q35" t="s">
        <v>20</v>
      </c>
      <c r="R35" t="s">
        <v>249</v>
      </c>
    </row>
    <row r="36" spans="1:18" x14ac:dyDescent="0.2">
      <c r="A36" s="4" t="s">
        <v>45</v>
      </c>
      <c r="B36">
        <v>0.36153635178795918</v>
      </c>
      <c r="D36" s="1">
        <v>45941</v>
      </c>
      <c r="E36" s="2">
        <v>0.91666666666666663</v>
      </c>
      <c r="F36" t="s">
        <v>33</v>
      </c>
      <c r="G36">
        <f>VLOOKUP(Table4[[#This Row],[Home]],'NHL Model'!$A$6:$B$38,2,FALSE)</f>
        <v>-0.65236582493376272</v>
      </c>
      <c r="H36" t="s">
        <v>31</v>
      </c>
      <c r="I36">
        <f>VLOOKUP(Table4[[#This Row],[Visitor]],'NHL Model'!$A$6:$B$38,2,FALSE)</f>
        <v>-0.46360583111358089</v>
      </c>
      <c r="J36">
        <f>($B$1+Table4[[#This Row],[Home Differential]])-Table4[[#This Row],[Away Differential]]</f>
        <v>-5.9153008008657748E-2</v>
      </c>
      <c r="K36" t="str">
        <f>IF(Table4[[#This Row],[HomeIce Differential]]&gt;0,Table4[[#This Row],[Home]],Table4[[#This Row],[Visitor]])</f>
        <v>Anaheim Ducks</v>
      </c>
      <c r="L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0.4666425199662172</v>
      </c>
      <c r="M36" t="str">
        <f>IF(OR((NHL2025_26Results[[#This Row],[Winning Team]]="")),"-",IF(Table4[[#This Row],[Predicted Winner]]=NHL2025_26Results[[#This Row],[Winning Team]],"YES","NO"))</f>
        <v>YES</v>
      </c>
      <c r="N36">
        <f>IF(Table4[[#This Row],[Adjusted Correct]]="-", "",IF(Table4[[#This Row],[Adjusted Correct]]="YES",(Table4[[#This Row],[Strength of Win]]-1)^2,(Table4[[#This Row],[Strength of Win]]-0)^2))</f>
        <v>0.28447020150798702</v>
      </c>
      <c r="O36">
        <v>-8.7970492492562904E-3</v>
      </c>
      <c r="P36" s="11"/>
      <c r="Q36" t="s">
        <v>31</v>
      </c>
      <c r="R36" t="s">
        <v>248</v>
      </c>
    </row>
    <row r="37" spans="1:18" x14ac:dyDescent="0.2">
      <c r="D37" s="1">
        <v>45941</v>
      </c>
      <c r="E37" s="2">
        <v>0.79166666666666663</v>
      </c>
      <c r="F37" t="s">
        <v>37</v>
      </c>
      <c r="G37">
        <f>VLOOKUP(Table4[[#This Row],[Home]],'NHL Model'!$A$6:$B$38,2,FALSE)</f>
        <v>0.72108184732572844</v>
      </c>
      <c r="H37" t="s">
        <v>24</v>
      </c>
      <c r="I37">
        <f>VLOOKUP(Table4[[#This Row],[Visitor]],'NHL Model'!$A$6:$B$38,2,FALSE)</f>
        <v>-0.74510803532792402</v>
      </c>
      <c r="J37">
        <f>($B$1+Table4[[#This Row],[Home Differential]])-Table4[[#This Row],[Away Differential]]</f>
        <v>1.5957968684651767</v>
      </c>
      <c r="K37" t="str">
        <f>IF(Table4[[#This Row],[HomeIce Differential]]&gt;0,Table4[[#This Row],[Home]],Table4[[#This Row],[Visitor]])</f>
        <v>Tampa Bay Lightning</v>
      </c>
      <c r="L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0.75495577577565953</v>
      </c>
      <c r="M37" t="str">
        <f>IF(OR((NHL2025_26Results[[#This Row],[Winning Team]]="")),"-",IF(Table4[[#This Row],[Predicted Winner]]=NHL2025_26Results[[#This Row],[Winning Team]],"YES","NO"))</f>
        <v>NO</v>
      </c>
      <c r="N37">
        <f>IF(Table4[[#This Row],[Adjusted Correct]]="-", "",IF(Table4[[#This Row],[Adjusted Correct]]="YES",(Table4[[#This Row],[Strength of Win]]-1)^2,(Table4[[#This Row],[Strength of Win]]-0)^2))</f>
        <v>0.56995822337702795</v>
      </c>
      <c r="O37">
        <v>-9.4712703452670185E-3</v>
      </c>
      <c r="P37" s="11"/>
      <c r="Q37" t="s">
        <v>24</v>
      </c>
      <c r="R37" t="s">
        <v>248</v>
      </c>
    </row>
    <row r="38" spans="1:18" x14ac:dyDescent="0.2">
      <c r="A38" s="5" t="s">
        <v>44</v>
      </c>
      <c r="B38" t="s">
        <v>241</v>
      </c>
      <c r="D38" s="1">
        <v>45941</v>
      </c>
      <c r="E38" s="2">
        <v>0.5625</v>
      </c>
      <c r="F38" t="s">
        <v>40</v>
      </c>
      <c r="G38">
        <f>VLOOKUP(Table4[[#This Row],[Home]],'NHL Model'!$A$6:$B$38,2,FALSE)</f>
        <v>-0.58845147248022256</v>
      </c>
      <c r="H38" t="s">
        <v>13</v>
      </c>
      <c r="I38">
        <f>VLOOKUP(Table4[[#This Row],[Visitor]],'NHL Model'!$A$6:$B$38,2,FALSE)</f>
        <v>-0.59069689888466137</v>
      </c>
      <c r="J38">
        <f>($B$1+Table4[[#This Row],[Home Differential]])-Table4[[#This Row],[Away Differential]]</f>
        <v>0.13185241221596289</v>
      </c>
      <c r="K38" t="str">
        <f>IF(Table4[[#This Row],[HomeIce Differential]]&gt;0,Table4[[#This Row],[Home]],Table4[[#This Row],[Visitor]])</f>
        <v>Winnipeg Jets</v>
      </c>
      <c r="L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0.53403698636532715</v>
      </c>
      <c r="M38" t="str">
        <f>IF(OR((NHL2025_26Results[[#This Row],[Winning Team]]="")),"-",IF(Table4[[#This Row],[Predicted Winner]]=NHL2025_26Results[[#This Row],[Winning Team]],"YES","NO"))</f>
        <v>YES</v>
      </c>
      <c r="N38">
        <f>IF(Table4[[#This Row],[Adjusted Correct]]="-", "",IF(Table4[[#This Row],[Adjusted Correct]]="YES",(Table4[[#This Row],[Strength of Win]]-1)^2,(Table4[[#This Row],[Strength of Win]]-0)^2))</f>
        <v>0.21712153007550633</v>
      </c>
      <c r="O38">
        <v>2.6396033238882982E-2</v>
      </c>
      <c r="P38" s="11"/>
      <c r="Q38" t="s">
        <v>40</v>
      </c>
      <c r="R38" t="s">
        <v>248</v>
      </c>
    </row>
    <row r="39" spans="1:18" x14ac:dyDescent="0.2">
      <c r="A39" s="4" t="s">
        <v>31</v>
      </c>
      <c r="B39" s="12">
        <v>0.73333333333333328</v>
      </c>
      <c r="D39" s="1">
        <v>45942</v>
      </c>
      <c r="E39" s="2">
        <v>0.79166666666666663</v>
      </c>
      <c r="F39" t="s">
        <v>15</v>
      </c>
      <c r="G39">
        <f>VLOOKUP(Table4[[#This Row],[Home]],'NHL Model'!$A$6:$B$38,2,FALSE)</f>
        <v>-0.73651915476403329</v>
      </c>
      <c r="H39" t="s">
        <v>22</v>
      </c>
      <c r="I39">
        <f>VLOOKUP(Table4[[#This Row],[Visitor]],'NHL Model'!$A$6:$B$38,2,FALSE)</f>
        <v>-0.11977593183651415</v>
      </c>
      <c r="J39">
        <f>($B$1+Table4[[#This Row],[Home Differential]])-Table4[[#This Row],[Away Differential]]</f>
        <v>-0.48713623711599507</v>
      </c>
      <c r="K39" t="str">
        <f>IF(Table4[[#This Row],[HomeIce Differential]]&gt;0,Table4[[#This Row],[Home]],Table4[[#This Row],[Visitor]])</f>
        <v>Washington Capitals</v>
      </c>
      <c r="L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0.5147024114282962</v>
      </c>
      <c r="M39" t="str">
        <f>IF(OR((NHL2025_26Results[[#This Row],[Winning Team]]="")),"-",IF(Table4[[#This Row],[Predicted Winner]]=NHL2025_26Results[[#This Row],[Winning Team]],"YES","NO"))</f>
        <v>YES</v>
      </c>
      <c r="N39">
        <f>IF(Table4[[#This Row],[Adjusted Correct]]="-", "",IF(Table4[[#This Row],[Adjusted Correct]]="YES",(Table4[[#This Row],[Strength of Win]]-1)^2,(Table4[[#This Row],[Strength of Win]]-0)^2))</f>
        <v>0.2355137494735107</v>
      </c>
      <c r="O39">
        <v>-0.8829558401088724</v>
      </c>
      <c r="P39" s="11"/>
      <c r="Q39" t="s">
        <v>22</v>
      </c>
      <c r="R39" t="s">
        <v>248</v>
      </c>
    </row>
    <row r="40" spans="1:18" x14ac:dyDescent="0.2">
      <c r="A40" s="4" t="s">
        <v>21</v>
      </c>
      <c r="B40" s="12">
        <v>0.6875</v>
      </c>
      <c r="D40" s="1">
        <v>45943</v>
      </c>
      <c r="E40" s="2">
        <v>0.54166666666666663</v>
      </c>
      <c r="F40" t="s">
        <v>21</v>
      </c>
      <c r="G40">
        <f>VLOOKUP(Table4[[#This Row],[Home]],'NHL Model'!$A$6:$B$38,2,FALSE)</f>
        <v>-0.10253061303059285</v>
      </c>
      <c r="H40" t="s">
        <v>37</v>
      </c>
      <c r="I40">
        <f>VLOOKUP(Table4[[#This Row],[Visitor]],'NHL Model'!$A$6:$B$38,2,FALSE)</f>
        <v>0.72108184732572844</v>
      </c>
      <c r="J40">
        <f>($B$1+Table4[[#This Row],[Home Differential]])-Table4[[#This Row],[Away Differential]]</f>
        <v>-0.69400547454479722</v>
      </c>
      <c r="K40" t="str">
        <f>IF(Table4[[#This Row],[HomeIce Differential]]&gt;0,Table4[[#This Row],[Home]],Table4[[#This Row],[Visitor]])</f>
        <v>Tampa Bay Lightning</v>
      </c>
      <c r="L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0.58235733665656431</v>
      </c>
      <c r="M40" t="str">
        <f>IF(OR((NHL2025_26Results[[#This Row],[Winning Team]]="")),"-",IF(Table4[[#This Row],[Predicted Winner]]=NHL2025_26Results[[#This Row],[Winning Team]],"YES","NO"))</f>
        <v>YES</v>
      </c>
      <c r="N40">
        <f>IF(Table4[[#This Row],[Adjusted Correct]]="-", "",IF(Table4[[#This Row],[Adjusted Correct]]="YES",(Table4[[#This Row],[Strength of Win]]-1)^2,(Table4[[#This Row],[Strength of Win]]-0)^2))</f>
        <v>0.17442539424459835</v>
      </c>
      <c r="O40">
        <v>-0.37995028146814053</v>
      </c>
      <c r="P40" s="11"/>
      <c r="Q40" t="s">
        <v>37</v>
      </c>
      <c r="R40" t="s">
        <v>248</v>
      </c>
    </row>
    <row r="41" spans="1:18" x14ac:dyDescent="0.2">
      <c r="A41" s="4" t="s">
        <v>23</v>
      </c>
      <c r="B41" s="12">
        <v>0.5625</v>
      </c>
      <c r="D41" s="1">
        <v>45943</v>
      </c>
      <c r="E41" s="2">
        <v>0.52083333333333337</v>
      </c>
      <c r="F41" t="s">
        <v>23</v>
      </c>
      <c r="G41">
        <f>VLOOKUP(Table4[[#This Row],[Home]],'NHL Model'!$A$6:$B$38,2,FALSE)</f>
        <v>8.1543966060426461E-3</v>
      </c>
      <c r="H41" t="s">
        <v>12</v>
      </c>
      <c r="I41">
        <f>VLOOKUP(Table4[[#This Row],[Visitor]],'NHL Model'!$A$6:$B$38,2,FALSE)</f>
        <v>0.99866683349964291</v>
      </c>
      <c r="J41">
        <f>($B$1+Table4[[#This Row],[Home Differential]])-Table4[[#This Row],[Away Differential]]</f>
        <v>-0.86090545108207617</v>
      </c>
      <c r="K41" t="str">
        <f>IF(Table4[[#This Row],[HomeIce Differential]]&gt;0,Table4[[#This Row],[Home]],Table4[[#This Row],[Visitor]])</f>
        <v>Colorado Avalanche</v>
      </c>
      <c r="L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0.59667440152833651</v>
      </c>
      <c r="M41" t="str">
        <f>IF(OR((NHL2025_26Results[[#This Row],[Winning Team]]="")),"-",IF(Table4[[#This Row],[Predicted Winner]]=NHL2025_26Results[[#This Row],[Winning Team]],"YES","NO"))</f>
        <v>YES</v>
      </c>
      <c r="N41">
        <f>IF(Table4[[#This Row],[Adjusted Correct]]="-", "",IF(Table4[[#This Row],[Adjusted Correct]]="YES",(Table4[[#This Row],[Strength of Win]]-1)^2,(Table4[[#This Row],[Strength of Win]]-0)^2))</f>
        <v>0.16267153838252552</v>
      </c>
      <c r="O41">
        <v>-0.5751720838197506</v>
      </c>
      <c r="P41" s="11"/>
      <c r="Q41" t="s">
        <v>12</v>
      </c>
      <c r="R41" t="s">
        <v>248</v>
      </c>
    </row>
    <row r="42" spans="1:18" x14ac:dyDescent="0.2">
      <c r="A42" s="4" t="s">
        <v>16</v>
      </c>
      <c r="B42" s="12">
        <v>0.53846153846153844</v>
      </c>
      <c r="D42" s="1">
        <v>45943</v>
      </c>
      <c r="E42" s="2">
        <v>0.79166666666666663</v>
      </c>
      <c r="F42" t="s">
        <v>28</v>
      </c>
      <c r="G42">
        <f>VLOOKUP(Table4[[#This Row],[Home]],'NHL Model'!$A$6:$B$38,2,FALSE)</f>
        <v>-0.28156479873410767</v>
      </c>
      <c r="H42" t="s">
        <v>24</v>
      </c>
      <c r="I42">
        <f>VLOOKUP(Table4[[#This Row],[Visitor]],'NHL Model'!$A$6:$B$38,2,FALSE)</f>
        <v>-0.74510803532792402</v>
      </c>
      <c r="J42">
        <f>($B$1+Table4[[#This Row],[Home Differential]])-Table4[[#This Row],[Away Differential]]</f>
        <v>0.59315022240534043</v>
      </c>
      <c r="K42" t="str">
        <f>IF(Table4[[#This Row],[HomeIce Differential]]&gt;0,Table4[[#This Row],[Home]],Table4[[#This Row],[Visitor]])</f>
        <v>Columbus Blue Jackets</v>
      </c>
      <c r="L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0.59292292118061207</v>
      </c>
      <c r="M42" t="str">
        <f>IF(OR((NHL2025_26Results[[#This Row],[Winning Team]]="")),"-",IF(Table4[[#This Row],[Predicted Winner]]=NHL2025_26Results[[#This Row],[Winning Team]],"YES","NO"))</f>
        <v>NO</v>
      </c>
      <c r="N42">
        <f>IF(Table4[[#This Row],[Adjusted Correct]]="-", "",IF(Table4[[#This Row],[Adjusted Correct]]="YES",(Table4[[#This Row],[Strength of Win]]-1)^2,(Table4[[#This Row],[Strength of Win]]-0)^2))</f>
        <v>0.35155759046135032</v>
      </c>
      <c r="O42">
        <v>-0.43763260116194724</v>
      </c>
      <c r="P42" s="11"/>
      <c r="Q42" t="s">
        <v>24</v>
      </c>
      <c r="R42" t="s">
        <v>248</v>
      </c>
    </row>
    <row r="43" spans="1:18" x14ac:dyDescent="0.2">
      <c r="A43" s="4" t="s">
        <v>25</v>
      </c>
      <c r="B43" s="12">
        <v>0.6</v>
      </c>
      <c r="D43" s="1">
        <v>45943</v>
      </c>
      <c r="E43" s="2">
        <v>0.85416666666666663</v>
      </c>
      <c r="F43" t="s">
        <v>10</v>
      </c>
      <c r="G43">
        <f>VLOOKUP(Table4[[#This Row],[Home]],'NHL Model'!$A$6:$B$38,2,FALSE)</f>
        <v>-0.92658078135875344</v>
      </c>
      <c r="H43" t="s">
        <v>55</v>
      </c>
      <c r="I43">
        <f>VLOOKUP(Table4[[#This Row],[Visitor]],'NHL Model'!$A$6:$B$38,2,FALSE)</f>
        <v>8.4094725828611647E-2</v>
      </c>
      <c r="J43">
        <f>($B$1+Table4[[#This Row],[Home Differential]])-Table4[[#This Row],[Away Differential]]</f>
        <v>-0.88106852137584102</v>
      </c>
      <c r="K43" t="str">
        <f>IF(Table4[[#This Row],[HomeIce Differential]]&gt;0,Table4[[#This Row],[Home]],Table4[[#This Row],[Visitor]])</f>
        <v>Utah Mammoth</v>
      </c>
      <c r="L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0.55893859064593765</v>
      </c>
      <c r="M43" t="str">
        <f>IF(OR((NHL2025_26Results[[#This Row],[Winning Team]]="")),"-",IF(Table4[[#This Row],[Predicted Winner]]=NHL2025_26Results[[#This Row],[Winning Team]],"YES","NO"))</f>
        <v>NO</v>
      </c>
      <c r="N43">
        <f>IF(Table4[[#This Row],[Adjusted Correct]]="-", "",IF(Table4[[#This Row],[Adjusted Correct]]="YES",(Table4[[#This Row],[Strength of Win]]-1)^2,(Table4[[#This Row],[Strength of Win]]-0)^2))</f>
        <v>0.31241234811326707</v>
      </c>
      <c r="O43">
        <v>-0.50738766212517128</v>
      </c>
      <c r="P43" s="11"/>
      <c r="Q43" t="s">
        <v>250</v>
      </c>
      <c r="R43" t="s">
        <v>249</v>
      </c>
    </row>
    <row r="44" spans="1:18" x14ac:dyDescent="0.2">
      <c r="A44" s="4" t="s">
        <v>10</v>
      </c>
      <c r="B44" s="12">
        <v>0.42857142857142855</v>
      </c>
      <c r="D44" s="1">
        <v>45943</v>
      </c>
      <c r="E44" s="2">
        <v>0.83333333333333337</v>
      </c>
      <c r="F44" t="s">
        <v>34</v>
      </c>
      <c r="G44">
        <f>VLOOKUP(Table4[[#This Row],[Home]],'NHL Model'!$A$6:$B$38,2,FALSE)</f>
        <v>6.0485283743665949E-2</v>
      </c>
      <c r="H44" t="s">
        <v>13</v>
      </c>
      <c r="I44">
        <f>VLOOKUP(Table4[[#This Row],[Visitor]],'NHL Model'!$A$6:$B$38,2,FALSE)</f>
        <v>-0.59069689888466137</v>
      </c>
      <c r="J44">
        <f>($B$1+Table4[[#This Row],[Home Differential]])-Table4[[#This Row],[Away Differential]]</f>
        <v>0.78078916843985136</v>
      </c>
      <c r="K44" t="str">
        <f>IF(Table4[[#This Row],[HomeIce Differential]]&gt;0,Table4[[#This Row],[Home]],Table4[[#This Row],[Visitor]])</f>
        <v>Minnesota Wild</v>
      </c>
      <c r="L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0.61892783440545773</v>
      </c>
      <c r="M44" t="str">
        <f>IF(OR((NHL2025_26Results[[#This Row],[Winning Team]]="")),"-",IF(Table4[[#This Row],[Predicted Winner]]=NHL2025_26Results[[#This Row],[Winning Team]],"YES","NO"))</f>
        <v>YES</v>
      </c>
      <c r="N44">
        <f>IF(Table4[[#This Row],[Adjusted Correct]]="-", "",IF(Table4[[#This Row],[Adjusted Correct]]="YES",(Table4[[#This Row],[Strength of Win]]-1)^2,(Table4[[#This Row],[Strength of Win]]-0)^2))</f>
        <v>0.14521599539091423</v>
      </c>
      <c r="O44">
        <v>-0.41264949281827218</v>
      </c>
      <c r="P44" s="11"/>
      <c r="Q44" t="s">
        <v>13</v>
      </c>
      <c r="R44" t="s">
        <v>249</v>
      </c>
    </row>
    <row r="45" spans="1:18" x14ac:dyDescent="0.2">
      <c r="A45" s="4" t="s">
        <v>12</v>
      </c>
      <c r="B45" s="12">
        <v>0.84615384615384615</v>
      </c>
      <c r="D45" s="1">
        <v>45943</v>
      </c>
      <c r="E45" s="2">
        <v>0.54166666666666663</v>
      </c>
      <c r="F45" t="s">
        <v>30</v>
      </c>
      <c r="G45">
        <f>VLOOKUP(Table4[[#This Row],[Home]],'NHL Model'!$A$6:$B$38,2,FALSE)</f>
        <v>-0.18630462558229716</v>
      </c>
      <c r="H45" t="s">
        <v>40</v>
      </c>
      <c r="I45">
        <f>VLOOKUP(Table4[[#This Row],[Visitor]],'NHL Model'!$A$6:$B$38,2,FALSE)</f>
        <v>-0.58845147248022256</v>
      </c>
      <c r="J45">
        <f>($B$1+Table4[[#This Row],[Home Differential]])-Table4[[#This Row],[Away Differential]]</f>
        <v>0.53175383270944954</v>
      </c>
      <c r="K45" t="str">
        <f>IF(Table4[[#This Row],[HomeIce Differential]]&gt;0,Table4[[#This Row],[Home]],Table4[[#This Row],[Visitor]])</f>
        <v>New York Islanders</v>
      </c>
      <c r="L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0.61372931423632049</v>
      </c>
      <c r="M45" t="str">
        <f>IF(OR((NHL2025_26Results[[#This Row],[Winning Team]]="")),"-",IF(Table4[[#This Row],[Predicted Winner]]=NHL2025_26Results[[#This Row],[Winning Team]],"YES","NO"))</f>
        <v>NO</v>
      </c>
      <c r="N45">
        <f>IF(Table4[[#This Row],[Adjusted Correct]]="-", "",IF(Table4[[#This Row],[Adjusted Correct]]="YES",(Table4[[#This Row],[Strength of Win]]-1)^2,(Table4[[#This Row],[Strength of Win]]-0)^2))</f>
        <v>0.37666367115298421</v>
      </c>
      <c r="O45">
        <v>-0.50491654693414467</v>
      </c>
      <c r="P45" s="11"/>
      <c r="Q45" t="s">
        <v>40</v>
      </c>
      <c r="R45" t="s">
        <v>248</v>
      </c>
    </row>
    <row r="46" spans="1:18" x14ac:dyDescent="0.2">
      <c r="A46" s="4" t="s">
        <v>28</v>
      </c>
      <c r="B46" s="12">
        <v>0.5</v>
      </c>
      <c r="D46" s="1">
        <v>45943</v>
      </c>
      <c r="E46" s="2">
        <v>0.54166666666666663</v>
      </c>
      <c r="F46" t="s">
        <v>36</v>
      </c>
      <c r="G46">
        <f>VLOOKUP(Table4[[#This Row],[Home]],'NHL Model'!$A$6:$B$38,2,FALSE)</f>
        <v>-0.19010748264223354</v>
      </c>
      <c r="H46" t="s">
        <v>29</v>
      </c>
      <c r="I46">
        <f>VLOOKUP(Table4[[#This Row],[Visitor]],'NHL Model'!$A$6:$B$38,2,FALSE)</f>
        <v>-0.82056481120798741</v>
      </c>
      <c r="J46">
        <f>($B$1+Table4[[#This Row],[Home Differential]])-Table4[[#This Row],[Away Differential]]</f>
        <v>0.76006431437727795</v>
      </c>
      <c r="K46" t="str">
        <f>IF(Table4[[#This Row],[HomeIce Differential]]&gt;0,Table4[[#This Row],[Home]],Table4[[#This Row],[Visitor]])</f>
        <v>Ottawa Senators</v>
      </c>
      <c r="L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0.62535056041649284</v>
      </c>
      <c r="M46" t="str">
        <f>IF(OR((NHL2025_26Results[[#This Row],[Winning Team]]="")),"-",IF(Table4[[#This Row],[Predicted Winner]]=NHL2025_26Results[[#This Row],[Winning Team]],"YES","NO"))</f>
        <v>NO</v>
      </c>
      <c r="N46">
        <f>IF(Table4[[#This Row],[Adjusted Correct]]="-", "",IF(Table4[[#This Row],[Adjusted Correct]]="YES",(Table4[[#This Row],[Strength of Win]]-1)^2,(Table4[[#This Row],[Strength of Win]]-0)^2))</f>
        <v>0.39106332341322164</v>
      </c>
      <c r="O46">
        <v>-0.50375844504465972</v>
      </c>
      <c r="P46" s="11"/>
      <c r="Q46" t="s">
        <v>29</v>
      </c>
      <c r="R46" t="s">
        <v>248</v>
      </c>
    </row>
    <row r="47" spans="1:18" x14ac:dyDescent="0.2">
      <c r="A47" s="4" t="s">
        <v>39</v>
      </c>
      <c r="B47" s="12">
        <v>0.66666666666666663</v>
      </c>
      <c r="D47" s="1">
        <v>45943</v>
      </c>
      <c r="E47" s="2">
        <v>0.79166666666666663</v>
      </c>
      <c r="F47" t="s">
        <v>27</v>
      </c>
      <c r="G47">
        <f>VLOOKUP(Table4[[#This Row],[Home]],'NHL Model'!$A$6:$B$38,2,FALSE)</f>
        <v>-0.55097933929175691</v>
      </c>
      <c r="H47" t="s">
        <v>11</v>
      </c>
      <c r="I47">
        <f>VLOOKUP(Table4[[#This Row],[Visitor]],'NHL Model'!$A$6:$B$38,2,FALSE)</f>
        <v>-0.55695213126481558</v>
      </c>
      <c r="J47">
        <f>($B$1+Table4[[#This Row],[Home Differential]])-Table4[[#This Row],[Away Differential]]</f>
        <v>0.13557977778458274</v>
      </c>
      <c r="K47" t="str">
        <f>IF(Table4[[#This Row],[HomeIce Differential]]&gt;0,Table4[[#This Row],[Home]],Table4[[#This Row],[Visitor]])</f>
        <v>Philadelphia Flyers</v>
      </c>
      <c r="L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0.51593804418674061</v>
      </c>
      <c r="M47" t="str">
        <f>IF(OR((NHL2025_26Results[[#This Row],[Winning Team]]="")),"-",IF(Table4[[#This Row],[Predicted Winner]]=NHL2025_26Results[[#This Row],[Winning Team]],"YES","NO"))</f>
        <v>YES</v>
      </c>
      <c r="N47">
        <f>IF(Table4[[#This Row],[Adjusted Correct]]="-", "",IF(Table4[[#This Row],[Adjusted Correct]]="YES",(Table4[[#This Row],[Strength of Win]]-1)^2,(Table4[[#This Row],[Strength of Win]]-0)^2))</f>
        <v>0.23431597706575788</v>
      </c>
      <c r="O47">
        <v>-0.56356457777219926</v>
      </c>
      <c r="P47" s="11"/>
      <c r="Q47" t="s">
        <v>11</v>
      </c>
      <c r="R47" t="s">
        <v>249</v>
      </c>
    </row>
    <row r="48" spans="1:18" x14ac:dyDescent="0.2">
      <c r="A48" s="4" t="s">
        <v>26</v>
      </c>
      <c r="B48" s="12">
        <v>0.5625</v>
      </c>
      <c r="D48" s="1">
        <v>45943</v>
      </c>
      <c r="E48" s="2">
        <v>0.66666666666666663</v>
      </c>
      <c r="F48" t="s">
        <v>19</v>
      </c>
      <c r="G48">
        <f>VLOOKUP(Table4[[#This Row],[Home]],'NHL Model'!$A$6:$B$38,2,FALSE)</f>
        <v>-0.44228056828684137</v>
      </c>
      <c r="H48" t="s">
        <v>26</v>
      </c>
      <c r="I48">
        <f>VLOOKUP(Table4[[#This Row],[Visitor]],'NHL Model'!$A$6:$B$38,2,FALSE)</f>
        <v>-0.33113778518110382</v>
      </c>
      <c r="J48">
        <f>($B$1+Table4[[#This Row],[Home Differential]])-Table4[[#This Row],[Away Differential]]</f>
        <v>1.8464202705786525E-2</v>
      </c>
      <c r="K48" t="str">
        <f>IF(Table4[[#This Row],[HomeIce Differential]]&gt;0,Table4[[#This Row],[Home]],Table4[[#This Row],[Visitor]])</f>
        <v>Toronto Maple Leafs</v>
      </c>
      <c r="L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0.50406544858050772</v>
      </c>
      <c r="M48" t="str">
        <f>IF(OR((NHL2025_26Results[[#This Row],[Winning Team]]="")),"-",IF(Table4[[#This Row],[Predicted Winner]]=NHL2025_26Results[[#This Row],[Winning Team]],"YES","NO"))</f>
        <v>NO</v>
      </c>
      <c r="N48">
        <f>IF(Table4[[#This Row],[Adjusted Correct]]="-", "",IF(Table4[[#This Row],[Adjusted Correct]]="YES",(Table4[[#This Row],[Strength of Win]]-1)^2,(Table4[[#This Row],[Strength of Win]]-0)^2))</f>
        <v>0.2540819764526685</v>
      </c>
      <c r="O48">
        <v>-0.46138269297271539</v>
      </c>
      <c r="P48" s="11"/>
      <c r="Q48" t="s">
        <v>26</v>
      </c>
      <c r="R48" t="s">
        <v>248</v>
      </c>
    </row>
    <row r="49" spans="1:18" x14ac:dyDescent="0.2">
      <c r="A49" s="4" t="s">
        <v>17</v>
      </c>
      <c r="B49" s="12">
        <v>0.58333333333333337</v>
      </c>
      <c r="D49" s="1">
        <v>45943</v>
      </c>
      <c r="E49" s="2">
        <v>0.8125</v>
      </c>
      <c r="F49" t="s">
        <v>38</v>
      </c>
      <c r="G49">
        <f>VLOOKUP(Table4[[#This Row],[Home]],'NHL Model'!$A$6:$B$38,2,FALSE)</f>
        <v>-1.3920033028857945</v>
      </c>
      <c r="H49" t="s">
        <v>35</v>
      </c>
      <c r="I49">
        <f>VLOOKUP(Table4[[#This Row],[Visitor]],'NHL Model'!$A$6:$B$38,2,FALSE)</f>
        <v>-1.3128572733047907</v>
      </c>
      <c r="J49">
        <f>($B$1+Table4[[#This Row],[Home Differential]])-Table4[[#This Row],[Away Differential]]</f>
        <v>5.0460956230520271E-2</v>
      </c>
      <c r="K49" t="str">
        <f>IF(Table4[[#This Row],[HomeIce Differential]]&gt;0,Table4[[#This Row],[Home]],Table4[[#This Row],[Visitor]])</f>
        <v>Vancouver Canucks</v>
      </c>
      <c r="L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0.54566645586690343</v>
      </c>
      <c r="M49" t="str">
        <f>IF(OR((NHL2025_26Results[[#This Row],[Winning Team]]="")),"-",IF(Table4[[#This Row],[Predicted Winner]]=NHL2025_26Results[[#This Row],[Winning Team]],"YES","NO"))</f>
        <v>NO</v>
      </c>
      <c r="N49">
        <f>IF(Table4[[#This Row],[Adjusted Correct]]="-", "",IF(Table4[[#This Row],[Adjusted Correct]]="YES",(Table4[[#This Row],[Strength of Win]]-1)^2,(Table4[[#This Row],[Strength of Win]]-0)^2))</f>
        <v>0.29775188105834727</v>
      </c>
      <c r="O49">
        <v>-0.41348669663993171</v>
      </c>
      <c r="P49" s="11"/>
      <c r="Q49" t="s">
        <v>35</v>
      </c>
      <c r="R49" t="s">
        <v>248</v>
      </c>
    </row>
    <row r="50" spans="1:18" x14ac:dyDescent="0.2">
      <c r="A50" s="4" t="s">
        <v>11</v>
      </c>
      <c r="B50" s="12">
        <v>0.55555555555555558</v>
      </c>
      <c r="D50" s="1">
        <v>45944</v>
      </c>
      <c r="E50" s="2">
        <v>0.9375</v>
      </c>
      <c r="F50" t="s">
        <v>31</v>
      </c>
      <c r="G50">
        <f>VLOOKUP(Table4[[#This Row],[Home]],'NHL Model'!$A$6:$B$38,2,FALSE)</f>
        <v>-0.46360583111358089</v>
      </c>
      <c r="H50" t="s">
        <v>14</v>
      </c>
      <c r="I50">
        <f>VLOOKUP(Table4[[#This Row],[Visitor]],'NHL Model'!$A$6:$B$38,2,FALSE)</f>
        <v>3.6349513460996066E-5</v>
      </c>
      <c r="J50">
        <f>($B$1+Table4[[#This Row],[Home Differential]])-Table4[[#This Row],[Away Differential]]</f>
        <v>-0.3340351948155178</v>
      </c>
      <c r="K50" t="str">
        <f>IF(Table4[[#This Row],[HomeIce Differential]]&gt;0,Table4[[#This Row],[Home]],Table4[[#This Row],[Visitor]])</f>
        <v>Pittsburgh Penguins</v>
      </c>
      <c r="L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0.49904856500871214</v>
      </c>
      <c r="M50" t="str">
        <f>IF(OR((NHL2025_26Results[[#This Row],[Winning Team]]="")),"-",IF(Table4[[#This Row],[Predicted Winner]]=NHL2025_26Results[[#This Row],[Winning Team]],"YES","NO"))</f>
        <v>NO</v>
      </c>
      <c r="N50">
        <f>IF(Table4[[#This Row],[Adjusted Correct]]="-", "",IF(Table4[[#This Row],[Adjusted Correct]]="YES",(Table4[[#This Row],[Strength of Win]]-1)^2,(Table4[[#This Row],[Strength of Win]]-0)^2))</f>
        <v>0.24904947023725479</v>
      </c>
      <c r="O50">
        <v>0.41593738547769288</v>
      </c>
      <c r="P50" s="11"/>
      <c r="Q50" t="s">
        <v>31</v>
      </c>
      <c r="R50" t="s">
        <v>248</v>
      </c>
    </row>
    <row r="51" spans="1:18" x14ac:dyDescent="0.2">
      <c r="A51" s="4" t="s">
        <v>13</v>
      </c>
      <c r="B51" s="12">
        <v>0.30769230769230771</v>
      </c>
      <c r="D51" s="1">
        <v>45944</v>
      </c>
      <c r="E51" s="2">
        <v>0.875</v>
      </c>
      <c r="F51" t="s">
        <v>16</v>
      </c>
      <c r="G51">
        <f>VLOOKUP(Table4[[#This Row],[Home]],'NHL Model'!$A$6:$B$38,2,FALSE)</f>
        <v>-0.89031221864884547</v>
      </c>
      <c r="H51" t="s">
        <v>20</v>
      </c>
      <c r="I51">
        <f>VLOOKUP(Table4[[#This Row],[Visitor]],'NHL Model'!$A$6:$B$38,2,FALSE)</f>
        <v>-0.16296463421387539</v>
      </c>
      <c r="J51">
        <f>($B$1+Table4[[#This Row],[Home Differential]])-Table4[[#This Row],[Away Differential]]</f>
        <v>-0.59774059862344597</v>
      </c>
      <c r="K51" t="str">
        <f>IF(Table4[[#This Row],[HomeIce Differential]]&gt;0,Table4[[#This Row],[Home]],Table4[[#This Row],[Visitor]])</f>
        <v>Vegas Golden Knights</v>
      </c>
      <c r="L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0.53913878621174038</v>
      </c>
      <c r="M51" t="str">
        <f>IF(OR((NHL2025_26Results[[#This Row],[Winning Team]]="")),"-",IF(Table4[[#This Row],[Predicted Winner]]=NHL2025_26Results[[#This Row],[Winning Team]],"YES","NO"))</f>
        <v>YES</v>
      </c>
      <c r="N51">
        <f>IF(Table4[[#This Row],[Adjusted Correct]]="-", "",IF(Table4[[#This Row],[Adjusted Correct]]="YES",(Table4[[#This Row],[Strength of Win]]-1)^2,(Table4[[#This Row],[Strength of Win]]-0)^2))</f>
        <v>0.21239305837438793</v>
      </c>
      <c r="O51">
        <v>-2.7999232315021185</v>
      </c>
      <c r="P51" s="11"/>
      <c r="Q51" t="s">
        <v>20</v>
      </c>
      <c r="R51" t="s">
        <v>248</v>
      </c>
    </row>
    <row r="52" spans="1:18" x14ac:dyDescent="0.2">
      <c r="A52" s="4" t="s">
        <v>34</v>
      </c>
      <c r="B52" s="12">
        <v>0.53333333333333333</v>
      </c>
      <c r="D52" s="1">
        <v>45944</v>
      </c>
      <c r="E52" s="2">
        <v>0.89583333333333337</v>
      </c>
      <c r="F52" t="s">
        <v>39</v>
      </c>
      <c r="G52">
        <f>VLOOKUP(Table4[[#This Row],[Home]],'NHL Model'!$A$6:$B$38,2,FALSE)</f>
        <v>0.21708030788125537</v>
      </c>
      <c r="H52" t="s">
        <v>34</v>
      </c>
      <c r="I52">
        <f>VLOOKUP(Table4[[#This Row],[Visitor]],'NHL Model'!$A$6:$B$38,2,FALSE)</f>
        <v>6.0485283743665949E-2</v>
      </c>
      <c r="J52">
        <f>($B$1+Table4[[#This Row],[Home Differential]])-Table4[[#This Row],[Away Differential]]</f>
        <v>0.28620200994911354</v>
      </c>
      <c r="K52" t="str">
        <f>IF(Table4[[#This Row],[HomeIce Differential]]&gt;0,Table4[[#This Row],[Home]],Table4[[#This Row],[Visitor]])</f>
        <v>Dallas Stars</v>
      </c>
      <c r="L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0.54122963930020329</v>
      </c>
      <c r="M52" t="str">
        <f>IF(OR((NHL2025_26Results[[#This Row],[Winning Team]]="")),"-",IF(Table4[[#This Row],[Predicted Winner]]=NHL2025_26Results[[#This Row],[Winning Team]],"YES","NO"))</f>
        <v>YES</v>
      </c>
      <c r="N52">
        <f>IF(Table4[[#This Row],[Adjusted Correct]]="-", "",IF(Table4[[#This Row],[Adjusted Correct]]="YES",(Table4[[#This Row],[Strength of Win]]-1)^2,(Table4[[#This Row],[Strength of Win]]-0)^2))</f>
        <v>0.21047024385662158</v>
      </c>
      <c r="O52">
        <v>1.6430406835080806</v>
      </c>
      <c r="P52" s="11"/>
      <c r="Q52" t="s">
        <v>39</v>
      </c>
      <c r="R52" t="s">
        <v>248</v>
      </c>
    </row>
    <row r="53" spans="1:18" x14ac:dyDescent="0.2">
      <c r="A53" s="4" t="s">
        <v>18</v>
      </c>
      <c r="B53" s="12">
        <v>0.46666666666666667</v>
      </c>
      <c r="D53" s="1">
        <v>45944</v>
      </c>
      <c r="E53" s="2">
        <v>0.79166666666666663</v>
      </c>
      <c r="F53" t="s">
        <v>18</v>
      </c>
      <c r="G53">
        <f>VLOOKUP(Table4[[#This Row],[Home]],'NHL Model'!$A$6:$B$38,2,FALSE)</f>
        <v>-8.6274676766085606E-2</v>
      </c>
      <c r="H53" t="s">
        <v>32</v>
      </c>
      <c r="I53">
        <f>VLOOKUP(Table4[[#This Row],[Visitor]],'NHL Model'!$A$6:$B$38,2,FALSE)</f>
        <v>-0.48236715437805205</v>
      </c>
      <c r="J53">
        <f>($B$1+Table4[[#This Row],[Home Differential]])-Table4[[#This Row],[Away Differential]]</f>
        <v>0.52569946342349061</v>
      </c>
      <c r="K53" t="str">
        <f>IF(Table4[[#This Row],[HomeIce Differential]]&gt;0,Table4[[#This Row],[Home]],Table4[[#This Row],[Visitor]])</f>
        <v>Montreal Canadiens</v>
      </c>
      <c r="L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0.61304944570184206</v>
      </c>
      <c r="M53" t="str">
        <f>IF(OR((NHL2025_26Results[[#This Row],[Winning Team]]="")),"-",IF(Table4[[#This Row],[Predicted Winner]]=NHL2025_26Results[[#This Row],[Winning Team]],"YES","NO"))</f>
        <v>YES</v>
      </c>
      <c r="N53">
        <f>IF(Table4[[#This Row],[Adjusted Correct]]="-", "",IF(Table4[[#This Row],[Adjusted Correct]]="YES",(Table4[[#This Row],[Strength of Win]]-1)^2,(Table4[[#This Row],[Strength of Win]]-0)^2))</f>
        <v>0.14973073147165167</v>
      </c>
      <c r="O53">
        <v>0.85958615494926893</v>
      </c>
      <c r="P53" s="11"/>
      <c r="Q53" t="s">
        <v>18</v>
      </c>
      <c r="R53" t="s">
        <v>248</v>
      </c>
    </row>
    <row r="54" spans="1:18" x14ac:dyDescent="0.2">
      <c r="A54" s="4" t="s">
        <v>29</v>
      </c>
      <c r="B54" s="12">
        <v>0.375</v>
      </c>
      <c r="D54" s="1">
        <v>45944</v>
      </c>
      <c r="E54" s="2">
        <v>0.79166666666666663</v>
      </c>
      <c r="F54" t="s">
        <v>15</v>
      </c>
      <c r="G54">
        <f>VLOOKUP(Table4[[#This Row],[Home]],'NHL Model'!$A$6:$B$38,2,FALSE)</f>
        <v>-0.73651915476403329</v>
      </c>
      <c r="H54" t="s">
        <v>17</v>
      </c>
      <c r="I54">
        <f>VLOOKUP(Table4[[#This Row],[Visitor]],'NHL Model'!$A$6:$B$38,2,FALSE)</f>
        <v>-0.36462594951491906</v>
      </c>
      <c r="J54">
        <f>($B$1+Table4[[#This Row],[Home Differential]])-Table4[[#This Row],[Away Differential]]</f>
        <v>-0.24228621943759016</v>
      </c>
      <c r="K54" t="str">
        <f>IF(Table4[[#This Row],[HomeIce Differential]]&gt;0,Table4[[#This Row],[Home]],Table4[[#This Row],[Visitor]])</f>
        <v>Edmonton Oilers</v>
      </c>
      <c r="L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0.4872072563058486</v>
      </c>
      <c r="M54" t="str">
        <f>IF(OR((NHL2025_26Results[[#This Row],[Winning Team]]="")),"-",IF(Table4[[#This Row],[Predicted Winner]]=NHL2025_26Results[[#This Row],[Winning Team]],"YES","NO"))</f>
        <v>YES</v>
      </c>
      <c r="N54">
        <f>IF(Table4[[#This Row],[Adjusted Correct]]="-", "",IF(Table4[[#This Row],[Adjusted Correct]]="YES",(Table4[[#This Row],[Strength of Win]]-1)^2,(Table4[[#This Row],[Strength of Win]]-0)^2))</f>
        <v>0.26295639798537562</v>
      </c>
      <c r="O54">
        <v>-0.16117643107239488</v>
      </c>
      <c r="P54" s="11"/>
      <c r="Q54" t="s">
        <v>17</v>
      </c>
      <c r="R54" t="s">
        <v>248</v>
      </c>
    </row>
    <row r="55" spans="1:18" x14ac:dyDescent="0.2">
      <c r="A55" s="4" t="s">
        <v>24</v>
      </c>
      <c r="B55" s="12">
        <v>0.6428571428571429</v>
      </c>
      <c r="D55" s="1">
        <v>45944</v>
      </c>
      <c r="E55" s="2">
        <v>0.91666666666666663</v>
      </c>
      <c r="F55" t="s">
        <v>33</v>
      </c>
      <c r="G55">
        <f>VLOOKUP(Table4[[#This Row],[Home]],'NHL Model'!$A$6:$B$38,2,FALSE)</f>
        <v>-0.65236582493376272</v>
      </c>
      <c r="H55" t="s">
        <v>25</v>
      </c>
      <c r="I55">
        <f>VLOOKUP(Table4[[#This Row],[Visitor]],'NHL Model'!$A$6:$B$38,2,FALSE)</f>
        <v>0.2324942014830165</v>
      </c>
      <c r="J55">
        <f>($B$1+Table4[[#This Row],[Home Differential]])-Table4[[#This Row],[Away Differential]]</f>
        <v>-0.75525304060525511</v>
      </c>
      <c r="K55" t="str">
        <f>IF(Table4[[#This Row],[HomeIce Differential]]&gt;0,Table4[[#This Row],[Home]],Table4[[#This Row],[Visitor]])</f>
        <v>Carolina Hurricanes</v>
      </c>
      <c r="L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0.60133920950315578</v>
      </c>
      <c r="M55" t="str">
        <f>IF(OR((NHL2025_26Results[[#This Row],[Winning Team]]="")),"-",IF(Table4[[#This Row],[Predicted Winner]]=NHL2025_26Results[[#This Row],[Winning Team]],"YES","NO"))</f>
        <v>YES</v>
      </c>
      <c r="N55">
        <f>IF(Table4[[#This Row],[Adjusted Correct]]="-", "",IF(Table4[[#This Row],[Adjusted Correct]]="YES",(Table4[[#This Row],[Strength of Win]]-1)^2,(Table4[[#This Row],[Strength of Win]]-0)^2))</f>
        <v>0.15893042587956871</v>
      </c>
      <c r="O55">
        <v>-5.0405968411257467</v>
      </c>
      <c r="P55" s="11"/>
      <c r="Q55" t="s">
        <v>25</v>
      </c>
      <c r="R55" t="s">
        <v>248</v>
      </c>
    </row>
    <row r="56" spans="1:18" x14ac:dyDescent="0.2">
      <c r="A56" s="4" t="s">
        <v>30</v>
      </c>
      <c r="B56" s="12">
        <v>0.46666666666666667</v>
      </c>
      <c r="D56" s="1">
        <v>45944</v>
      </c>
      <c r="E56" s="2">
        <v>0.79166666666666663</v>
      </c>
      <c r="F56" t="s">
        <v>19</v>
      </c>
      <c r="G56">
        <f>VLOOKUP(Table4[[#This Row],[Home]],'NHL Model'!$A$6:$B$38,2,FALSE)</f>
        <v>-0.44228056828684137</v>
      </c>
      <c r="H56" t="s">
        <v>29</v>
      </c>
      <c r="I56">
        <f>VLOOKUP(Table4[[#This Row],[Visitor]],'NHL Model'!$A$6:$B$38,2,FALSE)</f>
        <v>-0.82056481120798741</v>
      </c>
      <c r="J56">
        <f>($B$1+Table4[[#This Row],[Home Differential]])-Table4[[#This Row],[Away Differential]]</f>
        <v>0.50789122873267012</v>
      </c>
      <c r="K56" t="str">
        <f>IF(Table4[[#This Row],[HomeIce Differential]]&gt;0,Table4[[#This Row],[Home]],Table4[[#This Row],[Visitor]])</f>
        <v>Toronto Maple Leafs</v>
      </c>
      <c r="L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0.5970330696797288</v>
      </c>
      <c r="M56" t="str">
        <f>IF(OR((NHL2025_26Results[[#This Row],[Winning Team]]="")),"-",IF(Table4[[#This Row],[Predicted Winner]]=NHL2025_26Results[[#This Row],[Winning Team]],"YES","NO"))</f>
        <v>YES</v>
      </c>
      <c r="N56">
        <f>IF(Table4[[#This Row],[Adjusted Correct]]="-", "",IF(Table4[[#This Row],[Adjusted Correct]]="YES",(Table4[[#This Row],[Strength of Win]]-1)^2,(Table4[[#This Row],[Strength of Win]]-0)^2))</f>
        <v>0.16238234693174231</v>
      </c>
      <c r="O56">
        <v>2.1298584308104078</v>
      </c>
      <c r="P56" s="11"/>
      <c r="Q56" t="s">
        <v>19</v>
      </c>
      <c r="R56" t="s">
        <v>248</v>
      </c>
    </row>
    <row r="57" spans="1:18" x14ac:dyDescent="0.2">
      <c r="A57" s="4" t="s">
        <v>15</v>
      </c>
      <c r="B57" s="12">
        <v>0.21428571428571427</v>
      </c>
      <c r="D57" s="1">
        <v>45944</v>
      </c>
      <c r="E57" s="2">
        <v>0.79166666666666663</v>
      </c>
      <c r="F57" t="s">
        <v>22</v>
      </c>
      <c r="G57">
        <f>VLOOKUP(Table4[[#This Row],[Home]],'NHL Model'!$A$6:$B$38,2,FALSE)</f>
        <v>-0.11977593183651415</v>
      </c>
      <c r="H57" t="s">
        <v>37</v>
      </c>
      <c r="I57">
        <f>VLOOKUP(Table4[[#This Row],[Visitor]],'NHL Model'!$A$6:$B$38,2,FALSE)</f>
        <v>0.72108184732572844</v>
      </c>
      <c r="J57">
        <f>($B$1+Table4[[#This Row],[Home Differential]])-Table4[[#This Row],[Away Differential]]</f>
        <v>-0.7112507933507185</v>
      </c>
      <c r="K57" t="str">
        <f>IF(Table4[[#This Row],[HomeIce Differential]]&gt;0,Table4[[#This Row],[Home]],Table4[[#This Row],[Visitor]])</f>
        <v>Tampa Bay Lightning</v>
      </c>
      <c r="L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0.61875290745637046</v>
      </c>
      <c r="M57" t="str">
        <f>IF(OR((NHL2025_26Results[[#This Row],[Winning Team]]="")),"-",IF(Table4[[#This Row],[Predicted Winner]]=NHL2025_26Results[[#This Row],[Winning Team]],"YES","NO"))</f>
        <v>NO</v>
      </c>
      <c r="N57">
        <f>IF(Table4[[#This Row],[Adjusted Correct]]="-", "",IF(Table4[[#This Row],[Adjusted Correct]]="YES",(Table4[[#This Row],[Strength of Win]]-1)^2,(Table4[[#This Row],[Strength of Win]]-0)^2))</f>
        <v>0.38285516048571172</v>
      </c>
      <c r="O57">
        <v>0.14833899542151885</v>
      </c>
      <c r="P57" s="11"/>
      <c r="Q57" t="s">
        <v>22</v>
      </c>
      <c r="R57" t="s">
        <v>248</v>
      </c>
    </row>
    <row r="58" spans="1:18" x14ac:dyDescent="0.2">
      <c r="A58" s="4" t="s">
        <v>36</v>
      </c>
      <c r="B58" s="12">
        <v>0.46153846153846156</v>
      </c>
      <c r="D58" s="1">
        <v>45945</v>
      </c>
      <c r="E58" s="2">
        <v>0.79166666666666663</v>
      </c>
      <c r="F58" t="s">
        <v>23</v>
      </c>
      <c r="G58">
        <f>VLOOKUP(Table4[[#This Row],[Home]],'NHL Model'!$A$6:$B$38,2,FALSE)</f>
        <v>8.1543966060426461E-3</v>
      </c>
      <c r="H58" t="s">
        <v>36</v>
      </c>
      <c r="I58">
        <f>VLOOKUP(Table4[[#This Row],[Visitor]],'NHL Model'!$A$6:$B$38,2,FALSE)</f>
        <v>-0.19010748264223354</v>
      </c>
      <c r="J58">
        <f>($B$1+Table4[[#This Row],[Home Differential]])-Table4[[#This Row],[Away Differential]]</f>
        <v>0.32786886505980029</v>
      </c>
      <c r="K58" t="str">
        <f>IF(Table4[[#This Row],[HomeIce Differential]]&gt;0,Table4[[#This Row],[Home]],Table4[[#This Row],[Visitor]])</f>
        <v>Buffalo Sabres</v>
      </c>
      <c r="L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0.59387980935441764</v>
      </c>
      <c r="M58" t="str">
        <f>IF(OR((NHL2025_26Results[[#This Row],[Winning Team]]="")),"-",IF(Table4[[#This Row],[Predicted Winner]]=NHL2025_26Results[[#This Row],[Winning Team]],"YES","NO"))</f>
        <v>YES</v>
      </c>
      <c r="N58">
        <f>IF(Table4[[#This Row],[Adjusted Correct]]="-", "",IF(Table4[[#This Row],[Adjusted Correct]]="YES",(Table4[[#This Row],[Strength of Win]]-1)^2,(Table4[[#This Row],[Strength of Win]]-0)^2))</f>
        <v>0.16493360925000417</v>
      </c>
      <c r="O58">
        <v>1.4455201446216579</v>
      </c>
      <c r="P58" s="11"/>
      <c r="Q58" t="s">
        <v>23</v>
      </c>
      <c r="R58" t="s">
        <v>248</v>
      </c>
    </row>
    <row r="59" spans="1:18" x14ac:dyDescent="0.2">
      <c r="A59" s="4" t="s">
        <v>27</v>
      </c>
      <c r="B59" s="12">
        <v>0.5625</v>
      </c>
      <c r="D59" s="1">
        <v>45945</v>
      </c>
      <c r="E59" s="2">
        <v>0.79166666666666663</v>
      </c>
      <c r="F59" t="s">
        <v>26</v>
      </c>
      <c r="G59">
        <f>VLOOKUP(Table4[[#This Row],[Home]],'NHL Model'!$A$6:$B$38,2,FALSE)</f>
        <v>-0.33113778518110382</v>
      </c>
      <c r="H59" t="s">
        <v>11</v>
      </c>
      <c r="I59">
        <f>VLOOKUP(Table4[[#This Row],[Visitor]],'NHL Model'!$A$6:$B$38,2,FALSE)</f>
        <v>-0.55695213126481558</v>
      </c>
      <c r="J59">
        <f>($B$1+Table4[[#This Row],[Home Differential]])-Table4[[#This Row],[Away Differential]]</f>
        <v>0.35542133189523584</v>
      </c>
      <c r="K59" t="str">
        <f>IF(Table4[[#This Row],[HomeIce Differential]]&gt;0,Table4[[#This Row],[Home]],Table4[[#This Row],[Visitor]])</f>
        <v>Detroit Red Wings</v>
      </c>
      <c r="L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0.56693866251288538</v>
      </c>
      <c r="M59" t="str">
        <f>IF(OR((NHL2025_26Results[[#This Row],[Winning Team]]="")),"-",IF(Table4[[#This Row],[Predicted Winner]]=NHL2025_26Results[[#This Row],[Winning Team]],"YES","NO"))</f>
        <v>YES</v>
      </c>
      <c r="N59">
        <f>IF(Table4[[#This Row],[Adjusted Correct]]="-", "",IF(Table4[[#This Row],[Adjusted Correct]]="YES",(Table4[[#This Row],[Strength of Win]]-1)^2,(Table4[[#This Row],[Strength of Win]]-0)^2))</f>
        <v>0.18754212202612858</v>
      </c>
      <c r="O59">
        <v>1.8633871095705374</v>
      </c>
      <c r="P59" s="11"/>
      <c r="Q59" t="s">
        <v>26</v>
      </c>
      <c r="R59" t="s">
        <v>248</v>
      </c>
    </row>
    <row r="60" spans="1:18" x14ac:dyDescent="0.2">
      <c r="A60" s="4" t="s">
        <v>14</v>
      </c>
      <c r="B60" s="12">
        <v>0.5</v>
      </c>
      <c r="D60" s="1">
        <v>45945</v>
      </c>
      <c r="E60" s="2">
        <v>0.89583333333333337</v>
      </c>
      <c r="F60" t="s">
        <v>35</v>
      </c>
      <c r="G60">
        <f>VLOOKUP(Table4[[#This Row],[Home]],'NHL Model'!$A$6:$B$38,2,FALSE)</f>
        <v>-1.3128572733047907</v>
      </c>
      <c r="H60" t="s">
        <v>10</v>
      </c>
      <c r="I60">
        <f>VLOOKUP(Table4[[#This Row],[Visitor]],'NHL Model'!$A$6:$B$38,2,FALSE)</f>
        <v>-0.92658078135875344</v>
      </c>
      <c r="J60">
        <f>($B$1+Table4[[#This Row],[Home Differential]])-Table4[[#This Row],[Away Differential]]</f>
        <v>-0.25666950613451323</v>
      </c>
      <c r="K60" t="str">
        <f>IF(Table4[[#This Row],[HomeIce Differential]]&gt;0,Table4[[#This Row],[Home]],Table4[[#This Row],[Visitor]])</f>
        <v>Chicago Blackhawks</v>
      </c>
      <c r="L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0.48882241117760344</v>
      </c>
      <c r="M60" t="str">
        <f>IF(OR((NHL2025_26Results[[#This Row],[Winning Team]]="")),"-",IF(Table4[[#This Row],[Predicted Winner]]=NHL2025_26Results[[#This Row],[Winning Team]],"YES","NO"))</f>
        <v>YES</v>
      </c>
      <c r="N60">
        <f>IF(Table4[[#This Row],[Adjusted Correct]]="-", "",IF(Table4[[#This Row],[Adjusted Correct]]="YES",(Table4[[#This Row],[Strength of Win]]-1)^2,(Table4[[#This Row],[Strength of Win]]-0)^2))</f>
        <v>0.26130252731427916</v>
      </c>
      <c r="O60">
        <v>-4.2176854798538637</v>
      </c>
      <c r="P60" s="11"/>
      <c r="Q60" t="s">
        <v>10</v>
      </c>
      <c r="R60" t="s">
        <v>248</v>
      </c>
    </row>
    <row r="61" spans="1:18" x14ac:dyDescent="0.2">
      <c r="A61" s="4" t="s">
        <v>33</v>
      </c>
      <c r="B61" s="12">
        <v>0.52941176470588236</v>
      </c>
      <c r="D61" s="1">
        <v>45945</v>
      </c>
      <c r="E61" s="2">
        <v>0.89583333333333337</v>
      </c>
      <c r="F61" t="s">
        <v>55</v>
      </c>
      <c r="G61">
        <f>VLOOKUP(Table4[[#This Row],[Home]],'NHL Model'!$A$6:$B$38,2,FALSE)</f>
        <v>8.4094725828611647E-2</v>
      </c>
      <c r="H61" t="s">
        <v>16</v>
      </c>
      <c r="I61">
        <f>VLOOKUP(Table4[[#This Row],[Visitor]],'NHL Model'!$A$6:$B$38,2,FALSE)</f>
        <v>-0.89031221864884547</v>
      </c>
      <c r="J61">
        <f>($B$1+Table4[[#This Row],[Home Differential]])-Table4[[#This Row],[Away Differential]]</f>
        <v>1.1040139302889811</v>
      </c>
      <c r="K61" t="str">
        <f>IF(Table4[[#This Row],[HomeIce Differential]]&gt;0,Table4[[#This Row],[Home]],Table4[[#This Row],[Visitor]])</f>
        <v>Utah Mammoth</v>
      </c>
      <c r="L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0.69291642897501204</v>
      </c>
      <c r="M61" t="str">
        <f>IF(OR((NHL2025_26Results[[#This Row],[Winning Team]]="")),"-",IF(Table4[[#This Row],[Predicted Winner]]=NHL2025_26Results[[#This Row],[Winning Team]],"YES","NO"))</f>
        <v>YES</v>
      </c>
      <c r="N61">
        <f>IF(Table4[[#This Row],[Adjusted Correct]]="-", "",IF(Table4[[#This Row],[Adjusted Correct]]="YES",(Table4[[#This Row],[Strength of Win]]-1)^2,(Table4[[#This Row],[Strength of Win]]-0)^2))</f>
        <v>9.4300319593458817E-2</v>
      </c>
      <c r="O61">
        <v>2.479038166774715</v>
      </c>
      <c r="P61" s="11"/>
      <c r="Q61" t="s">
        <v>55</v>
      </c>
      <c r="R61" t="s">
        <v>248</v>
      </c>
    </row>
    <row r="62" spans="1:18" x14ac:dyDescent="0.2">
      <c r="A62" s="4" t="s">
        <v>32</v>
      </c>
      <c r="B62" s="12">
        <v>0.42857142857142855</v>
      </c>
      <c r="D62" s="1">
        <v>45946</v>
      </c>
      <c r="E62" s="2">
        <v>0.91666666666666663</v>
      </c>
      <c r="F62" t="s">
        <v>31</v>
      </c>
      <c r="G62">
        <f>VLOOKUP(Table4[[#This Row],[Home]],'NHL Model'!$A$6:$B$38,2,FALSE)</f>
        <v>-0.46360583111358089</v>
      </c>
      <c r="H62" t="s">
        <v>25</v>
      </c>
      <c r="I62">
        <f>VLOOKUP(Table4[[#This Row],[Visitor]],'NHL Model'!$A$6:$B$38,2,FALSE)</f>
        <v>0.2324942014830165</v>
      </c>
      <c r="J62">
        <f>($B$1+Table4[[#This Row],[Home Differential]])-Table4[[#This Row],[Away Differential]]</f>
        <v>-0.56649304678507328</v>
      </c>
      <c r="K62" t="str">
        <f>IF(Table4[[#This Row],[HomeIce Differential]]&gt;0,Table4[[#This Row],[Home]],Table4[[#This Row],[Visitor]])</f>
        <v>Carolina Hurricanes</v>
      </c>
      <c r="L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0.5275312201679474</v>
      </c>
      <c r="M62" t="str">
        <f>IF(OR((NHL2025_26Results[[#This Row],[Winning Team]]="")),"-",IF(Table4[[#This Row],[Predicted Winner]]=NHL2025_26Results[[#This Row],[Winning Team]],"YES","NO"))</f>
        <v>YES</v>
      </c>
      <c r="N62">
        <f>IF(Table4[[#This Row],[Adjusted Correct]]="-", "",IF(Table4[[#This Row],[Adjusted Correct]]="YES",(Table4[[#This Row],[Strength of Win]]-1)^2,(Table4[[#This Row],[Strength of Win]]-0)^2))</f>
        <v>0.22322674791598859</v>
      </c>
      <c r="O62">
        <v>-4.3084880924528859</v>
      </c>
      <c r="P62" s="11"/>
      <c r="Q62" t="s">
        <v>25</v>
      </c>
      <c r="R62" t="s">
        <v>248</v>
      </c>
    </row>
    <row r="63" spans="1:18" x14ac:dyDescent="0.2">
      <c r="A63" s="4" t="s">
        <v>35</v>
      </c>
      <c r="B63" s="12">
        <v>0.33333333333333331</v>
      </c>
      <c r="D63" s="1">
        <v>45946</v>
      </c>
      <c r="E63" s="2">
        <v>0.79166666666666663</v>
      </c>
      <c r="F63" t="s">
        <v>28</v>
      </c>
      <c r="G63">
        <f>VLOOKUP(Table4[[#This Row],[Home]],'NHL Model'!$A$6:$B$38,2,FALSE)</f>
        <v>-0.28156479873410767</v>
      </c>
      <c r="H63" t="s">
        <v>12</v>
      </c>
      <c r="I63">
        <f>VLOOKUP(Table4[[#This Row],[Visitor]],'NHL Model'!$A$6:$B$38,2,FALSE)</f>
        <v>0.99866683349964291</v>
      </c>
      <c r="J63">
        <f>($B$1+Table4[[#This Row],[Home Differential]])-Table4[[#This Row],[Away Differential]]</f>
        <v>-1.1506246464222265</v>
      </c>
      <c r="K63" t="str">
        <f>IF(Table4[[#This Row],[HomeIce Differential]]&gt;0,Table4[[#This Row],[Home]],Table4[[#This Row],[Visitor]])</f>
        <v>Colorado Avalanche</v>
      </c>
      <c r="L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0.65139239042460351</v>
      </c>
      <c r="M63" t="str">
        <f>IF(OR((NHL2025_26Results[[#This Row],[Winning Team]]="")),"-",IF(Table4[[#This Row],[Predicted Winner]]=NHL2025_26Results[[#This Row],[Winning Team]],"YES","NO"))</f>
        <v>YES</v>
      </c>
      <c r="N63">
        <f>IF(Table4[[#This Row],[Adjusted Correct]]="-", "",IF(Table4[[#This Row],[Adjusted Correct]]="YES",(Table4[[#This Row],[Strength of Win]]-1)^2,(Table4[[#This Row],[Strength of Win]]-0)^2))</f>
        <v>0.12152726545387207</v>
      </c>
      <c r="O63">
        <v>-1.5334194010980093</v>
      </c>
      <c r="P63" s="11"/>
      <c r="Q63" t="s">
        <v>12</v>
      </c>
      <c r="R63" t="s">
        <v>248</v>
      </c>
    </row>
    <row r="64" spans="1:18" x14ac:dyDescent="0.2">
      <c r="A64" s="4" t="s">
        <v>37</v>
      </c>
      <c r="B64" s="12">
        <v>0.53333333333333333</v>
      </c>
      <c r="D64" s="1">
        <v>45946</v>
      </c>
      <c r="E64" s="2">
        <v>0.83333333333333337</v>
      </c>
      <c r="F64" t="s">
        <v>39</v>
      </c>
      <c r="G64">
        <f>VLOOKUP(Table4[[#This Row],[Home]],'NHL Model'!$A$6:$B$38,2,FALSE)</f>
        <v>0.21708030788125537</v>
      </c>
      <c r="H64" t="s">
        <v>38</v>
      </c>
      <c r="I64">
        <f>VLOOKUP(Table4[[#This Row],[Visitor]],'NHL Model'!$A$6:$B$38,2,FALSE)</f>
        <v>-1.3920033028857945</v>
      </c>
      <c r="J64">
        <f>($B$1+Table4[[#This Row],[Home Differential]])-Table4[[#This Row],[Away Differential]]</f>
        <v>1.7386905965785742</v>
      </c>
      <c r="K64" t="str">
        <f>IF(Table4[[#This Row],[HomeIce Differential]]&gt;0,Table4[[#This Row],[Home]],Table4[[#This Row],[Visitor]])</f>
        <v>Dallas Stars</v>
      </c>
      <c r="L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0.77308249450513422</v>
      </c>
      <c r="M64" t="str">
        <f>IF(OR((NHL2025_26Results[[#This Row],[Winning Team]]="")),"-",IF(Table4[[#This Row],[Predicted Winner]]=NHL2025_26Results[[#This Row],[Winning Team]],"YES","NO"))</f>
        <v>NO</v>
      </c>
      <c r="N64">
        <f>IF(Table4[[#This Row],[Adjusted Correct]]="-", "",IF(Table4[[#This Row],[Adjusted Correct]]="YES",(Table4[[#This Row],[Strength of Win]]-1)^2,(Table4[[#This Row],[Strength of Win]]-0)^2))</f>
        <v>0.59765654331028084</v>
      </c>
      <c r="O64">
        <v>3.8850895497282538</v>
      </c>
      <c r="P64" s="11"/>
      <c r="Q64" t="s">
        <v>39</v>
      </c>
      <c r="R64" t="s">
        <v>249</v>
      </c>
    </row>
    <row r="65" spans="1:18" x14ac:dyDescent="0.2">
      <c r="A65" s="4" t="s">
        <v>19</v>
      </c>
      <c r="B65" s="12">
        <v>0.52941176470588236</v>
      </c>
      <c r="D65" s="1">
        <v>45946</v>
      </c>
      <c r="E65" s="2">
        <v>0.91666666666666663</v>
      </c>
      <c r="F65" t="s">
        <v>13</v>
      </c>
      <c r="G65">
        <f>VLOOKUP(Table4[[#This Row],[Home]],'NHL Model'!$A$6:$B$38,2,FALSE)</f>
        <v>-0.59069689888466137</v>
      </c>
      <c r="H65" t="s">
        <v>14</v>
      </c>
      <c r="I65">
        <f>VLOOKUP(Table4[[#This Row],[Visitor]],'NHL Model'!$A$6:$B$38,2,FALSE)</f>
        <v>3.6349513460996066E-5</v>
      </c>
      <c r="J65">
        <f>($B$1+Table4[[#This Row],[Home Differential]])-Table4[[#This Row],[Away Differential]]</f>
        <v>-0.46112626258659828</v>
      </c>
      <c r="K65" t="str">
        <f>IF(Table4[[#This Row],[HomeIce Differential]]&gt;0,Table4[[#This Row],[Home]],Table4[[#This Row],[Visitor]])</f>
        <v>Pittsburgh Penguins</v>
      </c>
      <c r="L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0.56592046830953757</v>
      </c>
      <c r="M65" t="str">
        <f>IF(OR((NHL2025_26Results[[#This Row],[Winning Team]]="")),"-",IF(Table4[[#This Row],[Predicted Winner]]=NHL2025_26Results[[#This Row],[Winning Team]],"YES","NO"))</f>
        <v>YES</v>
      </c>
      <c r="N65">
        <f>IF(Table4[[#This Row],[Adjusted Correct]]="-", "",IF(Table4[[#This Row],[Adjusted Correct]]="YES",(Table4[[#This Row],[Strength of Win]]-1)^2,(Table4[[#This Row],[Strength of Win]]-0)^2))</f>
        <v>0.18842503983261116</v>
      </c>
      <c r="O65">
        <v>-0.52754766201235714</v>
      </c>
      <c r="P65" s="11"/>
      <c r="Q65" t="s">
        <v>14</v>
      </c>
      <c r="R65" t="s">
        <v>248</v>
      </c>
    </row>
    <row r="66" spans="1:18" x14ac:dyDescent="0.2">
      <c r="A66" s="4" t="s">
        <v>55</v>
      </c>
      <c r="B66" s="12">
        <v>0.58333333333333337</v>
      </c>
      <c r="D66" s="1">
        <v>45946</v>
      </c>
      <c r="E66" s="2">
        <v>0.79166666666666663</v>
      </c>
      <c r="F66" t="s">
        <v>18</v>
      </c>
      <c r="G66">
        <f>VLOOKUP(Table4[[#This Row],[Home]],'NHL Model'!$A$6:$B$38,2,FALSE)</f>
        <v>-8.6274676766085606E-2</v>
      </c>
      <c r="H66" t="s">
        <v>29</v>
      </c>
      <c r="I66">
        <f>VLOOKUP(Table4[[#This Row],[Visitor]],'NHL Model'!$A$6:$B$38,2,FALSE)</f>
        <v>-0.82056481120798741</v>
      </c>
      <c r="J66">
        <f>($B$1+Table4[[#This Row],[Home Differential]])-Table4[[#This Row],[Away Differential]]</f>
        <v>0.86389712025342591</v>
      </c>
      <c r="K66" t="str">
        <f>IF(Table4[[#This Row],[HomeIce Differential]]&gt;0,Table4[[#This Row],[Home]],Table4[[#This Row],[Visitor]])</f>
        <v>Montreal Canadiens</v>
      </c>
      <c r="L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0.65102696812457173</v>
      </c>
      <c r="M66" t="str">
        <f>IF(OR((NHL2025_26Results[[#This Row],[Winning Team]]="")),"-",IF(Table4[[#This Row],[Predicted Winner]]=NHL2025_26Results[[#This Row],[Winning Team]],"YES","NO"))</f>
        <v>YES</v>
      </c>
      <c r="N66">
        <f>IF(Table4[[#This Row],[Adjusted Correct]]="-", "",IF(Table4[[#This Row],[Adjusted Correct]]="YES",(Table4[[#This Row],[Strength of Win]]-1)^2,(Table4[[#This Row],[Strength of Win]]-0)^2))</f>
        <v>0.12178217697632868</v>
      </c>
      <c r="O66">
        <v>2.339648587475144</v>
      </c>
      <c r="P66" s="11"/>
      <c r="Q66" t="s">
        <v>18</v>
      </c>
      <c r="R66" t="s">
        <v>248</v>
      </c>
    </row>
    <row r="67" spans="1:18" x14ac:dyDescent="0.2">
      <c r="A67" s="4" t="s">
        <v>38</v>
      </c>
      <c r="B67" s="12">
        <v>0.2857142857142857</v>
      </c>
      <c r="D67" s="1">
        <v>45946</v>
      </c>
      <c r="E67" s="2">
        <v>0.79166666666666663</v>
      </c>
      <c r="F67" t="s">
        <v>24</v>
      </c>
      <c r="G67">
        <f>VLOOKUP(Table4[[#This Row],[Home]],'NHL Model'!$A$6:$B$38,2,FALSE)</f>
        <v>-0.74510803532792402</v>
      </c>
      <c r="H67" t="s">
        <v>11</v>
      </c>
      <c r="I67">
        <f>VLOOKUP(Table4[[#This Row],[Visitor]],'NHL Model'!$A$6:$B$38,2,FALSE)</f>
        <v>-0.55695213126481558</v>
      </c>
      <c r="J67">
        <f>($B$1+Table4[[#This Row],[Home Differential]])-Table4[[#This Row],[Away Differential]]</f>
        <v>-5.854891825158437E-2</v>
      </c>
      <c r="K67" t="str">
        <f>IF(Table4[[#This Row],[HomeIce Differential]]&gt;0,Table4[[#This Row],[Home]],Table4[[#This Row],[Visitor]])</f>
        <v>Florida Panthers</v>
      </c>
      <c r="L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0.50586141763009917</v>
      </c>
      <c r="M67" t="str">
        <f>IF(OR((NHL2025_26Results[[#This Row],[Winning Team]]="")),"-",IF(Table4[[#This Row],[Predicted Winner]]=NHL2025_26Results[[#This Row],[Winning Team]],"YES","NO"))</f>
        <v>NO</v>
      </c>
      <c r="N67">
        <f>IF(Table4[[#This Row],[Adjusted Correct]]="-", "",IF(Table4[[#This Row],[Adjusted Correct]]="YES",(Table4[[#This Row],[Strength of Win]]-1)^2,(Table4[[#This Row],[Strength of Win]]-0)^2))</f>
        <v>0.25589577384673362</v>
      </c>
      <c r="O67">
        <v>-1.6909131319341026</v>
      </c>
      <c r="P67" s="11"/>
      <c r="Q67" t="s">
        <v>11</v>
      </c>
      <c r="R67" t="s">
        <v>249</v>
      </c>
    </row>
    <row r="68" spans="1:18" x14ac:dyDescent="0.2">
      <c r="A68" s="4" t="s">
        <v>20</v>
      </c>
      <c r="B68" s="12">
        <v>0.46666666666666667</v>
      </c>
      <c r="D68" s="1">
        <v>45946</v>
      </c>
      <c r="E68" s="2">
        <v>0.8125</v>
      </c>
      <c r="F68" t="s">
        <v>30</v>
      </c>
      <c r="G68">
        <f>VLOOKUP(Table4[[#This Row],[Home]],'NHL Model'!$A$6:$B$38,2,FALSE)</f>
        <v>-0.18630462558229716</v>
      </c>
      <c r="H68" t="s">
        <v>17</v>
      </c>
      <c r="I68">
        <f>VLOOKUP(Table4[[#This Row],[Visitor]],'NHL Model'!$A$6:$B$38,2,FALSE)</f>
        <v>-0.36462594951491906</v>
      </c>
      <c r="J68">
        <f>($B$1+Table4[[#This Row],[Home Differential]])-Table4[[#This Row],[Away Differential]]</f>
        <v>0.30792830974414598</v>
      </c>
      <c r="K68" t="str">
        <f>IF(Table4[[#This Row],[HomeIce Differential]]&gt;0,Table4[[#This Row],[Home]],Table4[[#This Row],[Visitor]])</f>
        <v>New York Islanders</v>
      </c>
      <c r="L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0.58859508090995405</v>
      </c>
      <c r="M68" t="str">
        <f>IF(OR((NHL2025_26Results[[#This Row],[Winning Team]]="")),"-",IF(Table4[[#This Row],[Predicted Winner]]=NHL2025_26Results[[#This Row],[Winning Team]],"YES","NO"))</f>
        <v>YES</v>
      </c>
      <c r="N68">
        <f>IF(Table4[[#This Row],[Adjusted Correct]]="-", "",IF(Table4[[#This Row],[Adjusted Correct]]="YES",(Table4[[#This Row],[Strength of Win]]-1)^2,(Table4[[#This Row],[Strength of Win]]-0)^2))</f>
        <v>0.16925400745148725</v>
      </c>
      <c r="O68">
        <v>-1.6728852332952138</v>
      </c>
      <c r="P68" s="11"/>
      <c r="Q68" t="s">
        <v>17</v>
      </c>
      <c r="R68" t="s">
        <v>249</v>
      </c>
    </row>
    <row r="69" spans="1:18" x14ac:dyDescent="0.2">
      <c r="A69" s="4" t="s">
        <v>22</v>
      </c>
      <c r="B69" s="12">
        <v>0.625</v>
      </c>
      <c r="D69" s="1">
        <v>45946</v>
      </c>
      <c r="E69" s="2">
        <v>0.79166666666666663</v>
      </c>
      <c r="F69" t="s">
        <v>36</v>
      </c>
      <c r="G69">
        <f>VLOOKUP(Table4[[#This Row],[Home]],'NHL Model'!$A$6:$B$38,2,FALSE)</f>
        <v>-0.19010748264223354</v>
      </c>
      <c r="H69" t="s">
        <v>32</v>
      </c>
      <c r="I69">
        <f>VLOOKUP(Table4[[#This Row],[Visitor]],'NHL Model'!$A$6:$B$38,2,FALSE)</f>
        <v>-0.48236715437805205</v>
      </c>
      <c r="J69">
        <f>($B$1+Table4[[#This Row],[Home Differential]])-Table4[[#This Row],[Away Differential]]</f>
        <v>0.42186665754734265</v>
      </c>
      <c r="K69" t="str">
        <f>IF(Table4[[#This Row],[HomeIce Differential]]&gt;0,Table4[[#This Row],[Home]],Table4[[#This Row],[Visitor]])</f>
        <v>Ottawa Senators</v>
      </c>
      <c r="L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0.58737303799376328</v>
      </c>
      <c r="M69" t="str">
        <f>IF(OR((NHL2025_26Results[[#This Row],[Winning Team]]="")),"-",IF(Table4[[#This Row],[Predicted Winner]]=NHL2025_26Results[[#This Row],[Winning Team]],"YES","NO"))</f>
        <v>YES</v>
      </c>
      <c r="N69">
        <f>IF(Table4[[#This Row],[Adjusted Correct]]="-", "",IF(Table4[[#This Row],[Adjusted Correct]]="YES",(Table4[[#This Row],[Strength of Win]]-1)^2,(Table4[[#This Row],[Strength of Win]]-0)^2))</f>
        <v>0.17026100977449632</v>
      </c>
      <c r="O69">
        <v>-4.8332640228227977</v>
      </c>
      <c r="P69" s="11"/>
      <c r="Q69" t="s">
        <v>32</v>
      </c>
      <c r="R69" t="s">
        <v>249</v>
      </c>
    </row>
    <row r="70" spans="1:18" x14ac:dyDescent="0.2">
      <c r="A70" s="4" t="s">
        <v>40</v>
      </c>
      <c r="B70" s="12">
        <v>0.58333333333333337</v>
      </c>
      <c r="D70" s="1">
        <v>45946</v>
      </c>
      <c r="E70" s="2">
        <v>0.79166666666666663</v>
      </c>
      <c r="F70" t="s">
        <v>27</v>
      </c>
      <c r="G70">
        <f>VLOOKUP(Table4[[#This Row],[Home]],'NHL Model'!$A$6:$B$38,2,FALSE)</f>
        <v>-0.55097933929175691</v>
      </c>
      <c r="H70" t="s">
        <v>40</v>
      </c>
      <c r="I70">
        <f>VLOOKUP(Table4[[#This Row],[Visitor]],'NHL Model'!$A$6:$B$38,2,FALSE)</f>
        <v>-0.58845147248022256</v>
      </c>
      <c r="J70">
        <f>($B$1+Table4[[#This Row],[Home Differential]])-Table4[[#This Row],[Away Differential]]</f>
        <v>0.16707911899998973</v>
      </c>
      <c r="K70" t="str">
        <f>IF(Table4[[#This Row],[HomeIce Differential]]&gt;0,Table4[[#This Row],[Home]],Table4[[#This Row],[Visitor]])</f>
        <v>Philadelphia Flyers</v>
      </c>
      <c r="L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0.5587619602325713</v>
      </c>
      <c r="M70" t="str">
        <f>IF(OR((NHL2025_26Results[[#This Row],[Winning Team]]="")),"-",IF(Table4[[#This Row],[Predicted Winner]]=NHL2025_26Results[[#This Row],[Winning Team]],"YES","NO"))</f>
        <v>NO</v>
      </c>
      <c r="N70">
        <f>IF(Table4[[#This Row],[Adjusted Correct]]="-", "",IF(Table4[[#This Row],[Adjusted Correct]]="YES",(Table4[[#This Row],[Strength of Win]]-1)^2,(Table4[[#This Row],[Strength of Win]]-0)^2))</f>
        <v>0.31221492820294561</v>
      </c>
      <c r="O70">
        <v>0.86525103971963047</v>
      </c>
      <c r="P70" s="11"/>
      <c r="Q70" t="s">
        <v>27</v>
      </c>
      <c r="R70" t="s">
        <v>249</v>
      </c>
    </row>
    <row r="71" spans="1:18" x14ac:dyDescent="0.2">
      <c r="A71" s="4" t="s">
        <v>45</v>
      </c>
      <c r="B71" s="12">
        <v>16.693225238813472</v>
      </c>
      <c r="D71" s="1">
        <v>45946</v>
      </c>
      <c r="E71" s="2">
        <v>0.79166666666666663</v>
      </c>
      <c r="F71" t="s">
        <v>19</v>
      </c>
      <c r="G71">
        <f>VLOOKUP(Table4[[#This Row],[Home]],'NHL Model'!$A$6:$B$38,2,FALSE)</f>
        <v>-0.44228056828684137</v>
      </c>
      <c r="H71" t="s">
        <v>15</v>
      </c>
      <c r="I71">
        <f>VLOOKUP(Table4[[#This Row],[Visitor]],'NHL Model'!$A$6:$B$38,2,FALSE)</f>
        <v>-0.73651915476403329</v>
      </c>
      <c r="J71">
        <f>($B$1+Table4[[#This Row],[Home Differential]])-Table4[[#This Row],[Away Differential]]</f>
        <v>0.423845572288716</v>
      </c>
      <c r="K71" t="str">
        <f>IF(Table4[[#This Row],[HomeIce Differential]]&gt;0,Table4[[#This Row],[Home]],Table4[[#This Row],[Visitor]])</f>
        <v>Toronto Maple Leafs</v>
      </c>
      <c r="L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0.55167927198327138</v>
      </c>
      <c r="M71" t="str">
        <f>IF(OR((NHL2025_26Results[[#This Row],[Winning Team]]="")),"-",IF(Table4[[#This Row],[Predicted Winner]]=NHL2025_26Results[[#This Row],[Winning Team]],"YES","NO"))</f>
        <v>YES</v>
      </c>
      <c r="N71">
        <f>IF(Table4[[#This Row],[Adjusted Correct]]="-", "",IF(Table4[[#This Row],[Adjusted Correct]]="YES",(Table4[[#This Row],[Strength of Win]]-1)^2,(Table4[[#This Row],[Strength of Win]]-0)^2))</f>
        <v>0.20099147516944957</v>
      </c>
      <c r="O71">
        <v>2.9856907520763394</v>
      </c>
      <c r="P71" s="11"/>
      <c r="Q71" t="s">
        <v>19</v>
      </c>
      <c r="R71" t="s">
        <v>248</v>
      </c>
    </row>
    <row r="72" spans="1:18" x14ac:dyDescent="0.2">
      <c r="D72" s="1">
        <v>45946</v>
      </c>
      <c r="E72" s="2">
        <v>0.91666666666666663</v>
      </c>
      <c r="F72" t="s">
        <v>20</v>
      </c>
      <c r="G72">
        <f>VLOOKUP(Table4[[#This Row],[Home]],'NHL Model'!$A$6:$B$38,2,FALSE)</f>
        <v>-0.16296463421387539</v>
      </c>
      <c r="H72" t="s">
        <v>21</v>
      </c>
      <c r="I72">
        <f>VLOOKUP(Table4[[#This Row],[Visitor]],'NHL Model'!$A$6:$B$38,2,FALSE)</f>
        <v>-0.10253061303059285</v>
      </c>
      <c r="J72">
        <f>($B$1+Table4[[#This Row],[Home Differential]])-Table4[[#This Row],[Away Differential]]</f>
        <v>6.9172964628241573E-2</v>
      </c>
      <c r="K72" t="str">
        <f>IF(Table4[[#This Row],[HomeIce Differential]]&gt;0,Table4[[#This Row],[Home]],Table4[[#This Row],[Visitor]])</f>
        <v>Vegas Golden Knights</v>
      </c>
      <c r="L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0.54776769963411298</v>
      </c>
      <c r="M72" t="str">
        <f>IF(OR((NHL2025_26Results[[#This Row],[Winning Team]]="")),"-",IF(Table4[[#This Row],[Predicted Winner]]=NHL2025_26Results[[#This Row],[Winning Team]],"YES","NO"))</f>
        <v>YES</v>
      </c>
      <c r="N72">
        <f>IF(Table4[[#This Row],[Adjusted Correct]]="-", "",IF(Table4[[#This Row],[Adjusted Correct]]="YES",(Table4[[#This Row],[Strength of Win]]-1)^2,(Table4[[#This Row],[Strength of Win]]-0)^2))</f>
        <v>0.20451405349422186</v>
      </c>
      <c r="O72">
        <v>-2.5601464660303166</v>
      </c>
      <c r="P72" s="11"/>
      <c r="Q72" t="s">
        <v>21</v>
      </c>
      <c r="R72" t="s">
        <v>249</v>
      </c>
    </row>
    <row r="73" spans="1:18" x14ac:dyDescent="0.2">
      <c r="D73" s="1">
        <v>45947</v>
      </c>
      <c r="E73" s="2">
        <v>0.85416666666666663</v>
      </c>
      <c r="F73" t="s">
        <v>10</v>
      </c>
      <c r="G73">
        <f>VLOOKUP(Table4[[#This Row],[Home]],'NHL Model'!$A$6:$B$38,2,FALSE)</f>
        <v>-0.92658078135875344</v>
      </c>
      <c r="H73" t="s">
        <v>38</v>
      </c>
      <c r="I73">
        <f>VLOOKUP(Table4[[#This Row],[Visitor]],'NHL Model'!$A$6:$B$38,2,FALSE)</f>
        <v>-1.3920033028857945</v>
      </c>
      <c r="J73">
        <f>($B$1+Table4[[#This Row],[Home Differential]])-Table4[[#This Row],[Away Differential]]</f>
        <v>0.59502950733856519</v>
      </c>
      <c r="K73" t="str">
        <f>IF(Table4[[#This Row],[HomeIce Differential]]&gt;0,Table4[[#This Row],[Home]],Table4[[#This Row],[Visitor]])</f>
        <v>Chicago Blackhawks</v>
      </c>
      <c r="L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0.60681816387775733</v>
      </c>
      <c r="M73" t="str">
        <f>IF(OR((NHL2025_26Results[[#This Row],[Winning Team]]="")),"-",IF(Table4[[#This Row],[Predicted Winner]]=NHL2025_26Results[[#This Row],[Winning Team]],"YES","NO"))</f>
        <v>NO</v>
      </c>
      <c r="N73">
        <f>IF(Table4[[#This Row],[Adjusted Correct]]="-", "",IF(Table4[[#This Row],[Adjusted Correct]]="YES",(Table4[[#This Row],[Strength of Win]]-1)^2,(Table4[[#This Row],[Strength of Win]]-0)^2))</f>
        <v>0.36822828401197277</v>
      </c>
      <c r="O73">
        <v>0.50461758683915225</v>
      </c>
      <c r="P73" s="11"/>
      <c r="Q73" t="s">
        <v>10</v>
      </c>
      <c r="R73" t="s">
        <v>249</v>
      </c>
    </row>
    <row r="74" spans="1:18" x14ac:dyDescent="0.2">
      <c r="D74" s="1">
        <v>45947</v>
      </c>
      <c r="E74" s="2">
        <v>0.79166666666666663</v>
      </c>
      <c r="F74" t="s">
        <v>26</v>
      </c>
      <c r="G74">
        <f>VLOOKUP(Table4[[#This Row],[Home]],'NHL Model'!$A$6:$B$38,2,FALSE)</f>
        <v>-0.33113778518110382</v>
      </c>
      <c r="H74" t="s">
        <v>37</v>
      </c>
      <c r="I74">
        <f>VLOOKUP(Table4[[#This Row],[Visitor]],'NHL Model'!$A$6:$B$38,2,FALSE)</f>
        <v>0.72108184732572844</v>
      </c>
      <c r="J74">
        <f>($B$1+Table4[[#This Row],[Home Differential]])-Table4[[#This Row],[Away Differential]]</f>
        <v>-0.92261264669530818</v>
      </c>
      <c r="K74" t="str">
        <f>IF(Table4[[#This Row],[HomeIce Differential]]&gt;0,Table4[[#This Row],[Home]],Table4[[#This Row],[Visitor]])</f>
        <v>Tampa Bay Lightning</v>
      </c>
      <c r="L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0.63432999807889301</v>
      </c>
      <c r="M74" t="str">
        <f>IF(OR((NHL2025_26Results[[#This Row],[Winning Team]]="")),"-",IF(Table4[[#This Row],[Predicted Winner]]=NHL2025_26Results[[#This Row],[Winning Team]],"YES","NO"))</f>
        <v>NO</v>
      </c>
      <c r="N74">
        <f>IF(Table4[[#This Row],[Adjusted Correct]]="-", "",IF(Table4[[#This Row],[Adjusted Correct]]="YES",(Table4[[#This Row],[Strength of Win]]-1)^2,(Table4[[#This Row],[Strength of Win]]-0)^2))</f>
        <v>0.40237454646276843</v>
      </c>
      <c r="O74">
        <v>2.1140058846338787</v>
      </c>
      <c r="P74" s="11"/>
      <c r="Q74" t="s">
        <v>26</v>
      </c>
      <c r="R74" t="s">
        <v>248</v>
      </c>
    </row>
    <row r="75" spans="1:18" x14ac:dyDescent="0.2">
      <c r="D75" s="1">
        <v>45947</v>
      </c>
      <c r="E75" s="2">
        <v>0.875</v>
      </c>
      <c r="F75" t="s">
        <v>55</v>
      </c>
      <c r="G75">
        <f>VLOOKUP(Table4[[#This Row],[Home]],'NHL Model'!$A$6:$B$38,2,FALSE)</f>
        <v>8.4094725828611647E-2</v>
      </c>
      <c r="H75" t="s">
        <v>33</v>
      </c>
      <c r="I75">
        <f>VLOOKUP(Table4[[#This Row],[Visitor]],'NHL Model'!$A$6:$B$38,2,FALSE)</f>
        <v>-0.65236582493376272</v>
      </c>
      <c r="J75">
        <f>($B$1+Table4[[#This Row],[Home Differential]])-Table4[[#This Row],[Away Differential]]</f>
        <v>0.86606753657389846</v>
      </c>
      <c r="K75" t="str">
        <f>IF(Table4[[#This Row],[HomeIce Differential]]&gt;0,Table4[[#This Row],[Home]],Table4[[#This Row],[Visitor]])</f>
        <v>Utah Mammoth</v>
      </c>
      <c r="L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0.66619650847814615</v>
      </c>
      <c r="M75" t="str">
        <f>IF(OR((NHL2025_26Results[[#This Row],[Winning Team]]="")),"-",IF(Table4[[#This Row],[Predicted Winner]]=NHL2025_26Results[[#This Row],[Winning Team]],"YES","NO"))</f>
        <v>YES</v>
      </c>
      <c r="N75">
        <f>IF(Table4[[#This Row],[Adjusted Correct]]="-", "",IF(Table4[[#This Row],[Adjusted Correct]]="YES",(Table4[[#This Row],[Strength of Win]]-1)^2,(Table4[[#This Row],[Strength of Win]]-0)^2))</f>
        <v>0.11142477095218035</v>
      </c>
      <c r="O75">
        <v>1.4498410342373456</v>
      </c>
      <c r="P75" s="11"/>
      <c r="Q75" t="s">
        <v>55</v>
      </c>
      <c r="R75" t="s">
        <v>248</v>
      </c>
    </row>
    <row r="76" spans="1:18" x14ac:dyDescent="0.2">
      <c r="D76" s="1">
        <v>45947</v>
      </c>
      <c r="E76" s="2">
        <v>0.79166666666666663</v>
      </c>
      <c r="F76" t="s">
        <v>22</v>
      </c>
      <c r="G76">
        <f>VLOOKUP(Table4[[#This Row],[Home]],'NHL Model'!$A$6:$B$38,2,FALSE)</f>
        <v>-0.11977593183651415</v>
      </c>
      <c r="H76" t="s">
        <v>34</v>
      </c>
      <c r="I76">
        <f>VLOOKUP(Table4[[#This Row],[Visitor]],'NHL Model'!$A$6:$B$38,2,FALSE)</f>
        <v>6.0485283743665949E-2</v>
      </c>
      <c r="J76">
        <f>($B$1+Table4[[#This Row],[Home Differential]])-Table4[[#This Row],[Away Differential]]</f>
        <v>-5.0654229768655995E-2</v>
      </c>
      <c r="K76" t="str">
        <f>IF(Table4[[#This Row],[HomeIce Differential]]&gt;0,Table4[[#This Row],[Home]],Table4[[#This Row],[Visitor]])</f>
        <v>Minnesota Wild</v>
      </c>
      <c r="L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0.51684237850438897</v>
      </c>
      <c r="M76" t="str">
        <f>IF(OR((NHL2025_26Results[[#This Row],[Winning Team]]="")),"-",IF(Table4[[#This Row],[Predicted Winner]]=NHL2025_26Results[[#This Row],[Winning Team]],"YES","NO"))</f>
        <v>NO</v>
      </c>
      <c r="N76">
        <f>IF(Table4[[#This Row],[Adjusted Correct]]="-", "",IF(Table4[[#This Row],[Adjusted Correct]]="YES",(Table4[[#This Row],[Strength of Win]]-1)^2,(Table4[[#This Row],[Strength of Win]]-0)^2))</f>
        <v>0.26712604421807407</v>
      </c>
      <c r="O76">
        <v>1.932573010009293</v>
      </c>
      <c r="P76" s="11"/>
      <c r="Q76" t="s">
        <v>22</v>
      </c>
      <c r="R76" t="s">
        <v>248</v>
      </c>
    </row>
    <row r="77" spans="1:18" x14ac:dyDescent="0.2">
      <c r="D77" s="1">
        <v>45948</v>
      </c>
      <c r="E77" s="2">
        <v>0.54166666666666663</v>
      </c>
      <c r="F77" t="s">
        <v>23</v>
      </c>
      <c r="G77">
        <f>VLOOKUP(Table4[[#This Row],[Home]],'NHL Model'!$A$6:$B$38,2,FALSE)</f>
        <v>8.1543966060426461E-3</v>
      </c>
      <c r="H77" t="s">
        <v>11</v>
      </c>
      <c r="I77">
        <f>VLOOKUP(Table4[[#This Row],[Visitor]],'NHL Model'!$A$6:$B$38,2,FALSE)</f>
        <v>-0.55695213126481558</v>
      </c>
      <c r="J77">
        <f>($B$1+Table4[[#This Row],[Home Differential]])-Table4[[#This Row],[Away Differential]]</f>
        <v>0.69471351368238232</v>
      </c>
      <c r="K77" t="str">
        <f>IF(Table4[[#This Row],[HomeIce Differential]]&gt;0,Table4[[#This Row],[Home]],Table4[[#This Row],[Visitor]])</f>
        <v>Buffalo Sabres</v>
      </c>
      <c r="L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0.60798808553232975</v>
      </c>
      <c r="M77" t="str">
        <f>IF(OR((NHL2025_26Results[[#This Row],[Winning Team]]="")),"-",IF(Table4[[#This Row],[Predicted Winner]]=NHL2025_26Results[[#This Row],[Winning Team]],"YES","NO"))</f>
        <v>YES</v>
      </c>
      <c r="N77">
        <f>IF(Table4[[#This Row],[Adjusted Correct]]="-", "",IF(Table4[[#This Row],[Adjusted Correct]]="YES",(Table4[[#This Row],[Strength of Win]]-1)^2,(Table4[[#This Row],[Strength of Win]]-0)^2))</f>
        <v>0.15367334108460801</v>
      </c>
      <c r="O77">
        <v>0.49609379868750247</v>
      </c>
      <c r="P77" s="11"/>
      <c r="Q77" t="s">
        <v>23</v>
      </c>
      <c r="R77" t="s">
        <v>248</v>
      </c>
    </row>
    <row r="78" spans="1:18" x14ac:dyDescent="0.2">
      <c r="D78" s="1">
        <v>45948</v>
      </c>
      <c r="E78" s="2">
        <v>0.79166666666666663</v>
      </c>
      <c r="F78" t="s">
        <v>28</v>
      </c>
      <c r="G78">
        <f>VLOOKUP(Table4[[#This Row],[Home]],'NHL Model'!$A$6:$B$38,2,FALSE)</f>
        <v>-0.28156479873410767</v>
      </c>
      <c r="H78" t="s">
        <v>37</v>
      </c>
      <c r="I78">
        <f>VLOOKUP(Table4[[#This Row],[Visitor]],'NHL Model'!$A$6:$B$38,2,FALSE)</f>
        <v>0.72108184732572844</v>
      </c>
      <c r="J78">
        <f>($B$1+Table4[[#This Row],[Home Differential]])-Table4[[#This Row],[Away Differential]]</f>
        <v>-0.87303966024831203</v>
      </c>
      <c r="K78" t="str">
        <f>IF(Table4[[#This Row],[HomeIce Differential]]&gt;0,Table4[[#This Row],[Home]],Table4[[#This Row],[Visitor]])</f>
        <v>Tampa Bay Lightning</v>
      </c>
      <c r="L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0.64787622708462334</v>
      </c>
      <c r="M78" t="str">
        <f>IF(OR((NHL2025_26Results[[#This Row],[Winning Team]]="")),"-",IF(Table4[[#This Row],[Predicted Winner]]=NHL2025_26Results[[#This Row],[Winning Team]],"YES","NO"))</f>
        <v>NO</v>
      </c>
      <c r="N78">
        <f>IF(Table4[[#This Row],[Adjusted Correct]]="-", "",IF(Table4[[#This Row],[Adjusted Correct]]="YES",(Table4[[#This Row],[Strength of Win]]-1)^2,(Table4[[#This Row],[Strength of Win]]-0)^2))</f>
        <v>0.41974360562140645</v>
      </c>
      <c r="O78">
        <v>0.46611340656220523</v>
      </c>
      <c r="P78" s="11"/>
      <c r="Q78" t="s">
        <v>28</v>
      </c>
      <c r="R78" t="s">
        <v>248</v>
      </c>
    </row>
    <row r="79" spans="1:18" x14ac:dyDescent="0.2">
      <c r="D79" s="1">
        <v>45948</v>
      </c>
      <c r="E79" s="2">
        <v>0.875</v>
      </c>
      <c r="F79" t="s">
        <v>12</v>
      </c>
      <c r="G79">
        <f>VLOOKUP(Table4[[#This Row],[Home]],'NHL Model'!$A$6:$B$38,2,FALSE)</f>
        <v>0.99866683349964291</v>
      </c>
      <c r="H79" t="s">
        <v>21</v>
      </c>
      <c r="I79">
        <f>VLOOKUP(Table4[[#This Row],[Visitor]],'NHL Model'!$A$6:$B$38,2,FALSE)</f>
        <v>-0.10253061303059285</v>
      </c>
      <c r="J79">
        <f>($B$1+Table4[[#This Row],[Home Differential]])-Table4[[#This Row],[Away Differential]]</f>
        <v>1.2308044323417597</v>
      </c>
      <c r="K79" t="str">
        <f>IF(Table4[[#This Row],[HomeIce Differential]]&gt;0,Table4[[#This Row],[Home]],Table4[[#This Row],[Visitor]])</f>
        <v>Colorado Avalanche</v>
      </c>
      <c r="L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0.75804649897851184</v>
      </c>
      <c r="M79" t="str">
        <f>IF(OR((NHL2025_26Results[[#This Row],[Winning Team]]="")),"-",IF(Table4[[#This Row],[Predicted Winner]]=NHL2025_26Results[[#This Row],[Winning Team]],"YES","NO"))</f>
        <v>YES</v>
      </c>
      <c r="N79">
        <f>IF(Table4[[#This Row],[Adjusted Correct]]="-", "",IF(Table4[[#This Row],[Adjusted Correct]]="YES",(Table4[[#This Row],[Strength of Win]]-1)^2,(Table4[[#This Row],[Strength of Win]]-0)^2))</f>
        <v>5.8541496656555274E-2</v>
      </c>
      <c r="O79">
        <v>1.3275581364572637</v>
      </c>
      <c r="P79" s="11"/>
      <c r="Q79" t="s">
        <v>12</v>
      </c>
      <c r="R79" t="s">
        <v>248</v>
      </c>
    </row>
    <row r="80" spans="1:18" x14ac:dyDescent="0.2">
      <c r="D80" s="1">
        <v>45948</v>
      </c>
      <c r="E80" s="2">
        <v>0.875</v>
      </c>
      <c r="F80" t="s">
        <v>13</v>
      </c>
      <c r="G80">
        <f>VLOOKUP(Table4[[#This Row],[Home]],'NHL Model'!$A$6:$B$38,2,FALSE)</f>
        <v>-0.59069689888466137</v>
      </c>
      <c r="H80" t="s">
        <v>25</v>
      </c>
      <c r="I80">
        <f>VLOOKUP(Table4[[#This Row],[Visitor]],'NHL Model'!$A$6:$B$38,2,FALSE)</f>
        <v>0.2324942014830165</v>
      </c>
      <c r="J80">
        <f>($B$1+Table4[[#This Row],[Home Differential]])-Table4[[#This Row],[Away Differential]]</f>
        <v>-0.69358411455615376</v>
      </c>
      <c r="K80" t="str">
        <f>IF(Table4[[#This Row],[HomeIce Differential]]&gt;0,Table4[[#This Row],[Home]],Table4[[#This Row],[Visitor]])</f>
        <v>Carolina Hurricanes</v>
      </c>
      <c r="L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0.59441416737315333</v>
      </c>
      <c r="M80" t="str">
        <f>IF(OR((NHL2025_26Results[[#This Row],[Winning Team]]="")),"-",IF(Table4[[#This Row],[Predicted Winner]]=NHL2025_26Results[[#This Row],[Winning Team]],"YES","NO"))</f>
        <v>YES</v>
      </c>
      <c r="N80">
        <f>IF(Table4[[#This Row],[Adjusted Correct]]="-", "",IF(Table4[[#This Row],[Adjusted Correct]]="YES",(Table4[[#This Row],[Strength of Win]]-1)^2,(Table4[[#This Row],[Strength of Win]]-0)^2))</f>
        <v>0.16449986762761248</v>
      </c>
      <c r="O80">
        <v>-2.4361086420440561</v>
      </c>
      <c r="P80" s="11"/>
      <c r="Q80" t="s">
        <v>25</v>
      </c>
      <c r="R80" t="s">
        <v>248</v>
      </c>
    </row>
    <row r="81" spans="4:18" x14ac:dyDescent="0.2">
      <c r="D81" s="1">
        <v>45948</v>
      </c>
      <c r="E81" s="2">
        <v>0.79166666666666663</v>
      </c>
      <c r="F81" t="s">
        <v>18</v>
      </c>
      <c r="G81">
        <f>VLOOKUP(Table4[[#This Row],[Home]],'NHL Model'!$A$6:$B$38,2,FALSE)</f>
        <v>-8.6274676766085606E-2</v>
      </c>
      <c r="H81" t="s">
        <v>15</v>
      </c>
      <c r="I81">
        <f>VLOOKUP(Table4[[#This Row],[Visitor]],'NHL Model'!$A$6:$B$38,2,FALSE)</f>
        <v>-0.73651915476403329</v>
      </c>
      <c r="J81">
        <f>($B$1+Table4[[#This Row],[Home Differential]])-Table4[[#This Row],[Away Differential]]</f>
        <v>0.77985146380947179</v>
      </c>
      <c r="K81" t="str">
        <f>IF(Table4[[#This Row],[HomeIce Differential]]&gt;0,Table4[[#This Row],[Home]],Table4[[#This Row],[Visitor]])</f>
        <v>Montreal Canadiens</v>
      </c>
      <c r="L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0.60579115940894701</v>
      </c>
      <c r="M81" t="str">
        <f>IF(OR((NHL2025_26Results[[#This Row],[Winning Team]]="")),"-",IF(Table4[[#This Row],[Predicted Winner]]=NHL2025_26Results[[#This Row],[Winning Team]],"YES","NO"))</f>
        <v>NO</v>
      </c>
      <c r="N81">
        <f>IF(Table4[[#This Row],[Adjusted Correct]]="-", "",IF(Table4[[#This Row],[Adjusted Correct]]="YES",(Table4[[#This Row],[Strength of Win]]-1)^2,(Table4[[#This Row],[Strength of Win]]-0)^2))</f>
        <v>0.36698292881803624</v>
      </c>
      <c r="O81">
        <v>0.14585649835472669</v>
      </c>
      <c r="P81" s="11"/>
      <c r="Q81" t="s">
        <v>18</v>
      </c>
      <c r="R81" t="s">
        <v>249</v>
      </c>
    </row>
    <row r="82" spans="4:18" x14ac:dyDescent="0.2">
      <c r="D82" s="1">
        <v>45948</v>
      </c>
      <c r="E82" s="2">
        <v>0.64583333333333337</v>
      </c>
      <c r="F82" t="s">
        <v>24</v>
      </c>
      <c r="G82">
        <f>VLOOKUP(Table4[[#This Row],[Home]],'NHL Model'!$A$6:$B$38,2,FALSE)</f>
        <v>-0.74510803532792402</v>
      </c>
      <c r="H82" t="s">
        <v>17</v>
      </c>
      <c r="I82">
        <f>VLOOKUP(Table4[[#This Row],[Visitor]],'NHL Model'!$A$6:$B$38,2,FALSE)</f>
        <v>-0.36462594951491906</v>
      </c>
      <c r="J82">
        <f>($B$1+Table4[[#This Row],[Home Differential]])-Table4[[#This Row],[Away Differential]]</f>
        <v>-0.25087510000148089</v>
      </c>
      <c r="K82" t="str">
        <f>IF(Table4[[#This Row],[HomeIce Differential]]&gt;0,Table4[[#This Row],[Home]],Table4[[#This Row],[Visitor]])</f>
        <v>Edmonton Oilers</v>
      </c>
      <c r="L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0.48817173491063481</v>
      </c>
      <c r="M82" t="str">
        <f>IF(OR((NHL2025_26Results[[#This Row],[Winning Team]]="")),"-",IF(Table4[[#This Row],[Predicted Winner]]=NHL2025_26Results[[#This Row],[Winning Team]],"YES","NO"))</f>
        <v>NO</v>
      </c>
      <c r="N82">
        <f>IF(Table4[[#This Row],[Adjusted Correct]]="-", "",IF(Table4[[#This Row],[Adjusted Correct]]="YES",(Table4[[#This Row],[Strength of Win]]-1)^2,(Table4[[#This Row],[Strength of Win]]-0)^2))</f>
        <v>0.23831164276565911</v>
      </c>
      <c r="O82">
        <v>1.3001093292131507</v>
      </c>
      <c r="P82" s="11"/>
      <c r="Q82" t="s">
        <v>24</v>
      </c>
      <c r="R82" t="s">
        <v>248</v>
      </c>
    </row>
    <row r="83" spans="4:18" x14ac:dyDescent="0.2">
      <c r="D83" s="1">
        <v>45948</v>
      </c>
      <c r="E83" s="2">
        <v>0.625</v>
      </c>
      <c r="F83" t="s">
        <v>36</v>
      </c>
      <c r="G83">
        <f>VLOOKUP(Table4[[#This Row],[Home]],'NHL Model'!$A$6:$B$38,2,FALSE)</f>
        <v>-0.19010748264223354</v>
      </c>
      <c r="H83" t="s">
        <v>30</v>
      </c>
      <c r="I83">
        <f>VLOOKUP(Table4[[#This Row],[Visitor]],'NHL Model'!$A$6:$B$38,2,FALSE)</f>
        <v>-0.18630462558229716</v>
      </c>
      <c r="J83">
        <f>($B$1+Table4[[#This Row],[Home Differential]])-Table4[[#This Row],[Away Differential]]</f>
        <v>0.12580412875158772</v>
      </c>
      <c r="K83" t="str">
        <f>IF(Table4[[#This Row],[HomeIce Differential]]&gt;0,Table4[[#This Row],[Home]],Table4[[#This Row],[Visitor]])</f>
        <v>Ottawa Senators</v>
      </c>
      <c r="L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0.51723262206262599</v>
      </c>
      <c r="M83" t="str">
        <f>IF(OR((NHL2025_26Results[[#This Row],[Winning Team]]="")),"-",IF(Table4[[#This Row],[Predicted Winner]]=NHL2025_26Results[[#This Row],[Winning Team]],"YES","NO"))</f>
        <v>NO</v>
      </c>
      <c r="N83">
        <f>IF(Table4[[#This Row],[Adjusted Correct]]="-", "",IF(Table4[[#This Row],[Adjusted Correct]]="YES",(Table4[[#This Row],[Strength of Win]]-1)^2,(Table4[[#This Row],[Strength of Win]]-0)^2))</f>
        <v>0.26752958532577931</v>
      </c>
      <c r="O83">
        <v>-1.5775627493950353</v>
      </c>
      <c r="P83" s="11"/>
      <c r="Q83" t="s">
        <v>30</v>
      </c>
      <c r="R83" t="s">
        <v>248</v>
      </c>
    </row>
    <row r="84" spans="4:18" x14ac:dyDescent="0.2">
      <c r="D84" s="1">
        <v>45948</v>
      </c>
      <c r="E84" s="2">
        <v>0.79166666666666663</v>
      </c>
      <c r="F84" t="s">
        <v>27</v>
      </c>
      <c r="G84">
        <f>VLOOKUP(Table4[[#This Row],[Home]],'NHL Model'!$A$6:$B$38,2,FALSE)</f>
        <v>-0.55097933929175691</v>
      </c>
      <c r="H84" t="s">
        <v>34</v>
      </c>
      <c r="I84">
        <f>VLOOKUP(Table4[[#This Row],[Visitor]],'NHL Model'!$A$6:$B$38,2,FALSE)</f>
        <v>6.0485283743665949E-2</v>
      </c>
      <c r="J84">
        <f>($B$1+Table4[[#This Row],[Home Differential]])-Table4[[#This Row],[Away Differential]]</f>
        <v>-0.48185763722389879</v>
      </c>
      <c r="K84" t="str">
        <f>IF(Table4[[#This Row],[HomeIce Differential]]&gt;0,Table4[[#This Row],[Home]],Table4[[#This Row],[Visitor]])</f>
        <v>Minnesota Wild</v>
      </c>
      <c r="L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0.58337491233098104</v>
      </c>
      <c r="M84" t="str">
        <f>IF(OR((NHL2025_26Results[[#This Row],[Winning Team]]="")),"-",IF(Table4[[#This Row],[Predicted Winner]]=NHL2025_26Results[[#This Row],[Winning Team]],"YES","NO"))</f>
        <v>NO</v>
      </c>
      <c r="N84">
        <f>IF(Table4[[#This Row],[Adjusted Correct]]="-", "",IF(Table4[[#This Row],[Adjusted Correct]]="YES",(Table4[[#This Row],[Strength of Win]]-1)^2,(Table4[[#This Row],[Strength of Win]]-0)^2))</f>
        <v>0.34032628833717982</v>
      </c>
      <c r="O84">
        <v>0.87342927478910926</v>
      </c>
      <c r="P84" s="11"/>
      <c r="Q84" t="s">
        <v>27</v>
      </c>
      <c r="R84" t="s">
        <v>248</v>
      </c>
    </row>
    <row r="85" spans="4:18" x14ac:dyDescent="0.2">
      <c r="D85" s="1">
        <v>45948</v>
      </c>
      <c r="E85" s="2">
        <v>0.91666666666666663</v>
      </c>
      <c r="F85" t="s">
        <v>33</v>
      </c>
      <c r="G85">
        <f>VLOOKUP(Table4[[#This Row],[Home]],'NHL Model'!$A$6:$B$38,2,FALSE)</f>
        <v>-0.65236582493376272</v>
      </c>
      <c r="H85" t="s">
        <v>14</v>
      </c>
      <c r="I85">
        <f>VLOOKUP(Table4[[#This Row],[Visitor]],'NHL Model'!$A$6:$B$38,2,FALSE)</f>
        <v>3.6349513460996066E-5</v>
      </c>
      <c r="J85">
        <f>($B$1+Table4[[#This Row],[Home Differential]])-Table4[[#This Row],[Away Differential]]</f>
        <v>-0.52279518863569963</v>
      </c>
      <c r="K85" t="str">
        <f>IF(Table4[[#This Row],[HomeIce Differential]]&gt;0,Table4[[#This Row],[Home]],Table4[[#This Row],[Visitor]])</f>
        <v>Pittsburgh Penguins</v>
      </c>
      <c r="L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0.57284551043954002</v>
      </c>
      <c r="M85" t="str">
        <f>IF(OR((NHL2025_26Results[[#This Row],[Winning Team]]="")),"-",IF(Table4[[#This Row],[Predicted Winner]]=NHL2025_26Results[[#This Row],[Winning Team]],"YES","NO"))</f>
        <v>YES</v>
      </c>
      <c r="N85">
        <f>IF(Table4[[#This Row],[Adjusted Correct]]="-", "",IF(Table4[[#This Row],[Adjusted Correct]]="YES",(Table4[[#This Row],[Strength of Win]]-1)^2,(Table4[[#This Row],[Strength of Win]]-0)^2))</f>
        <v>0.18246095795165712</v>
      </c>
      <c r="O85">
        <v>-2.3124303956750296</v>
      </c>
      <c r="P85" s="11"/>
      <c r="Q85" t="s">
        <v>14</v>
      </c>
      <c r="R85" t="s">
        <v>248</v>
      </c>
    </row>
    <row r="86" spans="4:18" x14ac:dyDescent="0.2">
      <c r="D86" s="1">
        <v>45948</v>
      </c>
      <c r="E86" s="2">
        <v>0.79166666666666663</v>
      </c>
      <c r="F86" t="s">
        <v>35</v>
      </c>
      <c r="G86">
        <f>VLOOKUP(Table4[[#This Row],[Home]],'NHL Model'!$A$6:$B$38,2,FALSE)</f>
        <v>-1.3128572733047907</v>
      </c>
      <c r="H86" t="s">
        <v>39</v>
      </c>
      <c r="I86">
        <f>VLOOKUP(Table4[[#This Row],[Visitor]],'NHL Model'!$A$6:$B$38,2,FALSE)</f>
        <v>0.21708030788125537</v>
      </c>
      <c r="J86">
        <f>($B$1+Table4[[#This Row],[Home Differential]])-Table4[[#This Row],[Away Differential]]</f>
        <v>-1.400330595374522</v>
      </c>
      <c r="K86" t="str">
        <f>IF(Table4[[#This Row],[HomeIce Differential]]&gt;0,Table4[[#This Row],[Home]],Table4[[#This Row],[Visitor]])</f>
        <v>Dallas Stars</v>
      </c>
      <c r="L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0.67538325152837198</v>
      </c>
      <c r="M86" t="str">
        <f>IF(OR((NHL2025_26Results[[#This Row],[Winning Team]]="")),"-",IF(Table4[[#This Row],[Predicted Winner]]=NHL2025_26Results[[#This Row],[Winning Team]],"YES","NO"))</f>
        <v>NO</v>
      </c>
      <c r="N86">
        <f>IF(Table4[[#This Row],[Adjusted Correct]]="-", "",IF(Table4[[#This Row],[Adjusted Correct]]="YES",(Table4[[#This Row],[Strength of Win]]-1)^2,(Table4[[#This Row],[Strength of Win]]-0)^2))</f>
        <v>0.45614253644503616</v>
      </c>
      <c r="O86">
        <v>-1.7422218213901475</v>
      </c>
      <c r="P86" s="11"/>
      <c r="Q86" t="s">
        <v>39</v>
      </c>
      <c r="R86" t="s">
        <v>249</v>
      </c>
    </row>
    <row r="87" spans="4:18" x14ac:dyDescent="0.2">
      <c r="D87" s="1">
        <v>45948</v>
      </c>
      <c r="E87" s="2">
        <v>0.79166666666666663</v>
      </c>
      <c r="F87" t="s">
        <v>19</v>
      </c>
      <c r="G87">
        <f>VLOOKUP(Table4[[#This Row],[Home]],'NHL Model'!$A$6:$B$38,2,FALSE)</f>
        <v>-0.44228056828684137</v>
      </c>
      <c r="H87" t="s">
        <v>32</v>
      </c>
      <c r="I87">
        <f>VLOOKUP(Table4[[#This Row],[Visitor]],'NHL Model'!$A$6:$B$38,2,FALSE)</f>
        <v>-0.48236715437805205</v>
      </c>
      <c r="J87">
        <f>($B$1+Table4[[#This Row],[Home Differential]])-Table4[[#This Row],[Away Differential]]</f>
        <v>0.16969357190273476</v>
      </c>
      <c r="K87" t="str">
        <f>IF(Table4[[#This Row],[HomeIce Differential]]&gt;0,Table4[[#This Row],[Home]],Table4[[#This Row],[Visitor]])</f>
        <v>Toronto Maple Leafs</v>
      </c>
      <c r="L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0.55905554725699913</v>
      </c>
      <c r="M87" t="str">
        <f>IF(OR((NHL2025_26Results[[#This Row],[Winning Team]]="")),"-",IF(Table4[[#This Row],[Predicted Winner]]=NHL2025_26Results[[#This Row],[Winning Team]],"YES","NO"))</f>
        <v>NO</v>
      </c>
      <c r="N87">
        <f>IF(Table4[[#This Row],[Adjusted Correct]]="-", "",IF(Table4[[#This Row],[Adjusted Correct]]="YES",(Table4[[#This Row],[Strength of Win]]-1)^2,(Table4[[#This Row],[Strength of Win]]-0)^2))</f>
        <v>0.31254310491882281</v>
      </c>
      <c r="O87">
        <v>0.74601483428085158</v>
      </c>
      <c r="P87" s="11"/>
      <c r="Q87" t="s">
        <v>19</v>
      </c>
      <c r="R87" t="s">
        <v>249</v>
      </c>
    </row>
    <row r="88" spans="4:18" x14ac:dyDescent="0.2">
      <c r="D88" s="1">
        <v>45948</v>
      </c>
      <c r="E88" s="2">
        <v>0.91666666666666663</v>
      </c>
      <c r="F88" t="s">
        <v>20</v>
      </c>
      <c r="G88">
        <f>VLOOKUP(Table4[[#This Row],[Home]],'NHL Model'!$A$6:$B$38,2,FALSE)</f>
        <v>-0.16296463421387539</v>
      </c>
      <c r="H88" t="s">
        <v>16</v>
      </c>
      <c r="I88">
        <f>VLOOKUP(Table4[[#This Row],[Visitor]],'NHL Model'!$A$6:$B$38,2,FALSE)</f>
        <v>-0.89031221864884547</v>
      </c>
      <c r="J88">
        <f>($B$1+Table4[[#This Row],[Home Differential]])-Table4[[#This Row],[Away Differential]]</f>
        <v>0.85695457024649424</v>
      </c>
      <c r="K88" t="str">
        <f>IF(Table4[[#This Row],[HomeIce Differential]]&gt;0,Table4[[#This Row],[Home]],Table4[[#This Row],[Visitor]])</f>
        <v>Vegas Golden Knights</v>
      </c>
      <c r="L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0.63623074184444262</v>
      </c>
      <c r="M88" t="str">
        <f>IF(OR((NHL2025_26Results[[#This Row],[Winning Team]]="")),"-",IF(Table4[[#This Row],[Predicted Winner]]=NHL2025_26Results[[#This Row],[Winning Team]],"YES","NO"))</f>
        <v>YES</v>
      </c>
      <c r="N88">
        <f>IF(Table4[[#This Row],[Adjusted Correct]]="-", "",IF(Table4[[#This Row],[Adjusted Correct]]="YES",(Table4[[#This Row],[Strength of Win]]-1)^2,(Table4[[#This Row],[Strength of Win]]-0)^2))</f>
        <v>0.13232807317904455</v>
      </c>
      <c r="O88">
        <v>2.6044294042757858</v>
      </c>
      <c r="P88" s="11"/>
      <c r="Q88" t="s">
        <v>20</v>
      </c>
      <c r="R88" t="s">
        <v>248</v>
      </c>
    </row>
    <row r="89" spans="4:18" x14ac:dyDescent="0.2">
      <c r="D89" s="1">
        <v>45948</v>
      </c>
      <c r="E89" s="2">
        <v>0.79166666666666663</v>
      </c>
      <c r="F89" t="s">
        <v>40</v>
      </c>
      <c r="G89">
        <f>VLOOKUP(Table4[[#This Row],[Home]],'NHL Model'!$A$6:$B$38,2,FALSE)</f>
        <v>-0.58845147248022256</v>
      </c>
      <c r="H89" t="s">
        <v>29</v>
      </c>
      <c r="I89">
        <f>VLOOKUP(Table4[[#This Row],[Visitor]],'NHL Model'!$A$6:$B$38,2,FALSE)</f>
        <v>-0.82056481120798741</v>
      </c>
      <c r="J89">
        <f>($B$1+Table4[[#This Row],[Home Differential]])-Table4[[#This Row],[Away Differential]]</f>
        <v>0.36172032453928893</v>
      </c>
      <c r="K89" t="str">
        <f>IF(Table4[[#This Row],[HomeIce Differential]]&gt;0,Table4[[#This Row],[Home]],Table4[[#This Row],[Visitor]])</f>
        <v>Winnipeg Jets</v>
      </c>
      <c r="L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0.5806189737229781</v>
      </c>
      <c r="M89" t="str">
        <f>IF(OR((NHL2025_26Results[[#This Row],[Winning Team]]="")),"-",IF(Table4[[#This Row],[Predicted Winner]]=NHL2025_26Results[[#This Row],[Winning Team]],"YES","NO"))</f>
        <v>YES</v>
      </c>
      <c r="N89">
        <f>IF(Table4[[#This Row],[Adjusted Correct]]="-", "",IF(Table4[[#This Row],[Adjusted Correct]]="YES",(Table4[[#This Row],[Strength of Win]]-1)^2,(Table4[[#This Row],[Strength of Win]]-0)^2))</f>
        <v>0.17588044520116813</v>
      </c>
      <c r="O89">
        <v>1.9282325309043316</v>
      </c>
      <c r="P89" s="11"/>
      <c r="Q89" t="s">
        <v>40</v>
      </c>
      <c r="R89" t="s">
        <v>248</v>
      </c>
    </row>
    <row r="90" spans="4:18" x14ac:dyDescent="0.2">
      <c r="D90" s="1">
        <v>45949</v>
      </c>
      <c r="E90" s="2">
        <v>0.79166666666666663</v>
      </c>
      <c r="F90" t="s">
        <v>10</v>
      </c>
      <c r="G90">
        <f>VLOOKUP(Table4[[#This Row],[Home]],'NHL Model'!$A$6:$B$38,2,FALSE)</f>
        <v>-0.92658078135875344</v>
      </c>
      <c r="H90" t="s">
        <v>31</v>
      </c>
      <c r="I90">
        <f>VLOOKUP(Table4[[#This Row],[Visitor]],'NHL Model'!$A$6:$B$38,2,FALSE)</f>
        <v>-0.46360583111358089</v>
      </c>
      <c r="J90">
        <f>($B$1+Table4[[#This Row],[Home Differential]])-Table4[[#This Row],[Away Differential]]</f>
        <v>-0.33336796443364847</v>
      </c>
      <c r="K90" t="str">
        <f>IF(Table4[[#This Row],[HomeIce Differential]]&gt;0,Table4[[#This Row],[Home]],Table4[[#This Row],[Visitor]])</f>
        <v>Anaheim Ducks</v>
      </c>
      <c r="L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0.49743517759102934</v>
      </c>
      <c r="M90" t="str">
        <f>IF(OR((NHL2025_26Results[[#This Row],[Winning Team]]="")),"-",IF(Table4[[#This Row],[Predicted Winner]]=NHL2025_26Results[[#This Row],[Winning Team]],"YES","NO"))</f>
        <v>NO</v>
      </c>
      <c r="N90">
        <f>IF(Table4[[#This Row],[Adjusted Correct]]="-", "",IF(Table4[[#This Row],[Adjusted Correct]]="YES",(Table4[[#This Row],[Strength of Win]]-1)^2,(Table4[[#This Row],[Strength of Win]]-0)^2))</f>
        <v>0.24744175590501891</v>
      </c>
      <c r="O90">
        <v>1.0236082778054616</v>
      </c>
      <c r="P90" s="11"/>
      <c r="Q90" t="s">
        <v>10</v>
      </c>
      <c r="R90" t="s">
        <v>248</v>
      </c>
    </row>
    <row r="91" spans="4:18" x14ac:dyDescent="0.2">
      <c r="D91" s="1">
        <v>45949</v>
      </c>
      <c r="E91" s="2">
        <v>0.625</v>
      </c>
      <c r="F91" t="s">
        <v>26</v>
      </c>
      <c r="G91">
        <f>VLOOKUP(Table4[[#This Row],[Home]],'NHL Model'!$A$6:$B$38,2,FALSE)</f>
        <v>-0.33113778518110382</v>
      </c>
      <c r="H91" t="s">
        <v>17</v>
      </c>
      <c r="I91">
        <f>VLOOKUP(Table4[[#This Row],[Visitor]],'NHL Model'!$A$6:$B$38,2,FALSE)</f>
        <v>-0.36462594951491906</v>
      </c>
      <c r="J91">
        <f>($B$1+Table4[[#This Row],[Home Differential]])-Table4[[#This Row],[Away Differential]]</f>
        <v>0.16309515014533935</v>
      </c>
      <c r="K91" t="str">
        <f>IF(Table4[[#This Row],[HomeIce Differential]]&gt;0,Table4[[#This Row],[Home]],Table4[[#This Row],[Visitor]])</f>
        <v>Detroit Red Wings</v>
      </c>
      <c r="L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0.58435232081614807</v>
      </c>
      <c r="M91" t="str">
        <f>IF(OR((NHL2025_26Results[[#This Row],[Winning Team]]="")),"-",IF(Table4[[#This Row],[Predicted Winner]]=NHL2025_26Results[[#This Row],[Winning Team]],"YES","NO"))</f>
        <v>YES</v>
      </c>
      <c r="N91">
        <f>IF(Table4[[#This Row],[Adjusted Correct]]="-", "",IF(Table4[[#This Row],[Adjusted Correct]]="YES",(Table4[[#This Row],[Strength of Win]]-1)^2,(Table4[[#This Row],[Strength of Win]]-0)^2))</f>
        <v>0.17276299321092228</v>
      </c>
      <c r="O91">
        <v>1.8006704637232276</v>
      </c>
      <c r="P91" s="11"/>
      <c r="Q91" t="s">
        <v>26</v>
      </c>
      <c r="R91" t="s">
        <v>248</v>
      </c>
    </row>
    <row r="92" spans="4:18" x14ac:dyDescent="0.2">
      <c r="D92" s="1">
        <v>45949</v>
      </c>
      <c r="E92" s="2">
        <v>0.79166666666666663</v>
      </c>
      <c r="F92" t="s">
        <v>55</v>
      </c>
      <c r="G92">
        <f>VLOOKUP(Table4[[#This Row],[Home]],'NHL Model'!$A$6:$B$38,2,FALSE)</f>
        <v>8.4094725828611647E-2</v>
      </c>
      <c r="H92" t="s">
        <v>21</v>
      </c>
      <c r="I92">
        <f>VLOOKUP(Table4[[#This Row],[Visitor]],'NHL Model'!$A$6:$B$38,2,FALSE)</f>
        <v>-0.10253061303059285</v>
      </c>
      <c r="J92">
        <f>($B$1+Table4[[#This Row],[Home Differential]])-Table4[[#This Row],[Away Differential]]</f>
        <v>0.31623232467072859</v>
      </c>
      <c r="K92" t="str">
        <f>IF(Table4[[#This Row],[HomeIce Differential]]&gt;0,Table4[[#This Row],[Home]],Table4[[#This Row],[Visitor]])</f>
        <v>Utah Mammoth</v>
      </c>
      <c r="L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0.60445338676468241</v>
      </c>
      <c r="M92" t="str">
        <f>IF(OR((NHL2025_26Results[[#This Row],[Winning Team]]="")),"-",IF(Table4[[#This Row],[Predicted Winner]]=NHL2025_26Results[[#This Row],[Winning Team]],"YES","NO"))</f>
        <v>YES</v>
      </c>
      <c r="N92">
        <f>IF(Table4[[#This Row],[Adjusted Correct]]="-", "",IF(Table4[[#This Row],[Adjusted Correct]]="YES",(Table4[[#This Row],[Strength of Win]]-1)^2,(Table4[[#This Row],[Strength of Win]]-0)^2))</f>
        <v>0.15645712324192992</v>
      </c>
      <c r="O92">
        <v>-3.8498221269855248E-2</v>
      </c>
      <c r="P92" s="11"/>
      <c r="Q92" t="s">
        <v>21</v>
      </c>
      <c r="R92" t="s">
        <v>249</v>
      </c>
    </row>
    <row r="93" spans="4:18" x14ac:dyDescent="0.2">
      <c r="D93" s="1">
        <v>45949</v>
      </c>
      <c r="E93" s="2">
        <v>0.52083333333333337</v>
      </c>
      <c r="F93" t="s">
        <v>22</v>
      </c>
      <c r="G93">
        <f>VLOOKUP(Table4[[#This Row],[Home]],'NHL Model'!$A$6:$B$38,2,FALSE)</f>
        <v>-0.11977593183651415</v>
      </c>
      <c r="H93" t="s">
        <v>38</v>
      </c>
      <c r="I93">
        <f>VLOOKUP(Table4[[#This Row],[Visitor]],'NHL Model'!$A$6:$B$38,2,FALSE)</f>
        <v>-1.3920033028857945</v>
      </c>
      <c r="J93">
        <f>($B$1+Table4[[#This Row],[Home Differential]])-Table4[[#This Row],[Away Differential]]</f>
        <v>1.4018343568608045</v>
      </c>
      <c r="K93" t="str">
        <f>IF(Table4[[#This Row],[HomeIce Differential]]&gt;0,Table4[[#This Row],[Home]],Table4[[#This Row],[Visitor]])</f>
        <v>Washington Capitals</v>
      </c>
      <c r="L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0.71538392170227083</v>
      </c>
      <c r="M93" t="str">
        <f>IF(OR((NHL2025_26Results[[#This Row],[Winning Team]]="")),"-",IF(Table4[[#This Row],[Predicted Winner]]=NHL2025_26Results[[#This Row],[Winning Team]],"YES","NO"))</f>
        <v>NO</v>
      </c>
      <c r="N93">
        <f>IF(Table4[[#This Row],[Adjusted Correct]]="-", "",IF(Table4[[#This Row],[Adjusted Correct]]="YES",(Table4[[#This Row],[Strength of Win]]-1)^2,(Table4[[#This Row],[Strength of Win]]-0)^2))</f>
        <v>0.51177415543012073</v>
      </c>
      <c r="O93">
        <v>0.52602722443981031</v>
      </c>
      <c r="P93" s="11"/>
      <c r="Q93" t="s">
        <v>22</v>
      </c>
      <c r="R93" t="s">
        <v>249</v>
      </c>
    </row>
    <row r="94" spans="4:18" x14ac:dyDescent="0.2">
      <c r="D94" s="1">
        <v>45950</v>
      </c>
      <c r="E94" s="2">
        <v>0.89583333333333337</v>
      </c>
      <c r="F94" t="s">
        <v>16</v>
      </c>
      <c r="G94">
        <f>VLOOKUP(Table4[[#This Row],[Home]],'NHL Model'!$A$6:$B$38,2,FALSE)</f>
        <v>-0.89031221864884547</v>
      </c>
      <c r="H94" t="s">
        <v>40</v>
      </c>
      <c r="I94">
        <f>VLOOKUP(Table4[[#This Row],[Visitor]],'NHL Model'!$A$6:$B$38,2,FALSE)</f>
        <v>-0.58845147248022256</v>
      </c>
      <c r="J94">
        <f>($B$1+Table4[[#This Row],[Home Differential]])-Table4[[#This Row],[Away Differential]]</f>
        <v>-0.17225376035709883</v>
      </c>
      <c r="K94" t="str">
        <f>IF(Table4[[#This Row],[HomeIce Differential]]&gt;0,Table4[[#This Row],[Home]],Table4[[#This Row],[Visitor]])</f>
        <v>Winnipeg Jets</v>
      </c>
      <c r="L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0.47934304071672146</v>
      </c>
      <c r="M94" t="str">
        <f>IF(OR((NHL2025_26Results[[#This Row],[Winning Team]]="")),"-",IF(Table4[[#This Row],[Predicted Winner]]=NHL2025_26Results[[#This Row],[Winning Team]],"YES","NO"))</f>
        <v>YES</v>
      </c>
      <c r="N94">
        <f>IF(Table4[[#This Row],[Adjusted Correct]]="-", "",IF(Table4[[#This Row],[Adjusted Correct]]="YES",(Table4[[#This Row],[Strength of Win]]-1)^2,(Table4[[#This Row],[Strength of Win]]-0)^2))</f>
        <v>0.27108366925010963</v>
      </c>
      <c r="O94">
        <v>-3.1150923655116651</v>
      </c>
      <c r="P94" s="11"/>
      <c r="Q94" t="s">
        <v>40</v>
      </c>
      <c r="R94" t="s">
        <v>248</v>
      </c>
    </row>
    <row r="95" spans="4:18" x14ac:dyDescent="0.2">
      <c r="D95" s="1">
        <v>45950</v>
      </c>
      <c r="E95" s="2">
        <v>0.8125</v>
      </c>
      <c r="F95" t="s">
        <v>18</v>
      </c>
      <c r="G95">
        <f>VLOOKUP(Table4[[#This Row],[Home]],'NHL Model'!$A$6:$B$38,2,FALSE)</f>
        <v>-8.6274676766085606E-2</v>
      </c>
      <c r="H95" t="s">
        <v>23</v>
      </c>
      <c r="I95">
        <f>VLOOKUP(Table4[[#This Row],[Visitor]],'NHL Model'!$A$6:$B$38,2,FALSE)</f>
        <v>8.1543966060426461E-3</v>
      </c>
      <c r="J95">
        <f>($B$1+Table4[[#This Row],[Home Differential]])-Table4[[#This Row],[Away Differential]]</f>
        <v>3.5177912439395852E-2</v>
      </c>
      <c r="K95" t="str">
        <f>IF(Table4[[#This Row],[HomeIce Differential]]&gt;0,Table4[[#This Row],[Home]],Table4[[#This Row],[Visitor]])</f>
        <v>Montreal Canadiens</v>
      </c>
      <c r="L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0.52119164310275112</v>
      </c>
      <c r="M95" t="str">
        <f>IF(OR((NHL2025_26Results[[#This Row],[Winning Team]]="")),"-",IF(Table4[[#This Row],[Predicted Winner]]=NHL2025_26Results[[#This Row],[Winning Team]],"YES","NO"))</f>
        <v>YES</v>
      </c>
      <c r="N95">
        <f>IF(Table4[[#This Row],[Adjusted Correct]]="-", "",IF(Table4[[#This Row],[Adjusted Correct]]="YES",(Table4[[#This Row],[Strength of Win]]-1)^2,(Table4[[#This Row],[Strength of Win]]-0)^2))</f>
        <v>0.22925744263464326</v>
      </c>
      <c r="O95">
        <v>1.3370911623551756</v>
      </c>
      <c r="P95" s="11"/>
      <c r="Q95" t="s">
        <v>18</v>
      </c>
      <c r="R95" t="s">
        <v>248</v>
      </c>
    </row>
    <row r="96" spans="4:18" x14ac:dyDescent="0.2">
      <c r="D96" s="1">
        <v>45950</v>
      </c>
      <c r="E96" s="2">
        <v>0.79166666666666663</v>
      </c>
      <c r="F96" t="s">
        <v>15</v>
      </c>
      <c r="G96">
        <f>VLOOKUP(Table4[[#This Row],[Home]],'NHL Model'!$A$6:$B$38,2,FALSE)</f>
        <v>-0.73651915476403329</v>
      </c>
      <c r="H96" t="s">
        <v>34</v>
      </c>
      <c r="I96">
        <f>VLOOKUP(Table4[[#This Row],[Visitor]],'NHL Model'!$A$6:$B$38,2,FALSE)</f>
        <v>6.0485283743665949E-2</v>
      </c>
      <c r="J96">
        <f>($B$1+Table4[[#This Row],[Home Differential]])-Table4[[#This Row],[Away Differential]]</f>
        <v>-0.66739745269617512</v>
      </c>
      <c r="K96" t="str">
        <f>IF(Table4[[#This Row],[HomeIce Differential]]&gt;0,Table4[[#This Row],[Home]],Table4[[#This Row],[Visitor]])</f>
        <v>Minnesota Wild</v>
      </c>
      <c r="L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0.60420989554303439</v>
      </c>
      <c r="M96" t="str">
        <f>IF(OR((NHL2025_26Results[[#This Row],[Winning Team]]="")),"-",IF(Table4[[#This Row],[Predicted Winner]]=NHL2025_26Results[[#This Row],[Winning Team]],"YES","NO"))</f>
        <v>YES</v>
      </c>
      <c r="N96">
        <f>IF(Table4[[#This Row],[Adjusted Correct]]="-", "",IF(Table4[[#This Row],[Adjusted Correct]]="YES",(Table4[[#This Row],[Strength of Win]]-1)^2,(Table4[[#This Row],[Strength of Win]]-0)^2))</f>
        <v>0.15664980678605575</v>
      </c>
      <c r="O96">
        <v>0.5226306009326972</v>
      </c>
      <c r="P96" s="11"/>
      <c r="Q96" t="s">
        <v>15</v>
      </c>
      <c r="R96" t="s">
        <v>249</v>
      </c>
    </row>
    <row r="97" spans="4:18" x14ac:dyDescent="0.2">
      <c r="D97" s="1">
        <v>45950</v>
      </c>
      <c r="E97" s="2">
        <v>0.79166666666666663</v>
      </c>
      <c r="F97" t="s">
        <v>27</v>
      </c>
      <c r="G97">
        <f>VLOOKUP(Table4[[#This Row],[Home]],'NHL Model'!$A$6:$B$38,2,FALSE)</f>
        <v>-0.55097933929175691</v>
      </c>
      <c r="H97" t="s">
        <v>32</v>
      </c>
      <c r="I97">
        <f>VLOOKUP(Table4[[#This Row],[Visitor]],'NHL Model'!$A$6:$B$38,2,FALSE)</f>
        <v>-0.48236715437805205</v>
      </c>
      <c r="J97">
        <f>($B$1+Table4[[#This Row],[Home Differential]])-Table4[[#This Row],[Away Differential]]</f>
        <v>6.0994800897819224E-2</v>
      </c>
      <c r="K97" t="str">
        <f>IF(Table4[[#This Row],[HomeIce Differential]]&gt;0,Table4[[#This Row],[Home]],Table4[[#This Row],[Visitor]])</f>
        <v>Philadelphia Flyers</v>
      </c>
      <c r="L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0.54684934201046731</v>
      </c>
      <c r="M97" t="str">
        <f>IF(OR((NHL2025_26Results[[#This Row],[Winning Team]]="")),"-",IF(Table4[[#This Row],[Predicted Winner]]=NHL2025_26Results[[#This Row],[Winning Team]],"YES","NO"))</f>
        <v>YES</v>
      </c>
      <c r="N97">
        <f>IF(Table4[[#This Row],[Adjusted Correct]]="-", "",IF(Table4[[#This Row],[Adjusted Correct]]="YES",(Table4[[#This Row],[Strength of Win]]-1)^2,(Table4[[#This Row],[Strength of Win]]-0)^2))</f>
        <v>0.20534551883634644</v>
      </c>
      <c r="O97">
        <v>0.66782260380233516</v>
      </c>
      <c r="P97" s="11"/>
      <c r="Q97" t="s">
        <v>27</v>
      </c>
      <c r="R97" t="s">
        <v>248</v>
      </c>
    </row>
    <row r="98" spans="4:18" x14ac:dyDescent="0.2">
      <c r="D98" s="1">
        <v>45950</v>
      </c>
      <c r="E98" s="2">
        <v>0.91666666666666663</v>
      </c>
      <c r="F98" t="s">
        <v>20</v>
      </c>
      <c r="G98">
        <f>VLOOKUP(Table4[[#This Row],[Home]],'NHL Model'!$A$6:$B$38,2,FALSE)</f>
        <v>-0.16296463421387539</v>
      </c>
      <c r="H98" t="s">
        <v>25</v>
      </c>
      <c r="I98">
        <f>VLOOKUP(Table4[[#This Row],[Visitor]],'NHL Model'!$A$6:$B$38,2,FALSE)</f>
        <v>0.2324942014830165</v>
      </c>
      <c r="J98">
        <f>($B$1+Table4[[#This Row],[Home Differential]])-Table4[[#This Row],[Away Differential]]</f>
        <v>-0.26585184988536781</v>
      </c>
      <c r="K98" t="str">
        <f>IF(Table4[[#This Row],[HomeIce Differential]]&gt;0,Table4[[#This Row],[Home]],Table4[[#This Row],[Visitor]])</f>
        <v>Carolina Hurricanes</v>
      </c>
      <c r="L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0.54638245767793148</v>
      </c>
      <c r="M98" t="str">
        <f>IF(OR((NHL2025_26Results[[#This Row],[Winning Team]]="")),"-",IF(Table4[[#This Row],[Predicted Winner]]=NHL2025_26Results[[#This Row],[Winning Team]],"YES","NO"))</f>
        <v>NO</v>
      </c>
      <c r="N98">
        <f>IF(Table4[[#This Row],[Adjusted Correct]]="-", "",IF(Table4[[#This Row],[Adjusted Correct]]="YES",(Table4[[#This Row],[Strength of Win]]-1)^2,(Table4[[#This Row],[Strength of Win]]-0)^2))</f>
        <v>0.2985337900581766</v>
      </c>
      <c r="O98">
        <v>-0.4989921219968072</v>
      </c>
      <c r="P98" s="11"/>
      <c r="Q98" t="s">
        <v>25</v>
      </c>
      <c r="R98" t="s">
        <v>249</v>
      </c>
    </row>
    <row r="99" spans="4:18" x14ac:dyDescent="0.2">
      <c r="D99" s="1">
        <v>45951</v>
      </c>
      <c r="E99" s="2">
        <v>0.8125</v>
      </c>
      <c r="F99" t="s">
        <v>21</v>
      </c>
      <c r="G99">
        <f>VLOOKUP(Table4[[#This Row],[Home]],'NHL Model'!$A$6:$B$38,2,FALSE)</f>
        <v>-0.10253061303059285</v>
      </c>
      <c r="H99" t="s">
        <v>11</v>
      </c>
      <c r="I99">
        <f>VLOOKUP(Table4[[#This Row],[Visitor]],'NHL Model'!$A$6:$B$38,2,FALSE)</f>
        <v>-0.55695213126481558</v>
      </c>
      <c r="J99">
        <f>($B$1+Table4[[#This Row],[Home Differential]])-Table4[[#This Row],[Away Differential]]</f>
        <v>0.5840285040457468</v>
      </c>
      <c r="K99" t="str">
        <f>IF(Table4[[#This Row],[HomeIce Differential]]&gt;0,Table4[[#This Row],[Home]],Table4[[#This Row],[Visitor]])</f>
        <v>Boston Bruins</v>
      </c>
      <c r="L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0.61877430804771072</v>
      </c>
      <c r="M99" t="str">
        <f>IF(OR((NHL2025_26Results[[#This Row],[Winning Team]]="")),"-",IF(Table4[[#This Row],[Predicted Winner]]=NHL2025_26Results[[#This Row],[Winning Team]],"YES","NO"))</f>
        <v>NO</v>
      </c>
      <c r="N99">
        <f>IF(Table4[[#This Row],[Adjusted Correct]]="-", "",IF(Table4[[#This Row],[Adjusted Correct]]="YES",(Table4[[#This Row],[Strength of Win]]-1)^2,(Table4[[#This Row],[Strength of Win]]-0)^2))</f>
        <v>0.38288164429992322</v>
      </c>
      <c r="O99">
        <v>0.44292105787578795</v>
      </c>
      <c r="P99" s="11"/>
      <c r="Q99" t="s">
        <v>21</v>
      </c>
      <c r="R99" t="s">
        <v>249</v>
      </c>
    </row>
    <row r="100" spans="4:18" x14ac:dyDescent="0.2">
      <c r="D100" s="1">
        <v>45951</v>
      </c>
      <c r="E100" s="2">
        <v>0.83333333333333337</v>
      </c>
      <c r="F100" t="s">
        <v>39</v>
      </c>
      <c r="G100">
        <f>VLOOKUP(Table4[[#This Row],[Home]],'NHL Model'!$A$6:$B$38,2,FALSE)</f>
        <v>0.21708030788125537</v>
      </c>
      <c r="H100" t="s">
        <v>28</v>
      </c>
      <c r="I100">
        <f>VLOOKUP(Table4[[#This Row],[Visitor]],'NHL Model'!$A$6:$B$38,2,FALSE)</f>
        <v>-0.28156479873410767</v>
      </c>
      <c r="J100">
        <f>($B$1+Table4[[#This Row],[Home Differential]])-Table4[[#This Row],[Away Differential]]</f>
        <v>0.62825209242688718</v>
      </c>
      <c r="K100" t="str">
        <f>IF(Table4[[#This Row],[HomeIce Differential]]&gt;0,Table4[[#This Row],[Home]],Table4[[#This Row],[Visitor]])</f>
        <v>Dallas Stars</v>
      </c>
      <c r="L1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0.63656492988099944</v>
      </c>
      <c r="M100" t="str">
        <f>IF(OR((NHL2025_26Results[[#This Row],[Winning Team]]="")),"-",IF(Table4[[#This Row],[Predicted Winner]]=NHL2025_26Results[[#This Row],[Winning Team]],"YES","NO"))</f>
        <v>NO</v>
      </c>
      <c r="N100">
        <f>IF(Table4[[#This Row],[Adjusted Correct]]="-", "",IF(Table4[[#This Row],[Adjusted Correct]]="YES",(Table4[[#This Row],[Strength of Win]]-1)^2,(Table4[[#This Row],[Strength of Win]]-0)^2))</f>
        <v>0.40521490995440174</v>
      </c>
      <c r="O100">
        <v>-0.92191943902201234</v>
      </c>
      <c r="P100" s="11"/>
      <c r="Q100" t="s">
        <v>28</v>
      </c>
      <c r="R100" t="s">
        <v>248</v>
      </c>
    </row>
    <row r="101" spans="4:18" x14ac:dyDescent="0.2">
      <c r="D101" s="1">
        <v>45951</v>
      </c>
      <c r="E101" s="2">
        <v>0.83333333333333337</v>
      </c>
      <c r="F101" t="s">
        <v>29</v>
      </c>
      <c r="G101">
        <f>VLOOKUP(Table4[[#This Row],[Home]],'NHL Model'!$A$6:$B$38,2,FALSE)</f>
        <v>-0.82056481120798741</v>
      </c>
      <c r="H101" t="s">
        <v>31</v>
      </c>
      <c r="I101">
        <f>VLOOKUP(Table4[[#This Row],[Visitor]],'NHL Model'!$A$6:$B$38,2,FALSE)</f>
        <v>-0.46360583111358089</v>
      </c>
      <c r="J101">
        <f>($B$1+Table4[[#This Row],[Home Differential]])-Table4[[#This Row],[Away Differential]]</f>
        <v>-0.22735199428288244</v>
      </c>
      <c r="K101" t="str">
        <f>IF(Table4[[#This Row],[HomeIce Differential]]&gt;0,Table4[[#This Row],[Home]],Table4[[#This Row],[Visitor]])</f>
        <v>Anaheim Ducks</v>
      </c>
      <c r="L1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0.48553023442463489</v>
      </c>
      <c r="M101" t="str">
        <f>IF(OR((NHL2025_26Results[[#This Row],[Winning Team]]="")),"-",IF(Table4[[#This Row],[Predicted Winner]]=NHL2025_26Results[[#This Row],[Winning Team]],"YES","NO"))</f>
        <v>YES</v>
      </c>
      <c r="N101">
        <f>IF(Table4[[#This Row],[Adjusted Correct]]="-", "",IF(Table4[[#This Row],[Adjusted Correct]]="YES",(Table4[[#This Row],[Strength of Win]]-1)^2,(Table4[[#This Row],[Strength of Win]]-0)^2))</f>
        <v>0.26467913969117118</v>
      </c>
      <c r="O101">
        <v>-0.62542389291989786</v>
      </c>
      <c r="P101" s="11"/>
      <c r="Q101" t="s">
        <v>31</v>
      </c>
      <c r="R101" t="s">
        <v>248</v>
      </c>
    </row>
    <row r="102" spans="4:18" x14ac:dyDescent="0.2">
      <c r="D102" s="1">
        <v>45951</v>
      </c>
      <c r="E102" s="2">
        <v>0.79166666666666663</v>
      </c>
      <c r="F102" t="s">
        <v>30</v>
      </c>
      <c r="G102">
        <f>VLOOKUP(Table4[[#This Row],[Home]],'NHL Model'!$A$6:$B$38,2,FALSE)</f>
        <v>-0.18630462558229716</v>
      </c>
      <c r="H102" t="s">
        <v>33</v>
      </c>
      <c r="I102">
        <f>VLOOKUP(Table4[[#This Row],[Visitor]],'NHL Model'!$A$6:$B$38,2,FALSE)</f>
        <v>-0.65236582493376272</v>
      </c>
      <c r="J102">
        <f>($B$1+Table4[[#This Row],[Home Differential]])-Table4[[#This Row],[Away Differential]]</f>
        <v>0.59566818516298969</v>
      </c>
      <c r="K102" t="str">
        <f>IF(Table4[[#This Row],[HomeIce Differential]]&gt;0,Table4[[#This Row],[Home]],Table4[[#This Row],[Visitor]])</f>
        <v>New York Islanders</v>
      </c>
      <c r="L1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0.62090650397852842</v>
      </c>
      <c r="M102" t="str">
        <f>IF(OR((NHL2025_26Results[[#This Row],[Winning Team]]="")),"-",IF(Table4[[#This Row],[Predicted Winner]]=NHL2025_26Results[[#This Row],[Winning Team]],"YES","NO"))</f>
        <v>YES</v>
      </c>
      <c r="N102">
        <f>IF(Table4[[#This Row],[Adjusted Correct]]="-", "",IF(Table4[[#This Row],[Adjusted Correct]]="YES",(Table4[[#This Row],[Strength of Win]]-1)^2,(Table4[[#This Row],[Strength of Win]]-0)^2))</f>
        <v>0.14371187872578148</v>
      </c>
      <c r="O102">
        <v>1.0691126570687239</v>
      </c>
      <c r="P102" s="11"/>
      <c r="Q102" t="s">
        <v>30</v>
      </c>
      <c r="R102" t="s">
        <v>248</v>
      </c>
    </row>
    <row r="103" spans="4:18" x14ac:dyDescent="0.2">
      <c r="D103" s="1">
        <v>45951</v>
      </c>
      <c r="E103" s="2">
        <v>0.79166666666666663</v>
      </c>
      <c r="F103" t="s">
        <v>36</v>
      </c>
      <c r="G103">
        <f>VLOOKUP(Table4[[#This Row],[Home]],'NHL Model'!$A$6:$B$38,2,FALSE)</f>
        <v>-0.19010748264223354</v>
      </c>
      <c r="H103" t="s">
        <v>17</v>
      </c>
      <c r="I103">
        <f>VLOOKUP(Table4[[#This Row],[Visitor]],'NHL Model'!$A$6:$B$38,2,FALSE)</f>
        <v>-0.36462594951491906</v>
      </c>
      <c r="J103">
        <f>($B$1+Table4[[#This Row],[Home Differential]])-Table4[[#This Row],[Away Differential]]</f>
        <v>0.30412545268420965</v>
      </c>
      <c r="K103" t="str">
        <f>IF(Table4[[#This Row],[HomeIce Differential]]&gt;0,Table4[[#This Row],[Home]],Table4[[#This Row],[Visitor]])</f>
        <v>Ottawa Senators</v>
      </c>
      <c r="L1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0.57415142288950083</v>
      </c>
      <c r="M103" t="str">
        <f>IF(OR((NHL2025_26Results[[#This Row],[Winning Team]]="")),"-",IF(Table4[[#This Row],[Predicted Winner]]=NHL2025_26Results[[#This Row],[Winning Team]],"YES","NO"))</f>
        <v>NO</v>
      </c>
      <c r="N103">
        <f>IF(Table4[[#This Row],[Adjusted Correct]]="-", "",IF(Table4[[#This Row],[Adjusted Correct]]="YES",(Table4[[#This Row],[Strength of Win]]-1)^2,(Table4[[#This Row],[Strength of Win]]-0)^2))</f>
        <v>0.32964985640603839</v>
      </c>
      <c r="O103">
        <v>-1.4748079518247106</v>
      </c>
      <c r="P103" s="11"/>
      <c r="Q103" t="s">
        <v>17</v>
      </c>
      <c r="R103" t="s">
        <v>248</v>
      </c>
    </row>
    <row r="104" spans="4:18" x14ac:dyDescent="0.2">
      <c r="D104" s="1">
        <v>45951</v>
      </c>
      <c r="E104" s="2">
        <v>0.79166666666666663</v>
      </c>
      <c r="F104" t="s">
        <v>14</v>
      </c>
      <c r="G104">
        <f>VLOOKUP(Table4[[#This Row],[Home]],'NHL Model'!$A$6:$B$38,2,FALSE)</f>
        <v>3.6349513460996066E-5</v>
      </c>
      <c r="H104" t="s">
        <v>38</v>
      </c>
      <c r="I104">
        <f>VLOOKUP(Table4[[#This Row],[Visitor]],'NHL Model'!$A$6:$B$38,2,FALSE)</f>
        <v>-1.3920033028857945</v>
      </c>
      <c r="J104">
        <f>($B$1+Table4[[#This Row],[Home Differential]])-Table4[[#This Row],[Away Differential]]</f>
        <v>1.5216466382107796</v>
      </c>
      <c r="K104" t="str">
        <f>IF(Table4[[#This Row],[HomeIce Differential]]&gt;0,Table4[[#This Row],[Home]],Table4[[#This Row],[Visitor]])</f>
        <v>Pittsburgh Penguins</v>
      </c>
      <c r="L1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0.71087158398374206</v>
      </c>
      <c r="M104" t="str">
        <f>IF(OR((NHL2025_26Results[[#This Row],[Winning Team]]="")),"-",IF(Table4[[#This Row],[Predicted Winner]]=NHL2025_26Results[[#This Row],[Winning Team]],"YES","NO"))</f>
        <v>YES</v>
      </c>
      <c r="N104">
        <f>IF(Table4[[#This Row],[Adjusted Correct]]="-", "",IF(Table4[[#This Row],[Adjusted Correct]]="YES",(Table4[[#This Row],[Strength of Win]]-1)^2,(Table4[[#This Row],[Strength of Win]]-0)^2))</f>
        <v>8.3595240948070318E-2</v>
      </c>
      <c r="O104">
        <v>1.0677563390447324</v>
      </c>
      <c r="P104" s="11"/>
      <c r="Q104" t="s">
        <v>14</v>
      </c>
      <c r="R104" t="s">
        <v>248</v>
      </c>
    </row>
    <row r="105" spans="4:18" x14ac:dyDescent="0.2">
      <c r="D105" s="1">
        <v>45951</v>
      </c>
      <c r="E105" s="2">
        <v>0.83333333333333337</v>
      </c>
      <c r="F105" t="s">
        <v>35</v>
      </c>
      <c r="G105">
        <f>VLOOKUP(Table4[[#This Row],[Home]],'NHL Model'!$A$6:$B$38,2,FALSE)</f>
        <v>-1.3128572733047907</v>
      </c>
      <c r="H105" t="s">
        <v>13</v>
      </c>
      <c r="I105">
        <f>VLOOKUP(Table4[[#This Row],[Visitor]],'NHL Model'!$A$6:$B$38,2,FALSE)</f>
        <v>-0.59069689888466137</v>
      </c>
      <c r="J105">
        <f>($B$1+Table4[[#This Row],[Home Differential]])-Table4[[#This Row],[Away Differential]]</f>
        <v>-0.59255338860860529</v>
      </c>
      <c r="K105" t="str">
        <f>IF(Table4[[#This Row],[HomeIce Differential]]&gt;0,Table4[[#This Row],[Home]],Table4[[#This Row],[Visitor]])</f>
        <v>Los Angeles Kings</v>
      </c>
      <c r="L1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0.5473093417016488</v>
      </c>
      <c r="M105" t="str">
        <f>IF(OR((NHL2025_26Results[[#This Row],[Winning Team]]="")),"-",IF(Table4[[#This Row],[Predicted Winner]]=NHL2025_26Results[[#This Row],[Winning Team]],"YES","NO"))</f>
        <v>YES</v>
      </c>
      <c r="N105">
        <f>IF(Table4[[#This Row],[Adjusted Correct]]="-", "",IF(Table4[[#This Row],[Adjusted Correct]]="YES",(Table4[[#This Row],[Strength of Win]]-1)^2,(Table4[[#This Row],[Strength of Win]]-0)^2))</f>
        <v>0.20492883211059457</v>
      </c>
      <c r="O105">
        <v>-0.87093694319375814</v>
      </c>
      <c r="P105" s="11"/>
      <c r="Q105" t="s">
        <v>13</v>
      </c>
      <c r="R105" t="s">
        <v>248</v>
      </c>
    </row>
    <row r="106" spans="4:18" x14ac:dyDescent="0.2">
      <c r="D106" s="1">
        <v>45951</v>
      </c>
      <c r="E106" s="2">
        <v>0.79166666666666663</v>
      </c>
      <c r="F106" t="s">
        <v>19</v>
      </c>
      <c r="G106">
        <f>VLOOKUP(Table4[[#This Row],[Home]],'NHL Model'!$A$6:$B$38,2,FALSE)</f>
        <v>-0.44228056828684137</v>
      </c>
      <c r="H106" t="s">
        <v>24</v>
      </c>
      <c r="I106">
        <f>VLOOKUP(Table4[[#This Row],[Visitor]],'NHL Model'!$A$6:$B$38,2,FALSE)</f>
        <v>-0.74510803532792402</v>
      </c>
      <c r="J106">
        <f>($B$1+Table4[[#This Row],[Home Differential]])-Table4[[#This Row],[Away Differential]]</f>
        <v>0.43243445285260673</v>
      </c>
      <c r="K106" t="str">
        <f>IF(Table4[[#This Row],[HomeIce Differential]]&gt;0,Table4[[#This Row],[Home]],Table4[[#This Row],[Visitor]])</f>
        <v>Toronto Maple Leafs</v>
      </c>
      <c r="L1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0.56779050581649315</v>
      </c>
      <c r="M106" t="str">
        <f>IF(OR((NHL2025_26Results[[#This Row],[Winning Team]]="")),"-",IF(Table4[[#This Row],[Predicted Winner]]=NHL2025_26Results[[#This Row],[Winning Team]],"YES","NO"))</f>
        <v>NO</v>
      </c>
      <c r="N106">
        <f>IF(Table4[[#This Row],[Adjusted Correct]]="-", "",IF(Table4[[#This Row],[Adjusted Correct]]="YES",(Table4[[#This Row],[Strength of Win]]-1)^2,(Table4[[#This Row],[Strength of Win]]-0)^2))</f>
        <v>0.32238605849534913</v>
      </c>
      <c r="O106">
        <v>-1.0367746954820527</v>
      </c>
      <c r="P106" s="11"/>
      <c r="Q106" t="s">
        <v>24</v>
      </c>
      <c r="R106" t="s">
        <v>248</v>
      </c>
    </row>
    <row r="107" spans="4:18" x14ac:dyDescent="0.2">
      <c r="D107" s="1">
        <v>45951</v>
      </c>
      <c r="E107" s="2">
        <v>0.91666666666666663</v>
      </c>
      <c r="F107" t="s">
        <v>55</v>
      </c>
      <c r="G107">
        <f>VLOOKUP(Table4[[#This Row],[Home]],'NHL Model'!$A$6:$B$38,2,FALSE)</f>
        <v>8.4094725828611647E-2</v>
      </c>
      <c r="H107" t="s">
        <v>12</v>
      </c>
      <c r="I107">
        <f>VLOOKUP(Table4[[#This Row],[Visitor]],'NHL Model'!$A$6:$B$38,2,FALSE)</f>
        <v>0.99866683349964291</v>
      </c>
      <c r="J107">
        <f>($B$1+Table4[[#This Row],[Home Differential]])-Table4[[#This Row],[Away Differential]]</f>
        <v>-0.78496512185950718</v>
      </c>
      <c r="K107" t="str">
        <f>IF(Table4[[#This Row],[HomeIce Differential]]&gt;0,Table4[[#This Row],[Home]],Table4[[#This Row],[Visitor]])</f>
        <v>Colorado Avalanche</v>
      </c>
      <c r="L1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0.58814676835999136</v>
      </c>
      <c r="M107" t="str">
        <f>IF(OR((NHL2025_26Results[[#This Row],[Winning Team]]="")),"-",IF(Table4[[#This Row],[Predicted Winner]]=NHL2025_26Results[[#This Row],[Winning Team]],"YES","NO"))</f>
        <v>NO</v>
      </c>
      <c r="N107">
        <f>IF(Table4[[#This Row],[Adjusted Correct]]="-", "",IF(Table4[[#This Row],[Adjusted Correct]]="YES",(Table4[[#This Row],[Strength of Win]]-1)^2,(Table4[[#This Row],[Strength of Win]]-0)^2))</f>
        <v>0.34591662113230132</v>
      </c>
      <c r="O107">
        <v>-0.97626211840201049</v>
      </c>
      <c r="P107" s="11"/>
      <c r="Q107" t="s">
        <v>12</v>
      </c>
      <c r="R107" t="s">
        <v>249</v>
      </c>
    </row>
    <row r="108" spans="4:18" x14ac:dyDescent="0.2">
      <c r="D108" s="1">
        <v>45951</v>
      </c>
      <c r="E108" s="2">
        <v>0.79166666666666663</v>
      </c>
      <c r="F108" t="s">
        <v>22</v>
      </c>
      <c r="G108">
        <f>VLOOKUP(Table4[[#This Row],[Home]],'NHL Model'!$A$6:$B$38,2,FALSE)</f>
        <v>-0.11977593183651415</v>
      </c>
      <c r="H108" t="s">
        <v>32</v>
      </c>
      <c r="I108">
        <f>VLOOKUP(Table4[[#This Row],[Visitor]],'NHL Model'!$A$6:$B$38,2,FALSE)</f>
        <v>-0.48236715437805205</v>
      </c>
      <c r="J108">
        <f>($B$1+Table4[[#This Row],[Home Differential]])-Table4[[#This Row],[Away Differential]]</f>
        <v>0.49219820835306199</v>
      </c>
      <c r="K108" t="str">
        <f>IF(Table4[[#This Row],[HomeIce Differential]]&gt;0,Table4[[#This Row],[Home]],Table4[[#This Row],[Visitor]])</f>
        <v>Washington Capitals</v>
      </c>
      <c r="L1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0.61323736175774191</v>
      </c>
      <c r="M108" t="str">
        <f>IF(OR((NHL2025_26Results[[#This Row],[Winning Team]]="")),"-",IF(Table4[[#This Row],[Predicted Winner]]=NHL2025_26Results[[#This Row],[Winning Team]],"YES","NO"))</f>
        <v>YES</v>
      </c>
      <c r="N108">
        <f>IF(Table4[[#This Row],[Adjusted Correct]]="-", "",IF(Table4[[#This Row],[Adjusted Correct]]="YES",(Table4[[#This Row],[Strength of Win]]-1)^2,(Table4[[#This Row],[Strength of Win]]-0)^2))</f>
        <v>0.14958533834011181</v>
      </c>
      <c r="O108">
        <v>1.3141203348853641</v>
      </c>
      <c r="P108" s="11"/>
      <c r="Q108" t="s">
        <v>22</v>
      </c>
      <c r="R108" t="s">
        <v>248</v>
      </c>
    </row>
    <row r="109" spans="4:18" x14ac:dyDescent="0.2">
      <c r="D109" s="1">
        <v>45952</v>
      </c>
      <c r="E109" s="2">
        <v>0.8125</v>
      </c>
      <c r="F109" t="s">
        <v>23</v>
      </c>
      <c r="G109">
        <f>VLOOKUP(Table4[[#This Row],[Home]],'NHL Model'!$A$6:$B$38,2,FALSE)</f>
        <v>8.1543966060426461E-3</v>
      </c>
      <c r="H109" t="s">
        <v>26</v>
      </c>
      <c r="I109">
        <f>VLOOKUP(Table4[[#This Row],[Visitor]],'NHL Model'!$A$6:$B$38,2,FALSE)</f>
        <v>-0.33113778518110382</v>
      </c>
      <c r="J109">
        <f>($B$1+Table4[[#This Row],[Home Differential]])-Table4[[#This Row],[Away Differential]]</f>
        <v>0.46889916759867056</v>
      </c>
      <c r="K109" t="str">
        <f>IF(Table4[[#This Row],[HomeIce Differential]]&gt;0,Table4[[#This Row],[Home]],Table4[[#This Row],[Visitor]])</f>
        <v>Buffalo Sabres</v>
      </c>
      <c r="L1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0.58390450038417163</v>
      </c>
      <c r="M109" t="str">
        <f>IF(OR((NHL2025_26Results[[#This Row],[Winning Team]]="")),"-",IF(Table4[[#This Row],[Predicted Winner]]=NHL2025_26Results[[#This Row],[Winning Team]],"YES","NO"))</f>
        <v>YES</v>
      </c>
      <c r="N109">
        <f>IF(Table4[[#This Row],[Adjusted Correct]]="-", "",IF(Table4[[#This Row],[Adjusted Correct]]="YES",(Table4[[#This Row],[Strength of Win]]-1)^2,(Table4[[#This Row],[Strength of Win]]-0)^2))</f>
        <v>0.17313546480054581</v>
      </c>
      <c r="O109">
        <v>-0.41892772401668504</v>
      </c>
      <c r="P109" s="11"/>
      <c r="Q109" t="s">
        <v>26</v>
      </c>
      <c r="R109" t="s">
        <v>249</v>
      </c>
    </row>
    <row r="110" spans="4:18" x14ac:dyDescent="0.2">
      <c r="D110" s="1">
        <v>45952</v>
      </c>
      <c r="E110" s="2">
        <v>0.85416666666666663</v>
      </c>
      <c r="F110" t="s">
        <v>16</v>
      </c>
      <c r="G110">
        <f>VLOOKUP(Table4[[#This Row],[Home]],'NHL Model'!$A$6:$B$38,2,FALSE)</f>
        <v>-0.89031221864884547</v>
      </c>
      <c r="H110" t="s">
        <v>18</v>
      </c>
      <c r="I110">
        <f>VLOOKUP(Table4[[#This Row],[Visitor]],'NHL Model'!$A$6:$B$38,2,FALSE)</f>
        <v>-8.6274676766085606E-2</v>
      </c>
      <c r="J110">
        <f>($B$1+Table4[[#This Row],[Home Differential]])-Table4[[#This Row],[Away Differential]]</f>
        <v>-0.67443055607123581</v>
      </c>
      <c r="K110" t="str">
        <f>IF(Table4[[#This Row],[HomeIce Differential]]&gt;0,Table4[[#This Row],[Home]],Table4[[#This Row],[Visitor]])</f>
        <v>Montreal Canadiens</v>
      </c>
      <c r="L1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0.5811039661042231</v>
      </c>
      <c r="M110" t="str">
        <f>IF(OR((NHL2025_26Results[[#This Row],[Winning Team]]="")),"-",IF(Table4[[#This Row],[Predicted Winner]]=NHL2025_26Results[[#This Row],[Winning Team]],"YES","NO"))</f>
        <v>YES</v>
      </c>
      <c r="N110">
        <f>IF(Table4[[#This Row],[Adjusted Correct]]="-", "",IF(Table4[[#This Row],[Adjusted Correct]]="YES",(Table4[[#This Row],[Strength of Win]]-1)^2,(Table4[[#This Row],[Strength of Win]]-0)^2))</f>
        <v>0.17547388721361187</v>
      </c>
      <c r="O110">
        <v>-2.2196818976878778</v>
      </c>
      <c r="P110" s="11"/>
      <c r="Q110" t="s">
        <v>18</v>
      </c>
      <c r="R110" t="s">
        <v>248</v>
      </c>
    </row>
    <row r="111" spans="4:18" x14ac:dyDescent="0.2">
      <c r="D111" s="1">
        <v>45952</v>
      </c>
      <c r="E111" s="2">
        <v>0.79166666666666663</v>
      </c>
      <c r="F111" t="s">
        <v>24</v>
      </c>
      <c r="G111">
        <f>VLOOKUP(Table4[[#This Row],[Home]],'NHL Model'!$A$6:$B$38,2,FALSE)</f>
        <v>-0.74510803532792402</v>
      </c>
      <c r="H111" t="s">
        <v>34</v>
      </c>
      <c r="I111">
        <f>VLOOKUP(Table4[[#This Row],[Visitor]],'NHL Model'!$A$6:$B$38,2,FALSE)</f>
        <v>6.0485283743665949E-2</v>
      </c>
      <c r="J111">
        <f>($B$1+Table4[[#This Row],[Home Differential]])-Table4[[#This Row],[Away Differential]]</f>
        <v>-0.67598633326006585</v>
      </c>
      <c r="K111" t="str">
        <f>IF(Table4[[#This Row],[HomeIce Differential]]&gt;0,Table4[[#This Row],[Home]],Table4[[#This Row],[Visitor]])</f>
        <v>Minnesota Wild</v>
      </c>
      <c r="L1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0.6051743741478206</v>
      </c>
      <c r="M111" t="str">
        <f>IF(OR((NHL2025_26Results[[#This Row],[Winning Team]]="")),"-",IF(Table4[[#This Row],[Predicted Winner]]=NHL2025_26Results[[#This Row],[Winning Team]],"YES","NO"))</f>
        <v>NO</v>
      </c>
      <c r="N111">
        <f>IF(Table4[[#This Row],[Adjusted Correct]]="-", "",IF(Table4[[#This Row],[Adjusted Correct]]="YES",(Table4[[#This Row],[Strength of Win]]-1)^2,(Table4[[#This Row],[Strength of Win]]-0)^2))</f>
        <v>0.36623602312520637</v>
      </c>
      <c r="O111">
        <v>1.9998104208686476</v>
      </c>
      <c r="P111" s="11"/>
      <c r="Q111" t="s">
        <v>24</v>
      </c>
      <c r="R111" t="s">
        <v>248</v>
      </c>
    </row>
    <row r="112" spans="4:18" x14ac:dyDescent="0.2">
      <c r="D112" s="1">
        <v>45953</v>
      </c>
      <c r="E112" s="2">
        <v>0.79166666666666663</v>
      </c>
      <c r="F112" t="s">
        <v>21</v>
      </c>
      <c r="G112">
        <f>VLOOKUP(Table4[[#This Row],[Home]],'NHL Model'!$A$6:$B$38,2,FALSE)</f>
        <v>-0.10253061303059285</v>
      </c>
      <c r="H112" t="s">
        <v>31</v>
      </c>
      <c r="I112">
        <f>VLOOKUP(Table4[[#This Row],[Visitor]],'NHL Model'!$A$6:$B$38,2,FALSE)</f>
        <v>-0.46360583111358089</v>
      </c>
      <c r="J112">
        <f>($B$1+Table4[[#This Row],[Home Differential]])-Table4[[#This Row],[Away Differential]]</f>
        <v>0.49068220389451211</v>
      </c>
      <c r="K112" t="str">
        <f>IF(Table4[[#This Row],[HomeIce Differential]]&gt;0,Table4[[#This Row],[Home]],Table4[[#This Row],[Visitor]])</f>
        <v>Boston Bruins</v>
      </c>
      <c r="L1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0.64681657807860748</v>
      </c>
      <c r="M112" t="str">
        <f>IF(OR((NHL2025_26Results[[#This Row],[Winning Team]]="")),"-",IF(Table4[[#This Row],[Predicted Winner]]=NHL2025_26Results[[#This Row],[Winning Team]],"YES","NO"))</f>
        <v>NO</v>
      </c>
      <c r="N112">
        <f>IF(Table4[[#This Row],[Adjusted Correct]]="-", "",IF(Table4[[#This Row],[Adjusted Correct]]="YES",(Table4[[#This Row],[Strength of Win]]-1)^2,(Table4[[#This Row],[Strength of Win]]-0)^2))</f>
        <v>0.4183716856773193</v>
      </c>
      <c r="O112">
        <v>-0.39773897735093061</v>
      </c>
      <c r="P112" s="11"/>
      <c r="Q112" t="s">
        <v>31</v>
      </c>
      <c r="R112" t="s">
        <v>248</v>
      </c>
    </row>
    <row r="113" spans="4:18" x14ac:dyDescent="0.2">
      <c r="D113" s="1">
        <v>45953</v>
      </c>
      <c r="E113" s="2">
        <v>0.875</v>
      </c>
      <c r="F113" t="s">
        <v>12</v>
      </c>
      <c r="G113">
        <f>VLOOKUP(Table4[[#This Row],[Home]],'NHL Model'!$A$6:$B$38,2,FALSE)</f>
        <v>0.99866683349964291</v>
      </c>
      <c r="H113" t="s">
        <v>25</v>
      </c>
      <c r="I113">
        <f>VLOOKUP(Table4[[#This Row],[Visitor]],'NHL Model'!$A$6:$B$38,2,FALSE)</f>
        <v>0.2324942014830165</v>
      </c>
      <c r="J113">
        <f>($B$1+Table4[[#This Row],[Home Differential]])-Table4[[#This Row],[Away Differential]]</f>
        <v>0.89577961782815052</v>
      </c>
      <c r="K113" t="str">
        <f>IF(Table4[[#This Row],[HomeIce Differential]]&gt;0,Table4[[#This Row],[Home]],Table4[[#This Row],[Visitor]])</f>
        <v>Colorado Avalanche</v>
      </c>
      <c r="L1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0.66580794784684838</v>
      </c>
      <c r="M113" t="str">
        <f>IF(OR((NHL2025_26Results[[#This Row],[Winning Team]]="")),"-",IF(Table4[[#This Row],[Predicted Winner]]=NHL2025_26Results[[#This Row],[Winning Team]],"YES","NO"))</f>
        <v>NO</v>
      </c>
      <c r="N113">
        <f>IF(Table4[[#This Row],[Adjusted Correct]]="-", "",IF(Table4[[#This Row],[Adjusted Correct]]="YES",(Table4[[#This Row],[Strength of Win]]-1)^2,(Table4[[#This Row],[Strength of Win]]-0)^2))</f>
        <v>0.44330022341603159</v>
      </c>
      <c r="O113">
        <v>-0.34965912817062916</v>
      </c>
      <c r="P113" s="11"/>
      <c r="Q113" t="s">
        <v>25</v>
      </c>
      <c r="R113" t="s">
        <v>248</v>
      </c>
    </row>
    <row r="114" spans="4:18" x14ac:dyDescent="0.2">
      <c r="D114" s="1">
        <v>45953</v>
      </c>
      <c r="E114" s="2">
        <v>0.875</v>
      </c>
      <c r="F114" t="s">
        <v>39</v>
      </c>
      <c r="G114">
        <f>VLOOKUP(Table4[[#This Row],[Home]],'NHL Model'!$A$6:$B$38,2,FALSE)</f>
        <v>0.21708030788125537</v>
      </c>
      <c r="H114" t="s">
        <v>13</v>
      </c>
      <c r="I114">
        <f>VLOOKUP(Table4[[#This Row],[Visitor]],'NHL Model'!$A$6:$B$38,2,FALSE)</f>
        <v>-0.59069689888466137</v>
      </c>
      <c r="J114">
        <f>($B$1+Table4[[#This Row],[Home Differential]])-Table4[[#This Row],[Away Differential]]</f>
        <v>0.93738419257744088</v>
      </c>
      <c r="K114" t="str">
        <f>IF(Table4[[#This Row],[HomeIce Differential]]&gt;0,Table4[[#This Row],[Home]],Table4[[#This Row],[Visitor]])</f>
        <v>Dallas Stars</v>
      </c>
      <c r="L1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0.66263954427272731</v>
      </c>
      <c r="M114" t="str">
        <f>IF(OR((NHL2025_26Results[[#This Row],[Winning Team]]="")),"-",IF(Table4[[#This Row],[Predicted Winner]]=NHL2025_26Results[[#This Row],[Winning Team]],"YES","NO"))</f>
        <v>NO</v>
      </c>
      <c r="N114">
        <f>IF(Table4[[#This Row],[Adjusted Correct]]="-", "",IF(Table4[[#This Row],[Adjusted Correct]]="YES",(Table4[[#This Row],[Strength of Win]]-1)^2,(Table4[[#This Row],[Strength of Win]]-0)^2))</f>
        <v>0.43909116563396772</v>
      </c>
      <c r="O114">
        <v>-0.32576645692512685</v>
      </c>
      <c r="P114" s="11"/>
      <c r="Q114" t="s">
        <v>13</v>
      </c>
      <c r="R114" t="s">
        <v>248</v>
      </c>
    </row>
    <row r="115" spans="4:18" x14ac:dyDescent="0.2">
      <c r="D115" s="1">
        <v>45953</v>
      </c>
      <c r="E115" s="2">
        <v>0.875</v>
      </c>
      <c r="F115" t="s">
        <v>17</v>
      </c>
      <c r="G115">
        <f>VLOOKUP(Table4[[#This Row],[Home]],'NHL Model'!$A$6:$B$38,2,FALSE)</f>
        <v>-0.36462594951491906</v>
      </c>
      <c r="H115" t="s">
        <v>18</v>
      </c>
      <c r="I115">
        <f>VLOOKUP(Table4[[#This Row],[Visitor]],'NHL Model'!$A$6:$B$38,2,FALSE)</f>
        <v>-8.6274676766085606E-2</v>
      </c>
      <c r="J115">
        <f>($B$1+Table4[[#This Row],[Home Differential]])-Table4[[#This Row],[Away Differential]]</f>
        <v>-0.14874428693730934</v>
      </c>
      <c r="K115" t="str">
        <f>IF(Table4[[#This Row],[HomeIce Differential]]&gt;0,Table4[[#This Row],[Home]],Table4[[#This Row],[Visitor]])</f>
        <v>Montreal Canadiens</v>
      </c>
      <c r="L1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0.52207262253878284</v>
      </c>
      <c r="M115" t="str">
        <f>IF(OR((NHL2025_26Results[[#This Row],[Winning Team]]="")),"-",IF(Table4[[#This Row],[Predicted Winner]]=NHL2025_26Results[[#This Row],[Winning Team]],"YES","NO"))</f>
        <v>NO</v>
      </c>
      <c r="N115">
        <f>IF(Table4[[#This Row],[Adjusted Correct]]="-", "",IF(Table4[[#This Row],[Adjusted Correct]]="YES",(Table4[[#This Row],[Strength of Win]]-1)^2,(Table4[[#This Row],[Strength of Win]]-0)^2))</f>
        <v>0.27255982320452243</v>
      </c>
      <c r="O115">
        <v>-0.50670452281282297</v>
      </c>
      <c r="P115" s="11"/>
      <c r="Q115" t="s">
        <v>18</v>
      </c>
      <c r="R115" t="s">
        <v>249</v>
      </c>
    </row>
    <row r="116" spans="4:18" x14ac:dyDescent="0.2">
      <c r="D116" s="1">
        <v>45953</v>
      </c>
      <c r="E116" s="2">
        <v>0.79166666666666663</v>
      </c>
      <c r="F116" t="s">
        <v>11</v>
      </c>
      <c r="G116">
        <f>VLOOKUP(Table4[[#This Row],[Home]],'NHL Model'!$A$6:$B$38,2,FALSE)</f>
        <v>-0.55695213126481558</v>
      </c>
      <c r="H116" t="s">
        <v>14</v>
      </c>
      <c r="I116">
        <f>VLOOKUP(Table4[[#This Row],[Visitor]],'NHL Model'!$A$6:$B$38,2,FALSE)</f>
        <v>3.6349513460996066E-5</v>
      </c>
      <c r="J116">
        <f>($B$1+Table4[[#This Row],[Home Differential]])-Table4[[#This Row],[Away Differential]]</f>
        <v>-0.42738149496675248</v>
      </c>
      <c r="K116" t="str">
        <f>IF(Table4[[#This Row],[HomeIce Differential]]&gt;0,Table4[[#This Row],[Home]],Table4[[#This Row],[Visitor]])</f>
        <v>Pittsburgh Penguins</v>
      </c>
      <c r="L1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0.56213113788973246</v>
      </c>
      <c r="M116" t="str">
        <f>IF(OR((NHL2025_26Results[[#This Row],[Winning Team]]="")),"-",IF(Table4[[#This Row],[Predicted Winner]]=NHL2025_26Results[[#This Row],[Winning Team]],"YES","NO"))</f>
        <v>YES</v>
      </c>
      <c r="N116">
        <f>IF(Table4[[#This Row],[Adjusted Correct]]="-", "",IF(Table4[[#This Row],[Adjusted Correct]]="YES",(Table4[[#This Row],[Strength of Win]]-1)^2,(Table4[[#This Row],[Strength of Win]]-0)^2))</f>
        <v>0.19172914040574049</v>
      </c>
      <c r="O116">
        <v>-1.4674283701132262</v>
      </c>
      <c r="P116" s="11"/>
      <c r="Q116" t="s">
        <v>14</v>
      </c>
      <c r="R116" t="s">
        <v>248</v>
      </c>
    </row>
    <row r="117" spans="4:18" x14ac:dyDescent="0.2">
      <c r="D117" s="1">
        <v>45953</v>
      </c>
      <c r="E117" s="2">
        <v>0.83333333333333337</v>
      </c>
      <c r="F117" t="s">
        <v>29</v>
      </c>
      <c r="G117">
        <f>VLOOKUP(Table4[[#This Row],[Home]],'NHL Model'!$A$6:$B$38,2,FALSE)</f>
        <v>-0.82056481120798741</v>
      </c>
      <c r="H117" t="s">
        <v>38</v>
      </c>
      <c r="I117">
        <f>VLOOKUP(Table4[[#This Row],[Visitor]],'NHL Model'!$A$6:$B$38,2,FALSE)</f>
        <v>-1.3920033028857945</v>
      </c>
      <c r="J117">
        <f>($B$1+Table4[[#This Row],[Home Differential]])-Table4[[#This Row],[Away Differential]]</f>
        <v>0.70104547748933121</v>
      </c>
      <c r="K117" t="str">
        <f>IF(Table4[[#This Row],[HomeIce Differential]]&gt;0,Table4[[#This Row],[Home]],Table4[[#This Row],[Visitor]])</f>
        <v>Nashville Predators</v>
      </c>
      <c r="L1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0.61872310704415179</v>
      </c>
      <c r="M117" t="str">
        <f>IF(OR((NHL2025_26Results[[#This Row],[Winning Team]]="")),"-",IF(Table4[[#This Row],[Predicted Winner]]=NHL2025_26Results[[#This Row],[Winning Team]],"YES","NO"))</f>
        <v>YES</v>
      </c>
      <c r="N117">
        <f>IF(Table4[[#This Row],[Adjusted Correct]]="-", "",IF(Table4[[#This Row],[Adjusted Correct]]="YES",(Table4[[#This Row],[Strength of Win]]-1)^2,(Table4[[#This Row],[Strength of Win]]-0)^2))</f>
        <v>0.14537206910206535</v>
      </c>
      <c r="O117">
        <v>-7.8624778851855703E-2</v>
      </c>
      <c r="P117" s="11"/>
      <c r="Q117" t="s">
        <v>38</v>
      </c>
      <c r="R117" t="s">
        <v>249</v>
      </c>
    </row>
    <row r="118" spans="4:18" x14ac:dyDescent="0.2">
      <c r="D118" s="1">
        <v>45953</v>
      </c>
      <c r="E118" s="2">
        <v>0.79166666666666663</v>
      </c>
      <c r="F118" t="s">
        <v>30</v>
      </c>
      <c r="G118">
        <f>VLOOKUP(Table4[[#This Row],[Home]],'NHL Model'!$A$6:$B$38,2,FALSE)</f>
        <v>-0.18630462558229716</v>
      </c>
      <c r="H118" t="s">
        <v>26</v>
      </c>
      <c r="I118">
        <f>VLOOKUP(Table4[[#This Row],[Visitor]],'NHL Model'!$A$6:$B$38,2,FALSE)</f>
        <v>-0.33113778518110382</v>
      </c>
      <c r="J118">
        <f>($B$1+Table4[[#This Row],[Home Differential]])-Table4[[#This Row],[Away Differential]]</f>
        <v>0.27444014541033079</v>
      </c>
      <c r="K118" t="str">
        <f>IF(Table4[[#This Row],[HomeIce Differential]]&gt;0,Table4[[#This Row],[Home]],Table4[[#This Row],[Visitor]])</f>
        <v>New York Islanders</v>
      </c>
      <c r="L1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0.54694697722466445</v>
      </c>
      <c r="M118" t="str">
        <f>IF(OR((NHL2025_26Results[[#This Row],[Winning Team]]="")),"-",IF(Table4[[#This Row],[Predicted Winner]]=NHL2025_26Results[[#This Row],[Winning Team]],"YES","NO"))</f>
        <v>YES</v>
      </c>
      <c r="N118">
        <f>IF(Table4[[#This Row],[Adjusted Correct]]="-", "",IF(Table4[[#This Row],[Adjusted Correct]]="YES",(Table4[[#This Row],[Strength of Win]]-1)^2,(Table4[[#This Row],[Strength of Win]]-0)^2))</f>
        <v>0.2052570414458687</v>
      </c>
      <c r="O118">
        <v>0.73239461200505884</v>
      </c>
      <c r="P118" s="11"/>
      <c r="Q118" t="s">
        <v>30</v>
      </c>
      <c r="R118" t="s">
        <v>248</v>
      </c>
    </row>
    <row r="119" spans="4:18" x14ac:dyDescent="0.2">
      <c r="D119" s="1">
        <v>45953</v>
      </c>
      <c r="E119" s="2">
        <v>0.79166666666666663</v>
      </c>
      <c r="F119" t="s">
        <v>15</v>
      </c>
      <c r="G119">
        <f>VLOOKUP(Table4[[#This Row],[Home]],'NHL Model'!$A$6:$B$38,2,FALSE)</f>
        <v>-0.73651915476403329</v>
      </c>
      <c r="H119" t="s">
        <v>33</v>
      </c>
      <c r="I119">
        <f>VLOOKUP(Table4[[#This Row],[Visitor]],'NHL Model'!$A$6:$B$38,2,FALSE)</f>
        <v>-0.65236582493376272</v>
      </c>
      <c r="J119">
        <f>($B$1+Table4[[#This Row],[Home Differential]])-Table4[[#This Row],[Away Differential]]</f>
        <v>4.5453655981253505E-2</v>
      </c>
      <c r="K119" t="str">
        <f>IF(Table4[[#This Row],[HomeIce Differential]]&gt;0,Table4[[#This Row],[Home]],Table4[[#This Row],[Visitor]])</f>
        <v>New York Rangers</v>
      </c>
      <c r="L1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0.54510416676272577</v>
      </c>
      <c r="M119" t="str">
        <f>IF(OR((NHL2025_26Results[[#This Row],[Winning Team]]="")),"-",IF(Table4[[#This Row],[Predicted Winner]]=NHL2025_26Results[[#This Row],[Winning Team]],"YES","NO"))</f>
        <v>NO</v>
      </c>
      <c r="N119">
        <f>IF(Table4[[#This Row],[Adjusted Correct]]="-", "",IF(Table4[[#This Row],[Adjusted Correct]]="YES",(Table4[[#This Row],[Strength of Win]]-1)^2,(Table4[[#This Row],[Strength of Win]]-0)^2))</f>
        <v>0.29713855262208555</v>
      </c>
      <c r="O119">
        <v>1.1009319693558097</v>
      </c>
      <c r="P119" s="11"/>
      <c r="Q119" t="s">
        <v>15</v>
      </c>
      <c r="R119" t="s">
        <v>249</v>
      </c>
    </row>
    <row r="120" spans="4:18" x14ac:dyDescent="0.2">
      <c r="D120" s="1">
        <v>45953</v>
      </c>
      <c r="E120" s="2">
        <v>0.79166666666666663</v>
      </c>
      <c r="F120" t="s">
        <v>36</v>
      </c>
      <c r="G120">
        <f>VLOOKUP(Table4[[#This Row],[Home]],'NHL Model'!$A$6:$B$38,2,FALSE)</f>
        <v>-0.19010748264223354</v>
      </c>
      <c r="H120" t="s">
        <v>27</v>
      </c>
      <c r="I120">
        <f>VLOOKUP(Table4[[#This Row],[Visitor]],'NHL Model'!$A$6:$B$38,2,FALSE)</f>
        <v>-0.55097933929175691</v>
      </c>
      <c r="J120">
        <f>($B$1+Table4[[#This Row],[Home Differential]])-Table4[[#This Row],[Away Differential]]</f>
        <v>0.49047884246104745</v>
      </c>
      <c r="K120" t="str">
        <f>IF(Table4[[#This Row],[HomeIce Differential]]&gt;0,Table4[[#This Row],[Home]],Table4[[#This Row],[Visitor]])</f>
        <v>Ottawa Senators</v>
      </c>
      <c r="L1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0.59507776550564839</v>
      </c>
      <c r="M120" t="str">
        <f>IF(OR((NHL2025_26Results[[#This Row],[Winning Team]]="")),"-",IF(Table4[[#This Row],[Predicted Winner]]=NHL2025_26Results[[#This Row],[Winning Team]],"YES","NO"))</f>
        <v>YES</v>
      </c>
      <c r="N120">
        <f>IF(Table4[[#This Row],[Adjusted Correct]]="-", "",IF(Table4[[#This Row],[Adjusted Correct]]="YES",(Table4[[#This Row],[Strength of Win]]-1)^2,(Table4[[#This Row],[Strength of Win]]-0)^2))</f>
        <v>0.16396201598789867</v>
      </c>
      <c r="O120">
        <v>-1.4864009253791441</v>
      </c>
      <c r="P120" s="11"/>
      <c r="Q120" t="s">
        <v>27</v>
      </c>
      <c r="R120" t="s">
        <v>249</v>
      </c>
    </row>
    <row r="121" spans="4:18" x14ac:dyDescent="0.2">
      <c r="D121" s="1">
        <v>45953</v>
      </c>
      <c r="E121" s="2">
        <v>0.83333333333333337</v>
      </c>
      <c r="F121" t="s">
        <v>35</v>
      </c>
      <c r="G121">
        <f>VLOOKUP(Table4[[#This Row],[Home]],'NHL Model'!$A$6:$B$38,2,FALSE)</f>
        <v>-1.3128572733047907</v>
      </c>
      <c r="H121" t="s">
        <v>55</v>
      </c>
      <c r="I121">
        <f>VLOOKUP(Table4[[#This Row],[Visitor]],'NHL Model'!$A$6:$B$38,2,FALSE)</f>
        <v>8.4094725828611647E-2</v>
      </c>
      <c r="J121">
        <f>($B$1+Table4[[#This Row],[Home Differential]])-Table4[[#This Row],[Away Differential]]</f>
        <v>-1.2673450133218782</v>
      </c>
      <c r="K121" t="str">
        <f>IF(Table4[[#This Row],[HomeIce Differential]]&gt;0,Table4[[#This Row],[Home]],Table4[[#This Row],[Visitor]])</f>
        <v>Utah Mammoth</v>
      </c>
      <c r="L1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0.60231507134589346</v>
      </c>
      <c r="M121" t="str">
        <f>IF(OR((NHL2025_26Results[[#This Row],[Winning Team]]="")),"-",IF(Table4[[#This Row],[Predicted Winner]]=NHL2025_26Results[[#This Row],[Winning Team]],"YES","NO"))</f>
        <v>YES</v>
      </c>
      <c r="N121">
        <f>IF(Table4[[#This Row],[Adjusted Correct]]="-", "",IF(Table4[[#This Row],[Adjusted Correct]]="YES",(Table4[[#This Row],[Strength of Win]]-1)^2,(Table4[[#This Row],[Strength of Win]]-0)^2))</f>
        <v>0.1581533024786218</v>
      </c>
      <c r="O121">
        <v>-2.1149466864988273</v>
      </c>
      <c r="P121" s="11"/>
      <c r="Q121" t="s">
        <v>55</v>
      </c>
      <c r="R121" t="s">
        <v>248</v>
      </c>
    </row>
    <row r="122" spans="4:18" x14ac:dyDescent="0.2">
      <c r="D122" s="1">
        <v>45953</v>
      </c>
      <c r="E122" s="2">
        <v>0.78125</v>
      </c>
      <c r="F122" t="s">
        <v>37</v>
      </c>
      <c r="G122">
        <f>VLOOKUP(Table4[[#This Row],[Home]],'NHL Model'!$A$6:$B$38,2,FALSE)</f>
        <v>0.72108184732572844</v>
      </c>
      <c r="H122" t="s">
        <v>10</v>
      </c>
      <c r="I122">
        <f>VLOOKUP(Table4[[#This Row],[Visitor]],'NHL Model'!$A$6:$B$38,2,FALSE)</f>
        <v>-0.92658078135875344</v>
      </c>
      <c r="J122">
        <f>($B$1+Table4[[#This Row],[Home Differential]])-Table4[[#This Row],[Away Differential]]</f>
        <v>1.7772696144960061</v>
      </c>
      <c r="K122" t="str">
        <f>IF(Table4[[#This Row],[HomeIce Differential]]&gt;0,Table4[[#This Row],[Home]],Table4[[#This Row],[Visitor]])</f>
        <v>Tampa Bay Lightning</v>
      </c>
      <c r="L1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0.79556141981675166</v>
      </c>
      <c r="M122" t="str">
        <f>IF(OR((NHL2025_26Results[[#This Row],[Winning Team]]="")),"-",IF(Table4[[#This Row],[Predicted Winner]]=NHL2025_26Results[[#This Row],[Winning Team]],"YES","NO"))</f>
        <v>NO</v>
      </c>
      <c r="N122">
        <f>IF(Table4[[#This Row],[Adjusted Correct]]="-", "",IF(Table4[[#This Row],[Adjusted Correct]]="YES",(Table4[[#This Row],[Strength of Win]]-1)^2,(Table4[[#This Row],[Strength of Win]]-0)^2))</f>
        <v>0.63291797270084582</v>
      </c>
      <c r="O122">
        <v>-0.95850189586624734</v>
      </c>
      <c r="P122" s="11"/>
      <c r="Q122" t="s">
        <v>10</v>
      </c>
      <c r="R122" t="s">
        <v>248</v>
      </c>
    </row>
    <row r="123" spans="4:18" x14ac:dyDescent="0.2">
      <c r="D123" s="1">
        <v>45953</v>
      </c>
      <c r="E123" s="2">
        <v>0.83333333333333337</v>
      </c>
      <c r="F123" t="s">
        <v>40</v>
      </c>
      <c r="G123">
        <f>VLOOKUP(Table4[[#This Row],[Home]],'NHL Model'!$A$6:$B$38,2,FALSE)</f>
        <v>-0.58845147248022256</v>
      </c>
      <c r="H123" t="s">
        <v>32</v>
      </c>
      <c r="I123">
        <f>VLOOKUP(Table4[[#This Row],[Visitor]],'NHL Model'!$A$6:$B$38,2,FALSE)</f>
        <v>-0.48236715437805205</v>
      </c>
      <c r="J123">
        <f>($B$1+Table4[[#This Row],[Home Differential]])-Table4[[#This Row],[Away Differential]]</f>
        <v>2.3522667709353573E-2</v>
      </c>
      <c r="K123" t="str">
        <f>IF(Table4[[#This Row],[HomeIce Differential]]&gt;0,Table4[[#This Row],[Home]],Table4[[#This Row],[Visitor]])</f>
        <v>Winnipeg Jets</v>
      </c>
      <c r="L1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0.54264145130024843</v>
      </c>
      <c r="M123" t="str">
        <f>IF(OR((NHL2025_26Results[[#This Row],[Winning Team]]="")),"-",IF(Table4[[#This Row],[Predicted Winner]]=NHL2025_26Results[[#This Row],[Winning Team]],"YES","NO"))</f>
        <v>NO</v>
      </c>
      <c r="N123">
        <f>IF(Table4[[#This Row],[Adjusted Correct]]="-", "",IF(Table4[[#This Row],[Adjusted Correct]]="YES",(Table4[[#This Row],[Strength of Win]]-1)^2,(Table4[[#This Row],[Strength of Win]]-0)^2))</f>
        <v>0.29445974466923991</v>
      </c>
      <c r="O123">
        <v>0.56071005316440559</v>
      </c>
      <c r="P123" s="11"/>
      <c r="Q123" t="s">
        <v>40</v>
      </c>
      <c r="R123" t="s">
        <v>249</v>
      </c>
    </row>
    <row r="124" spans="4:18" x14ac:dyDescent="0.2">
      <c r="D124" s="1">
        <v>45954</v>
      </c>
      <c r="E124" s="2">
        <v>0.8125</v>
      </c>
      <c r="F124" t="s">
        <v>23</v>
      </c>
      <c r="G124">
        <f>VLOOKUP(Table4[[#This Row],[Home]],'NHL Model'!$A$6:$B$38,2,FALSE)</f>
        <v>8.1543966060426461E-3</v>
      </c>
      <c r="H124" t="s">
        <v>19</v>
      </c>
      <c r="I124">
        <f>VLOOKUP(Table4[[#This Row],[Visitor]],'NHL Model'!$A$6:$B$38,2,FALSE)</f>
        <v>-0.44228056828684137</v>
      </c>
      <c r="J124">
        <f>($B$1+Table4[[#This Row],[Home Differential]])-Table4[[#This Row],[Away Differential]]</f>
        <v>0.58004195070440812</v>
      </c>
      <c r="K124" t="str">
        <f>IF(Table4[[#This Row],[HomeIce Differential]]&gt;0,Table4[[#This Row],[Home]],Table4[[#This Row],[Visitor]])</f>
        <v>Buffalo Sabres</v>
      </c>
      <c r="L1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0.63407758961084237</v>
      </c>
      <c r="M124" t="str">
        <f>IF(OR((NHL2025_26Results[[#This Row],[Winning Team]]="")),"-",IF(Table4[[#This Row],[Predicted Winner]]=NHL2025_26Results[[#This Row],[Winning Team]],"YES","NO"))</f>
        <v>YES</v>
      </c>
      <c r="N124">
        <f>IF(Table4[[#This Row],[Adjusted Correct]]="-", "",IF(Table4[[#This Row],[Adjusted Correct]]="YES",(Table4[[#This Row],[Strength of Win]]-1)^2,(Table4[[#This Row],[Strength of Win]]-0)^2))</f>
        <v>0.1338992104250111</v>
      </c>
      <c r="O124">
        <v>0.41694922370540466</v>
      </c>
      <c r="P124" s="11"/>
      <c r="Q124" t="s">
        <v>23</v>
      </c>
      <c r="R124" t="s">
        <v>248</v>
      </c>
    </row>
    <row r="125" spans="4:18" x14ac:dyDescent="0.2">
      <c r="D125" s="1">
        <v>45954</v>
      </c>
      <c r="E125" s="2">
        <v>0.79166666666666663</v>
      </c>
      <c r="F125" t="s">
        <v>28</v>
      </c>
      <c r="G125">
        <f>VLOOKUP(Table4[[#This Row],[Home]],'NHL Model'!$A$6:$B$38,2,FALSE)</f>
        <v>-0.28156479873410767</v>
      </c>
      <c r="H125" t="s">
        <v>22</v>
      </c>
      <c r="I125">
        <f>VLOOKUP(Table4[[#This Row],[Visitor]],'NHL Model'!$A$6:$B$38,2,FALSE)</f>
        <v>-0.11977593183651415</v>
      </c>
      <c r="J125">
        <f>($B$1+Table4[[#This Row],[Home Differential]])-Table4[[#This Row],[Away Differential]]</f>
        <v>-3.2181881086069411E-2</v>
      </c>
      <c r="K125" t="str">
        <f>IF(Table4[[#This Row],[HomeIce Differential]]&gt;0,Table4[[#This Row],[Home]],Table4[[#This Row],[Visitor]])</f>
        <v>Washington Capitals</v>
      </c>
      <c r="L1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0.45656787598855075</v>
      </c>
      <c r="M125" t="str">
        <f>IF(OR((NHL2025_26Results[[#This Row],[Winning Team]]="")),"-",IF(Table4[[#This Row],[Predicted Winner]]=NHL2025_26Results[[#This Row],[Winning Team]],"YES","NO"))</f>
        <v>YES</v>
      </c>
      <c r="N125">
        <f>IF(Table4[[#This Row],[Adjusted Correct]]="-", "",IF(Table4[[#This Row],[Adjusted Correct]]="YES",(Table4[[#This Row],[Strength of Win]]-1)^2,(Table4[[#This Row],[Strength of Win]]-0)^2))</f>
        <v>0.29531847340759515</v>
      </c>
      <c r="O125">
        <v>-1.2375491643754386</v>
      </c>
      <c r="P125" s="11"/>
      <c r="Q125" t="s">
        <v>22</v>
      </c>
      <c r="R125" t="s">
        <v>248</v>
      </c>
    </row>
    <row r="126" spans="4:18" x14ac:dyDescent="0.2">
      <c r="D126" s="1">
        <v>45954</v>
      </c>
      <c r="E126" s="2">
        <v>0.79166666666666663</v>
      </c>
      <c r="F126" t="s">
        <v>24</v>
      </c>
      <c r="G126">
        <f>VLOOKUP(Table4[[#This Row],[Home]],'NHL Model'!$A$6:$B$38,2,FALSE)</f>
        <v>-0.74510803532792402</v>
      </c>
      <c r="H126" t="s">
        <v>33</v>
      </c>
      <c r="I126">
        <f>VLOOKUP(Table4[[#This Row],[Visitor]],'NHL Model'!$A$6:$B$38,2,FALSE)</f>
        <v>-0.65236582493376272</v>
      </c>
      <c r="J126">
        <f>($B$1+Table4[[#This Row],[Home Differential]])-Table4[[#This Row],[Away Differential]]</f>
        <v>3.6864775417362772E-2</v>
      </c>
      <c r="K126" t="str">
        <f>IF(Table4[[#This Row],[HomeIce Differential]]&gt;0,Table4[[#This Row],[Home]],Table4[[#This Row],[Visitor]])</f>
        <v>New Jersey Devils</v>
      </c>
      <c r="L1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0.54413968815793956</v>
      </c>
      <c r="M126" t="str">
        <f>IF(OR((NHL2025_26Results[[#This Row],[Winning Team]]="")),"-",IF(Table4[[#This Row],[Predicted Winner]]=NHL2025_26Results[[#This Row],[Winning Team]],"YES","NO"))</f>
        <v>YES</v>
      </c>
      <c r="N126">
        <f>IF(Table4[[#This Row],[Adjusted Correct]]="-", "",IF(Table4[[#This Row],[Adjusted Correct]]="YES",(Table4[[#This Row],[Strength of Win]]-1)^2,(Table4[[#This Row],[Strength of Win]]-0)^2))</f>
        <v>0.20780862391274058</v>
      </c>
      <c r="O126">
        <v>2.2472008139585085</v>
      </c>
      <c r="P126" s="11"/>
      <c r="Q126" t="s">
        <v>24</v>
      </c>
      <c r="R126" t="s">
        <v>248</v>
      </c>
    </row>
    <row r="127" spans="4:18" x14ac:dyDescent="0.2">
      <c r="D127" s="1">
        <v>45954</v>
      </c>
      <c r="E127" s="2">
        <v>0.83333333333333337</v>
      </c>
      <c r="F127" t="s">
        <v>40</v>
      </c>
      <c r="G127">
        <f>VLOOKUP(Table4[[#This Row],[Home]],'NHL Model'!$A$6:$B$38,2,FALSE)</f>
        <v>-0.58845147248022256</v>
      </c>
      <c r="H127" t="s">
        <v>16</v>
      </c>
      <c r="I127">
        <f>VLOOKUP(Table4[[#This Row],[Visitor]],'NHL Model'!$A$6:$B$38,2,FALSE)</f>
        <v>-0.89031221864884547</v>
      </c>
      <c r="J127">
        <f>($B$1+Table4[[#This Row],[Home Differential]])-Table4[[#This Row],[Away Differential]]</f>
        <v>0.43146773198014698</v>
      </c>
      <c r="K127" t="str">
        <f>IF(Table4[[#This Row],[HomeIce Differential]]&gt;0,Table4[[#This Row],[Home]],Table4[[#This Row],[Visitor]])</f>
        <v>Winnipeg Jets</v>
      </c>
      <c r="L1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0.58845117976142625</v>
      </c>
      <c r="M127" t="str">
        <f>IF(OR((NHL2025_26Results[[#This Row],[Winning Team]]="")),"-",IF(Table4[[#This Row],[Predicted Winner]]=NHL2025_26Results[[#This Row],[Winning Team]],"YES","NO"))</f>
        <v>YES</v>
      </c>
      <c r="N127">
        <f>IF(Table4[[#This Row],[Adjusted Correct]]="-", "",IF(Table4[[#This Row],[Adjusted Correct]]="YES",(Table4[[#This Row],[Strength of Win]]-1)^2,(Table4[[#This Row],[Strength of Win]]-0)^2))</f>
        <v>0.16937243143976188</v>
      </c>
      <c r="O127">
        <v>2.4626344898479542</v>
      </c>
      <c r="P127" s="11"/>
      <c r="Q127" t="s">
        <v>40</v>
      </c>
      <c r="R127" t="s">
        <v>248</v>
      </c>
    </row>
    <row r="128" spans="4:18" x14ac:dyDescent="0.2">
      <c r="D128" s="1">
        <v>45955</v>
      </c>
      <c r="E128" s="2">
        <v>0.625</v>
      </c>
      <c r="F128" t="s">
        <v>21</v>
      </c>
      <c r="G128">
        <f>VLOOKUP(Table4[[#This Row],[Home]],'NHL Model'!$A$6:$B$38,2,FALSE)</f>
        <v>-0.10253061303059285</v>
      </c>
      <c r="H128" t="s">
        <v>12</v>
      </c>
      <c r="I128">
        <f>VLOOKUP(Table4[[#This Row],[Visitor]],'NHL Model'!$A$6:$B$38,2,FALSE)</f>
        <v>0.99866683349964291</v>
      </c>
      <c r="J128">
        <f>($B$1+Table4[[#This Row],[Home Differential]])-Table4[[#This Row],[Away Differential]]</f>
        <v>-0.97159046071871169</v>
      </c>
      <c r="K128" t="str">
        <f>IF(Table4[[#This Row],[HomeIce Differential]]&gt;0,Table4[[#This Row],[Home]],Table4[[#This Row],[Visitor]])</f>
        <v>Colorado Avalanche</v>
      </c>
      <c r="L1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0.58573916320869701</v>
      </c>
      <c r="M128" t="str">
        <f>IF(OR((NHL2025_26Results[[#This Row],[Winning Team]]="")),"-",IF(Table4[[#This Row],[Predicted Winner]]=NHL2025_26Results[[#This Row],[Winning Team]],"YES","NO"))</f>
        <v>NO</v>
      </c>
      <c r="N128">
        <f>IF(Table4[[#This Row],[Adjusted Correct]]="-", "",IF(Table4[[#This Row],[Adjusted Correct]]="YES",(Table4[[#This Row],[Strength of Win]]-1)^2,(Table4[[#This Row],[Strength of Win]]-0)^2))</f>
        <v>0.34309036731642462</v>
      </c>
      <c r="O128">
        <v>-1.0133330670111027</v>
      </c>
      <c r="P128" s="11"/>
      <c r="Q128" t="s">
        <v>12</v>
      </c>
      <c r="R128" t="s">
        <v>249</v>
      </c>
    </row>
    <row r="129" spans="4:18" x14ac:dyDescent="0.2">
      <c r="D129" s="1">
        <v>45955</v>
      </c>
      <c r="E129" s="2">
        <v>0.83333333333333337</v>
      </c>
      <c r="F129" t="s">
        <v>39</v>
      </c>
      <c r="G129">
        <f>VLOOKUP(Table4[[#This Row],[Home]],'NHL Model'!$A$6:$B$38,2,FALSE)</f>
        <v>0.21708030788125537</v>
      </c>
      <c r="H129" t="s">
        <v>25</v>
      </c>
      <c r="I129">
        <f>VLOOKUP(Table4[[#This Row],[Visitor]],'NHL Model'!$A$6:$B$38,2,FALSE)</f>
        <v>0.2324942014830165</v>
      </c>
      <c r="J129">
        <f>($B$1+Table4[[#This Row],[Home Differential]])-Table4[[#This Row],[Away Differential]]</f>
        <v>0.11419309220976301</v>
      </c>
      <c r="K129" t="str">
        <f>IF(Table4[[#This Row],[HomeIce Differential]]&gt;0,Table4[[#This Row],[Home]],Table4[[#This Row],[Visitor]])</f>
        <v>Dallas Stars</v>
      </c>
      <c r="L1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0.53466497838579585</v>
      </c>
      <c r="M129" t="str">
        <f>IF(OR((NHL2025_26Results[[#This Row],[Winning Team]]="")),"-",IF(Table4[[#This Row],[Predicted Winner]]=NHL2025_26Results[[#This Row],[Winning Team]],"YES","NO"))</f>
        <v>YES</v>
      </c>
      <c r="N129">
        <f>IF(Table4[[#This Row],[Adjusted Correct]]="-", "",IF(Table4[[#This Row],[Adjusted Correct]]="YES",(Table4[[#This Row],[Strength of Win]]-1)^2,(Table4[[#This Row],[Strength of Win]]-0)^2))</f>
        <v>0.21653668234069184</v>
      </c>
      <c r="O129">
        <v>-1.7156103470627815</v>
      </c>
      <c r="P129" s="11"/>
      <c r="Q129" t="s">
        <v>25</v>
      </c>
      <c r="R129" t="s">
        <v>249</v>
      </c>
    </row>
    <row r="130" spans="4:18" x14ac:dyDescent="0.2">
      <c r="D130" s="1">
        <v>45955</v>
      </c>
      <c r="E130" s="2">
        <v>0.79166666666666663</v>
      </c>
      <c r="F130" t="s">
        <v>26</v>
      </c>
      <c r="G130">
        <f>VLOOKUP(Table4[[#This Row],[Home]],'NHL Model'!$A$6:$B$38,2,FALSE)</f>
        <v>-0.33113778518110382</v>
      </c>
      <c r="H130" t="s">
        <v>35</v>
      </c>
      <c r="I130">
        <f>VLOOKUP(Table4[[#This Row],[Visitor]],'NHL Model'!$A$6:$B$38,2,FALSE)</f>
        <v>-1.3128572733047907</v>
      </c>
      <c r="J130">
        <f>($B$1+Table4[[#This Row],[Home Differential]])-Table4[[#This Row],[Away Differential]]</f>
        <v>1.1113264739352111</v>
      </c>
      <c r="K130" t="str">
        <f>IF(Table4[[#This Row],[HomeIce Differential]]&gt;0,Table4[[#This Row],[Home]],Table4[[#This Row],[Visitor]])</f>
        <v>Detroit Red Wings</v>
      </c>
      <c r="L1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0.69083288220949046</v>
      </c>
      <c r="M130" t="str">
        <f>IF(OR((NHL2025_26Results[[#This Row],[Winning Team]]="")),"-",IF(Table4[[#This Row],[Predicted Winner]]=NHL2025_26Results[[#This Row],[Winning Team]],"YES","NO"))</f>
        <v>YES</v>
      </c>
      <c r="N130">
        <f>IF(Table4[[#This Row],[Adjusted Correct]]="-", "",IF(Table4[[#This Row],[Adjusted Correct]]="YES",(Table4[[#This Row],[Strength of Win]]-1)^2,(Table4[[#This Row],[Strength of Win]]-0)^2))</f>
        <v>9.5584306722890797E-2</v>
      </c>
      <c r="O130">
        <v>1.4751590066233431</v>
      </c>
      <c r="P130" s="11"/>
      <c r="Q130" t="s">
        <v>26</v>
      </c>
      <c r="R130" t="s">
        <v>248</v>
      </c>
    </row>
    <row r="131" spans="4:18" x14ac:dyDescent="0.2">
      <c r="D131" s="1">
        <v>45955</v>
      </c>
      <c r="E131" s="2">
        <v>0.75</v>
      </c>
      <c r="F131" t="s">
        <v>11</v>
      </c>
      <c r="G131">
        <f>VLOOKUP(Table4[[#This Row],[Home]],'NHL Model'!$A$6:$B$38,2,FALSE)</f>
        <v>-0.55695213126481558</v>
      </c>
      <c r="H131" t="s">
        <v>20</v>
      </c>
      <c r="I131">
        <f>VLOOKUP(Table4[[#This Row],[Visitor]],'NHL Model'!$A$6:$B$38,2,FALSE)</f>
        <v>-0.16296463421387539</v>
      </c>
      <c r="J131">
        <f>($B$1+Table4[[#This Row],[Home Differential]])-Table4[[#This Row],[Away Differential]]</f>
        <v>-0.26438051123941608</v>
      </c>
      <c r="K131" t="str">
        <f>IF(Table4[[#This Row],[HomeIce Differential]]&gt;0,Table4[[#This Row],[Home]],Table4[[#This Row],[Visitor]])</f>
        <v>Vegas Golden Knights</v>
      </c>
      <c r="L1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0.50170449316506693</v>
      </c>
      <c r="M131" t="str">
        <f>IF(OR((NHL2025_26Results[[#This Row],[Winning Team]]="")),"-",IF(Table4[[#This Row],[Predicted Winner]]=NHL2025_26Results[[#This Row],[Winning Team]],"YES","NO"))</f>
        <v>NO</v>
      </c>
      <c r="N131">
        <f>IF(Table4[[#This Row],[Adjusted Correct]]="-", "",IF(Table4[[#This Row],[Adjusted Correct]]="YES",(Table4[[#This Row],[Strength of Win]]-1)^2,(Table4[[#This Row],[Strength of Win]]-0)^2))</f>
        <v>0.25170739846201667</v>
      </c>
      <c r="O131">
        <v>-0.31959801453705095</v>
      </c>
      <c r="P131" s="11"/>
      <c r="Q131" t="s">
        <v>20</v>
      </c>
      <c r="R131" t="s">
        <v>249</v>
      </c>
    </row>
    <row r="132" spans="4:18" x14ac:dyDescent="0.2">
      <c r="D132" s="1">
        <v>45955</v>
      </c>
      <c r="E132" s="2">
        <v>0.75</v>
      </c>
      <c r="F132" t="s">
        <v>34</v>
      </c>
      <c r="G132">
        <f>VLOOKUP(Table4[[#This Row],[Home]],'NHL Model'!$A$6:$B$38,2,FALSE)</f>
        <v>6.0485283743665949E-2</v>
      </c>
      <c r="H132" t="s">
        <v>55</v>
      </c>
      <c r="I132">
        <f>VLOOKUP(Table4[[#This Row],[Visitor]],'NHL Model'!$A$6:$B$38,2,FALSE)</f>
        <v>8.4094725828611647E-2</v>
      </c>
      <c r="J132">
        <f>($B$1+Table4[[#This Row],[Home Differential]])-Table4[[#This Row],[Away Differential]]</f>
        <v>0.10599754372657839</v>
      </c>
      <c r="K132" t="str">
        <f>IF(Table4[[#This Row],[HomeIce Differential]]&gt;0,Table4[[#This Row],[Home]],Table4[[#This Row],[Visitor]])</f>
        <v>Minnesota Wild</v>
      </c>
      <c r="L1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0.56385092594003428</v>
      </c>
      <c r="M132" t="str">
        <f>IF(OR((NHL2025_26Results[[#This Row],[Winning Team]]="")),"-",IF(Table4[[#This Row],[Predicted Winner]]=NHL2025_26Results[[#This Row],[Winning Team]],"YES","NO"))</f>
        <v>NO</v>
      </c>
      <c r="N132">
        <f>IF(Table4[[#This Row],[Adjusted Correct]]="-", "",IF(Table4[[#This Row],[Adjusted Correct]]="YES",(Table4[[#This Row],[Strength of Win]]-1)^2,(Table4[[#This Row],[Strength of Win]]-0)^2))</f>
        <v>0.31792786668343404</v>
      </c>
      <c r="O132">
        <v>-1.993561697378085</v>
      </c>
      <c r="P132" s="11"/>
      <c r="Q132" t="s">
        <v>55</v>
      </c>
      <c r="R132" t="s">
        <v>248</v>
      </c>
    </row>
    <row r="133" spans="4:18" x14ac:dyDescent="0.2">
      <c r="D133" s="1">
        <v>45955</v>
      </c>
      <c r="E133" s="2">
        <v>0.83333333333333337</v>
      </c>
      <c r="F133" t="s">
        <v>29</v>
      </c>
      <c r="G133">
        <f>VLOOKUP(Table4[[#This Row],[Home]],'NHL Model'!$A$6:$B$38,2,FALSE)</f>
        <v>-0.82056481120798741</v>
      </c>
      <c r="H133" t="s">
        <v>13</v>
      </c>
      <c r="I133">
        <f>VLOOKUP(Table4[[#This Row],[Visitor]],'NHL Model'!$A$6:$B$38,2,FALSE)</f>
        <v>-0.59069689888466137</v>
      </c>
      <c r="J133">
        <f>($B$1+Table4[[#This Row],[Home Differential]])-Table4[[#This Row],[Away Differential]]</f>
        <v>-0.10026092651180196</v>
      </c>
      <c r="K133" t="str">
        <f>IF(Table4[[#This Row],[HomeIce Differential]]&gt;0,Table4[[#This Row],[Home]],Table4[[#This Row],[Visitor]])</f>
        <v>Los Angeles Kings</v>
      </c>
      <c r="L1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0.49202791783529848</v>
      </c>
      <c r="M133" t="str">
        <f>IF(OR((NHL2025_26Results[[#This Row],[Winning Team]]="")),"-",IF(Table4[[#This Row],[Predicted Winner]]=NHL2025_26Results[[#This Row],[Winning Team]],"YES","NO"))</f>
        <v>NO</v>
      </c>
      <c r="N133">
        <f>IF(Table4[[#This Row],[Adjusted Correct]]="-", "",IF(Table4[[#This Row],[Adjusted Correct]]="YES",(Table4[[#This Row],[Strength of Win]]-1)^2,(Table4[[#This Row],[Strength of Win]]-0)^2))</f>
        <v>0.24209147192933922</v>
      </c>
      <c r="O133">
        <v>0.10789824799456826</v>
      </c>
      <c r="P133" s="11"/>
      <c r="Q133" t="s">
        <v>29</v>
      </c>
      <c r="R133" t="s">
        <v>248</v>
      </c>
    </row>
    <row r="134" spans="4:18" x14ac:dyDescent="0.2">
      <c r="D134" s="1">
        <v>45955</v>
      </c>
      <c r="E134" s="2">
        <v>0.52083333333333337</v>
      </c>
      <c r="F134" t="s">
        <v>27</v>
      </c>
      <c r="G134">
        <f>VLOOKUP(Table4[[#This Row],[Home]],'NHL Model'!$A$6:$B$38,2,FALSE)</f>
        <v>-0.55097933929175691</v>
      </c>
      <c r="H134" t="s">
        <v>30</v>
      </c>
      <c r="I134">
        <f>VLOOKUP(Table4[[#This Row],[Visitor]],'NHL Model'!$A$6:$B$38,2,FALSE)</f>
        <v>-0.18630462558229716</v>
      </c>
      <c r="J134">
        <f>($B$1+Table4[[#This Row],[Home Differential]])-Table4[[#This Row],[Away Differential]]</f>
        <v>-0.23506772789793567</v>
      </c>
      <c r="K134" t="str">
        <f>IF(Table4[[#This Row],[HomeIce Differential]]&gt;0,Table4[[#This Row],[Home]],Table4[[#This Row],[Visitor]])</f>
        <v>New York Islanders</v>
      </c>
      <c r="L1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0.52329107392067009</v>
      </c>
      <c r="M134" t="str">
        <f>IF(OR((NHL2025_26Results[[#This Row],[Winning Team]]="")),"-",IF(Table4[[#This Row],[Predicted Winner]]=NHL2025_26Results[[#This Row],[Winning Team]],"YES","NO"))</f>
        <v>NO</v>
      </c>
      <c r="N134">
        <f>IF(Table4[[#This Row],[Adjusted Correct]]="-", "",IF(Table4[[#This Row],[Adjusted Correct]]="YES",(Table4[[#This Row],[Strength of Win]]-1)^2,(Table4[[#This Row],[Strength of Win]]-0)^2))</f>
        <v>0.27383354804504823</v>
      </c>
      <c r="O134">
        <v>0.13057390256868451</v>
      </c>
      <c r="P134" s="11"/>
      <c r="Q134" t="s">
        <v>27</v>
      </c>
      <c r="R134" t="s">
        <v>248</v>
      </c>
    </row>
    <row r="135" spans="4:18" x14ac:dyDescent="0.2">
      <c r="D135" s="1">
        <v>45955</v>
      </c>
      <c r="E135" s="2">
        <v>0.79166666666666663</v>
      </c>
      <c r="F135" t="s">
        <v>14</v>
      </c>
      <c r="G135">
        <f>VLOOKUP(Table4[[#This Row],[Home]],'NHL Model'!$A$6:$B$38,2,FALSE)</f>
        <v>3.6349513460996066E-5</v>
      </c>
      <c r="H135" t="s">
        <v>28</v>
      </c>
      <c r="I135">
        <f>VLOOKUP(Table4[[#This Row],[Visitor]],'NHL Model'!$A$6:$B$38,2,FALSE)</f>
        <v>-0.28156479873410767</v>
      </c>
      <c r="J135">
        <f>($B$1+Table4[[#This Row],[Home Differential]])-Table4[[#This Row],[Away Differential]]</f>
        <v>0.41120813405909273</v>
      </c>
      <c r="K135" t="str">
        <f>IF(Table4[[#This Row],[HomeIce Differential]]&gt;0,Table4[[#This Row],[Home]],Table4[[#This Row],[Visitor]])</f>
        <v>Pittsburgh Penguins</v>
      </c>
      <c r="L1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0.57415996777135969</v>
      </c>
      <c r="M135" t="str">
        <f>IF(OR((NHL2025_26Results[[#This Row],[Winning Team]]="")),"-",IF(Table4[[#This Row],[Predicted Winner]]=NHL2025_26Results[[#This Row],[Winning Team]],"YES","NO"))</f>
        <v>NO</v>
      </c>
      <c r="N135">
        <f>IF(Table4[[#This Row],[Adjusted Correct]]="-", "",IF(Table4[[#This Row],[Adjusted Correct]]="YES",(Table4[[#This Row],[Strength of Win]]-1)^2,(Table4[[#This Row],[Strength of Win]]-0)^2))</f>
        <v>0.32965966859120882</v>
      </c>
      <c r="O135">
        <v>0.55149848008752778</v>
      </c>
      <c r="P135" s="11"/>
      <c r="Q135" t="s">
        <v>14</v>
      </c>
      <c r="R135" t="s">
        <v>249</v>
      </c>
    </row>
    <row r="136" spans="4:18" x14ac:dyDescent="0.2">
      <c r="D136" s="1">
        <v>45955</v>
      </c>
      <c r="E136" s="2">
        <v>0.91666666666666663</v>
      </c>
      <c r="F136" t="s">
        <v>32</v>
      </c>
      <c r="G136">
        <f>VLOOKUP(Table4[[#This Row],[Home]],'NHL Model'!$A$6:$B$38,2,FALSE)</f>
        <v>-0.48236715437805205</v>
      </c>
      <c r="H136" t="s">
        <v>17</v>
      </c>
      <c r="I136">
        <f>VLOOKUP(Table4[[#This Row],[Visitor]],'NHL Model'!$A$6:$B$38,2,FALSE)</f>
        <v>-0.36462594951491906</v>
      </c>
      <c r="J136">
        <f>($B$1+Table4[[#This Row],[Home Differential]])-Table4[[#This Row],[Away Differential]]</f>
        <v>1.1865780948391136E-2</v>
      </c>
      <c r="K136" t="str">
        <f>IF(Table4[[#This Row],[HomeIce Differential]]&gt;0,Table4[[#This Row],[Home]],Table4[[#This Row],[Visitor]])</f>
        <v>Seattle Kraken</v>
      </c>
      <c r="L1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0.54133245441808997</v>
      </c>
      <c r="M136" t="str">
        <f>IF(OR((NHL2025_26Results[[#This Row],[Winning Team]]="")),"-",IF(Table4[[#This Row],[Predicted Winner]]=NHL2025_26Results[[#This Row],[Winning Team]],"YES","NO"))</f>
        <v>YES</v>
      </c>
      <c r="N136">
        <f>IF(Table4[[#This Row],[Adjusted Correct]]="-", "",IF(Table4[[#This Row],[Adjusted Correct]]="YES",(Table4[[#This Row],[Strength of Win]]-1)^2,(Table4[[#This Row],[Strength of Win]]-0)^2))</f>
        <v>0.2103759173701335</v>
      </c>
      <c r="O136">
        <v>0.51837409396596268</v>
      </c>
      <c r="P136" s="11"/>
      <c r="Q136" t="s">
        <v>32</v>
      </c>
      <c r="R136" t="s">
        <v>248</v>
      </c>
    </row>
    <row r="137" spans="4:18" x14ac:dyDescent="0.2">
      <c r="D137" s="1">
        <v>45955</v>
      </c>
      <c r="E137" s="2">
        <v>0.70833333333333337</v>
      </c>
      <c r="F137" t="s">
        <v>37</v>
      </c>
      <c r="G137">
        <f>VLOOKUP(Table4[[#This Row],[Home]],'NHL Model'!$A$6:$B$38,2,FALSE)</f>
        <v>0.72108184732572844</v>
      </c>
      <c r="H137" t="s">
        <v>31</v>
      </c>
      <c r="I137">
        <f>VLOOKUP(Table4[[#This Row],[Visitor]],'NHL Model'!$A$6:$B$38,2,FALSE)</f>
        <v>-0.46360583111358089</v>
      </c>
      <c r="J137">
        <f>($B$1+Table4[[#This Row],[Home Differential]])-Table4[[#This Row],[Away Differential]]</f>
        <v>1.3142946642508333</v>
      </c>
      <c r="K137" t="str">
        <f>IF(Table4[[#This Row],[HomeIce Differential]]&gt;0,Table4[[#This Row],[Home]],Table4[[#This Row],[Visitor]])</f>
        <v>Tampa Bay Lightning</v>
      </c>
      <c r="L1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0.74357217270336995</v>
      </c>
      <c r="M137" t="str">
        <f>IF(OR((NHL2025_26Results[[#This Row],[Winning Team]]="")),"-",IF(Table4[[#This Row],[Predicted Winner]]=NHL2025_26Results[[#This Row],[Winning Team]],"YES","NO"))</f>
        <v>YES</v>
      </c>
      <c r="N137">
        <f>IF(Table4[[#This Row],[Adjusted Correct]]="-", "",IF(Table4[[#This Row],[Adjusted Correct]]="YES",(Table4[[#This Row],[Strength of Win]]-1)^2,(Table4[[#This Row],[Strength of Win]]-0)^2))</f>
        <v>6.5755230612070323E-2</v>
      </c>
      <c r="O137">
        <v>-0.43394746276688168</v>
      </c>
      <c r="P137" s="11"/>
      <c r="Q137" t="s">
        <v>31</v>
      </c>
      <c r="R137" t="s">
        <v>249</v>
      </c>
    </row>
    <row r="138" spans="4:18" x14ac:dyDescent="0.2">
      <c r="D138" s="1">
        <v>45955</v>
      </c>
      <c r="E138" s="2">
        <v>0.79166666666666663</v>
      </c>
      <c r="F138" t="s">
        <v>19</v>
      </c>
      <c r="G138">
        <f>VLOOKUP(Table4[[#This Row],[Home]],'NHL Model'!$A$6:$B$38,2,FALSE)</f>
        <v>-0.44228056828684137</v>
      </c>
      <c r="H138" t="s">
        <v>23</v>
      </c>
      <c r="I138">
        <f>VLOOKUP(Table4[[#This Row],[Visitor]],'NHL Model'!$A$6:$B$38,2,FALSE)</f>
        <v>8.1543966060426461E-3</v>
      </c>
      <c r="J138">
        <f>($B$1+Table4[[#This Row],[Home Differential]])-Table4[[#This Row],[Away Differential]]</f>
        <v>-0.32082797908135996</v>
      </c>
      <c r="K138" t="str">
        <f>IF(Table4[[#This Row],[HomeIce Differential]]&gt;0,Table4[[#This Row],[Home]],Table4[[#This Row],[Visitor]])</f>
        <v>Buffalo Sabres</v>
      </c>
      <c r="L1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0.53292142409170984</v>
      </c>
      <c r="M138" t="str">
        <f>IF(OR((NHL2025_26Results[[#This Row],[Winning Team]]="")),"-",IF(Table4[[#This Row],[Predicted Winner]]=NHL2025_26Results[[#This Row],[Winning Team]],"YES","NO"))</f>
        <v>NO</v>
      </c>
      <c r="N138">
        <f>IF(Table4[[#This Row],[Adjusted Correct]]="-", "",IF(Table4[[#This Row],[Adjusted Correct]]="YES",(Table4[[#This Row],[Strength of Win]]-1)^2,(Table4[[#This Row],[Strength of Win]]-0)^2))</f>
        <v>0.28400524425593604</v>
      </c>
      <c r="O138">
        <v>-0.16475592245622639</v>
      </c>
      <c r="P138" s="11"/>
      <c r="Q138" t="s">
        <v>23</v>
      </c>
      <c r="R138" t="s">
        <v>249</v>
      </c>
    </row>
    <row r="139" spans="4:18" x14ac:dyDescent="0.2">
      <c r="D139" s="1">
        <v>45955</v>
      </c>
      <c r="E139" s="2">
        <v>0.79166666666666663</v>
      </c>
      <c r="F139" t="s">
        <v>38</v>
      </c>
      <c r="G139">
        <f>VLOOKUP(Table4[[#This Row],[Home]],'NHL Model'!$A$6:$B$38,2,FALSE)</f>
        <v>-1.3920033028857945</v>
      </c>
      <c r="H139" t="s">
        <v>18</v>
      </c>
      <c r="I139">
        <f>VLOOKUP(Table4[[#This Row],[Visitor]],'NHL Model'!$A$6:$B$38,2,FALSE)</f>
        <v>-8.6274676766085606E-2</v>
      </c>
      <c r="J139">
        <f>($B$1+Table4[[#This Row],[Home Differential]])-Table4[[#This Row],[Away Differential]]</f>
        <v>-1.1761216403081849</v>
      </c>
      <c r="K139" t="str">
        <f>IF(Table4[[#This Row],[HomeIce Differential]]&gt;0,Table4[[#This Row],[Home]],Table4[[#This Row],[Visitor]])</f>
        <v>Montreal Canadiens</v>
      </c>
      <c r="L1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0.63744079758757421</v>
      </c>
      <c r="M139" t="str">
        <f>IF(OR((NHL2025_26Results[[#This Row],[Winning Team]]="")),"-",IF(Table4[[#This Row],[Predicted Winner]]=NHL2025_26Results[[#This Row],[Winning Team]],"YES","NO"))</f>
        <v>YES</v>
      </c>
      <c r="N139">
        <f>IF(Table4[[#This Row],[Adjusted Correct]]="-", "",IF(Table4[[#This Row],[Adjusted Correct]]="YES",(Table4[[#This Row],[Strength of Win]]-1)^2,(Table4[[#This Row],[Strength of Win]]-0)^2))</f>
        <v>0.13144917525393432</v>
      </c>
      <c r="O139">
        <v>-0.91879396386780554</v>
      </c>
      <c r="P139" s="11"/>
      <c r="Q139" t="s">
        <v>18</v>
      </c>
      <c r="R139" t="s">
        <v>248</v>
      </c>
    </row>
    <row r="140" spans="4:18" x14ac:dyDescent="0.2">
      <c r="D140" s="1">
        <v>45955</v>
      </c>
      <c r="E140" s="2">
        <v>0.79166666666666663</v>
      </c>
      <c r="F140" t="s">
        <v>22</v>
      </c>
      <c r="G140">
        <f>VLOOKUP(Table4[[#This Row],[Home]],'NHL Model'!$A$6:$B$38,2,FALSE)</f>
        <v>-0.11977593183651415</v>
      </c>
      <c r="H140" t="s">
        <v>36</v>
      </c>
      <c r="I140">
        <f>VLOOKUP(Table4[[#This Row],[Visitor]],'NHL Model'!$A$6:$B$38,2,FALSE)</f>
        <v>-0.19010748264223354</v>
      </c>
      <c r="J140">
        <f>($B$1+Table4[[#This Row],[Home Differential]])-Table4[[#This Row],[Away Differential]]</f>
        <v>0.19993853661724348</v>
      </c>
      <c r="K140" t="str">
        <f>IF(Table4[[#This Row],[HomeIce Differential]]&gt;0,Table4[[#This Row],[Home]],Table4[[#This Row],[Visitor]])</f>
        <v>Washington Capitals</v>
      </c>
      <c r="L1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0.56847697588016222</v>
      </c>
      <c r="M140" t="str">
        <f>IF(OR((NHL2025_26Results[[#This Row],[Winning Team]]="")),"-",IF(Table4[[#This Row],[Predicted Winner]]=NHL2025_26Results[[#This Row],[Winning Team]],"YES","NO"))</f>
        <v>NO</v>
      </c>
      <c r="N140">
        <f>IF(Table4[[#This Row],[Adjusted Correct]]="-", "",IF(Table4[[#This Row],[Adjusted Correct]]="YES",(Table4[[#This Row],[Strength of Win]]-1)^2,(Table4[[#This Row],[Strength of Win]]-0)^2))</f>
        <v>0.32316607210585452</v>
      </c>
      <c r="O140">
        <v>0.9258064541029658</v>
      </c>
      <c r="P140" s="11"/>
      <c r="Q140" t="s">
        <v>22</v>
      </c>
      <c r="R140" t="s">
        <v>249</v>
      </c>
    </row>
    <row r="141" spans="4:18" x14ac:dyDescent="0.2">
      <c r="D141" s="1">
        <v>45956</v>
      </c>
      <c r="E141" s="2">
        <v>0.83333333333333337</v>
      </c>
      <c r="F141" t="s">
        <v>16</v>
      </c>
      <c r="G141">
        <f>VLOOKUP(Table4[[#This Row],[Home]],'NHL Model'!$A$6:$B$38,2,FALSE)</f>
        <v>-0.89031221864884547</v>
      </c>
      <c r="H141" t="s">
        <v>15</v>
      </c>
      <c r="I141">
        <f>VLOOKUP(Table4[[#This Row],[Visitor]],'NHL Model'!$A$6:$B$38,2,FALSE)</f>
        <v>-0.73651915476403329</v>
      </c>
      <c r="J141">
        <f>($B$1+Table4[[#This Row],[Home Differential]])-Table4[[#This Row],[Away Differential]]</f>
        <v>-2.4186078073288098E-2</v>
      </c>
      <c r="K141" t="str">
        <f>IF(Table4[[#This Row],[HomeIce Differential]]&gt;0,Table4[[#This Row],[Home]],Table4[[#This Row],[Visitor]])</f>
        <v>New York Rangers</v>
      </c>
      <c r="L1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0.49863193421255314</v>
      </c>
      <c r="M141" t="str">
        <f>IF(OR((NHL2025_26Results[[#This Row],[Winning Team]]="")),"-",IF(Table4[[#This Row],[Predicted Winner]]=NHL2025_26Results[[#This Row],[Winning Team]],"YES","NO"))</f>
        <v>NO</v>
      </c>
      <c r="N141">
        <f>IF(Table4[[#This Row],[Adjusted Correct]]="-", "",IF(Table4[[#This Row],[Adjusted Correct]]="YES",(Table4[[#This Row],[Strength of Win]]-1)^2,(Table4[[#This Row],[Strength of Win]]-0)^2))</f>
        <v>0.24863380581655192</v>
      </c>
      <c r="O141">
        <v>-0.64418985918620675</v>
      </c>
      <c r="P141" s="11"/>
      <c r="Q141" t="s">
        <v>15</v>
      </c>
      <c r="R141" t="s">
        <v>249</v>
      </c>
    </row>
    <row r="142" spans="4:18" x14ac:dyDescent="0.2">
      <c r="D142" s="1">
        <v>45956</v>
      </c>
      <c r="E142" s="2">
        <v>0.79166666666666663</v>
      </c>
      <c r="F142" t="s">
        <v>10</v>
      </c>
      <c r="G142">
        <f>VLOOKUP(Table4[[#This Row],[Home]],'NHL Model'!$A$6:$B$38,2,FALSE)</f>
        <v>-0.92658078135875344</v>
      </c>
      <c r="H142" t="s">
        <v>13</v>
      </c>
      <c r="I142">
        <f>VLOOKUP(Table4[[#This Row],[Visitor]],'NHL Model'!$A$6:$B$38,2,FALSE)</f>
        <v>-0.59069689888466137</v>
      </c>
      <c r="J142">
        <f>($B$1+Table4[[#This Row],[Home Differential]])-Table4[[#This Row],[Away Differential]]</f>
        <v>-0.20627689666256799</v>
      </c>
      <c r="K142" t="str">
        <f>IF(Table4[[#This Row],[HomeIce Differential]]&gt;0,Table4[[#This Row],[Home]],Table4[[#This Row],[Visitor]])</f>
        <v>Los Angeles Kings</v>
      </c>
      <c r="L1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0.50393286100169288</v>
      </c>
      <c r="M142" t="str">
        <f>IF(OR((NHL2025_26Results[[#This Row],[Winning Team]]="")),"-",IF(Table4[[#This Row],[Predicted Winner]]=NHL2025_26Results[[#This Row],[Winning Team]],"YES","NO"))</f>
        <v>YES</v>
      </c>
      <c r="N142">
        <f>IF(Table4[[#This Row],[Adjusted Correct]]="-", "",IF(Table4[[#This Row],[Adjusted Correct]]="YES",(Table4[[#This Row],[Strength of Win]]-1)^2,(Table4[[#This Row],[Strength of Win]]-0)^2))</f>
        <v>0.24608260639396576</v>
      </c>
      <c r="O142">
        <v>0.57301428236358698</v>
      </c>
      <c r="P142" s="11"/>
      <c r="Q142" t="s">
        <v>10</v>
      </c>
      <c r="R142" t="s">
        <v>249</v>
      </c>
    </row>
    <row r="143" spans="4:18" x14ac:dyDescent="0.2">
      <c r="D143" s="1">
        <v>45956</v>
      </c>
      <c r="E143" s="2">
        <v>0.75</v>
      </c>
      <c r="F143" t="s">
        <v>34</v>
      </c>
      <c r="G143">
        <f>VLOOKUP(Table4[[#This Row],[Home]],'NHL Model'!$A$6:$B$38,2,FALSE)</f>
        <v>6.0485283743665949E-2</v>
      </c>
      <c r="H143" t="s">
        <v>33</v>
      </c>
      <c r="I143">
        <f>VLOOKUP(Table4[[#This Row],[Visitor]],'NHL Model'!$A$6:$B$38,2,FALSE)</f>
        <v>-0.65236582493376272</v>
      </c>
      <c r="J143">
        <f>($B$1+Table4[[#This Row],[Home Differential]])-Table4[[#This Row],[Away Differential]]</f>
        <v>0.84245809448895281</v>
      </c>
      <c r="K143" t="str">
        <f>IF(Table4[[#This Row],[HomeIce Differential]]&gt;0,Table4[[#This Row],[Home]],Table4[[#This Row],[Visitor]])</f>
        <v>Minnesota Wild</v>
      </c>
      <c r="L1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0.64655092848351214</v>
      </c>
      <c r="M143" t="str">
        <f>IF(OR((NHL2025_26Results[[#This Row],[Winning Team]]="")),"-",IF(Table4[[#This Row],[Predicted Winner]]=NHL2025_26Results[[#This Row],[Winning Team]],"YES","NO"))</f>
        <v>NO</v>
      </c>
      <c r="N143">
        <f>IF(Table4[[#This Row],[Adjusted Correct]]="-", "",IF(Table4[[#This Row],[Adjusted Correct]]="YES",(Table4[[#This Row],[Strength of Win]]-1)^2,(Table4[[#This Row],[Strength of Win]]-0)^2))</f>
        <v>0.41802810312289163</v>
      </c>
      <c r="O143">
        <v>1.6075713996527963E-2</v>
      </c>
      <c r="P143" s="11"/>
      <c r="Q143" t="s">
        <v>34</v>
      </c>
      <c r="R143" t="s">
        <v>249</v>
      </c>
    </row>
    <row r="144" spans="4:18" x14ac:dyDescent="0.2">
      <c r="D144" s="1">
        <v>45956</v>
      </c>
      <c r="E144" s="2">
        <v>0.54166666666666663</v>
      </c>
      <c r="F144" t="s">
        <v>24</v>
      </c>
      <c r="G144">
        <f>VLOOKUP(Table4[[#This Row],[Home]],'NHL Model'!$A$6:$B$38,2,FALSE)</f>
        <v>-0.74510803532792402</v>
      </c>
      <c r="H144" t="s">
        <v>12</v>
      </c>
      <c r="I144">
        <f>VLOOKUP(Table4[[#This Row],[Visitor]],'NHL Model'!$A$6:$B$38,2,FALSE)</f>
        <v>0.99866683349964291</v>
      </c>
      <c r="J144">
        <f>($B$1+Table4[[#This Row],[Home Differential]])-Table4[[#This Row],[Away Differential]]</f>
        <v>-1.6141678830160429</v>
      </c>
      <c r="K144" t="str">
        <f>IF(Table4[[#This Row],[HomeIce Differential]]&gt;0,Table4[[#This Row],[Home]],Table4[[#This Row],[Visitor]])</f>
        <v>Colorado Avalanche</v>
      </c>
      <c r="L1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0.71052640756053442</v>
      </c>
      <c r="M144" t="str">
        <f>IF(OR((NHL2025_26Results[[#This Row],[Winning Team]]="")),"-",IF(Table4[[#This Row],[Predicted Winner]]=NHL2025_26Results[[#This Row],[Winning Team]],"YES","NO"))</f>
        <v>NO</v>
      </c>
      <c r="N144">
        <f>IF(Table4[[#This Row],[Adjusted Correct]]="-", "",IF(Table4[[#This Row],[Adjusted Correct]]="YES",(Table4[[#This Row],[Strength of Win]]-1)^2,(Table4[[#This Row],[Strength of Win]]-0)^2))</f>
        <v>0.5048477758408787</v>
      </c>
      <c r="O144">
        <v>0.28310290944792438</v>
      </c>
      <c r="P144" s="11"/>
      <c r="Q144" t="s">
        <v>24</v>
      </c>
      <c r="R144" t="s">
        <v>248</v>
      </c>
    </row>
    <row r="145" spans="4:18" x14ac:dyDescent="0.2">
      <c r="D145" s="1">
        <v>45956</v>
      </c>
      <c r="E145" s="2">
        <v>0.79166666666666663</v>
      </c>
      <c r="F145" t="s">
        <v>29</v>
      </c>
      <c r="G145">
        <f>VLOOKUP(Table4[[#This Row],[Home]],'NHL Model'!$A$6:$B$38,2,FALSE)</f>
        <v>-0.82056481120798741</v>
      </c>
      <c r="H145" t="s">
        <v>39</v>
      </c>
      <c r="I145">
        <f>VLOOKUP(Table4[[#This Row],[Visitor]],'NHL Model'!$A$6:$B$38,2,FALSE)</f>
        <v>0.21708030788125537</v>
      </c>
      <c r="J145">
        <f>($B$1+Table4[[#This Row],[Home Differential]])-Table4[[#This Row],[Away Differential]]</f>
        <v>-0.90803813327771876</v>
      </c>
      <c r="K145" t="str">
        <f>IF(Table4[[#This Row],[HomeIce Differential]]&gt;0,Table4[[#This Row],[Home]],Table4[[#This Row],[Visitor]])</f>
        <v>Dallas Stars</v>
      </c>
      <c r="L1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0.62010182766202171</v>
      </c>
      <c r="M145" t="str">
        <f>IF(OR((NHL2025_26Results[[#This Row],[Winning Team]]="")),"-",IF(Table4[[#This Row],[Predicted Winner]]=NHL2025_26Results[[#This Row],[Winning Team]],"YES","NO"))</f>
        <v>YES</v>
      </c>
      <c r="N145">
        <f>IF(Table4[[#This Row],[Adjusted Correct]]="-", "",IF(Table4[[#This Row],[Adjusted Correct]]="YES",(Table4[[#This Row],[Strength of Win]]-1)^2,(Table4[[#This Row],[Strength of Win]]-0)^2))</f>
        <v>0.14432262134573626</v>
      </c>
      <c r="O145">
        <v>-0.20187186904748766</v>
      </c>
      <c r="P145" s="11"/>
      <c r="Q145" t="s">
        <v>39</v>
      </c>
      <c r="R145" t="s">
        <v>248</v>
      </c>
    </row>
    <row r="146" spans="4:18" x14ac:dyDescent="0.2">
      <c r="D146" s="1">
        <v>45956</v>
      </c>
      <c r="E146" s="2">
        <v>0.70833333333333337</v>
      </c>
      <c r="F146" t="s">
        <v>37</v>
      </c>
      <c r="G146">
        <f>VLOOKUP(Table4[[#This Row],[Home]],'NHL Model'!$A$6:$B$38,2,FALSE)</f>
        <v>0.72108184732572844</v>
      </c>
      <c r="H146" t="s">
        <v>20</v>
      </c>
      <c r="I146">
        <f>VLOOKUP(Table4[[#This Row],[Visitor]],'NHL Model'!$A$6:$B$38,2,FALSE)</f>
        <v>-0.16296463421387539</v>
      </c>
      <c r="J146">
        <f>($B$1+Table4[[#This Row],[Home Differential]])-Table4[[#This Row],[Away Differential]]</f>
        <v>1.0136534673511279</v>
      </c>
      <c r="K146" t="str">
        <f>IF(Table4[[#This Row],[HomeIce Differential]]&gt;0,Table4[[#This Row],[Home]],Table4[[#This Row],[Visitor]])</f>
        <v>Tampa Bay Lightning</v>
      </c>
      <c r="L1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0.69813247509992071</v>
      </c>
      <c r="M146" t="str">
        <f>IF(OR((NHL2025_26Results[[#This Row],[Winning Team]]="")),"-",IF(Table4[[#This Row],[Predicted Winner]]=NHL2025_26Results[[#This Row],[Winning Team]],"YES","NO"))</f>
        <v>YES</v>
      </c>
      <c r="N146">
        <f>IF(Table4[[#This Row],[Adjusted Correct]]="-", "",IF(Table4[[#This Row],[Adjusted Correct]]="YES",(Table4[[#This Row],[Strength of Win]]-1)^2,(Table4[[#This Row],[Strength of Win]]-0)^2))</f>
        <v>9.1124002589299993E-2</v>
      </c>
      <c r="O146">
        <v>-0.51384602530268031</v>
      </c>
      <c r="P146" s="11"/>
      <c r="Q146" t="s">
        <v>20</v>
      </c>
      <c r="R146" t="s">
        <v>249</v>
      </c>
    </row>
    <row r="147" spans="4:18" x14ac:dyDescent="0.2">
      <c r="D147" s="1">
        <v>45956</v>
      </c>
      <c r="E147" s="2">
        <v>0.91666666666666663</v>
      </c>
      <c r="F147" t="s">
        <v>38</v>
      </c>
      <c r="G147">
        <f>VLOOKUP(Table4[[#This Row],[Home]],'NHL Model'!$A$6:$B$38,2,FALSE)</f>
        <v>-1.3920033028857945</v>
      </c>
      <c r="H147" t="s">
        <v>17</v>
      </c>
      <c r="I147">
        <f>VLOOKUP(Table4[[#This Row],[Visitor]],'NHL Model'!$A$6:$B$38,2,FALSE)</f>
        <v>-0.36462594951491906</v>
      </c>
      <c r="J147">
        <f>($B$1+Table4[[#This Row],[Home Differential]])-Table4[[#This Row],[Away Differential]]</f>
        <v>-0.89777036755935136</v>
      </c>
      <c r="K147" t="str">
        <f>IF(Table4[[#This Row],[HomeIce Differential]]&gt;0,Table4[[#This Row],[Home]],Table4[[#This Row],[Visitor]])</f>
        <v>Edmonton Oilers</v>
      </c>
      <c r="L1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0.56081410552643907</v>
      </c>
      <c r="M147" t="str">
        <f>IF(OR((NHL2025_26Results[[#This Row],[Winning Team]]="")),"-",IF(Table4[[#This Row],[Predicted Winner]]=NHL2025_26Results[[#This Row],[Winning Team]],"YES","NO"))</f>
        <v>NO</v>
      </c>
      <c r="N147">
        <f>IF(Table4[[#This Row],[Adjusted Correct]]="-", "",IF(Table4[[#This Row],[Adjusted Correct]]="YES",(Table4[[#This Row],[Strength of Win]]-1)^2,(Table4[[#This Row],[Strength of Win]]-0)^2))</f>
        <v>0.31451246095741991</v>
      </c>
      <c r="O147">
        <v>2.171278557883749E-2</v>
      </c>
      <c r="P147" s="11"/>
      <c r="Q147" t="s">
        <v>38</v>
      </c>
      <c r="R147" t="s">
        <v>248</v>
      </c>
    </row>
    <row r="148" spans="4:18" x14ac:dyDescent="0.2">
      <c r="D148" s="1">
        <v>45956</v>
      </c>
      <c r="E148" s="2">
        <v>0.75</v>
      </c>
      <c r="F148" t="s">
        <v>40</v>
      </c>
      <c r="G148">
        <f>VLOOKUP(Table4[[#This Row],[Home]],'NHL Model'!$A$6:$B$38,2,FALSE)</f>
        <v>-0.58845147248022256</v>
      </c>
      <c r="H148" t="s">
        <v>55</v>
      </c>
      <c r="I148">
        <f>VLOOKUP(Table4[[#This Row],[Visitor]],'NHL Model'!$A$6:$B$38,2,FALSE)</f>
        <v>8.4094725828611647E-2</v>
      </c>
      <c r="J148">
        <f>($B$1+Table4[[#This Row],[Home Differential]])-Table4[[#This Row],[Away Differential]]</f>
        <v>-0.54293921249731014</v>
      </c>
      <c r="K148" t="str">
        <f>IF(Table4[[#This Row],[HomeIce Differential]]&gt;0,Table4[[#This Row],[Home]],Table4[[#This Row],[Visitor]])</f>
        <v>Utah Mammoth</v>
      </c>
      <c r="L1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0.52096874327891751</v>
      </c>
      <c r="M148" t="str">
        <f>IF(OR((NHL2025_26Results[[#This Row],[Winning Team]]="")),"-",IF(Table4[[#This Row],[Predicted Winner]]=NHL2025_26Results[[#This Row],[Winning Team]],"YES","NO"))</f>
        <v>YES</v>
      </c>
      <c r="N148">
        <f>IF(Table4[[#This Row],[Adjusted Correct]]="-", "",IF(Table4[[#This Row],[Adjusted Correct]]="YES",(Table4[[#This Row],[Strength of Win]]-1)^2,(Table4[[#This Row],[Strength of Win]]-0)^2))</f>
        <v>0.22947094491577963</v>
      </c>
      <c r="O148">
        <v>-0.38432540401627707</v>
      </c>
      <c r="P148" s="11"/>
      <c r="Q148" t="s">
        <v>55</v>
      </c>
      <c r="R148" t="s">
        <v>248</v>
      </c>
    </row>
    <row r="149" spans="4:18" x14ac:dyDescent="0.2">
      <c r="D149" s="1">
        <v>45957</v>
      </c>
      <c r="E149" s="2">
        <v>0.8125</v>
      </c>
      <c r="F149" t="s">
        <v>36</v>
      </c>
      <c r="G149">
        <f>VLOOKUP(Table4[[#This Row],[Home]],'NHL Model'!$A$6:$B$38,2,FALSE)</f>
        <v>-0.19010748264223354</v>
      </c>
      <c r="H149" t="s">
        <v>21</v>
      </c>
      <c r="I149">
        <f>VLOOKUP(Table4[[#This Row],[Visitor]],'NHL Model'!$A$6:$B$38,2,FALSE)</f>
        <v>-0.10253061303059285</v>
      </c>
      <c r="J149">
        <f>($B$1+Table4[[#This Row],[Home Differential]])-Table4[[#This Row],[Away Differential]]</f>
        <v>4.2030116199883422E-2</v>
      </c>
      <c r="K149" t="str">
        <f>IF(Table4[[#This Row],[HomeIce Differential]]&gt;0,Table4[[#This Row],[Home]],Table4[[#This Row],[Visitor]])</f>
        <v>Ottawa Senators</v>
      </c>
      <c r="L1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0.54471972424461146</v>
      </c>
      <c r="M149" t="str">
        <f>IF(OR((NHL2025_26Results[[#This Row],[Winning Team]]="")),"-",IF(Table4[[#This Row],[Predicted Winner]]=NHL2025_26Results[[#This Row],[Winning Team]],"YES","NO"))</f>
        <v>YES</v>
      </c>
      <c r="N149">
        <f>IF(Table4[[#This Row],[Adjusted Correct]]="-", "",IF(Table4[[#This Row],[Adjusted Correct]]="YES",(Table4[[#This Row],[Strength of Win]]-1)^2,(Table4[[#This Row],[Strength of Win]]-0)^2))</f>
        <v>0.20728012949190264</v>
      </c>
      <c r="O149">
        <v>0.55252281846528895</v>
      </c>
      <c r="P149" s="11"/>
      <c r="Q149" t="s">
        <v>36</v>
      </c>
      <c r="R149" t="s">
        <v>248</v>
      </c>
    </row>
    <row r="150" spans="4:18" x14ac:dyDescent="0.2">
      <c r="D150" s="1">
        <v>45957</v>
      </c>
      <c r="E150" s="2">
        <v>0.79166666666666663</v>
      </c>
      <c r="F150" t="s">
        <v>14</v>
      </c>
      <c r="G150">
        <f>VLOOKUP(Table4[[#This Row],[Home]],'NHL Model'!$A$6:$B$38,2,FALSE)</f>
        <v>3.6349513460996066E-5</v>
      </c>
      <c r="H150" t="s">
        <v>35</v>
      </c>
      <c r="I150">
        <f>VLOOKUP(Table4[[#This Row],[Visitor]],'NHL Model'!$A$6:$B$38,2,FALSE)</f>
        <v>-1.3128572733047907</v>
      </c>
      <c r="J150">
        <f>($B$1+Table4[[#This Row],[Home Differential]])-Table4[[#This Row],[Away Differential]]</f>
        <v>1.4425006086297758</v>
      </c>
      <c r="K150" t="str">
        <f>IF(Table4[[#This Row],[HomeIce Differential]]&gt;0,Table4[[#This Row],[Home]],Table4[[#This Row],[Visitor]])</f>
        <v>Pittsburgh Penguins</v>
      </c>
      <c r="L1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0.70198397032829307</v>
      </c>
      <c r="M150" t="str">
        <f>IF(OR((NHL2025_26Results[[#This Row],[Winning Team]]="")),"-",IF(Table4[[#This Row],[Predicted Winner]]=NHL2025_26Results[[#This Row],[Winning Team]],"YES","NO"))</f>
        <v>YES</v>
      </c>
      <c r="N150">
        <f>IF(Table4[[#This Row],[Adjusted Correct]]="-", "",IF(Table4[[#This Row],[Adjusted Correct]]="YES",(Table4[[#This Row],[Strength of Win]]-1)^2,(Table4[[#This Row],[Strength of Win]]-0)^2))</f>
        <v>8.8813553941287704E-2</v>
      </c>
      <c r="O150">
        <v>2.3662838120905634</v>
      </c>
      <c r="P150" s="11"/>
      <c r="Q150" t="s">
        <v>14</v>
      </c>
      <c r="R150" t="s">
        <v>248</v>
      </c>
    </row>
    <row r="151" spans="4:18" x14ac:dyDescent="0.2">
      <c r="D151" s="1">
        <v>45958</v>
      </c>
      <c r="E151" s="2">
        <v>0.80208333333333337</v>
      </c>
      <c r="F151" t="s">
        <v>21</v>
      </c>
      <c r="G151">
        <f>VLOOKUP(Table4[[#This Row],[Home]],'NHL Model'!$A$6:$B$38,2,FALSE)</f>
        <v>-0.10253061303059285</v>
      </c>
      <c r="H151" t="s">
        <v>30</v>
      </c>
      <c r="I151">
        <f>VLOOKUP(Table4[[#This Row],[Visitor]],'NHL Model'!$A$6:$B$38,2,FALSE)</f>
        <v>-0.18630462558229716</v>
      </c>
      <c r="J151">
        <f>($B$1+Table4[[#This Row],[Home Differential]])-Table4[[#This Row],[Away Differential]]</f>
        <v>0.21338099836322841</v>
      </c>
      <c r="K151" t="str">
        <f>IF(Table4[[#This Row],[HomeIce Differential]]&gt;0,Table4[[#This Row],[Home]],Table4[[#This Row],[Visitor]])</f>
        <v>Boston Bruins</v>
      </c>
      <c r="L1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0.57951693283381078</v>
      </c>
      <c r="M151" t="str">
        <f>IF(OR((NHL2025_26Results[[#This Row],[Winning Team]]="")),"-",IF(Table4[[#This Row],[Predicted Winner]]=NHL2025_26Results[[#This Row],[Winning Team]],"YES","NO"))</f>
        <v>YES</v>
      </c>
      <c r="N151">
        <f>IF(Table4[[#This Row],[Adjusted Correct]]="-", "",IF(Table4[[#This Row],[Adjusted Correct]]="YES",(Table4[[#This Row],[Strength of Win]]-1)^2,(Table4[[#This Row],[Strength of Win]]-0)^2))</f>
        <v>0.17680600977348598</v>
      </c>
      <c r="O151">
        <v>0.26870995720827462</v>
      </c>
      <c r="P151" s="11"/>
      <c r="Q151" t="s">
        <v>21</v>
      </c>
      <c r="R151" t="s">
        <v>248</v>
      </c>
    </row>
    <row r="152" spans="4:18" x14ac:dyDescent="0.2">
      <c r="D152" s="1">
        <v>45958</v>
      </c>
      <c r="E152" s="2">
        <v>0.78125</v>
      </c>
      <c r="F152" t="s">
        <v>23</v>
      </c>
      <c r="G152">
        <f>VLOOKUP(Table4[[#This Row],[Home]],'NHL Model'!$A$6:$B$38,2,FALSE)</f>
        <v>8.1543966060426461E-3</v>
      </c>
      <c r="H152" t="s">
        <v>28</v>
      </c>
      <c r="I152">
        <f>VLOOKUP(Table4[[#This Row],[Visitor]],'NHL Model'!$A$6:$B$38,2,FALSE)</f>
        <v>-0.28156479873410767</v>
      </c>
      <c r="J152">
        <f>($B$1+Table4[[#This Row],[Home Differential]])-Table4[[#This Row],[Away Differential]]</f>
        <v>0.41932618115167442</v>
      </c>
      <c r="K152" t="str">
        <f>IF(Table4[[#This Row],[HomeIce Differential]]&gt;0,Table4[[#This Row],[Home]],Table4[[#This Row],[Visitor]])</f>
        <v>Buffalo Sabres</v>
      </c>
      <c r="L1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0.60414990496997778</v>
      </c>
      <c r="M152" t="str">
        <f>IF(OR((NHL2025_26Results[[#This Row],[Winning Team]]="")),"-",IF(Table4[[#This Row],[Predicted Winner]]=NHL2025_26Results[[#This Row],[Winning Team]],"YES","NO"))</f>
        <v>NO</v>
      </c>
      <c r="N152">
        <f>IF(Table4[[#This Row],[Adjusted Correct]]="-", "",IF(Table4[[#This Row],[Adjusted Correct]]="YES",(Table4[[#This Row],[Strength of Win]]-1)^2,(Table4[[#This Row],[Strength of Win]]-0)^2))</f>
        <v>0.36499710767523319</v>
      </c>
      <c r="O152">
        <v>-0.42139729402418508</v>
      </c>
      <c r="P152" s="11"/>
      <c r="Q152" t="s">
        <v>28</v>
      </c>
      <c r="R152" t="s">
        <v>248</v>
      </c>
    </row>
    <row r="153" spans="4:18" x14ac:dyDescent="0.2">
      <c r="D153" s="1">
        <v>45958</v>
      </c>
      <c r="E153" s="2">
        <v>0.77083333333333337</v>
      </c>
      <c r="F153" t="s">
        <v>25</v>
      </c>
      <c r="G153">
        <f>VLOOKUP(Table4[[#This Row],[Home]],'NHL Model'!$A$6:$B$38,2,FALSE)</f>
        <v>0.2324942014830165</v>
      </c>
      <c r="H153" t="s">
        <v>20</v>
      </c>
      <c r="I153">
        <f>VLOOKUP(Table4[[#This Row],[Visitor]],'NHL Model'!$A$6:$B$38,2,FALSE)</f>
        <v>-0.16296463421387539</v>
      </c>
      <c r="J153">
        <f>($B$1+Table4[[#This Row],[Home Differential]])-Table4[[#This Row],[Away Differential]]</f>
        <v>0.52506582150841596</v>
      </c>
      <c r="K153" t="str">
        <f>IF(Table4[[#This Row],[HomeIce Differential]]&gt;0,Table4[[#This Row],[Home]],Table4[[#This Row],[Visitor]])</f>
        <v>Carolina Hurricanes</v>
      </c>
      <c r="L1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0.64285428855246618</v>
      </c>
      <c r="M153" t="str">
        <f>IF(OR((NHL2025_26Results[[#This Row],[Winning Team]]="")),"-",IF(Table4[[#This Row],[Predicted Winner]]=NHL2025_26Results[[#This Row],[Winning Team]],"YES","NO"))</f>
        <v>NO</v>
      </c>
      <c r="N153">
        <f>IF(Table4[[#This Row],[Adjusted Correct]]="-", "",IF(Table4[[#This Row],[Adjusted Correct]]="YES",(Table4[[#This Row],[Strength of Win]]-1)^2,(Table4[[#This Row],[Strength of Win]]-0)^2))</f>
        <v>0.41326163631029744</v>
      </c>
      <c r="O153">
        <v>0.48863019270550906</v>
      </c>
      <c r="P153" s="11"/>
      <c r="Q153" t="s">
        <v>25</v>
      </c>
      <c r="R153" t="s">
        <v>249</v>
      </c>
    </row>
    <row r="154" spans="4:18" x14ac:dyDescent="0.2">
      <c r="D154" s="1">
        <v>45958</v>
      </c>
      <c r="E154" s="2">
        <v>0.86458333333333337</v>
      </c>
      <c r="F154" t="s">
        <v>10</v>
      </c>
      <c r="G154">
        <f>VLOOKUP(Table4[[#This Row],[Home]],'NHL Model'!$A$6:$B$38,2,FALSE)</f>
        <v>-0.92658078135875344</v>
      </c>
      <c r="H154" t="s">
        <v>36</v>
      </c>
      <c r="I154">
        <f>VLOOKUP(Table4[[#This Row],[Visitor]],'NHL Model'!$A$6:$B$38,2,FALSE)</f>
        <v>-0.19010748264223354</v>
      </c>
      <c r="J154">
        <f>($B$1+Table4[[#This Row],[Home Differential]])-Table4[[#This Row],[Away Differential]]</f>
        <v>-0.60686631290499582</v>
      </c>
      <c r="K154" t="str">
        <f>IF(Table4[[#This Row],[HomeIce Differential]]&gt;0,Table4[[#This Row],[Home]],Table4[[#This Row],[Visitor]])</f>
        <v>Ottawa Senators</v>
      </c>
      <c r="L1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0.54016354795018517</v>
      </c>
      <c r="M154" t="str">
        <f>IF(OR((NHL2025_26Results[[#This Row],[Winning Team]]="")),"-",IF(Table4[[#This Row],[Predicted Winner]]=NHL2025_26Results[[#This Row],[Winning Team]],"YES","NO"))</f>
        <v>NO</v>
      </c>
      <c r="N154">
        <f>IF(Table4[[#This Row],[Adjusted Correct]]="-", "",IF(Table4[[#This Row],[Adjusted Correct]]="YES",(Table4[[#This Row],[Strength of Win]]-1)^2,(Table4[[#This Row],[Strength of Win]]-0)^2))</f>
        <v>0.29177665853413198</v>
      </c>
      <c r="O154">
        <v>0.98762295214981388</v>
      </c>
      <c r="P154" s="11"/>
      <c r="Q154" t="s">
        <v>10</v>
      </c>
      <c r="R154" t="s">
        <v>248</v>
      </c>
    </row>
    <row r="155" spans="4:18" x14ac:dyDescent="0.2">
      <c r="D155" s="1">
        <v>45958</v>
      </c>
      <c r="E155" s="2">
        <v>0.875</v>
      </c>
      <c r="F155" t="s">
        <v>12</v>
      </c>
      <c r="G155">
        <f>VLOOKUP(Table4[[#This Row],[Home]],'NHL Model'!$A$6:$B$38,2,FALSE)</f>
        <v>0.99866683349964291</v>
      </c>
      <c r="H155" t="s">
        <v>24</v>
      </c>
      <c r="I155">
        <f>VLOOKUP(Table4[[#This Row],[Visitor]],'NHL Model'!$A$6:$B$38,2,FALSE)</f>
        <v>-0.74510803532792402</v>
      </c>
      <c r="J155">
        <f>($B$1+Table4[[#This Row],[Home Differential]])-Table4[[#This Row],[Away Differential]]</f>
        <v>1.873381854639091</v>
      </c>
      <c r="K155" t="str">
        <f>IF(Table4[[#This Row],[HomeIce Differential]]&gt;0,Table4[[#This Row],[Home]],Table4[[#This Row],[Visitor]])</f>
        <v>Colorado Avalanche</v>
      </c>
      <c r="L1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0.81036929131258684</v>
      </c>
      <c r="M155" t="str">
        <f>IF(OR((NHL2025_26Results[[#This Row],[Winning Team]]="")),"-",IF(Table4[[#This Row],[Predicted Winner]]=NHL2025_26Results[[#This Row],[Winning Team]],"YES","NO"))</f>
        <v>YES</v>
      </c>
      <c r="N155">
        <f>IF(Table4[[#This Row],[Adjusted Correct]]="-", "",IF(Table4[[#This Row],[Adjusted Correct]]="YES",(Table4[[#This Row],[Strength of Win]]-1)^2,(Table4[[#This Row],[Strength of Win]]-0)^2))</f>
        <v>3.5959805677290554E-2</v>
      </c>
      <c r="O155">
        <v>0.55368086990765564</v>
      </c>
      <c r="P155" s="11"/>
      <c r="Q155" t="s">
        <v>12</v>
      </c>
      <c r="R155" t="s">
        <v>248</v>
      </c>
    </row>
    <row r="156" spans="4:18" x14ac:dyDescent="0.2">
      <c r="D156" s="1">
        <v>45958</v>
      </c>
      <c r="E156" s="2">
        <v>0.85416666666666663</v>
      </c>
      <c r="F156" t="s">
        <v>39</v>
      </c>
      <c r="G156">
        <f>VLOOKUP(Table4[[#This Row],[Home]],'NHL Model'!$A$6:$B$38,2,FALSE)</f>
        <v>0.21708030788125537</v>
      </c>
      <c r="H156" t="s">
        <v>22</v>
      </c>
      <c r="I156">
        <f>VLOOKUP(Table4[[#This Row],[Visitor]],'NHL Model'!$A$6:$B$38,2,FALSE)</f>
        <v>-0.11977593183651415</v>
      </c>
      <c r="J156">
        <f>($B$1+Table4[[#This Row],[Home Differential]])-Table4[[#This Row],[Away Differential]]</f>
        <v>0.46646322552929365</v>
      </c>
      <c r="K156" t="str">
        <f>IF(Table4[[#This Row],[HomeIce Differential]]&gt;0,Table4[[#This Row],[Home]],Table4[[#This Row],[Visitor]])</f>
        <v>Dallas Stars</v>
      </c>
      <c r="L1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0.63021916433389524</v>
      </c>
      <c r="M156" t="str">
        <f>IF(OR((NHL2025_26Results[[#This Row],[Winning Team]]="")),"-",IF(Table4[[#This Row],[Predicted Winner]]=NHL2025_26Results[[#This Row],[Winning Team]],"YES","NO"))</f>
        <v>YES</v>
      </c>
      <c r="N156">
        <f>IF(Table4[[#This Row],[Adjusted Correct]]="-", "",IF(Table4[[#This Row],[Adjusted Correct]]="YES",(Table4[[#This Row],[Strength of Win]]-1)^2,(Table4[[#This Row],[Strength of Win]]-0)^2))</f>
        <v>0.13673786642592278</v>
      </c>
      <c r="O156">
        <v>-0.27880271192204642</v>
      </c>
      <c r="P156" s="11"/>
      <c r="Q156" t="s">
        <v>22</v>
      </c>
      <c r="R156" t="s">
        <v>249</v>
      </c>
    </row>
    <row r="157" spans="4:18" x14ac:dyDescent="0.2">
      <c r="D157" s="1">
        <v>45958</v>
      </c>
      <c r="E157" s="2">
        <v>0.89583333333333337</v>
      </c>
      <c r="F157" t="s">
        <v>17</v>
      </c>
      <c r="G157">
        <f>VLOOKUP(Table4[[#This Row],[Home]],'NHL Model'!$A$6:$B$38,2,FALSE)</f>
        <v>-0.36462594951491906</v>
      </c>
      <c r="H157" t="s">
        <v>55</v>
      </c>
      <c r="I157">
        <f>VLOOKUP(Table4[[#This Row],[Visitor]],'NHL Model'!$A$6:$B$38,2,FALSE)</f>
        <v>8.4094725828611647E-2</v>
      </c>
      <c r="J157">
        <f>($B$1+Table4[[#This Row],[Home Differential]])-Table4[[#This Row],[Away Differential]]</f>
        <v>-0.31911368953200658</v>
      </c>
      <c r="K157" t="str">
        <f>IF(Table4[[#This Row],[HomeIce Differential]]&gt;0,Table4[[#This Row],[Home]],Table4[[#This Row],[Visitor]])</f>
        <v>Utah Mammoth</v>
      </c>
      <c r="L1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0.49583450995255107</v>
      </c>
      <c r="M157" t="str">
        <f>IF(OR((NHL2025_26Results[[#This Row],[Winning Team]]="")),"-",IF(Table4[[#This Row],[Predicted Winner]]=NHL2025_26Results[[#This Row],[Winning Team]],"YES","NO"))</f>
        <v>NO</v>
      </c>
      <c r="N157">
        <f>IF(Table4[[#This Row],[Adjusted Correct]]="-", "",IF(Table4[[#This Row],[Adjusted Correct]]="YES",(Table4[[#This Row],[Strength of Win]]-1)^2,(Table4[[#This Row],[Strength of Win]]-0)^2))</f>
        <v>0.24585186125988648</v>
      </c>
      <c r="O157">
        <v>-0.61234047472558972</v>
      </c>
      <c r="P157" s="11"/>
      <c r="Q157" t="s">
        <v>55</v>
      </c>
      <c r="R157" t="s">
        <v>249</v>
      </c>
    </row>
    <row r="158" spans="4:18" x14ac:dyDescent="0.2">
      <c r="D158" s="1">
        <v>45958</v>
      </c>
      <c r="E158" s="2">
        <v>0.79166666666666663</v>
      </c>
      <c r="F158" t="s">
        <v>11</v>
      </c>
      <c r="G158">
        <f>VLOOKUP(Table4[[#This Row],[Home]],'NHL Model'!$A$6:$B$38,2,FALSE)</f>
        <v>-0.55695213126481558</v>
      </c>
      <c r="H158" t="s">
        <v>31</v>
      </c>
      <c r="I158">
        <f>VLOOKUP(Table4[[#This Row],[Visitor]],'NHL Model'!$A$6:$B$38,2,FALSE)</f>
        <v>-0.46360583111358089</v>
      </c>
      <c r="J158">
        <f>($B$1+Table4[[#This Row],[Home Differential]])-Table4[[#This Row],[Away Differential]]</f>
        <v>3.6260685660289393E-2</v>
      </c>
      <c r="K158" t="str">
        <f>IF(Table4[[#This Row],[HomeIce Differential]]&gt;0,Table4[[#This Row],[Home]],Table4[[#This Row],[Visitor]])</f>
        <v>Florida Panthers</v>
      </c>
      <c r="L1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0.54407185258359048</v>
      </c>
      <c r="M158" t="str">
        <f>IF(OR((NHL2025_26Results[[#This Row],[Winning Team]]="")),"-",IF(Table4[[#This Row],[Predicted Winner]]=NHL2025_26Results[[#This Row],[Winning Team]],"YES","NO"))</f>
        <v>NO</v>
      </c>
      <c r="N158">
        <f>IF(Table4[[#This Row],[Adjusted Correct]]="-", "",IF(Table4[[#This Row],[Adjusted Correct]]="YES",(Table4[[#This Row],[Strength of Win]]-1)^2,(Table4[[#This Row],[Strength of Win]]-0)^2))</f>
        <v>0.2960141807737402</v>
      </c>
      <c r="O158">
        <v>-0.14621168379070282</v>
      </c>
      <c r="P158" s="11"/>
      <c r="Q158" t="s">
        <v>31</v>
      </c>
      <c r="R158" t="s">
        <v>248</v>
      </c>
    </row>
    <row r="159" spans="4:18" x14ac:dyDescent="0.2">
      <c r="D159" s="1">
        <v>45958</v>
      </c>
      <c r="E159" s="2">
        <v>0.83333333333333337</v>
      </c>
      <c r="F159" t="s">
        <v>34</v>
      </c>
      <c r="G159">
        <f>VLOOKUP(Table4[[#This Row],[Home]],'NHL Model'!$A$6:$B$38,2,FALSE)</f>
        <v>6.0485283743665949E-2</v>
      </c>
      <c r="H159" t="s">
        <v>40</v>
      </c>
      <c r="I159">
        <f>VLOOKUP(Table4[[#This Row],[Visitor]],'NHL Model'!$A$6:$B$38,2,FALSE)</f>
        <v>-0.58845147248022256</v>
      </c>
      <c r="J159">
        <f>($B$1+Table4[[#This Row],[Home Differential]])-Table4[[#This Row],[Away Differential]]</f>
        <v>0.77854374203541266</v>
      </c>
      <c r="K159" t="str">
        <f>IF(Table4[[#This Row],[HomeIce Differential]]&gt;0,Table4[[#This Row],[Home]],Table4[[#This Row],[Visitor]])</f>
        <v>Minnesota Wild</v>
      </c>
      <c r="L1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0.63937373874130421</v>
      </c>
      <c r="M159" t="str">
        <f>IF(OR((NHL2025_26Results[[#This Row],[Winning Team]]="")),"-",IF(Table4[[#This Row],[Predicted Winner]]=NHL2025_26Results[[#This Row],[Winning Team]],"YES","NO"))</f>
        <v>NO</v>
      </c>
      <c r="N159">
        <f>IF(Table4[[#This Row],[Adjusted Correct]]="-", "",IF(Table4[[#This Row],[Adjusted Correct]]="YES",(Table4[[#This Row],[Strength of Win]]-1)^2,(Table4[[#This Row],[Strength of Win]]-0)^2))</f>
        <v>0.40879877779203355</v>
      </c>
      <c r="O159">
        <v>-1.3973653400344825</v>
      </c>
      <c r="P159" s="11"/>
      <c r="Q159" t="s">
        <v>40</v>
      </c>
      <c r="R159" t="s">
        <v>248</v>
      </c>
    </row>
    <row r="160" spans="4:18" x14ac:dyDescent="0.2">
      <c r="D160" s="1">
        <v>45958</v>
      </c>
      <c r="E160" s="2">
        <v>0.82291666666666663</v>
      </c>
      <c r="F160" t="s">
        <v>29</v>
      </c>
      <c r="G160">
        <f>VLOOKUP(Table4[[#This Row],[Home]],'NHL Model'!$A$6:$B$38,2,FALSE)</f>
        <v>-0.82056481120798741</v>
      </c>
      <c r="H160" t="s">
        <v>37</v>
      </c>
      <c r="I160">
        <f>VLOOKUP(Table4[[#This Row],[Visitor]],'NHL Model'!$A$6:$B$38,2,FALSE)</f>
        <v>0.72108184732572844</v>
      </c>
      <c r="J160">
        <f>($B$1+Table4[[#This Row],[Home Differential]])-Table4[[#This Row],[Away Differential]]</f>
        <v>-1.4120396727221918</v>
      </c>
      <c r="K160" t="str">
        <f>IF(Table4[[#This Row],[HomeIce Differential]]&gt;0,Table4[[#This Row],[Home]],Table4[[#This Row],[Visitor]])</f>
        <v>Tampa Bay Lightning</v>
      </c>
      <c r="L1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0.71542154178133455</v>
      </c>
      <c r="M160" t="str">
        <f>IF(OR((NHL2025_26Results[[#This Row],[Winning Team]]="")),"-",IF(Table4[[#This Row],[Predicted Winner]]=NHL2025_26Results[[#This Row],[Winning Team]],"YES","NO"))</f>
        <v>YES</v>
      </c>
      <c r="N160">
        <f>IF(Table4[[#This Row],[Adjusted Correct]]="-", "",IF(Table4[[#This Row],[Adjusted Correct]]="YES",(Table4[[#This Row],[Strength of Win]]-1)^2,(Table4[[#This Row],[Strength of Win]]-0)^2))</f>
        <v>8.0984898882112716E-2</v>
      </c>
      <c r="O160">
        <v>-0.73773821882949986</v>
      </c>
      <c r="P160" s="11"/>
      <c r="Q160" t="s">
        <v>37</v>
      </c>
      <c r="R160" t="s">
        <v>248</v>
      </c>
    </row>
    <row r="161" spans="4:18" x14ac:dyDescent="0.2">
      <c r="D161" s="1">
        <v>45958</v>
      </c>
      <c r="E161" s="2">
        <v>0.75</v>
      </c>
      <c r="F161" t="s">
        <v>27</v>
      </c>
      <c r="G161">
        <f>VLOOKUP(Table4[[#This Row],[Home]],'NHL Model'!$A$6:$B$38,2,FALSE)</f>
        <v>-0.55097933929175691</v>
      </c>
      <c r="H161" t="s">
        <v>14</v>
      </c>
      <c r="I161">
        <f>VLOOKUP(Table4[[#This Row],[Visitor]],'NHL Model'!$A$6:$B$38,2,FALSE)</f>
        <v>3.6349513460996066E-5</v>
      </c>
      <c r="J161">
        <f>($B$1+Table4[[#This Row],[Home Differential]])-Table4[[#This Row],[Away Differential]]</f>
        <v>-0.42140870299369382</v>
      </c>
      <c r="K161" t="str">
        <f>IF(Table4[[#This Row],[HomeIce Differential]]&gt;0,Table4[[#This Row],[Home]],Table4[[#This Row],[Visitor]])</f>
        <v>Pittsburgh Penguins</v>
      </c>
      <c r="L1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0.56146042998711321</v>
      </c>
      <c r="M161" t="str">
        <f>IF(OR((NHL2025_26Results[[#This Row],[Winning Team]]="")),"-",IF(Table4[[#This Row],[Predicted Winner]]=NHL2025_26Results[[#This Row],[Winning Team]],"YES","NO"))</f>
        <v>NO</v>
      </c>
      <c r="N161">
        <f>IF(Table4[[#This Row],[Adjusted Correct]]="-", "",IF(Table4[[#This Row],[Adjusted Correct]]="YES",(Table4[[#This Row],[Strength of Win]]-1)^2,(Table4[[#This Row],[Strength of Win]]-0)^2))</f>
        <v>0.31523781444131405</v>
      </c>
      <c r="O161">
        <v>-6.56917424764355E-2</v>
      </c>
      <c r="P161" s="11"/>
      <c r="Q161" t="s">
        <v>14</v>
      </c>
      <c r="R161" t="s">
        <v>249</v>
      </c>
    </row>
    <row r="162" spans="4:18" x14ac:dyDescent="0.2">
      <c r="D162" s="1">
        <v>45958</v>
      </c>
      <c r="E162" s="2">
        <v>0.9375</v>
      </c>
      <c r="F162" t="s">
        <v>32</v>
      </c>
      <c r="G162">
        <f>VLOOKUP(Table4[[#This Row],[Home]],'NHL Model'!$A$6:$B$38,2,FALSE)</f>
        <v>-0.48236715437805205</v>
      </c>
      <c r="H162" t="s">
        <v>18</v>
      </c>
      <c r="I162">
        <f>VLOOKUP(Table4[[#This Row],[Visitor]],'NHL Model'!$A$6:$B$38,2,FALSE)</f>
        <v>-8.6274676766085606E-2</v>
      </c>
      <c r="J162">
        <f>($B$1+Table4[[#This Row],[Home Differential]])-Table4[[#This Row],[Away Differential]]</f>
        <v>-0.26648549180044234</v>
      </c>
      <c r="K162" t="str">
        <f>IF(Table4[[#This Row],[HomeIce Differential]]&gt;0,Table4[[#This Row],[Home]],Table4[[#This Row],[Visitor]])</f>
        <v>Montreal Canadiens</v>
      </c>
      <c r="L1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0.53529423764304529</v>
      </c>
      <c r="M162" t="str">
        <f>IF(OR((NHL2025_26Results[[#This Row],[Winning Team]]="")),"-",IF(Table4[[#This Row],[Predicted Winner]]=NHL2025_26Results[[#This Row],[Winning Team]],"YES","NO"))</f>
        <v>YES</v>
      </c>
      <c r="N162">
        <f>IF(Table4[[#This Row],[Adjusted Correct]]="-", "",IF(Table4[[#This Row],[Adjusted Correct]]="YES",(Table4[[#This Row],[Strength of Win]]-1)^2,(Table4[[#This Row],[Strength of Win]]-0)^2))</f>
        <v>0.21595144556775847</v>
      </c>
      <c r="O162">
        <v>-7.2371383510853704E-2</v>
      </c>
      <c r="P162" s="11"/>
      <c r="Q162" t="s">
        <v>18</v>
      </c>
      <c r="R162" t="s">
        <v>248</v>
      </c>
    </row>
    <row r="163" spans="4:18" x14ac:dyDescent="0.2">
      <c r="D163" s="1">
        <v>45958</v>
      </c>
      <c r="E163" s="2">
        <v>0.95833333333333337</v>
      </c>
      <c r="F163" t="s">
        <v>33</v>
      </c>
      <c r="G163">
        <f>VLOOKUP(Table4[[#This Row],[Home]],'NHL Model'!$A$6:$B$38,2,FALSE)</f>
        <v>-0.65236582493376272</v>
      </c>
      <c r="H163" t="s">
        <v>13</v>
      </c>
      <c r="I163">
        <f>VLOOKUP(Table4[[#This Row],[Visitor]],'NHL Model'!$A$6:$B$38,2,FALSE)</f>
        <v>-0.59069689888466137</v>
      </c>
      <c r="J163">
        <f>($B$1+Table4[[#This Row],[Home Differential]])-Table4[[#This Row],[Away Differential]]</f>
        <v>6.7938059762422731E-2</v>
      </c>
      <c r="K163" t="str">
        <f>IF(Table4[[#This Row],[HomeIce Differential]]&gt;0,Table4[[#This Row],[Home]],Table4[[#This Row],[Visitor]])</f>
        <v>San Jose Sharks</v>
      </c>
      <c r="L1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0.52685979662311921</v>
      </c>
      <c r="M163" t="str">
        <f>IF(OR((NHL2025_26Results[[#This Row],[Winning Team]]="")),"-",IF(Table4[[#This Row],[Predicted Winner]]=NHL2025_26Results[[#This Row],[Winning Team]],"YES","NO"))</f>
        <v>NO</v>
      </c>
      <c r="N163">
        <f>IF(Table4[[#This Row],[Adjusted Correct]]="-", "",IF(Table4[[#This Row],[Adjusted Correct]]="YES",(Table4[[#This Row],[Strength of Win]]-1)^2,(Table4[[#This Row],[Strength of Win]]-0)^2))</f>
        <v>0.27758124529775452</v>
      </c>
      <c r="O163">
        <v>-0.75273919431601166</v>
      </c>
      <c r="P163" s="11"/>
      <c r="Q163" t="s">
        <v>13</v>
      </c>
      <c r="R163" t="s">
        <v>248</v>
      </c>
    </row>
    <row r="164" spans="4:18" x14ac:dyDescent="0.2">
      <c r="D164" s="1">
        <v>45958</v>
      </c>
      <c r="E164" s="2">
        <v>0.84375</v>
      </c>
      <c r="F164" t="s">
        <v>35</v>
      </c>
      <c r="G164">
        <f>VLOOKUP(Table4[[#This Row],[Home]],'NHL Model'!$A$6:$B$38,2,FALSE)</f>
        <v>-1.3128572733047907</v>
      </c>
      <c r="H164" t="s">
        <v>26</v>
      </c>
      <c r="I164">
        <f>VLOOKUP(Table4[[#This Row],[Visitor]],'NHL Model'!$A$6:$B$38,2,FALSE)</f>
        <v>-0.33113778518110382</v>
      </c>
      <c r="J164">
        <f>($B$1+Table4[[#This Row],[Home Differential]])-Table4[[#This Row],[Away Differential]]</f>
        <v>-0.85211250231216285</v>
      </c>
      <c r="K164" t="str">
        <f>IF(Table4[[#This Row],[HomeIce Differential]]&gt;0,Table4[[#This Row],[Home]],Table4[[#This Row],[Visitor]])</f>
        <v>Detroit Red Wings</v>
      </c>
      <c r="L1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0.59369497544321903</v>
      </c>
      <c r="M164" t="str">
        <f>IF(OR((NHL2025_26Results[[#This Row],[Winning Team]]="")),"-",IF(Table4[[#This Row],[Predicted Winner]]=NHL2025_26Results[[#This Row],[Winning Team]],"YES","NO"))</f>
        <v>YES</v>
      </c>
      <c r="N164">
        <f>IF(Table4[[#This Row],[Adjusted Correct]]="-", "",IF(Table4[[#This Row],[Adjusted Correct]]="YES",(Table4[[#This Row],[Strength of Win]]-1)^2,(Table4[[#This Row],[Strength of Win]]-0)^2))</f>
        <v>0.16508377298008639</v>
      </c>
      <c r="O164">
        <v>-1.4495967256561701</v>
      </c>
      <c r="P164" s="11"/>
      <c r="Q164" t="s">
        <v>26</v>
      </c>
      <c r="R164" t="s">
        <v>248</v>
      </c>
    </row>
    <row r="165" spans="4:18" x14ac:dyDescent="0.2">
      <c r="D165" s="1">
        <v>45958</v>
      </c>
      <c r="E165" s="2">
        <v>0.76041666666666663</v>
      </c>
      <c r="F165" t="s">
        <v>19</v>
      </c>
      <c r="G165">
        <f>VLOOKUP(Table4[[#This Row],[Home]],'NHL Model'!$A$6:$B$38,2,FALSE)</f>
        <v>-0.44228056828684137</v>
      </c>
      <c r="H165" t="s">
        <v>16</v>
      </c>
      <c r="I165">
        <f>VLOOKUP(Table4[[#This Row],[Visitor]],'NHL Model'!$A$6:$B$38,2,FALSE)</f>
        <v>-0.89031221864884547</v>
      </c>
      <c r="J165">
        <f>($B$1+Table4[[#This Row],[Home Differential]])-Table4[[#This Row],[Away Differential]]</f>
        <v>0.57763863617352817</v>
      </c>
      <c r="K165" t="str">
        <f>IF(Table4[[#This Row],[HomeIce Differential]]&gt;0,Table4[[#This Row],[Home]],Table4[[#This Row],[Visitor]])</f>
        <v>Toronto Maple Leafs</v>
      </c>
      <c r="L1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0.60486527571817694</v>
      </c>
      <c r="M165" t="str">
        <f>IF(OR((NHL2025_26Results[[#This Row],[Winning Team]]="")),"-",IF(Table4[[#This Row],[Predicted Winner]]=NHL2025_26Results[[#This Row],[Winning Team]],"YES","NO"))</f>
        <v>YES</v>
      </c>
      <c r="N165">
        <f>IF(Table4[[#This Row],[Adjusted Correct]]="-", "",IF(Table4[[#This Row],[Adjusted Correct]]="YES",(Table4[[#This Row],[Strength of Win]]-1)^2,(Table4[[#This Row],[Strength of Win]]-0)^2))</f>
        <v>0.15613145033327233</v>
      </c>
      <c r="O165">
        <v>0.97153793139646627</v>
      </c>
      <c r="P165" s="11"/>
      <c r="Q165" t="s">
        <v>19</v>
      </c>
      <c r="R165" t="s">
        <v>248</v>
      </c>
    </row>
    <row r="166" spans="4:18" x14ac:dyDescent="0.2">
      <c r="D166" s="1">
        <v>45958</v>
      </c>
      <c r="E166" s="2">
        <v>0.91666666666666663</v>
      </c>
      <c r="F166" t="s">
        <v>38</v>
      </c>
      <c r="G166">
        <f>VLOOKUP(Table4[[#This Row],[Home]],'NHL Model'!$A$6:$B$38,2,FALSE)</f>
        <v>-1.3920033028857945</v>
      </c>
      <c r="H166" t="s">
        <v>15</v>
      </c>
      <c r="I166">
        <f>VLOOKUP(Table4[[#This Row],[Visitor]],'NHL Model'!$A$6:$B$38,2,FALSE)</f>
        <v>-0.73651915476403329</v>
      </c>
      <c r="J166">
        <f>($B$1+Table4[[#This Row],[Home Differential]])-Table4[[#This Row],[Away Differential]]</f>
        <v>-0.52587716231023718</v>
      </c>
      <c r="K166" t="str">
        <f>IF(Table4[[#This Row],[HomeIce Differential]]&gt;0,Table4[[#This Row],[Home]],Table4[[#This Row],[Visitor]])</f>
        <v>New York Rangers</v>
      </c>
      <c r="L1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0.55496876569590425</v>
      </c>
      <c r="M166" t="str">
        <f>IF(OR((NHL2025_26Results[[#This Row],[Winning Team]]="")),"-",IF(Table4[[#This Row],[Predicted Winner]]=NHL2025_26Results[[#This Row],[Winning Team]],"YES","NO"))</f>
        <v>YES</v>
      </c>
      <c r="N166">
        <f>IF(Table4[[#This Row],[Adjusted Correct]]="-", "",IF(Table4[[#This Row],[Adjusted Correct]]="YES",(Table4[[#This Row],[Strength of Win]]-1)^2,(Table4[[#This Row],[Strength of Win]]-0)^2))</f>
        <v>0.19805279950622698</v>
      </c>
      <c r="O166">
        <v>2.5241601366947641E-2</v>
      </c>
      <c r="P166" s="11"/>
      <c r="Q166" t="s">
        <v>38</v>
      </c>
      <c r="R166" t="s">
        <v>249</v>
      </c>
    </row>
    <row r="167" spans="4:18" x14ac:dyDescent="0.2">
      <c r="D167" s="1">
        <v>45959</v>
      </c>
      <c r="E167" s="2">
        <v>0.8125</v>
      </c>
      <c r="F167" t="s">
        <v>28</v>
      </c>
      <c r="G167">
        <f>VLOOKUP(Table4[[#This Row],[Home]],'NHL Model'!$A$6:$B$38,2,FALSE)</f>
        <v>-0.28156479873410767</v>
      </c>
      <c r="H167" t="s">
        <v>19</v>
      </c>
      <c r="I167">
        <f>VLOOKUP(Table4[[#This Row],[Visitor]],'NHL Model'!$A$6:$B$38,2,FALSE)</f>
        <v>-0.44228056828684137</v>
      </c>
      <c r="J167">
        <f>($B$1+Table4[[#This Row],[Home Differential]])-Table4[[#This Row],[Away Differential]]</f>
        <v>0.29032275536425778</v>
      </c>
      <c r="K167" t="str">
        <f>IF(Table4[[#This Row],[HomeIce Differential]]&gt;0,Table4[[#This Row],[Home]],Table4[[#This Row],[Visitor]])</f>
        <v>Columbus Blue Jackets</v>
      </c>
      <c r="L1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0.5796474165035127</v>
      </c>
      <c r="M167" t="str">
        <f>IF(OR((NHL2025_26Results[[#This Row],[Winning Team]]="")),"-",IF(Table4[[#This Row],[Predicted Winner]]=NHL2025_26Results[[#This Row],[Winning Team]],"YES","NO"))</f>
        <v>YES</v>
      </c>
      <c r="N167">
        <f>IF(Table4[[#This Row],[Adjusted Correct]]="-", "",IF(Table4[[#This Row],[Adjusted Correct]]="YES",(Table4[[#This Row],[Strength of Win]]-1)^2,(Table4[[#This Row],[Strength of Win]]-0)^2))</f>
        <v>0.17669629445217133</v>
      </c>
      <c r="O167">
        <v>1.1840705527104549</v>
      </c>
      <c r="P167" s="11"/>
      <c r="Q167" t="s">
        <v>28</v>
      </c>
      <c r="R167" t="s">
        <v>248</v>
      </c>
    </row>
    <row r="168" spans="4:18" x14ac:dyDescent="0.2">
      <c r="D168" s="1">
        <v>45960</v>
      </c>
      <c r="E168" s="2">
        <v>0.79166666666666663</v>
      </c>
      <c r="F168" t="s">
        <v>21</v>
      </c>
      <c r="G168">
        <f>VLOOKUP(Table4[[#This Row],[Home]],'NHL Model'!$A$6:$B$38,2,FALSE)</f>
        <v>-0.10253061303059285</v>
      </c>
      <c r="H168" t="s">
        <v>23</v>
      </c>
      <c r="I168">
        <f>VLOOKUP(Table4[[#This Row],[Visitor]],'NHL Model'!$A$6:$B$38,2,FALSE)</f>
        <v>8.1543966060426461E-3</v>
      </c>
      <c r="J168">
        <f>($B$1+Table4[[#This Row],[Home Differential]])-Table4[[#This Row],[Away Differential]]</f>
        <v>1.8921976174888604E-2</v>
      </c>
      <c r="K168" t="str">
        <f>IF(Table4[[#This Row],[HomeIce Differential]]&gt;0,Table4[[#This Row],[Home]],Table4[[#This Row],[Visitor]])</f>
        <v>Boston Bruins</v>
      </c>
      <c r="L1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0.5576803774162391</v>
      </c>
      <c r="M168" t="str">
        <f>IF(OR((NHL2025_26Results[[#This Row],[Winning Team]]="")),"-",IF(Table4[[#This Row],[Predicted Winner]]=NHL2025_26Results[[#This Row],[Winning Team]],"YES","NO"))</f>
        <v>YES</v>
      </c>
      <c r="N168">
        <f>IF(Table4[[#This Row],[Adjusted Correct]]="-", "",IF(Table4[[#This Row],[Adjusted Correct]]="YES",(Table4[[#This Row],[Strength of Win]]-1)^2,(Table4[[#This Row],[Strength of Win]]-0)^2))</f>
        <v>0.19564664852264069</v>
      </c>
      <c r="O168">
        <v>0.43665774434634153</v>
      </c>
      <c r="P168" s="11"/>
      <c r="Q168" t="s">
        <v>21</v>
      </c>
      <c r="R168" t="s">
        <v>248</v>
      </c>
    </row>
    <row r="169" spans="4:18" x14ac:dyDescent="0.2">
      <c r="D169" s="1">
        <v>45960</v>
      </c>
      <c r="E169" s="2">
        <v>0.8125</v>
      </c>
      <c r="F169" t="s">
        <v>25</v>
      </c>
      <c r="G169">
        <f>VLOOKUP(Table4[[#This Row],[Home]],'NHL Model'!$A$6:$B$38,2,FALSE)</f>
        <v>0.2324942014830165</v>
      </c>
      <c r="H169" t="s">
        <v>30</v>
      </c>
      <c r="I169">
        <f>VLOOKUP(Table4[[#This Row],[Visitor]],'NHL Model'!$A$6:$B$38,2,FALSE)</f>
        <v>-0.18630462558229716</v>
      </c>
      <c r="J169">
        <f>($B$1+Table4[[#This Row],[Home Differential]])-Table4[[#This Row],[Away Differential]]</f>
        <v>0.54840581287683776</v>
      </c>
      <c r="K169" t="str">
        <f>IF(Table4[[#This Row],[HomeIce Differential]]&gt;0,Table4[[#This Row],[Home]],Table4[[#This Row],[Visitor]])</f>
        <v>Carolina Hurricanes</v>
      </c>
      <c r="L1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0.62108527326886631</v>
      </c>
      <c r="M169" t="str">
        <f>IF(OR((NHL2025_26Results[[#This Row],[Winning Team]]="")),"-",IF(Table4[[#This Row],[Predicted Winner]]=NHL2025_26Results[[#This Row],[Winning Team]],"YES","NO"))</f>
        <v>YES</v>
      </c>
      <c r="N169">
        <f>IF(Table4[[#This Row],[Adjusted Correct]]="-", "",IF(Table4[[#This Row],[Adjusted Correct]]="YES",(Table4[[#This Row],[Strength of Win]]-1)^2,(Table4[[#This Row],[Strength of Win]]-0)^2))</f>
        <v>0.14357637013372973</v>
      </c>
      <c r="O169">
        <v>1.8923710949151284</v>
      </c>
      <c r="P169" s="11"/>
      <c r="Q169" t="s">
        <v>25</v>
      </c>
      <c r="R169" t="s">
        <v>248</v>
      </c>
    </row>
    <row r="170" spans="4:18" x14ac:dyDescent="0.2">
      <c r="D170" s="1">
        <v>45960</v>
      </c>
      <c r="E170" s="2">
        <v>0.875</v>
      </c>
      <c r="F170" t="s">
        <v>17</v>
      </c>
      <c r="G170">
        <f>VLOOKUP(Table4[[#This Row],[Home]],'NHL Model'!$A$6:$B$38,2,FALSE)</f>
        <v>-0.36462594951491906</v>
      </c>
      <c r="H170" t="s">
        <v>15</v>
      </c>
      <c r="I170">
        <f>VLOOKUP(Table4[[#This Row],[Visitor]],'NHL Model'!$A$6:$B$38,2,FALSE)</f>
        <v>-0.73651915476403329</v>
      </c>
      <c r="J170">
        <f>($B$1+Table4[[#This Row],[Home Differential]])-Table4[[#This Row],[Away Differential]]</f>
        <v>0.50150019106063837</v>
      </c>
      <c r="K170" t="str">
        <f>IF(Table4[[#This Row],[HomeIce Differential]]&gt;0,Table4[[#This Row],[Home]],Table4[[#This Row],[Visitor]])</f>
        <v>Edmonton Oilers</v>
      </c>
      <c r="L1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0.56039940935288712</v>
      </c>
      <c r="M170" t="str">
        <f>IF(OR((NHL2025_26Results[[#This Row],[Winning Team]]="")),"-",IF(Table4[[#This Row],[Predicted Winner]]=NHL2025_26Results[[#This Row],[Winning Team]],"YES","NO"))</f>
        <v>NO</v>
      </c>
      <c r="N170">
        <f>IF(Table4[[#This Row],[Adjusted Correct]]="-", "",IF(Table4[[#This Row],[Adjusted Correct]]="YES",(Table4[[#This Row],[Strength of Win]]-1)^2,(Table4[[#This Row],[Strength of Win]]-0)^2))</f>
        <v>0.31404749800306475</v>
      </c>
      <c r="O170">
        <v>0.33322147454206563</v>
      </c>
      <c r="P170" s="11"/>
      <c r="Q170" t="s">
        <v>17</v>
      </c>
      <c r="R170" t="s">
        <v>249</v>
      </c>
    </row>
    <row r="171" spans="4:18" x14ac:dyDescent="0.2">
      <c r="D171" s="1">
        <v>45960</v>
      </c>
      <c r="E171" s="2">
        <v>0.9375</v>
      </c>
      <c r="F171" t="s">
        <v>13</v>
      </c>
      <c r="G171">
        <f>VLOOKUP(Table4[[#This Row],[Home]],'NHL Model'!$A$6:$B$38,2,FALSE)</f>
        <v>-0.59069689888466137</v>
      </c>
      <c r="H171" t="s">
        <v>26</v>
      </c>
      <c r="I171">
        <f>VLOOKUP(Table4[[#This Row],[Visitor]],'NHL Model'!$A$6:$B$38,2,FALSE)</f>
        <v>-0.33113778518110382</v>
      </c>
      <c r="J171">
        <f>($B$1+Table4[[#This Row],[Home Differential]])-Table4[[#This Row],[Away Differential]]</f>
        <v>-0.12995212789203348</v>
      </c>
      <c r="K171" t="str">
        <f>IF(Table4[[#This Row],[HomeIce Differential]]&gt;0,Table4[[#This Row],[Home]],Table4[[#This Row],[Visitor]])</f>
        <v>Detroit Red Wings</v>
      </c>
      <c r="L1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0.51260079498844857</v>
      </c>
      <c r="M171" t="str">
        <f>IF(OR((NHL2025_26Results[[#This Row],[Winning Team]]="")),"-",IF(Table4[[#This Row],[Predicted Winner]]=NHL2025_26Results[[#This Row],[Winning Team]],"YES","NO"))</f>
        <v>YES</v>
      </c>
      <c r="N171">
        <f>IF(Table4[[#This Row],[Adjusted Correct]]="-", "",IF(Table4[[#This Row],[Adjusted Correct]]="YES",(Table4[[#This Row],[Strength of Win]]-1)^2,(Table4[[#This Row],[Strength of Win]]-0)^2))</f>
        <v>0.23755798504589234</v>
      </c>
      <c r="O171">
        <v>7.6439562121657145E-2</v>
      </c>
      <c r="P171" s="11"/>
      <c r="Q171" t="s">
        <v>13</v>
      </c>
      <c r="R171" t="s">
        <v>249</v>
      </c>
    </row>
    <row r="172" spans="4:18" x14ac:dyDescent="0.2">
      <c r="D172" s="1">
        <v>45960</v>
      </c>
      <c r="E172" s="2">
        <v>0.83333333333333337</v>
      </c>
      <c r="F172" t="s">
        <v>34</v>
      </c>
      <c r="G172">
        <f>VLOOKUP(Table4[[#This Row],[Home]],'NHL Model'!$A$6:$B$38,2,FALSE)</f>
        <v>6.0485283743665949E-2</v>
      </c>
      <c r="H172" t="s">
        <v>14</v>
      </c>
      <c r="I172">
        <f>VLOOKUP(Table4[[#This Row],[Visitor]],'NHL Model'!$A$6:$B$38,2,FALSE)</f>
        <v>3.6349513460996066E-5</v>
      </c>
      <c r="J172">
        <f>($B$1+Table4[[#This Row],[Home Differential]])-Table4[[#This Row],[Away Differential]]</f>
        <v>0.19005592004172905</v>
      </c>
      <c r="K172" t="str">
        <f>IF(Table4[[#This Row],[HomeIce Differential]]&gt;0,Table4[[#This Row],[Home]],Table4[[#This Row],[Visitor]])</f>
        <v>Minnesota Wild</v>
      </c>
      <c r="L1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0.51925006384508254</v>
      </c>
      <c r="M172" t="str">
        <f>IF(OR((NHL2025_26Results[[#This Row],[Winning Team]]="")),"-",IF(Table4[[#This Row],[Predicted Winner]]=NHL2025_26Results[[#This Row],[Winning Team]],"YES","NO"))</f>
        <v>NO</v>
      </c>
      <c r="N172">
        <f>IF(Table4[[#This Row],[Adjusted Correct]]="-", "",IF(Table4[[#This Row],[Adjusted Correct]]="YES",(Table4[[#This Row],[Strength of Win]]-1)^2,(Table4[[#This Row],[Strength of Win]]-0)^2))</f>
        <v>0.26962062880312232</v>
      </c>
      <c r="O172">
        <v>-1.7175845577976103</v>
      </c>
      <c r="P172" s="11"/>
      <c r="Q172" t="s">
        <v>14</v>
      </c>
      <c r="R172" t="s">
        <v>248</v>
      </c>
    </row>
    <row r="173" spans="4:18" x14ac:dyDescent="0.2">
      <c r="D173" s="1">
        <v>45960</v>
      </c>
      <c r="E173" s="2">
        <v>0.79166666666666663</v>
      </c>
      <c r="F173" t="s">
        <v>36</v>
      </c>
      <c r="G173">
        <f>VLOOKUP(Table4[[#This Row],[Home]],'NHL Model'!$A$6:$B$38,2,FALSE)</f>
        <v>-0.19010748264223354</v>
      </c>
      <c r="H173" t="s">
        <v>16</v>
      </c>
      <c r="I173">
        <f>VLOOKUP(Table4[[#This Row],[Visitor]],'NHL Model'!$A$6:$B$38,2,FALSE)</f>
        <v>-0.89031221864884547</v>
      </c>
      <c r="J173">
        <f>($B$1+Table4[[#This Row],[Home Differential]])-Table4[[#This Row],[Away Differential]]</f>
        <v>0.82981172181813601</v>
      </c>
      <c r="K173" t="str">
        <f>IF(Table4[[#This Row],[HomeIce Differential]]&gt;0,Table4[[#This Row],[Home]],Table4[[#This Row],[Visitor]])</f>
        <v>Ottawa Senators</v>
      </c>
      <c r="L1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0.63318276645494109</v>
      </c>
      <c r="M173" t="str">
        <f>IF(OR((NHL2025_26Results[[#This Row],[Winning Team]]="")),"-",IF(Table4[[#This Row],[Predicted Winner]]=NHL2025_26Results[[#This Row],[Winning Team]],"YES","NO"))</f>
        <v>YES</v>
      </c>
      <c r="N173">
        <f>IF(Table4[[#This Row],[Adjusted Correct]]="-", "",IF(Table4[[#This Row],[Adjusted Correct]]="YES",(Table4[[#This Row],[Strength of Win]]-1)^2,(Table4[[#This Row],[Strength of Win]]-0)^2))</f>
        <v>0.13455488282565028</v>
      </c>
      <c r="O173">
        <v>1.1358057578210119</v>
      </c>
      <c r="P173" s="11"/>
      <c r="Q173" t="s">
        <v>36</v>
      </c>
      <c r="R173" t="s">
        <v>248</v>
      </c>
    </row>
    <row r="174" spans="4:18" x14ac:dyDescent="0.2">
      <c r="D174" s="1">
        <v>45960</v>
      </c>
      <c r="E174" s="2">
        <v>0.79166666666666663</v>
      </c>
      <c r="F174" t="s">
        <v>27</v>
      </c>
      <c r="G174">
        <f>VLOOKUP(Table4[[#This Row],[Home]],'NHL Model'!$A$6:$B$38,2,FALSE)</f>
        <v>-0.55097933929175691</v>
      </c>
      <c r="H174" t="s">
        <v>29</v>
      </c>
      <c r="I174">
        <f>VLOOKUP(Table4[[#This Row],[Visitor]],'NHL Model'!$A$6:$B$38,2,FALSE)</f>
        <v>-0.82056481120798741</v>
      </c>
      <c r="J174">
        <f>($B$1+Table4[[#This Row],[Home Differential]])-Table4[[#This Row],[Away Differential]]</f>
        <v>0.39919245772775458</v>
      </c>
      <c r="K174" t="str">
        <f>IF(Table4[[#This Row],[HomeIce Differential]]&gt;0,Table4[[#This Row],[Home]],Table4[[#This Row],[Visitor]])</f>
        <v>Philadelphia Flyers</v>
      </c>
      <c r="L1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0.58482686443319698</v>
      </c>
      <c r="M174" t="str">
        <f>IF(OR((NHL2025_26Results[[#This Row],[Winning Team]]="")),"-",IF(Table4[[#This Row],[Predicted Winner]]=NHL2025_26Results[[#This Row],[Winning Team]],"YES","NO"))</f>
        <v>YES</v>
      </c>
      <c r="N174">
        <f>IF(Table4[[#This Row],[Adjusted Correct]]="-", "",IF(Table4[[#This Row],[Adjusted Correct]]="YES",(Table4[[#This Row],[Strength of Win]]-1)^2,(Table4[[#This Row],[Strength of Win]]-0)^2))</f>
        <v>0.172368732496371</v>
      </c>
      <c r="O174">
        <v>1.7025664901942428</v>
      </c>
      <c r="P174" s="11"/>
      <c r="Q174" t="s">
        <v>27</v>
      </c>
      <c r="R174" t="s">
        <v>248</v>
      </c>
    </row>
    <row r="175" spans="4:18" x14ac:dyDescent="0.2">
      <c r="D175" s="1">
        <v>45960</v>
      </c>
      <c r="E175" s="2">
        <v>0.91666666666666663</v>
      </c>
      <c r="F175" t="s">
        <v>33</v>
      </c>
      <c r="G175">
        <f>VLOOKUP(Table4[[#This Row],[Home]],'NHL Model'!$A$6:$B$38,2,FALSE)</f>
        <v>-0.65236582493376272</v>
      </c>
      <c r="H175" t="s">
        <v>24</v>
      </c>
      <c r="I175">
        <f>VLOOKUP(Table4[[#This Row],[Visitor]],'NHL Model'!$A$6:$B$38,2,FALSE)</f>
        <v>-0.74510803532792402</v>
      </c>
      <c r="J175">
        <f>($B$1+Table4[[#This Row],[Home Differential]])-Table4[[#This Row],[Away Differential]]</f>
        <v>0.22234919620568538</v>
      </c>
      <c r="K175" t="str">
        <f>IF(Table4[[#This Row],[HomeIce Differential]]&gt;0,Table4[[#This Row],[Home]],Table4[[#This Row],[Visitor]])</f>
        <v>San Jose Sharks</v>
      </c>
      <c r="L1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0.54419922011753452</v>
      </c>
      <c r="M175" t="str">
        <f>IF(OR((NHL2025_26Results[[#This Row],[Winning Team]]="")),"-",IF(Table4[[#This Row],[Predicted Winner]]=NHL2025_26Results[[#This Row],[Winning Team]],"YES","NO"))</f>
        <v>YES</v>
      </c>
      <c r="N175">
        <f>IF(Table4[[#This Row],[Adjusted Correct]]="-", "",IF(Table4[[#This Row],[Adjusted Correct]]="YES",(Table4[[#This Row],[Strength of Win]]-1)^2,(Table4[[#This Row],[Strength of Win]]-0)^2))</f>
        <v>0.20775435094146374</v>
      </c>
      <c r="O175">
        <v>-1.1258567565216646</v>
      </c>
      <c r="P175" s="11"/>
      <c r="Q175" t="s">
        <v>24</v>
      </c>
      <c r="R175" t="s">
        <v>249</v>
      </c>
    </row>
    <row r="176" spans="4:18" x14ac:dyDescent="0.2">
      <c r="D176" s="1">
        <v>45960</v>
      </c>
      <c r="E176" s="2">
        <v>0.83333333333333337</v>
      </c>
      <c r="F176" t="s">
        <v>35</v>
      </c>
      <c r="G176">
        <f>VLOOKUP(Table4[[#This Row],[Home]],'NHL Model'!$A$6:$B$38,2,FALSE)</f>
        <v>-1.3128572733047907</v>
      </c>
      <c r="H176" t="s">
        <v>38</v>
      </c>
      <c r="I176">
        <f>VLOOKUP(Table4[[#This Row],[Visitor]],'NHL Model'!$A$6:$B$38,2,FALSE)</f>
        <v>-1.3920033028857945</v>
      </c>
      <c r="J176">
        <f>($B$1+Table4[[#This Row],[Home Differential]])-Table4[[#This Row],[Away Differential]]</f>
        <v>0.20875301539252789</v>
      </c>
      <c r="K176" t="str">
        <f>IF(Table4[[#This Row],[HomeIce Differential]]&gt;0,Table4[[#This Row],[Home]],Table4[[#This Row],[Visitor]])</f>
        <v>St. Louis Blues</v>
      </c>
      <c r="L1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0.56344168317780141</v>
      </c>
      <c r="M176" t="str">
        <f>IF(OR((NHL2025_26Results[[#This Row],[Winning Team]]="")),"-",IF(Table4[[#This Row],[Predicted Winner]]=NHL2025_26Results[[#This Row],[Winning Team]],"YES","NO"))</f>
        <v>NO</v>
      </c>
      <c r="N176">
        <f>IF(Table4[[#This Row],[Adjusted Correct]]="-", "",IF(Table4[[#This Row],[Adjusted Correct]]="YES",(Table4[[#This Row],[Strength of Win]]-1)^2,(Table4[[#This Row],[Strength of Win]]-0)^2))</f>
        <v>0.31746653034223393</v>
      </c>
      <c r="O176">
        <v>-0.87576014407702707</v>
      </c>
      <c r="P176" s="11"/>
      <c r="Q176" t="s">
        <v>38</v>
      </c>
      <c r="R176" t="s">
        <v>248</v>
      </c>
    </row>
    <row r="177" spans="4:18" x14ac:dyDescent="0.2">
      <c r="D177" s="1">
        <v>45960</v>
      </c>
      <c r="E177" s="2">
        <v>0.79166666666666663</v>
      </c>
      <c r="F177" t="s">
        <v>37</v>
      </c>
      <c r="G177">
        <f>VLOOKUP(Table4[[#This Row],[Home]],'NHL Model'!$A$6:$B$38,2,FALSE)</f>
        <v>0.72108184732572844</v>
      </c>
      <c r="H177" t="s">
        <v>39</v>
      </c>
      <c r="I177">
        <f>VLOOKUP(Table4[[#This Row],[Visitor]],'NHL Model'!$A$6:$B$38,2,FALSE)</f>
        <v>0.21708030788125537</v>
      </c>
      <c r="J177">
        <f>($B$1+Table4[[#This Row],[Home Differential]])-Table4[[#This Row],[Away Differential]]</f>
        <v>0.63360852525599709</v>
      </c>
      <c r="K177" t="str">
        <f>IF(Table4[[#This Row],[HomeIce Differential]]&gt;0,Table4[[#This Row],[Home]],Table4[[#This Row],[Visitor]])</f>
        <v>Tampa Bay Lightning</v>
      </c>
      <c r="L1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0.61003415699204766</v>
      </c>
      <c r="M177" t="str">
        <f>IF(OR((NHL2025_26Results[[#This Row],[Winning Team]]="")),"-",IF(Table4[[#This Row],[Predicted Winner]]=NHL2025_26Results[[#This Row],[Winning Team]],"YES","NO"))</f>
        <v>YES</v>
      </c>
      <c r="N177">
        <f>IF(Table4[[#This Row],[Adjusted Correct]]="-", "",IF(Table4[[#This Row],[Adjusted Correct]]="YES",(Table4[[#This Row],[Strength of Win]]-1)^2,(Table4[[#This Row],[Strength of Win]]-0)^2))</f>
        <v>0.15207335871290292</v>
      </c>
      <c r="O177">
        <v>0.580506709220174</v>
      </c>
      <c r="P177" s="11"/>
      <c r="Q177" t="s">
        <v>37</v>
      </c>
      <c r="R177" t="s">
        <v>248</v>
      </c>
    </row>
    <row r="178" spans="4:18" x14ac:dyDescent="0.2">
      <c r="D178" s="1">
        <v>45960</v>
      </c>
      <c r="E178" s="2">
        <v>0.83333333333333337</v>
      </c>
      <c r="F178" t="s">
        <v>40</v>
      </c>
      <c r="G178">
        <f>VLOOKUP(Table4[[#This Row],[Home]],'NHL Model'!$A$6:$B$38,2,FALSE)</f>
        <v>-0.58845147248022256</v>
      </c>
      <c r="H178" t="s">
        <v>10</v>
      </c>
      <c r="I178">
        <f>VLOOKUP(Table4[[#This Row],[Visitor]],'NHL Model'!$A$6:$B$38,2,FALSE)</f>
        <v>-0.92658078135875344</v>
      </c>
      <c r="J178">
        <f>($B$1+Table4[[#This Row],[Home Differential]])-Table4[[#This Row],[Away Differential]]</f>
        <v>0.46773629469005495</v>
      </c>
      <c r="K178" t="str">
        <f>IF(Table4[[#This Row],[HomeIce Differential]]&gt;0,Table4[[#This Row],[Home]],Table4[[#This Row],[Visitor]])</f>
        <v>Winnipeg Jets</v>
      </c>
      <c r="L1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0.59252391688937256</v>
      </c>
      <c r="M178" t="str">
        <f>IF(OR((NHL2025_26Results[[#This Row],[Winning Team]]="")),"-",IF(Table4[[#This Row],[Predicted Winner]]=NHL2025_26Results[[#This Row],[Winning Team]],"YES","NO"))</f>
        <v>YES</v>
      </c>
      <c r="N178">
        <f>IF(Table4[[#This Row],[Adjusted Correct]]="-", "",IF(Table4[[#This Row],[Adjusted Correct]]="YES",(Table4[[#This Row],[Strength of Win]]-1)^2,(Table4[[#This Row],[Strength of Win]]-0)^2))</f>
        <v>0.16603675830717896</v>
      </c>
      <c r="O178">
        <v>0.66717825796484931</v>
      </c>
      <c r="P178" s="11"/>
      <c r="Q178" t="s">
        <v>40</v>
      </c>
      <c r="R178" t="s">
        <v>248</v>
      </c>
    </row>
    <row r="179" spans="4:18" x14ac:dyDescent="0.2">
      <c r="D179" s="1">
        <v>45961</v>
      </c>
      <c r="E179" s="2">
        <v>0.91666666666666663</v>
      </c>
      <c r="F179" t="s">
        <v>31</v>
      </c>
      <c r="G179">
        <f>VLOOKUP(Table4[[#This Row],[Home]],'NHL Model'!$A$6:$B$38,2,FALSE)</f>
        <v>-0.46360583111358089</v>
      </c>
      <c r="H179" t="s">
        <v>26</v>
      </c>
      <c r="I179">
        <f>VLOOKUP(Table4[[#This Row],[Visitor]],'NHL Model'!$A$6:$B$38,2,FALSE)</f>
        <v>-0.33113778518110382</v>
      </c>
      <c r="J179">
        <f>($B$1+Table4[[#This Row],[Home Differential]])-Table4[[#This Row],[Away Differential]]</f>
        <v>-2.8610601209529962E-3</v>
      </c>
      <c r="K179" t="str">
        <f>IF(Table4[[#This Row],[HomeIce Differential]]&gt;0,Table4[[#This Row],[Home]],Table4[[#This Row],[Visitor]])</f>
        <v>Detroit Red Wings</v>
      </c>
      <c r="L1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0.44586583395783697</v>
      </c>
      <c r="M179" t="str">
        <f>IF(OR((NHL2025_26Results[[#This Row],[Winning Team]]="")),"-",IF(Table4[[#This Row],[Predicted Winner]]=NHL2025_26Results[[#This Row],[Winning Team]],"YES","NO"))</f>
        <v>NO</v>
      </c>
      <c r="N179">
        <f>IF(Table4[[#This Row],[Adjusted Correct]]="-", "",IF(Table4[[#This Row],[Adjusted Correct]]="YES",(Table4[[#This Row],[Strength of Win]]-1)^2,(Table4[[#This Row],[Strength of Win]]-0)^2))</f>
        <v>0.19879634189091744</v>
      </c>
      <c r="O179">
        <v>0.95394730218963719</v>
      </c>
      <c r="P179" s="11"/>
      <c r="Q179" t="s">
        <v>31</v>
      </c>
      <c r="R179" t="s">
        <v>248</v>
      </c>
    </row>
    <row r="180" spans="4:18" x14ac:dyDescent="0.2">
      <c r="D180" s="1">
        <v>45961</v>
      </c>
      <c r="E180" s="2">
        <v>0.66666666666666663</v>
      </c>
      <c r="F180" t="s">
        <v>20</v>
      </c>
      <c r="G180">
        <f>VLOOKUP(Table4[[#This Row],[Home]],'NHL Model'!$A$6:$B$38,2,FALSE)</f>
        <v>-0.16296463421387539</v>
      </c>
      <c r="H180" t="s">
        <v>12</v>
      </c>
      <c r="I180">
        <f>VLOOKUP(Table4[[#This Row],[Visitor]],'NHL Model'!$A$6:$B$38,2,FALSE)</f>
        <v>0.99866683349964291</v>
      </c>
      <c r="J180">
        <f>($B$1+Table4[[#This Row],[Home Differential]])-Table4[[#This Row],[Away Differential]]</f>
        <v>-1.0320244819019941</v>
      </c>
      <c r="K180" t="str">
        <f>IF(Table4[[#This Row],[HomeIce Differential]]&gt;0,Table4[[#This Row],[Home]],Table4[[#This Row],[Visitor]])</f>
        <v>Colorado Avalanche</v>
      </c>
      <c r="L1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0.64515527437089737</v>
      </c>
      <c r="M180" t="str">
        <f>IF(OR((NHL2025_26Results[[#This Row],[Winning Team]]="")),"-",IF(Table4[[#This Row],[Predicted Winner]]=NHL2025_26Results[[#This Row],[Winning Team]],"YES","NO"))</f>
        <v>YES</v>
      </c>
      <c r="N180">
        <f>IF(Table4[[#This Row],[Adjusted Correct]]="-", "",IF(Table4[[#This Row],[Adjusted Correct]]="YES",(Table4[[#This Row],[Strength of Win]]-1)^2,(Table4[[#This Row],[Strength of Win]]-0)^2))</f>
        <v>0.12591477930679312</v>
      </c>
      <c r="O180">
        <v>-0.3993461683610306</v>
      </c>
      <c r="P180" s="11"/>
      <c r="Q180" t="s">
        <v>12</v>
      </c>
      <c r="R180" t="s">
        <v>248</v>
      </c>
    </row>
    <row r="181" spans="4:18" x14ac:dyDescent="0.2">
      <c r="D181" s="1">
        <v>45961</v>
      </c>
      <c r="E181" s="2">
        <v>0.79166666666666663</v>
      </c>
      <c r="F181" t="s">
        <v>22</v>
      </c>
      <c r="G181">
        <f>VLOOKUP(Table4[[#This Row],[Home]],'NHL Model'!$A$6:$B$38,2,FALSE)</f>
        <v>-0.11977593183651415</v>
      </c>
      <c r="H181" t="s">
        <v>30</v>
      </c>
      <c r="I181">
        <f>VLOOKUP(Table4[[#This Row],[Visitor]],'NHL Model'!$A$6:$B$38,2,FALSE)</f>
        <v>-0.18630462558229716</v>
      </c>
      <c r="J181">
        <f>($B$1+Table4[[#This Row],[Home Differential]])-Table4[[#This Row],[Away Differential]]</f>
        <v>0.1961356795573071</v>
      </c>
      <c r="K181" t="str">
        <f>IF(Table4[[#This Row],[HomeIce Differential]]&gt;0,Table4[[#This Row],[Home]],Table4[[#This Row],[Visitor]])</f>
        <v>Washington Capitals</v>
      </c>
      <c r="L1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0.54326035499133463</v>
      </c>
      <c r="M181" t="str">
        <f>IF(OR((NHL2025_26Results[[#This Row],[Winning Team]]="")),"-",IF(Table4[[#This Row],[Predicted Winner]]=NHL2025_26Results[[#This Row],[Winning Team]],"YES","NO"))</f>
        <v>NO</v>
      </c>
      <c r="N181">
        <f>IF(Table4[[#This Row],[Adjusted Correct]]="-", "",IF(Table4[[#This Row],[Adjusted Correct]]="YES",(Table4[[#This Row],[Strength of Win]]-1)^2,(Table4[[#This Row],[Strength of Win]]-0)^2))</f>
        <v>0.29513181330531091</v>
      </c>
      <c r="O181">
        <v>0.26062581828964315</v>
      </c>
      <c r="P181" s="11"/>
      <c r="Q181" t="s">
        <v>22</v>
      </c>
      <c r="R181" t="s">
        <v>249</v>
      </c>
    </row>
    <row r="182" spans="4:18" x14ac:dyDescent="0.2">
      <c r="D182" s="1">
        <v>45962</v>
      </c>
      <c r="E182" s="2">
        <v>0.54166666666666663</v>
      </c>
      <c r="F182" t="s">
        <v>21</v>
      </c>
      <c r="G182">
        <f>VLOOKUP(Table4[[#This Row],[Home]],'NHL Model'!$A$6:$B$38,2,FALSE)</f>
        <v>-0.10253061303059285</v>
      </c>
      <c r="H182" t="s">
        <v>25</v>
      </c>
      <c r="I182">
        <f>VLOOKUP(Table4[[#This Row],[Visitor]],'NHL Model'!$A$6:$B$38,2,FALSE)</f>
        <v>0.2324942014830165</v>
      </c>
      <c r="J182">
        <f>($B$1+Table4[[#This Row],[Home Differential]])-Table4[[#This Row],[Away Differential]]</f>
        <v>-0.20541782870208525</v>
      </c>
      <c r="K182" t="str">
        <f>IF(Table4[[#This Row],[HomeIce Differential]]&gt;0,Table4[[#This Row],[Home]],Table4[[#This Row],[Visitor]])</f>
        <v>Carolina Hurricanes</v>
      </c>
      <c r="L1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0.48698468794305316</v>
      </c>
      <c r="M182" t="str">
        <f>IF(OR((NHL2025_26Results[[#This Row],[Winning Team]]="")),"-",IF(Table4[[#This Row],[Predicted Winner]]=NHL2025_26Results[[#This Row],[Winning Team]],"YES","NO"))</f>
        <v>NO</v>
      </c>
      <c r="N182">
        <f>IF(Table4[[#This Row],[Adjusted Correct]]="-", "",IF(Table4[[#This Row],[Adjusted Correct]]="YES",(Table4[[#This Row],[Strength of Win]]-1)^2,(Table4[[#This Row],[Strength of Win]]-0)^2))</f>
        <v>0.23715408629099285</v>
      </c>
      <c r="O182">
        <v>-0.83278704893044175</v>
      </c>
      <c r="P182" s="11"/>
      <c r="Q182" t="s">
        <v>25</v>
      </c>
      <c r="R182" t="s">
        <v>249</v>
      </c>
    </row>
    <row r="183" spans="4:18" x14ac:dyDescent="0.2">
      <c r="D183" s="1">
        <v>45962</v>
      </c>
      <c r="E183" s="2">
        <v>0.79166666666666663</v>
      </c>
      <c r="F183" t="s">
        <v>23</v>
      </c>
      <c r="G183">
        <f>VLOOKUP(Table4[[#This Row],[Home]],'NHL Model'!$A$6:$B$38,2,FALSE)</f>
        <v>8.1543966060426461E-3</v>
      </c>
      <c r="H183" t="s">
        <v>22</v>
      </c>
      <c r="I183">
        <f>VLOOKUP(Table4[[#This Row],[Visitor]],'NHL Model'!$A$6:$B$38,2,FALSE)</f>
        <v>-0.11977593183651415</v>
      </c>
      <c r="J183">
        <f>($B$1+Table4[[#This Row],[Home Differential]])-Table4[[#This Row],[Away Differential]]</f>
        <v>0.25753731425408088</v>
      </c>
      <c r="K183" t="str">
        <f>IF(Table4[[#This Row],[HomeIce Differential]]&gt;0,Table4[[#This Row],[Home]],Table4[[#This Row],[Visitor]])</f>
        <v>Buffalo Sabres</v>
      </c>
      <c r="L1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0.59786229711877892</v>
      </c>
      <c r="M183" t="str">
        <f>IF(OR((NHL2025_26Results[[#This Row],[Winning Team]]="")),"-",IF(Table4[[#This Row],[Predicted Winner]]=NHL2025_26Results[[#This Row],[Winning Team]],"YES","NO"))</f>
        <v>YES</v>
      </c>
      <c r="N183">
        <f>IF(Table4[[#This Row],[Adjusted Correct]]="-", "",IF(Table4[[#This Row],[Adjusted Correct]]="YES",(Table4[[#This Row],[Strength of Win]]-1)^2,(Table4[[#This Row],[Strength of Win]]-0)^2))</f>
        <v>0.16171473207858525</v>
      </c>
      <c r="O183">
        <v>0.23932364949177198</v>
      </c>
      <c r="P183" s="11"/>
      <c r="Q183" t="s">
        <v>23</v>
      </c>
      <c r="R183" t="s">
        <v>248</v>
      </c>
    </row>
    <row r="184" spans="4:18" x14ac:dyDescent="0.2">
      <c r="D184" s="1">
        <v>45962</v>
      </c>
      <c r="E184" s="2">
        <v>0.79166666666666663</v>
      </c>
      <c r="F184" t="s">
        <v>28</v>
      </c>
      <c r="G184">
        <f>VLOOKUP(Table4[[#This Row],[Home]],'NHL Model'!$A$6:$B$38,2,FALSE)</f>
        <v>-0.28156479873410767</v>
      </c>
      <c r="H184" t="s">
        <v>35</v>
      </c>
      <c r="I184">
        <f>VLOOKUP(Table4[[#This Row],[Visitor]],'NHL Model'!$A$6:$B$38,2,FALSE)</f>
        <v>-1.3128572733047907</v>
      </c>
      <c r="J184">
        <f>($B$1+Table4[[#This Row],[Home Differential]])-Table4[[#This Row],[Away Differential]]</f>
        <v>1.1608994603822071</v>
      </c>
      <c r="K184" t="str">
        <f>IF(Table4[[#This Row],[HomeIce Differential]]&gt;0,Table4[[#This Row],[Home]],Table4[[#This Row],[Visitor]])</f>
        <v>Columbus Blue Jackets</v>
      </c>
      <c r="L1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0.67740784052723935</v>
      </c>
      <c r="M184" t="str">
        <f>IF(OR((NHL2025_26Results[[#This Row],[Winning Team]]="")),"-",IF(Table4[[#This Row],[Predicted Winner]]=NHL2025_26Results[[#This Row],[Winning Team]],"YES","NO"))</f>
        <v>YES</v>
      </c>
      <c r="N184">
        <f>IF(Table4[[#This Row],[Adjusted Correct]]="-", "",IF(Table4[[#This Row],[Adjusted Correct]]="YES",(Table4[[#This Row],[Strength of Win]]-1)^2,(Table4[[#This Row],[Strength of Win]]-0)^2))</f>
        <v>0.10406570135329904</v>
      </c>
      <c r="O184">
        <v>2.2732468074460868</v>
      </c>
      <c r="P184" s="11"/>
      <c r="Q184" t="s">
        <v>28</v>
      </c>
      <c r="R184" t="s">
        <v>248</v>
      </c>
    </row>
    <row r="185" spans="4:18" x14ac:dyDescent="0.2">
      <c r="D185" s="1">
        <v>45962</v>
      </c>
      <c r="E185" s="2">
        <v>0.91666666666666663</v>
      </c>
      <c r="F185" t="s">
        <v>17</v>
      </c>
      <c r="G185">
        <f>VLOOKUP(Table4[[#This Row],[Home]],'NHL Model'!$A$6:$B$38,2,FALSE)</f>
        <v>-0.36462594951491906</v>
      </c>
      <c r="H185" t="s">
        <v>10</v>
      </c>
      <c r="I185">
        <f>VLOOKUP(Table4[[#This Row],[Visitor]],'NHL Model'!$A$6:$B$38,2,FALSE)</f>
        <v>-0.92658078135875344</v>
      </c>
      <c r="J185">
        <f>($B$1+Table4[[#This Row],[Home Differential]])-Table4[[#This Row],[Away Differential]]</f>
        <v>0.69156181765535851</v>
      </c>
      <c r="K185" t="str">
        <f>IF(Table4[[#This Row],[HomeIce Differential]]&gt;0,Table4[[#This Row],[Home]],Table4[[#This Row],[Visitor]])</f>
        <v>Edmonton Oilers</v>
      </c>
      <c r="L1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0.617658150215739</v>
      </c>
      <c r="M185" t="str">
        <f>IF(OR((NHL2025_26Results[[#This Row],[Winning Team]]="")),"-",IF(Table4[[#This Row],[Predicted Winner]]=NHL2025_26Results[[#This Row],[Winning Team]],"YES","NO"))</f>
        <v>YES</v>
      </c>
      <c r="N185">
        <f>IF(Table4[[#This Row],[Adjusted Correct]]="-", "",IF(Table4[[#This Row],[Adjusted Correct]]="YES",(Table4[[#This Row],[Strength of Win]]-1)^2,(Table4[[#This Row],[Strength of Win]]-0)^2))</f>
        <v>0.1461852900964504</v>
      </c>
      <c r="O185">
        <v>-4.7121828211146299E-2</v>
      </c>
      <c r="P185" s="11"/>
      <c r="Q185" t="s">
        <v>10</v>
      </c>
      <c r="R185" t="s">
        <v>249</v>
      </c>
    </row>
    <row r="186" spans="4:18" x14ac:dyDescent="0.2">
      <c r="D186" s="1">
        <v>45962</v>
      </c>
      <c r="E186" s="2">
        <v>0.75</v>
      </c>
      <c r="F186" t="s">
        <v>11</v>
      </c>
      <c r="G186">
        <f>VLOOKUP(Table4[[#This Row],[Home]],'NHL Model'!$A$6:$B$38,2,FALSE)</f>
        <v>-0.55695213126481558</v>
      </c>
      <c r="H186" t="s">
        <v>39</v>
      </c>
      <c r="I186">
        <f>VLOOKUP(Table4[[#This Row],[Visitor]],'NHL Model'!$A$6:$B$38,2,FALSE)</f>
        <v>0.21708030788125537</v>
      </c>
      <c r="J186">
        <f>($B$1+Table4[[#This Row],[Home Differential]])-Table4[[#This Row],[Away Differential]]</f>
        <v>-0.64442545333454682</v>
      </c>
      <c r="K186" t="str">
        <f>IF(Table4[[#This Row],[HomeIce Differential]]&gt;0,Table4[[#This Row],[Home]],Table4[[#This Row],[Visitor]])</f>
        <v>Dallas Stars</v>
      </c>
      <c r="L1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0.5904997406537964</v>
      </c>
      <c r="M186" t="str">
        <f>IF(OR((NHL2025_26Results[[#This Row],[Winning Team]]="")),"-",IF(Table4[[#This Row],[Predicted Winner]]=NHL2025_26Results[[#This Row],[Winning Team]],"YES","NO"))</f>
        <v>NO</v>
      </c>
      <c r="N186">
        <f>IF(Table4[[#This Row],[Adjusted Correct]]="-", "",IF(Table4[[#This Row],[Adjusted Correct]]="YES",(Table4[[#This Row],[Strength of Win]]-1)^2,(Table4[[#This Row],[Strength of Win]]-0)^2))</f>
        <v>0.3486899437122008</v>
      </c>
      <c r="O186">
        <v>0.5084924414046591</v>
      </c>
      <c r="P186" s="11"/>
      <c r="Q186" t="s">
        <v>11</v>
      </c>
      <c r="R186" t="s">
        <v>248</v>
      </c>
    </row>
    <row r="187" spans="4:18" x14ac:dyDescent="0.2">
      <c r="D187" s="1">
        <v>45962</v>
      </c>
      <c r="E187" s="2">
        <v>0.875</v>
      </c>
      <c r="F187" t="s">
        <v>13</v>
      </c>
      <c r="G187">
        <f>VLOOKUP(Table4[[#This Row],[Home]],'NHL Model'!$A$6:$B$38,2,FALSE)</f>
        <v>-0.59069689888466137</v>
      </c>
      <c r="H187" t="s">
        <v>24</v>
      </c>
      <c r="I187">
        <f>VLOOKUP(Table4[[#This Row],[Visitor]],'NHL Model'!$A$6:$B$38,2,FALSE)</f>
        <v>-0.74510803532792402</v>
      </c>
      <c r="J187">
        <f>($B$1+Table4[[#This Row],[Home Differential]])-Table4[[#This Row],[Away Differential]]</f>
        <v>0.28401812225478673</v>
      </c>
      <c r="K187" t="str">
        <f>IF(Table4[[#This Row],[HomeIce Differential]]&gt;0,Table4[[#This Row],[Home]],Table4[[#This Row],[Visitor]])</f>
        <v>Los Angeles Kings</v>
      </c>
      <c r="L1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0.55112426224753697</v>
      </c>
      <c r="M187" t="str">
        <f>IF(OR((NHL2025_26Results[[#This Row],[Winning Team]]="")),"-",IF(Table4[[#This Row],[Predicted Winner]]=NHL2025_26Results[[#This Row],[Winning Team]],"YES","NO"))</f>
        <v>NO</v>
      </c>
      <c r="N187">
        <f>IF(Table4[[#This Row],[Adjusted Correct]]="-", "",IF(Table4[[#This Row],[Adjusted Correct]]="YES",(Table4[[#This Row],[Strength of Win]]-1)^2,(Table4[[#This Row],[Strength of Win]]-0)^2))</f>
        <v>0.30373795243789192</v>
      </c>
      <c r="O187">
        <v>-1.0538766188757165</v>
      </c>
      <c r="P187" s="11"/>
      <c r="Q187" t="s">
        <v>24</v>
      </c>
      <c r="R187" t="s">
        <v>248</v>
      </c>
    </row>
    <row r="188" spans="4:18" x14ac:dyDescent="0.2">
      <c r="D188" s="1">
        <v>45962</v>
      </c>
      <c r="E188" s="2">
        <v>0.79166666666666663</v>
      </c>
      <c r="F188" t="s">
        <v>34</v>
      </c>
      <c r="G188">
        <f>VLOOKUP(Table4[[#This Row],[Home]],'NHL Model'!$A$6:$B$38,2,FALSE)</f>
        <v>6.0485283743665949E-2</v>
      </c>
      <c r="H188" t="s">
        <v>38</v>
      </c>
      <c r="I188">
        <f>VLOOKUP(Table4[[#This Row],[Visitor]],'NHL Model'!$A$6:$B$38,2,FALSE)</f>
        <v>-1.3920033028857945</v>
      </c>
      <c r="J188">
        <f>($B$1+Table4[[#This Row],[Home Differential]])-Table4[[#This Row],[Away Differential]]</f>
        <v>1.5820955724409846</v>
      </c>
      <c r="K188" t="str">
        <f>IF(Table4[[#This Row],[HomeIce Differential]]&gt;0,Table4[[#This Row],[Home]],Table4[[#This Row],[Visitor]])</f>
        <v>Minnesota Wild</v>
      </c>
      <c r="L1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0.72960768046372915</v>
      </c>
      <c r="M188" t="str">
        <f>IF(OR((NHL2025_26Results[[#This Row],[Winning Team]]="")),"-",IF(Table4[[#This Row],[Predicted Winner]]=NHL2025_26Results[[#This Row],[Winning Team]],"YES","NO"))</f>
        <v>YES</v>
      </c>
      <c r="N188">
        <f>IF(Table4[[#This Row],[Adjusted Correct]]="-", "",IF(Table4[[#This Row],[Adjusted Correct]]="YES",(Table4[[#This Row],[Strength of Win]]-1)^2,(Table4[[#This Row],[Strength of Win]]-0)^2))</f>
        <v>7.3112006464204807E-2</v>
      </c>
      <c r="O188">
        <v>0.16670036800569887</v>
      </c>
      <c r="P188" s="11"/>
      <c r="Q188" t="s">
        <v>34</v>
      </c>
      <c r="R188" t="s">
        <v>248</v>
      </c>
    </row>
    <row r="189" spans="4:18" x14ac:dyDescent="0.2">
      <c r="D189" s="1">
        <v>45962</v>
      </c>
      <c r="E189" s="2">
        <v>0.79166666666666663</v>
      </c>
      <c r="F189" t="s">
        <v>18</v>
      </c>
      <c r="G189">
        <f>VLOOKUP(Table4[[#This Row],[Home]],'NHL Model'!$A$6:$B$38,2,FALSE)</f>
        <v>-8.6274676766085606E-2</v>
      </c>
      <c r="H189" t="s">
        <v>36</v>
      </c>
      <c r="I189">
        <f>VLOOKUP(Table4[[#This Row],[Visitor]],'NHL Model'!$A$6:$B$38,2,FALSE)</f>
        <v>-0.19010748264223354</v>
      </c>
      <c r="J189">
        <f>($B$1+Table4[[#This Row],[Home Differential]])-Table4[[#This Row],[Away Differential]]</f>
        <v>0.23343979168767204</v>
      </c>
      <c r="K189" t="str">
        <f>IF(Table4[[#This Row],[HomeIce Differential]]&gt;0,Table4[[#This Row],[Home]],Table4[[#This Row],[Visitor]])</f>
        <v>Montreal Canadiens</v>
      </c>
      <c r="L1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0.5682699314981714</v>
      </c>
      <c r="M189" t="str">
        <f>IF(OR((NHL2025_26Results[[#This Row],[Winning Team]]="")),"-",IF(Table4[[#This Row],[Predicted Winner]]=NHL2025_26Results[[#This Row],[Winning Team]],"YES","NO"))</f>
        <v>YES</v>
      </c>
      <c r="N189">
        <f>IF(Table4[[#This Row],[Adjusted Correct]]="-", "",IF(Table4[[#This Row],[Adjusted Correct]]="YES",(Table4[[#This Row],[Strength of Win]]-1)^2,(Table4[[#This Row],[Strength of Win]]-0)^2))</f>
        <v>0.18639085204859362</v>
      </c>
      <c r="O189">
        <v>1.0119781657833355</v>
      </c>
      <c r="P189" s="11"/>
      <c r="Q189" t="s">
        <v>18</v>
      </c>
      <c r="R189" t="s">
        <v>248</v>
      </c>
    </row>
    <row r="190" spans="4:18" x14ac:dyDescent="0.2">
      <c r="D190" s="1">
        <v>45962</v>
      </c>
      <c r="E190" s="2">
        <v>0.64583333333333337</v>
      </c>
      <c r="F190" t="s">
        <v>29</v>
      </c>
      <c r="G190">
        <f>VLOOKUP(Table4[[#This Row],[Home]],'NHL Model'!$A$6:$B$38,2,FALSE)</f>
        <v>-0.82056481120798741</v>
      </c>
      <c r="H190" t="s">
        <v>16</v>
      </c>
      <c r="I190">
        <f>VLOOKUP(Table4[[#This Row],[Visitor]],'NHL Model'!$A$6:$B$38,2,FALSE)</f>
        <v>-0.89031221864884547</v>
      </c>
      <c r="J190">
        <f>($B$1+Table4[[#This Row],[Home Differential]])-Table4[[#This Row],[Away Differential]]</f>
        <v>0.19935439325238213</v>
      </c>
      <c r="K190" t="str">
        <f>IF(Table4[[#This Row],[HomeIce Differential]]&gt;0,Table4[[#This Row],[Home]],Table4[[#This Row],[Visitor]])</f>
        <v>Nashville Predators</v>
      </c>
      <c r="L1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0.56238627556080067</v>
      </c>
      <c r="M190" t="str">
        <f>IF(OR((NHL2025_26Results[[#This Row],[Winning Team]]="")),"-",IF(Table4[[#This Row],[Predicted Winner]]=NHL2025_26Results[[#This Row],[Winning Team]],"YES","NO"))</f>
        <v>YES</v>
      </c>
      <c r="N190">
        <f>IF(Table4[[#This Row],[Adjusted Correct]]="-", "",IF(Table4[[#This Row],[Adjusted Correct]]="YES",(Table4[[#This Row],[Strength of Win]]-1)^2,(Table4[[#This Row],[Strength of Win]]-0)^2))</f>
        <v>0.19150577181754749</v>
      </c>
      <c r="O190">
        <v>0.71867492332139604</v>
      </c>
      <c r="P190" s="11"/>
      <c r="Q190" t="s">
        <v>29</v>
      </c>
      <c r="R190" t="s">
        <v>248</v>
      </c>
    </row>
    <row r="191" spans="4:18" x14ac:dyDescent="0.2">
      <c r="D191" s="1">
        <v>45962</v>
      </c>
      <c r="E191" s="2">
        <v>0.79166666666666663</v>
      </c>
      <c r="F191" t="s">
        <v>27</v>
      </c>
      <c r="G191">
        <f>VLOOKUP(Table4[[#This Row],[Home]],'NHL Model'!$A$6:$B$38,2,FALSE)</f>
        <v>-0.55097933929175691</v>
      </c>
      <c r="H191" t="s">
        <v>19</v>
      </c>
      <c r="I191">
        <f>VLOOKUP(Table4[[#This Row],[Visitor]],'NHL Model'!$A$6:$B$38,2,FALSE)</f>
        <v>-0.44228056828684137</v>
      </c>
      <c r="J191">
        <f>($B$1+Table4[[#This Row],[Home Differential]])-Table4[[#This Row],[Away Differential]]</f>
        <v>2.0908214806608538E-2</v>
      </c>
      <c r="K191" t="str">
        <f>IF(Table4[[#This Row],[HomeIce Differential]]&gt;0,Table4[[#This Row],[Home]],Table4[[#This Row],[Visitor]])</f>
        <v>Philadelphia Flyers</v>
      </c>
      <c r="L1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0.5423478642758206</v>
      </c>
      <c r="M191" t="str">
        <f>IF(OR((NHL2025_26Results[[#This Row],[Winning Team]]="")),"-",IF(Table4[[#This Row],[Predicted Winner]]=NHL2025_26Results[[#This Row],[Winning Team]],"YES","NO"))</f>
        <v>NO</v>
      </c>
      <c r="N191">
        <f>IF(Table4[[#This Row],[Adjusted Correct]]="-", "",IF(Table4[[#This Row],[Adjusted Correct]]="YES",(Table4[[#This Row],[Strength of Win]]-1)^2,(Table4[[#This Row],[Strength of Win]]-0)^2))</f>
        <v>0.2941412058845439</v>
      </c>
      <c r="O191">
        <v>0.65347118999126108</v>
      </c>
      <c r="P191" s="11"/>
      <c r="Q191" t="s">
        <v>27</v>
      </c>
      <c r="R191" t="s">
        <v>249</v>
      </c>
    </row>
    <row r="192" spans="4:18" x14ac:dyDescent="0.2">
      <c r="D192" s="1">
        <v>45962</v>
      </c>
      <c r="E192" s="2">
        <v>0.91666666666666663</v>
      </c>
      <c r="F192" t="s">
        <v>32</v>
      </c>
      <c r="G192">
        <f>VLOOKUP(Table4[[#This Row],[Home]],'NHL Model'!$A$6:$B$38,2,FALSE)</f>
        <v>-0.48236715437805205</v>
      </c>
      <c r="H192" t="s">
        <v>15</v>
      </c>
      <c r="I192">
        <f>VLOOKUP(Table4[[#This Row],[Visitor]],'NHL Model'!$A$6:$B$38,2,FALSE)</f>
        <v>-0.73651915476403329</v>
      </c>
      <c r="J192">
        <f>($B$1+Table4[[#This Row],[Home Differential]])-Table4[[#This Row],[Away Differential]]</f>
        <v>0.38375898619750537</v>
      </c>
      <c r="K192" t="str">
        <f>IF(Table4[[#This Row],[HomeIce Differential]]&gt;0,Table4[[#This Row],[Home]],Table4[[#This Row],[Visitor]])</f>
        <v>Seattle Kraken</v>
      </c>
      <c r="L1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0.54717779424862467</v>
      </c>
      <c r="M192" t="str">
        <f>IF(OR((NHL2025_26Results[[#This Row],[Winning Team]]="")),"-",IF(Table4[[#This Row],[Predicted Winner]]=NHL2025_26Results[[#This Row],[Winning Team]],"YES","NO"))</f>
        <v>NO</v>
      </c>
      <c r="N192">
        <f>IF(Table4[[#This Row],[Adjusted Correct]]="-", "",IF(Table4[[#This Row],[Adjusted Correct]]="YES",(Table4[[#This Row],[Strength of Win]]-1)^2,(Table4[[#This Row],[Strength of Win]]-0)^2))</f>
        <v>0.29940353851879026</v>
      </c>
      <c r="O192">
        <v>0.42226421291452432</v>
      </c>
      <c r="P192" s="11"/>
      <c r="Q192" t="s">
        <v>32</v>
      </c>
      <c r="R192" t="s">
        <v>249</v>
      </c>
    </row>
    <row r="193" spans="4:18" x14ac:dyDescent="0.2">
      <c r="D193" s="1">
        <v>45962</v>
      </c>
      <c r="E193" s="2">
        <v>0.66666666666666663</v>
      </c>
      <c r="F193" t="s">
        <v>33</v>
      </c>
      <c r="G193">
        <f>VLOOKUP(Table4[[#This Row],[Home]],'NHL Model'!$A$6:$B$38,2,FALSE)</f>
        <v>-0.65236582493376272</v>
      </c>
      <c r="H193" t="s">
        <v>12</v>
      </c>
      <c r="I193">
        <f>VLOOKUP(Table4[[#This Row],[Visitor]],'NHL Model'!$A$6:$B$38,2,FALSE)</f>
        <v>0.99866683349964291</v>
      </c>
      <c r="J193">
        <f>($B$1+Table4[[#This Row],[Home Differential]])-Table4[[#This Row],[Away Differential]]</f>
        <v>-1.5214256726218816</v>
      </c>
      <c r="K193" t="str">
        <f>IF(Table4[[#This Row],[HomeIce Differential]]&gt;0,Table4[[#This Row],[Home]],Table4[[#This Row],[Visitor]])</f>
        <v>Colorado Avalanche</v>
      </c>
      <c r="L1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0.70011202619612156</v>
      </c>
      <c r="M193" t="str">
        <f>IF(OR((NHL2025_26Results[[#This Row],[Winning Team]]="")),"-",IF(Table4[[#This Row],[Predicted Winner]]=NHL2025_26Results[[#This Row],[Winning Team]],"YES","NO"))</f>
        <v>NO</v>
      </c>
      <c r="N193">
        <f>IF(Table4[[#This Row],[Adjusted Correct]]="-", "",IF(Table4[[#This Row],[Adjusted Correct]]="YES",(Table4[[#This Row],[Strength of Win]]-1)^2,(Table4[[#This Row],[Strength of Win]]-0)^2))</f>
        <v>0.49015684922443881</v>
      </c>
      <c r="O193">
        <v>-1.5082021501892711</v>
      </c>
      <c r="P193" s="11"/>
      <c r="Q193" t="s">
        <v>12</v>
      </c>
      <c r="R193" t="s">
        <v>249</v>
      </c>
    </row>
    <row r="194" spans="4:18" x14ac:dyDescent="0.2">
      <c r="D194" s="1">
        <v>45962</v>
      </c>
      <c r="E194" s="2">
        <v>0.625</v>
      </c>
      <c r="F194" t="s">
        <v>40</v>
      </c>
      <c r="G194">
        <f>VLOOKUP(Table4[[#This Row],[Home]],'NHL Model'!$A$6:$B$38,2,FALSE)</f>
        <v>-0.58845147248022256</v>
      </c>
      <c r="H194" t="s">
        <v>14</v>
      </c>
      <c r="I194">
        <f>VLOOKUP(Table4[[#This Row],[Visitor]],'NHL Model'!$A$6:$B$38,2,FALSE)</f>
        <v>3.6349513460996066E-5</v>
      </c>
      <c r="J194">
        <f>($B$1+Table4[[#This Row],[Home Differential]])-Table4[[#This Row],[Away Differential]]</f>
        <v>-0.45888083618215947</v>
      </c>
      <c r="K194" t="str">
        <f>IF(Table4[[#This Row],[HomeIce Differential]]&gt;0,Table4[[#This Row],[Home]],Table4[[#This Row],[Visitor]])</f>
        <v>Pittsburgh Penguins</v>
      </c>
      <c r="L1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0.56566832069733208</v>
      </c>
      <c r="M194" t="str">
        <f>IF(OR((NHL2025_26Results[[#This Row],[Winning Team]]="")),"-",IF(Table4[[#This Row],[Predicted Winner]]=NHL2025_26Results[[#This Row],[Winning Team]],"YES","NO"))</f>
        <v>NO</v>
      </c>
      <c r="N194">
        <f>IF(Table4[[#This Row],[Adjusted Correct]]="-", "",IF(Table4[[#This Row],[Adjusted Correct]]="YES",(Table4[[#This Row],[Strength of Win]]-1)^2,(Table4[[#This Row],[Strength of Win]]-0)^2))</f>
        <v>0.31998064904053974</v>
      </c>
      <c r="O194">
        <v>0.52399175013210497</v>
      </c>
      <c r="P194" s="11"/>
      <c r="Q194" t="s">
        <v>40</v>
      </c>
      <c r="R194" t="s">
        <v>248</v>
      </c>
    </row>
    <row r="195" spans="4:18" x14ac:dyDescent="0.2">
      <c r="D195" s="1">
        <v>45963</v>
      </c>
      <c r="E195" s="2">
        <v>0.83333333333333337</v>
      </c>
      <c r="F195" t="s">
        <v>31</v>
      </c>
      <c r="G195">
        <f>VLOOKUP(Table4[[#This Row],[Home]],'NHL Model'!$A$6:$B$38,2,FALSE)</f>
        <v>-0.46360583111358089</v>
      </c>
      <c r="H195" t="s">
        <v>24</v>
      </c>
      <c r="I195">
        <f>VLOOKUP(Table4[[#This Row],[Visitor]],'NHL Model'!$A$6:$B$38,2,FALSE)</f>
        <v>-0.74510803532792402</v>
      </c>
      <c r="J195">
        <f>($B$1+Table4[[#This Row],[Home Differential]])-Table4[[#This Row],[Away Differential]]</f>
        <v>0.41110919002586721</v>
      </c>
      <c r="K195" t="str">
        <f>IF(Table4[[#This Row],[HomeIce Differential]]&gt;0,Table4[[#This Row],[Home]],Table4[[#This Row],[Visitor]])</f>
        <v>Anaheim Ducks</v>
      </c>
      <c r="L1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0.61759361180390637</v>
      </c>
      <c r="M195" t="str">
        <f>IF(OR((NHL2025_26Results[[#This Row],[Winning Team]]="")),"-",IF(Table4[[#This Row],[Predicted Winner]]=NHL2025_26Results[[#This Row],[Winning Team]],"YES","NO"))</f>
        <v>YES</v>
      </c>
      <c r="N195">
        <f>IF(Table4[[#This Row],[Adjusted Correct]]="-", "",IF(Table4[[#This Row],[Adjusted Correct]]="YES",(Table4[[#This Row],[Strength of Win]]-1)^2,(Table4[[#This Row],[Strength of Win]]-0)^2))</f>
        <v>0.14623464573318146</v>
      </c>
      <c r="O195">
        <v>0.41790689936345415</v>
      </c>
      <c r="P195" s="11"/>
      <c r="Q195" t="s">
        <v>31</v>
      </c>
      <c r="R195" t="s">
        <v>248</v>
      </c>
    </row>
    <row r="196" spans="4:18" x14ac:dyDescent="0.2">
      <c r="D196" s="1">
        <v>45963</v>
      </c>
      <c r="E196" s="2">
        <v>0.70833333333333337</v>
      </c>
      <c r="F196" t="s">
        <v>30</v>
      </c>
      <c r="G196">
        <f>VLOOKUP(Table4[[#This Row],[Home]],'NHL Model'!$A$6:$B$38,2,FALSE)</f>
        <v>-0.18630462558229716</v>
      </c>
      <c r="H196" t="s">
        <v>28</v>
      </c>
      <c r="I196">
        <f>VLOOKUP(Table4[[#This Row],[Visitor]],'NHL Model'!$A$6:$B$38,2,FALSE)</f>
        <v>-0.28156479873410767</v>
      </c>
      <c r="J196">
        <f>($B$1+Table4[[#This Row],[Home Differential]])-Table4[[#This Row],[Away Differential]]</f>
        <v>0.22486715896333462</v>
      </c>
      <c r="K196" t="str">
        <f>IF(Table4[[#This Row],[HomeIce Differential]]&gt;0,Table4[[#This Row],[Home]],Table4[[#This Row],[Visitor]])</f>
        <v>New York Islanders</v>
      </c>
      <c r="L1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0.56730727742610587</v>
      </c>
      <c r="M196" t="str">
        <f>IF(OR((NHL2025_26Results[[#This Row],[Winning Team]]="")),"-",IF(Table4[[#This Row],[Predicted Winner]]=NHL2025_26Results[[#This Row],[Winning Team]],"YES","NO"))</f>
        <v>YES</v>
      </c>
      <c r="N196">
        <f>IF(Table4[[#This Row],[Adjusted Correct]]="-", "",IF(Table4[[#This Row],[Adjusted Correct]]="YES",(Table4[[#This Row],[Strength of Win]]-1)^2,(Table4[[#This Row],[Strength of Win]]-0)^2))</f>
        <v>0.1872229921684089</v>
      </c>
      <c r="O196">
        <v>1.9007085254070299E-2</v>
      </c>
      <c r="P196" s="11"/>
      <c r="Q196" t="s">
        <v>30</v>
      </c>
      <c r="R196" t="s">
        <v>248</v>
      </c>
    </row>
    <row r="197" spans="4:18" x14ac:dyDescent="0.2">
      <c r="D197" s="1">
        <v>45963</v>
      </c>
      <c r="E197" s="2">
        <v>0.79166666666666663</v>
      </c>
      <c r="F197" t="s">
        <v>27</v>
      </c>
      <c r="G197">
        <f>VLOOKUP(Table4[[#This Row],[Home]],'NHL Model'!$A$6:$B$38,2,FALSE)</f>
        <v>-0.55097933929175691</v>
      </c>
      <c r="H197" t="s">
        <v>16</v>
      </c>
      <c r="I197">
        <f>VLOOKUP(Table4[[#This Row],[Visitor]],'NHL Model'!$A$6:$B$38,2,FALSE)</f>
        <v>-0.89031221864884547</v>
      </c>
      <c r="J197">
        <f>($B$1+Table4[[#This Row],[Home Differential]])-Table4[[#This Row],[Away Differential]]</f>
        <v>0.46893986516861264</v>
      </c>
      <c r="K197" t="str">
        <f>IF(Table4[[#This Row],[HomeIce Differential]]&gt;0,Table4[[#This Row],[Home]],Table4[[#This Row],[Visitor]])</f>
        <v>Philadelphia Flyers</v>
      </c>
      <c r="L1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0.59265907047164512</v>
      </c>
      <c r="M197" t="str">
        <f>IF(OR((NHL2025_26Results[[#This Row],[Winning Team]]="")),"-",IF(Table4[[#This Row],[Predicted Winner]]=NHL2025_26Results[[#This Row],[Winning Team]],"YES","NO"))</f>
        <v>NO</v>
      </c>
      <c r="N197">
        <f>IF(Table4[[#This Row],[Adjusted Correct]]="-", "",IF(Table4[[#This Row],[Adjusted Correct]]="YES",(Table4[[#This Row],[Strength of Win]]-1)^2,(Table4[[#This Row],[Strength of Win]]-0)^2))</f>
        <v>0.35124477381231439</v>
      </c>
      <c r="O197">
        <v>1.3434163037968592</v>
      </c>
      <c r="P197" s="11"/>
      <c r="Q197" t="s">
        <v>27</v>
      </c>
      <c r="R197" t="s">
        <v>249</v>
      </c>
    </row>
    <row r="198" spans="4:18" x14ac:dyDescent="0.2">
      <c r="D198" s="1">
        <v>45963</v>
      </c>
      <c r="E198" s="2">
        <v>0.83333333333333337</v>
      </c>
      <c r="F198" t="s">
        <v>33</v>
      </c>
      <c r="G198">
        <f>VLOOKUP(Table4[[#This Row],[Home]],'NHL Model'!$A$6:$B$38,2,FALSE)</f>
        <v>-0.65236582493376272</v>
      </c>
      <c r="H198" t="s">
        <v>26</v>
      </c>
      <c r="I198">
        <f>VLOOKUP(Table4[[#This Row],[Visitor]],'NHL Model'!$A$6:$B$38,2,FALSE)</f>
        <v>-0.33113778518110382</v>
      </c>
      <c r="J198">
        <f>($B$1+Table4[[#This Row],[Home Differential]])-Table4[[#This Row],[Away Differential]]</f>
        <v>-0.19162105394113482</v>
      </c>
      <c r="K198" t="str">
        <f>IF(Table4[[#This Row],[HomeIce Differential]]&gt;0,Table4[[#This Row],[Home]],Table4[[#This Row],[Visitor]])</f>
        <v>Detroit Red Wings</v>
      </c>
      <c r="L1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0.51952583711845102</v>
      </c>
      <c r="M198" t="str">
        <f>IF(OR((NHL2025_26Results[[#This Row],[Winning Team]]="")),"-",IF(Table4[[#This Row],[Predicted Winner]]=NHL2025_26Results[[#This Row],[Winning Team]],"YES","NO"))</f>
        <v>YES</v>
      </c>
      <c r="N198">
        <f>IF(Table4[[#This Row],[Adjusted Correct]]="-", "",IF(Table4[[#This Row],[Adjusted Correct]]="YES",(Table4[[#This Row],[Strength of Win]]-1)^2,(Table4[[#This Row],[Strength of Win]]-0)^2))</f>
        <v>0.23085542119672525</v>
      </c>
      <c r="O198">
        <v>-0.25411072638940857</v>
      </c>
      <c r="P198" s="11"/>
      <c r="Q198" t="s">
        <v>26</v>
      </c>
      <c r="R198" t="s">
        <v>248</v>
      </c>
    </row>
    <row r="199" spans="4:18" x14ac:dyDescent="0.2">
      <c r="D199" s="1">
        <v>45963</v>
      </c>
      <c r="E199" s="2">
        <v>0.64583333333333337</v>
      </c>
      <c r="F199" t="s">
        <v>55</v>
      </c>
      <c r="G199">
        <f>VLOOKUP(Table4[[#This Row],[Home]],'NHL Model'!$A$6:$B$38,2,FALSE)</f>
        <v>8.4094725828611647E-2</v>
      </c>
      <c r="H199" t="s">
        <v>37</v>
      </c>
      <c r="I199">
        <f>VLOOKUP(Table4[[#This Row],[Visitor]],'NHL Model'!$A$6:$B$38,2,FALSE)</f>
        <v>0.72108184732572844</v>
      </c>
      <c r="J199">
        <f>($B$1+Table4[[#This Row],[Home Differential]])-Table4[[#This Row],[Away Differential]]</f>
        <v>-0.5073801356855927</v>
      </c>
      <c r="K199" t="str">
        <f>IF(Table4[[#This Row],[HomeIce Differential]]&gt;0,Table4[[#This Row],[Home]],Table4[[#This Row],[Visitor]])</f>
        <v>Tampa Bay Lightning</v>
      </c>
      <c r="L1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0.58475345484326613</v>
      </c>
      <c r="M199" t="str">
        <f>IF(OR((NHL2025_26Results[[#This Row],[Winning Team]]="")),"-",IF(Table4[[#This Row],[Predicted Winner]]=NHL2025_26Results[[#This Row],[Winning Team]],"YES","NO"))</f>
        <v>YES</v>
      </c>
      <c r="N199">
        <f>IF(Table4[[#This Row],[Adjusted Correct]]="-", "",IF(Table4[[#This Row],[Adjusted Correct]]="YES",(Table4[[#This Row],[Strength of Win]]-1)^2,(Table4[[#This Row],[Strength of Win]]-0)^2))</f>
        <v>0.17242969326460342</v>
      </c>
      <c r="O199">
        <v>0.52491065385840874</v>
      </c>
      <c r="P199" s="11"/>
      <c r="Q199" t="s">
        <v>55</v>
      </c>
      <c r="R199" t="s">
        <v>249</v>
      </c>
    </row>
    <row r="200" spans="4:18" x14ac:dyDescent="0.2">
      <c r="D200" s="1">
        <v>45964</v>
      </c>
      <c r="E200" s="2">
        <v>0.85416666666666663</v>
      </c>
      <c r="F200" t="s">
        <v>29</v>
      </c>
      <c r="G200">
        <f>VLOOKUP(Table4[[#This Row],[Home]],'NHL Model'!$A$6:$B$38,2,FALSE)</f>
        <v>-0.82056481120798741</v>
      </c>
      <c r="H200" t="s">
        <v>38</v>
      </c>
      <c r="I200">
        <f>VLOOKUP(Table4[[#This Row],[Visitor]],'NHL Model'!$A$6:$B$38,2,FALSE)</f>
        <v>-1.3920033028857945</v>
      </c>
      <c r="J200">
        <f>($B$1+Table4[[#This Row],[Home Differential]])-Table4[[#This Row],[Away Differential]]</f>
        <v>0.70104547748933121</v>
      </c>
      <c r="K200" t="str">
        <f>IF(Table4[[#This Row],[HomeIce Differential]]&gt;0,Table4[[#This Row],[Home]],Table4[[#This Row],[Visitor]])</f>
        <v>Nashville Predators</v>
      </c>
      <c r="L2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0.61872310704415179</v>
      </c>
      <c r="M200" t="str">
        <f>IF(OR((NHL2025_26Results[[#This Row],[Winning Team]]="")),"-",IF(Table4[[#This Row],[Predicted Winner]]=NHL2025_26Results[[#This Row],[Winning Team]],"YES","NO"))</f>
        <v>NO</v>
      </c>
      <c r="N200">
        <f>IF(Table4[[#This Row],[Adjusted Correct]]="-", "",IF(Table4[[#This Row],[Adjusted Correct]]="YES",(Table4[[#This Row],[Strength of Win]]-1)^2,(Table4[[#This Row],[Strength of Win]]-0)^2))</f>
        <v>0.38281828319036892</v>
      </c>
      <c r="O200">
        <v>0.14002329669329616</v>
      </c>
      <c r="P200" s="11"/>
      <c r="Q200" t="s">
        <v>29</v>
      </c>
      <c r="R200" t="s">
        <v>249</v>
      </c>
    </row>
    <row r="201" spans="4:18" x14ac:dyDescent="0.2">
      <c r="D201" s="1">
        <v>45964</v>
      </c>
      <c r="E201" s="2">
        <v>0.91666666666666663</v>
      </c>
      <c r="F201" t="s">
        <v>32</v>
      </c>
      <c r="G201">
        <f>VLOOKUP(Table4[[#This Row],[Home]],'NHL Model'!$A$6:$B$38,2,FALSE)</f>
        <v>-0.48236715437805205</v>
      </c>
      <c r="H201" t="s">
        <v>10</v>
      </c>
      <c r="I201">
        <f>VLOOKUP(Table4[[#This Row],[Visitor]],'NHL Model'!$A$6:$B$38,2,FALSE)</f>
        <v>-0.92658078135875344</v>
      </c>
      <c r="J201">
        <f>($B$1+Table4[[#This Row],[Home Differential]])-Table4[[#This Row],[Away Differential]]</f>
        <v>0.57382061279222552</v>
      </c>
      <c r="K201" t="str">
        <f>IF(Table4[[#This Row],[HomeIce Differential]]&gt;0,Table4[[#This Row],[Home]],Table4[[#This Row],[Visitor]])</f>
        <v>Seattle Kraken</v>
      </c>
      <c r="L2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0.60443653511147655</v>
      </c>
      <c r="M201" t="str">
        <f>IF(OR((NHL2025_26Results[[#This Row],[Winning Team]]="")),"-",IF(Table4[[#This Row],[Predicted Winner]]=NHL2025_26Results[[#This Row],[Winning Team]],"YES","NO"))</f>
        <v>YES</v>
      </c>
      <c r="N201">
        <f>IF(Table4[[#This Row],[Adjusted Correct]]="-", "",IF(Table4[[#This Row],[Adjusted Correct]]="YES",(Table4[[#This Row],[Strength of Win]]-1)^2,(Table4[[#This Row],[Strength of Win]]-0)^2))</f>
        <v>0.15647045475461413</v>
      </c>
      <c r="O201">
        <v>0.35360397180144315</v>
      </c>
      <c r="P201" s="11"/>
      <c r="Q201" t="s">
        <v>32</v>
      </c>
      <c r="R201" t="s">
        <v>248</v>
      </c>
    </row>
    <row r="202" spans="4:18" x14ac:dyDescent="0.2">
      <c r="D202" s="1">
        <v>45964</v>
      </c>
      <c r="E202" s="2">
        <v>0.85416666666666663</v>
      </c>
      <c r="F202" t="s">
        <v>35</v>
      </c>
      <c r="G202">
        <f>VLOOKUP(Table4[[#This Row],[Home]],'NHL Model'!$A$6:$B$38,2,FALSE)</f>
        <v>-1.3128572733047907</v>
      </c>
      <c r="H202" t="s">
        <v>17</v>
      </c>
      <c r="I202">
        <f>VLOOKUP(Table4[[#This Row],[Visitor]],'NHL Model'!$A$6:$B$38,2,FALSE)</f>
        <v>-0.36462594951491906</v>
      </c>
      <c r="J202">
        <f>($B$1+Table4[[#This Row],[Home Differential]])-Table4[[#This Row],[Away Differential]]</f>
        <v>-0.81862433797834755</v>
      </c>
      <c r="K202" t="str">
        <f>IF(Table4[[#This Row],[HomeIce Differential]]&gt;0,Table4[[#This Row],[Home]],Table4[[#This Row],[Visitor]])</f>
        <v>Edmonton Oilers</v>
      </c>
      <c r="L2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0.55192649187098997</v>
      </c>
      <c r="M202" t="str">
        <f>IF(OR((NHL2025_26Results[[#This Row],[Winning Team]]="")),"-",IF(Table4[[#This Row],[Predicted Winner]]=NHL2025_26Results[[#This Row],[Winning Team]],"YES","NO"))</f>
        <v>NO</v>
      </c>
      <c r="N202">
        <f>IF(Table4[[#This Row],[Adjusted Correct]]="-", "",IF(Table4[[#This Row],[Adjusted Correct]]="YES",(Table4[[#This Row],[Strength of Win]]-1)^2,(Table4[[#This Row],[Strength of Win]]-0)^2))</f>
        <v>0.30462285242901793</v>
      </c>
      <c r="O202">
        <v>-0.91134649061052797</v>
      </c>
      <c r="P202" s="11"/>
      <c r="Q202" t="s">
        <v>17</v>
      </c>
      <c r="R202" t="s">
        <v>249</v>
      </c>
    </row>
    <row r="203" spans="4:18" x14ac:dyDescent="0.2">
      <c r="D203" s="1">
        <v>45964</v>
      </c>
      <c r="E203" s="2">
        <v>0.8125</v>
      </c>
      <c r="F203" t="s">
        <v>19</v>
      </c>
      <c r="G203">
        <f>VLOOKUP(Table4[[#This Row],[Home]],'NHL Model'!$A$6:$B$38,2,FALSE)</f>
        <v>-0.44228056828684137</v>
      </c>
      <c r="H203" t="s">
        <v>14</v>
      </c>
      <c r="I203">
        <f>VLOOKUP(Table4[[#This Row],[Visitor]],'NHL Model'!$A$6:$B$38,2,FALSE)</f>
        <v>3.6349513460996066E-5</v>
      </c>
      <c r="J203">
        <f>($B$1+Table4[[#This Row],[Home Differential]])-Table4[[#This Row],[Away Differential]]</f>
        <v>-0.31270993198877828</v>
      </c>
      <c r="K203" t="str">
        <f>IF(Table4[[#This Row],[HomeIce Differential]]&gt;0,Table4[[#This Row],[Home]],Table4[[#This Row],[Visitor]])</f>
        <v>Pittsburgh Penguins</v>
      </c>
      <c r="L2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0.54925422474058139</v>
      </c>
      <c r="M203" t="str">
        <f>IF(OR((NHL2025_26Results[[#This Row],[Winning Team]]="")),"-",IF(Table4[[#This Row],[Predicted Winner]]=NHL2025_26Results[[#This Row],[Winning Team]],"YES","NO"))</f>
        <v>NO</v>
      </c>
      <c r="N203">
        <f>IF(Table4[[#This Row],[Adjusted Correct]]="-", "",IF(Table4[[#This Row],[Adjusted Correct]]="YES",(Table4[[#This Row],[Strength of Win]]-1)^2,(Table4[[#This Row],[Strength of Win]]-0)^2))</f>
        <v>0.3016802033953771</v>
      </c>
      <c r="O203">
        <v>-0.38811894988392659</v>
      </c>
      <c r="P203" s="11"/>
      <c r="Q203" t="s">
        <v>14</v>
      </c>
      <c r="R203" t="s">
        <v>249</v>
      </c>
    </row>
    <row r="204" spans="4:18" x14ac:dyDescent="0.2">
      <c r="D204" s="1">
        <v>45965</v>
      </c>
      <c r="E204" s="2">
        <v>0.91666666666666663</v>
      </c>
      <c r="F204" t="s">
        <v>31</v>
      </c>
      <c r="G204">
        <f>VLOOKUP(Table4[[#This Row],[Home]],'NHL Model'!$A$6:$B$38,2,FALSE)</f>
        <v>-0.46360583111358089</v>
      </c>
      <c r="H204" t="s">
        <v>11</v>
      </c>
      <c r="I204">
        <f>VLOOKUP(Table4[[#This Row],[Visitor]],'NHL Model'!$A$6:$B$38,2,FALSE)</f>
        <v>-0.55695213126481558</v>
      </c>
      <c r="J204">
        <f>($B$1+Table4[[#This Row],[Home Differential]])-Table4[[#This Row],[Away Differential]]</f>
        <v>0.22295328596275876</v>
      </c>
      <c r="K204" t="str">
        <f>IF(Table4[[#This Row],[HomeIce Differential]]&gt;0,Table4[[#This Row],[Home]],Table4[[#This Row],[Visitor]])</f>
        <v>Anaheim Ducks</v>
      </c>
      <c r="L2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0.57822777582281659</v>
      </c>
      <c r="M204" t="str">
        <f>IF(OR((NHL2025_26Results[[#This Row],[Winning Team]]="")),"-",IF(Table4[[#This Row],[Predicted Winner]]=NHL2025_26Results[[#This Row],[Winning Team]],"YES","NO"))</f>
        <v>YES</v>
      </c>
      <c r="N204">
        <f>IF(Table4[[#This Row],[Adjusted Correct]]="-", "",IF(Table4[[#This Row],[Adjusted Correct]]="YES",(Table4[[#This Row],[Strength of Win]]-1)^2,(Table4[[#This Row],[Strength of Win]]-0)^2))</f>
        <v>0.17789180908736826</v>
      </c>
      <c r="O204">
        <v>1.6492715237405093</v>
      </c>
      <c r="P204" s="11"/>
      <c r="Q204" t="s">
        <v>31</v>
      </c>
      <c r="R204" t="s">
        <v>248</v>
      </c>
    </row>
    <row r="205" spans="4:18" x14ac:dyDescent="0.2">
      <c r="D205" s="1">
        <v>45965</v>
      </c>
      <c r="E205" s="2">
        <v>0.79166666666666663</v>
      </c>
      <c r="F205" t="s">
        <v>23</v>
      </c>
      <c r="G205">
        <f>VLOOKUP(Table4[[#This Row],[Home]],'NHL Model'!$A$6:$B$38,2,FALSE)</f>
        <v>8.1543966060426461E-3</v>
      </c>
      <c r="H205" t="s">
        <v>55</v>
      </c>
      <c r="I205">
        <f>VLOOKUP(Table4[[#This Row],[Visitor]],'NHL Model'!$A$6:$B$38,2,FALSE)</f>
        <v>8.4094725828611647E-2</v>
      </c>
      <c r="J205">
        <f>($B$1+Table4[[#This Row],[Home Differential]])-Table4[[#This Row],[Away Differential]]</f>
        <v>5.36666565889551E-2</v>
      </c>
      <c r="K205" t="str">
        <f>IF(Table4[[#This Row],[HomeIce Differential]]&gt;0,Table4[[#This Row],[Home]],Table4[[#This Row],[Visitor]])</f>
        <v>Buffalo Sabres</v>
      </c>
      <c r="L2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0.57496887276632314</v>
      </c>
      <c r="M205" t="str">
        <f>IF(OR((NHL2025_26Results[[#This Row],[Winning Team]]="")),"-",IF(Table4[[#This Row],[Predicted Winner]]=NHL2025_26Results[[#This Row],[Winning Team]],"YES","NO"))</f>
        <v>NO</v>
      </c>
      <c r="N205">
        <f>IF(Table4[[#This Row],[Adjusted Correct]]="-", "",IF(Table4[[#This Row],[Adjusted Correct]]="YES",(Table4[[#This Row],[Strength of Win]]-1)^2,(Table4[[#This Row],[Strength of Win]]-0)^2))</f>
        <v>0.33058920465017627</v>
      </c>
      <c r="O205">
        <v>-0.49386432627608945</v>
      </c>
      <c r="P205" s="11"/>
      <c r="Q205" t="s">
        <v>55</v>
      </c>
      <c r="R205" t="s">
        <v>248</v>
      </c>
    </row>
    <row r="206" spans="4:18" x14ac:dyDescent="0.2">
      <c r="D206" s="1">
        <v>45965</v>
      </c>
      <c r="E206" s="2">
        <v>0.89583333333333337</v>
      </c>
      <c r="F206" t="s">
        <v>12</v>
      </c>
      <c r="G206">
        <f>VLOOKUP(Table4[[#This Row],[Home]],'NHL Model'!$A$6:$B$38,2,FALSE)</f>
        <v>0.99866683349964291</v>
      </c>
      <c r="H206" t="s">
        <v>37</v>
      </c>
      <c r="I206">
        <f>VLOOKUP(Table4[[#This Row],[Visitor]],'NHL Model'!$A$6:$B$38,2,FALSE)</f>
        <v>0.72108184732572844</v>
      </c>
      <c r="J206">
        <f>($B$1+Table4[[#This Row],[Home Differential]])-Table4[[#This Row],[Away Differential]]</f>
        <v>0.40719197198543855</v>
      </c>
      <c r="K206" t="str">
        <f>IF(Table4[[#This Row],[HomeIce Differential]]&gt;0,Table4[[#This Row],[Home]],Table4[[#This Row],[Visitor]])</f>
        <v>Colorado Avalanche</v>
      </c>
      <c r="L2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0.57072516081685554</v>
      </c>
      <c r="M206" t="str">
        <f>IF(OR((NHL2025_26Results[[#This Row],[Winning Team]]="")),"-",IF(Table4[[#This Row],[Predicted Winner]]=NHL2025_26Results[[#This Row],[Winning Team]],"YES","NO"))</f>
        <v>YES</v>
      </c>
      <c r="N206">
        <f>IF(Table4[[#This Row],[Adjusted Correct]]="-", "",IF(Table4[[#This Row],[Adjusted Correct]]="YES",(Table4[[#This Row],[Strength of Win]]-1)^2,(Table4[[#This Row],[Strength of Win]]-0)^2))</f>
        <v>0.18427688755571453</v>
      </c>
      <c r="O206">
        <v>1.2471185353360101</v>
      </c>
      <c r="P206" s="11"/>
      <c r="Q206" t="s">
        <v>12</v>
      </c>
      <c r="R206" t="s">
        <v>248</v>
      </c>
    </row>
    <row r="207" spans="4:18" x14ac:dyDescent="0.2">
      <c r="D207" s="1">
        <v>45965</v>
      </c>
      <c r="E207" s="2">
        <v>0.83333333333333337</v>
      </c>
      <c r="F207" t="s">
        <v>39</v>
      </c>
      <c r="G207">
        <f>VLOOKUP(Table4[[#This Row],[Home]],'NHL Model'!$A$6:$B$38,2,FALSE)</f>
        <v>0.21708030788125537</v>
      </c>
      <c r="H207" t="s">
        <v>17</v>
      </c>
      <c r="I207">
        <f>VLOOKUP(Table4[[#This Row],[Visitor]],'NHL Model'!$A$6:$B$38,2,FALSE)</f>
        <v>-0.36462594951491906</v>
      </c>
      <c r="J207">
        <f>($B$1+Table4[[#This Row],[Home Differential]])-Table4[[#This Row],[Away Differential]]</f>
        <v>0.71131324320769851</v>
      </c>
      <c r="K207" t="str">
        <f>IF(Table4[[#This Row],[HomeIce Differential]]&gt;0,Table4[[#This Row],[Home]],Table4[[#This Row],[Visitor]])</f>
        <v>Dallas Stars</v>
      </c>
      <c r="L2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0.65771431945634284</v>
      </c>
      <c r="M207" t="str">
        <f>IF(OR((NHL2025_26Results[[#This Row],[Winning Team]]="")),"-",IF(Table4[[#This Row],[Predicted Winner]]=NHL2025_26Results[[#This Row],[Winning Team]],"YES","NO"))</f>
        <v>YES</v>
      </c>
      <c r="N207">
        <f>IF(Table4[[#This Row],[Adjusted Correct]]="-", "",IF(Table4[[#This Row],[Adjusted Correct]]="YES",(Table4[[#This Row],[Strength of Win]]-1)^2,(Table4[[#This Row],[Strength of Win]]-0)^2))</f>
        <v>0.11715948710523452</v>
      </c>
      <c r="O207">
        <v>0.35417609343625189</v>
      </c>
      <c r="P207" s="11"/>
      <c r="Q207" t="s">
        <v>39</v>
      </c>
      <c r="R207" t="s">
        <v>248</v>
      </c>
    </row>
    <row r="208" spans="4:18" x14ac:dyDescent="0.2">
      <c r="D208" s="1">
        <v>45965</v>
      </c>
      <c r="E208" s="2">
        <v>0.9375</v>
      </c>
      <c r="F208" t="s">
        <v>13</v>
      </c>
      <c r="G208">
        <f>VLOOKUP(Table4[[#This Row],[Home]],'NHL Model'!$A$6:$B$38,2,FALSE)</f>
        <v>-0.59069689888466137</v>
      </c>
      <c r="H208" t="s">
        <v>40</v>
      </c>
      <c r="I208">
        <f>VLOOKUP(Table4[[#This Row],[Visitor]],'NHL Model'!$A$6:$B$38,2,FALSE)</f>
        <v>-0.58845147248022256</v>
      </c>
      <c r="J208">
        <f>($B$1+Table4[[#This Row],[Home Differential]])-Table4[[#This Row],[Away Differential]]</f>
        <v>0.12736155940708527</v>
      </c>
      <c r="K208" t="str">
        <f>IF(Table4[[#This Row],[HomeIce Differential]]&gt;0,Table4[[#This Row],[Home]],Table4[[#This Row],[Visitor]])</f>
        <v>Los Angeles Kings</v>
      </c>
      <c r="L2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0.55430192191014693</v>
      </c>
      <c r="M208" t="str">
        <f>IF(OR((NHL2025_26Results[[#This Row],[Winning Team]]="")),"-",IF(Table4[[#This Row],[Predicted Winner]]=NHL2025_26Results[[#This Row],[Winning Team]],"YES","NO"))</f>
        <v>YES</v>
      </c>
      <c r="N208">
        <f>IF(Table4[[#This Row],[Adjusted Correct]]="-", "",IF(Table4[[#This Row],[Adjusted Correct]]="YES",(Table4[[#This Row],[Strength of Win]]-1)^2,(Table4[[#This Row],[Strength of Win]]-0)^2))</f>
        <v>0.19864677681298876</v>
      </c>
      <c r="O208">
        <v>-0.40920122541096099</v>
      </c>
      <c r="P208" s="11"/>
      <c r="Q208" t="s">
        <v>40</v>
      </c>
      <c r="R208" t="s">
        <v>249</v>
      </c>
    </row>
    <row r="209" spans="4:20" x14ac:dyDescent="0.2">
      <c r="D209" s="1">
        <v>45965</v>
      </c>
      <c r="E209" s="2">
        <v>0.83333333333333337</v>
      </c>
      <c r="F209" t="s">
        <v>34</v>
      </c>
      <c r="G209">
        <f>VLOOKUP(Table4[[#This Row],[Home]],'NHL Model'!$A$6:$B$38,2,FALSE)</f>
        <v>6.0485283743665949E-2</v>
      </c>
      <c r="H209" t="s">
        <v>29</v>
      </c>
      <c r="I209">
        <f>VLOOKUP(Table4[[#This Row],[Visitor]],'NHL Model'!$A$6:$B$38,2,FALSE)</f>
        <v>-0.82056481120798741</v>
      </c>
      <c r="J209">
        <f>($B$1+Table4[[#This Row],[Home Differential]])-Table4[[#This Row],[Away Differential]]</f>
        <v>1.0106570807631774</v>
      </c>
      <c r="K209" t="str">
        <f>IF(Table4[[#This Row],[HomeIce Differential]]&gt;0,Table4[[#This Row],[Home]],Table4[[#This Row],[Visitor]])</f>
        <v>Minnesota Wild</v>
      </c>
      <c r="L2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0.66543864294192989</v>
      </c>
      <c r="M209" t="str">
        <f>IF(OR((NHL2025_26Results[[#This Row],[Winning Team]]="")),"-",IF(Table4[[#This Row],[Predicted Winner]]=NHL2025_26Results[[#This Row],[Winning Team]],"YES","NO"))</f>
        <v>YES</v>
      </c>
      <c r="N209">
        <f>IF(Table4[[#This Row],[Adjusted Correct]]="-", "",IF(Table4[[#This Row],[Adjusted Correct]]="YES",(Table4[[#This Row],[Strength of Win]]-1)^2,(Table4[[#This Row],[Strength of Win]]-0)^2))</f>
        <v>0.11193130163653747</v>
      </c>
      <c r="O209">
        <v>0.29440526942957113</v>
      </c>
      <c r="P209" s="11"/>
      <c r="Q209" t="s">
        <v>34</v>
      </c>
      <c r="R209" t="s">
        <v>248</v>
      </c>
    </row>
    <row r="210" spans="4:20" x14ac:dyDescent="0.2">
      <c r="D210" s="1">
        <v>45965</v>
      </c>
      <c r="E210" s="2">
        <v>0.79166666666666663</v>
      </c>
      <c r="F210" t="s">
        <v>18</v>
      </c>
      <c r="G210">
        <f>VLOOKUP(Table4[[#This Row],[Home]],'NHL Model'!$A$6:$B$38,2,FALSE)</f>
        <v>-8.6274676766085606E-2</v>
      </c>
      <c r="H210" t="s">
        <v>27</v>
      </c>
      <c r="I210">
        <f>VLOOKUP(Table4[[#This Row],[Visitor]],'NHL Model'!$A$6:$B$38,2,FALSE)</f>
        <v>-0.55097933929175691</v>
      </c>
      <c r="J210">
        <f>($B$1+Table4[[#This Row],[Home Differential]])-Table4[[#This Row],[Away Differential]]</f>
        <v>0.59431164833719541</v>
      </c>
      <c r="K210" t="str">
        <f>IF(Table4[[#This Row],[HomeIce Differential]]&gt;0,Table4[[#This Row],[Home]],Table4[[#This Row],[Visitor]])</f>
        <v>Montreal Canadiens</v>
      </c>
      <c r="L2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0.62075417321372728</v>
      </c>
      <c r="M210" t="str">
        <f>IF(OR((NHL2025_26Results[[#This Row],[Winning Team]]="")),"-",IF(Table4[[#This Row],[Predicted Winner]]=NHL2025_26Results[[#This Row],[Winning Team]],"YES","NO"))</f>
        <v>NO</v>
      </c>
      <c r="N210">
        <f>IF(Table4[[#This Row],[Adjusted Correct]]="-", "",IF(Table4[[#This Row],[Adjusted Correct]]="YES",(Table4[[#This Row],[Strength of Win]]-1)^2,(Table4[[#This Row],[Strength of Win]]-0)^2))</f>
        <v>0.38533574356225814</v>
      </c>
      <c r="O210">
        <v>0.53713197650222244</v>
      </c>
      <c r="P210" s="11"/>
      <c r="Q210" t="s">
        <v>18</v>
      </c>
      <c r="R210" t="s">
        <v>249</v>
      </c>
    </row>
    <row r="211" spans="4:20" x14ac:dyDescent="0.2">
      <c r="D211" s="1">
        <v>45965</v>
      </c>
      <c r="E211" s="2">
        <v>0.79166666666666663</v>
      </c>
      <c r="F211" t="s">
        <v>30</v>
      </c>
      <c r="G211">
        <f>VLOOKUP(Table4[[#This Row],[Home]],'NHL Model'!$A$6:$B$38,2,FALSE)</f>
        <v>-0.18630462558229716</v>
      </c>
      <c r="H211" t="s">
        <v>21</v>
      </c>
      <c r="I211">
        <f>VLOOKUP(Table4[[#This Row],[Visitor]],'NHL Model'!$A$6:$B$38,2,FALSE)</f>
        <v>-0.10253061303059285</v>
      </c>
      <c r="J211">
        <f>($B$1+Table4[[#This Row],[Home Differential]])-Table4[[#This Row],[Away Differential]]</f>
        <v>4.5832973259819804E-2</v>
      </c>
      <c r="K211" t="str">
        <f>IF(Table4[[#This Row],[HomeIce Differential]]&gt;0,Table4[[#This Row],[Home]],Table4[[#This Row],[Visitor]])</f>
        <v>New York Islanders</v>
      </c>
      <c r="L2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0.55916338226506468</v>
      </c>
      <c r="M211" t="str">
        <f>IF(OR((NHL2025_26Results[[#This Row],[Winning Team]]="")),"-",IF(Table4[[#This Row],[Predicted Winner]]=NHL2025_26Results[[#This Row],[Winning Team]],"YES","NO"))</f>
        <v>NO</v>
      </c>
      <c r="N211">
        <f>IF(Table4[[#This Row],[Adjusted Correct]]="-", "",IF(Table4[[#This Row],[Adjusted Correct]]="YES",(Table4[[#This Row],[Strength of Win]]-1)^2,(Table4[[#This Row],[Strength of Win]]-0)^2))</f>
        <v>0.31266368806610684</v>
      </c>
      <c r="O211">
        <v>-1.9511330716513675E-2</v>
      </c>
      <c r="P211" s="11"/>
      <c r="Q211" t="s">
        <v>21</v>
      </c>
      <c r="R211" t="s">
        <v>248</v>
      </c>
    </row>
    <row r="212" spans="4:20" x14ac:dyDescent="0.2">
      <c r="D212" s="1">
        <v>45965</v>
      </c>
      <c r="E212" s="2">
        <v>0.79166666666666663</v>
      </c>
      <c r="F212" t="s">
        <v>15</v>
      </c>
      <c r="G212">
        <f>VLOOKUP(Table4[[#This Row],[Home]],'NHL Model'!$A$6:$B$38,2,FALSE)</f>
        <v>-0.73651915476403329</v>
      </c>
      <c r="H212" t="s">
        <v>25</v>
      </c>
      <c r="I212">
        <f>VLOOKUP(Table4[[#This Row],[Visitor]],'NHL Model'!$A$6:$B$38,2,FALSE)</f>
        <v>0.2324942014830165</v>
      </c>
      <c r="J212">
        <f>($B$1+Table4[[#This Row],[Home Differential]])-Table4[[#This Row],[Away Differential]]</f>
        <v>-0.83940637043552568</v>
      </c>
      <c r="K212" t="str">
        <f>IF(Table4[[#This Row],[HomeIce Differential]]&gt;0,Table4[[#This Row],[Home]],Table4[[#This Row],[Visitor]])</f>
        <v>Carolina Hurricanes</v>
      </c>
      <c r="L2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0.61078911226278243</v>
      </c>
      <c r="M212" t="str">
        <f>IF(OR((NHL2025_26Results[[#This Row],[Winning Team]]="")),"-",IF(Table4[[#This Row],[Predicted Winner]]=NHL2025_26Results[[#This Row],[Winning Team]],"YES","NO"))</f>
        <v>YES</v>
      </c>
      <c r="N212">
        <f>IF(Table4[[#This Row],[Adjusted Correct]]="-", "",IF(Table4[[#This Row],[Adjusted Correct]]="YES",(Table4[[#This Row],[Strength of Win]]-1)^2,(Table4[[#This Row],[Strength of Win]]-0)^2))</f>
        <v>0.15148511513319299</v>
      </c>
      <c r="O212">
        <v>-1.4110652638033832</v>
      </c>
      <c r="P212" s="11"/>
      <c r="Q212" t="s">
        <v>25</v>
      </c>
      <c r="R212" t="s">
        <v>248</v>
      </c>
    </row>
    <row r="213" spans="4:20" x14ac:dyDescent="0.2">
      <c r="D213" s="1">
        <v>45965</v>
      </c>
      <c r="E213" s="2">
        <v>0.91666666666666663</v>
      </c>
      <c r="F213" t="s">
        <v>20</v>
      </c>
      <c r="G213">
        <f>VLOOKUP(Table4[[#This Row],[Home]],'NHL Model'!$A$6:$B$38,2,FALSE)</f>
        <v>-0.16296463421387539</v>
      </c>
      <c r="H213" t="s">
        <v>26</v>
      </c>
      <c r="I213">
        <f>VLOOKUP(Table4[[#This Row],[Visitor]],'NHL Model'!$A$6:$B$38,2,FALSE)</f>
        <v>-0.33113778518110382</v>
      </c>
      <c r="J213">
        <f>($B$1+Table4[[#This Row],[Home Differential]])-Table4[[#This Row],[Away Differential]]</f>
        <v>0.29778013677875254</v>
      </c>
      <c r="K213" t="str">
        <f>IF(Table4[[#This Row],[HomeIce Differential]]&gt;0,Table4[[#This Row],[Home]],Table4[[#This Row],[Visitor]])</f>
        <v>Vegas Golden Knights</v>
      </c>
      <c r="L2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0.53543091470677329</v>
      </c>
      <c r="M213" t="str">
        <f>IF(OR((NHL2025_26Results[[#This Row],[Winning Team]]="")),"-",IF(Table4[[#This Row],[Predicted Winner]]=NHL2025_26Results[[#This Row],[Winning Team]],"YES","NO"))</f>
        <v>YES</v>
      </c>
      <c r="N213">
        <f>IF(Table4[[#This Row],[Adjusted Correct]]="-", "",IF(Table4[[#This Row],[Adjusted Correct]]="YES",(Table4[[#This Row],[Strength of Win]]-1)^2,(Table4[[#This Row],[Strength of Win]]-0)^2))</f>
        <v>0.21582443501018536</v>
      </c>
      <c r="O213">
        <v>1.0630580212597851</v>
      </c>
      <c r="P213" s="11"/>
      <c r="Q213" t="s">
        <v>20</v>
      </c>
      <c r="R213" t="s">
        <v>248</v>
      </c>
    </row>
    <row r="214" spans="4:20" x14ac:dyDescent="0.2">
      <c r="D214" s="1">
        <v>45966</v>
      </c>
      <c r="E214" s="2">
        <v>0.89583333333333337</v>
      </c>
      <c r="F214" t="s">
        <v>16</v>
      </c>
      <c r="G214">
        <f>VLOOKUP(Table4[[#This Row],[Home]],'NHL Model'!$A$6:$B$38,2,FALSE)</f>
        <v>-0.89031221864884547</v>
      </c>
      <c r="H214" t="s">
        <v>28</v>
      </c>
      <c r="I214">
        <f>VLOOKUP(Table4[[#This Row],[Visitor]],'NHL Model'!$A$6:$B$38,2,FALSE)</f>
        <v>-0.28156479873410767</v>
      </c>
      <c r="J214">
        <f>($B$1+Table4[[#This Row],[Home Differential]])-Table4[[#This Row],[Away Differential]]</f>
        <v>-0.47914043410321372</v>
      </c>
      <c r="K214" t="str">
        <f>IF(Table4[[#This Row],[HomeIce Differential]]&gt;0,Table4[[#This Row],[Home]],Table4[[#This Row],[Visitor]])</f>
        <v>Columbus Blue Jackets</v>
      </c>
      <c r="L2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0.52582071520667883</v>
      </c>
      <c r="M214" t="str">
        <f>IF(OR((NHL2025_26Results[[#This Row],[Winning Team]]="")),"-",IF(Table4[[#This Row],[Predicted Winner]]=NHL2025_26Results[[#This Row],[Winning Team]],"YES","NO"))</f>
        <v>NO</v>
      </c>
      <c r="N214">
        <f>IF(Table4[[#This Row],[Adjusted Correct]]="-", "",IF(Table4[[#This Row],[Adjusted Correct]]="YES",(Table4[[#This Row],[Strength of Win]]-1)^2,(Table4[[#This Row],[Strength of Win]]-0)^2))</f>
        <v>0.27648742454046327</v>
      </c>
      <c r="O214">
        <v>1.5230300988070606</v>
      </c>
      <c r="P214" s="11"/>
      <c r="Q214" t="s">
        <v>20</v>
      </c>
      <c r="R214" t="s">
        <v>248</v>
      </c>
    </row>
    <row r="215" spans="4:20" x14ac:dyDescent="0.2">
      <c r="D215" s="1">
        <v>45966</v>
      </c>
      <c r="E215" s="2">
        <v>0.91666666666666663</v>
      </c>
      <c r="F215" t="s">
        <v>32</v>
      </c>
      <c r="G215">
        <f>VLOOKUP(Table4[[#This Row],[Home]],'NHL Model'!$A$6:$B$38,2,FALSE)</f>
        <v>-0.48236715437805205</v>
      </c>
      <c r="H215" t="s">
        <v>33</v>
      </c>
      <c r="I215">
        <f>VLOOKUP(Table4[[#This Row],[Visitor]],'NHL Model'!$A$6:$B$38,2,FALSE)</f>
        <v>-0.65236582493376272</v>
      </c>
      <c r="J215">
        <f>($B$1+Table4[[#This Row],[Home Differential]])-Table4[[#This Row],[Away Differential]]</f>
        <v>0.2996056563672348</v>
      </c>
      <c r="K215" t="str">
        <f>IF(Table4[[#This Row],[HomeIce Differential]]&gt;0,Table4[[#This Row],[Home]],Table4[[#This Row],[Visitor]])</f>
        <v>Seattle Kraken</v>
      </c>
      <c r="L2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0.57364387748666434</v>
      </c>
      <c r="M215" t="str">
        <f>IF(OR((NHL2025_26Results[[#This Row],[Winning Team]]="")),"-",IF(Table4[[#This Row],[Predicted Winner]]=NHL2025_26Results[[#This Row],[Winning Team]],"YES","NO"))</f>
        <v>NO</v>
      </c>
      <c r="N215">
        <f>IF(Table4[[#This Row],[Adjusted Correct]]="-", "",IF(Table4[[#This Row],[Adjusted Correct]]="YES",(Table4[[#This Row],[Strength of Win]]-1)^2,(Table4[[#This Row],[Strength of Win]]-0)^2))</f>
        <v>0.32906729817793517</v>
      </c>
      <c r="O215">
        <v>-4.76209127026479E-2</v>
      </c>
      <c r="P215" s="11"/>
      <c r="Q215" t="s">
        <v>28</v>
      </c>
      <c r="R215" t="s">
        <v>249</v>
      </c>
    </row>
    <row r="216" spans="4:20" x14ac:dyDescent="0.2">
      <c r="D216" s="1">
        <v>45966</v>
      </c>
      <c r="E216" s="2">
        <v>0.79166666666666663</v>
      </c>
      <c r="F216" t="s">
        <v>19</v>
      </c>
      <c r="G216">
        <f>VLOOKUP(Table4[[#This Row],[Home]],'NHL Model'!$A$6:$B$38,2,FALSE)</f>
        <v>-0.44228056828684137</v>
      </c>
      <c r="H216" t="s">
        <v>55</v>
      </c>
      <c r="I216">
        <f>VLOOKUP(Table4[[#This Row],[Visitor]],'NHL Model'!$A$6:$B$38,2,FALSE)</f>
        <v>8.4094725828611647E-2</v>
      </c>
      <c r="J216">
        <f>($B$1+Table4[[#This Row],[Home Differential]])-Table4[[#This Row],[Away Differential]]</f>
        <v>-0.39676830830392895</v>
      </c>
      <c r="K216" t="str">
        <f>IF(Table4[[#This Row],[HomeIce Differential]]&gt;0,Table4[[#This Row],[Home]],Table4[[#This Row],[Visitor]])</f>
        <v>Utah Mammoth</v>
      </c>
      <c r="L2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0.50455464732216682</v>
      </c>
      <c r="M216" t="str">
        <f>IF(OR((NHL2025_26Results[[#This Row],[Winning Team]]="")),"-",IF(Table4[[#This Row],[Predicted Winner]]=NHL2025_26Results[[#This Row],[Winning Team]],"YES","NO"))</f>
        <v>NO</v>
      </c>
      <c r="N216">
        <f>IF(Table4[[#This Row],[Adjusted Correct]]="-", "",IF(Table4[[#This Row],[Adjusted Correct]]="YES",(Table4[[#This Row],[Strength of Win]]-1)^2,(Table4[[#This Row],[Strength of Win]]-0)^2))</f>
        <v>0.25457539213439612</v>
      </c>
      <c r="O216">
        <v>0.5262693396027317</v>
      </c>
      <c r="P216" s="11"/>
      <c r="Q216" t="s">
        <v>32</v>
      </c>
      <c r="R216" t="s">
        <v>249</v>
      </c>
    </row>
    <row r="217" spans="4:20" x14ac:dyDescent="0.2">
      <c r="D217" s="1">
        <v>45966</v>
      </c>
      <c r="E217" s="2">
        <v>0.91666666666666663</v>
      </c>
      <c r="F217" t="s">
        <v>38</v>
      </c>
      <c r="G217">
        <f>VLOOKUP(Table4[[#This Row],[Home]],'NHL Model'!$A$6:$B$38,2,FALSE)</f>
        <v>-1.3920033028857945</v>
      </c>
      <c r="H217" t="s">
        <v>10</v>
      </c>
      <c r="I217">
        <f>VLOOKUP(Table4[[#This Row],[Visitor]],'NHL Model'!$A$6:$B$38,2,FALSE)</f>
        <v>-0.92658078135875344</v>
      </c>
      <c r="J217">
        <f>($B$1+Table4[[#This Row],[Home Differential]])-Table4[[#This Row],[Away Differential]]</f>
        <v>-0.33581553571551703</v>
      </c>
      <c r="K217" t="str">
        <f>IF(Table4[[#This Row],[HomeIce Differential]]&gt;0,Table4[[#This Row],[Home]],Table4[[#This Row],[Visitor]])</f>
        <v>Chicago Blackhawks</v>
      </c>
      <c r="L2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0.49771002483305249</v>
      </c>
      <c r="M217" t="str">
        <f>IF(OR((NHL2025_26Results[[#This Row],[Winning Team]]="")),"-",IF(Table4[[#This Row],[Predicted Winner]]=NHL2025_26Results[[#This Row],[Winning Team]],"YES","NO"))</f>
        <v>YES</v>
      </c>
      <c r="N217">
        <f>IF(Table4[[#This Row],[Adjusted Correct]]="-", "",IF(Table4[[#This Row],[Adjusted Correct]]="YES",(Table4[[#This Row],[Strength of Win]]-1)^2,(Table4[[#This Row],[Strength of Win]]-0)^2))</f>
        <v>0.25229521915321274</v>
      </c>
      <c r="O217">
        <v>0.18113531676155015</v>
      </c>
      <c r="P217" s="11"/>
      <c r="Q217" t="s">
        <v>55</v>
      </c>
      <c r="R217" t="s">
        <v>249</v>
      </c>
    </row>
    <row r="218" spans="4:20" x14ac:dyDescent="0.2">
      <c r="D218" s="1">
        <v>45966</v>
      </c>
      <c r="E218" s="2">
        <v>0.8125</v>
      </c>
      <c r="F218" t="s">
        <v>22</v>
      </c>
      <c r="G218">
        <f>VLOOKUP(Table4[[#This Row],[Home]],'NHL Model'!$A$6:$B$38,2,FALSE)</f>
        <v>-0.11977593183651415</v>
      </c>
      <c r="H218" t="s">
        <v>35</v>
      </c>
      <c r="I218">
        <f>VLOOKUP(Table4[[#This Row],[Visitor]],'NHL Model'!$A$6:$B$38,2,FALSE)</f>
        <v>-1.3128572733047907</v>
      </c>
      <c r="J218">
        <f>($B$1+Table4[[#This Row],[Home Differential]])-Table4[[#This Row],[Away Differential]]</f>
        <v>1.3226883272798007</v>
      </c>
      <c r="K218" t="str">
        <f>IF(Table4[[#This Row],[HomeIce Differential]]&gt;0,Table4[[#This Row],[Home]],Table4[[#This Row],[Visitor]])</f>
        <v>Washington Capitals</v>
      </c>
      <c r="L2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0.70649630804682184</v>
      </c>
      <c r="M218" t="str">
        <f>IF(OR((NHL2025_26Results[[#This Row],[Winning Team]]="")),"-",IF(Table4[[#This Row],[Predicted Winner]]=NHL2025_26Results[[#This Row],[Winning Team]],"YES","NO"))</f>
        <v>YES</v>
      </c>
      <c r="N218">
        <f>IF(Table4[[#This Row],[Adjusted Correct]]="-", "",IF(Table4[[#This Row],[Adjusted Correct]]="YES",(Table4[[#This Row],[Strength of Win]]-1)^2,(Table4[[#This Row],[Strength of Win]]-0)^2))</f>
        <v>8.6144417190146094E-2</v>
      </c>
      <c r="O218">
        <v>-0.44900289467076382</v>
      </c>
      <c r="P218" s="11"/>
      <c r="Q218" t="s">
        <v>10</v>
      </c>
      <c r="R218" t="s">
        <v>248</v>
      </c>
      <c r="T218" t="s">
        <v>254</v>
      </c>
    </row>
    <row r="219" spans="4:20" x14ac:dyDescent="0.2">
      <c r="D219" s="1">
        <v>45967</v>
      </c>
      <c r="E219" s="2">
        <v>0.79166666666666663</v>
      </c>
      <c r="F219" t="s">
        <v>21</v>
      </c>
      <c r="G219">
        <f>VLOOKUP(Table4[[#This Row],[Home]],'NHL Model'!$A$6:$B$38,2,FALSE)</f>
        <v>-0.10253061303059285</v>
      </c>
      <c r="H219" t="s">
        <v>36</v>
      </c>
      <c r="I219">
        <f>VLOOKUP(Table4[[#This Row],[Visitor]],'NHL Model'!$A$6:$B$38,2,FALSE)</f>
        <v>-0.19010748264223354</v>
      </c>
      <c r="J219">
        <f>($B$1+Table4[[#This Row],[Home Differential]])-Table4[[#This Row],[Away Differential]]</f>
        <v>0.21718385542316479</v>
      </c>
      <c r="K219" t="str">
        <f>IF(Table4[[#This Row],[HomeIce Differential]]&gt;0,Table4[[#This Row],[Home]],Table4[[#This Row],[Visitor]])</f>
        <v>Boston Bruins</v>
      </c>
      <c r="L2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0.60438841480009342</v>
      </c>
      <c r="M219" t="str">
        <f>IF(OR((NHL2025_26Results[[#This Row],[Winning Team]]="")),"-",IF(Table4[[#This Row],[Predicted Winner]]=NHL2025_26Results[[#This Row],[Winning Team]],"YES","NO"))</f>
        <v>YES</v>
      </c>
      <c r="N219">
        <f>IF(Table4[[#This Row],[Adjusted Correct]]="-", "",IF(Table4[[#This Row],[Adjusted Correct]]="YES",(Table4[[#This Row],[Strength of Win]]-1)^2,(Table4[[#This Row],[Strength of Win]]-0)^2))</f>
        <v>0.15650852634438295</v>
      </c>
      <c r="O219">
        <v>0.90690422304210028</v>
      </c>
      <c r="P219" s="11">
        <v>0.71293671036303774</v>
      </c>
      <c r="Q219" t="s">
        <v>21</v>
      </c>
      <c r="R219" t="s">
        <v>248</v>
      </c>
    </row>
    <row r="220" spans="4:20" x14ac:dyDescent="0.2">
      <c r="D220" s="1">
        <v>45967</v>
      </c>
      <c r="E220" s="2">
        <v>0.79166666666666663</v>
      </c>
      <c r="F220" t="s">
        <v>23</v>
      </c>
      <c r="G220">
        <f>VLOOKUP(Table4[[#This Row],[Home]],'NHL Model'!$A$6:$B$38,2,FALSE)</f>
        <v>8.1543966060426461E-3</v>
      </c>
      <c r="H220" t="s">
        <v>35</v>
      </c>
      <c r="I220">
        <f>VLOOKUP(Table4[[#This Row],[Visitor]],'NHL Model'!$A$6:$B$38,2,FALSE)</f>
        <v>-1.3128572733047907</v>
      </c>
      <c r="J220">
        <f>($B$1+Table4[[#This Row],[Home Differential]])-Table4[[#This Row],[Away Differential]]</f>
        <v>1.4506186557223575</v>
      </c>
      <c r="K220" t="str">
        <f>IF(Table4[[#This Row],[HomeIce Differential]]&gt;0,Table4[[#This Row],[Home]],Table4[[#This Row],[Visitor]])</f>
        <v>Buffalo Sabres</v>
      </c>
      <c r="L2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0.73183801363456902</v>
      </c>
      <c r="M220" t="str">
        <f>IF(OR((NHL2025_26Results[[#This Row],[Winning Team]]="")),"-",IF(Table4[[#This Row],[Predicted Winner]]=NHL2025_26Results[[#This Row],[Winning Team]],"YES","NO"))</f>
        <v>NO</v>
      </c>
      <c r="N220">
        <f>IF(Table4[[#This Row],[Adjusted Correct]]="-", "",IF(Table4[[#This Row],[Adjusted Correct]]="YES",(Table4[[#This Row],[Strength of Win]]-1)^2,(Table4[[#This Row],[Strength of Win]]-0)^2))</f>
        <v>0.53558687820059159</v>
      </c>
      <c r="O220">
        <v>1.925566664482226</v>
      </c>
      <c r="P220" s="11">
        <v>0.70580738997245784</v>
      </c>
      <c r="Q220" t="s">
        <v>23</v>
      </c>
      <c r="R220" t="s">
        <v>249</v>
      </c>
    </row>
    <row r="221" spans="4:20" x14ac:dyDescent="0.2">
      <c r="D221" s="1">
        <v>45967</v>
      </c>
      <c r="E221" s="2">
        <v>0.79166666666666663</v>
      </c>
      <c r="F221" t="s">
        <v>25</v>
      </c>
      <c r="G221">
        <f>VLOOKUP(Table4[[#This Row],[Home]],'NHL Model'!$A$6:$B$38,2,FALSE)</f>
        <v>0.2324942014830165</v>
      </c>
      <c r="H221" t="s">
        <v>34</v>
      </c>
      <c r="I221">
        <f>VLOOKUP(Table4[[#This Row],[Visitor]],'NHL Model'!$A$6:$B$38,2,FALSE)</f>
        <v>6.0485283743665949E-2</v>
      </c>
      <c r="J221">
        <f>($B$1+Table4[[#This Row],[Home Differential]])-Table4[[#This Row],[Away Differential]]</f>
        <v>0.30161590355087464</v>
      </c>
      <c r="K221" t="str">
        <f>IF(Table4[[#This Row],[HomeIce Differential]]&gt;0,Table4[[#This Row],[Home]],Table4[[#This Row],[Visitor]])</f>
        <v>Carolina Hurricanes</v>
      </c>
      <c r="L2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0.56122387600460422</v>
      </c>
      <c r="M221" t="str">
        <f>IF(OR((NHL2025_26Results[[#This Row],[Winning Team]]="")),"-",IF(Table4[[#This Row],[Predicted Winner]]=NHL2025_26Results[[#This Row],[Winning Team]],"YES","NO"))</f>
        <v>YES</v>
      </c>
      <c r="N221">
        <f>IF(Table4[[#This Row],[Adjusted Correct]]="-", "",IF(Table4[[#This Row],[Adjusted Correct]]="YES",(Table4[[#This Row],[Strength of Win]]-1)^2,(Table4[[#This Row],[Strength of Win]]-0)^2))</f>
        <v>0.19252448698842295</v>
      </c>
      <c r="O221">
        <v>2.7341687146282365</v>
      </c>
      <c r="P221" s="11">
        <v>0.9490629979725963</v>
      </c>
      <c r="Q221" t="s">
        <v>25</v>
      </c>
      <c r="R221" t="s">
        <v>248</v>
      </c>
    </row>
    <row r="222" spans="4:20" x14ac:dyDescent="0.2">
      <c r="D222" s="1">
        <v>45967</v>
      </c>
      <c r="E222" s="2">
        <v>0.83333333333333337</v>
      </c>
      <c r="F222" t="s">
        <v>39</v>
      </c>
      <c r="G222">
        <f>VLOOKUP(Table4[[#This Row],[Home]],'NHL Model'!$A$6:$B$38,2,FALSE)</f>
        <v>0.21708030788125537</v>
      </c>
      <c r="H222" t="s">
        <v>31</v>
      </c>
      <c r="I222">
        <f>VLOOKUP(Table4[[#This Row],[Visitor]],'NHL Model'!$A$6:$B$38,2,FALSE)</f>
        <v>-0.46360583111358089</v>
      </c>
      <c r="J222">
        <f>($B$1+Table4[[#This Row],[Home Differential]])-Table4[[#This Row],[Away Differential]]</f>
        <v>0.8102931248063604</v>
      </c>
      <c r="K222" t="str">
        <f>IF(Table4[[#This Row],[HomeIce Differential]]&gt;0,Table4[[#This Row],[Home]],Table4[[#This Row],[Visitor]])</f>
        <v>Dallas Stars</v>
      </c>
      <c r="L2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0.66882915303634771</v>
      </c>
      <c r="M222" t="str">
        <f>IF(OR((NHL2025_26Results[[#This Row],[Winning Team]]="")),"-",IF(Table4[[#This Row],[Predicted Winner]]=NHL2025_26Results[[#This Row],[Winning Team]],"YES","NO"))</f>
        <v>NO</v>
      </c>
      <c r="N222">
        <f>IF(Table4[[#This Row],[Adjusted Correct]]="-", "",IF(Table4[[#This Row],[Adjusted Correct]]="YES",(Table4[[#This Row],[Strength of Win]]-1)^2,(Table4[[#This Row],[Strength of Win]]-0)^2))</f>
        <v>0.44733243595131822</v>
      </c>
      <c r="O222">
        <v>-1.130639668570925</v>
      </c>
      <c r="P222" s="11">
        <v>0.70949722264868176</v>
      </c>
      <c r="Q222" t="s">
        <v>31</v>
      </c>
      <c r="R222" t="s">
        <v>248</v>
      </c>
    </row>
    <row r="223" spans="4:20" x14ac:dyDescent="0.2">
      <c r="D223" s="1">
        <v>45967</v>
      </c>
      <c r="E223" s="2">
        <v>0.91666666666666663</v>
      </c>
      <c r="F223" t="s">
        <v>13</v>
      </c>
      <c r="G223">
        <f>VLOOKUP(Table4[[#This Row],[Home]],'NHL Model'!$A$6:$B$38,2,FALSE)</f>
        <v>-0.59069689888466137</v>
      </c>
      <c r="H223" t="s">
        <v>11</v>
      </c>
      <c r="I223">
        <f>VLOOKUP(Table4[[#This Row],[Visitor]],'NHL Model'!$A$6:$B$38,2,FALSE)</f>
        <v>-0.55695213126481558</v>
      </c>
      <c r="J223">
        <f>($B$1+Table4[[#This Row],[Home Differential]])-Table4[[#This Row],[Away Differential]]</f>
        <v>9.5862218191678283E-2</v>
      </c>
      <c r="K223" t="str">
        <f>IF(Table4[[#This Row],[HomeIce Differential]]&gt;0,Table4[[#This Row],[Home]],Table4[[#This Row],[Visitor]])</f>
        <v>Los Angeles Kings</v>
      </c>
      <c r="L2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0.51147800586431624</v>
      </c>
      <c r="M223" t="str">
        <f>IF(OR((NHL2025_26Results[[#This Row],[Winning Team]]="")),"-",IF(Table4[[#This Row],[Predicted Winner]]=NHL2025_26Results[[#This Row],[Winning Team]],"YES","NO"))</f>
        <v>NO</v>
      </c>
      <c r="N223">
        <f>IF(Table4[[#This Row],[Adjusted Correct]]="-", "",IF(Table4[[#This Row],[Adjusted Correct]]="YES",(Table4[[#This Row],[Strength of Win]]-1)^2,(Table4[[#This Row],[Strength of Win]]-0)^2))</f>
        <v>0.2616097504829375</v>
      </c>
      <c r="O223">
        <v>0.46423759997254921</v>
      </c>
      <c r="P223" s="11">
        <v>0.46593451019157689</v>
      </c>
      <c r="Q223" t="s">
        <v>13</v>
      </c>
      <c r="R223" t="s">
        <v>248</v>
      </c>
    </row>
    <row r="224" spans="4:20" x14ac:dyDescent="0.2">
      <c r="D224" s="1">
        <v>45967</v>
      </c>
      <c r="E224" s="2">
        <v>0.79166666666666663</v>
      </c>
      <c r="F224" t="s">
        <v>24</v>
      </c>
      <c r="G224">
        <f>VLOOKUP(Table4[[#This Row],[Home]],'NHL Model'!$A$6:$B$38,2,FALSE)</f>
        <v>-0.74510803532792402</v>
      </c>
      <c r="H224" t="s">
        <v>18</v>
      </c>
      <c r="I224">
        <f>VLOOKUP(Table4[[#This Row],[Visitor]],'NHL Model'!$A$6:$B$38,2,FALSE)</f>
        <v>-8.6274676766085606E-2</v>
      </c>
      <c r="J224">
        <f>($B$1+Table4[[#This Row],[Home Differential]])-Table4[[#This Row],[Away Differential]]</f>
        <v>-0.52922637275031437</v>
      </c>
      <c r="K224" t="str">
        <f>IF(Table4[[#This Row],[HomeIce Differential]]&gt;0,Table4[[#This Row],[Home]],Table4[[#This Row],[Visitor]])</f>
        <v>Montreal Canadiens</v>
      </c>
      <c r="L2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0.56479842697177007</v>
      </c>
      <c r="M224" t="str">
        <f>IF(OR((NHL2025_26Results[[#This Row],[Winning Team]]="")),"-",IF(Table4[[#This Row],[Predicted Winner]]=NHL2025_26Results[[#This Row],[Winning Team]],"YES","NO"))</f>
        <v>NO</v>
      </c>
      <c r="N224">
        <f>IF(Table4[[#This Row],[Adjusted Correct]]="-", "",IF(Table4[[#This Row],[Adjusted Correct]]="YES",(Table4[[#This Row],[Strength of Win]]-1)^2,(Table4[[#This Row],[Strength of Win]]-0)^2))</f>
        <v>0.31899726310978588</v>
      </c>
      <c r="O224">
        <v>0.89057694464792725</v>
      </c>
      <c r="P224" s="11">
        <v>0.72830199952182506</v>
      </c>
      <c r="Q224" t="s">
        <v>24</v>
      </c>
      <c r="R224" t="s">
        <v>248</v>
      </c>
    </row>
    <row r="225" spans="4:18" x14ac:dyDescent="0.2">
      <c r="D225" s="1">
        <v>45967</v>
      </c>
      <c r="E225" s="2">
        <v>0.83333333333333337</v>
      </c>
      <c r="F225" t="s">
        <v>29</v>
      </c>
      <c r="G225">
        <f>VLOOKUP(Table4[[#This Row],[Home]],'NHL Model'!$A$6:$B$38,2,FALSE)</f>
        <v>-0.82056481120798741</v>
      </c>
      <c r="H225" t="s">
        <v>27</v>
      </c>
      <c r="I225">
        <f>VLOOKUP(Table4[[#This Row],[Visitor]],'NHL Model'!$A$6:$B$38,2,FALSE)</f>
        <v>-0.55097933929175691</v>
      </c>
      <c r="J225">
        <f>($B$1+Table4[[#This Row],[Home Differential]])-Table4[[#This Row],[Away Differential]]</f>
        <v>-0.13997848610470642</v>
      </c>
      <c r="K225" t="str">
        <f>IF(Table4[[#This Row],[HomeIce Differential]]&gt;0,Table4[[#This Row],[Home]],Table4[[#This Row],[Visitor]])</f>
        <v>Philadelphia Flyers</v>
      </c>
      <c r="L2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0.47571872538849208</v>
      </c>
      <c r="M225" t="str">
        <f>IF(OR((NHL2025_26Results[[#This Row],[Winning Team]]="")),"-",IF(Table4[[#This Row],[Predicted Winner]]=NHL2025_26Results[[#This Row],[Winning Team]],"YES","NO"))</f>
        <v>YES</v>
      </c>
      <c r="N225">
        <f>IF(Table4[[#This Row],[Adjusted Correct]]="-", "",IF(Table4[[#This Row],[Adjusted Correct]]="YES",(Table4[[#This Row],[Strength of Win]]-1)^2,(Table4[[#This Row],[Strength of Win]]-0)^2))</f>
        <v>0.27487085490826746</v>
      </c>
      <c r="O225">
        <v>-0.71361525012750082</v>
      </c>
      <c r="P225" s="11">
        <v>0.58495636257548689</v>
      </c>
      <c r="Q225" t="s">
        <v>27</v>
      </c>
      <c r="R225" t="s">
        <v>248</v>
      </c>
    </row>
    <row r="226" spans="4:18" x14ac:dyDescent="0.2">
      <c r="D226" s="1">
        <v>45967</v>
      </c>
      <c r="E226" s="2">
        <v>0.8125</v>
      </c>
      <c r="F226" t="s">
        <v>14</v>
      </c>
      <c r="G226">
        <f>VLOOKUP(Table4[[#This Row],[Home]],'NHL Model'!$A$6:$B$38,2,FALSE)</f>
        <v>3.6349513460996066E-5</v>
      </c>
      <c r="H226" t="s">
        <v>22</v>
      </c>
      <c r="I226">
        <f>VLOOKUP(Table4[[#This Row],[Visitor]],'NHL Model'!$A$6:$B$38,2,FALSE)</f>
        <v>-0.11977593183651415</v>
      </c>
      <c r="J226">
        <f>($B$1+Table4[[#This Row],[Home Differential]])-Table4[[#This Row],[Away Differential]]</f>
        <v>0.24941926716149926</v>
      </c>
      <c r="K226" t="str">
        <f>IF(Table4[[#This Row],[HomeIce Differential]]&gt;0,Table4[[#This Row],[Home]],Table4[[#This Row],[Visitor]])</f>
        <v>Pittsburgh Penguins</v>
      </c>
      <c r="L2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0.56800825381250308</v>
      </c>
      <c r="M226" t="str">
        <f>IF(OR((NHL2025_26Results[[#This Row],[Winning Team]]="")),"-",IF(Table4[[#This Row],[Predicted Winner]]=NHL2025_26Results[[#This Row],[Winning Team]],"YES","NO"))</f>
        <v>YES</v>
      </c>
      <c r="N226">
        <f>IF(Table4[[#This Row],[Adjusted Correct]]="-", "",IF(Table4[[#This Row],[Adjusted Correct]]="YES",(Table4[[#This Row],[Strength of Win]]-1)^2,(Table4[[#This Row],[Strength of Win]]-0)^2))</f>
        <v>0.18661686877412276</v>
      </c>
      <c r="O226">
        <v>0.69291313375044716</v>
      </c>
      <c r="P226" s="11">
        <v>0.67853927448673268</v>
      </c>
      <c r="Q226" t="s">
        <v>14</v>
      </c>
      <c r="R226" t="s">
        <v>248</v>
      </c>
    </row>
    <row r="227" spans="4:18" x14ac:dyDescent="0.2">
      <c r="D227" s="1">
        <v>45967</v>
      </c>
      <c r="E227" s="2">
        <v>0.91666666666666663</v>
      </c>
      <c r="F227" t="s">
        <v>20</v>
      </c>
      <c r="G227">
        <f>VLOOKUP(Table4[[#This Row],[Home]],'NHL Model'!$A$6:$B$38,2,FALSE)</f>
        <v>-0.16296463421387539</v>
      </c>
      <c r="H227" t="s">
        <v>37</v>
      </c>
      <c r="I227">
        <f>VLOOKUP(Table4[[#This Row],[Visitor]],'NHL Model'!$A$6:$B$38,2,FALSE)</f>
        <v>0.72108184732572844</v>
      </c>
      <c r="J227">
        <f>($B$1+Table4[[#This Row],[Home Differential]])-Table4[[#This Row],[Away Differential]]</f>
        <v>-0.75443949572807978</v>
      </c>
      <c r="K227" t="str">
        <f>IF(Table4[[#This Row],[HomeIce Differential]]&gt;0,Table4[[#This Row],[Home]],Table4[[#This Row],[Visitor]])</f>
        <v>Tampa Bay Lightning</v>
      </c>
      <c r="L2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0.64157707549769261</v>
      </c>
      <c r="M227" t="str">
        <f>IF(OR((NHL2025_26Results[[#This Row],[Winning Team]]="")),"-",IF(Table4[[#This Row],[Predicted Winner]]=NHL2025_26Results[[#This Row],[Winning Team]],"YES","NO"))</f>
        <v>YES</v>
      </c>
      <c r="N227">
        <f>IF(Table4[[#This Row],[Adjusted Correct]]="-", "",IF(Table4[[#This Row],[Adjusted Correct]]="YES",(Table4[[#This Row],[Strength of Win]]-1)^2,(Table4[[#This Row],[Strength of Win]]-0)^2))</f>
        <v>0.12846699280878673</v>
      </c>
      <c r="O227">
        <v>0.79076363896180213</v>
      </c>
      <c r="P227" s="11">
        <v>0.56501828602136839</v>
      </c>
      <c r="Q227" t="s">
        <v>20</v>
      </c>
      <c r="R227" t="s">
        <v>249</v>
      </c>
    </row>
    <row r="228" spans="4:18" x14ac:dyDescent="0.2">
      <c r="D228" s="1">
        <v>45968</v>
      </c>
      <c r="E228" s="2">
        <v>0.875</v>
      </c>
      <c r="F228" t="s">
        <v>16</v>
      </c>
      <c r="G228">
        <f>VLOOKUP(Table4[[#This Row],[Home]],'NHL Model'!$A$6:$B$38,2,FALSE)</f>
        <v>-0.89031221864884547</v>
      </c>
      <c r="H228" t="s">
        <v>10</v>
      </c>
      <c r="I228">
        <f>VLOOKUP(Table4[[#This Row],[Visitor]],'NHL Model'!$A$6:$B$38,2,FALSE)</f>
        <v>-0.92658078135875344</v>
      </c>
      <c r="J228">
        <f>($B$1+Table4[[#This Row],[Home Differential]])-Table4[[#This Row],[Away Differential]]</f>
        <v>0.16587554852143205</v>
      </c>
      <c r="K228" t="str">
        <f>IF(Table4[[#This Row],[HomeIce Differential]]&gt;0,Table4[[#This Row],[Home]],Table4[[#This Row],[Visitor]])</f>
        <v>Calgary Flames</v>
      </c>
      <c r="L2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0.55862680665029874</v>
      </c>
      <c r="M228" t="str">
        <f>IF(OR((NHL2025_26Results[[#This Row],[Winning Team]]="")),"-",IF(Table4[[#This Row],[Predicted Winner]]=NHL2025_26Results[[#This Row],[Winning Team]],"YES","NO"))</f>
        <v>NO</v>
      </c>
      <c r="N228">
        <f>IF(Table4[[#This Row],[Adjusted Correct]]="-", "",IF(Table4[[#This Row],[Adjusted Correct]]="YES",(Table4[[#This Row],[Strength of Win]]-1)^2,(Table4[[#This Row],[Strength of Win]]-0)^2))</f>
        <v>0.31206390910831022</v>
      </c>
      <c r="O228">
        <v>-0.89826751591011866</v>
      </c>
      <c r="P228" s="11">
        <v>0.57939682556639038</v>
      </c>
      <c r="Q228" t="s">
        <v>10</v>
      </c>
      <c r="R228" t="s">
        <v>248</v>
      </c>
    </row>
    <row r="229" spans="4:18" x14ac:dyDescent="0.2">
      <c r="D229" s="1">
        <v>45968</v>
      </c>
      <c r="E229" s="2">
        <v>0.79166666666666663</v>
      </c>
      <c r="F229" t="s">
        <v>26</v>
      </c>
      <c r="G229">
        <f>VLOOKUP(Table4[[#This Row],[Home]],'NHL Model'!$A$6:$B$38,2,FALSE)</f>
        <v>-0.33113778518110382</v>
      </c>
      <c r="H229" t="s">
        <v>15</v>
      </c>
      <c r="I229">
        <f>VLOOKUP(Table4[[#This Row],[Visitor]],'NHL Model'!$A$6:$B$38,2,FALSE)</f>
        <v>-0.73651915476403329</v>
      </c>
      <c r="J229">
        <f>($B$1+Table4[[#This Row],[Home Differential]])-Table4[[#This Row],[Away Differential]]</f>
        <v>0.53498835539445355</v>
      </c>
      <c r="K229" t="str">
        <f>IF(Table4[[#This Row],[HomeIce Differential]]&gt;0,Table4[[#This Row],[Home]],Table4[[#This Row],[Visitor]])</f>
        <v>Detroit Red Wings</v>
      </c>
      <c r="L2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0.59046265112678409</v>
      </c>
      <c r="M229" t="str">
        <f>IF(OR((NHL2025_26Results[[#This Row],[Winning Team]]="")),"-",IF(Table4[[#This Row],[Predicted Winner]]=NHL2025_26Results[[#This Row],[Winning Team]],"YES","NO"))</f>
        <v>NO</v>
      </c>
      <c r="N229">
        <f>IF(Table4[[#This Row],[Adjusted Correct]]="-", "",IF(Table4[[#This Row],[Adjusted Correct]]="YES",(Table4[[#This Row],[Strength of Win]]-1)^2,(Table4[[#This Row],[Strength of Win]]-0)^2))</f>
        <v>0.34864614237567032</v>
      </c>
      <c r="O229">
        <v>0.57594293334690938</v>
      </c>
      <c r="P229" s="11">
        <v>0.60286955183404634</v>
      </c>
      <c r="Q229" t="s">
        <v>26</v>
      </c>
      <c r="R229" t="s">
        <v>249</v>
      </c>
    </row>
    <row r="230" spans="4:18" x14ac:dyDescent="0.2">
      <c r="D230" s="1">
        <v>45968</v>
      </c>
      <c r="E230" s="2">
        <v>0.79166666666666663</v>
      </c>
      <c r="F230" t="s">
        <v>30</v>
      </c>
      <c r="G230">
        <f>VLOOKUP(Table4[[#This Row],[Home]],'NHL Model'!$A$6:$B$38,2,FALSE)</f>
        <v>-0.18630462558229716</v>
      </c>
      <c r="H230" t="s">
        <v>34</v>
      </c>
      <c r="I230">
        <f>VLOOKUP(Table4[[#This Row],[Visitor]],'NHL Model'!$A$6:$B$38,2,FALSE)</f>
        <v>6.0485283743665949E-2</v>
      </c>
      <c r="J230">
        <f>($B$1+Table4[[#This Row],[Home Differential]])-Table4[[#This Row],[Away Differential]]</f>
        <v>-0.117182923514439</v>
      </c>
      <c r="K230" t="str">
        <f>IF(Table4[[#This Row],[HomeIce Differential]]&gt;0,Table4[[#This Row],[Home]],Table4[[#This Row],[Visitor]])</f>
        <v>Minnesota Wild</v>
      </c>
      <c r="L2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0.52831043868470962</v>
      </c>
      <c r="M230" t="str">
        <f>IF(OR((NHL2025_26Results[[#This Row],[Winning Team]]="")),"-",IF(Table4[[#This Row],[Predicted Winner]]=NHL2025_26Results[[#This Row],[Winning Team]],"YES","NO"))</f>
        <v>YES</v>
      </c>
      <c r="N230">
        <f>IF(Table4[[#This Row],[Adjusted Correct]]="-", "",IF(Table4[[#This Row],[Adjusted Correct]]="YES",(Table4[[#This Row],[Strength of Win]]-1)^2,(Table4[[#This Row],[Strength of Win]]-0)^2))</f>
        <v>0.22249104225381108</v>
      </c>
      <c r="O230">
        <v>1.0112573753351666</v>
      </c>
      <c r="P230" s="11">
        <v>0.68843194589673395</v>
      </c>
      <c r="Q230" t="s">
        <v>30</v>
      </c>
      <c r="R230" t="s">
        <v>249</v>
      </c>
    </row>
    <row r="231" spans="4:18" x14ac:dyDescent="0.2">
      <c r="D231" s="1">
        <v>45968</v>
      </c>
      <c r="E231" s="2">
        <v>0.91666666666666663</v>
      </c>
      <c r="F231" t="s">
        <v>33</v>
      </c>
      <c r="G231">
        <f>VLOOKUP(Table4[[#This Row],[Home]],'NHL Model'!$A$6:$B$38,2,FALSE)</f>
        <v>-0.65236582493376272</v>
      </c>
      <c r="H231" t="s">
        <v>40</v>
      </c>
      <c r="I231">
        <f>VLOOKUP(Table4[[#This Row],[Visitor]],'NHL Model'!$A$6:$B$38,2,FALSE)</f>
        <v>-0.58845147248022256</v>
      </c>
      <c r="J231">
        <f>($B$1+Table4[[#This Row],[Home Differential]])-Table4[[#This Row],[Away Differential]]</f>
        <v>6.5692633357983921E-2</v>
      </c>
      <c r="K231" t="str">
        <f>IF(Table4[[#This Row],[HomeIce Differential]]&gt;0,Table4[[#This Row],[Home]],Table4[[#This Row],[Visitor]])</f>
        <v>San Jose Sharks</v>
      </c>
      <c r="L2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0.54737687978014449</v>
      </c>
      <c r="M231" t="str">
        <f>IF(OR((NHL2025_26Results[[#This Row],[Winning Team]]="")),"-",IF(Table4[[#This Row],[Predicted Winner]]=NHL2025_26Results[[#This Row],[Winning Team]],"YES","NO"))</f>
        <v>YES</v>
      </c>
      <c r="N231">
        <f>IF(Table4[[#This Row],[Adjusted Correct]]="-", "",IF(Table4[[#This Row],[Adjusted Correct]]="YES",(Table4[[#This Row],[Strength of Win]]-1)^2,(Table4[[#This Row],[Strength of Win]]-0)^2))</f>
        <v>0.20486768895755778</v>
      </c>
      <c r="O231">
        <v>-0.44469599768545998</v>
      </c>
      <c r="P231" s="11">
        <v>0.65612347547129402</v>
      </c>
      <c r="Q231" t="s">
        <v>40</v>
      </c>
      <c r="R231" t="s">
        <v>249</v>
      </c>
    </row>
    <row r="232" spans="4:18" x14ac:dyDescent="0.2">
      <c r="D232" s="1">
        <v>45969</v>
      </c>
      <c r="E232" s="2">
        <v>0.79166666666666663</v>
      </c>
      <c r="F232" t="s">
        <v>25</v>
      </c>
      <c r="G232">
        <f>VLOOKUP(Table4[[#This Row],[Home]],'NHL Model'!$A$6:$B$38,2,FALSE)</f>
        <v>0.2324942014830165</v>
      </c>
      <c r="H232" t="s">
        <v>23</v>
      </c>
      <c r="I232">
        <f>VLOOKUP(Table4[[#This Row],[Visitor]],'NHL Model'!$A$6:$B$38,2,FALSE)</f>
        <v>8.1543966060426461E-3</v>
      </c>
      <c r="J232">
        <f>($B$1+Table4[[#This Row],[Home Differential]])-Table4[[#This Row],[Away Differential]]</f>
        <v>0.35394679068849794</v>
      </c>
      <c r="K232" t="str">
        <f>IF(Table4[[#This Row],[HomeIce Differential]]&gt;0,Table4[[#This Row],[Home]],Table4[[#This Row],[Visitor]])</f>
        <v>Carolina Hurricanes</v>
      </c>
      <c r="L2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0.59924871785129474</v>
      </c>
      <c r="M232" t="str">
        <f>IF(OR((NHL2025_26Results[[#This Row],[Winning Team]]="")),"-",IF(Table4[[#This Row],[Predicted Winner]]=NHL2025_26Results[[#This Row],[Winning Team]],"YES","NO"))</f>
        <v>YES</v>
      </c>
      <c r="N232">
        <f>IF(Table4[[#This Row],[Adjusted Correct]]="-", "",IF(Table4[[#This Row],[Adjusted Correct]]="YES",(Table4[[#This Row],[Strength of Win]]-1)^2,(Table4[[#This Row],[Strength of Win]]-0)^2))</f>
        <v>0.16060159014383116</v>
      </c>
      <c r="O232">
        <v>1.9351407626476336</v>
      </c>
      <c r="P232" s="11">
        <v>0.90867605461224943</v>
      </c>
      <c r="Q232" t="str">
        <f>IF(Table4[[#This Row],[HomeIce Differential]]&gt;0,Table4[[#This Row],[Home]],Table4[[#This Row],[Visitor]])</f>
        <v>Carolina Hurricanes</v>
      </c>
      <c r="R232" t="s">
        <v>248</v>
      </c>
    </row>
    <row r="233" spans="4:18" x14ac:dyDescent="0.2">
      <c r="D233" s="1">
        <v>45969</v>
      </c>
      <c r="E233" s="2">
        <v>0.91666666666666663</v>
      </c>
      <c r="F233" t="s">
        <v>17</v>
      </c>
      <c r="G233">
        <f>VLOOKUP(Table4[[#This Row],[Home]],'NHL Model'!$A$6:$B$38,2,FALSE)</f>
        <v>-0.36462594951491906</v>
      </c>
      <c r="H233" t="s">
        <v>12</v>
      </c>
      <c r="I233">
        <f>VLOOKUP(Table4[[#This Row],[Visitor]],'NHL Model'!$A$6:$B$38,2,FALSE)</f>
        <v>0.99866683349964291</v>
      </c>
      <c r="J233">
        <f>($B$1+Table4[[#This Row],[Home Differential]])-Table4[[#This Row],[Away Differential]]</f>
        <v>-1.2336857972030379</v>
      </c>
      <c r="K233" t="str">
        <f>IF(Table4[[#This Row],[HomeIce Differential]]&gt;0,Table4[[#This Row],[Home]],Table4[[#This Row],[Visitor]])</f>
        <v>Colorado Avalanche</v>
      </c>
      <c r="L2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0.66780060312754719</v>
      </c>
      <c r="M233" t="str">
        <f>IF(OR((NHL2025_26Results[[#This Row],[Winning Team]]="")),"-",IF(Table4[[#This Row],[Predicted Winner]]=NHL2025_26Results[[#This Row],[Winning Team]],"YES","NO"))</f>
        <v>YES</v>
      </c>
      <c r="N233">
        <f>IF(Table4[[#This Row],[Adjusted Correct]]="-", "",IF(Table4[[#This Row],[Adjusted Correct]]="YES",(Table4[[#This Row],[Strength of Win]]-1)^2,(Table4[[#This Row],[Strength of Win]]-0)^2))</f>
        <v>0.11035643928242141</v>
      </c>
      <c r="O233">
        <v>-1.415580005270316</v>
      </c>
      <c r="P233" s="11">
        <v>0.62882698926750424</v>
      </c>
      <c r="Q233" t="str">
        <f>IF(Table4[[#This Row],[HomeIce Differential]]&gt;0,Table4[[#This Row],[Home]],Table4[[#This Row],[Visitor]])</f>
        <v>Colorado Avalanche</v>
      </c>
      <c r="R233" t="s">
        <v>248</v>
      </c>
    </row>
    <row r="234" spans="4:18" x14ac:dyDescent="0.2">
      <c r="D234" s="1">
        <v>45969</v>
      </c>
      <c r="E234" s="2">
        <v>0.79166666666666663</v>
      </c>
      <c r="F234" t="s">
        <v>18</v>
      </c>
      <c r="G234">
        <f>VLOOKUP(Table4[[#This Row],[Home]],'NHL Model'!$A$6:$B$38,2,FALSE)</f>
        <v>-8.6274676766085606E-2</v>
      </c>
      <c r="H234" t="s">
        <v>55</v>
      </c>
      <c r="I234">
        <f>VLOOKUP(Table4[[#This Row],[Visitor]],'NHL Model'!$A$6:$B$38,2,FALSE)</f>
        <v>8.4094725828611647E-2</v>
      </c>
      <c r="J234">
        <f>($B$1+Table4[[#This Row],[Home Differential]])-Table4[[#This Row],[Away Differential]]</f>
        <v>-4.0762416783173147E-2</v>
      </c>
      <c r="K234" t="str">
        <f>IF(Table4[[#This Row],[HomeIce Differential]]&gt;0,Table4[[#This Row],[Home]],Table4[[#This Row],[Visitor]])</f>
        <v>Utah Mammoth</v>
      </c>
      <c r="L2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0.45056074887732395</v>
      </c>
      <c r="M234" t="str">
        <f>IF(OR((NHL2025_26Results[[#This Row],[Winning Team]]="")),"-",IF(Table4[[#This Row],[Predicted Winner]]=NHL2025_26Results[[#This Row],[Winning Team]],"YES","NO"))</f>
        <v>NO</v>
      </c>
      <c r="N234">
        <f>IF(Table4[[#This Row],[Adjusted Correct]]="-", "",IF(Table4[[#This Row],[Adjusted Correct]]="YES",(Table4[[#This Row],[Strength of Win]]-1)^2,(Table4[[#This Row],[Strength of Win]]-0)^2))</f>
        <v>0.20300498842889497</v>
      </c>
      <c r="O234">
        <v>-9.1434980120831275E-2</v>
      </c>
      <c r="P234" s="11">
        <v>0.46748033858108706</v>
      </c>
      <c r="Q234" t="str">
        <f>IF(Table4[[#This Row],[HomeIce Differential]]&gt;0,Table4[[#This Row],[Home]],Table4[[#This Row],[Visitor]])</f>
        <v>Utah Mammoth</v>
      </c>
      <c r="R234" t="s">
        <v>248</v>
      </c>
    </row>
    <row r="235" spans="4:18" x14ac:dyDescent="0.2">
      <c r="D235" s="1">
        <v>45969</v>
      </c>
      <c r="E235" s="2">
        <v>0.52083333333333337</v>
      </c>
      <c r="F235" t="s">
        <v>24</v>
      </c>
      <c r="G235">
        <f>VLOOKUP(Table4[[#This Row],[Home]],'NHL Model'!$A$6:$B$38,2,FALSE)</f>
        <v>-0.74510803532792402</v>
      </c>
      <c r="H235" t="s">
        <v>14</v>
      </c>
      <c r="I235">
        <f>VLOOKUP(Table4[[#This Row],[Visitor]],'NHL Model'!$A$6:$B$38,2,FALSE)</f>
        <v>3.6349513460996066E-5</v>
      </c>
      <c r="J235">
        <f>($B$1+Table4[[#This Row],[Home Differential]])-Table4[[#This Row],[Away Differential]]</f>
        <v>-0.61553739902986093</v>
      </c>
      <c r="K235" t="str">
        <f>IF(Table4[[#This Row],[HomeIce Differential]]&gt;0,Table4[[#This Row],[Home]],Table4[[#This Row],[Visitor]])</f>
        <v>Pittsburgh Penguins</v>
      </c>
      <c r="L2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0.58325989180395288</v>
      </c>
      <c r="M235" t="str">
        <f>IF(OR((NHL2025_26Results[[#This Row],[Winning Team]]="")),"-",IF(Table4[[#This Row],[Predicted Winner]]=NHL2025_26Results[[#This Row],[Winning Team]],"YES","NO"))</f>
        <v>NO</v>
      </c>
      <c r="N235">
        <f>IF(Table4[[#This Row],[Adjusted Correct]]="-", "",IF(Table4[[#This Row],[Adjusted Correct]]="YES",(Table4[[#This Row],[Strength of Win]]-1)^2,(Table4[[#This Row],[Strength of Win]]-0)^2))</f>
        <v>0.34019210138715883</v>
      </c>
      <c r="O235">
        <v>0.39090755697587465</v>
      </c>
      <c r="P235" s="11">
        <v>0.69815702821232517</v>
      </c>
      <c r="Q235" t="str">
        <f>IF(Table4[[#This Row],[HomeIce Differential]]&gt;0,Table4[[#This Row],[Home]],Table4[[#This Row],[Visitor]])</f>
        <v>Pittsburgh Penguins</v>
      </c>
      <c r="R235" t="s">
        <v>248</v>
      </c>
    </row>
    <row r="236" spans="4:18" x14ac:dyDescent="0.2">
      <c r="D236" s="1">
        <v>45969</v>
      </c>
      <c r="E236" s="2">
        <v>0.64583333333333337</v>
      </c>
      <c r="F236" t="s">
        <v>29</v>
      </c>
      <c r="G236">
        <f>VLOOKUP(Table4[[#This Row],[Home]],'NHL Model'!$A$6:$B$38,2,FALSE)</f>
        <v>-0.82056481120798741</v>
      </c>
      <c r="H236" t="s">
        <v>39</v>
      </c>
      <c r="I236">
        <f>VLOOKUP(Table4[[#This Row],[Visitor]],'NHL Model'!$A$6:$B$38,2,FALSE)</f>
        <v>0.21708030788125537</v>
      </c>
      <c r="J236">
        <f>($B$1+Table4[[#This Row],[Home Differential]])-Table4[[#This Row],[Away Differential]]</f>
        <v>-0.90803813327771876</v>
      </c>
      <c r="K236" t="str">
        <f>IF(Table4[[#This Row],[HomeIce Differential]]&gt;0,Table4[[#This Row],[Home]],Table4[[#This Row],[Visitor]])</f>
        <v>Dallas Stars</v>
      </c>
      <c r="L2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0.62010182766202171</v>
      </c>
      <c r="M236" t="str">
        <f>IF(OR((NHL2025_26Results[[#This Row],[Winning Team]]="")),"-",IF(Table4[[#This Row],[Predicted Winner]]=NHL2025_26Results[[#This Row],[Winning Team]],"YES","NO"))</f>
        <v>YES</v>
      </c>
      <c r="N236">
        <f>IF(Table4[[#This Row],[Adjusted Correct]]="-", "",IF(Table4[[#This Row],[Adjusted Correct]]="YES",(Table4[[#This Row],[Strength of Win]]-1)^2,(Table4[[#This Row],[Strength of Win]]-0)^2))</f>
        <v>0.14432262134573626</v>
      </c>
      <c r="O236">
        <v>-0.50338898510147534</v>
      </c>
      <c r="P236" s="11">
        <v>0.55198134388499531</v>
      </c>
      <c r="Q236" t="str">
        <f>IF(Table4[[#This Row],[HomeIce Differential]]&gt;0,Table4[[#This Row],[Home]],Table4[[#This Row],[Visitor]])</f>
        <v>Dallas Stars</v>
      </c>
      <c r="R236" t="s">
        <v>248</v>
      </c>
    </row>
    <row r="237" spans="4:18" x14ac:dyDescent="0.2">
      <c r="D237" s="1">
        <v>45969</v>
      </c>
      <c r="E237" s="2">
        <v>0.79166666666666663</v>
      </c>
      <c r="F237" t="s">
        <v>15</v>
      </c>
      <c r="G237">
        <f>VLOOKUP(Table4[[#This Row],[Home]],'NHL Model'!$A$6:$B$38,2,FALSE)</f>
        <v>-0.73651915476403329</v>
      </c>
      <c r="H237" t="s">
        <v>30</v>
      </c>
      <c r="I237">
        <f>VLOOKUP(Table4[[#This Row],[Visitor]],'NHL Model'!$A$6:$B$38,2,FALSE)</f>
        <v>-0.18630462558229716</v>
      </c>
      <c r="J237">
        <f>($B$1+Table4[[#This Row],[Home Differential]])-Table4[[#This Row],[Away Differential]]</f>
        <v>-0.42060754337021206</v>
      </c>
      <c r="K237" t="str">
        <f>IF(Table4[[#This Row],[HomeIce Differential]]&gt;0,Table4[[#This Row],[Home]],Table4[[#This Row],[Visitor]])</f>
        <v>New York Islanders</v>
      </c>
      <c r="L2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0.54412605713272344</v>
      </c>
      <c r="M237" t="str">
        <f>IF(OR((NHL2025_26Results[[#This Row],[Winning Team]]="")),"-",IF(Table4[[#This Row],[Predicted Winner]]=NHL2025_26Results[[#This Row],[Winning Team]],"YES","NO"))</f>
        <v>YES</v>
      </c>
      <c r="N237">
        <f>IF(Table4[[#This Row],[Adjusted Correct]]="-", "",IF(Table4[[#This Row],[Adjusted Correct]]="YES",(Table4[[#This Row],[Strength of Win]]-1)^2,(Table4[[#This Row],[Strength of Win]]-0)^2))</f>
        <v>0.20782105178535693</v>
      </c>
      <c r="O237">
        <v>0.51322223607554873</v>
      </c>
      <c r="P237" s="11">
        <v>0.61260317768290107</v>
      </c>
      <c r="Q237" t="str">
        <f>IF(Table4[[#This Row],[HomeIce Differential]]&gt;0,Table4[[#This Row],[Home]],Table4[[#This Row],[Visitor]])</f>
        <v>New York Islanders</v>
      </c>
      <c r="R237" t="s">
        <v>249</v>
      </c>
    </row>
    <row r="238" spans="4:18" x14ac:dyDescent="0.2">
      <c r="D238" s="1">
        <v>45969</v>
      </c>
      <c r="E238" s="2">
        <v>0.54166666666666663</v>
      </c>
      <c r="F238" t="s">
        <v>27</v>
      </c>
      <c r="G238">
        <f>VLOOKUP(Table4[[#This Row],[Home]],'NHL Model'!$A$6:$B$38,2,FALSE)</f>
        <v>-0.55097933929175691</v>
      </c>
      <c r="H238" t="s">
        <v>36</v>
      </c>
      <c r="I238">
        <f>VLOOKUP(Table4[[#This Row],[Visitor]],'NHL Model'!$A$6:$B$38,2,FALSE)</f>
        <v>-0.19010748264223354</v>
      </c>
      <c r="J238">
        <f>($B$1+Table4[[#This Row],[Home Differential]])-Table4[[#This Row],[Away Differential]]</f>
        <v>-0.23126487083799929</v>
      </c>
      <c r="K238" t="str">
        <f>IF(Table4[[#This Row],[HomeIce Differential]]&gt;0,Table4[[#This Row],[Home]],Table4[[#This Row],[Visitor]])</f>
        <v>Ottawa Senators</v>
      </c>
      <c r="L2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0.49798580987294622</v>
      </c>
      <c r="M238" t="str">
        <f>IF(OR((NHL2025_26Results[[#This Row],[Winning Team]]="")),"-",IF(Table4[[#This Row],[Predicted Winner]]=NHL2025_26Results[[#This Row],[Winning Team]],"YES","NO"))</f>
        <v>YES</v>
      </c>
      <c r="N238">
        <f>IF(Table4[[#This Row],[Adjusted Correct]]="-", "",IF(Table4[[#This Row],[Adjusted Correct]]="YES",(Table4[[#This Row],[Strength of Win]]-1)^2,(Table4[[#This Row],[Strength of Win]]-0)^2))</f>
        <v>0.25201824708892179</v>
      </c>
      <c r="O238">
        <v>0.76524673712820268</v>
      </c>
      <c r="P238" s="11">
        <v>0.69997189534964854</v>
      </c>
      <c r="Q238" t="str">
        <f>IF(Table4[[#This Row],[HomeIce Differential]]&gt;0,Table4[[#This Row],[Home]],Table4[[#This Row],[Visitor]])</f>
        <v>Ottawa Senators</v>
      </c>
      <c r="R238" t="s">
        <v>249</v>
      </c>
    </row>
    <row r="239" spans="4:18" x14ac:dyDescent="0.2">
      <c r="D239" s="1">
        <v>45969</v>
      </c>
      <c r="E239" s="2">
        <v>0.91666666666666663</v>
      </c>
      <c r="F239" t="s">
        <v>33</v>
      </c>
      <c r="G239">
        <f>VLOOKUP(Table4[[#This Row],[Home]],'NHL Model'!$A$6:$B$38,2,FALSE)</f>
        <v>-0.65236582493376272</v>
      </c>
      <c r="H239" t="s">
        <v>11</v>
      </c>
      <c r="I239">
        <f>VLOOKUP(Table4[[#This Row],[Visitor]],'NHL Model'!$A$6:$B$38,2,FALSE)</f>
        <v>-0.55695213126481558</v>
      </c>
      <c r="J239">
        <f>($B$1+Table4[[#This Row],[Home Differential]])-Table4[[#This Row],[Away Differential]]</f>
        <v>3.4193292142576936E-2</v>
      </c>
      <c r="K239" t="str">
        <f>IF(Table4[[#This Row],[HomeIce Differential]]&gt;0,Table4[[#This Row],[Home]],Table4[[#This Row],[Visitor]])</f>
        <v>San Jose Sharks</v>
      </c>
      <c r="L2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0.5045529637343138</v>
      </c>
      <c r="M239" t="str">
        <f>IF(OR((NHL2025_26Results[[#This Row],[Winning Team]]="")),"-",IF(Table4[[#This Row],[Predicted Winner]]=NHL2025_26Results[[#This Row],[Winning Team]],"YES","NO"))</f>
        <v>YES</v>
      </c>
      <c r="N239">
        <f>IF(Table4[[#This Row],[Adjusted Correct]]="-", "",IF(Table4[[#This Row],[Adjusted Correct]]="YES",(Table4[[#This Row],[Strength of Win]]-1)^2,(Table4[[#This Row],[Strength of Win]]-0)^2))</f>
        <v>0.24546776574445217</v>
      </c>
      <c r="O239">
        <v>0.24866365858988232</v>
      </c>
      <c r="P239" s="11">
        <v>0.57517729848560939</v>
      </c>
      <c r="Q239" t="str">
        <f>IF(Table4[[#This Row],[HomeIce Differential]]&gt;0,Table4[[#This Row],[Home]],Table4[[#This Row],[Visitor]])</f>
        <v>San Jose Sharks</v>
      </c>
      <c r="R239" t="s">
        <v>248</v>
      </c>
    </row>
    <row r="240" spans="4:18" x14ac:dyDescent="0.2">
      <c r="D240" s="1">
        <v>45969</v>
      </c>
      <c r="E240" s="2">
        <v>0.79166666666666663</v>
      </c>
      <c r="F240" t="s">
        <v>35</v>
      </c>
      <c r="G240">
        <f>VLOOKUP(Table4[[#This Row],[Home]],'NHL Model'!$A$6:$B$38,2,FALSE)</f>
        <v>-1.3128572733047907</v>
      </c>
      <c r="H240" t="s">
        <v>32</v>
      </c>
      <c r="I240">
        <f>VLOOKUP(Table4[[#This Row],[Visitor]],'NHL Model'!$A$6:$B$38,2,FALSE)</f>
        <v>-0.48236715437805205</v>
      </c>
      <c r="J240">
        <f>($B$1+Table4[[#This Row],[Home Differential]])-Table4[[#This Row],[Away Differential]]</f>
        <v>-0.70088313311521455</v>
      </c>
      <c r="K240" t="str">
        <f>IF(Table4[[#This Row],[HomeIce Differential]]&gt;0,Table4[[#This Row],[Home]],Table4[[#This Row],[Visitor]])</f>
        <v>Seattle Kraken</v>
      </c>
      <c r="L2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0.53870487676672751</v>
      </c>
      <c r="M240" t="str">
        <f>IF(OR((NHL2025_26Results[[#This Row],[Winning Team]]="")),"-",IF(Table4[[#This Row],[Predicted Winner]]=NHL2025_26Results[[#This Row],[Winning Team]],"YES","NO"))</f>
        <v>YES</v>
      </c>
      <c r="N240">
        <f>IF(Table4[[#This Row],[Adjusted Correct]]="-", "",IF(Table4[[#This Row],[Adjusted Correct]]="YES",(Table4[[#This Row],[Strength of Win]]-1)^2,(Table4[[#This Row],[Strength of Win]]-0)^2))</f>
        <v>0.21279319071880004</v>
      </c>
      <c r="O240">
        <v>-1.0504515403746681</v>
      </c>
      <c r="P240" s="11">
        <v>0.60860252434945616</v>
      </c>
      <c r="Q240" t="str">
        <f>IF(Table4[[#This Row],[HomeIce Differential]]&gt;0,Table4[[#This Row],[Home]],Table4[[#This Row],[Visitor]])</f>
        <v>Seattle Kraken</v>
      </c>
      <c r="R240" t="s">
        <v>248</v>
      </c>
    </row>
    <row r="241" spans="4:21" x14ac:dyDescent="0.2">
      <c r="D241" s="1">
        <v>45969</v>
      </c>
      <c r="E241" s="2">
        <v>0.79166666666666663</v>
      </c>
      <c r="F241" t="s">
        <v>37</v>
      </c>
      <c r="G241">
        <f>VLOOKUP(Table4[[#This Row],[Home]],'NHL Model'!$A$6:$B$38,2,FALSE)</f>
        <v>0.72108184732572844</v>
      </c>
      <c r="H241" t="s">
        <v>22</v>
      </c>
      <c r="I241">
        <f>VLOOKUP(Table4[[#This Row],[Visitor]],'NHL Model'!$A$6:$B$38,2,FALSE)</f>
        <v>-0.11977593183651415</v>
      </c>
      <c r="J241">
        <f>($B$1+Table4[[#This Row],[Home Differential]])-Table4[[#This Row],[Away Differential]]</f>
        <v>0.97046476497376666</v>
      </c>
      <c r="K241" t="str">
        <f>IF(Table4[[#This Row],[HomeIce Differential]]&gt;0,Table4[[#This Row],[Home]],Table4[[#This Row],[Visitor]])</f>
        <v>Tampa Bay Lightning</v>
      </c>
      <c r="L2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0.70496218400091748</v>
      </c>
      <c r="M241" t="str">
        <f>IF(OR((NHL2025_26Results[[#This Row],[Winning Team]]="")),"-",IF(Table4[[#This Row],[Predicted Winner]]=NHL2025_26Results[[#This Row],[Winning Team]],"YES","NO"))</f>
        <v>YES</v>
      </c>
      <c r="N241">
        <f>IF(Table4[[#This Row],[Adjusted Correct]]="-", "",IF(Table4[[#This Row],[Adjusted Correct]]="YES",(Table4[[#This Row],[Strength of Win]]-1)^2,(Table4[[#This Row],[Strength of Win]]-0)^2))</f>
        <v>8.7047312869508467E-2</v>
      </c>
      <c r="O241">
        <v>0.68630188894612598</v>
      </c>
      <c r="P241" s="11">
        <v>0.61631872545083322</v>
      </c>
      <c r="Q241" t="str">
        <f>IF(Table4[[#This Row],[HomeIce Differential]]&gt;0,Table4[[#This Row],[Home]],Table4[[#This Row],[Visitor]])</f>
        <v>Tampa Bay Lightning</v>
      </c>
      <c r="R241" t="s">
        <v>248</v>
      </c>
    </row>
    <row r="242" spans="4:21" x14ac:dyDescent="0.2">
      <c r="D242" s="1">
        <v>45969</v>
      </c>
      <c r="E242" s="2">
        <v>0.79166666666666663</v>
      </c>
      <c r="F242" t="s">
        <v>19</v>
      </c>
      <c r="G242">
        <f>VLOOKUP(Table4[[#This Row],[Home]],'NHL Model'!$A$6:$B$38,2,FALSE)</f>
        <v>-0.44228056828684137</v>
      </c>
      <c r="H242" t="s">
        <v>21</v>
      </c>
      <c r="I242">
        <f>VLOOKUP(Table4[[#This Row],[Visitor]],'NHL Model'!$A$6:$B$38,2,FALSE)</f>
        <v>-0.10253061303059285</v>
      </c>
      <c r="J242">
        <f>($B$1+Table4[[#This Row],[Home Differential]])-Table4[[#This Row],[Away Differential]]</f>
        <v>-0.21014296944472444</v>
      </c>
      <c r="K242" t="str">
        <f>IF(Table4[[#This Row],[HomeIce Differential]]&gt;0,Table4[[#This Row],[Home]],Table4[[#This Row],[Visitor]])</f>
        <v>Boston Bruins</v>
      </c>
      <c r="L2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0.48359776649215275</v>
      </c>
      <c r="M242" t="str">
        <f>IF(OR((NHL2025_26Results[[#This Row],[Winning Team]]="")),"-",IF(Table4[[#This Row],[Predicted Winner]]=NHL2025_26Results[[#This Row],[Winning Team]],"YES","NO"))</f>
        <v>YES</v>
      </c>
      <c r="N242">
        <f>IF(Table4[[#This Row],[Adjusted Correct]]="-", "",IF(Table4[[#This Row],[Adjusted Correct]]="YES",(Table4[[#This Row],[Strength of Win]]-1)^2,(Table4[[#This Row],[Strength of Win]]-0)^2))</f>
        <v>0.26667126677189323</v>
      </c>
      <c r="O242">
        <v>-1.8279325034129712E-2</v>
      </c>
      <c r="P242" s="11">
        <v>0.39913761576555157</v>
      </c>
      <c r="Q242" t="str">
        <f>IF(Table4[[#This Row],[HomeIce Differential]]&gt;0,Table4[[#This Row],[Home]],Table4[[#This Row],[Visitor]])</f>
        <v>Boston Bruins</v>
      </c>
      <c r="R242" t="s">
        <v>248</v>
      </c>
    </row>
    <row r="243" spans="4:21" x14ac:dyDescent="0.2">
      <c r="D243" s="1">
        <v>45969</v>
      </c>
      <c r="E243" s="2">
        <v>0.91666666666666663</v>
      </c>
      <c r="F243" t="s">
        <v>38</v>
      </c>
      <c r="G243">
        <f>VLOOKUP(Table4[[#This Row],[Home]],'NHL Model'!$A$6:$B$38,2,FALSE)</f>
        <v>-1.3920033028857945</v>
      </c>
      <c r="H243" t="s">
        <v>28</v>
      </c>
      <c r="I243">
        <f>VLOOKUP(Table4[[#This Row],[Visitor]],'NHL Model'!$A$6:$B$38,2,FALSE)</f>
        <v>-0.28156479873410767</v>
      </c>
      <c r="J243">
        <f>($B$1+Table4[[#This Row],[Home Differential]])-Table4[[#This Row],[Away Differential]]</f>
        <v>-0.9808315183401628</v>
      </c>
      <c r="K243" t="str">
        <f>IF(Table4[[#This Row],[HomeIce Differential]]&gt;0,Table4[[#This Row],[Home]],Table4[[#This Row],[Visitor]])</f>
        <v>Columbus Blue Jackets</v>
      </c>
      <c r="L2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0.58215754669002995</v>
      </c>
      <c r="M243" t="str">
        <f>IF(OR((NHL2025_26Results[[#This Row],[Winning Team]]="")),"-",IF(Table4[[#This Row],[Predicted Winner]]=NHL2025_26Results[[#This Row],[Winning Team]],"YES","NO"))</f>
        <v>NO</v>
      </c>
      <c r="N243">
        <f>IF(Table4[[#This Row],[Adjusted Correct]]="-", "",IF(Table4[[#This Row],[Adjusted Correct]]="YES",(Table4[[#This Row],[Strength of Win]]-1)^2,(Table4[[#This Row],[Strength of Win]]-0)^2))</f>
        <v>0.33890740916815437</v>
      </c>
      <c r="O243">
        <v>-0.55323810247638672</v>
      </c>
      <c r="P243" s="11">
        <v>0.59240285483457156</v>
      </c>
      <c r="Q243" t="str">
        <f>IF(Table4[[#This Row],[HomeIce Differential]]&gt;0,Table4[[#This Row],[Home]],Table4[[#This Row],[Visitor]])</f>
        <v>Columbus Blue Jackets</v>
      </c>
      <c r="R243" t="s">
        <v>249</v>
      </c>
    </row>
    <row r="244" spans="4:21" x14ac:dyDescent="0.2">
      <c r="D244" s="1">
        <v>45969</v>
      </c>
      <c r="E244" s="2">
        <v>0.91666666666666663</v>
      </c>
      <c r="F244" t="s">
        <v>20</v>
      </c>
      <c r="G244">
        <f>VLOOKUP(Table4[[#This Row],[Home]],'NHL Model'!$A$6:$B$38,2,FALSE)</f>
        <v>-0.16296463421387539</v>
      </c>
      <c r="H244" t="s">
        <v>31</v>
      </c>
      <c r="I244">
        <f>VLOOKUP(Table4[[#This Row],[Visitor]],'NHL Model'!$A$6:$B$38,2,FALSE)</f>
        <v>-0.46360583111358089</v>
      </c>
      <c r="J244">
        <f>($B$1+Table4[[#This Row],[Home Differential]])-Table4[[#This Row],[Away Differential]]</f>
        <v>0.43024818271122961</v>
      </c>
      <c r="K244" t="str">
        <f>IF(Table4[[#This Row],[HomeIce Differential]]&gt;0,Table4[[#This Row],[Home]],Table4[[#This Row],[Visitor]])</f>
        <v>Vegas Golden Knights</v>
      </c>
      <c r="L2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0.58831423185900711</v>
      </c>
      <c r="M244" t="str">
        <f>IF(OR((NHL2025_26Results[[#This Row],[Winning Team]]="")),"-",IF(Table4[[#This Row],[Predicted Winner]]=NHL2025_26Results[[#This Row],[Winning Team]],"YES","NO"))</f>
        <v>NO</v>
      </c>
      <c r="N244">
        <f>IF(Table4[[#This Row],[Adjusted Correct]]="-", "",IF(Table4[[#This Row],[Adjusted Correct]]="YES",(Table4[[#This Row],[Strength of Win]]-1)^2,(Table4[[#This Row],[Strength of Win]]-0)^2))</f>
        <v>0.34611363540785356</v>
      </c>
      <c r="O244">
        <v>-0.47279504855678878</v>
      </c>
      <c r="P244" s="11">
        <v>0.58927219001596975</v>
      </c>
      <c r="Q244" t="str">
        <f>IF(Table4[[#This Row],[HomeIce Differential]]&gt;0,Table4[[#This Row],[Home]],Table4[[#This Row],[Visitor]])</f>
        <v>Vegas Golden Knights</v>
      </c>
      <c r="R244" t="s">
        <v>248</v>
      </c>
    </row>
    <row r="245" spans="4:21" x14ac:dyDescent="0.2">
      <c r="D245" s="1">
        <v>45970</v>
      </c>
      <c r="E245" s="2">
        <v>0.91666666666666663</v>
      </c>
      <c r="F245" t="s">
        <v>31</v>
      </c>
      <c r="G245">
        <f>VLOOKUP(Table4[[#This Row],[Home]],'NHL Model'!$A$6:$B$38,2,FALSE)</f>
        <v>-0.46360583111358089</v>
      </c>
      <c r="H245" t="s">
        <v>40</v>
      </c>
      <c r="I245">
        <f>VLOOKUP(Table4[[#This Row],[Visitor]],'NHL Model'!$A$6:$B$38,2,FALSE)</f>
        <v>-0.58845147248022256</v>
      </c>
      <c r="J245">
        <f>($B$1+Table4[[#This Row],[Home Differential]])-Table4[[#This Row],[Away Differential]]</f>
        <v>0.25445262717816575</v>
      </c>
      <c r="K245" t="str">
        <f>IF(Table4[[#This Row],[HomeIce Differential]]&gt;0,Table4[[#This Row],[Home]],Table4[[#This Row],[Visitor]])</f>
        <v>Anaheim Ducks</v>
      </c>
      <c r="L2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0.62028944560007493</v>
      </c>
      <c r="M245" t="str">
        <f>IF(OR((NHL2025_26Results[[#This Row],[Winning Team]]="")),"-",IF(Table4[[#This Row],[Predicted Winner]]=NHL2025_26Results[[#This Row],[Winning Team]],"YES","NO"))</f>
        <v>YES</v>
      </c>
      <c r="N245">
        <f>IF(Table4[[#This Row],[Adjusted Correct]]="-", "",IF(Table4[[#This Row],[Adjusted Correct]]="YES",(Table4[[#This Row],[Strength of Win]]-1)^2,(Table4[[#This Row],[Strength of Win]]-0)^2))</f>
        <v>0.14418010512269847</v>
      </c>
      <c r="O245">
        <v>0.86736430428433564</v>
      </c>
      <c r="P245" s="11">
        <v>0.5702158314228003</v>
      </c>
      <c r="Q245" t="s">
        <v>31</v>
      </c>
      <c r="R245" t="s">
        <v>248</v>
      </c>
    </row>
    <row r="246" spans="4:21" x14ac:dyDescent="0.2">
      <c r="D246" s="1">
        <v>45970</v>
      </c>
      <c r="E246" s="2">
        <v>0.79166666666666663</v>
      </c>
      <c r="F246" t="s">
        <v>39</v>
      </c>
      <c r="G246">
        <f>VLOOKUP(Table4[[#This Row],[Home]],'NHL Model'!$A$6:$B$38,2,FALSE)</f>
        <v>0.21708030788125537</v>
      </c>
      <c r="H246" t="s">
        <v>32</v>
      </c>
      <c r="I246">
        <f>VLOOKUP(Table4[[#This Row],[Visitor]],'NHL Model'!$A$6:$B$38,2,FALSE)</f>
        <v>-0.48236715437805205</v>
      </c>
      <c r="J246">
        <f>($B$1+Table4[[#This Row],[Home Differential]])-Table4[[#This Row],[Away Differential]]</f>
        <v>0.82905444807083151</v>
      </c>
      <c r="K246" t="str">
        <f>IF(Table4[[#This Row],[HomeIce Differential]]&gt;0,Table4[[#This Row],[Home]],Table4[[#This Row],[Visitor]])</f>
        <v>Dallas Stars</v>
      </c>
      <c r="L2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0.6709359345606053</v>
      </c>
      <c r="M246" t="str">
        <f>IF(OR((NHL2025_26Results[[#This Row],[Winning Team]]="")),"-",IF(Table4[[#This Row],[Predicted Winner]]=NHL2025_26Results[[#This Row],[Winning Team]],"YES","NO"))</f>
        <v>YES</v>
      </c>
      <c r="N246">
        <f>IF(Table4[[#This Row],[Adjusted Correct]]="-", "",IF(Table4[[#This Row],[Adjusted Correct]]="YES",(Table4[[#This Row],[Strength of Win]]-1)^2,(Table4[[#This Row],[Strength of Win]]-0)^2))</f>
        <v>0.10828315916350224</v>
      </c>
      <c r="O246">
        <v>0.14080241282234474</v>
      </c>
      <c r="P246" s="11">
        <v>0.55991866656926581</v>
      </c>
      <c r="Q246" t="s">
        <v>39</v>
      </c>
      <c r="R246" t="s">
        <v>248</v>
      </c>
    </row>
    <row r="247" spans="4:21" x14ac:dyDescent="0.2">
      <c r="D247" s="1">
        <v>45970</v>
      </c>
      <c r="E247" s="2">
        <v>0.54166666666666663</v>
      </c>
      <c r="F247" t="s">
        <v>26</v>
      </c>
      <c r="G247">
        <f>VLOOKUP(Table4[[#This Row],[Home]],'NHL Model'!$A$6:$B$38,2,FALSE)</f>
        <v>-0.33113778518110382</v>
      </c>
      <c r="H247" t="s">
        <v>10</v>
      </c>
      <c r="I247">
        <f>VLOOKUP(Table4[[#This Row],[Visitor]],'NHL Model'!$A$6:$B$38,2,FALSE)</f>
        <v>-0.92658078135875344</v>
      </c>
      <c r="J247">
        <f>($B$1+Table4[[#This Row],[Home Differential]])-Table4[[#This Row],[Away Differential]]</f>
        <v>0.7250499819891737</v>
      </c>
      <c r="K247" t="str">
        <f>IF(Table4[[#This Row],[HomeIce Differential]]&gt;0,Table4[[#This Row],[Home]],Table4[[#This Row],[Visitor]])</f>
        <v>Detroit Red Wings</v>
      </c>
      <c r="L2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0.64745640150953454</v>
      </c>
      <c r="M247" t="str">
        <f>IF(OR((NHL2025_26Results[[#This Row],[Winning Team]]="")),"-",IF(Table4[[#This Row],[Predicted Winner]]=NHL2025_26Results[[#This Row],[Winning Team]],"YES","NO"))</f>
        <v>NO</v>
      </c>
      <c r="N247">
        <f>IF(Table4[[#This Row],[Adjusted Correct]]="-", "",IF(Table4[[#This Row],[Adjusted Correct]]="YES",(Table4[[#This Row],[Strength of Win]]-1)^2,(Table4[[#This Row],[Strength of Win]]-0)^2))</f>
        <v>0.41919979185567557</v>
      </c>
      <c r="O247">
        <v>-0.44568461095378598</v>
      </c>
      <c r="P247" s="11">
        <v>0.52304894200813445</v>
      </c>
      <c r="Q247" t="s">
        <v>10</v>
      </c>
      <c r="R247" t="s">
        <v>248</v>
      </c>
    </row>
    <row r="248" spans="4:21" x14ac:dyDescent="0.2">
      <c r="D248" s="1">
        <v>45970</v>
      </c>
      <c r="E248" s="2">
        <v>0.83333333333333337</v>
      </c>
      <c r="F248" t="s">
        <v>34</v>
      </c>
      <c r="G248">
        <f>VLOOKUP(Table4[[#This Row],[Home]],'NHL Model'!$A$6:$B$38,2,FALSE)</f>
        <v>6.0485283743665949E-2</v>
      </c>
      <c r="H248" t="s">
        <v>16</v>
      </c>
      <c r="I248">
        <f>VLOOKUP(Table4[[#This Row],[Visitor]],'NHL Model'!$A$6:$B$38,2,FALSE)</f>
        <v>-0.89031221864884547</v>
      </c>
      <c r="J248">
        <f>($B$1+Table4[[#This Row],[Home Differential]])-Table4[[#This Row],[Away Differential]]</f>
        <v>1.0804044882040356</v>
      </c>
      <c r="K248" t="str">
        <f>IF(Table4[[#This Row],[HomeIce Differential]]&gt;0,Table4[[#This Row],[Home]],Table4[[#This Row],[Visitor]])</f>
        <v>Minnesota Wild</v>
      </c>
      <c r="L2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0.67327084898037803</v>
      </c>
      <c r="M248" t="str">
        <f>IF(OR((NHL2025_26Results[[#This Row],[Winning Team]]="")),"-",IF(Table4[[#This Row],[Predicted Winner]]=NHL2025_26Results[[#This Row],[Winning Team]],"YES","NO"))</f>
        <v>YES</v>
      </c>
      <c r="N248">
        <f>IF(Table4[[#This Row],[Adjusted Correct]]="-", "",IF(Table4[[#This Row],[Adjusted Correct]]="YES",(Table4[[#This Row],[Strength of Win]]-1)^2,(Table4[[#This Row],[Strength of Win]]-0)^2))</f>
        <v>0.10675193812600293</v>
      </c>
      <c r="O248">
        <v>0.73573167230839132</v>
      </c>
      <c r="P248" s="11">
        <v>0.64408055921349616</v>
      </c>
      <c r="Q248" t="s">
        <v>34</v>
      </c>
      <c r="R248" t="s">
        <v>248</v>
      </c>
    </row>
    <row r="249" spans="4:21" x14ac:dyDescent="0.2">
      <c r="D249" s="1">
        <v>45970</v>
      </c>
      <c r="E249" s="2">
        <v>0.79166666666666663</v>
      </c>
      <c r="F249" t="s">
        <v>36</v>
      </c>
      <c r="G249">
        <f>VLOOKUP(Table4[[#This Row],[Home]],'NHL Model'!$A$6:$B$38,2,FALSE)</f>
        <v>-0.19010748264223354</v>
      </c>
      <c r="H249" t="s">
        <v>55</v>
      </c>
      <c r="I249">
        <f>VLOOKUP(Table4[[#This Row],[Visitor]],'NHL Model'!$A$6:$B$38,2,FALSE)</f>
        <v>8.4094725828611647E-2</v>
      </c>
      <c r="J249">
        <f>($B$1+Table4[[#This Row],[Home Differential]])-Table4[[#This Row],[Away Differential]]</f>
        <v>-0.14459522265932107</v>
      </c>
      <c r="K249" t="str">
        <f>IF(Table4[[#This Row],[HomeIce Differential]]&gt;0,Table4[[#This Row],[Home]],Table4[[#This Row],[Visitor]])</f>
        <v>Utah Mammoth</v>
      </c>
      <c r="L2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0.47623715658540272</v>
      </c>
      <c r="M249" t="str">
        <f>IF(OR((NHL2025_26Results[[#This Row],[Winning Team]]="")),"-",IF(Table4[[#This Row],[Predicted Winner]]=NHL2025_26Results[[#This Row],[Winning Team]],"YES","NO"))</f>
        <v>NO</v>
      </c>
      <c r="N249">
        <f>IF(Table4[[#This Row],[Adjusted Correct]]="-", "",IF(Table4[[#This Row],[Adjusted Correct]]="YES",(Table4[[#This Row],[Strength of Win]]-1)^2,(Table4[[#This Row],[Strength of Win]]-0)^2))</f>
        <v>0.22680182931254939</v>
      </c>
      <c r="O249">
        <v>-0.38200240782504313</v>
      </c>
      <c r="P249" s="11">
        <v>0.53480934583262985</v>
      </c>
      <c r="Q249" t="s">
        <v>55</v>
      </c>
      <c r="R249" t="s">
        <v>249</v>
      </c>
    </row>
    <row r="250" spans="4:21" x14ac:dyDescent="0.2">
      <c r="D250" s="1">
        <v>45970</v>
      </c>
      <c r="E250" s="2">
        <v>0.58333333333333337</v>
      </c>
      <c r="F250" t="s">
        <v>14</v>
      </c>
      <c r="G250">
        <f>VLOOKUP(Table4[[#This Row],[Home]],'NHL Model'!$A$6:$B$38,2,FALSE)</f>
        <v>3.6349513460996066E-5</v>
      </c>
      <c r="H250" t="s">
        <v>13</v>
      </c>
      <c r="I250">
        <f>VLOOKUP(Table4[[#This Row],[Visitor]],'NHL Model'!$A$6:$B$38,2,FALSE)</f>
        <v>-0.59069689888466137</v>
      </c>
      <c r="J250">
        <f>($B$1+Table4[[#This Row],[Home Differential]])-Table4[[#This Row],[Away Differential]]</f>
        <v>0.72034023420964644</v>
      </c>
      <c r="K250" t="str">
        <f>IF(Table4[[#This Row],[HomeIce Differential]]&gt;0,Table4[[#This Row],[Home]],Table4[[#This Row],[Visitor]])</f>
        <v>Pittsburgh Penguins</v>
      </c>
      <c r="L2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0.60012055910429185</v>
      </c>
      <c r="M250" t="str">
        <f>IF(OR((NHL2025_26Results[[#This Row],[Winning Team]]="")),"-",IF(Table4[[#This Row],[Predicted Winner]]=NHL2025_26Results[[#This Row],[Winning Team]],"YES","NO"))</f>
        <v>NO</v>
      </c>
      <c r="N250">
        <f>IF(Table4[[#This Row],[Adjusted Correct]]="-", "",IF(Table4[[#This Row],[Adjusted Correct]]="YES",(Table4[[#This Row],[Strength of Win]]-1)^2,(Table4[[#This Row],[Strength of Win]]-0)^2))</f>
        <v>0.36014468545964784</v>
      </c>
      <c r="O250">
        <v>0.98327925538779593</v>
      </c>
      <c r="P250" s="11">
        <v>0.60261928495973316</v>
      </c>
      <c r="Q250" t="s">
        <v>14</v>
      </c>
      <c r="R250" t="s">
        <v>249</v>
      </c>
    </row>
    <row r="251" spans="4:21" x14ac:dyDescent="0.2">
      <c r="D251" s="1">
        <v>45970</v>
      </c>
      <c r="E251" s="2">
        <v>0.79166666666666663</v>
      </c>
      <c r="F251" t="s">
        <v>19</v>
      </c>
      <c r="G251">
        <f>VLOOKUP(Table4[[#This Row],[Home]],'NHL Model'!$A$6:$B$38,2,FALSE)</f>
        <v>-0.44228056828684137</v>
      </c>
      <c r="H251" t="s">
        <v>25</v>
      </c>
      <c r="I251">
        <f>VLOOKUP(Table4[[#This Row],[Visitor]],'NHL Model'!$A$6:$B$38,2,FALSE)</f>
        <v>0.2324942014830165</v>
      </c>
      <c r="J251">
        <f>($B$1+Table4[[#This Row],[Home Differential]])-Table4[[#This Row],[Away Differential]]</f>
        <v>-0.54516778395833376</v>
      </c>
      <c r="K251" t="str">
        <f>IF(Table4[[#This Row],[HomeIce Differential]]&gt;0,Table4[[#This Row],[Home]],Table4[[#This Row],[Visitor]])</f>
        <v>Carolina Hurricanes</v>
      </c>
      <c r="L2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0.57774792380419715</v>
      </c>
      <c r="M251" t="str">
        <f>IF(OR((NHL2025_26Results[[#This Row],[Winning Team]]="")),"-",IF(Table4[[#This Row],[Predicted Winner]]=NHL2025_26Results[[#This Row],[Winning Team]],"YES","NO"))</f>
        <v>YES</v>
      </c>
      <c r="N251">
        <f>IF(Table4[[#This Row],[Adjusted Correct]]="-", "",IF(Table4[[#This Row],[Adjusted Correct]]="YES",(Table4[[#This Row],[Strength of Win]]-1)^2,(Table4[[#This Row],[Strength of Win]]-0)^2))</f>
        <v>0.1782968158516661</v>
      </c>
      <c r="O251">
        <v>-1.465407578305931</v>
      </c>
      <c r="P251" s="11">
        <v>0.74378512385133699</v>
      </c>
      <c r="Q251" t="s">
        <v>25</v>
      </c>
      <c r="R251" t="s">
        <v>248</v>
      </c>
    </row>
    <row r="252" spans="4:21" x14ac:dyDescent="0.2">
      <c r="D252" s="1">
        <v>45970</v>
      </c>
      <c r="E252" s="2">
        <v>0.91666666666666663</v>
      </c>
      <c r="F252" t="s">
        <v>38</v>
      </c>
      <c r="G252">
        <f>VLOOKUP(Table4[[#This Row],[Home]],'NHL Model'!$A$6:$B$38,2,FALSE)</f>
        <v>-1.3920033028857945</v>
      </c>
      <c r="H252" t="s">
        <v>12</v>
      </c>
      <c r="I252">
        <f>VLOOKUP(Table4[[#This Row],[Visitor]],'NHL Model'!$A$6:$B$38,2,FALSE)</f>
        <v>0.99866683349964291</v>
      </c>
      <c r="J252">
        <f>($B$1+Table4[[#This Row],[Home Differential]])-Table4[[#This Row],[Away Differential]]</f>
        <v>-2.2610631505739134</v>
      </c>
      <c r="K252" t="str">
        <f>IF(Table4[[#This Row],[HomeIce Differential]]&gt;0,Table4[[#This Row],[Home]],Table4[[#This Row],[Visitor]])</f>
        <v>Colorado Avalanche</v>
      </c>
      <c r="L2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0.78316877817633856</v>
      </c>
      <c r="M252" t="str">
        <f>IF(OR((NHL2025_26Results[[#This Row],[Winning Team]]="")),"-",IF(Table4[[#This Row],[Predicted Winner]]=NHL2025_26Results[[#This Row],[Winning Team]],"YES","NO"))</f>
        <v>YES</v>
      </c>
      <c r="N252">
        <f>IF(Table4[[#This Row],[Adjusted Correct]]="-", "",IF(Table4[[#This Row],[Adjusted Correct]]="YES",(Table4[[#This Row],[Strength of Win]]-1)^2,(Table4[[#This Row],[Strength of Win]]-0)^2))</f>
        <v>4.7015778757541871E-2</v>
      </c>
      <c r="O252">
        <v>-2.4133299615338308</v>
      </c>
      <c r="P252" s="11">
        <v>0.84850202700277499</v>
      </c>
      <c r="Q252" t="s">
        <v>12</v>
      </c>
      <c r="R252" t="s">
        <v>248</v>
      </c>
    </row>
    <row r="253" spans="4:21" x14ac:dyDescent="0.2">
      <c r="D253" s="1">
        <v>45971</v>
      </c>
      <c r="E253" s="2">
        <v>0.85416666666666663</v>
      </c>
      <c r="F253" t="s">
        <v>17</v>
      </c>
      <c r="G253">
        <f>VLOOKUP(Table4[[#This Row],[Home]],'NHL Model'!$A$6:$B$38,2,FALSE)</f>
        <v>-0.36462594951491906</v>
      </c>
      <c r="H253" t="s">
        <v>28</v>
      </c>
      <c r="I253">
        <f>VLOOKUP(Table4[[#This Row],[Visitor]],'NHL Model'!$A$6:$B$38,2,FALSE)</f>
        <v>-0.28156479873410767</v>
      </c>
      <c r="J253">
        <f>($B$1+Table4[[#This Row],[Home Differential]])-Table4[[#This Row],[Away Differential]]</f>
        <v>4.6545835030712718E-2</v>
      </c>
      <c r="K253" t="str">
        <f>IF(Table4[[#This Row],[HomeIce Differential]]&gt;0,Table4[[#This Row],[Home]],Table4[[#This Row],[Visitor]])</f>
        <v>Edmonton Oilers</v>
      </c>
      <c r="L2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0.53321062835876143</v>
      </c>
      <c r="M253" t="str">
        <f>IF(OR((NHL2025_26Results[[#This Row],[Winning Team]]="")),"-",IF(Table4[[#This Row],[Predicted Winner]]=NHL2025_26Results[[#This Row],[Winning Team]],"YES","NO"))</f>
        <v>YES</v>
      </c>
      <c r="N253">
        <f>IF(Table4[[#This Row],[Adjusted Correct]]="-", "",IF(Table4[[#This Row],[Adjusted Correct]]="YES",(Table4[[#This Row],[Strength of Win]]-1)^2,(Table4[[#This Row],[Strength of Win]]-0)^2))</f>
        <v>0.21789231747722235</v>
      </c>
      <c r="O253">
        <v>-0.37024261700213967</v>
      </c>
      <c r="P253" s="11">
        <v>0.51989919760509484</v>
      </c>
      <c r="Q253" t="s">
        <v>28</v>
      </c>
      <c r="R253" t="s">
        <v>249</v>
      </c>
    </row>
    <row r="254" spans="4:21" x14ac:dyDescent="0.2">
      <c r="D254" s="1">
        <v>45971</v>
      </c>
      <c r="E254" s="2">
        <v>0.79166666666666663</v>
      </c>
      <c r="F254" t="s">
        <v>24</v>
      </c>
      <c r="G254">
        <f>VLOOKUP(Table4[[#This Row],[Home]],'NHL Model'!$A$6:$B$38,2,FALSE)</f>
        <v>-0.74510803532792402</v>
      </c>
      <c r="H254" t="s">
        <v>30</v>
      </c>
      <c r="I254">
        <f>VLOOKUP(Table4[[#This Row],[Visitor]],'NHL Model'!$A$6:$B$38,2,FALSE)</f>
        <v>-0.18630462558229716</v>
      </c>
      <c r="J254">
        <f>($B$1+Table4[[#This Row],[Home Differential]])-Table4[[#This Row],[Away Differential]]</f>
        <v>-0.42919642393410279</v>
      </c>
      <c r="K254" t="str">
        <f>IF(Table4[[#This Row],[HomeIce Differential]]&gt;0,Table4[[#This Row],[Home]],Table4[[#This Row],[Visitor]])</f>
        <v>New York Islanders</v>
      </c>
      <c r="L2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0.54509053573750965</v>
      </c>
      <c r="M254" t="str">
        <f>IF(OR((NHL2025_26Results[[#This Row],[Winning Team]]="")),"-",IF(Table4[[#This Row],[Predicted Winner]]=NHL2025_26Results[[#This Row],[Winning Team]],"YES","NO"))</f>
        <v>YES</v>
      </c>
      <c r="N254">
        <f>IF(Table4[[#This Row],[Adjusted Correct]]="-", "",IF(Table4[[#This Row],[Adjusted Correct]]="YES",(Table4[[#This Row],[Strength of Win]]-1)^2,(Table4[[#This Row],[Strength of Win]]-0)^2))</f>
        <v>0.20694262067558597</v>
      </c>
      <c r="O254">
        <v>1.1289718320781263</v>
      </c>
      <c r="P254" s="11">
        <v>0.8472521723262596</v>
      </c>
      <c r="Q254" t="s">
        <v>24</v>
      </c>
      <c r="R254" t="s">
        <v>249</v>
      </c>
      <c r="U254" s="16"/>
    </row>
    <row r="255" spans="4:21" x14ac:dyDescent="0.2">
      <c r="D255" s="1">
        <v>45971</v>
      </c>
      <c r="E255" s="2">
        <v>0.79166666666666663</v>
      </c>
      <c r="F255" t="s">
        <v>15</v>
      </c>
      <c r="G255">
        <f>VLOOKUP(Table4[[#This Row],[Home]],'NHL Model'!$A$6:$B$38,2,FALSE)</f>
        <v>-0.73651915476403329</v>
      </c>
      <c r="H255" t="s">
        <v>29</v>
      </c>
      <c r="I255">
        <f>VLOOKUP(Table4[[#This Row],[Visitor]],'NHL Model'!$A$6:$B$38,2,FALSE)</f>
        <v>-0.82056481120798741</v>
      </c>
      <c r="J255">
        <f>($B$1+Table4[[#This Row],[Home Differential]])-Table4[[#This Row],[Away Differential]]</f>
        <v>0.2136526422554782</v>
      </c>
      <c r="K255" t="str">
        <f>IF(Table4[[#This Row],[HomeIce Differential]]&gt;0,Table4[[#This Row],[Home]],Table4[[#This Row],[Visitor]])</f>
        <v>New York Rangers</v>
      </c>
      <c r="L2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0.56399188122114352</v>
      </c>
      <c r="M255" t="str">
        <f>IF(OR((NHL2025_26Results[[#This Row],[Winning Team]]="")),"-",IF(Table4[[#This Row],[Predicted Winner]]=NHL2025_26Results[[#This Row],[Winning Team]],"YES","NO"))</f>
        <v>YES</v>
      </c>
      <c r="N255">
        <f>IF(Table4[[#This Row],[Adjusted Correct]]="-", "",IF(Table4[[#This Row],[Adjusted Correct]]="YES",(Table4[[#This Row],[Strength of Win]]-1)^2,(Table4[[#This Row],[Strength of Win]]-0)^2))</f>
        <v>0.19010307964107742</v>
      </c>
      <c r="O255">
        <v>0.74792470595760885</v>
      </c>
      <c r="P255" s="11">
        <v>0.64753469001455644</v>
      </c>
      <c r="Q255" t="s">
        <v>15</v>
      </c>
      <c r="R255" t="s">
        <v>248</v>
      </c>
      <c r="U255" s="16"/>
    </row>
    <row r="256" spans="4:21" x14ac:dyDescent="0.2">
      <c r="D256" s="1">
        <v>45971</v>
      </c>
      <c r="E256" s="2">
        <v>0.91666666666666663</v>
      </c>
      <c r="F256" t="s">
        <v>20</v>
      </c>
      <c r="G256">
        <f>VLOOKUP(Table4[[#This Row],[Home]],'NHL Model'!$A$6:$B$38,2,FALSE)</f>
        <v>-0.16296463421387539</v>
      </c>
      <c r="H256" t="s">
        <v>11</v>
      </c>
      <c r="I256">
        <f>VLOOKUP(Table4[[#This Row],[Visitor]],'NHL Model'!$A$6:$B$38,2,FALSE)</f>
        <v>-0.55695213126481558</v>
      </c>
      <c r="J256">
        <f>($B$1+Table4[[#This Row],[Home Differential]])-Table4[[#This Row],[Away Differential]]</f>
        <v>0.52359448286246435</v>
      </c>
      <c r="K256" t="str">
        <f>IF(Table4[[#This Row],[HomeIce Differential]]&gt;0,Table4[[#This Row],[Home]],Table4[[#This Row],[Visitor]])</f>
        <v>Vegas Golden Knights</v>
      </c>
      <c r="L2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0.5595097155595381</v>
      </c>
      <c r="M256" t="str">
        <f>IF(OR((NHL2025_26Results[[#This Row],[Winning Team]]="")),"-",IF(Table4[[#This Row],[Predicted Winner]]=NHL2025_26Results[[#This Row],[Winning Team]],"YES","NO"))</f>
        <v>NO</v>
      </c>
      <c r="N256">
        <f>IF(Table4[[#This Row],[Adjusted Correct]]="-", "",IF(Table4[[#This Row],[Adjusted Correct]]="YES",(Table4[[#This Row],[Strength of Win]]-1)^2,(Table4[[#This Row],[Strength of Win]]-0)^2))</f>
        <v>0.31305112180551525</v>
      </c>
      <c r="O256">
        <v>0.85796449281372977</v>
      </c>
      <c r="P256" s="11">
        <v>0.66335592746611294</v>
      </c>
      <c r="Q256" t="s">
        <v>20</v>
      </c>
      <c r="R256" t="s">
        <v>249</v>
      </c>
      <c r="U256" s="16"/>
    </row>
    <row r="257" spans="4:21" x14ac:dyDescent="0.2">
      <c r="D257" s="1">
        <v>45972</v>
      </c>
      <c r="E257" s="2">
        <v>0.79166666666666663</v>
      </c>
      <c r="F257" t="s">
        <v>21</v>
      </c>
      <c r="G257">
        <f>VLOOKUP(Table4[[#This Row],[Home]],'NHL Model'!$A$6:$B$38,2,FALSE)</f>
        <v>-0.10253061303059285</v>
      </c>
      <c r="H257" t="s">
        <v>19</v>
      </c>
      <c r="I257">
        <f>VLOOKUP(Table4[[#This Row],[Visitor]],'NHL Model'!$A$6:$B$38,2,FALSE)</f>
        <v>-0.44228056828684137</v>
      </c>
      <c r="J257">
        <f>($B$1+Table4[[#This Row],[Home Differential]])-Table4[[#This Row],[Away Differential]]</f>
        <v>0.46935694106777259</v>
      </c>
      <c r="K257" t="str">
        <f>IF(Table4[[#This Row],[HomeIce Differential]]&gt;0,Table4[[#This Row],[Home]],Table4[[#This Row],[Visitor]])</f>
        <v>Boston Bruins</v>
      </c>
      <c r="L2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0.64442188186821836</v>
      </c>
      <c r="M257" t="str">
        <f>IF(OR((NHL2025_26Results[[#This Row],[Winning Team]]="")),"-",IF(Table4[[#This Row],[Predicted Winner]]=NHL2025_26Results[[#This Row],[Winning Team]],"YES","NO"))</f>
        <v>YES</v>
      </c>
      <c r="N257">
        <f>IF(Table4[[#This Row],[Adjusted Correct]]="-", "",IF(Table4[[#This Row],[Adjusted Correct]]="YES",(Table4[[#This Row],[Strength of Win]]-1)^2,(Table4[[#This Row],[Strength of Win]]-0)^2))</f>
        <v>0.12643579809413927</v>
      </c>
      <c r="O257">
        <v>0.84013607035320859</v>
      </c>
      <c r="P257" s="16">
        <v>0.72</v>
      </c>
      <c r="Q257" t="s">
        <v>21</v>
      </c>
      <c r="R257" t="s">
        <v>248</v>
      </c>
      <c r="U257" s="16"/>
    </row>
    <row r="258" spans="4:21" x14ac:dyDescent="0.2">
      <c r="D258" s="1">
        <v>45972</v>
      </c>
      <c r="E258" s="2">
        <v>0.79166666666666663</v>
      </c>
      <c r="F258" t="s">
        <v>25</v>
      </c>
      <c r="G258">
        <f>VLOOKUP(Table4[[#This Row],[Home]],'NHL Model'!$A$6:$B$38,2,FALSE)</f>
        <v>0.2324942014830165</v>
      </c>
      <c r="H258" t="s">
        <v>22</v>
      </c>
      <c r="I258">
        <f>VLOOKUP(Table4[[#This Row],[Visitor]],'NHL Model'!$A$6:$B$38,2,FALSE)</f>
        <v>-0.11977593183651415</v>
      </c>
      <c r="J258">
        <f>($B$1+Table4[[#This Row],[Home Differential]])-Table4[[#This Row],[Away Differential]]</f>
        <v>0.48187711913105474</v>
      </c>
      <c r="K258" t="str">
        <f>IF(Table4[[#This Row],[HomeIce Differential]]&gt;0,Table4[[#This Row],[Home]],Table4[[#This Row],[Visitor]])</f>
        <v>Carolina Hurricanes</v>
      </c>
      <c r="L2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0.64968756793609628</v>
      </c>
      <c r="M258" t="str">
        <f>IF(OR((NHL2025_26Results[[#This Row],[Winning Team]]="")),"-",IF(Table4[[#This Row],[Predicted Winner]]=NHL2025_26Results[[#This Row],[Winning Team]],"YES","NO"))</f>
        <v>NO</v>
      </c>
      <c r="N258">
        <f>IF(Table4[[#This Row],[Adjusted Correct]]="-", "",IF(Table4[[#This Row],[Adjusted Correct]]="YES",(Table4[[#This Row],[Strength of Win]]-1)^2,(Table4[[#This Row],[Strength of Win]]-0)^2))</f>
        <v>0.4220939359307197</v>
      </c>
      <c r="O258">
        <v>1.4734162288057981</v>
      </c>
      <c r="P258" s="16">
        <v>0.85</v>
      </c>
      <c r="Q258" t="s">
        <v>25</v>
      </c>
      <c r="R258" t="s">
        <v>249</v>
      </c>
      <c r="U258" s="16"/>
    </row>
    <row r="259" spans="4:21" x14ac:dyDescent="0.2">
      <c r="D259" s="1">
        <v>45972</v>
      </c>
      <c r="E259" s="2">
        <v>0.89583333333333337</v>
      </c>
      <c r="F259" t="s">
        <v>12</v>
      </c>
      <c r="G259">
        <f>VLOOKUP(Table4[[#This Row],[Home]],'NHL Model'!$A$6:$B$38,2,FALSE)</f>
        <v>0.99866683349964291</v>
      </c>
      <c r="H259" t="s">
        <v>31</v>
      </c>
      <c r="I259">
        <f>VLOOKUP(Table4[[#This Row],[Visitor]],'NHL Model'!$A$6:$B$38,2,FALSE)</f>
        <v>-0.46360583111358089</v>
      </c>
      <c r="J259">
        <f>($B$1+Table4[[#This Row],[Home Differential]])-Table4[[#This Row],[Away Differential]]</f>
        <v>1.5918796504247479</v>
      </c>
      <c r="K259" t="str">
        <f>IF(Table4[[#This Row],[HomeIce Differential]]&gt;0,Table4[[#This Row],[Home]],Table4[[#This Row],[Visitor]])</f>
        <v>Colorado Avalanche</v>
      </c>
      <c r="L2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0.79859303120340608</v>
      </c>
      <c r="M259" t="str">
        <f>IF(OR((NHL2025_26Results[[#This Row],[Winning Team]]="")),"-",IF(Table4[[#This Row],[Predicted Winner]]=NHL2025_26Results[[#This Row],[Winning Team]],"YES","NO"))</f>
        <v>YES</v>
      </c>
      <c r="N259">
        <f>IF(Table4[[#This Row],[Adjusted Correct]]="-", "",IF(Table4[[#This Row],[Adjusted Correct]]="YES",(Table4[[#This Row],[Strength of Win]]-1)^2,(Table4[[#This Row],[Strength of Win]]-0)^2))</f>
        <v>4.0564767079832156E-2</v>
      </c>
      <c r="O259">
        <v>0.37513787125487419</v>
      </c>
      <c r="P259" s="16">
        <v>0.55000000000000004</v>
      </c>
      <c r="Q259" t="s">
        <v>12</v>
      </c>
      <c r="R259" t="s">
        <v>248</v>
      </c>
      <c r="U259" s="16"/>
    </row>
    <row r="260" spans="4:21" x14ac:dyDescent="0.2">
      <c r="D260" s="1">
        <v>45972</v>
      </c>
      <c r="E260" s="2">
        <v>0.83333333333333337</v>
      </c>
      <c r="F260" t="s">
        <v>34</v>
      </c>
      <c r="G260">
        <f>VLOOKUP(Table4[[#This Row],[Home]],'NHL Model'!$A$6:$B$38,2,FALSE)</f>
        <v>6.0485283743665949E-2</v>
      </c>
      <c r="H260" t="s">
        <v>33</v>
      </c>
      <c r="I260">
        <f>VLOOKUP(Table4[[#This Row],[Visitor]],'NHL Model'!$A$6:$B$38,2,FALSE)</f>
        <v>-0.65236582493376272</v>
      </c>
      <c r="J260">
        <f>($B$1+Table4[[#This Row],[Home Differential]])-Table4[[#This Row],[Away Differential]]</f>
        <v>0.84245809448895281</v>
      </c>
      <c r="K260" t="str">
        <f>IF(Table4[[#This Row],[HomeIce Differential]]&gt;0,Table4[[#This Row],[Home]],Table4[[#This Row],[Visitor]])</f>
        <v>Minnesota Wild</v>
      </c>
      <c r="L2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0.64655092848351214</v>
      </c>
      <c r="M260" t="str">
        <f>IF(OR((NHL2025_26Results[[#This Row],[Winning Team]]="")),"-",IF(Table4[[#This Row],[Predicted Winner]]=NHL2025_26Results[[#This Row],[Winning Team]],"YES","NO"))</f>
        <v>NO</v>
      </c>
      <c r="N260">
        <f>IF(Table4[[#This Row],[Adjusted Correct]]="-", "",IF(Table4[[#This Row],[Adjusted Correct]]="YES",(Table4[[#This Row],[Strength of Win]]-1)^2,(Table4[[#This Row],[Strength of Win]]-0)^2))</f>
        <v>0.41802810312289163</v>
      </c>
      <c r="O260">
        <v>-0.49569859894234214</v>
      </c>
      <c r="P260" s="16">
        <v>0.55000000000000004</v>
      </c>
      <c r="Q260" t="s">
        <v>33</v>
      </c>
      <c r="R260" t="s">
        <v>248</v>
      </c>
      <c r="U260" s="16"/>
    </row>
    <row r="261" spans="4:21" x14ac:dyDescent="0.2">
      <c r="D261" s="1">
        <v>45972</v>
      </c>
      <c r="E261" s="2">
        <v>0.79166666666666663</v>
      </c>
      <c r="F261" t="s">
        <v>18</v>
      </c>
      <c r="G261">
        <f>VLOOKUP(Table4[[#This Row],[Home]],'NHL Model'!$A$6:$B$38,2,FALSE)</f>
        <v>-8.6274676766085606E-2</v>
      </c>
      <c r="H261" t="s">
        <v>13</v>
      </c>
      <c r="I261">
        <f>VLOOKUP(Table4[[#This Row],[Visitor]],'NHL Model'!$A$6:$B$38,2,FALSE)</f>
        <v>-0.59069689888466137</v>
      </c>
      <c r="J261">
        <f>($B$1+Table4[[#This Row],[Home Differential]])-Table4[[#This Row],[Away Differential]]</f>
        <v>0.63402920793009987</v>
      </c>
      <c r="K261" t="str">
        <f>IF(Table4[[#This Row],[HomeIce Differential]]&gt;0,Table4[[#This Row],[Home]],Table4[[#This Row],[Visitor]])</f>
        <v>Montreal Canadiens</v>
      </c>
      <c r="L2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0.60453092437086997</v>
      </c>
      <c r="M261" t="str">
        <f>IF(OR((NHL2025_26Results[[#This Row],[Winning Team]]="")),"-",IF(Table4[[#This Row],[Predicted Winner]]=NHL2025_26Results[[#This Row],[Winning Team]],"YES","NO"))</f>
        <v>NO</v>
      </c>
      <c r="N261">
        <f>IF(Table4[[#This Row],[Adjusted Correct]]="-", "",IF(Table4[[#This Row],[Adjusted Correct]]="YES",(Table4[[#This Row],[Strength of Win]]-1)^2,(Table4[[#This Row],[Strength of Win]]-0)^2))</f>
        <v>0.36545763852069851</v>
      </c>
      <c r="O261">
        <v>0.742329524465279</v>
      </c>
      <c r="P261" s="16">
        <v>0.62</v>
      </c>
      <c r="Q261" t="s">
        <v>18</v>
      </c>
      <c r="R261" t="s">
        <v>249</v>
      </c>
      <c r="U261" s="16"/>
    </row>
    <row r="262" spans="4:21" x14ac:dyDescent="0.2">
      <c r="D262" s="1">
        <v>45972</v>
      </c>
      <c r="E262" s="2">
        <v>0.79166666666666663</v>
      </c>
      <c r="F262" t="s">
        <v>36</v>
      </c>
      <c r="G262">
        <f>VLOOKUP(Table4[[#This Row],[Home]],'NHL Model'!$A$6:$B$38,2,FALSE)</f>
        <v>-0.19010748264223354</v>
      </c>
      <c r="H262" t="s">
        <v>39</v>
      </c>
      <c r="I262">
        <f>VLOOKUP(Table4[[#This Row],[Visitor]],'NHL Model'!$A$6:$B$38,2,FALSE)</f>
        <v>0.21708030788125537</v>
      </c>
      <c r="J262">
        <f>($B$1+Table4[[#This Row],[Home Differential]])-Table4[[#This Row],[Away Differential]]</f>
        <v>-0.27758080471196478</v>
      </c>
      <c r="K262" t="str">
        <f>IF(Table4[[#This Row],[HomeIce Differential]]&gt;0,Table4[[#This Row],[Home]],Table4[[#This Row],[Visitor]])</f>
        <v>Dallas Stars</v>
      </c>
      <c r="L2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0.54930533676788118</v>
      </c>
      <c r="M262" t="str">
        <f>IF(OR((NHL2025_26Results[[#This Row],[Winning Team]]="")),"-",IF(Table4[[#This Row],[Predicted Winner]]=NHL2025_26Results[[#This Row],[Winning Team]],"YES","NO"))</f>
        <v>YES</v>
      </c>
      <c r="N262">
        <f>IF(Table4[[#This Row],[Adjusted Correct]]="-", "",IF(Table4[[#This Row],[Adjusted Correct]]="YES",(Table4[[#This Row],[Strength of Win]]-1)^2,(Table4[[#This Row],[Strength of Win]]-0)^2))</f>
        <v>0.20312567946591301</v>
      </c>
      <c r="O262">
        <v>0.27946614982820012</v>
      </c>
      <c r="P262" s="16">
        <v>0.56000000000000005</v>
      </c>
      <c r="Q262" t="s">
        <v>36</v>
      </c>
      <c r="R262" t="s">
        <v>249</v>
      </c>
      <c r="U262" s="16"/>
    </row>
    <row r="263" spans="4:21" x14ac:dyDescent="0.2">
      <c r="D263" s="1">
        <v>45972</v>
      </c>
      <c r="E263" s="2">
        <v>0.91666666666666663</v>
      </c>
      <c r="F263" t="s">
        <v>32</v>
      </c>
      <c r="G263">
        <f>VLOOKUP(Table4[[#This Row],[Home]],'NHL Model'!$A$6:$B$38,2,FALSE)</f>
        <v>-0.48236715437805205</v>
      </c>
      <c r="H263" t="s">
        <v>28</v>
      </c>
      <c r="I263">
        <f>VLOOKUP(Table4[[#This Row],[Visitor]],'NHL Model'!$A$6:$B$38,2,FALSE)</f>
        <v>-0.28156479873410767</v>
      </c>
      <c r="J263">
        <f>($B$1+Table4[[#This Row],[Home Differential]])-Table4[[#This Row],[Away Differential]]</f>
        <v>-7.1195369832420252E-2</v>
      </c>
      <c r="K263" t="str">
        <f>IF(Table4[[#This Row],[HomeIce Differential]]&gt;0,Table4[[#This Row],[Home]],Table4[[#This Row],[Visitor]])</f>
        <v>Columbus Blue Jackets</v>
      </c>
      <c r="L2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0.48001098674550097</v>
      </c>
      <c r="M263" t="str">
        <f>IF(OR((NHL2025_26Results[[#This Row],[Winning Team]]="")),"-",IF(Table4[[#This Row],[Predicted Winner]]=NHL2025_26Results[[#This Row],[Winning Team]],"YES","NO"))</f>
        <v>YES</v>
      </c>
      <c r="N263">
        <f>IF(Table4[[#This Row],[Adjusted Correct]]="-", "",IF(Table4[[#This Row],[Adjusted Correct]]="YES",(Table4[[#This Row],[Strength of Win]]-1)^2,(Table4[[#This Row],[Strength of Win]]-0)^2))</f>
        <v>0.27038857390538762</v>
      </c>
      <c r="O263">
        <v>0.22727338724377955</v>
      </c>
      <c r="P263" s="16">
        <v>0.59</v>
      </c>
      <c r="Q263" t="s">
        <v>32</v>
      </c>
      <c r="R263" t="s">
        <v>249</v>
      </c>
    </row>
    <row r="264" spans="4:21" x14ac:dyDescent="0.2">
      <c r="D264" s="1">
        <v>45972</v>
      </c>
      <c r="E264" s="2">
        <v>0.83333333333333337</v>
      </c>
      <c r="F264" t="s">
        <v>35</v>
      </c>
      <c r="G264">
        <f>VLOOKUP(Table4[[#This Row],[Home]],'NHL Model'!$A$6:$B$38,2,FALSE)</f>
        <v>-1.3128572733047907</v>
      </c>
      <c r="H264" t="s">
        <v>16</v>
      </c>
      <c r="I264">
        <f>VLOOKUP(Table4[[#This Row],[Visitor]],'NHL Model'!$A$6:$B$38,2,FALSE)</f>
        <v>-0.89031221864884547</v>
      </c>
      <c r="J264">
        <f>($B$1+Table4[[#This Row],[Home Differential]])-Table4[[#This Row],[Away Differential]]</f>
        <v>-0.2929380688444212</v>
      </c>
      <c r="K264" t="str">
        <f>IF(Table4[[#This Row],[HomeIce Differential]]&gt;0,Table4[[#This Row],[Home]],Table4[[#This Row],[Visitor]])</f>
        <v>Calgary Flames</v>
      </c>
      <c r="L2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0.4928951483055497</v>
      </c>
      <c r="M264" t="str">
        <f>IF(OR((NHL2025_26Results[[#This Row],[Winning Team]]="")),"-",IF(Table4[[#This Row],[Predicted Winner]]=NHL2025_26Results[[#This Row],[Winning Team]],"YES","NO"))</f>
        <v>NO</v>
      </c>
      <c r="N264">
        <f>IF(Table4[[#This Row],[Adjusted Correct]]="-", "",IF(Table4[[#This Row],[Adjusted Correct]]="YES",(Table4[[#This Row],[Strength of Win]]-1)^2,(Table4[[#This Row],[Strength of Win]]-0)^2))</f>
        <v>0.24294562722314983</v>
      </c>
      <c r="O264">
        <v>-8.9644336710186456E-2</v>
      </c>
      <c r="P264" s="16">
        <v>0.47</v>
      </c>
      <c r="Q264" t="s">
        <v>16</v>
      </c>
      <c r="R264" t="s">
        <v>249</v>
      </c>
    </row>
    <row r="265" spans="4:21" x14ac:dyDescent="0.2">
      <c r="D265" s="1">
        <v>45972</v>
      </c>
      <c r="E265" s="2">
        <v>0.91666666666666663</v>
      </c>
      <c r="F265" t="s">
        <v>38</v>
      </c>
      <c r="G265">
        <f>VLOOKUP(Table4[[#This Row],[Home]],'NHL Model'!$A$6:$B$38,2,FALSE)</f>
        <v>-1.3920033028857945</v>
      </c>
      <c r="H265" t="s">
        <v>40</v>
      </c>
      <c r="I265">
        <f>VLOOKUP(Table4[[#This Row],[Visitor]],'NHL Model'!$A$6:$B$38,2,FALSE)</f>
        <v>-0.58845147248022256</v>
      </c>
      <c r="J265">
        <f>($B$1+Table4[[#This Row],[Home Differential]])-Table4[[#This Row],[Away Differential]]</f>
        <v>-0.67394484459404791</v>
      </c>
      <c r="K265" t="str">
        <f>IF(Table4[[#This Row],[HomeIce Differential]]&gt;0,Table4[[#This Row],[Home]],Table4[[#This Row],[Visitor]])</f>
        <v>Winnipeg Jets</v>
      </c>
      <c r="L2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0.53567987220007263</v>
      </c>
      <c r="M265" t="str">
        <f>IF(OR((NHL2025_26Results[[#This Row],[Winning Team]]="")),"-",IF(Table4[[#This Row],[Predicted Winner]]=NHL2025_26Results[[#This Row],[Winning Team]],"YES","NO"))</f>
        <v>YES</v>
      </c>
      <c r="N265">
        <f>IF(Table4[[#This Row],[Adjusted Correct]]="-", "",IF(Table4[[#This Row],[Adjusted Correct]]="YES",(Table4[[#This Row],[Strength of Win]]-1)^2,(Table4[[#This Row],[Strength of Win]]-0)^2))</f>
        <v>0.21559318108014089</v>
      </c>
      <c r="O265">
        <v>-0.98356899366419159</v>
      </c>
      <c r="P265" s="16">
        <v>0.65</v>
      </c>
      <c r="Q265" t="s">
        <v>40</v>
      </c>
      <c r="R265" t="s">
        <v>248</v>
      </c>
    </row>
    <row r="266" spans="4:21" x14ac:dyDescent="0.2">
      <c r="D266" s="1">
        <v>45973</v>
      </c>
      <c r="E266" s="2">
        <v>0.89583333333333337</v>
      </c>
      <c r="F266" t="s">
        <v>10</v>
      </c>
      <c r="G266">
        <f>VLOOKUP(Table4[[#This Row],[Home]],'NHL Model'!$A$6:$B$38,2,FALSE)</f>
        <v>-0.92658078135875344</v>
      </c>
      <c r="H266" t="s">
        <v>24</v>
      </c>
      <c r="I266">
        <f>VLOOKUP(Table4[[#This Row],[Visitor]],'NHL Model'!$A$6:$B$38,2,FALSE)</f>
        <v>-0.74510803532792402</v>
      </c>
      <c r="J266">
        <f>($B$1+Table4[[#This Row],[Home Differential]])-Table4[[#This Row],[Away Differential]]</f>
        <v>-5.1865760219305335E-2</v>
      </c>
      <c r="K266" t="str">
        <f>IF(Table4[[#This Row],[HomeIce Differential]]&gt;0,Table4[[#This Row],[Home]],Table4[[#This Row],[Visitor]])</f>
        <v>New Jersey Devils</v>
      </c>
      <c r="L2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0.48659343750727763</v>
      </c>
      <c r="M266" t="str">
        <f>IF(OR((NHL2025_26Results[[#This Row],[Winning Team]]="")),"-",IF(Table4[[#This Row],[Predicted Winner]]=NHL2025_26Results[[#This Row],[Winning Team]],"YES","NO"))</f>
        <v>YES</v>
      </c>
      <c r="N266">
        <f>IF(Table4[[#This Row],[Adjusted Correct]]="-", "",IF(Table4[[#This Row],[Adjusted Correct]]="YES",(Table4[[#This Row],[Strength of Win]]-1)^2,(Table4[[#This Row],[Strength of Win]]-0)^2))</f>
        <v>0.26358629841059372</v>
      </c>
      <c r="O266">
        <v>-0.17192837851363024</v>
      </c>
      <c r="P266" s="11">
        <v>0.53177013878421053</v>
      </c>
      <c r="Q266" t="s">
        <v>24</v>
      </c>
      <c r="R266" t="s">
        <v>248</v>
      </c>
    </row>
    <row r="267" spans="4:21" x14ac:dyDescent="0.2">
      <c r="D267" s="1">
        <v>45973</v>
      </c>
      <c r="E267" s="2">
        <v>0.8125</v>
      </c>
      <c r="F267" t="s">
        <v>27</v>
      </c>
      <c r="G267">
        <f>VLOOKUP(Table4[[#This Row],[Home]],'NHL Model'!$A$6:$B$38,2,FALSE)</f>
        <v>-0.55097933929175691</v>
      </c>
      <c r="H267" t="s">
        <v>17</v>
      </c>
      <c r="I267">
        <f>VLOOKUP(Table4[[#This Row],[Visitor]],'NHL Model'!$A$6:$B$38,2,FALSE)</f>
        <v>-0.36462594951491906</v>
      </c>
      <c r="J267">
        <f>($B$1+Table4[[#This Row],[Home Differential]])-Table4[[#This Row],[Away Differential]]</f>
        <v>-5.6746403965313774E-2</v>
      </c>
      <c r="K267" t="str">
        <f>IF(Table4[[#This Row],[HomeIce Differential]]&gt;0,Table4[[#This Row],[Home]],Table4[[#This Row],[Visitor]])</f>
        <v>Edmonton Oilers</v>
      </c>
      <c r="L2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0.4663722730937952</v>
      </c>
      <c r="M267" t="str">
        <f>IF(OR((NHL2025_26Results[[#This Row],[Winning Team]]="")),"-",IF(Table4[[#This Row],[Predicted Winner]]=NHL2025_26Results[[#This Row],[Winning Team]],"YES","NO"))</f>
        <v>YES</v>
      </c>
      <c r="N267">
        <f>IF(Table4[[#This Row],[Adjusted Correct]]="-", "",IF(Table4[[#This Row],[Adjusted Correct]]="YES",(Table4[[#This Row],[Strength of Win]]-1)^2,(Table4[[#This Row],[Strength of Win]]-0)^2))</f>
        <v>0.28475855092308316</v>
      </c>
      <c r="O267">
        <v>0.61300416745127484</v>
      </c>
      <c r="P267" s="11">
        <v>0.63045810086061171</v>
      </c>
      <c r="Q267" t="s">
        <v>27</v>
      </c>
      <c r="R267" t="s">
        <v>249</v>
      </c>
    </row>
    <row r="268" spans="4:21" x14ac:dyDescent="0.2">
      <c r="D268" s="1">
        <v>45973</v>
      </c>
      <c r="E268" s="2">
        <v>0.79166666666666663</v>
      </c>
      <c r="F268" t="s">
        <v>37</v>
      </c>
      <c r="G268">
        <f>VLOOKUP(Table4[[#This Row],[Home]],'NHL Model'!$A$6:$B$38,2,FALSE)</f>
        <v>0.72108184732572844</v>
      </c>
      <c r="H268" t="s">
        <v>15</v>
      </c>
      <c r="I268">
        <f>VLOOKUP(Table4[[#This Row],[Visitor]],'NHL Model'!$A$6:$B$38,2,FALSE)</f>
        <v>-0.73651915476403329</v>
      </c>
      <c r="J268">
        <f>($B$1+Table4[[#This Row],[Home Differential]])-Table4[[#This Row],[Away Differential]]</f>
        <v>1.5872079879012859</v>
      </c>
      <c r="K268" t="str">
        <f>IF(Table4[[#This Row],[HomeIce Differential]]&gt;0,Table4[[#This Row],[Home]],Table4[[#This Row],[Visitor]])</f>
        <v>Tampa Bay Lightning</v>
      </c>
      <c r="L2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0.73911933026938614</v>
      </c>
      <c r="M268" t="str">
        <f>IF(OR((NHL2025_26Results[[#This Row],[Winning Team]]="")),"-",IF(Table4[[#This Row],[Predicted Winner]]=NHL2025_26Results[[#This Row],[Winning Team]],"YES","NO"))</f>
        <v>NO</v>
      </c>
      <c r="N268">
        <f>IF(Table4[[#This Row],[Adjusted Correct]]="-", "",IF(Table4[[#This Row],[Adjusted Correct]]="YES",(Table4[[#This Row],[Strength of Win]]-1)^2,(Table4[[#This Row],[Strength of Win]]-0)^2))</f>
        <v>0.5462973843778659</v>
      </c>
      <c r="O268">
        <v>0.51817683327806419</v>
      </c>
      <c r="P268" s="11">
        <v>0.47734051159917035</v>
      </c>
      <c r="Q268" t="s">
        <v>37</v>
      </c>
      <c r="R268" t="s">
        <v>249</v>
      </c>
    </row>
    <row r="269" spans="4:21" x14ac:dyDescent="0.2">
      <c r="D269" s="1">
        <v>45973</v>
      </c>
      <c r="E269" s="2">
        <v>0.875</v>
      </c>
      <c r="F269" t="s">
        <v>55</v>
      </c>
      <c r="G269">
        <f>VLOOKUP(Table4[[#This Row],[Home]],'NHL Model'!$A$6:$B$38,2,FALSE)</f>
        <v>8.4094725828611647E-2</v>
      </c>
      <c r="H269" t="s">
        <v>23</v>
      </c>
      <c r="I269">
        <f>VLOOKUP(Table4[[#This Row],[Visitor]],'NHL Model'!$A$6:$B$38,2,FALSE)</f>
        <v>8.1543966060426461E-3</v>
      </c>
      <c r="J269">
        <f>($B$1+Table4[[#This Row],[Home Differential]])-Table4[[#This Row],[Away Differential]]</f>
        <v>0.2055473150340931</v>
      </c>
      <c r="K269" t="str">
        <f>IF(Table4[[#This Row],[HomeIce Differential]]&gt;0,Table4[[#This Row],[Home]],Table4[[#This Row],[Visitor]])</f>
        <v>Utah Mammoth</v>
      </c>
      <c r="L2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0.55544078411032183</v>
      </c>
      <c r="M269" t="str">
        <f>IF(OR((NHL2025_26Results[[#This Row],[Winning Team]]="")),"-",IF(Table4[[#This Row],[Predicted Winner]]=NHL2025_26Results[[#This Row],[Winning Team]],"YES","NO"))</f>
        <v>YES</v>
      </c>
      <c r="N269">
        <f>IF(Table4[[#This Row],[Adjusted Correct]]="-", "",IF(Table4[[#This Row],[Adjusted Correct]]="YES",(Table4[[#This Row],[Strength of Win]]-1)^2,(Table4[[#This Row],[Strength of Win]]-0)^2))</f>
        <v>0.1976328964324455</v>
      </c>
      <c r="O269">
        <v>0.96461121881967093</v>
      </c>
      <c r="P269" s="11">
        <v>0.78274613645614943</v>
      </c>
      <c r="Q269" t="s">
        <v>55</v>
      </c>
      <c r="R269" t="s">
        <v>248</v>
      </c>
    </row>
    <row r="270" spans="4:21" x14ac:dyDescent="0.2">
      <c r="D270" s="1">
        <v>45974</v>
      </c>
      <c r="E270" s="2">
        <v>0.8125</v>
      </c>
      <c r="F270" t="s">
        <v>28</v>
      </c>
      <c r="G270">
        <f>VLOOKUP(Table4[[#This Row],[Home]],'NHL Model'!$A$6:$B$38,2,FALSE)</f>
        <v>-0.28156479873410767</v>
      </c>
      <c r="H270" t="s">
        <v>17</v>
      </c>
      <c r="I270">
        <f>VLOOKUP(Table4[[#This Row],[Visitor]],'NHL Model'!$A$6:$B$38,2,FALSE)</f>
        <v>-0.36462594951491906</v>
      </c>
      <c r="J270">
        <f>($B$1+Table4[[#This Row],[Home Differential]])-Table4[[#This Row],[Away Differential]]</f>
        <v>0.21266813659233549</v>
      </c>
      <c r="K270" t="str">
        <f>IF(Table4[[#This Row],[HomeIce Differential]]&gt;0,Table4[[#This Row],[Home]],Table4[[#This Row],[Visitor]])</f>
        <v>Columbus Blue Jackets</v>
      </c>
      <c r="L2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0.57092727913389696</v>
      </c>
      <c r="M270" t="str">
        <f>IF(OR((NHL2025_26Results[[#This Row],[Winning Team]]="")),"-",IF(Table4[[#This Row],[Predicted Winner]]=NHL2025_26Results[[#This Row],[Winning Team]],"YES","NO"))</f>
        <v>YES</v>
      </c>
      <c r="N270">
        <f>IF(Table4[[#This Row],[Adjusted Correct]]="-", "",IF(Table4[[#This Row],[Adjusted Correct]]="YES",(Table4[[#This Row],[Strength of Win]]-1)^2,(Table4[[#This Row],[Strength of Win]]-0)^2))</f>
        <v>0.18410339979144077</v>
      </c>
      <c r="O270">
        <v>0.46750762202084228</v>
      </c>
      <c r="P270" s="11">
        <v>0.60655393581935702</v>
      </c>
      <c r="Q270" t="s">
        <v>28</v>
      </c>
      <c r="R270" t="s">
        <v>248</v>
      </c>
    </row>
    <row r="271" spans="4:21" x14ac:dyDescent="0.2">
      <c r="D271" s="1">
        <v>45974</v>
      </c>
      <c r="E271" s="2">
        <v>0.875</v>
      </c>
      <c r="F271" t="s">
        <v>16</v>
      </c>
      <c r="G271">
        <f>VLOOKUP(Table4[[#This Row],[Home]],'NHL Model'!$A$6:$B$38,2,FALSE)</f>
        <v>-0.89031221864884547</v>
      </c>
      <c r="H271" t="s">
        <v>33</v>
      </c>
      <c r="I271">
        <f>VLOOKUP(Table4[[#This Row],[Visitor]],'NHL Model'!$A$6:$B$38,2,FALSE)</f>
        <v>-0.65236582493376272</v>
      </c>
      <c r="J271">
        <f>($B$1+Table4[[#This Row],[Home Differential]])-Table4[[#This Row],[Away Differential]]</f>
        <v>-0.10833940790355867</v>
      </c>
      <c r="K271" t="str">
        <f>IF(Table4[[#This Row],[HomeIce Differential]]&gt;0,Table4[[#This Row],[Home]],Table4[[#This Row],[Visitor]])</f>
        <v>San Jose Sharks</v>
      </c>
      <c r="L2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0.47216585097451352</v>
      </c>
      <c r="M271" t="str">
        <f>IF(OR((NHL2025_26Results[[#This Row],[Winning Team]]="")),"-",IF(Table4[[#This Row],[Predicted Winner]]=NHL2025_26Results[[#This Row],[Winning Team]],"YES","NO"))</f>
        <v>NO</v>
      </c>
      <c r="N271">
        <f>IF(Table4[[#This Row],[Adjusted Correct]]="-", "",IF(Table4[[#This Row],[Adjusted Correct]]="YES",(Table4[[#This Row],[Strength of Win]]-1)^2,(Table4[[#This Row],[Strength of Win]]-0)^2))</f>
        <v>0.22294059082648651</v>
      </c>
      <c r="O271">
        <v>-1.373893816442042</v>
      </c>
      <c r="P271" s="11">
        <v>0.70972502094590872</v>
      </c>
      <c r="Q271" t="s">
        <v>33</v>
      </c>
      <c r="R271" t="s">
        <v>249</v>
      </c>
    </row>
    <row r="272" spans="4:21" x14ac:dyDescent="0.2">
      <c r="D272" s="1">
        <v>45974</v>
      </c>
      <c r="E272" s="2">
        <v>0.875</v>
      </c>
      <c r="F272" t="s">
        <v>12</v>
      </c>
      <c r="G272">
        <f>VLOOKUP(Table4[[#This Row],[Home]],'NHL Model'!$A$6:$B$38,2,FALSE)</f>
        <v>0.99866683349964291</v>
      </c>
      <c r="H272" t="s">
        <v>23</v>
      </c>
      <c r="I272">
        <f>VLOOKUP(Table4[[#This Row],[Visitor]],'NHL Model'!$A$6:$B$38,2,FALSE)</f>
        <v>8.1543966060426461E-3</v>
      </c>
      <c r="J272">
        <f>($B$1+Table4[[#This Row],[Home Differential]])-Table4[[#This Row],[Away Differential]]</f>
        <v>1.1201194227051243</v>
      </c>
      <c r="K272" t="str">
        <f>IF(Table4[[#This Row],[HomeIce Differential]]&gt;0,Table4[[#This Row],[Home]],Table4[[#This Row],[Visitor]])</f>
        <v>Colorado Avalanche</v>
      </c>
      <c r="L2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0.71019812498862578</v>
      </c>
      <c r="M272" t="str">
        <f>IF(OR((NHL2025_26Results[[#This Row],[Winning Team]]="")),"-",IF(Table4[[#This Row],[Predicted Winner]]=NHL2025_26Results[[#This Row],[Winning Team]],"YES","NO"))</f>
        <v>YES</v>
      </c>
      <c r="N272">
        <f>IF(Table4[[#This Row],[Adjusted Correct]]="-", "",IF(Table4[[#This Row],[Adjusted Correct]]="YES",(Table4[[#This Row],[Strength of Win]]-1)^2,(Table4[[#This Row],[Strength of Win]]-0)^2))</f>
        <v>8.3985126760108164E-2</v>
      </c>
      <c r="O272">
        <v>2.4925655891404026</v>
      </c>
      <c r="P272" s="11">
        <v>0.96311174812141942</v>
      </c>
      <c r="Q272" t="s">
        <v>12</v>
      </c>
      <c r="R272" t="s">
        <v>248</v>
      </c>
    </row>
    <row r="273" spans="4:18" x14ac:dyDescent="0.2">
      <c r="D273" s="1">
        <v>45974</v>
      </c>
      <c r="E273" s="2">
        <v>0.79166666666666663</v>
      </c>
      <c r="F273" t="s">
        <v>26</v>
      </c>
      <c r="G273">
        <f>VLOOKUP(Table4[[#This Row],[Home]],'NHL Model'!$A$6:$B$38,2,FALSE)</f>
        <v>-0.33113778518110382</v>
      </c>
      <c r="H273" t="s">
        <v>31</v>
      </c>
      <c r="I273">
        <f>VLOOKUP(Table4[[#This Row],[Visitor]],'NHL Model'!$A$6:$B$38,2,FALSE)</f>
        <v>-0.46360583111358089</v>
      </c>
      <c r="J273">
        <f>($B$1+Table4[[#This Row],[Home Differential]])-Table4[[#This Row],[Away Differential]]</f>
        <v>0.26207503174400115</v>
      </c>
      <c r="K273" t="str">
        <f>IF(Table4[[#This Row],[HomeIce Differential]]&gt;0,Table4[[#This Row],[Home]],Table4[[#This Row],[Visitor]])</f>
        <v>Detroit Red Wings</v>
      </c>
      <c r="L2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0.59546715439615283</v>
      </c>
      <c r="M273" t="str">
        <f>IF(OR((NHL2025_26Results[[#This Row],[Winning Team]]="")),"-",IF(Table4[[#This Row],[Predicted Winner]]=NHL2025_26Results[[#This Row],[Winning Team]],"YES","NO"))</f>
        <v>YES</v>
      </c>
      <c r="N273">
        <f>IF(Table4[[#This Row],[Adjusted Correct]]="-", "",IF(Table4[[#This Row],[Adjusted Correct]]="YES",(Table4[[#This Row],[Strength of Win]]-1)^2,(Table4[[#This Row],[Strength of Win]]-0)^2))</f>
        <v>0.16364682317234605</v>
      </c>
      <c r="O273">
        <v>-1.4741895320739622</v>
      </c>
      <c r="P273" s="11">
        <v>0.69966012353071072</v>
      </c>
      <c r="Q273" t="s">
        <v>31</v>
      </c>
      <c r="R273" t="s">
        <v>249</v>
      </c>
    </row>
    <row r="274" spans="4:18" x14ac:dyDescent="0.2">
      <c r="D274" s="1">
        <v>45974</v>
      </c>
      <c r="E274" s="2">
        <v>0.79166666666666663</v>
      </c>
      <c r="F274" t="s">
        <v>11</v>
      </c>
      <c r="G274">
        <f>VLOOKUP(Table4[[#This Row],[Home]],'NHL Model'!$A$6:$B$38,2,FALSE)</f>
        <v>-0.55695213126481558</v>
      </c>
      <c r="H274" t="s">
        <v>22</v>
      </c>
      <c r="I274">
        <f>VLOOKUP(Table4[[#This Row],[Visitor]],'NHL Model'!$A$6:$B$38,2,FALSE)</f>
        <v>-0.11977593183651415</v>
      </c>
      <c r="J274">
        <f>($B$1+Table4[[#This Row],[Home Differential]])-Table4[[#This Row],[Away Differential]]</f>
        <v>-0.30756921361677736</v>
      </c>
      <c r="K274" t="str">
        <f>IF(Table4[[#This Row],[HomeIce Differential]]&gt;0,Table4[[#This Row],[Home]],Table4[[#This Row],[Visitor]])</f>
        <v>Washington Capitals</v>
      </c>
      <c r="L2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0.49453813611886205</v>
      </c>
      <c r="M274" t="str">
        <f>IF(OR((NHL2025_26Results[[#This Row],[Winning Team]]="")),"-",IF(Table4[[#This Row],[Predicted Winner]]=NHL2025_26Results[[#This Row],[Winning Team]],"YES","NO"))</f>
        <v>NO</v>
      </c>
      <c r="N274">
        <f>IF(Table4[[#This Row],[Adjusted Correct]]="-", "",IF(Table4[[#This Row],[Adjusted Correct]]="YES",(Table4[[#This Row],[Strength of Win]]-1)^2,(Table4[[#This Row],[Strength of Win]]-0)^2))</f>
        <v>0.24456796807591813</v>
      </c>
      <c r="O274">
        <v>-0.25218898579568283</v>
      </c>
      <c r="P274" s="11">
        <v>0.44766608755917686</v>
      </c>
      <c r="Q274" t="s">
        <v>22</v>
      </c>
      <c r="R274" t="s">
        <v>249</v>
      </c>
    </row>
    <row r="275" spans="4:18" x14ac:dyDescent="0.2">
      <c r="D275" s="1">
        <v>45974</v>
      </c>
      <c r="E275" s="2">
        <v>0.79166666666666663</v>
      </c>
      <c r="F275" t="s">
        <v>18</v>
      </c>
      <c r="G275">
        <f>VLOOKUP(Table4[[#This Row],[Home]],'NHL Model'!$A$6:$B$38,2,FALSE)</f>
        <v>-8.6274676766085606E-2</v>
      </c>
      <c r="H275" t="s">
        <v>39</v>
      </c>
      <c r="I275">
        <f>VLOOKUP(Table4[[#This Row],[Visitor]],'NHL Model'!$A$6:$B$38,2,FALSE)</f>
        <v>0.21708030788125537</v>
      </c>
      <c r="J275">
        <f>($B$1+Table4[[#This Row],[Home Differential]])-Table4[[#This Row],[Away Differential]]</f>
        <v>-0.17374799883581687</v>
      </c>
      <c r="K275" t="str">
        <f>IF(Table4[[#This Row],[HomeIce Differential]]&gt;0,Table4[[#This Row],[Home]],Table4[[#This Row],[Visitor]])</f>
        <v>Dallas Stars</v>
      </c>
      <c r="L2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0.52351083453251046</v>
      </c>
      <c r="M275" t="str">
        <f>IF(OR((NHL2025_26Results[[#This Row],[Winning Team]]="")),"-",IF(Table4[[#This Row],[Predicted Winner]]=NHL2025_26Results[[#This Row],[Winning Team]],"YES","NO"))</f>
        <v>YES</v>
      </c>
      <c r="N275">
        <f>IF(Table4[[#This Row],[Adjusted Correct]]="-", "",IF(Table4[[#This Row],[Adjusted Correct]]="YES",(Table4[[#This Row],[Strength of Win]]-1)^2,(Table4[[#This Row],[Strength of Win]]-0)^2))</f>
        <v>0.22704192480790464</v>
      </c>
      <c r="O275">
        <v>0.36080347970302373</v>
      </c>
      <c r="P275" s="11">
        <v>0.55136363665635635</v>
      </c>
      <c r="Q275" t="s">
        <v>18</v>
      </c>
      <c r="R275" t="s">
        <v>249</v>
      </c>
    </row>
    <row r="276" spans="4:18" x14ac:dyDescent="0.2">
      <c r="D276" s="1">
        <v>45974</v>
      </c>
      <c r="E276" s="2">
        <v>0.79166666666666663</v>
      </c>
      <c r="F276" t="s">
        <v>36</v>
      </c>
      <c r="G276">
        <f>VLOOKUP(Table4[[#This Row],[Home]],'NHL Model'!$A$6:$B$38,2,FALSE)</f>
        <v>-0.19010748264223354</v>
      </c>
      <c r="H276" t="s">
        <v>21</v>
      </c>
      <c r="I276">
        <f>VLOOKUP(Table4[[#This Row],[Visitor]],'NHL Model'!$A$6:$B$38,2,FALSE)</f>
        <v>-0.10253061303059285</v>
      </c>
      <c r="J276">
        <f>($B$1+Table4[[#This Row],[Home Differential]])-Table4[[#This Row],[Away Differential]]</f>
        <v>4.2030116199883422E-2</v>
      </c>
      <c r="K276" t="str">
        <f>IF(Table4[[#This Row],[HomeIce Differential]]&gt;0,Table4[[#This Row],[Home]],Table4[[#This Row],[Visitor]])</f>
        <v>Ottawa Senators</v>
      </c>
      <c r="L2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0.54471972424461146</v>
      </c>
      <c r="M276" t="str">
        <f>IF(OR((NHL2025_26Results[[#This Row],[Winning Team]]="")),"-",IF(Table4[[#This Row],[Predicted Winner]]=NHL2025_26Results[[#This Row],[Winning Team]],"YES","NO"))</f>
        <v>YES</v>
      </c>
      <c r="N276">
        <f>IF(Table4[[#This Row],[Adjusted Correct]]="-", "",IF(Table4[[#This Row],[Adjusted Correct]]="YES",(Table4[[#This Row],[Strength of Win]]-1)^2,(Table4[[#This Row],[Strength of Win]]-0)^2))</f>
        <v>0.20728012949190264</v>
      </c>
      <c r="O276">
        <v>-0.53550251254725545</v>
      </c>
      <c r="P276" s="11">
        <v>0.52918767123503918</v>
      </c>
      <c r="Q276" t="s">
        <v>21</v>
      </c>
      <c r="R276" t="s">
        <v>249</v>
      </c>
    </row>
    <row r="277" spans="4:18" x14ac:dyDescent="0.2">
      <c r="D277" s="1">
        <v>45974</v>
      </c>
      <c r="E277" s="2">
        <v>0.91666666666666663</v>
      </c>
      <c r="F277" t="s">
        <v>32</v>
      </c>
      <c r="G277">
        <f>VLOOKUP(Table4[[#This Row],[Home]],'NHL Model'!$A$6:$B$38,2,FALSE)</f>
        <v>-0.48236715437805205</v>
      </c>
      <c r="H277" t="s">
        <v>40</v>
      </c>
      <c r="I277">
        <f>VLOOKUP(Table4[[#This Row],[Visitor]],'NHL Model'!$A$6:$B$38,2,FALSE)</f>
        <v>-0.58845147248022256</v>
      </c>
      <c r="J277">
        <f>($B$1+Table4[[#This Row],[Home Differential]])-Table4[[#This Row],[Away Differential]]</f>
        <v>0.23569130391369464</v>
      </c>
      <c r="K277" t="str">
        <f>IF(Table4[[#This Row],[HomeIce Differential]]&gt;0,Table4[[#This Row],[Home]],Table4[[#This Row],[Visitor]])</f>
        <v>Seattle Kraken</v>
      </c>
      <c r="L2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0.56646668774445641</v>
      </c>
      <c r="M277" t="str">
        <f>IF(OR((NHL2025_26Results[[#This Row],[Winning Team]]="")),"-",IF(Table4[[#This Row],[Predicted Winner]]=NHL2025_26Results[[#This Row],[Winning Team]],"YES","NO"))</f>
        <v>YES</v>
      </c>
      <c r="N277">
        <f>IF(Table4[[#This Row],[Adjusted Correct]]="-", "",IF(Table4[[#This Row],[Adjusted Correct]]="YES",(Table4[[#This Row],[Strength of Win]]-1)^2,(Table4[[#This Row],[Strength of Win]]-0)^2))</f>
        <v>0.18795113283526266</v>
      </c>
      <c r="O277">
        <v>-0.67968457260993353</v>
      </c>
      <c r="P277" s="11">
        <v>0.63323992930902162</v>
      </c>
      <c r="Q277" t="s">
        <v>40</v>
      </c>
      <c r="R277" t="s">
        <v>249</v>
      </c>
    </row>
    <row r="278" spans="4:18" x14ac:dyDescent="0.2">
      <c r="D278" s="1">
        <v>45974</v>
      </c>
      <c r="E278" s="2">
        <v>0.79166666666666663</v>
      </c>
      <c r="F278" t="s">
        <v>19</v>
      </c>
      <c r="G278">
        <f>VLOOKUP(Table4[[#This Row],[Home]],'NHL Model'!$A$6:$B$38,2,FALSE)</f>
        <v>-0.44228056828684137</v>
      </c>
      <c r="H278" t="s">
        <v>13</v>
      </c>
      <c r="I278">
        <f>VLOOKUP(Table4[[#This Row],[Visitor]],'NHL Model'!$A$6:$B$38,2,FALSE)</f>
        <v>-0.59069689888466137</v>
      </c>
      <c r="J278">
        <f>($B$1+Table4[[#This Row],[Home Differential]])-Table4[[#This Row],[Away Differential]]</f>
        <v>0.27802331640934408</v>
      </c>
      <c r="K278" t="str">
        <f>IF(Table4[[#This Row],[HomeIce Differential]]&gt;0,Table4[[#This Row],[Home]],Table4[[#This Row],[Visitor]])</f>
        <v>Toronto Maple Leafs</v>
      </c>
      <c r="L2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0.55045108232207784</v>
      </c>
      <c r="M278" t="str">
        <f>IF(OR((NHL2025_26Results[[#This Row],[Winning Team]]="")),"-",IF(Table4[[#This Row],[Predicted Winner]]=NHL2025_26Results[[#This Row],[Winning Team]],"YES","NO"))</f>
        <v>NO</v>
      </c>
      <c r="N278">
        <f>IF(Table4[[#This Row],[Adjusted Correct]]="-", "",IF(Table4[[#This Row],[Adjusted Correct]]="YES",(Table4[[#This Row],[Strength of Win]]-1)^2,(Table4[[#This Row],[Strength of Win]]-0)^2))</f>
        <v>0.30299639402954692</v>
      </c>
      <c r="O278">
        <v>-0.28616254222907439</v>
      </c>
      <c r="P278" s="11">
        <v>0.58619236997833224</v>
      </c>
      <c r="Q278" t="s">
        <v>13</v>
      </c>
      <c r="R278" t="s">
        <v>248</v>
      </c>
    </row>
    <row r="279" spans="4:18" x14ac:dyDescent="0.2">
      <c r="D279" s="1">
        <v>45974</v>
      </c>
      <c r="E279" s="2">
        <v>0.91666666666666663</v>
      </c>
      <c r="F279" t="s">
        <v>20</v>
      </c>
      <c r="G279">
        <f>VLOOKUP(Table4[[#This Row],[Home]],'NHL Model'!$A$6:$B$38,2,FALSE)</f>
        <v>-0.16296463421387539</v>
      </c>
      <c r="H279" t="s">
        <v>30</v>
      </c>
      <c r="I279">
        <f>VLOOKUP(Table4[[#This Row],[Visitor]],'NHL Model'!$A$6:$B$38,2,FALSE)</f>
        <v>-0.18630462558229716</v>
      </c>
      <c r="J279">
        <f>($B$1+Table4[[#This Row],[Home Differential]])-Table4[[#This Row],[Away Differential]]</f>
        <v>0.15294697717994588</v>
      </c>
      <c r="K279" t="str">
        <f>IF(Table4[[#This Row],[HomeIce Differential]]&gt;0,Table4[[#This Row],[Home]],Table4[[#This Row],[Visitor]])</f>
        <v>Vegas Golden Knights</v>
      </c>
      <c r="L2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0.52028059745212751</v>
      </c>
      <c r="M279" t="str">
        <f>IF(OR((NHL2025_26Results[[#This Row],[Winning Team]]="")),"-",IF(Table4[[#This Row],[Predicted Winner]]=NHL2025_26Results[[#This Row],[Winning Team]],"YES","NO"))</f>
        <v>NO</v>
      </c>
      <c r="N279">
        <f>IF(Table4[[#This Row],[Adjusted Correct]]="-", "",IF(Table4[[#This Row],[Adjusted Correct]]="YES",(Table4[[#This Row],[Strength of Win]]-1)^2,(Table4[[#This Row],[Strength of Win]]-0)^2))</f>
        <v>0.27069190008514277</v>
      </c>
      <c r="O279">
        <v>0.34947228259784413</v>
      </c>
      <c r="P279" s="11">
        <v>0.568981307555948</v>
      </c>
      <c r="Q279" t="s">
        <v>20</v>
      </c>
      <c r="R279" t="s">
        <v>249</v>
      </c>
    </row>
    <row r="280" spans="4:18" x14ac:dyDescent="0.2">
      <c r="D280" s="1">
        <v>45975</v>
      </c>
      <c r="E280" s="2">
        <v>0.79166666666666663</v>
      </c>
      <c r="F280" t="s">
        <v>25</v>
      </c>
      <c r="G280">
        <f>VLOOKUP(Table4[[#This Row],[Home]],'NHL Model'!$A$6:$B$38,2,FALSE)</f>
        <v>0.2324942014830165</v>
      </c>
      <c r="H280" t="s">
        <v>38</v>
      </c>
      <c r="I280">
        <f>VLOOKUP(Table4[[#This Row],[Visitor]],'NHL Model'!$A$6:$B$38,2,FALSE)</f>
        <v>-1.3920033028857945</v>
      </c>
      <c r="J280">
        <f>($B$1+Table4[[#This Row],[Home Differential]])-Table4[[#This Row],[Away Differential]]</f>
        <v>1.7541044901803351</v>
      </c>
      <c r="K280" t="str">
        <f>IF(Table4[[#This Row],[HomeIce Differential]]&gt;0,Table4[[#This Row],[Home]],Table4[[#This Row],[Visitor]])</f>
        <v>Carolina Hurricanes</v>
      </c>
      <c r="L2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0.79255089810733526</v>
      </c>
      <c r="M280" t="str">
        <f>IF(OR((NHL2025_26Results[[#This Row],[Winning Team]]="")),"-",IF(Table4[[#This Row],[Predicted Winner]]=NHL2025_26Results[[#This Row],[Winning Team]],"YES","NO"))</f>
        <v>YES</v>
      </c>
      <c r="N280">
        <f>IF(Table4[[#This Row],[Adjusted Correct]]="-", "",IF(Table4[[#This Row],[Adjusted Correct]]="YES",(Table4[[#This Row],[Strength of Win]]-1)^2,(Table4[[#This Row],[Strength of Win]]-0)^2))</f>
        <v>4.3035129876073198E-2</v>
      </c>
      <c r="O280">
        <v>2.0746320760100323</v>
      </c>
      <c r="P280" s="11">
        <v>0.83653294556976232</v>
      </c>
      <c r="Q280" t="s">
        <v>25</v>
      </c>
      <c r="R280" t="s">
        <v>248</v>
      </c>
    </row>
    <row r="281" spans="4:18" x14ac:dyDescent="0.2">
      <c r="D281" s="1">
        <v>45975</v>
      </c>
      <c r="E281" s="2">
        <v>0.58333333333333337</v>
      </c>
      <c r="F281" t="s">
        <v>29</v>
      </c>
      <c r="G281">
        <f>VLOOKUP(Table4[[#This Row],[Home]],'NHL Model'!$A$6:$B$38,2,FALSE)</f>
        <v>-0.82056481120798741</v>
      </c>
      <c r="H281" t="s">
        <v>14</v>
      </c>
      <c r="I281">
        <f>VLOOKUP(Table4[[#This Row],[Visitor]],'NHL Model'!$A$6:$B$38,2,FALSE)</f>
        <v>3.6349513460996066E-5</v>
      </c>
      <c r="J281">
        <f>($B$1+Table4[[#This Row],[Home Differential]])-Table4[[#This Row],[Away Differential]]</f>
        <v>-0.69099417490992432</v>
      </c>
      <c r="K281" t="str">
        <f>IF(Table4[[#This Row],[HomeIce Differential]]&gt;0,Table4[[#This Row],[Home]],Table4[[#This Row],[Visitor]])</f>
        <v>Pittsburgh Penguins</v>
      </c>
      <c r="L2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0.59173322489795765</v>
      </c>
      <c r="M281" t="str">
        <f>IF(OR((NHL2025_26Results[[#This Row],[Winning Team]]="")),"-",IF(Table4[[#This Row],[Predicted Winner]]=NHL2025_26Results[[#This Row],[Winning Team]],"YES","NO"))</f>
        <v>NO</v>
      </c>
      <c r="N281">
        <f>IF(Table4[[#This Row],[Adjusted Correct]]="-", "",IF(Table4[[#This Row],[Adjusted Correct]]="YES",(Table4[[#This Row],[Strength of Win]]-1)^2,(Table4[[#This Row],[Strength of Win]]-0)^2))</f>
        <v>0.35014820944813696</v>
      </c>
      <c r="O281">
        <v>-1.5093690744652657</v>
      </c>
      <c r="P281" s="11">
        <v>0.68013800473665997</v>
      </c>
      <c r="Q281" t="s">
        <v>14</v>
      </c>
      <c r="R281" t="s">
        <v>249</v>
      </c>
    </row>
    <row r="282" spans="4:18" x14ac:dyDescent="0.2">
      <c r="D282" s="1">
        <v>45975</v>
      </c>
      <c r="E282" s="2">
        <v>0.83333333333333337</v>
      </c>
      <c r="F282" t="s">
        <v>35</v>
      </c>
      <c r="G282">
        <f>VLOOKUP(Table4[[#This Row],[Home]],'NHL Model'!$A$6:$B$38,2,FALSE)</f>
        <v>-1.3128572733047907</v>
      </c>
      <c r="H282" t="s">
        <v>27</v>
      </c>
      <c r="I282">
        <f>VLOOKUP(Table4[[#This Row],[Visitor]],'NHL Model'!$A$6:$B$38,2,FALSE)</f>
        <v>-0.55097933929175691</v>
      </c>
      <c r="J282">
        <f>($B$1+Table4[[#This Row],[Home Differential]])-Table4[[#This Row],[Away Differential]]</f>
        <v>-0.63227094820150975</v>
      </c>
      <c r="K282" t="str">
        <f>IF(Table4[[#This Row],[HomeIce Differential]]&gt;0,Table4[[#This Row],[Home]],Table4[[#This Row],[Visitor]])</f>
        <v>Philadelphia Flyers</v>
      </c>
      <c r="L2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0.5310001492548424</v>
      </c>
      <c r="M282" t="str">
        <f>IF(OR((NHL2025_26Results[[#This Row],[Winning Team]]="")),"-",IF(Table4[[#This Row],[Predicted Winner]]=NHL2025_26Results[[#This Row],[Winning Team]],"YES","NO"))</f>
        <v>YES</v>
      </c>
      <c r="N282">
        <f>IF(Table4[[#This Row],[Adjusted Correct]]="-", "",IF(Table4[[#This Row],[Adjusted Correct]]="YES",(Table4[[#This Row],[Strength of Win]]-1)^2,(Table4[[#This Row],[Strength of Win]]-0)^2))</f>
        <v>0.2199608599989801</v>
      </c>
      <c r="O282">
        <v>-1.1179349546942468</v>
      </c>
      <c r="P282" s="11">
        <v>0.607665223213671</v>
      </c>
      <c r="Q282" t="s">
        <v>27</v>
      </c>
      <c r="R282" t="s">
        <v>248</v>
      </c>
    </row>
    <row r="283" spans="4:18" x14ac:dyDescent="0.2">
      <c r="D283" s="1">
        <v>45975</v>
      </c>
      <c r="E283" s="2">
        <v>0.875</v>
      </c>
      <c r="F283" t="s">
        <v>55</v>
      </c>
      <c r="G283">
        <f>VLOOKUP(Table4[[#This Row],[Home]],'NHL Model'!$A$6:$B$38,2,FALSE)</f>
        <v>8.4094725828611647E-2</v>
      </c>
      <c r="H283" t="s">
        <v>30</v>
      </c>
      <c r="I283">
        <f>VLOOKUP(Table4[[#This Row],[Visitor]],'NHL Model'!$A$6:$B$38,2,FALSE)</f>
        <v>-0.18630462558229716</v>
      </c>
      <c r="J283">
        <f>($B$1+Table4[[#This Row],[Home Differential]])-Table4[[#This Row],[Away Differential]]</f>
        <v>0.4000063372224329</v>
      </c>
      <c r="K283" t="str">
        <f>IF(Table4[[#This Row],[HomeIce Differential]]&gt;0,Table4[[#This Row],[Home]],Table4[[#This Row],[Visitor]])</f>
        <v>Utah Mammoth</v>
      </c>
      <c r="L2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0.5772773395278934</v>
      </c>
      <c r="M283" t="str">
        <f>IF(OR((NHL2025_26Results[[#This Row],[Winning Team]]="")),"-",IF(Table4[[#This Row],[Predicted Winner]]=NHL2025_26Results[[#This Row],[Winning Team]],"YES","NO"))</f>
        <v>NO</v>
      </c>
      <c r="N283">
        <f>IF(Table4[[#This Row],[Adjusted Correct]]="-", "",IF(Table4[[#This Row],[Adjusted Correct]]="YES",(Table4[[#This Row],[Strength of Win]]-1)^2,(Table4[[#This Row],[Strength of Win]]-0)^2))</f>
        <v>0.3332491267324027</v>
      </c>
      <c r="O283">
        <v>0.12877203755320293</v>
      </c>
      <c r="P283" s="11">
        <v>0.61700917534524502</v>
      </c>
      <c r="Q283" t="s">
        <v>55</v>
      </c>
      <c r="R283" t="s">
        <v>249</v>
      </c>
    </row>
    <row r="284" spans="4:18" x14ac:dyDescent="0.2">
      <c r="D284" s="1">
        <v>45976</v>
      </c>
      <c r="E284" s="2">
        <v>0.79166666666666663</v>
      </c>
      <c r="F284" t="s">
        <v>25</v>
      </c>
      <c r="G284">
        <f>VLOOKUP(Table4[[#This Row],[Home]],'NHL Model'!$A$6:$B$38,2,FALSE)</f>
        <v>0.2324942014830165</v>
      </c>
      <c r="H284" t="s">
        <v>17</v>
      </c>
      <c r="I284">
        <f>VLOOKUP(Table4[[#This Row],[Visitor]],'NHL Model'!$A$6:$B$38,2,FALSE)</f>
        <v>-0.36462594951491906</v>
      </c>
      <c r="J284">
        <f>($B$1+Table4[[#This Row],[Home Differential]])-Table4[[#This Row],[Away Differential]]</f>
        <v>0.72672713680945966</v>
      </c>
      <c r="K284" t="str">
        <f>IF(Table4[[#This Row],[HomeIce Differential]]&gt;0,Table4[[#This Row],[Home]],Table4[[#This Row],[Visitor]])</f>
        <v>Carolina Hurricanes</v>
      </c>
      <c r="L2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0.67718272305854388</v>
      </c>
      <c r="M284" t="str">
        <f>IF(OR((NHL2025_26Results[[#This Row],[Winning Team]]="")),"-",IF(Table4[[#This Row],[Predicted Winner]]=NHL2025_26Results[[#This Row],[Winning Team]],"YES","NO"))</f>
        <v>NO</v>
      </c>
      <c r="N284">
        <f>IF(Table4[[#This Row],[Adjusted Correct]]="-", "",IF(Table4[[#This Row],[Adjusted Correct]]="YES",(Table4[[#This Row],[Strength of Win]]-1)^2,(Table4[[#This Row],[Strength of Win]]-0)^2))</f>
        <v>0.45857644040898454</v>
      </c>
      <c r="O284">
        <v>1.7577742949996158</v>
      </c>
      <c r="P284" s="11">
        <v>0.87282166183561605</v>
      </c>
      <c r="Q284" t="s">
        <v>25</v>
      </c>
      <c r="R284" t="s">
        <v>249</v>
      </c>
    </row>
    <row r="285" spans="4:18" x14ac:dyDescent="0.2">
      <c r="D285" s="1">
        <v>45976</v>
      </c>
      <c r="E285" s="2">
        <v>0.79166666666666663</v>
      </c>
      <c r="F285" t="s">
        <v>28</v>
      </c>
      <c r="G285">
        <f>VLOOKUP(Table4[[#This Row],[Home]],'NHL Model'!$A$6:$B$38,2,FALSE)</f>
        <v>-0.28156479873410767</v>
      </c>
      <c r="H285" t="s">
        <v>15</v>
      </c>
      <c r="I285">
        <f>VLOOKUP(Table4[[#This Row],[Visitor]],'NHL Model'!$A$6:$B$38,2,FALSE)</f>
        <v>-0.73651915476403329</v>
      </c>
      <c r="J285">
        <f>($B$1+Table4[[#This Row],[Home Differential]])-Table4[[#This Row],[Away Differential]]</f>
        <v>0.5845613418414497</v>
      </c>
      <c r="K285" t="str">
        <f>IF(Table4[[#This Row],[HomeIce Differential]]&gt;0,Table4[[#This Row],[Home]],Table4[[#This Row],[Visitor]])</f>
        <v>Columbus Blue Jackets</v>
      </c>
      <c r="L2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0.57682476172833974</v>
      </c>
      <c r="M285" t="str">
        <f>IF(OR((NHL2025_26Results[[#This Row],[Winning Team]]="")),"-",IF(Table4[[#This Row],[Predicted Winner]]=NHL2025_26Results[[#This Row],[Winning Team]],"YES","NO"))</f>
        <v>NO</v>
      </c>
      <c r="N285">
        <f>IF(Table4[[#This Row],[Adjusted Correct]]="-", "",IF(Table4[[#This Row],[Adjusted Correct]]="YES",(Table4[[#This Row],[Strength of Win]]-1)^2,(Table4[[#This Row],[Strength of Win]]-0)^2))</f>
        <v>0.33272680574295593</v>
      </c>
      <c r="O285">
        <v>8.2519648684287294E-2</v>
      </c>
      <c r="P285" s="11">
        <v>0.42854327356960809</v>
      </c>
      <c r="Q285" t="s">
        <v>28</v>
      </c>
      <c r="R285" t="s">
        <v>249</v>
      </c>
    </row>
    <row r="286" spans="4:18" x14ac:dyDescent="0.2">
      <c r="D286" s="1">
        <v>45976</v>
      </c>
      <c r="E286" s="2">
        <v>0.91666666666666663</v>
      </c>
      <c r="F286" t="s">
        <v>16</v>
      </c>
      <c r="G286">
        <f>VLOOKUP(Table4[[#This Row],[Home]],'NHL Model'!$A$6:$B$38,2,FALSE)</f>
        <v>-0.89031221864884547</v>
      </c>
      <c r="H286" t="s">
        <v>40</v>
      </c>
      <c r="I286">
        <f>VLOOKUP(Table4[[#This Row],[Visitor]],'NHL Model'!$A$6:$B$38,2,FALSE)</f>
        <v>-0.58845147248022256</v>
      </c>
      <c r="J286">
        <f>($B$1+Table4[[#This Row],[Home Differential]])-Table4[[#This Row],[Away Differential]]</f>
        <v>-0.17225376035709883</v>
      </c>
      <c r="K286" t="str">
        <f>IF(Table4[[#This Row],[HomeIce Differential]]&gt;0,Table4[[#This Row],[Home]],Table4[[#This Row],[Visitor]])</f>
        <v>Winnipeg Jets</v>
      </c>
      <c r="L2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0.47934304071672146</v>
      </c>
      <c r="M286" t="str">
        <f>IF(OR((NHL2025_26Results[[#This Row],[Winning Team]]="")),"-",IF(Table4[[#This Row],[Predicted Winner]]=NHL2025_26Results[[#This Row],[Winning Team]],"YES","NO"))</f>
        <v>YES</v>
      </c>
      <c r="N286">
        <f>IF(Table4[[#This Row],[Adjusted Correct]]="-", "",IF(Table4[[#This Row],[Adjusted Correct]]="YES",(Table4[[#This Row],[Strength of Win]]-1)^2,(Table4[[#This Row],[Strength of Win]]-0)^2))</f>
        <v>0.27108366925010963</v>
      </c>
      <c r="O286">
        <v>-1.3364567566098906</v>
      </c>
      <c r="P286" s="11">
        <v>0.69944838707283219</v>
      </c>
      <c r="Q286" t="s">
        <v>40</v>
      </c>
      <c r="R286" t="s">
        <v>248</v>
      </c>
    </row>
    <row r="287" spans="4:18" x14ac:dyDescent="0.2">
      <c r="D287" s="1">
        <v>45976</v>
      </c>
      <c r="E287" s="2">
        <v>0.79166666666666663</v>
      </c>
      <c r="F287" t="s">
        <v>10</v>
      </c>
      <c r="G287">
        <f>VLOOKUP(Table4[[#This Row],[Home]],'NHL Model'!$A$6:$B$38,2,FALSE)</f>
        <v>-0.92658078135875344</v>
      </c>
      <c r="H287" t="s">
        <v>19</v>
      </c>
      <c r="I287">
        <f>VLOOKUP(Table4[[#This Row],[Visitor]],'NHL Model'!$A$6:$B$38,2,FALSE)</f>
        <v>-0.44228056828684137</v>
      </c>
      <c r="J287">
        <f>($B$1+Table4[[#This Row],[Home Differential]])-Table4[[#This Row],[Away Differential]]</f>
        <v>-0.35469322726038799</v>
      </c>
      <c r="K287" t="str">
        <f>IF(Table4[[#This Row],[HomeIce Differential]]&gt;0,Table4[[#This Row],[Home]],Table4[[#This Row],[Visitor]])</f>
        <v>Toronto Maple Leafs</v>
      </c>
      <c r="L2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0.49982987380141841</v>
      </c>
      <c r="M287" t="str">
        <f>IF(OR((NHL2025_26Results[[#This Row],[Winning Team]]="")),"-",IF(Table4[[#This Row],[Predicted Winner]]=NHL2025_26Results[[#This Row],[Winning Team]],"YES","NO"))</f>
        <v>NO</v>
      </c>
      <c r="N287">
        <f>IF(Table4[[#This Row],[Adjusted Correct]]="-", "",IF(Table4[[#This Row],[Adjusted Correct]]="YES",(Table4[[#This Row],[Strength of Win]]-1)^2,(Table4[[#This Row],[Strength of Win]]-0)^2))</f>
        <v>0.24982990274434186</v>
      </c>
      <c r="O287">
        <v>1.1038163157984502</v>
      </c>
      <c r="P287" s="11">
        <v>0.6988663146876376</v>
      </c>
      <c r="Q287" t="s">
        <v>10</v>
      </c>
      <c r="R287" t="s">
        <v>248</v>
      </c>
    </row>
    <row r="288" spans="4:18" x14ac:dyDescent="0.2">
      <c r="D288" s="1">
        <v>45976</v>
      </c>
      <c r="E288" s="2">
        <v>0.83333333333333337</v>
      </c>
      <c r="F288" t="s">
        <v>39</v>
      </c>
      <c r="G288">
        <f>VLOOKUP(Table4[[#This Row],[Home]],'NHL Model'!$A$6:$B$38,2,FALSE)</f>
        <v>0.21708030788125537</v>
      </c>
      <c r="H288" t="s">
        <v>27</v>
      </c>
      <c r="I288">
        <f>VLOOKUP(Table4[[#This Row],[Visitor]],'NHL Model'!$A$6:$B$38,2,FALSE)</f>
        <v>-0.55097933929175691</v>
      </c>
      <c r="J288">
        <f>($B$1+Table4[[#This Row],[Home Differential]])-Table4[[#This Row],[Away Differential]]</f>
        <v>0.89766663298453642</v>
      </c>
      <c r="K288" t="str">
        <f>IF(Table4[[#This Row],[HomeIce Differential]]&gt;0,Table4[[#This Row],[Home]],Table4[[#This Row],[Visitor]])</f>
        <v>Dallas Stars</v>
      </c>
      <c r="L2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0.67864066207249052</v>
      </c>
      <c r="M288" t="str">
        <f>IF(OR((NHL2025_26Results[[#This Row],[Winning Team]]="")),"-",IF(Table4[[#This Row],[Predicted Winner]]=NHL2025_26Results[[#This Row],[Winning Team]],"YES","NO"))</f>
        <v>YES</v>
      </c>
      <c r="N288">
        <f>IF(Table4[[#This Row],[Adjusted Correct]]="-", "",IF(Table4[[#This Row],[Adjusted Correct]]="YES",(Table4[[#This Row],[Strength of Win]]-1)^2,(Table4[[#This Row],[Strength of Win]]-0)^2))</f>
        <v>0.10327182407320723</v>
      </c>
      <c r="O288">
        <v>0.51364057191077117</v>
      </c>
      <c r="P288" s="11">
        <v>0.60024130005511533</v>
      </c>
      <c r="Q288" t="s">
        <v>39</v>
      </c>
      <c r="R288" t="s">
        <v>248</v>
      </c>
    </row>
    <row r="289" spans="4:18" x14ac:dyDescent="0.2">
      <c r="D289" s="1">
        <v>45976</v>
      </c>
      <c r="E289" s="2">
        <v>0.79166666666666663</v>
      </c>
      <c r="F289" t="s">
        <v>26</v>
      </c>
      <c r="G289">
        <f>VLOOKUP(Table4[[#This Row],[Home]],'NHL Model'!$A$6:$B$38,2,FALSE)</f>
        <v>-0.33113778518110382</v>
      </c>
      <c r="H289" t="s">
        <v>23</v>
      </c>
      <c r="I289">
        <f>VLOOKUP(Table4[[#This Row],[Visitor]],'NHL Model'!$A$6:$B$38,2,FALSE)</f>
        <v>8.1543966060426461E-3</v>
      </c>
      <c r="J289">
        <f>($B$1+Table4[[#This Row],[Home Differential]])-Table4[[#This Row],[Away Differential]]</f>
        <v>-0.20968519597562235</v>
      </c>
      <c r="K289" t="str">
        <f>IF(Table4[[#This Row],[HomeIce Differential]]&gt;0,Table4[[#This Row],[Home]],Table4[[#This Row],[Visitor]])</f>
        <v>Buffalo Sabres</v>
      </c>
      <c r="L2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0.49413459663358444</v>
      </c>
      <c r="M289" t="str">
        <f>IF(OR((NHL2025_26Results[[#This Row],[Winning Team]]="")),"-",IF(Table4[[#This Row],[Predicted Winner]]=NHL2025_26Results[[#This Row],[Winning Team]],"YES","NO"))</f>
        <v>YES</v>
      </c>
      <c r="N289">
        <f>IF(Table4[[#This Row],[Adjusted Correct]]="-", "",IF(Table4[[#This Row],[Adjusted Correct]]="YES",(Table4[[#This Row],[Strength of Win]]-1)^2,(Table4[[#This Row],[Strength of Win]]-0)^2))</f>
        <v>0.25589980632306636</v>
      </c>
      <c r="O289">
        <v>0.64655027944453514</v>
      </c>
      <c r="P289" s="11">
        <v>0.6847704625583706</v>
      </c>
      <c r="Q289" t="s">
        <v>26</v>
      </c>
      <c r="R289" t="s">
        <v>249</v>
      </c>
    </row>
    <row r="290" spans="4:18" x14ac:dyDescent="0.2">
      <c r="D290" s="1">
        <v>45976</v>
      </c>
      <c r="E290" s="2">
        <v>0.70833333333333337</v>
      </c>
      <c r="F290" t="s">
        <v>11</v>
      </c>
      <c r="G290">
        <f>VLOOKUP(Table4[[#This Row],[Home]],'NHL Model'!$A$6:$B$38,2,FALSE)</f>
        <v>-0.55695213126481558</v>
      </c>
      <c r="H290" t="s">
        <v>37</v>
      </c>
      <c r="I290">
        <f>VLOOKUP(Table4[[#This Row],[Visitor]],'NHL Model'!$A$6:$B$38,2,FALSE)</f>
        <v>0.72108184732572844</v>
      </c>
      <c r="J290">
        <f>($B$1+Table4[[#This Row],[Home Differential]])-Table4[[#This Row],[Away Differential]]</f>
        <v>-1.1484269927790201</v>
      </c>
      <c r="K290" t="str">
        <f>IF(Table4[[#This Row],[HomeIce Differential]]&gt;0,Table4[[#This Row],[Home]],Table4[[#This Row],[Visitor]])</f>
        <v>Tampa Bay Lightning</v>
      </c>
      <c r="L2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0.68581945477310924</v>
      </c>
      <c r="M290" t="str">
        <f>IF(OR((NHL2025_26Results[[#This Row],[Winning Team]]="")),"-",IF(Table4[[#This Row],[Predicted Winner]]=NHL2025_26Results[[#This Row],[Winning Team]],"YES","NO"))</f>
        <v>YES</v>
      </c>
      <c r="N290">
        <f>IF(Table4[[#This Row],[Adjusted Correct]]="-", "",IF(Table4[[#This Row],[Adjusted Correct]]="YES",(Table4[[#This Row],[Strength of Win]]-1)^2,(Table4[[#This Row],[Strength of Win]]-0)^2))</f>
        <v>9.8709414999066353E-2</v>
      </c>
      <c r="O290">
        <v>-2.3512614637521065E-2</v>
      </c>
      <c r="P290" s="11">
        <v>0.4033840435067601</v>
      </c>
      <c r="Q290" t="s">
        <v>37</v>
      </c>
      <c r="R290" t="s">
        <v>248</v>
      </c>
    </row>
    <row r="291" spans="4:18" x14ac:dyDescent="0.2">
      <c r="D291" s="1">
        <v>45976</v>
      </c>
      <c r="E291" s="2">
        <v>0.75</v>
      </c>
      <c r="F291" t="s">
        <v>34</v>
      </c>
      <c r="G291">
        <f>VLOOKUP(Table4[[#This Row],[Home]],'NHL Model'!$A$6:$B$38,2,FALSE)</f>
        <v>6.0485283743665949E-2</v>
      </c>
      <c r="H291" t="s">
        <v>31</v>
      </c>
      <c r="I291">
        <f>VLOOKUP(Table4[[#This Row],[Visitor]],'NHL Model'!$A$6:$B$38,2,FALSE)</f>
        <v>-0.46360583111358089</v>
      </c>
      <c r="J291">
        <f>($B$1+Table4[[#This Row],[Home Differential]])-Table4[[#This Row],[Away Differential]]</f>
        <v>0.65369810066877099</v>
      </c>
      <c r="K291" t="str">
        <f>IF(Table4[[#This Row],[HomeIce Differential]]&gt;0,Table4[[#This Row],[Home]],Table4[[#This Row],[Visitor]])</f>
        <v>Minnesota Wild</v>
      </c>
      <c r="L2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0.62535433899494253</v>
      </c>
      <c r="M291" t="str">
        <f>IF(OR((NHL2025_26Results[[#This Row],[Winning Team]]="")),"-",IF(Table4[[#This Row],[Predicted Winner]]=NHL2025_26Results[[#This Row],[Winning Team]],"YES","NO"))</f>
        <v>YES</v>
      </c>
      <c r="N291">
        <f>IF(Table4[[#This Row],[Adjusted Correct]]="-", "",IF(Table4[[#This Row],[Adjusted Correct]]="YES",(Table4[[#This Row],[Strength of Win]]-1)^2,(Table4[[#This Row],[Strength of Win]]-0)^2))</f>
        <v>0.14035937130991644</v>
      </c>
      <c r="O291">
        <v>-1.3195948668743118</v>
      </c>
      <c r="P291" s="11">
        <v>0.69243471777823418</v>
      </c>
      <c r="Q291" t="s">
        <v>31</v>
      </c>
      <c r="R291" t="s">
        <v>249</v>
      </c>
    </row>
    <row r="292" spans="4:18" x14ac:dyDescent="0.2">
      <c r="D292" s="1">
        <v>45976</v>
      </c>
      <c r="E292" s="2">
        <v>0.79166666666666663</v>
      </c>
      <c r="F292" t="s">
        <v>18</v>
      </c>
      <c r="G292">
        <f>VLOOKUP(Table4[[#This Row],[Home]],'NHL Model'!$A$6:$B$38,2,FALSE)</f>
        <v>-8.6274676766085606E-2</v>
      </c>
      <c r="H292" t="s">
        <v>21</v>
      </c>
      <c r="I292">
        <f>VLOOKUP(Table4[[#This Row],[Visitor]],'NHL Model'!$A$6:$B$38,2,FALSE)</f>
        <v>-0.10253061303059285</v>
      </c>
      <c r="J292">
        <f>($B$1+Table4[[#This Row],[Home Differential]])-Table4[[#This Row],[Away Differential]]</f>
        <v>0.14586292207603135</v>
      </c>
      <c r="K292" t="str">
        <f>IF(Table4[[#This Row],[HomeIce Differential]]&gt;0,Table4[[#This Row],[Home]],Table4[[#This Row],[Visitor]])</f>
        <v>Montreal Canadiens</v>
      </c>
      <c r="L2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0.57039613195269023</v>
      </c>
      <c r="M292" t="str">
        <f>IF(OR((NHL2025_26Results[[#This Row],[Winning Team]]="")),"-",IF(Table4[[#This Row],[Predicted Winner]]=NHL2025_26Results[[#This Row],[Winning Team]],"YES","NO"))</f>
        <v>NO</v>
      </c>
      <c r="N292">
        <f>IF(Table4[[#This Row],[Adjusted Correct]]="-", "",IF(Table4[[#This Row],[Adjusted Correct]]="YES",(Table4[[#This Row],[Strength of Win]]-1)^2,(Table4[[#This Row],[Strength of Win]]-0)^2))</f>
        <v>0.32535174734659078</v>
      </c>
      <c r="O292">
        <v>-0.41696684430534969</v>
      </c>
      <c r="P292" s="11">
        <v>0.51296583176167698</v>
      </c>
      <c r="Q292" t="s">
        <v>21</v>
      </c>
      <c r="R292" t="s">
        <v>248</v>
      </c>
    </row>
    <row r="293" spans="4:18" x14ac:dyDescent="0.2">
      <c r="D293" s="1">
        <v>45976</v>
      </c>
      <c r="E293" s="2">
        <v>0.79166666666666663</v>
      </c>
      <c r="F293" t="s">
        <v>36</v>
      </c>
      <c r="G293">
        <f>VLOOKUP(Table4[[#This Row],[Home]],'NHL Model'!$A$6:$B$38,2,FALSE)</f>
        <v>-0.19010748264223354</v>
      </c>
      <c r="H293" t="s">
        <v>13</v>
      </c>
      <c r="I293">
        <f>VLOOKUP(Table4[[#This Row],[Visitor]],'NHL Model'!$A$6:$B$38,2,FALSE)</f>
        <v>-0.59069689888466137</v>
      </c>
      <c r="J293">
        <f>($B$1+Table4[[#This Row],[Home Differential]])-Table4[[#This Row],[Away Differential]]</f>
        <v>0.53019640205395191</v>
      </c>
      <c r="K293" t="str">
        <f>IF(Table4[[#This Row],[HomeIce Differential]]&gt;0,Table4[[#This Row],[Home]],Table4[[#This Row],[Visitor]])</f>
        <v>Ottawa Senators</v>
      </c>
      <c r="L2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0.578768573058842</v>
      </c>
      <c r="M293" t="str">
        <f>IF(OR((NHL2025_26Results[[#This Row],[Winning Team]]="")),"-",IF(Table4[[#This Row],[Predicted Winner]]=NHL2025_26Results[[#This Row],[Winning Team]],"YES","NO"))</f>
        <v>NO</v>
      </c>
      <c r="N293">
        <f>IF(Table4[[#This Row],[Adjusted Correct]]="-", "",IF(Table4[[#This Row],[Adjusted Correct]]="YES",(Table4[[#This Row],[Strength of Win]]-1)^2,(Table4[[#This Row],[Strength of Win]]-0)^2))</f>
        <v>0.33497306116056813</v>
      </c>
      <c r="O293">
        <v>-4.8100585047105321E-2</v>
      </c>
      <c r="P293" s="11">
        <v>0.55486806263546851</v>
      </c>
      <c r="Q293" t="s">
        <v>13</v>
      </c>
      <c r="R293" t="s">
        <v>248</v>
      </c>
    </row>
    <row r="294" spans="4:18" x14ac:dyDescent="0.2">
      <c r="D294" s="1">
        <v>45976</v>
      </c>
      <c r="E294" s="2">
        <v>0.91666666666666663</v>
      </c>
      <c r="F294" t="s">
        <v>32</v>
      </c>
      <c r="G294">
        <f>VLOOKUP(Table4[[#This Row],[Home]],'NHL Model'!$A$6:$B$38,2,FALSE)</f>
        <v>-0.48236715437805205</v>
      </c>
      <c r="H294" t="s">
        <v>33</v>
      </c>
      <c r="I294">
        <f>VLOOKUP(Table4[[#This Row],[Visitor]],'NHL Model'!$A$6:$B$38,2,FALSE)</f>
        <v>-0.65236582493376272</v>
      </c>
      <c r="J294">
        <f>($B$1+Table4[[#This Row],[Home Differential]])-Table4[[#This Row],[Away Differential]]</f>
        <v>0.2996056563672348</v>
      </c>
      <c r="K294" t="str">
        <f>IF(Table4[[#This Row],[HomeIce Differential]]&gt;0,Table4[[#This Row],[Home]],Table4[[#This Row],[Visitor]])</f>
        <v>Seattle Kraken</v>
      </c>
      <c r="L2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0.57364387748666434</v>
      </c>
      <c r="M294" t="str">
        <f>IF(OR((NHL2025_26Results[[#This Row],[Winning Team]]="")),"-",IF(Table4[[#This Row],[Predicted Winner]]=NHL2025_26Results[[#This Row],[Winning Team]],"YES","NO"))</f>
        <v>YES</v>
      </c>
      <c r="N294">
        <f>IF(Table4[[#This Row],[Adjusted Correct]]="-", "",IF(Table4[[#This Row],[Adjusted Correct]]="YES",(Table4[[#This Row],[Strength of Win]]-1)^2,(Table4[[#This Row],[Strength of Win]]-0)^2))</f>
        <v>0.18177954320460649</v>
      </c>
      <c r="O294">
        <v>-9.0735069653309852E-2</v>
      </c>
      <c r="P294" s="11">
        <v>0.48674321855367986</v>
      </c>
      <c r="Q294" t="s">
        <v>33</v>
      </c>
      <c r="R294" t="s">
        <v>249</v>
      </c>
    </row>
    <row r="295" spans="4:18" x14ac:dyDescent="0.2">
      <c r="D295" s="1">
        <v>45976</v>
      </c>
      <c r="E295" s="2">
        <v>0.83333333333333337</v>
      </c>
      <c r="F295" t="s">
        <v>35</v>
      </c>
      <c r="G295">
        <f>VLOOKUP(Table4[[#This Row],[Home]],'NHL Model'!$A$6:$B$38,2,FALSE)</f>
        <v>-1.3128572733047907</v>
      </c>
      <c r="H295" t="s">
        <v>20</v>
      </c>
      <c r="I295">
        <f>VLOOKUP(Table4[[#This Row],[Visitor]],'NHL Model'!$A$6:$B$38,2,FALSE)</f>
        <v>-0.16296463421387539</v>
      </c>
      <c r="J295">
        <f>($B$1+Table4[[#This Row],[Home Differential]])-Table4[[#This Row],[Away Differential]]</f>
        <v>-1.0202856532793914</v>
      </c>
      <c r="K295" t="str">
        <f>IF(Table4[[#This Row],[HomeIce Differential]]&gt;0,Table4[[#This Row],[Home]],Table4[[#This Row],[Visitor]])</f>
        <v>Vegas Golden Knights</v>
      </c>
      <c r="L2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0.58658800403964251</v>
      </c>
      <c r="M295" t="str">
        <f>IF(OR((NHL2025_26Results[[#This Row],[Winning Team]]="")),"-",IF(Table4[[#This Row],[Predicted Winner]]=NHL2025_26Results[[#This Row],[Winning Team]],"YES","NO"))</f>
        <v>YES</v>
      </c>
      <c r="N295">
        <f>IF(Table4[[#This Row],[Adjusted Correct]]="-", "",IF(Table4[[#This Row],[Adjusted Correct]]="YES",(Table4[[#This Row],[Strength of Win]]-1)^2,(Table4[[#This Row],[Strength of Win]]-0)^2))</f>
        <v>0.17090947840392665</v>
      </c>
      <c r="O295">
        <v>-1.5045011124019096</v>
      </c>
      <c r="P295" s="11">
        <v>0.69730394197962842</v>
      </c>
      <c r="Q295" t="s">
        <v>20</v>
      </c>
      <c r="R295" t="s">
        <v>248</v>
      </c>
    </row>
    <row r="296" spans="4:18" x14ac:dyDescent="0.2">
      <c r="D296" s="1">
        <v>45976</v>
      </c>
      <c r="E296" s="2">
        <v>0.79166666666666663</v>
      </c>
      <c r="F296" t="s">
        <v>22</v>
      </c>
      <c r="G296">
        <f>VLOOKUP(Table4[[#This Row],[Home]],'NHL Model'!$A$6:$B$38,2,FALSE)</f>
        <v>-0.11977593183651415</v>
      </c>
      <c r="H296" t="s">
        <v>24</v>
      </c>
      <c r="I296">
        <f>VLOOKUP(Table4[[#This Row],[Visitor]],'NHL Model'!$A$6:$B$38,2,FALSE)</f>
        <v>-0.74510803532792402</v>
      </c>
      <c r="J296">
        <f>($B$1+Table4[[#This Row],[Home Differential]])-Table4[[#This Row],[Away Differential]]</f>
        <v>0.75493908930293396</v>
      </c>
      <c r="K296" t="str">
        <f>IF(Table4[[#This Row],[HomeIce Differential]]&gt;0,Table4[[#This Row],[Home]],Table4[[#This Row],[Visitor]])</f>
        <v>Washington Capitals</v>
      </c>
      <c r="L2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0.62208846191360823</v>
      </c>
      <c r="M296" t="str">
        <f>IF(OR((NHL2025_26Results[[#This Row],[Winning Team]]="")),"-",IF(Table4[[#This Row],[Predicted Winner]]=NHL2025_26Results[[#This Row],[Winning Team]],"YES","NO"))</f>
        <v>NO</v>
      </c>
      <c r="N296">
        <f>IF(Table4[[#This Row],[Adjusted Correct]]="-", "",IF(Table4[[#This Row],[Adjusted Correct]]="YES",(Table4[[#This Row],[Strength of Win]]-1)^2,(Table4[[#This Row],[Strength of Win]]-0)^2))</f>
        <v>0.38699405444603879</v>
      </c>
      <c r="O296">
        <v>-0.41696391359614637</v>
      </c>
      <c r="P296" s="11">
        <v>0.56711075330123228</v>
      </c>
      <c r="Q296" t="s">
        <v>24</v>
      </c>
      <c r="R296" t="s">
        <v>248</v>
      </c>
    </row>
    <row r="297" spans="4:18" x14ac:dyDescent="0.2">
      <c r="D297" s="1">
        <v>45977</v>
      </c>
      <c r="E297" s="2">
        <v>0.875</v>
      </c>
      <c r="F297" t="s">
        <v>12</v>
      </c>
      <c r="G297">
        <f>VLOOKUP(Table4[[#This Row],[Home]],'NHL Model'!$A$6:$B$38,2,FALSE)</f>
        <v>0.99866683349964291</v>
      </c>
      <c r="H297" t="s">
        <v>30</v>
      </c>
      <c r="I297">
        <f>VLOOKUP(Table4[[#This Row],[Visitor]],'NHL Model'!$A$6:$B$38,2,FALSE)</f>
        <v>-0.18630462558229716</v>
      </c>
      <c r="J297">
        <f>($B$1+Table4[[#This Row],[Home Differential]])-Table4[[#This Row],[Away Differential]]</f>
        <v>1.3145784448934641</v>
      </c>
      <c r="K297" t="str">
        <f>IF(Table4[[#This Row],[HomeIce Differential]]&gt;0,Table4[[#This Row],[Home]],Table4[[#This Row],[Visitor]])</f>
        <v>Colorado Avalanche</v>
      </c>
      <c r="L2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0.73203468040619746</v>
      </c>
      <c r="M297" t="str">
        <f>IF(OR((NHL2025_26Results[[#This Row],[Winning Team]]="")),"-",IF(Table4[[#This Row],[Predicted Winner]]=NHL2025_26Results[[#This Row],[Winning Team]],"YES","NO"))</f>
        <v>YES</v>
      </c>
      <c r="N297">
        <f>IF(Table4[[#This Row],[Adjusted Correct]]="-", "",IF(Table4[[#This Row],[Adjusted Correct]]="YES",(Table4[[#This Row],[Strength of Win]]-1)^2,(Table4[[#This Row],[Strength of Win]]-0)^2))</f>
        <v>7.1805412505008742E-2</v>
      </c>
      <c r="O297">
        <v>1.6282896807033209</v>
      </c>
      <c r="P297" s="11">
        <v>0.78990648615412085</v>
      </c>
      <c r="Q297" t="s">
        <v>12</v>
      </c>
      <c r="R297" t="s">
        <v>248</v>
      </c>
    </row>
    <row r="298" spans="4:18" x14ac:dyDescent="0.2">
      <c r="D298" s="1">
        <v>45977</v>
      </c>
      <c r="E298" s="2">
        <v>0.75</v>
      </c>
      <c r="F298" t="s">
        <v>34</v>
      </c>
      <c r="G298">
        <f>VLOOKUP(Table4[[#This Row],[Home]],'NHL Model'!$A$6:$B$38,2,FALSE)</f>
        <v>6.0485283743665949E-2</v>
      </c>
      <c r="H298" t="s">
        <v>20</v>
      </c>
      <c r="I298">
        <f>VLOOKUP(Table4[[#This Row],[Visitor]],'NHL Model'!$A$6:$B$38,2,FALSE)</f>
        <v>-0.16296463421387539</v>
      </c>
      <c r="J298">
        <f>($B$1+Table4[[#This Row],[Home Differential]])-Table4[[#This Row],[Away Differential]]</f>
        <v>0.3530569037690654</v>
      </c>
      <c r="K298" t="str">
        <f>IF(Table4[[#This Row],[HomeIce Differential]]&gt;0,Table4[[#This Row],[Home]],Table4[[#This Row],[Visitor]])</f>
        <v>Minnesota Wild</v>
      </c>
      <c r="L2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0.57962421890519744</v>
      </c>
      <c r="M298" t="str">
        <f>IF(OR((NHL2025_26Results[[#This Row],[Winning Team]]="")),"-",IF(Table4[[#This Row],[Predicted Winner]]=NHL2025_26Results[[#This Row],[Winning Team]],"YES","NO"))</f>
        <v>YES</v>
      </c>
      <c r="N298">
        <f>IF(Table4[[#This Row],[Adjusted Correct]]="-", "",IF(Table4[[#This Row],[Adjusted Correct]]="YES",(Table4[[#This Row],[Strength of Win]]-1)^2,(Table4[[#This Row],[Strength of Win]]-0)^2))</f>
        <v>0.17671579733106535</v>
      </c>
      <c r="O298">
        <v>-0.66509769070949665</v>
      </c>
      <c r="P298" s="11">
        <v>0.57649314562534082</v>
      </c>
      <c r="Q298" t="s">
        <v>20</v>
      </c>
      <c r="R298" t="s">
        <v>249</v>
      </c>
    </row>
    <row r="299" spans="4:18" x14ac:dyDescent="0.2">
      <c r="D299" s="1">
        <v>45977</v>
      </c>
      <c r="E299" s="2">
        <v>0.79166666666666663</v>
      </c>
      <c r="F299" t="s">
        <v>15</v>
      </c>
      <c r="G299">
        <f>VLOOKUP(Table4[[#This Row],[Home]],'NHL Model'!$A$6:$B$38,2,FALSE)</f>
        <v>-0.73651915476403329</v>
      </c>
      <c r="H299" t="s">
        <v>26</v>
      </c>
      <c r="I299">
        <f>VLOOKUP(Table4[[#This Row],[Visitor]],'NHL Model'!$A$6:$B$38,2,FALSE)</f>
        <v>-0.33113778518110382</v>
      </c>
      <c r="J299">
        <f>($B$1+Table4[[#This Row],[Home Differential]])-Table4[[#This Row],[Away Differential]]</f>
        <v>-0.2757743837714054</v>
      </c>
      <c r="K299" t="str">
        <f>IF(Table4[[#This Row],[HomeIce Differential]]&gt;0,Table4[[#This Row],[Home]],Table4[[#This Row],[Visitor]])</f>
        <v>Detroit Red Wings</v>
      </c>
      <c r="L2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0.52897573987807767</v>
      </c>
      <c r="M299" t="str">
        <f>IF(OR((NHL2025_26Results[[#This Row],[Winning Team]]="")),"-",IF(Table4[[#This Row],[Predicted Winner]]=NHL2025_26Results[[#This Row],[Winning Team]],"YES","NO"))</f>
        <v>YES</v>
      </c>
      <c r="N299">
        <f>IF(Table4[[#This Row],[Adjusted Correct]]="-", "",IF(Table4[[#This Row],[Adjusted Correct]]="YES",(Table4[[#This Row],[Strength of Win]]-1)^2,(Table4[[#This Row],[Strength of Win]]-0)^2))</f>
        <v>0.22186385362340436</v>
      </c>
      <c r="O299">
        <v>0.30519086846352605</v>
      </c>
      <c r="P299" s="11">
        <v>0.56315524095236036</v>
      </c>
      <c r="Q299" t="s">
        <v>15</v>
      </c>
      <c r="R299" t="s">
        <v>249</v>
      </c>
    </row>
    <row r="300" spans="4:18" x14ac:dyDescent="0.2">
      <c r="D300" s="1">
        <v>45977</v>
      </c>
      <c r="E300" s="2">
        <v>0.375</v>
      </c>
      <c r="F300" t="s">
        <v>14</v>
      </c>
      <c r="G300">
        <f>VLOOKUP(Table4[[#This Row],[Home]],'NHL Model'!$A$6:$B$38,2,FALSE)</f>
        <v>3.6349513460996066E-5</v>
      </c>
      <c r="H300" t="s">
        <v>29</v>
      </c>
      <c r="I300">
        <f>VLOOKUP(Table4[[#This Row],[Visitor]],'NHL Model'!$A$6:$B$38,2,FALSE)</f>
        <v>-0.82056481120798741</v>
      </c>
      <c r="J300">
        <f>($B$1+Table4[[#This Row],[Home Differential]])-Table4[[#This Row],[Away Differential]]</f>
        <v>0.95020814653297248</v>
      </c>
      <c r="K300" t="str">
        <f>IF(Table4[[#This Row],[HomeIce Differential]]&gt;0,Table4[[#This Row],[Home]],Table4[[#This Row],[Visitor]])</f>
        <v>Pittsburgh Penguins</v>
      </c>
      <c r="L3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0.64670254646194281</v>
      </c>
      <c r="M300" t="str">
        <f>IF(OR((NHL2025_26Results[[#This Row],[Winning Team]]="")),"-",IF(Table4[[#This Row],[Predicted Winner]]=NHL2025_26Results[[#This Row],[Winning Team]],"YES","NO"))</f>
        <v>YES</v>
      </c>
      <c r="N300">
        <f>IF(Table4[[#This Row],[Adjusted Correct]]="-", "",IF(Table4[[#This Row],[Adjusted Correct]]="YES",(Table4[[#This Row],[Strength of Win]]-1)^2,(Table4[[#This Row],[Strength of Win]]-0)^2))</f>
        <v>0.12481909067647567</v>
      </c>
      <c r="O300">
        <v>1.5835502930976153</v>
      </c>
      <c r="P300" s="11">
        <v>0.78192845291700996</v>
      </c>
      <c r="Q300" t="s">
        <v>14</v>
      </c>
      <c r="R300" t="s">
        <v>248</v>
      </c>
    </row>
    <row r="301" spans="4:18" x14ac:dyDescent="0.2">
      <c r="D301" s="1">
        <v>45977</v>
      </c>
      <c r="E301" s="2">
        <v>0.70833333333333337</v>
      </c>
      <c r="F301" t="s">
        <v>37</v>
      </c>
      <c r="G301">
        <f>VLOOKUP(Table4[[#This Row],[Home]],'NHL Model'!$A$6:$B$38,2,FALSE)</f>
        <v>0.72108184732572844</v>
      </c>
      <c r="H301" t="s">
        <v>38</v>
      </c>
      <c r="I301">
        <f>VLOOKUP(Table4[[#This Row],[Visitor]],'NHL Model'!$A$6:$B$38,2,FALSE)</f>
        <v>-1.3920033028857945</v>
      </c>
      <c r="J301">
        <f>($B$1+Table4[[#This Row],[Home Differential]])-Table4[[#This Row],[Away Differential]]</f>
        <v>2.242692136023047</v>
      </c>
      <c r="K301" t="str">
        <f>IF(Table4[[#This Row],[HomeIce Differential]]&gt;0,Table4[[#This Row],[Home]],Table4[[#This Row],[Visitor]])</f>
        <v>Tampa Bay Lightning</v>
      </c>
      <c r="L3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0.84782551417215646</v>
      </c>
      <c r="M301" t="str">
        <f>IF(OR((NHL2025_26Results[[#This Row],[Winning Team]]="")),"-",IF(Table4[[#This Row],[Predicted Winner]]=NHL2025_26Results[[#This Row],[Winning Team]],"YES","NO"))</f>
        <v>NO</v>
      </c>
      <c r="N301">
        <f>IF(Table4[[#This Row],[Adjusted Correct]]="-", "",IF(Table4[[#This Row],[Adjusted Correct]]="YES",(Table4[[#This Row],[Strength of Win]]-1)^2,(Table4[[#This Row],[Strength of Win]]-0)^2))</f>
        <v>0.71880810248128146</v>
      </c>
      <c r="O301">
        <v>1.2119761228420511</v>
      </c>
      <c r="P301" s="11">
        <v>0.69366394019368627</v>
      </c>
      <c r="Q301" t="s">
        <v>37</v>
      </c>
      <c r="R301" t="s">
        <v>249</v>
      </c>
    </row>
    <row r="302" spans="4:18" x14ac:dyDescent="0.2">
      <c r="D302" s="1">
        <v>45978</v>
      </c>
      <c r="E302" s="2">
        <v>0.91666666666666663</v>
      </c>
      <c r="F302" t="s">
        <v>31</v>
      </c>
      <c r="G302">
        <f>VLOOKUP(Table4[[#This Row],[Home]],'NHL Model'!$A$6:$B$38,2,FALSE)</f>
        <v>-0.46360583111358089</v>
      </c>
      <c r="H302" t="s">
        <v>55</v>
      </c>
      <c r="I302">
        <f>VLOOKUP(Table4[[#This Row],[Visitor]],'NHL Model'!$A$6:$B$38,2,FALSE)</f>
        <v>8.4094725828611647E-2</v>
      </c>
      <c r="J302">
        <f>($B$1+Table4[[#This Row],[Home Differential]])-Table4[[#This Row],[Away Differential]]</f>
        <v>-0.41809357113066847</v>
      </c>
      <c r="K302" t="str">
        <f>IF(Table4[[#This Row],[HomeIce Differential]]&gt;0,Table4[[#This Row],[Home]],Table4[[#This Row],[Visitor]])</f>
        <v>Utah Mammoth</v>
      </c>
      <c r="L3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0.45523336720119495</v>
      </c>
      <c r="M302" t="str">
        <f>IF(OR((NHL2025_26Results[[#This Row],[Winning Team]]="")),"-",IF(Table4[[#This Row],[Predicted Winner]]=NHL2025_26Results[[#This Row],[Winning Team]],"YES","NO"))</f>
        <v>NO</v>
      </c>
      <c r="N302">
        <f>IF(Table4[[#This Row],[Adjusted Correct]]="-", "",IF(Table4[[#This Row],[Adjusted Correct]]="YES",(Table4[[#This Row],[Strength of Win]]-1)^2,(Table4[[#This Row],[Strength of Win]]-0)^2))</f>
        <v>0.207237418613338</v>
      </c>
      <c r="O302">
        <v>0.80245089249636459</v>
      </c>
      <c r="P302" s="11">
        <v>0.7555164205687791</v>
      </c>
      <c r="Q302" t="s">
        <v>31</v>
      </c>
      <c r="R302" t="s">
        <v>248</v>
      </c>
    </row>
    <row r="303" spans="4:18" x14ac:dyDescent="0.2">
      <c r="D303" s="1">
        <v>45978</v>
      </c>
      <c r="E303" s="2">
        <v>0.79166666666666663</v>
      </c>
      <c r="F303" t="s">
        <v>21</v>
      </c>
      <c r="G303">
        <f>VLOOKUP(Table4[[#This Row],[Home]],'NHL Model'!$A$6:$B$38,2,FALSE)</f>
        <v>-0.10253061303059285</v>
      </c>
      <c r="H303" t="s">
        <v>25</v>
      </c>
      <c r="I303">
        <f>VLOOKUP(Table4[[#This Row],[Visitor]],'NHL Model'!$A$6:$B$38,2,FALSE)</f>
        <v>0.2324942014830165</v>
      </c>
      <c r="J303">
        <f>($B$1+Table4[[#This Row],[Home Differential]])-Table4[[#This Row],[Away Differential]]</f>
        <v>-0.20541782870208525</v>
      </c>
      <c r="K303" t="str">
        <f>IF(Table4[[#This Row],[HomeIce Differential]]&gt;0,Table4[[#This Row],[Home]],Table4[[#This Row],[Visitor]])</f>
        <v>Carolina Hurricanes</v>
      </c>
      <c r="L3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0.48698468794305316</v>
      </c>
      <c r="M303" t="str">
        <f>IF(OR((NHL2025_26Results[[#This Row],[Winning Team]]="")),"-",IF(Table4[[#This Row],[Predicted Winner]]=NHL2025_26Results[[#This Row],[Winning Team]],"YES","NO"))</f>
        <v>YES</v>
      </c>
      <c r="N303">
        <f>IF(Table4[[#This Row],[Adjusted Correct]]="-", "",IF(Table4[[#This Row],[Adjusted Correct]]="YES",(Table4[[#This Row],[Strength of Win]]-1)^2,(Table4[[#This Row],[Strength of Win]]-0)^2))</f>
        <v>0.26318471040488656</v>
      </c>
      <c r="O303">
        <v>-0.46907548361279583</v>
      </c>
      <c r="P303" s="11">
        <v>0.54325534193164859</v>
      </c>
      <c r="Q303" t="s">
        <v>25</v>
      </c>
      <c r="R303" t="s">
        <v>248</v>
      </c>
    </row>
    <row r="304" spans="4:18" x14ac:dyDescent="0.2">
      <c r="D304" s="1">
        <v>45978</v>
      </c>
      <c r="E304" s="2">
        <v>0.79166666666666663</v>
      </c>
      <c r="F304" t="s">
        <v>23</v>
      </c>
      <c r="G304">
        <f>VLOOKUP(Table4[[#This Row],[Home]],'NHL Model'!$A$6:$B$38,2,FALSE)</f>
        <v>8.1543966060426461E-3</v>
      </c>
      <c r="H304" t="s">
        <v>17</v>
      </c>
      <c r="I304">
        <f>VLOOKUP(Table4[[#This Row],[Visitor]],'NHL Model'!$A$6:$B$38,2,FALSE)</f>
        <v>-0.36462594951491906</v>
      </c>
      <c r="J304">
        <f>($B$1+Table4[[#This Row],[Home Differential]])-Table4[[#This Row],[Away Differential]]</f>
        <v>0.50238733193248586</v>
      </c>
      <c r="K304" t="str">
        <f>IF(Table4[[#This Row],[HomeIce Differential]]&gt;0,Table4[[#This Row],[Home]],Table4[[#This Row],[Visitor]])</f>
        <v>Buffalo Sabres</v>
      </c>
      <c r="L3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0.62535745224122663</v>
      </c>
      <c r="M304" t="str">
        <f>IF(OR((NHL2025_26Results[[#This Row],[Winning Team]]="")),"-",IF(Table4[[#This Row],[Predicted Winner]]=NHL2025_26Results[[#This Row],[Winning Team]],"YES","NO"))</f>
        <v>YES</v>
      </c>
      <c r="N304">
        <f>IF(Table4[[#This Row],[Adjusted Correct]]="-", "",IF(Table4[[#This Row],[Adjusted Correct]]="YES",(Table4[[#This Row],[Strength of Win]]-1)^2,(Table4[[#This Row],[Strength of Win]]-0)^2))</f>
        <v>0.14035703859118479</v>
      </c>
      <c r="O304">
        <v>-8.5960885212215676E-2</v>
      </c>
      <c r="P304" s="11">
        <v>0.4719106254189383</v>
      </c>
      <c r="Q304" t="s">
        <v>17</v>
      </c>
      <c r="R304" t="s">
        <v>249</v>
      </c>
    </row>
    <row r="305" spans="4:18" x14ac:dyDescent="0.2">
      <c r="D305" s="1">
        <v>45978</v>
      </c>
      <c r="E305" s="2">
        <v>0.8125</v>
      </c>
      <c r="F305" t="s">
        <v>28</v>
      </c>
      <c r="G305">
        <f>VLOOKUP(Table4[[#This Row],[Home]],'NHL Model'!$A$6:$B$38,2,FALSE)</f>
        <v>-0.28156479873410767</v>
      </c>
      <c r="H305" t="s">
        <v>18</v>
      </c>
      <c r="I305">
        <f>VLOOKUP(Table4[[#This Row],[Visitor]],'NHL Model'!$A$6:$B$38,2,FALSE)</f>
        <v>-8.6274676766085606E-2</v>
      </c>
      <c r="J305">
        <f>($B$1+Table4[[#This Row],[Home Differential]])-Table4[[#This Row],[Away Differential]]</f>
        <v>-6.5683136156497957E-2</v>
      </c>
      <c r="K305" t="str">
        <f>IF(Table4[[#This Row],[HomeIce Differential]]&gt;0,Table4[[#This Row],[Home]],Table4[[#This Row],[Visitor]])</f>
        <v>Montreal Canadiens</v>
      </c>
      <c r="L3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0.50564570949644316</v>
      </c>
      <c r="M305" t="str">
        <f>IF(OR((NHL2025_26Results[[#This Row],[Winning Team]]="")),"-",IF(Table4[[#This Row],[Predicted Winner]]=NHL2025_26Results[[#This Row],[Winning Team]],"YES","NO"))</f>
        <v>NO</v>
      </c>
      <c r="N305">
        <f>IF(Table4[[#This Row],[Adjusted Correct]]="-", "",IF(Table4[[#This Row],[Adjusted Correct]]="YES",(Table4[[#This Row],[Strength of Win]]-1)^2,(Table4[[#This Row],[Strength of Win]]-0)^2))</f>
        <v>0.25567758353216141</v>
      </c>
      <c r="O305">
        <v>0.27872678086771796</v>
      </c>
      <c r="P305" s="11">
        <v>0.50213932370766312</v>
      </c>
      <c r="Q305" t="s">
        <v>28</v>
      </c>
      <c r="R305" t="s">
        <v>248</v>
      </c>
    </row>
    <row r="306" spans="4:18" x14ac:dyDescent="0.2">
      <c r="D306" s="1">
        <v>45978</v>
      </c>
      <c r="E306" s="2">
        <v>0.79166666666666663</v>
      </c>
      <c r="F306" t="s">
        <v>11</v>
      </c>
      <c r="G306">
        <f>VLOOKUP(Table4[[#This Row],[Home]],'NHL Model'!$A$6:$B$38,2,FALSE)</f>
        <v>-0.55695213126481558</v>
      </c>
      <c r="H306" t="s">
        <v>38</v>
      </c>
      <c r="I306">
        <f>VLOOKUP(Table4[[#This Row],[Visitor]],'NHL Model'!$A$6:$B$38,2,FALSE)</f>
        <v>-1.3920033028857945</v>
      </c>
      <c r="J306">
        <f>($B$1+Table4[[#This Row],[Home Differential]])-Table4[[#This Row],[Away Differential]]</f>
        <v>0.96465815743250305</v>
      </c>
      <c r="K306" t="str">
        <f>IF(Table4[[#This Row],[HomeIce Differential]]&gt;0,Table4[[#This Row],[Home]],Table4[[#This Row],[Visitor]])</f>
        <v>Florida Panthers</v>
      </c>
      <c r="L3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0.6483251940523771</v>
      </c>
      <c r="M306" t="str">
        <f>IF(OR((NHL2025_26Results[[#This Row],[Winning Team]]="")),"-",IF(Table4[[#This Row],[Predicted Winner]]=NHL2025_26Results[[#This Row],[Winning Team]],"YES","NO"))</f>
        <v>YES</v>
      </c>
      <c r="N306">
        <f>IF(Table4[[#This Row],[Adjusted Correct]]="-", "",IF(Table4[[#This Row],[Adjusted Correct]]="YES",(Table4[[#This Row],[Strength of Win]]-1)^2,(Table4[[#This Row],[Strength of Win]]-0)^2))</f>
        <v>0.12367516913829822</v>
      </c>
      <c r="O306">
        <v>0.57172190182435711</v>
      </c>
      <c r="P306" s="11">
        <v>0.6292170229473768</v>
      </c>
      <c r="Q306" t="s">
        <v>11</v>
      </c>
      <c r="R306" t="s">
        <v>248</v>
      </c>
    </row>
    <row r="307" spans="4:18" x14ac:dyDescent="0.2">
      <c r="D307" s="1">
        <v>45978</v>
      </c>
      <c r="E307" s="2">
        <v>0.79166666666666663</v>
      </c>
      <c r="F307" t="s">
        <v>22</v>
      </c>
      <c r="G307">
        <f>VLOOKUP(Table4[[#This Row],[Home]],'NHL Model'!$A$6:$B$38,2,FALSE)</f>
        <v>-0.11977593183651415</v>
      </c>
      <c r="H307" t="s">
        <v>13</v>
      </c>
      <c r="I307">
        <f>VLOOKUP(Table4[[#This Row],[Visitor]],'NHL Model'!$A$6:$B$38,2,FALSE)</f>
        <v>-0.59069689888466137</v>
      </c>
      <c r="J307">
        <f>($B$1+Table4[[#This Row],[Home Differential]])-Table4[[#This Row],[Away Differential]]</f>
        <v>0.60052795285967131</v>
      </c>
      <c r="K307" t="str">
        <f>IF(Table4[[#This Row],[HomeIce Differential]]&gt;0,Table4[[#This Row],[Home]],Table4[[#This Row],[Visitor]])</f>
        <v>Washington Capitals</v>
      </c>
      <c r="L3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0.60474903841919292</v>
      </c>
      <c r="M307" t="str">
        <f>IF(OR((NHL2025_26Results[[#This Row],[Winning Team]]="")),"-",IF(Table4[[#This Row],[Predicted Winner]]=NHL2025_26Results[[#This Row],[Winning Team]],"YES","NO"))</f>
        <v>YES</v>
      </c>
      <c r="N307">
        <f>IF(Table4[[#This Row],[Adjusted Correct]]="-", "",IF(Table4[[#This Row],[Adjusted Correct]]="YES",(Table4[[#This Row],[Strength of Win]]-1)^2,(Table4[[#This Row],[Strength of Win]]-0)^2))</f>
        <v>0.15622332263055264</v>
      </c>
      <c r="O307">
        <v>0.17672317847452751</v>
      </c>
      <c r="P307" s="11">
        <v>0.44309117868583614</v>
      </c>
      <c r="Q307" t="s">
        <v>22</v>
      </c>
      <c r="R307" t="s">
        <v>248</v>
      </c>
    </row>
    <row r="308" spans="4:18" x14ac:dyDescent="0.2">
      <c r="D308" s="1">
        <v>45979</v>
      </c>
      <c r="E308" s="2">
        <v>0.85416666666666663</v>
      </c>
      <c r="F308" t="s">
        <v>10</v>
      </c>
      <c r="G308">
        <f>VLOOKUP(Table4[[#This Row],[Home]],'NHL Model'!$A$6:$B$38,2,FALSE)</f>
        <v>-0.92658078135875344</v>
      </c>
      <c r="H308" t="s">
        <v>16</v>
      </c>
      <c r="I308">
        <f>VLOOKUP(Table4[[#This Row],[Visitor]],'NHL Model'!$A$6:$B$38,2,FALSE)</f>
        <v>-0.89031221864884547</v>
      </c>
      <c r="J308">
        <f>($B$1+Table4[[#This Row],[Home Differential]])-Table4[[#This Row],[Away Differential]]</f>
        <v>9.3338423101616108E-2</v>
      </c>
      <c r="K308" t="str">
        <f>IF(Table4[[#This Row],[HomeIce Differential]]&gt;0,Table4[[#This Row],[Home]],Table4[[#This Row],[Visitor]])</f>
        <v>Chicago Blackhawks</v>
      </c>
      <c r="L3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0.55048133239440622</v>
      </c>
      <c r="M308" t="str">
        <f>IF(OR((NHL2025_26Results[[#This Row],[Winning Team]]="")),"-",IF(Table4[[#This Row],[Predicted Winner]]=NHL2025_26Results[[#This Row],[Winning Team]],"YES","NO"))</f>
        <v>YES</v>
      </c>
      <c r="N308">
        <f>IF(Table4[[#This Row],[Adjusted Correct]]="-", "",IF(Table4[[#This Row],[Adjusted Correct]]="YES",(Table4[[#This Row],[Strength of Win]]-1)^2,(Table4[[#This Row],[Strength of Win]]-0)^2))</f>
        <v>0.2020670325259083</v>
      </c>
      <c r="O308">
        <v>1.8724689142200299</v>
      </c>
      <c r="P308" s="11">
        <v>0.80838142364741761</v>
      </c>
      <c r="Q308" t="s">
        <v>10</v>
      </c>
      <c r="R308" t="s">
        <v>248</v>
      </c>
    </row>
    <row r="309" spans="4:18" x14ac:dyDescent="0.2">
      <c r="D309" s="1">
        <v>45979</v>
      </c>
      <c r="E309" s="2">
        <v>0.83333333333333337</v>
      </c>
      <c r="F309" t="s">
        <v>39</v>
      </c>
      <c r="G309">
        <f>VLOOKUP(Table4[[#This Row],[Home]],'NHL Model'!$A$6:$B$38,2,FALSE)</f>
        <v>0.21708030788125537</v>
      </c>
      <c r="H309" t="s">
        <v>30</v>
      </c>
      <c r="I309">
        <f>VLOOKUP(Table4[[#This Row],[Visitor]],'NHL Model'!$A$6:$B$38,2,FALSE)</f>
        <v>-0.18630462558229716</v>
      </c>
      <c r="J309">
        <f>($B$1+Table4[[#This Row],[Home Differential]])-Table4[[#This Row],[Away Differential]]</f>
        <v>0.53299191927507672</v>
      </c>
      <c r="K309" t="str">
        <f>IF(Table4[[#This Row],[HomeIce Differential]]&gt;0,Table4[[#This Row],[Home]],Table4[[#This Row],[Visitor]])</f>
        <v>Dallas Stars</v>
      </c>
      <c r="L3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0.6012529971501912</v>
      </c>
      <c r="M309" t="str">
        <f>IF(OR((NHL2025_26Results[[#This Row],[Winning Team]]="")),"-",IF(Table4[[#This Row],[Predicted Winner]]=NHL2025_26Results[[#This Row],[Winning Team]],"YES","NO"))</f>
        <v>NO</v>
      </c>
      <c r="N309">
        <f>IF(Table4[[#This Row],[Adjusted Correct]]="-", "",IF(Table4[[#This Row],[Adjusted Correct]]="YES",(Table4[[#This Row],[Strength of Win]]-1)^2,(Table4[[#This Row],[Strength of Win]]-0)^2))</f>
        <v>0.36150516658208781</v>
      </c>
      <c r="O309">
        <v>0.43113096170361953</v>
      </c>
      <c r="P309" s="11">
        <v>0.58560362912245234</v>
      </c>
      <c r="Q309" t="s">
        <v>39</v>
      </c>
      <c r="R309" t="s">
        <v>249</v>
      </c>
    </row>
    <row r="310" spans="4:18" x14ac:dyDescent="0.2">
      <c r="D310" s="1">
        <v>45979</v>
      </c>
      <c r="E310" s="2">
        <v>0.79166666666666663</v>
      </c>
      <c r="F310" t="s">
        <v>26</v>
      </c>
      <c r="G310">
        <f>VLOOKUP(Table4[[#This Row],[Home]],'NHL Model'!$A$6:$B$38,2,FALSE)</f>
        <v>-0.33113778518110382</v>
      </c>
      <c r="H310" t="s">
        <v>32</v>
      </c>
      <c r="I310">
        <f>VLOOKUP(Table4[[#This Row],[Visitor]],'NHL Model'!$A$6:$B$38,2,FALSE)</f>
        <v>-0.48236715437805205</v>
      </c>
      <c r="J310">
        <f>($B$1+Table4[[#This Row],[Home Differential]])-Table4[[#This Row],[Away Differential]]</f>
        <v>0.28083635500847237</v>
      </c>
      <c r="K310" t="str">
        <f>IF(Table4[[#This Row],[HomeIce Differential]]&gt;0,Table4[[#This Row],[Home]],Table4[[#This Row],[Visitor]])</f>
        <v>Detroit Red Wings</v>
      </c>
      <c r="L3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0.59757393592041042</v>
      </c>
      <c r="M310" t="str">
        <f>IF(OR((NHL2025_26Results[[#This Row],[Winning Team]]="")),"-",IF(Table4[[#This Row],[Predicted Winner]]=NHL2025_26Results[[#This Row],[Winning Team]],"YES","NO"))</f>
        <v>YES</v>
      </c>
      <c r="N310">
        <f>IF(Table4[[#This Row],[Adjusted Correct]]="-", "",IF(Table4[[#This Row],[Adjusted Correct]]="YES",(Table4[[#This Row],[Strength of Win]]-1)^2,(Table4[[#This Row],[Strength of Win]]-0)^2))</f>
        <v>0.16194673705058996</v>
      </c>
      <c r="O310">
        <v>5.8008708149805244E-2</v>
      </c>
      <c r="P310" s="11">
        <v>0.57435213805833296</v>
      </c>
      <c r="Q310" t="s">
        <v>26</v>
      </c>
      <c r="R310" t="s">
        <v>248</v>
      </c>
    </row>
    <row r="311" spans="4:18" x14ac:dyDescent="0.2">
      <c r="D311" s="1">
        <v>45979</v>
      </c>
      <c r="E311" s="2">
        <v>0.91666666666666663</v>
      </c>
      <c r="F311" t="s">
        <v>33</v>
      </c>
      <c r="G311">
        <f>VLOOKUP(Table4[[#This Row],[Home]],'NHL Model'!$A$6:$B$38,2,FALSE)</f>
        <v>-0.65236582493376272</v>
      </c>
      <c r="H311" t="s">
        <v>55</v>
      </c>
      <c r="I311">
        <f>VLOOKUP(Table4[[#This Row],[Visitor]],'NHL Model'!$A$6:$B$38,2,FALSE)</f>
        <v>8.4094725828611647E-2</v>
      </c>
      <c r="J311">
        <f>($B$1+Table4[[#This Row],[Home Differential]])-Table4[[#This Row],[Away Differential]]</f>
        <v>-0.6068535649508503</v>
      </c>
      <c r="K311" t="str">
        <f>IF(Table4[[#This Row],[HomeIce Differential]]&gt;0,Table4[[#This Row],[Home]],Table4[[#This Row],[Visitor]])</f>
        <v>Utah Mammoth</v>
      </c>
      <c r="L3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0.52814593302112545</v>
      </c>
      <c r="M311" t="str">
        <f>IF(OR((NHL2025_26Results[[#This Row],[Winning Team]]="")),"-",IF(Table4[[#This Row],[Predicted Winner]]=NHL2025_26Results[[#This Row],[Winning Team]],"YES","NO"))</f>
        <v>NO</v>
      </c>
      <c r="N311">
        <f>IF(Table4[[#This Row],[Adjusted Correct]]="-", "",IF(Table4[[#This Row],[Adjusted Correct]]="YES",(Table4[[#This Row],[Strength of Win]]-1)^2,(Table4[[#This Row],[Strength of Win]]-0)^2))</f>
        <v>0.27893812656675515</v>
      </c>
      <c r="O311">
        <v>-8.4258130171562168E-2</v>
      </c>
      <c r="P311" s="11">
        <v>0.47207673823452112</v>
      </c>
      <c r="Q311" t="s">
        <v>55</v>
      </c>
      <c r="R311" t="s">
        <v>249</v>
      </c>
    </row>
    <row r="312" spans="4:18" x14ac:dyDescent="0.2">
      <c r="D312" s="1">
        <v>45979</v>
      </c>
      <c r="E312" s="2">
        <v>0.79166666666666663</v>
      </c>
      <c r="F312" t="s">
        <v>37</v>
      </c>
      <c r="G312">
        <f>VLOOKUP(Table4[[#This Row],[Home]],'NHL Model'!$A$6:$B$38,2,FALSE)</f>
        <v>0.72108184732572844</v>
      </c>
      <c r="H312" t="s">
        <v>24</v>
      </c>
      <c r="I312">
        <f>VLOOKUP(Table4[[#This Row],[Visitor]],'NHL Model'!$A$6:$B$38,2,FALSE)</f>
        <v>-0.74510803532792402</v>
      </c>
      <c r="J312">
        <f>($B$1+Table4[[#This Row],[Home Differential]])-Table4[[#This Row],[Away Differential]]</f>
        <v>1.5957968684651767</v>
      </c>
      <c r="K312" t="str">
        <f>IF(Table4[[#This Row],[HomeIce Differential]]&gt;0,Table4[[#This Row],[Home]],Table4[[#This Row],[Visitor]])</f>
        <v>Tampa Bay Lightning</v>
      </c>
      <c r="L3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0.75495577577565953</v>
      </c>
      <c r="M312" t="str">
        <f>IF(OR((NHL2025_26Results[[#This Row],[Winning Team]]="")),"-",IF(Table4[[#This Row],[Predicted Winner]]=NHL2025_26Results[[#This Row],[Winning Team]],"YES","NO"))</f>
        <v>YES</v>
      </c>
      <c r="N312">
        <f>IF(Table4[[#This Row],[Adjusted Correct]]="-", "",IF(Table4[[#This Row],[Adjusted Correct]]="YES",(Table4[[#This Row],[Strength of Win]]-1)^2,(Table4[[#This Row],[Strength of Win]]-0)^2))</f>
        <v>6.0046671825708844E-2</v>
      </c>
      <c r="O312">
        <v>-0.49300861074158664</v>
      </c>
      <c r="P312" s="11">
        <v>0.59697883323181122</v>
      </c>
      <c r="Q312" t="s">
        <v>24</v>
      </c>
      <c r="R312" t="s">
        <v>249</v>
      </c>
    </row>
    <row r="313" spans="4:18" x14ac:dyDescent="0.2">
      <c r="D313" s="1">
        <v>45979</v>
      </c>
      <c r="E313" s="2">
        <v>0.79166666666666663</v>
      </c>
      <c r="F313" t="s">
        <v>19</v>
      </c>
      <c r="G313">
        <f>VLOOKUP(Table4[[#This Row],[Home]],'NHL Model'!$A$6:$B$38,2,FALSE)</f>
        <v>-0.44228056828684137</v>
      </c>
      <c r="H313" t="s">
        <v>35</v>
      </c>
      <c r="I313">
        <f>VLOOKUP(Table4[[#This Row],[Visitor]],'NHL Model'!$A$6:$B$38,2,FALSE)</f>
        <v>-1.3128572733047907</v>
      </c>
      <c r="J313">
        <f>($B$1+Table4[[#This Row],[Home Differential]])-Table4[[#This Row],[Away Differential]]</f>
        <v>1.0001836908294734</v>
      </c>
      <c r="K313" t="str">
        <f>IF(Table4[[#This Row],[HomeIce Differential]]&gt;0,Table4[[#This Row],[Home]],Table4[[#This Row],[Visitor]])</f>
        <v>Toronto Maple Leafs</v>
      </c>
      <c r="L3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0.65231449354607907</v>
      </c>
      <c r="M313" t="str">
        <f>IF(OR((NHL2025_26Results[[#This Row],[Winning Team]]="")),"-",IF(Table4[[#This Row],[Predicted Winner]]=NHL2025_26Results[[#This Row],[Winning Team]],"YES","NO"))</f>
        <v>YES</v>
      </c>
      <c r="N313">
        <f>IF(Table4[[#This Row],[Adjusted Correct]]="-", "",IF(Table4[[#This Row],[Adjusted Correct]]="YES",(Table4[[#This Row],[Strength of Win]]-1)^2,(Table4[[#This Row],[Strength of Win]]-0)^2))</f>
        <v>0.1208852113981195</v>
      </c>
      <c r="O313">
        <v>1.1912362049258531</v>
      </c>
      <c r="P313" s="11">
        <v>0.71074017418949764</v>
      </c>
      <c r="Q313" t="s">
        <v>19</v>
      </c>
      <c r="R313" t="s">
        <v>248</v>
      </c>
    </row>
    <row r="314" spans="4:18" x14ac:dyDescent="0.2">
      <c r="D314" s="1">
        <v>45979</v>
      </c>
      <c r="E314" s="2">
        <v>0.91666666666666663</v>
      </c>
      <c r="F314" t="s">
        <v>20</v>
      </c>
      <c r="G314">
        <f>VLOOKUP(Table4[[#This Row],[Home]],'NHL Model'!$A$6:$B$38,2,FALSE)</f>
        <v>-0.16296463421387539</v>
      </c>
      <c r="H314" t="s">
        <v>15</v>
      </c>
      <c r="I314">
        <f>VLOOKUP(Table4[[#This Row],[Visitor]],'NHL Model'!$A$6:$B$38,2,FALSE)</f>
        <v>-0.73651915476403329</v>
      </c>
      <c r="J314">
        <f>($B$1+Table4[[#This Row],[Home Differential]])-Table4[[#This Row],[Away Differential]]</f>
        <v>0.70316150636168206</v>
      </c>
      <c r="K314" t="str">
        <f>IF(Table4[[#This Row],[HomeIce Differential]]&gt;0,Table4[[#This Row],[Home]],Table4[[#This Row],[Visitor]])</f>
        <v>Vegas Golden Knights</v>
      </c>
      <c r="L3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0.58304473810953694</v>
      </c>
      <c r="M314" t="str">
        <f>IF(OR((NHL2025_26Results[[#This Row],[Winning Team]]="")),"-",IF(Table4[[#This Row],[Predicted Winner]]=NHL2025_26Results[[#This Row],[Winning Team]],"YES","NO"))</f>
        <v>YES</v>
      </c>
      <c r="N314">
        <f>IF(Table4[[#This Row],[Adjusted Correct]]="-", "",IF(Table4[[#This Row],[Adjusted Correct]]="YES",(Table4[[#This Row],[Strength of Win]]-1)^2,(Table4[[#This Row],[Strength of Win]]-0)^2))</f>
        <v>0.17385169041814463</v>
      </c>
      <c r="O314">
        <v>0.51169600909092638</v>
      </c>
      <c r="P314" s="11">
        <v>0.47093187454199859</v>
      </c>
      <c r="Q314" t="s">
        <v>20</v>
      </c>
      <c r="R314" t="s">
        <v>248</v>
      </c>
    </row>
    <row r="315" spans="4:18" x14ac:dyDescent="0.2">
      <c r="D315" s="1">
        <v>45979</v>
      </c>
      <c r="E315" s="2">
        <v>0.83333333333333337</v>
      </c>
      <c r="F315" t="s">
        <v>40</v>
      </c>
      <c r="G315">
        <f>VLOOKUP(Table4[[#This Row],[Home]],'NHL Model'!$A$6:$B$38,2,FALSE)</f>
        <v>-0.58845147248022256</v>
      </c>
      <c r="H315" t="s">
        <v>28</v>
      </c>
      <c r="I315">
        <f>VLOOKUP(Table4[[#This Row],[Visitor]],'NHL Model'!$A$6:$B$38,2,FALSE)</f>
        <v>-0.28156479873410767</v>
      </c>
      <c r="J315">
        <f>($B$1+Table4[[#This Row],[Home Differential]])-Table4[[#This Row],[Away Differential]]</f>
        <v>-0.17727968793459081</v>
      </c>
      <c r="K315" t="str">
        <f>IF(Table4[[#This Row],[HomeIce Differential]]&gt;0,Table4[[#This Row],[Home]],Table4[[#This Row],[Visitor]])</f>
        <v>Columbus Blue Jackets</v>
      </c>
      <c r="L3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0.49192360496760495</v>
      </c>
      <c r="M315" t="str">
        <f>IF(OR((NHL2025_26Results[[#This Row],[Winning Team]]="")),"-",IF(Table4[[#This Row],[Predicted Winner]]=NHL2025_26Results[[#This Row],[Winning Team]],"YES","NO"))</f>
        <v>NO</v>
      </c>
      <c r="N315">
        <f>IF(Table4[[#This Row],[Adjusted Correct]]="-", "",IF(Table4[[#This Row],[Adjusted Correct]]="YES",(Table4[[#This Row],[Strength of Win]]-1)^2,(Table4[[#This Row],[Strength of Win]]-0)^2))</f>
        <v>0.24198883312432426</v>
      </c>
      <c r="O315">
        <v>0.65717670317514765</v>
      </c>
      <c r="P315" s="11">
        <v>0.64974885182158759</v>
      </c>
      <c r="Q315" t="s">
        <v>40</v>
      </c>
      <c r="R315" t="s">
        <v>248</v>
      </c>
    </row>
    <row r="316" spans="4:18" x14ac:dyDescent="0.2">
      <c r="D316" s="1">
        <v>45980</v>
      </c>
      <c r="E316" s="2">
        <v>0.91666666666666663</v>
      </c>
      <c r="F316" t="s">
        <v>31</v>
      </c>
      <c r="G316">
        <f>VLOOKUP(Table4[[#This Row],[Home]],'NHL Model'!$A$6:$B$38,2,FALSE)</f>
        <v>-0.46360583111358089</v>
      </c>
      <c r="H316" t="s">
        <v>21</v>
      </c>
      <c r="I316">
        <f>VLOOKUP(Table4[[#This Row],[Visitor]],'NHL Model'!$A$6:$B$38,2,FALSE)</f>
        <v>-0.10253061303059285</v>
      </c>
      <c r="J316">
        <f>($B$1+Table4[[#This Row],[Home Differential]])-Table4[[#This Row],[Away Differential]]</f>
        <v>-0.23146823227146396</v>
      </c>
      <c r="K316" t="str">
        <f>IF(Table4[[#This Row],[HomeIce Differential]]&gt;0,Table4[[#This Row],[Home]],Table4[[#This Row],[Visitor]])</f>
        <v>Boston Bruins</v>
      </c>
      <c r="L3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0.43427648637118088</v>
      </c>
      <c r="M316" t="str">
        <f>IF(OR((NHL2025_26Results[[#This Row],[Winning Team]]="")),"-",IF(Table4[[#This Row],[Predicted Winner]]=NHL2025_26Results[[#This Row],[Winning Team]],"YES","NO"))</f>
        <v>NO</v>
      </c>
      <c r="N316">
        <f>IF(Table4[[#This Row],[Adjusted Correct]]="-", "",IF(Table4[[#This Row],[Adjusted Correct]]="YES",(Table4[[#This Row],[Strength of Win]]-1)^2,(Table4[[#This Row],[Strength of Win]]-0)^2))</f>
        <v>0.18859606661489844</v>
      </c>
      <c r="O316">
        <v>0.76544688193927901</v>
      </c>
      <c r="P316" s="11">
        <v>0.76084973676613277</v>
      </c>
      <c r="Q316" t="s">
        <v>31</v>
      </c>
      <c r="R316" t="s">
        <v>248</v>
      </c>
    </row>
    <row r="317" spans="4:18" x14ac:dyDescent="0.2">
      <c r="D317" s="1">
        <v>45980</v>
      </c>
      <c r="E317" s="2">
        <v>0.8125</v>
      </c>
      <c r="F317" t="s">
        <v>23</v>
      </c>
      <c r="G317">
        <f>VLOOKUP(Table4[[#This Row],[Home]],'NHL Model'!$A$6:$B$38,2,FALSE)</f>
        <v>8.1543966060426461E-3</v>
      </c>
      <c r="H317" t="s">
        <v>16</v>
      </c>
      <c r="I317">
        <f>VLOOKUP(Table4[[#This Row],[Visitor]],'NHL Model'!$A$6:$B$38,2,FALSE)</f>
        <v>-0.89031221864884547</v>
      </c>
      <c r="J317">
        <f>($B$1+Table4[[#This Row],[Home Differential]])-Table4[[#This Row],[Away Differential]]</f>
        <v>1.0280736010664122</v>
      </c>
      <c r="K317" t="str">
        <f>IF(Table4[[#This Row],[HomeIce Differential]]&gt;0,Table4[[#This Row],[Home]],Table4[[#This Row],[Visitor]])</f>
        <v>Buffalo Sabres</v>
      </c>
      <c r="L3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0.68438879580666689</v>
      </c>
      <c r="M317" t="str">
        <f>IF(OR((NHL2025_26Results[[#This Row],[Winning Team]]="")),"-",IF(Table4[[#This Row],[Predicted Winner]]=NHL2025_26Results[[#This Row],[Winning Team]],"YES","NO"))</f>
        <v>NO</v>
      </c>
      <c r="N317">
        <f>IF(Table4[[#This Row],[Adjusted Correct]]="-", "",IF(Table4[[#This Row],[Adjusted Correct]]="YES",(Table4[[#This Row],[Strength of Win]]-1)^2,(Table4[[#This Row],[Strength of Win]]-0)^2))</f>
        <v>0.46838802382569961</v>
      </c>
      <c r="O317">
        <v>0.98920468733649858</v>
      </c>
      <c r="P317" s="11">
        <v>0.68476799828715018</v>
      </c>
      <c r="Q317" t="s">
        <v>23</v>
      </c>
      <c r="R317" t="s">
        <v>249</v>
      </c>
    </row>
    <row r="318" spans="4:18" x14ac:dyDescent="0.2">
      <c r="D318" s="1">
        <v>45980</v>
      </c>
      <c r="E318" s="2">
        <v>0.89583333333333337</v>
      </c>
      <c r="F318" t="s">
        <v>34</v>
      </c>
      <c r="G318">
        <f>VLOOKUP(Table4[[#This Row],[Home]],'NHL Model'!$A$6:$B$38,2,FALSE)</f>
        <v>6.0485283743665949E-2</v>
      </c>
      <c r="H318" t="s">
        <v>25</v>
      </c>
      <c r="I318">
        <f>VLOOKUP(Table4[[#This Row],[Visitor]],'NHL Model'!$A$6:$B$38,2,FALSE)</f>
        <v>0.2324942014830165</v>
      </c>
      <c r="J318">
        <f>($B$1+Table4[[#This Row],[Home Differential]])-Table4[[#This Row],[Away Differential]]</f>
        <v>-4.2401931927826458E-2</v>
      </c>
      <c r="K318" t="str">
        <f>IF(Table4[[#This Row],[HomeIce Differential]]&gt;0,Table4[[#This Row],[Home]],Table4[[#This Row],[Visitor]])</f>
        <v>Carolina Hurricanes</v>
      </c>
      <c r="L3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0.50924578180294877</v>
      </c>
      <c r="M318" t="str">
        <f>IF(OR((NHL2025_26Results[[#This Row],[Winning Team]]="")),"-",IF(Table4[[#This Row],[Predicted Winner]]=NHL2025_26Results[[#This Row],[Winning Team]],"YES","NO"))</f>
        <v>NO</v>
      </c>
      <c r="N318">
        <f>IF(Table4[[#This Row],[Adjusted Correct]]="-", "",IF(Table4[[#This Row],[Adjusted Correct]]="YES",(Table4[[#This Row],[Strength of Win]]-1)^2,(Table4[[#This Row],[Strength of Win]]-0)^2))</f>
        <v>0.25933126628409653</v>
      </c>
      <c r="O318">
        <v>-1.0914266206185563</v>
      </c>
      <c r="P318" s="11">
        <v>0.72149073367909078</v>
      </c>
      <c r="Q318" t="s">
        <v>25</v>
      </c>
      <c r="R318" t="s">
        <v>249</v>
      </c>
    </row>
    <row r="319" spans="4:18" x14ac:dyDescent="0.2">
      <c r="D319" s="1">
        <v>45980</v>
      </c>
      <c r="E319" s="2">
        <v>0.79166666666666663</v>
      </c>
      <c r="F319" t="s">
        <v>22</v>
      </c>
      <c r="G319">
        <f>VLOOKUP(Table4[[#This Row],[Home]],'NHL Model'!$A$6:$B$38,2,FALSE)</f>
        <v>-0.11977593183651415</v>
      </c>
      <c r="H319" t="s">
        <v>17</v>
      </c>
      <c r="I319">
        <f>VLOOKUP(Table4[[#This Row],[Visitor]],'NHL Model'!$A$6:$B$38,2,FALSE)</f>
        <v>-0.36462594951491906</v>
      </c>
      <c r="J319">
        <f>($B$1+Table4[[#This Row],[Home Differential]])-Table4[[#This Row],[Away Differential]]</f>
        <v>0.374457003489929</v>
      </c>
      <c r="K319" t="str">
        <f>IF(Table4[[#This Row],[HomeIce Differential]]&gt;0,Table4[[#This Row],[Home]],Table4[[#This Row],[Visitor]])</f>
        <v>Washington Capitals</v>
      </c>
      <c r="L3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0.60001574665347945</v>
      </c>
      <c r="M319" t="str">
        <f>IF(OR((NHL2025_26Results[[#This Row],[Winning Team]]="")),"-",IF(Table4[[#This Row],[Predicted Winner]]=NHL2025_26Results[[#This Row],[Winning Team]],"YES","NO"))</f>
        <v>YES</v>
      </c>
      <c r="N319">
        <f>IF(Table4[[#This Row],[Adjusted Correct]]="-", "",IF(Table4[[#This Row],[Adjusted Correct]]="YES",(Table4[[#This Row],[Strength of Win]]-1)^2,(Table4[[#This Row],[Strength of Win]]-0)^2))</f>
        <v>0.15998740292517352</v>
      </c>
      <c r="O319">
        <v>1.0337413077555846</v>
      </c>
      <c r="P319" s="11">
        <v>0.68867800548979374</v>
      </c>
      <c r="Q319" t="s">
        <v>22</v>
      </c>
      <c r="R319" t="s">
        <v>248</v>
      </c>
    </row>
    <row r="320" spans="4:18" x14ac:dyDescent="0.2">
      <c r="D320" s="1">
        <v>45981</v>
      </c>
      <c r="E320" s="2">
        <v>0.91666666666666663</v>
      </c>
      <c r="F320" t="s">
        <v>31</v>
      </c>
      <c r="G320">
        <f>VLOOKUP(Table4[[#This Row],[Home]],'NHL Model'!$A$6:$B$38,2,FALSE)</f>
        <v>-0.46360583111358089</v>
      </c>
      <c r="H320" t="s">
        <v>36</v>
      </c>
      <c r="I320">
        <f>VLOOKUP(Table4[[#This Row],[Visitor]],'NHL Model'!$A$6:$B$38,2,FALSE)</f>
        <v>-0.19010748264223354</v>
      </c>
      <c r="J320">
        <f>($B$1+Table4[[#This Row],[Home Differential]])-Table4[[#This Row],[Away Differential]]</f>
        <v>-0.14389136265982327</v>
      </c>
      <c r="K320" t="str">
        <f>IF(Table4[[#This Row],[HomeIce Differential]]&gt;0,Table4[[#This Row],[Home]],Table4[[#This Row],[Visitor]])</f>
        <v>Ottawa Senators</v>
      </c>
      <c r="L3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0.43615811742480082</v>
      </c>
      <c r="M320" t="str">
        <f>IF(OR((NHL2025_26Results[[#This Row],[Winning Team]]="")),"-",IF(Table4[[#This Row],[Predicted Winner]]=NHL2025_26Results[[#This Row],[Winning Team]],"YES","NO"))</f>
        <v>YES</v>
      </c>
      <c r="N320">
        <f>IF(Table4[[#This Row],[Adjusted Correct]]="-", "",IF(Table4[[#This Row],[Adjusted Correct]]="YES",(Table4[[#This Row],[Strength of Win]]-1)^2,(Table4[[#This Row],[Strength of Win]]-0)^2))</f>
        <v>0.31791766854594472</v>
      </c>
      <c r="O320">
        <v>1.2060018634213232</v>
      </c>
      <c r="P320" s="11">
        <v>0.82141601872248216</v>
      </c>
      <c r="Q320" t="s">
        <v>31</v>
      </c>
      <c r="R320" t="s">
        <v>249</v>
      </c>
    </row>
    <row r="321" spans="4:18" x14ac:dyDescent="0.2">
      <c r="D321" s="1">
        <v>45981</v>
      </c>
      <c r="E321" s="2">
        <v>0.83333333333333337</v>
      </c>
      <c r="F321" t="s">
        <v>10</v>
      </c>
      <c r="G321">
        <f>VLOOKUP(Table4[[#This Row],[Home]],'NHL Model'!$A$6:$B$38,2,FALSE)</f>
        <v>-0.92658078135875344</v>
      </c>
      <c r="H321" t="s">
        <v>32</v>
      </c>
      <c r="I321">
        <f>VLOOKUP(Table4[[#This Row],[Visitor]],'NHL Model'!$A$6:$B$38,2,FALSE)</f>
        <v>-0.48236715437805205</v>
      </c>
      <c r="J321">
        <f>($B$1+Table4[[#This Row],[Home Differential]])-Table4[[#This Row],[Away Differential]]</f>
        <v>-0.3146066411691773</v>
      </c>
      <c r="K321" t="str">
        <f>IF(Table4[[#This Row],[HomeIce Differential]]&gt;0,Table4[[#This Row],[Home]],Table4[[#This Row],[Visitor]])</f>
        <v>Seattle Kraken</v>
      </c>
      <c r="L3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0.4953283960667717</v>
      </c>
      <c r="M321" t="str">
        <f>IF(OR((NHL2025_26Results[[#This Row],[Winning Team]]="")),"-",IF(Table4[[#This Row],[Predicted Winner]]=NHL2025_26Results[[#This Row],[Winning Team]],"YES","NO"))</f>
        <v>YES</v>
      </c>
      <c r="N321">
        <f>IF(Table4[[#This Row],[Adjusted Correct]]="-", "",IF(Table4[[#This Row],[Adjusted Correct]]="YES",(Table4[[#This Row],[Strength of Win]]-1)^2,(Table4[[#This Row],[Strength of Win]]-0)^2))</f>
        <v>0.25469342781653725</v>
      </c>
      <c r="O321">
        <v>1.0354572362838268</v>
      </c>
      <c r="P321" s="11">
        <v>0.68955873942591128</v>
      </c>
      <c r="Q321" t="s">
        <v>10</v>
      </c>
      <c r="R321" t="s">
        <v>249</v>
      </c>
    </row>
    <row r="322" spans="4:18" x14ac:dyDescent="0.2">
      <c r="D322" s="1">
        <v>45981</v>
      </c>
      <c r="E322" s="2">
        <v>0.875</v>
      </c>
      <c r="F322" t="s">
        <v>12</v>
      </c>
      <c r="G322">
        <f>VLOOKUP(Table4[[#This Row],[Home]],'NHL Model'!$A$6:$B$38,2,FALSE)</f>
        <v>0.99866683349964291</v>
      </c>
      <c r="H322" t="s">
        <v>15</v>
      </c>
      <c r="I322">
        <f>VLOOKUP(Table4[[#This Row],[Visitor]],'NHL Model'!$A$6:$B$38,2,FALSE)</f>
        <v>-0.73651915476403329</v>
      </c>
      <c r="J322">
        <f>($B$1+Table4[[#This Row],[Home Differential]])-Table4[[#This Row],[Away Differential]]</f>
        <v>1.8647929740752003</v>
      </c>
      <c r="K322" t="str">
        <f>IF(Table4[[#This Row],[HomeIce Differential]]&gt;0,Table4[[#This Row],[Home]],Table4[[#This Row],[Visitor]])</f>
        <v>Colorado Avalanche</v>
      </c>
      <c r="L3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0.7947706663663372</v>
      </c>
      <c r="M322" t="str">
        <f>IF(OR((NHL2025_26Results[[#This Row],[Winning Team]]="")),"-",IF(Table4[[#This Row],[Predicted Winner]]=NHL2025_26Results[[#This Row],[Winning Team]],"YES","NO"))</f>
        <v>YES</v>
      </c>
      <c r="N322">
        <f>IF(Table4[[#This Row],[Adjusted Correct]]="-", "",IF(Table4[[#This Row],[Adjusted Correct]]="YES",(Table4[[#This Row],[Strength of Win]]-1)^2,(Table4[[#This Row],[Strength of Win]]-0)^2))</f>
        <v>4.2119079383717277E-2</v>
      </c>
      <c r="O322">
        <v>2.0416850322439344</v>
      </c>
      <c r="P322" s="11">
        <v>0.79009355708149565</v>
      </c>
      <c r="Q322" t="s">
        <v>12</v>
      </c>
      <c r="R322" t="s">
        <v>248</v>
      </c>
    </row>
    <row r="323" spans="4:18" x14ac:dyDescent="0.2">
      <c r="D323" s="1">
        <v>45981</v>
      </c>
      <c r="E323" s="2">
        <v>0.79166666666666663</v>
      </c>
      <c r="F323" t="s">
        <v>26</v>
      </c>
      <c r="G323">
        <f>VLOOKUP(Table4[[#This Row],[Home]],'NHL Model'!$A$6:$B$38,2,FALSE)</f>
        <v>-0.33113778518110382</v>
      </c>
      <c r="H323" t="s">
        <v>30</v>
      </c>
      <c r="I323">
        <f>VLOOKUP(Table4[[#This Row],[Visitor]],'NHL Model'!$A$6:$B$38,2,FALSE)</f>
        <v>-0.18630462558229716</v>
      </c>
      <c r="J323">
        <f>($B$1+Table4[[#This Row],[Home Differential]])-Table4[[#This Row],[Away Differential]]</f>
        <v>-1.5226173787282554E-2</v>
      </c>
      <c r="K323" t="str">
        <f>IF(Table4[[#This Row],[HomeIce Differential]]&gt;0,Table4[[#This Row],[Home]],Table4[[#This Row],[Visitor]])</f>
        <v>New York Islanders</v>
      </c>
      <c r="L3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0.47229804121601282</v>
      </c>
      <c r="M323" t="str">
        <f>IF(OR((NHL2025_26Results[[#This Row],[Winning Team]]="")),"-",IF(Table4[[#This Row],[Predicted Winner]]=NHL2025_26Results[[#This Row],[Winning Team]],"YES","NO"))</f>
        <v>YES</v>
      </c>
      <c r="N323">
        <f>IF(Table4[[#This Row],[Adjusted Correct]]="-", "",IF(Table4[[#This Row],[Adjusted Correct]]="YES",(Table4[[#This Row],[Strength of Win]]-1)^2,(Table4[[#This Row],[Strength of Win]]-0)^2))</f>
        <v>0.27846935730445688</v>
      </c>
      <c r="O323">
        <v>-0.21490931111843795</v>
      </c>
      <c r="P323" s="11">
        <v>0.50783942088355738</v>
      </c>
      <c r="Q323" t="s">
        <v>30</v>
      </c>
      <c r="R323" t="s">
        <v>248</v>
      </c>
    </row>
    <row r="324" spans="4:18" x14ac:dyDescent="0.2">
      <c r="D324" s="1">
        <v>45981</v>
      </c>
      <c r="E324" s="2">
        <v>0.79166666666666663</v>
      </c>
      <c r="F324" t="s">
        <v>11</v>
      </c>
      <c r="G324">
        <f>VLOOKUP(Table4[[#This Row],[Home]],'NHL Model'!$A$6:$B$38,2,FALSE)</f>
        <v>-0.55695213126481558</v>
      </c>
      <c r="H324" t="s">
        <v>24</v>
      </c>
      <c r="I324">
        <f>VLOOKUP(Table4[[#This Row],[Visitor]],'NHL Model'!$A$6:$B$38,2,FALSE)</f>
        <v>-0.74510803532792402</v>
      </c>
      <c r="J324">
        <f>($B$1+Table4[[#This Row],[Home Differential]])-Table4[[#This Row],[Away Differential]]</f>
        <v>0.31776288987463253</v>
      </c>
      <c r="K324" t="str">
        <f>IF(Table4[[#This Row],[HomeIce Differential]]&gt;0,Table4[[#This Row],[Home]],Table4[[#This Row],[Visitor]])</f>
        <v>Florida Panthers</v>
      </c>
      <c r="L3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0.55491359266734208</v>
      </c>
      <c r="M324" t="str">
        <f>IF(OR((NHL2025_26Results[[#This Row],[Winning Team]]="")),"-",IF(Table4[[#This Row],[Predicted Winner]]=NHL2025_26Results[[#This Row],[Winning Team]],"YES","NO"))</f>
        <v>YES</v>
      </c>
      <c r="N324">
        <f>IF(Table4[[#This Row],[Adjusted Correct]]="-", "",IF(Table4[[#This Row],[Adjusted Correct]]="YES",(Table4[[#This Row],[Strength of Win]]-1)^2,(Table4[[#This Row],[Strength of Win]]-0)^2))</f>
        <v>0.19810190999229269</v>
      </c>
      <c r="O324">
        <v>-0.28492594650550118</v>
      </c>
      <c r="P324" s="11">
        <v>0.47717133510972853</v>
      </c>
      <c r="Q324" t="s">
        <v>24</v>
      </c>
      <c r="R324" t="s">
        <v>249</v>
      </c>
    </row>
    <row r="325" spans="4:18" x14ac:dyDescent="0.2">
      <c r="D325" s="1">
        <v>45981</v>
      </c>
      <c r="E325" s="2">
        <v>0.79166666666666663</v>
      </c>
      <c r="F325" t="s">
        <v>18</v>
      </c>
      <c r="G325">
        <f>VLOOKUP(Table4[[#This Row],[Home]],'NHL Model'!$A$6:$B$38,2,FALSE)</f>
        <v>-8.6274676766085606E-2</v>
      </c>
      <c r="H325" t="s">
        <v>22</v>
      </c>
      <c r="I325">
        <f>VLOOKUP(Table4[[#This Row],[Visitor]],'NHL Model'!$A$6:$B$38,2,FALSE)</f>
        <v>-0.11977593183651415</v>
      </c>
      <c r="J325">
        <f>($B$1+Table4[[#This Row],[Home Differential]])-Table4[[#This Row],[Away Differential]]</f>
        <v>0.16310824088195264</v>
      </c>
      <c r="K325" t="str">
        <f>IF(Table4[[#This Row],[HomeIce Differential]]&gt;0,Table4[[#This Row],[Home]],Table4[[#This Row],[Visitor]])</f>
        <v>Montreal Canadiens</v>
      </c>
      <c r="L3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0.572332675475132</v>
      </c>
      <c r="M325" t="str">
        <f>IF(OR((NHL2025_26Results[[#This Row],[Winning Team]]="")),"-",IF(Table4[[#This Row],[Predicted Winner]]=NHL2025_26Results[[#This Row],[Winning Team]],"YES","NO"))</f>
        <v>NO</v>
      </c>
      <c r="N325">
        <f>IF(Table4[[#This Row],[Adjusted Correct]]="-", "",IF(Table4[[#This Row],[Adjusted Correct]]="YES",(Table4[[#This Row],[Strength of Win]]-1)^2,(Table4[[#This Row],[Strength of Win]]-0)^2))</f>
        <v>0.32756469141652278</v>
      </c>
      <c r="O325">
        <v>-0.48342349678689522</v>
      </c>
      <c r="P325" s="11">
        <v>0.52653488689618611</v>
      </c>
      <c r="Q325" t="s">
        <v>22</v>
      </c>
      <c r="R325" t="s">
        <v>248</v>
      </c>
    </row>
    <row r="326" spans="4:18" x14ac:dyDescent="0.2">
      <c r="D326" s="1">
        <v>45981</v>
      </c>
      <c r="E326" s="2">
        <v>0.79166666666666663</v>
      </c>
      <c r="F326" t="s">
        <v>27</v>
      </c>
      <c r="G326">
        <f>VLOOKUP(Table4[[#This Row],[Home]],'NHL Model'!$A$6:$B$38,2,FALSE)</f>
        <v>-0.55097933929175691</v>
      </c>
      <c r="H326" t="s">
        <v>35</v>
      </c>
      <c r="I326">
        <f>VLOOKUP(Table4[[#This Row],[Visitor]],'NHL Model'!$A$6:$B$38,2,FALSE)</f>
        <v>-1.3128572733047907</v>
      </c>
      <c r="J326">
        <f>($B$1+Table4[[#This Row],[Home Differential]])-Table4[[#This Row],[Away Differential]]</f>
        <v>0.89148491982455791</v>
      </c>
      <c r="K326" t="str">
        <f>IF(Table4[[#This Row],[HomeIce Differential]]&gt;0,Table4[[#This Row],[Home]],Table4[[#This Row],[Visitor]])</f>
        <v>Philadelphia Flyers</v>
      </c>
      <c r="L3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0.64010828829954725</v>
      </c>
      <c r="M326" t="str">
        <f>IF(OR((NHL2025_26Results[[#This Row],[Winning Team]]="")),"-",IF(Table4[[#This Row],[Predicted Winner]]=NHL2025_26Results[[#This Row],[Winning Team]],"YES","NO"))</f>
        <v>YES</v>
      </c>
      <c r="N326">
        <f>IF(Table4[[#This Row],[Adjusted Correct]]="-", "",IF(Table4[[#This Row],[Adjusted Correct]]="YES",(Table4[[#This Row],[Strength of Win]]-1)^2,(Table4[[#This Row],[Strength of Win]]-0)^2))</f>
        <v>0.1295220441506818</v>
      </c>
      <c r="O326">
        <v>1.3126679669091614</v>
      </c>
      <c r="P326" s="11">
        <v>0.72316153141538597</v>
      </c>
      <c r="Q326" t="s">
        <v>27</v>
      </c>
      <c r="R326" t="s">
        <v>248</v>
      </c>
    </row>
    <row r="327" spans="4:18" x14ac:dyDescent="0.2">
      <c r="D327" s="1">
        <v>45981</v>
      </c>
      <c r="E327" s="2">
        <v>0.91666666666666663</v>
      </c>
      <c r="F327" t="s">
        <v>33</v>
      </c>
      <c r="G327">
        <f>VLOOKUP(Table4[[#This Row],[Home]],'NHL Model'!$A$6:$B$38,2,FALSE)</f>
        <v>-0.65236582493376272</v>
      </c>
      <c r="H327" t="s">
        <v>13</v>
      </c>
      <c r="I327">
        <f>VLOOKUP(Table4[[#This Row],[Visitor]],'NHL Model'!$A$6:$B$38,2,FALSE)</f>
        <v>-0.59069689888466137</v>
      </c>
      <c r="J327">
        <f>($B$1+Table4[[#This Row],[Home Differential]])-Table4[[#This Row],[Away Differential]]</f>
        <v>6.7938059762422731E-2</v>
      </c>
      <c r="K327" t="str">
        <f>IF(Table4[[#This Row],[HomeIce Differential]]&gt;0,Table4[[#This Row],[Home]],Table4[[#This Row],[Visitor]])</f>
        <v>San Jose Sharks</v>
      </c>
      <c r="L3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0.52685979662311921</v>
      </c>
      <c r="M327" t="str">
        <f>IF(OR((NHL2025_26Results[[#This Row],[Winning Team]]="")),"-",IF(Table4[[#This Row],[Predicted Winner]]=NHL2025_26Results[[#This Row],[Winning Team]],"YES","NO"))</f>
        <v>YES</v>
      </c>
      <c r="N327">
        <f>IF(Table4[[#This Row],[Adjusted Correct]]="-", "",IF(Table4[[#This Row],[Adjusted Correct]]="YES",(Table4[[#This Row],[Strength of Win]]-1)^2,(Table4[[#This Row],[Strength of Win]]-0)^2))</f>
        <v>0.22386165205151612</v>
      </c>
      <c r="O327">
        <v>-4.769654463873621E-2</v>
      </c>
      <c r="P327" s="11">
        <v>0.56836235759955012</v>
      </c>
      <c r="Q327" t="s">
        <v>13</v>
      </c>
      <c r="R327" t="s">
        <v>249</v>
      </c>
    </row>
    <row r="328" spans="4:18" x14ac:dyDescent="0.2">
      <c r="D328" s="1">
        <v>45981</v>
      </c>
      <c r="E328" s="2">
        <v>0.8125</v>
      </c>
      <c r="F328" t="s">
        <v>37</v>
      </c>
      <c r="G328">
        <f>VLOOKUP(Table4[[#This Row],[Home]],'NHL Model'!$A$6:$B$38,2,FALSE)</f>
        <v>0.72108184732572844</v>
      </c>
      <c r="H328" t="s">
        <v>17</v>
      </c>
      <c r="I328">
        <f>VLOOKUP(Table4[[#This Row],[Visitor]],'NHL Model'!$A$6:$B$38,2,FALSE)</f>
        <v>-0.36462594951491906</v>
      </c>
      <c r="J328">
        <f>($B$1+Table4[[#This Row],[Home Differential]])-Table4[[#This Row],[Away Differential]]</f>
        <v>1.2153147826521715</v>
      </c>
      <c r="K328" t="str">
        <f>IF(Table4[[#This Row],[HomeIce Differential]]&gt;0,Table4[[#This Row],[Home]],Table4[[#This Row],[Visitor]])</f>
        <v>Tampa Bay Lightning</v>
      </c>
      <c r="L3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0.73245733912336508</v>
      </c>
      <c r="M328" t="str">
        <f>IF(OR((NHL2025_26Results[[#This Row],[Winning Team]]="")),"-",IF(Table4[[#This Row],[Predicted Winner]]=NHL2025_26Results[[#This Row],[Winning Team]],"YES","NO"))</f>
        <v>YES</v>
      </c>
      <c r="N328">
        <f>IF(Table4[[#This Row],[Adjusted Correct]]="-", "",IF(Table4[[#This Row],[Adjusted Correct]]="YES",(Table4[[#This Row],[Strength of Win]]-1)^2,(Table4[[#This Row],[Strength of Win]]-0)^2))</f>
        <v>7.1579075388950072E-2</v>
      </c>
      <c r="O328">
        <v>1.2494855303236327</v>
      </c>
      <c r="P328" s="11">
        <v>0.71197008211446478</v>
      </c>
      <c r="Q328" t="s">
        <v>37</v>
      </c>
      <c r="R328" t="s">
        <v>248</v>
      </c>
    </row>
    <row r="329" spans="4:18" x14ac:dyDescent="0.2">
      <c r="D329" s="1">
        <v>45981</v>
      </c>
      <c r="E329" s="2">
        <v>0.79166666666666663</v>
      </c>
      <c r="F329" t="s">
        <v>19</v>
      </c>
      <c r="G329">
        <f>VLOOKUP(Table4[[#This Row],[Home]],'NHL Model'!$A$6:$B$38,2,FALSE)</f>
        <v>-0.44228056828684137</v>
      </c>
      <c r="H329" t="s">
        <v>28</v>
      </c>
      <c r="I329">
        <f>VLOOKUP(Table4[[#This Row],[Visitor]],'NHL Model'!$A$6:$B$38,2,FALSE)</f>
        <v>-0.28156479873410767</v>
      </c>
      <c r="J329">
        <f>($B$1+Table4[[#This Row],[Home Differential]])-Table4[[#This Row],[Away Differential]]</f>
        <v>-3.1108783741209622E-2</v>
      </c>
      <c r="K329" t="str">
        <f>IF(Table4[[#This Row],[HomeIce Differential]]&gt;0,Table4[[#This Row],[Home]],Table4[[#This Row],[Visitor]])</f>
        <v>Columbus Blue Jackets</v>
      </c>
      <c r="L3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0.47550950901085426</v>
      </c>
      <c r="M329" t="str">
        <f>IF(OR((NHL2025_26Results[[#This Row],[Winning Team]]="")),"-",IF(Table4[[#This Row],[Predicted Winner]]=NHL2025_26Results[[#This Row],[Winning Team]],"YES","NO"))</f>
        <v>YES</v>
      </c>
      <c r="N329">
        <f>IF(Table4[[#This Row],[Adjusted Correct]]="-", "",IF(Table4[[#This Row],[Adjusted Correct]]="YES",(Table4[[#This Row],[Strength of Win]]-1)^2,(Table4[[#This Row],[Strength of Win]]-0)^2))</f>
        <v>0.27509027513803513</v>
      </c>
      <c r="O329">
        <v>3.361575292551533E-2</v>
      </c>
      <c r="P329" s="11">
        <v>0.5586432477389025</v>
      </c>
      <c r="Q329" t="s">
        <v>19</v>
      </c>
      <c r="R329" t="s">
        <v>249</v>
      </c>
    </row>
    <row r="330" spans="4:18" x14ac:dyDescent="0.2">
      <c r="D330" s="1">
        <v>45981</v>
      </c>
      <c r="E330" s="2">
        <v>0.875</v>
      </c>
      <c r="F330" t="s">
        <v>55</v>
      </c>
      <c r="G330">
        <f>VLOOKUP(Table4[[#This Row],[Home]],'NHL Model'!$A$6:$B$38,2,FALSE)</f>
        <v>8.4094725828611647E-2</v>
      </c>
      <c r="H330" t="s">
        <v>20</v>
      </c>
      <c r="I330">
        <f>VLOOKUP(Table4[[#This Row],[Visitor]],'NHL Model'!$A$6:$B$38,2,FALSE)</f>
        <v>-0.16296463421387539</v>
      </c>
      <c r="J330">
        <f>($B$1+Table4[[#This Row],[Home Differential]])-Table4[[#This Row],[Away Differential]]</f>
        <v>0.37666634585401115</v>
      </c>
      <c r="K330" t="str">
        <f>IF(Table4[[#This Row],[HomeIce Differential]]&gt;0,Table4[[#This Row],[Home]],Table4[[#This Row],[Visitor]])</f>
        <v>Utah Mammoth</v>
      </c>
      <c r="L3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0.59935946713326138</v>
      </c>
      <c r="M330" t="str">
        <f>IF(OR((NHL2025_26Results[[#This Row],[Winning Team]]="")),"-",IF(Table4[[#This Row],[Predicted Winner]]=NHL2025_26Results[[#This Row],[Winning Team]],"YES","NO"))</f>
        <v>NO</v>
      </c>
      <c r="N330">
        <f>IF(Table4[[#This Row],[Adjusted Correct]]="-", "",IF(Table4[[#This Row],[Adjusted Correct]]="YES",(Table4[[#This Row],[Strength of Win]]-1)^2,(Table4[[#This Row],[Strength of Win]]-0)^2))</f>
        <v>0.35923177084226704</v>
      </c>
      <c r="O330">
        <v>-3.6211670385354555E-2</v>
      </c>
      <c r="P330" s="11">
        <v>0.4167486162827066</v>
      </c>
      <c r="Q330" t="s">
        <v>20</v>
      </c>
      <c r="R330" t="s">
        <v>248</v>
      </c>
    </row>
    <row r="331" spans="4:18" x14ac:dyDescent="0.2">
      <c r="D331" s="1">
        <v>45981</v>
      </c>
      <c r="E331" s="2">
        <v>0.91666666666666663</v>
      </c>
      <c r="F331" t="s">
        <v>38</v>
      </c>
      <c r="G331">
        <f>VLOOKUP(Table4[[#This Row],[Home]],'NHL Model'!$A$6:$B$38,2,FALSE)</f>
        <v>-1.3920033028857945</v>
      </c>
      <c r="H331" t="s">
        <v>39</v>
      </c>
      <c r="I331">
        <f>VLOOKUP(Table4[[#This Row],[Visitor]],'NHL Model'!$A$6:$B$38,2,FALSE)</f>
        <v>0.21708030788125537</v>
      </c>
      <c r="J331">
        <f>($B$1+Table4[[#This Row],[Home Differential]])-Table4[[#This Row],[Away Differential]]</f>
        <v>-1.4794766249555258</v>
      </c>
      <c r="K331" t="str">
        <f>IF(Table4[[#This Row],[HomeIce Differential]]&gt;0,Table4[[#This Row],[Home]],Table4[[#This Row],[Visitor]])</f>
        <v>Dallas Stars</v>
      </c>
      <c r="L3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0.68427086518382096</v>
      </c>
      <c r="M331" t="str">
        <f>IF(OR((NHL2025_26Results[[#This Row],[Winning Team]]="")),"-",IF(Table4[[#This Row],[Predicted Winner]]=NHL2025_26Results[[#This Row],[Winning Team]],"YES","NO"))</f>
        <v>YES</v>
      </c>
      <c r="N331">
        <f>IF(Table4[[#This Row],[Adjusted Correct]]="-", "",IF(Table4[[#This Row],[Adjusted Correct]]="YES",(Table4[[#This Row],[Strength of Win]]-1)^2,(Table4[[#This Row],[Strength of Win]]-0)^2))</f>
        <v>9.9684886571772963E-2</v>
      </c>
      <c r="O331">
        <v>-0.7136444324062784</v>
      </c>
      <c r="P331" s="11">
        <v>0.65070700646466861</v>
      </c>
      <c r="Q331" t="s">
        <v>39</v>
      </c>
      <c r="R331" t="s">
        <v>248</v>
      </c>
    </row>
    <row r="332" spans="4:18" x14ac:dyDescent="0.2">
      <c r="D332" s="1">
        <v>45982</v>
      </c>
      <c r="E332" s="2">
        <v>0.79166666666666663</v>
      </c>
      <c r="F332" t="s">
        <v>23</v>
      </c>
      <c r="G332">
        <f>VLOOKUP(Table4[[#This Row],[Home]],'NHL Model'!$A$6:$B$38,2,FALSE)</f>
        <v>8.1543966060426461E-3</v>
      </c>
      <c r="H332" t="s">
        <v>10</v>
      </c>
      <c r="I332">
        <f>VLOOKUP(Table4[[#This Row],[Visitor]],'NHL Model'!$A$6:$B$38,2,FALSE)</f>
        <v>-0.92658078135875344</v>
      </c>
      <c r="J332">
        <f>($B$1+Table4[[#This Row],[Home Differential]])-Table4[[#This Row],[Away Differential]]</f>
        <v>1.0643421637763202</v>
      </c>
      <c r="K332" t="str">
        <f>IF(Table4[[#This Row],[HomeIce Differential]]&gt;0,Table4[[#This Row],[Home]],Table4[[#This Row],[Visitor]])</f>
        <v>Buffalo Sabres</v>
      </c>
      <c r="L3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0.6884615329346131</v>
      </c>
      <c r="M332" t="str">
        <f>IF(OR((NHL2025_26Results[[#This Row],[Winning Team]]="")),"-",IF(Table4[[#This Row],[Predicted Winner]]=NHL2025_26Results[[#This Row],[Winning Team]],"YES","NO"))</f>
        <v>YES</v>
      </c>
      <c r="N332">
        <f>IF(Table4[[#This Row],[Adjusted Correct]]="-", "",IF(Table4[[#This Row],[Adjusted Correct]]="YES",(Table4[[#This Row],[Strength of Win]]-1)^2,(Table4[[#This Row],[Strength of Win]]-0)^2))</f>
        <v>9.7056216461451156E-2</v>
      </c>
      <c r="O332">
        <v>-1.01149182515004</v>
      </c>
      <c r="P332" s="11">
        <v>0.62127138852721631</v>
      </c>
      <c r="Q332" t="s">
        <v>10</v>
      </c>
      <c r="R332" t="s">
        <v>249</v>
      </c>
    </row>
    <row r="333" spans="4:18" x14ac:dyDescent="0.2">
      <c r="D333" s="1">
        <v>45982</v>
      </c>
      <c r="E333" s="2">
        <v>0.9375</v>
      </c>
      <c r="F333" t="s">
        <v>13</v>
      </c>
      <c r="G333">
        <f>VLOOKUP(Table4[[#This Row],[Home]],'NHL Model'!$A$6:$B$38,2,FALSE)</f>
        <v>-0.59069689888466137</v>
      </c>
      <c r="H333" t="s">
        <v>21</v>
      </c>
      <c r="I333">
        <f>VLOOKUP(Table4[[#This Row],[Visitor]],'NHL Model'!$A$6:$B$38,2,FALSE)</f>
        <v>-0.10253061303059285</v>
      </c>
      <c r="J333">
        <f>($B$1+Table4[[#This Row],[Home Differential]])-Table4[[#This Row],[Away Differential]]</f>
        <v>-0.35855930004254444</v>
      </c>
      <c r="K333" t="str">
        <f>IF(Table4[[#This Row],[HomeIce Differential]]&gt;0,Table4[[#This Row],[Home]],Table4[[#This Row],[Visitor]])</f>
        <v>Boston Bruins</v>
      </c>
      <c r="L3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0.50026401006110899</v>
      </c>
      <c r="M333" t="str">
        <f>IF(OR((NHL2025_26Results[[#This Row],[Winning Team]]="")),"-",IF(Table4[[#This Row],[Predicted Winner]]=NHL2025_26Results[[#This Row],[Winning Team]],"YES","NO"))</f>
        <v>YES</v>
      </c>
      <c r="N333">
        <f>IF(Table4[[#This Row],[Adjusted Correct]]="-", "",IF(Table4[[#This Row],[Adjusted Correct]]="YES",(Table4[[#This Row],[Strength of Win]]-1)^2,(Table4[[#This Row],[Strength of Win]]-0)^2))</f>
        <v>0.24973605964020337</v>
      </c>
      <c r="O333">
        <v>2.5376030843335229E-2</v>
      </c>
      <c r="P333" s="11">
        <v>0.54352487978663888</v>
      </c>
      <c r="Q333" t="s">
        <v>13</v>
      </c>
      <c r="R333" t="s">
        <v>249</v>
      </c>
    </row>
    <row r="334" spans="4:18" x14ac:dyDescent="0.2">
      <c r="D334" s="1">
        <v>45982</v>
      </c>
      <c r="E334" s="2">
        <v>0.79166666666666663</v>
      </c>
      <c r="F334" t="s">
        <v>14</v>
      </c>
      <c r="G334">
        <f>VLOOKUP(Table4[[#This Row],[Home]],'NHL Model'!$A$6:$B$38,2,FALSE)</f>
        <v>3.6349513460996066E-5</v>
      </c>
      <c r="H334" t="s">
        <v>34</v>
      </c>
      <c r="I334">
        <f>VLOOKUP(Table4[[#This Row],[Visitor]],'NHL Model'!$A$6:$B$38,2,FALSE)</f>
        <v>6.0485283743665949E-2</v>
      </c>
      <c r="J334">
        <f>($B$1+Table4[[#This Row],[Home Differential]])-Table4[[#This Row],[Away Differential]]</f>
        <v>6.9158051581319144E-2</v>
      </c>
      <c r="K334" t="str">
        <f>IF(Table4[[#This Row],[HomeIce Differential]]&gt;0,Table4[[#This Row],[Home]],Table4[[#This Row],[Visitor]])</f>
        <v>Pittsburgh Penguins</v>
      </c>
      <c r="L3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0.47850076969776473</v>
      </c>
      <c r="M334" t="str">
        <f>IF(OR((NHL2025_26Results[[#This Row],[Winning Team]]="")),"-",IF(Table4[[#This Row],[Predicted Winner]]=NHL2025_26Results[[#This Row],[Winning Team]],"YES","NO"))</f>
        <v>NO</v>
      </c>
      <c r="N334">
        <f>IF(Table4[[#This Row],[Adjusted Correct]]="-", "",IF(Table4[[#This Row],[Adjusted Correct]]="YES",(Table4[[#This Row],[Strength of Win]]-1)^2,(Table4[[#This Row],[Strength of Win]]-0)^2))</f>
        <v>0.22896298660135328</v>
      </c>
      <c r="O334">
        <v>0.85117471333036265</v>
      </c>
      <c r="P334" s="11">
        <v>0.69427003530691833</v>
      </c>
      <c r="Q334" t="s">
        <v>14</v>
      </c>
      <c r="R334" t="s">
        <v>249</v>
      </c>
    </row>
    <row r="335" spans="4:18" x14ac:dyDescent="0.2">
      <c r="D335" s="1">
        <v>45982</v>
      </c>
      <c r="E335" s="2">
        <v>0.83333333333333337</v>
      </c>
      <c r="F335" t="s">
        <v>40</v>
      </c>
      <c r="G335">
        <f>VLOOKUP(Table4[[#This Row],[Home]],'NHL Model'!$A$6:$B$38,2,FALSE)</f>
        <v>-0.58845147248022256</v>
      </c>
      <c r="H335" t="s">
        <v>25</v>
      </c>
      <c r="I335">
        <f>VLOOKUP(Table4[[#This Row],[Visitor]],'NHL Model'!$A$6:$B$38,2,FALSE)</f>
        <v>0.2324942014830165</v>
      </c>
      <c r="J335">
        <f>($B$1+Table4[[#This Row],[Home Differential]])-Table4[[#This Row],[Away Differential]]</f>
        <v>-0.69133868815171495</v>
      </c>
      <c r="K335" t="str">
        <f>IF(Table4[[#This Row],[HomeIce Differential]]&gt;0,Table4[[#This Row],[Home]],Table4[[#This Row],[Visitor]])</f>
        <v>Carolina Hurricanes</v>
      </c>
      <c r="L3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0.59416201976094785</v>
      </c>
      <c r="M335" t="str">
        <f>IF(OR((NHL2025_26Results[[#This Row],[Winning Team]]="")),"-",IF(Table4[[#This Row],[Predicted Winner]]=NHL2025_26Results[[#This Row],[Winning Team]],"YES","NO"))</f>
        <v>YES</v>
      </c>
      <c r="N335">
        <f>IF(Table4[[#This Row],[Adjusted Correct]]="-", "",IF(Table4[[#This Row],[Adjusted Correct]]="YES",(Table4[[#This Row],[Strength of Win]]-1)^2,(Table4[[#This Row],[Strength of Win]]-0)^2))</f>
        <v>0.16470446620451329</v>
      </c>
      <c r="O335">
        <v>-0.25539430832076448</v>
      </c>
      <c r="P335" s="11">
        <v>0.52384786307493458</v>
      </c>
      <c r="Q335" t="s">
        <v>25</v>
      </c>
      <c r="R335" t="s">
        <v>248</v>
      </c>
    </row>
    <row r="336" spans="4:18" x14ac:dyDescent="0.2">
      <c r="D336" s="1">
        <v>45983</v>
      </c>
      <c r="E336" s="2">
        <v>0.91666666666666663</v>
      </c>
      <c r="F336" t="s">
        <v>31</v>
      </c>
      <c r="G336">
        <f>VLOOKUP(Table4[[#This Row],[Home]],'NHL Model'!$A$6:$B$38,2,FALSE)</f>
        <v>-0.46360583111358089</v>
      </c>
      <c r="H336" t="s">
        <v>20</v>
      </c>
      <c r="I336">
        <f>VLOOKUP(Table4[[#This Row],[Visitor]],'NHL Model'!$A$6:$B$38,2,FALSE)</f>
        <v>-0.16296463421387539</v>
      </c>
      <c r="J336">
        <f>($B$1+Table4[[#This Row],[Home Differential]])-Table4[[#This Row],[Away Differential]]</f>
        <v>-0.17103421108818143</v>
      </c>
      <c r="K336" t="str">
        <f>IF(Table4[[#This Row],[HomeIce Differential]]&gt;0,Table4[[#This Row],[Home]],Table4[[#This Row],[Visitor]])</f>
        <v>Vegas Golden Knights</v>
      </c>
      <c r="L3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0.43920609281430228</v>
      </c>
      <c r="M336" t="str">
        <f>IF(OR((NHL2025_26Results[[#This Row],[Winning Team]]="")),"-",IF(Table4[[#This Row],[Predicted Winner]]=NHL2025_26Results[[#This Row],[Winning Team]],"YES","NO"))</f>
        <v>NO</v>
      </c>
      <c r="N336">
        <f>IF(Table4[[#This Row],[Adjusted Correct]]="-", "",IF(Table4[[#This Row],[Adjusted Correct]]="YES",(Table4[[#This Row],[Strength of Win]]-1)^2,(Table4[[#This Row],[Strength of Win]]-0)^2))</f>
        <v>0.19290199196520552</v>
      </c>
      <c r="O336">
        <v>0.35083055975290423</v>
      </c>
      <c r="P336" s="11">
        <v>0.63411411850668342</v>
      </c>
      <c r="Q336" t="s">
        <v>31</v>
      </c>
      <c r="R336" t="s">
        <v>248</v>
      </c>
    </row>
    <row r="337" spans="4:18" x14ac:dyDescent="0.2">
      <c r="D337" s="1">
        <v>45983</v>
      </c>
      <c r="E337" s="2">
        <v>0.91666666666666663</v>
      </c>
      <c r="F337" t="s">
        <v>16</v>
      </c>
      <c r="G337">
        <f>VLOOKUP(Table4[[#This Row],[Home]],'NHL Model'!$A$6:$B$38,2,FALSE)</f>
        <v>-0.89031221864884547</v>
      </c>
      <c r="H337" t="s">
        <v>39</v>
      </c>
      <c r="I337">
        <f>VLOOKUP(Table4[[#This Row],[Visitor]],'NHL Model'!$A$6:$B$38,2,FALSE)</f>
        <v>0.21708030788125537</v>
      </c>
      <c r="J337">
        <f>($B$1+Table4[[#This Row],[Home Differential]])-Table4[[#This Row],[Away Differential]]</f>
        <v>-0.97778554071857671</v>
      </c>
      <c r="K337" t="str">
        <f>IF(Table4[[#This Row],[HomeIce Differential]]&gt;0,Table4[[#This Row],[Home]],Table4[[#This Row],[Visitor]])</f>
        <v>Dallas Stars</v>
      </c>
      <c r="L3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0.62793403370046985</v>
      </c>
      <c r="M337" t="str">
        <f>IF(OR((NHL2025_26Results[[#This Row],[Winning Team]]="")),"-",IF(Table4[[#This Row],[Predicted Winner]]=NHL2025_26Results[[#This Row],[Winning Team]],"YES","NO"))</f>
        <v>NO</v>
      </c>
      <c r="N337">
        <f>IF(Table4[[#This Row],[Adjusted Correct]]="-", "",IF(Table4[[#This Row],[Adjusted Correct]]="YES",(Table4[[#This Row],[Strength of Win]]-1)^2,(Table4[[#This Row],[Strength of Win]]-0)^2))</f>
        <v>0.39430115067934279</v>
      </c>
      <c r="O337">
        <v>-1.3145602311752387</v>
      </c>
      <c r="P337" s="11">
        <v>0.75479145950448245</v>
      </c>
      <c r="Q337" t="s">
        <v>39</v>
      </c>
      <c r="R337" t="s">
        <v>249</v>
      </c>
    </row>
    <row r="338" spans="4:18" x14ac:dyDescent="0.2">
      <c r="D338" s="1">
        <v>45983</v>
      </c>
      <c r="E338" s="2">
        <v>0.54166666666666663</v>
      </c>
      <c r="F338" t="s">
        <v>26</v>
      </c>
      <c r="G338">
        <f>VLOOKUP(Table4[[#This Row],[Home]],'NHL Model'!$A$6:$B$38,2,FALSE)</f>
        <v>-0.33113778518110382</v>
      </c>
      <c r="H338" t="s">
        <v>28</v>
      </c>
      <c r="I338">
        <f>VLOOKUP(Table4[[#This Row],[Visitor]],'NHL Model'!$A$6:$B$38,2,FALSE)</f>
        <v>-0.28156479873410767</v>
      </c>
      <c r="J338">
        <f>($B$1+Table4[[#This Row],[Home Differential]])-Table4[[#This Row],[Away Differential]]</f>
        <v>8.0033999364527958E-2</v>
      </c>
      <c r="K338" t="str">
        <f>IF(Table4[[#This Row],[HomeIce Differential]]&gt;0,Table4[[#This Row],[Home]],Table4[[#This Row],[Visitor]])</f>
        <v>Detroit Red Wings</v>
      </c>
      <c r="L3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0.56312745460403824</v>
      </c>
      <c r="M338" t="str">
        <f>IF(OR((NHL2025_26Results[[#This Row],[Winning Team]]="")),"-",IF(Table4[[#This Row],[Predicted Winner]]=NHL2025_26Results[[#This Row],[Winning Team]],"YES","NO"))</f>
        <v>YES</v>
      </c>
      <c r="N338">
        <f>IF(Table4[[#This Row],[Adjusted Correct]]="-", "",IF(Table4[[#This Row],[Adjusted Correct]]="YES",(Table4[[#This Row],[Strength of Win]]-1)^2,(Table4[[#This Row],[Strength of Win]]-0)^2))</f>
        <v>0.19085762092074668</v>
      </c>
      <c r="O338">
        <v>-2.7241777807757162E-2</v>
      </c>
      <c r="P338" s="11">
        <v>0.46548155836437699</v>
      </c>
      <c r="Q338" t="s">
        <v>28</v>
      </c>
      <c r="R338" t="s">
        <v>249</v>
      </c>
    </row>
    <row r="339" spans="4:18" x14ac:dyDescent="0.2">
      <c r="D339" s="1">
        <v>45983</v>
      </c>
      <c r="E339" s="2">
        <v>0.79166666666666663</v>
      </c>
      <c r="F339" t="s">
        <v>11</v>
      </c>
      <c r="G339">
        <f>VLOOKUP(Table4[[#This Row],[Home]],'NHL Model'!$A$6:$B$38,2,FALSE)</f>
        <v>-0.55695213126481558</v>
      </c>
      <c r="H339" t="s">
        <v>17</v>
      </c>
      <c r="I339">
        <f>VLOOKUP(Table4[[#This Row],[Visitor]],'NHL Model'!$A$6:$B$38,2,FALSE)</f>
        <v>-0.36462594951491906</v>
      </c>
      <c r="J339">
        <f>($B$1+Table4[[#This Row],[Home Differential]])-Table4[[#This Row],[Away Differential]]</f>
        <v>-6.2719195938372441E-2</v>
      </c>
      <c r="K339" t="str">
        <f>IF(Table4[[#This Row],[HomeIce Differential]]&gt;0,Table4[[#This Row],[Home]],Table4[[#This Row],[Visitor]])</f>
        <v>Edmonton Oilers</v>
      </c>
      <c r="L3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0.46704298099641445</v>
      </c>
      <c r="M339" t="str">
        <f>IF(OR((NHL2025_26Results[[#This Row],[Winning Team]]="")),"-",IF(Table4[[#This Row],[Predicted Winner]]=NHL2025_26Results[[#This Row],[Winning Team]],"YES","NO"))</f>
        <v>YES</v>
      </c>
      <c r="N339">
        <f>IF(Table4[[#This Row],[Adjusted Correct]]="-", "",IF(Table4[[#This Row],[Adjusted Correct]]="YES",(Table4[[#This Row],[Strength of Win]]-1)^2,(Table4[[#This Row],[Strength of Win]]-0)^2))</f>
        <v>0.2840431841051882</v>
      </c>
      <c r="O339">
        <v>0.9961571955004499</v>
      </c>
      <c r="P339" s="11">
        <v>0.7567456775048037</v>
      </c>
      <c r="Q339" t="s">
        <v>11</v>
      </c>
      <c r="R339" t="s">
        <v>249</v>
      </c>
    </row>
    <row r="340" spans="4:18" x14ac:dyDescent="0.2">
      <c r="D340" s="1">
        <v>45983</v>
      </c>
      <c r="E340" s="2">
        <v>0.79166666666666663</v>
      </c>
      <c r="F340" t="s">
        <v>18</v>
      </c>
      <c r="G340">
        <f>VLOOKUP(Table4[[#This Row],[Home]],'NHL Model'!$A$6:$B$38,2,FALSE)</f>
        <v>-8.6274676766085606E-2</v>
      </c>
      <c r="H340" t="s">
        <v>19</v>
      </c>
      <c r="I340">
        <f>VLOOKUP(Table4[[#This Row],[Visitor]],'NHL Model'!$A$6:$B$38,2,FALSE)</f>
        <v>-0.44228056828684137</v>
      </c>
      <c r="J340">
        <f>($B$1+Table4[[#This Row],[Home Differential]])-Table4[[#This Row],[Away Differential]]</f>
        <v>0.48561287733227987</v>
      </c>
      <c r="K340" t="str">
        <f>IF(Table4[[#This Row],[HomeIce Differential]]&gt;0,Table4[[#This Row],[Home]],Table4[[#This Row],[Visitor]])</f>
        <v>Montreal Canadiens</v>
      </c>
      <c r="L3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0.60854796796719546</v>
      </c>
      <c r="M340" t="str">
        <f>IF(OR((NHL2025_26Results[[#This Row],[Winning Team]]="")),"-",IF(Table4[[#This Row],[Predicted Winner]]=NHL2025_26Results[[#This Row],[Winning Team]],"YES","NO"))</f>
        <v>YES</v>
      </c>
      <c r="N340">
        <f>IF(Table4[[#This Row],[Adjusted Correct]]="-", "",IF(Table4[[#This Row],[Adjusted Correct]]="YES",(Table4[[#This Row],[Strength of Win]]-1)^2,(Table4[[#This Row],[Strength of Win]]-0)^2))</f>
        <v>0.15323469338261184</v>
      </c>
      <c r="O340">
        <v>8.7699490482638698E-2</v>
      </c>
      <c r="P340" s="11">
        <v>0.55269401670466733</v>
      </c>
      <c r="Q340" t="s">
        <v>18</v>
      </c>
      <c r="R340" t="s">
        <v>248</v>
      </c>
    </row>
    <row r="341" spans="4:18" x14ac:dyDescent="0.2">
      <c r="D341" s="1">
        <v>45983</v>
      </c>
      <c r="E341" s="2">
        <v>0.83333333333333337</v>
      </c>
      <c r="F341" t="s">
        <v>29</v>
      </c>
      <c r="G341">
        <f>VLOOKUP(Table4[[#This Row],[Home]],'NHL Model'!$A$6:$B$38,2,FALSE)</f>
        <v>-0.82056481120798741</v>
      </c>
      <c r="H341" t="s">
        <v>12</v>
      </c>
      <c r="I341">
        <f>VLOOKUP(Table4[[#This Row],[Visitor]],'NHL Model'!$A$6:$B$38,2,FALSE)</f>
        <v>0.99866683349964291</v>
      </c>
      <c r="J341">
        <f>($B$1+Table4[[#This Row],[Home Differential]])-Table4[[#This Row],[Away Differential]]</f>
        <v>-1.6896246588961064</v>
      </c>
      <c r="K341" t="str">
        <f>IF(Table4[[#This Row],[HomeIce Differential]]&gt;0,Table4[[#This Row],[Home]],Table4[[#This Row],[Visitor]])</f>
        <v>Colorado Avalanche</v>
      </c>
      <c r="L3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0.71899974065453931</v>
      </c>
      <c r="M341" t="str">
        <f>IF(OR((NHL2025_26Results[[#This Row],[Winning Team]]="")),"-",IF(Table4[[#This Row],[Predicted Winner]]=NHL2025_26Results[[#This Row],[Winning Team]],"YES","NO"))</f>
        <v>YES</v>
      </c>
      <c r="N341">
        <f>IF(Table4[[#This Row],[Adjusted Correct]]="-", "",IF(Table4[[#This Row],[Adjusted Correct]]="YES",(Table4[[#This Row],[Strength of Win]]-1)^2,(Table4[[#This Row],[Strength of Win]]-0)^2))</f>
        <v>7.8961145752216175E-2</v>
      </c>
      <c r="O341">
        <v>-2.8324334758429401</v>
      </c>
      <c r="P341" s="11">
        <v>0.93629488580979015</v>
      </c>
      <c r="Q341" t="s">
        <v>12</v>
      </c>
      <c r="R341" t="s">
        <v>248</v>
      </c>
    </row>
    <row r="342" spans="4:18" x14ac:dyDescent="0.2">
      <c r="D342" s="1">
        <v>45983</v>
      </c>
      <c r="E342" s="2">
        <v>0.64583333333333337</v>
      </c>
      <c r="F342" t="s">
        <v>30</v>
      </c>
      <c r="G342">
        <f>VLOOKUP(Table4[[#This Row],[Home]],'NHL Model'!$A$6:$B$38,2,FALSE)</f>
        <v>-0.18630462558229716</v>
      </c>
      <c r="H342" t="s">
        <v>35</v>
      </c>
      <c r="I342">
        <f>VLOOKUP(Table4[[#This Row],[Visitor]],'NHL Model'!$A$6:$B$38,2,FALSE)</f>
        <v>-1.3128572733047907</v>
      </c>
      <c r="J342">
        <f>($B$1+Table4[[#This Row],[Home Differential]])-Table4[[#This Row],[Away Differential]]</f>
        <v>1.2561596335340177</v>
      </c>
      <c r="K342" t="str">
        <f>IF(Table4[[#This Row],[HomeIce Differential]]&gt;0,Table4[[#This Row],[Home]],Table4[[#This Row],[Visitor]])</f>
        <v>New York Islanders</v>
      </c>
      <c r="L3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0.69507564230329644</v>
      </c>
      <c r="M342" t="str">
        <f>IF(OR((NHL2025_26Results[[#This Row],[Winning Team]]="")),"-",IF(Table4[[#This Row],[Predicted Winner]]=NHL2025_26Results[[#This Row],[Winning Team]],"YES","NO"))</f>
        <v>NO</v>
      </c>
      <c r="N342">
        <f>IF(Table4[[#This Row],[Adjusted Correct]]="-", "",IF(Table4[[#This Row],[Adjusted Correct]]="YES",(Table4[[#This Row],[Strength of Win]]-1)^2,(Table4[[#This Row],[Strength of Win]]-0)^2))</f>
        <v>0.48313014852334007</v>
      </c>
      <c r="O342">
        <v>2.0199769732341921</v>
      </c>
      <c r="P342" s="11">
        <v>0.83238050643354911</v>
      </c>
      <c r="Q342" t="s">
        <v>30</v>
      </c>
      <c r="R342" t="s">
        <v>249</v>
      </c>
    </row>
    <row r="343" spans="4:18" x14ac:dyDescent="0.2">
      <c r="D343" s="1">
        <v>45983</v>
      </c>
      <c r="E343" s="2">
        <v>0.79166666666666663</v>
      </c>
      <c r="F343" t="s">
        <v>27</v>
      </c>
      <c r="G343">
        <f>VLOOKUP(Table4[[#This Row],[Home]],'NHL Model'!$A$6:$B$38,2,FALSE)</f>
        <v>-0.55097933929175691</v>
      </c>
      <c r="H343" t="s">
        <v>24</v>
      </c>
      <c r="I343">
        <f>VLOOKUP(Table4[[#This Row],[Visitor]],'NHL Model'!$A$6:$B$38,2,FALSE)</f>
        <v>-0.74510803532792402</v>
      </c>
      <c r="J343">
        <f>($B$1+Table4[[#This Row],[Home Differential]])-Table4[[#This Row],[Away Differential]]</f>
        <v>0.32373568184769119</v>
      </c>
      <c r="K343" t="str">
        <f>IF(Table4[[#This Row],[HomeIce Differential]]&gt;0,Table4[[#This Row],[Home]],Table4[[#This Row],[Visitor]])</f>
        <v>Philadelphia Flyers</v>
      </c>
      <c r="L3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0.55558430056996133</v>
      </c>
      <c r="M343" t="str">
        <f>IF(OR((NHL2025_26Results[[#This Row],[Winning Team]]="")),"-",IF(Table4[[#This Row],[Predicted Winner]]=NHL2025_26Results[[#This Row],[Winning Team]],"YES","NO"))</f>
        <v>YES</v>
      </c>
      <c r="N343">
        <f>IF(Table4[[#This Row],[Adjusted Correct]]="-", "",IF(Table4[[#This Row],[Adjusted Correct]]="YES",(Table4[[#This Row],[Strength of Win]]-1)^2,(Table4[[#This Row],[Strength of Win]]-0)^2))</f>
        <v>0.19750531389989048</v>
      </c>
      <c r="O343">
        <v>-0.62951222682911823</v>
      </c>
      <c r="P343" s="11">
        <v>0.55265687829531895</v>
      </c>
      <c r="Q343" t="s">
        <v>24</v>
      </c>
      <c r="R343" t="s">
        <v>249</v>
      </c>
    </row>
    <row r="344" spans="4:18" x14ac:dyDescent="0.2">
      <c r="D344" s="1">
        <v>45983</v>
      </c>
      <c r="E344" s="2">
        <v>0.79166666666666663</v>
      </c>
      <c r="F344" t="s">
        <v>14</v>
      </c>
      <c r="G344">
        <f>VLOOKUP(Table4[[#This Row],[Home]],'NHL Model'!$A$6:$B$38,2,FALSE)</f>
        <v>3.6349513460996066E-5</v>
      </c>
      <c r="H344" t="s">
        <v>32</v>
      </c>
      <c r="I344">
        <f>VLOOKUP(Table4[[#This Row],[Visitor]],'NHL Model'!$A$6:$B$38,2,FALSE)</f>
        <v>-0.48236715437805205</v>
      </c>
      <c r="J344">
        <f>($B$1+Table4[[#This Row],[Home Differential]])-Table4[[#This Row],[Away Differential]]</f>
        <v>0.61201048970303717</v>
      </c>
      <c r="K344" t="str">
        <f>IF(Table4[[#This Row],[HomeIce Differential]]&gt;0,Table4[[#This Row],[Home]],Table4[[#This Row],[Visitor]])</f>
        <v>Pittsburgh Penguins</v>
      </c>
      <c r="L3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0.60872502403921314</v>
      </c>
      <c r="M344" t="str">
        <f>IF(OR((NHL2025_26Results[[#This Row],[Winning Team]]="")),"-",IF(Table4[[#This Row],[Predicted Winner]]=NHL2025_26Results[[#This Row],[Winning Team]],"YES","NO"))</f>
        <v>NO</v>
      </c>
      <c r="N344">
        <f>IF(Table4[[#This Row],[Adjusted Correct]]="-", "",IF(Table4[[#This Row],[Adjusted Correct]]="YES",(Table4[[#This Row],[Strength of Win]]-1)^2,(Table4[[#This Row],[Strength of Win]]-0)^2))</f>
        <v>0.37054615489154064</v>
      </c>
      <c r="O344">
        <v>0.5565548983595684</v>
      </c>
      <c r="P344" s="11">
        <v>0.62760419841259008</v>
      </c>
      <c r="Q344" t="s">
        <v>14</v>
      </c>
      <c r="R344" t="s">
        <v>249</v>
      </c>
    </row>
    <row r="345" spans="4:18" x14ac:dyDescent="0.2">
      <c r="D345" s="1">
        <v>45983</v>
      </c>
      <c r="E345" s="2">
        <v>0.79166666666666663</v>
      </c>
      <c r="F345" t="s">
        <v>33</v>
      </c>
      <c r="G345">
        <f>VLOOKUP(Table4[[#This Row],[Home]],'NHL Model'!$A$6:$B$38,2,FALSE)</f>
        <v>-0.65236582493376272</v>
      </c>
      <c r="H345" t="s">
        <v>36</v>
      </c>
      <c r="I345">
        <f>VLOOKUP(Table4[[#This Row],[Visitor]],'NHL Model'!$A$6:$B$38,2,FALSE)</f>
        <v>-0.19010748264223354</v>
      </c>
      <c r="J345">
        <f>($B$1+Table4[[#This Row],[Home Differential]])-Table4[[#This Row],[Away Differential]]</f>
        <v>-0.3326513564800051</v>
      </c>
      <c r="K345" t="str">
        <f>IF(Table4[[#This Row],[HomeIce Differential]]&gt;0,Table4[[#This Row],[Home]],Table4[[#This Row],[Visitor]])</f>
        <v>Ottawa Senators</v>
      </c>
      <c r="L3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0.50937089032537297</v>
      </c>
      <c r="M345" t="str">
        <f>IF(OR((NHL2025_26Results[[#This Row],[Winning Team]]="")),"-",IF(Table4[[#This Row],[Predicted Winner]]=NHL2025_26Results[[#This Row],[Winning Team]],"YES","NO"))</f>
        <v>YES</v>
      </c>
      <c r="N345">
        <f>IF(Table4[[#This Row],[Adjusted Correct]]="-", "",IF(Table4[[#This Row],[Adjusted Correct]]="YES",(Table4[[#This Row],[Strength of Win]]-1)^2,(Table4[[#This Row],[Strength of Win]]-0)^2))</f>
        <v>0.2407169232601172</v>
      </c>
      <c r="O345">
        <v>0.15589348570276917</v>
      </c>
      <c r="P345" s="11">
        <v>0.5625647207386173</v>
      </c>
      <c r="Q345" t="s">
        <v>33</v>
      </c>
      <c r="R345" t="s">
        <v>249</v>
      </c>
    </row>
    <row r="346" spans="4:18" x14ac:dyDescent="0.2">
      <c r="D346" s="1">
        <v>45983</v>
      </c>
      <c r="E346" s="2">
        <v>0.875</v>
      </c>
      <c r="F346" t="s">
        <v>55</v>
      </c>
      <c r="G346">
        <f>VLOOKUP(Table4[[#This Row],[Home]],'NHL Model'!$A$6:$B$38,2,FALSE)</f>
        <v>8.4094725828611647E-2</v>
      </c>
      <c r="H346" t="s">
        <v>15</v>
      </c>
      <c r="I346">
        <f>VLOOKUP(Table4[[#This Row],[Visitor]],'NHL Model'!$A$6:$B$38,2,FALSE)</f>
        <v>-0.73651915476403329</v>
      </c>
      <c r="J346">
        <f>($B$1+Table4[[#This Row],[Home Differential]])-Table4[[#This Row],[Away Differential]]</f>
        <v>0.95022086640416903</v>
      </c>
      <c r="K346" t="str">
        <f>IF(Table4[[#This Row],[HomeIce Differential]]&gt;0,Table4[[#This Row],[Home]],Table4[[#This Row],[Visitor]])</f>
        <v>Utah Mammoth</v>
      </c>
      <c r="L3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0.64003730815879012</v>
      </c>
      <c r="M346" t="str">
        <f>IF(OR((NHL2025_26Results[[#This Row],[Winning Team]]="")),"-",IF(Table4[[#This Row],[Predicted Winner]]=NHL2025_26Results[[#This Row],[Winning Team]],"YES","NO"))</f>
        <v>YES</v>
      </c>
      <c r="N346">
        <f>IF(Table4[[#This Row],[Adjusted Correct]]="-", "",IF(Table4[[#This Row],[Adjusted Correct]]="YES",(Table4[[#This Row],[Strength of Win]]-1)^2,(Table4[[#This Row],[Strength of Win]]-0)^2))</f>
        <v>0.12957313951756982</v>
      </c>
      <c r="O346">
        <v>0.24676642907599033</v>
      </c>
      <c r="P346" s="11">
        <v>0.51017063196028578</v>
      </c>
      <c r="Q346" t="s">
        <v>55</v>
      </c>
      <c r="R346" t="s">
        <v>248</v>
      </c>
    </row>
    <row r="347" spans="4:18" x14ac:dyDescent="0.2">
      <c r="D347" s="1">
        <v>45983</v>
      </c>
      <c r="E347" s="2">
        <v>0.79166666666666663</v>
      </c>
      <c r="F347" t="s">
        <v>22</v>
      </c>
      <c r="G347">
        <f>VLOOKUP(Table4[[#This Row],[Home]],'NHL Model'!$A$6:$B$38,2,FALSE)</f>
        <v>-0.11977593183651415</v>
      </c>
      <c r="H347" t="s">
        <v>37</v>
      </c>
      <c r="I347">
        <f>VLOOKUP(Table4[[#This Row],[Visitor]],'NHL Model'!$A$6:$B$38,2,FALSE)</f>
        <v>0.72108184732572844</v>
      </c>
      <c r="J347">
        <f>($B$1+Table4[[#This Row],[Home Differential]])-Table4[[#This Row],[Away Differential]]</f>
        <v>-0.7112507933507185</v>
      </c>
      <c r="K347" t="str">
        <f>IF(Table4[[#This Row],[HomeIce Differential]]&gt;0,Table4[[#This Row],[Home]],Table4[[#This Row],[Visitor]])</f>
        <v>Tampa Bay Lightning</v>
      </c>
      <c r="L3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0.61875290745637046</v>
      </c>
      <c r="M347" t="str">
        <f>IF(OR((NHL2025_26Results[[#This Row],[Winning Team]]="")),"-",IF(Table4[[#This Row],[Predicted Winner]]=NHL2025_26Results[[#This Row],[Winning Team]],"YES","NO"))</f>
        <v>YES</v>
      </c>
      <c r="N347">
        <f>IF(Table4[[#This Row],[Adjusted Correct]]="-", "",IF(Table4[[#This Row],[Adjusted Correct]]="YES",(Table4[[#This Row],[Strength of Win]]-1)^2,(Table4[[#This Row],[Strength of Win]]-0)^2))</f>
        <v>0.14534934557297083</v>
      </c>
      <c r="O347">
        <v>0.32046219614576843</v>
      </c>
      <c r="P347" s="11">
        <v>0.5417979763641656</v>
      </c>
      <c r="Q347" t="s">
        <v>22</v>
      </c>
      <c r="R347" t="s">
        <v>249</v>
      </c>
    </row>
    <row r="348" spans="4:18" x14ac:dyDescent="0.2">
      <c r="D348" s="1">
        <v>45984</v>
      </c>
      <c r="E348" s="2">
        <v>0.54166666666666663</v>
      </c>
      <c r="F348" t="s">
        <v>23</v>
      </c>
      <c r="G348">
        <f>VLOOKUP(Table4[[#This Row],[Home]],'NHL Model'!$A$6:$B$38,2,FALSE)</f>
        <v>8.1543966060426461E-3</v>
      </c>
      <c r="H348" t="s">
        <v>25</v>
      </c>
      <c r="I348">
        <f>VLOOKUP(Table4[[#This Row],[Visitor]],'NHL Model'!$A$6:$B$38,2,FALSE)</f>
        <v>0.2324942014830165</v>
      </c>
      <c r="J348">
        <f>($B$1+Table4[[#This Row],[Home Differential]])-Table4[[#This Row],[Away Differential]]</f>
        <v>-9.4732819065449753E-2</v>
      </c>
      <c r="K348" t="str">
        <f>IF(Table4[[#This Row],[HomeIce Differential]]&gt;0,Table4[[#This Row],[Home]],Table4[[#This Row],[Visitor]])</f>
        <v>Carolina Hurricanes</v>
      </c>
      <c r="L3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0.49787689362651799</v>
      </c>
      <c r="M348" t="str">
        <f>IF(OR((NHL2025_26Results[[#This Row],[Winning Team]]="")),"-",IF(Table4[[#This Row],[Predicted Winner]]=NHL2025_26Results[[#This Row],[Winning Team]],"YES","NO"))</f>
        <v>NO</v>
      </c>
      <c r="N348">
        <f>IF(Table4[[#This Row],[Adjusted Correct]]="-", "",IF(Table4[[#This Row],[Adjusted Correct]]="YES",(Table4[[#This Row],[Strength of Win]]-1)^2,(Table4[[#This Row],[Strength of Win]]-0)^2))</f>
        <v>0.2478814012071911</v>
      </c>
      <c r="O348">
        <v>-1.1553375094290299</v>
      </c>
      <c r="P348" s="11">
        <v>0.70099892727625412</v>
      </c>
      <c r="Q348" t="s">
        <v>25</v>
      </c>
      <c r="R348" t="s">
        <v>249</v>
      </c>
    </row>
    <row r="349" spans="4:18" x14ac:dyDescent="0.2">
      <c r="D349" s="1">
        <v>45984</v>
      </c>
      <c r="E349" s="2">
        <v>0.79166666666666663</v>
      </c>
      <c r="F349" t="s">
        <v>10</v>
      </c>
      <c r="G349">
        <f>VLOOKUP(Table4[[#This Row],[Home]],'NHL Model'!$A$6:$B$38,2,FALSE)</f>
        <v>-0.92658078135875344</v>
      </c>
      <c r="H349" t="s">
        <v>12</v>
      </c>
      <c r="I349">
        <f>VLOOKUP(Table4[[#This Row],[Visitor]],'NHL Model'!$A$6:$B$38,2,FALSE)</f>
        <v>0.99866683349964291</v>
      </c>
      <c r="J349">
        <f>($B$1+Table4[[#This Row],[Home Differential]])-Table4[[#This Row],[Away Differential]]</f>
        <v>-1.7956406290468723</v>
      </c>
      <c r="K349" t="str">
        <f>IF(Table4[[#This Row],[HomeIce Differential]]&gt;0,Table4[[#This Row],[Home]],Table4[[#This Row],[Visitor]])</f>
        <v>Colorado Avalanche</v>
      </c>
      <c r="L3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0.73090468382093376</v>
      </c>
      <c r="M349" t="str">
        <f>IF(OR((NHL2025_26Results[[#This Row],[Winning Team]]="")),"-",IF(Table4[[#This Row],[Predicted Winner]]=NHL2025_26Results[[#This Row],[Winning Team]],"YES","NO"))</f>
        <v>YES</v>
      </c>
      <c r="N349">
        <f>IF(Table4[[#This Row],[Adjusted Correct]]="-", "",IF(Table4[[#This Row],[Adjusted Correct]]="YES",(Table4[[#This Row],[Strength of Win]]-1)^2,(Table4[[#This Row],[Strength of Win]]-0)^2))</f>
        <v>7.2412289189511619E-2</v>
      </c>
      <c r="O349">
        <v>-1.497385574780876</v>
      </c>
      <c r="P349" s="11">
        <v>0.73343954118531374</v>
      </c>
      <c r="Q349" t="s">
        <v>12</v>
      </c>
      <c r="R349" t="s">
        <v>248</v>
      </c>
    </row>
    <row r="350" spans="4:18" x14ac:dyDescent="0.2">
      <c r="D350" s="1">
        <v>45984</v>
      </c>
      <c r="E350" s="2">
        <v>0.70833333333333337</v>
      </c>
      <c r="F350" t="s">
        <v>30</v>
      </c>
      <c r="G350">
        <f>VLOOKUP(Table4[[#This Row],[Home]],'NHL Model'!$A$6:$B$38,2,FALSE)</f>
        <v>-0.18630462558229716</v>
      </c>
      <c r="H350" t="s">
        <v>32</v>
      </c>
      <c r="I350">
        <f>VLOOKUP(Table4[[#This Row],[Visitor]],'NHL Model'!$A$6:$B$38,2,FALSE)</f>
        <v>-0.48236715437805205</v>
      </c>
      <c r="J350">
        <f>($B$1+Table4[[#This Row],[Home Differential]])-Table4[[#This Row],[Away Differential]]</f>
        <v>0.42566951460727898</v>
      </c>
      <c r="K350" t="str">
        <f>IF(Table4[[#This Row],[HomeIce Differential]]&gt;0,Table4[[#This Row],[Home]],Table4[[#This Row],[Visitor]])</f>
        <v>New York Islanders</v>
      </c>
      <c r="L3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0.6018166960142165</v>
      </c>
      <c r="M350" t="str">
        <f>IF(OR((NHL2025_26Results[[#This Row],[Winning Team]]="")),"-",IF(Table4[[#This Row],[Predicted Winner]]=NHL2025_26Results[[#This Row],[Winning Team]],"YES","NO"))</f>
        <v>YES</v>
      </c>
      <c r="N350">
        <f>IF(Table4[[#This Row],[Adjusted Correct]]="-", "",IF(Table4[[#This Row],[Adjusted Correct]]="YES",(Table4[[#This Row],[Strength of Win]]-1)^2,(Table4[[#This Row],[Strength of Win]]-0)^2))</f>
        <v>0.15854994357303487</v>
      </c>
      <c r="O350">
        <v>0.56872507900142899</v>
      </c>
      <c r="P350" s="11">
        <v>0.61310670585544091</v>
      </c>
      <c r="Q350" t="s">
        <v>30</v>
      </c>
      <c r="R350" t="s">
        <v>248</v>
      </c>
    </row>
    <row r="351" spans="4:18" x14ac:dyDescent="0.2">
      <c r="D351" s="1">
        <v>45984</v>
      </c>
      <c r="E351" s="2">
        <v>0.83333333333333337</v>
      </c>
      <c r="F351" t="s">
        <v>33</v>
      </c>
      <c r="G351">
        <f>VLOOKUP(Table4[[#This Row],[Home]],'NHL Model'!$A$6:$B$38,2,FALSE)</f>
        <v>-0.65236582493376272</v>
      </c>
      <c r="H351" t="s">
        <v>21</v>
      </c>
      <c r="I351">
        <f>VLOOKUP(Table4[[#This Row],[Visitor]],'NHL Model'!$A$6:$B$38,2,FALSE)</f>
        <v>-0.10253061303059285</v>
      </c>
      <c r="J351">
        <f>($B$1+Table4[[#This Row],[Home Differential]])-Table4[[#This Row],[Away Differential]]</f>
        <v>-0.42022822609164578</v>
      </c>
      <c r="K351" t="str">
        <f>IF(Table4[[#This Row],[HomeIce Differential]]&gt;0,Table4[[#This Row],[Home]],Table4[[#This Row],[Visitor]])</f>
        <v>Boston Bruins</v>
      </c>
      <c r="L3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0.50718905219111132</v>
      </c>
      <c r="M351" t="str">
        <f>IF(OR((NHL2025_26Results[[#This Row],[Winning Team]]="")),"-",IF(Table4[[#This Row],[Predicted Winner]]=NHL2025_26Results[[#This Row],[Winning Team]],"YES","NO"))</f>
        <v>NO</v>
      </c>
      <c r="N351">
        <f>IF(Table4[[#This Row],[Adjusted Correct]]="-", "",IF(Table4[[#This Row],[Adjusted Correct]]="YES",(Table4[[#This Row],[Strength of Win]]-1)^2,(Table4[[#This Row],[Strength of Win]]-0)^2))</f>
        <v>0.25724073466251784</v>
      </c>
      <c r="O351">
        <v>-0.26335232576134848</v>
      </c>
      <c r="P351" s="11">
        <v>0.49385259719790342</v>
      </c>
      <c r="Q351" t="s">
        <v>21</v>
      </c>
      <c r="R351" t="s">
        <v>249</v>
      </c>
    </row>
    <row r="352" spans="4:18" x14ac:dyDescent="0.2">
      <c r="D352" s="1">
        <v>45984</v>
      </c>
      <c r="E352" s="2">
        <v>0.875</v>
      </c>
      <c r="F352" t="s">
        <v>38</v>
      </c>
      <c r="G352">
        <f>VLOOKUP(Table4[[#This Row],[Home]],'NHL Model'!$A$6:$B$38,2,FALSE)</f>
        <v>-1.3920033028857945</v>
      </c>
      <c r="H352" t="s">
        <v>16</v>
      </c>
      <c r="I352">
        <f>VLOOKUP(Table4[[#This Row],[Visitor]],'NHL Model'!$A$6:$B$38,2,FALSE)</f>
        <v>-0.89031221864884547</v>
      </c>
      <c r="J352">
        <f>($B$1+Table4[[#This Row],[Home Differential]])-Table4[[#This Row],[Away Differential]]</f>
        <v>-0.372084098425425</v>
      </c>
      <c r="K352" t="str">
        <f>IF(Table4[[#This Row],[HomeIce Differential]]&gt;0,Table4[[#This Row],[Home]],Table4[[#This Row],[Visitor]])</f>
        <v>Calgary Flames</v>
      </c>
      <c r="L3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0.50178276196099869</v>
      </c>
      <c r="M352" t="str">
        <f>IF(OR((NHL2025_26Results[[#This Row],[Winning Team]]="")),"-",IF(Table4[[#This Row],[Predicted Winner]]=NHL2025_26Results[[#This Row],[Winning Team]],"YES","NO"))</f>
        <v>YES</v>
      </c>
      <c r="N352">
        <f>IF(Table4[[#This Row],[Adjusted Correct]]="-", "",IF(Table4[[#This Row],[Adjusted Correct]]="YES",(Table4[[#This Row],[Strength of Win]]-1)^2,(Table4[[#This Row],[Strength of Win]]-0)^2))</f>
        <v>0.2482204162792109</v>
      </c>
      <c r="O352">
        <v>0.39085456221226722</v>
      </c>
      <c r="P352" s="11">
        <v>0.59024235886006637</v>
      </c>
      <c r="Q352" t="s">
        <v>38</v>
      </c>
      <c r="R352" t="s">
        <v>249</v>
      </c>
    </row>
    <row r="353" spans="4:18" x14ac:dyDescent="0.2">
      <c r="D353" s="1">
        <v>45984</v>
      </c>
      <c r="E353" s="2">
        <v>0.66666666666666663</v>
      </c>
      <c r="F353" t="s">
        <v>40</v>
      </c>
      <c r="G353">
        <f>VLOOKUP(Table4[[#This Row],[Home]],'NHL Model'!$A$6:$B$38,2,FALSE)</f>
        <v>-0.58845147248022256</v>
      </c>
      <c r="H353" t="s">
        <v>34</v>
      </c>
      <c r="I353">
        <f>VLOOKUP(Table4[[#This Row],[Visitor]],'NHL Model'!$A$6:$B$38,2,FALSE)</f>
        <v>6.0485283743665949E-2</v>
      </c>
      <c r="J353">
        <f>($B$1+Table4[[#This Row],[Home Differential]])-Table4[[#This Row],[Away Differential]]</f>
        <v>-0.51932977041236439</v>
      </c>
      <c r="K353" t="str">
        <f>IF(Table4[[#This Row],[HomeIce Differential]]&gt;0,Table4[[#This Row],[Home]],Table4[[#This Row],[Visitor]])</f>
        <v>Minnesota Wild</v>
      </c>
      <c r="L3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0.58758280304119992</v>
      </c>
      <c r="M353" t="str">
        <f>IF(OR((NHL2025_26Results[[#This Row],[Winning Team]]="")),"-",IF(Table4[[#This Row],[Predicted Winner]]=NHL2025_26Results[[#This Row],[Winning Team]],"YES","NO"))</f>
        <v>YES</v>
      </c>
      <c r="N353">
        <f>IF(Table4[[#This Row],[Adjusted Correct]]="-", "",IF(Table4[[#This Row],[Adjusted Correct]]="YES",(Table4[[#This Row],[Strength of Win]]-1)^2,(Table4[[#This Row],[Strength of Win]]-0)^2))</f>
        <v>0.17008794434735369</v>
      </c>
      <c r="O353">
        <v>0.52991866462573989</v>
      </c>
      <c r="P353" s="11">
        <v>0.63415607522336903</v>
      </c>
      <c r="Q353" t="s">
        <v>40</v>
      </c>
      <c r="R353" t="s">
        <v>249</v>
      </c>
    </row>
    <row r="354" spans="4:18" x14ac:dyDescent="0.2">
      <c r="D354" s="1">
        <v>45985</v>
      </c>
      <c r="E354" s="2">
        <v>0.875</v>
      </c>
      <c r="F354" t="s">
        <v>13</v>
      </c>
      <c r="G354">
        <f>VLOOKUP(Table4[[#This Row],[Home]],'NHL Model'!$A$6:$B$38,2,FALSE)</f>
        <v>-0.59069689888466137</v>
      </c>
      <c r="H354" t="s">
        <v>36</v>
      </c>
      <c r="I354">
        <f>VLOOKUP(Table4[[#This Row],[Visitor]],'NHL Model'!$A$6:$B$38,2,FALSE)</f>
        <v>-0.19010748264223354</v>
      </c>
      <c r="J354">
        <f>($B$1+Table4[[#This Row],[Home Differential]])-Table4[[#This Row],[Away Differential]]</f>
        <v>-0.27098243043090375</v>
      </c>
      <c r="K354" t="str">
        <f>IF(Table4[[#This Row],[HomeIce Differential]]&gt;0,Table4[[#This Row],[Home]],Table4[[#This Row],[Visitor]])</f>
        <v>Ottawa Senators</v>
      </c>
      <c r="L3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0.50244584819537064</v>
      </c>
      <c r="M354" t="str">
        <f>IF(OR((NHL2025_26Results[[#This Row],[Winning Team]]="")),"-",IF(Table4[[#This Row],[Predicted Winner]]=NHL2025_26Results[[#This Row],[Winning Team]],"YES","NO"))</f>
        <v>NO</v>
      </c>
      <c r="N354">
        <f>IF(Table4[[#This Row],[Adjusted Correct]]="-", "",IF(Table4[[#This Row],[Adjusted Correct]]="YES",(Table4[[#This Row],[Strength of Win]]-1)^2,(Table4[[#This Row],[Strength of Win]]-0)^2))</f>
        <v>0.25245183036876545</v>
      </c>
      <c r="O354">
        <v>9.3721380934514265E-2</v>
      </c>
      <c r="P354" s="11">
        <v>0.53173116118438857</v>
      </c>
      <c r="Q354" t="s">
        <v>13</v>
      </c>
      <c r="R354" t="s">
        <v>248</v>
      </c>
    </row>
    <row r="355" spans="4:18" x14ac:dyDescent="0.2">
      <c r="D355" s="1">
        <v>45985</v>
      </c>
      <c r="E355" s="2">
        <v>0.79166666666666663</v>
      </c>
      <c r="F355" t="s">
        <v>24</v>
      </c>
      <c r="G355">
        <f>VLOOKUP(Table4[[#This Row],[Home]],'NHL Model'!$A$6:$B$38,2,FALSE)</f>
        <v>-0.74510803532792402</v>
      </c>
      <c r="H355" t="s">
        <v>26</v>
      </c>
      <c r="I355">
        <f>VLOOKUP(Table4[[#This Row],[Visitor]],'NHL Model'!$A$6:$B$38,2,FALSE)</f>
        <v>-0.33113778518110382</v>
      </c>
      <c r="J355">
        <f>($B$1+Table4[[#This Row],[Home Differential]])-Table4[[#This Row],[Away Differential]]</f>
        <v>-0.28436326433529613</v>
      </c>
      <c r="K355" t="str">
        <f>IF(Table4[[#This Row],[HomeIce Differential]]&gt;0,Table4[[#This Row],[Home]],Table4[[#This Row],[Visitor]])</f>
        <v>Detroit Red Wings</v>
      </c>
      <c r="L3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0.52994021848286388</v>
      </c>
      <c r="M355" t="str">
        <f>IF(OR((NHL2025_26Results[[#This Row],[Winning Team]]="")),"-",IF(Table4[[#This Row],[Predicted Winner]]=NHL2025_26Results[[#This Row],[Winning Team]],"YES","NO"))</f>
        <v>NO</v>
      </c>
      <c r="N355">
        <f>IF(Table4[[#This Row],[Adjusted Correct]]="-", "",IF(Table4[[#This Row],[Adjusted Correct]]="YES",(Table4[[#This Row],[Strength of Win]]-1)^2,(Table4[[#This Row],[Strength of Win]]-0)^2))</f>
        <v>0.28083663516566548</v>
      </c>
      <c r="O355">
        <v>0.78286798130694091</v>
      </c>
      <c r="P355" s="11">
        <v>0.71606803153678844</v>
      </c>
      <c r="Q355" t="s">
        <v>24</v>
      </c>
      <c r="R355" t="s">
        <v>248</v>
      </c>
    </row>
    <row r="356" spans="4:18" x14ac:dyDescent="0.2">
      <c r="D356" s="1">
        <v>45985</v>
      </c>
      <c r="E356" s="2">
        <v>0.83333333333333337</v>
      </c>
      <c r="F356" t="s">
        <v>29</v>
      </c>
      <c r="G356">
        <f>VLOOKUP(Table4[[#This Row],[Home]],'NHL Model'!$A$6:$B$38,2,FALSE)</f>
        <v>-0.82056481120798741</v>
      </c>
      <c r="H356" t="s">
        <v>11</v>
      </c>
      <c r="I356">
        <f>VLOOKUP(Table4[[#This Row],[Visitor]],'NHL Model'!$A$6:$B$38,2,FALSE)</f>
        <v>-0.55695213126481558</v>
      </c>
      <c r="J356">
        <f>($B$1+Table4[[#This Row],[Home Differential]])-Table4[[#This Row],[Away Differential]]</f>
        <v>-0.13400569413164776</v>
      </c>
      <c r="K356" t="str">
        <f>IF(Table4[[#This Row],[HomeIce Differential]]&gt;0,Table4[[#This Row],[Home]],Table4[[#This Row],[Visitor]])</f>
        <v>Florida Panthers</v>
      </c>
      <c r="L3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0.51433475072410406</v>
      </c>
      <c r="M356" t="str">
        <f>IF(OR((NHL2025_26Results[[#This Row],[Winning Team]]="")),"-",IF(Table4[[#This Row],[Predicted Winner]]=NHL2025_26Results[[#This Row],[Winning Team]],"YES","NO"))</f>
        <v>YES</v>
      </c>
      <c r="N356">
        <f>IF(Table4[[#This Row],[Adjusted Correct]]="-", "",IF(Table4[[#This Row],[Adjusted Correct]]="YES",(Table4[[#This Row],[Strength of Win]]-1)^2,(Table4[[#This Row],[Strength of Win]]-0)^2))</f>
        <v>0.23587073435421815</v>
      </c>
      <c r="O356">
        <v>-0.97982230762313482</v>
      </c>
      <c r="P356" s="11">
        <v>0.59068696564284606</v>
      </c>
      <c r="Q356" t="s">
        <v>11</v>
      </c>
      <c r="R356" t="s">
        <v>248</v>
      </c>
    </row>
    <row r="357" spans="4:18" x14ac:dyDescent="0.2">
      <c r="D357" s="1">
        <v>45985</v>
      </c>
      <c r="E357" s="2">
        <v>0.79166666666666663</v>
      </c>
      <c r="F357" t="s">
        <v>15</v>
      </c>
      <c r="G357">
        <f>VLOOKUP(Table4[[#This Row],[Home]],'NHL Model'!$A$6:$B$38,2,FALSE)</f>
        <v>-0.73651915476403329</v>
      </c>
      <c r="H357" t="s">
        <v>35</v>
      </c>
      <c r="I357">
        <f>VLOOKUP(Table4[[#This Row],[Visitor]],'NHL Model'!$A$6:$B$38,2,FALSE)</f>
        <v>-1.3128572733047907</v>
      </c>
      <c r="J357">
        <f>($B$1+Table4[[#This Row],[Home Differential]])-Table4[[#This Row],[Away Differential]]</f>
        <v>0.70594510435228153</v>
      </c>
      <c r="K357" t="str">
        <f>IF(Table4[[#This Row],[HomeIce Differential]]&gt;0,Table4[[#This Row],[Home]],Table4[[#This Row],[Visitor]])</f>
        <v>New York Rangers</v>
      </c>
      <c r="L3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0.61927330508749379</v>
      </c>
      <c r="M357" t="str">
        <f>IF(OR((NHL2025_26Results[[#This Row],[Winning Team]]="")),"-",IF(Table4[[#This Row],[Predicted Winner]]=NHL2025_26Results[[#This Row],[Winning Team]],"YES","NO"))</f>
        <v>YES</v>
      </c>
      <c r="N357">
        <f>IF(Table4[[#This Row],[Adjusted Correct]]="-", "",IF(Table4[[#This Row],[Adjusted Correct]]="YES",(Table4[[#This Row],[Strength of Win]]-1)^2,(Table4[[#This Row],[Strength of Win]]-0)^2))</f>
        <v>0.14495281621900058</v>
      </c>
      <c r="O357">
        <v>1.196163802115674</v>
      </c>
      <c r="P357" s="11">
        <v>0.69954221137250649</v>
      </c>
      <c r="Q357" t="s">
        <v>15</v>
      </c>
      <c r="R357" t="s">
        <v>248</v>
      </c>
    </row>
    <row r="358" spans="4:18" x14ac:dyDescent="0.2">
      <c r="D358" s="1">
        <v>45985</v>
      </c>
      <c r="E358" s="2">
        <v>0.79166666666666663</v>
      </c>
      <c r="F358" t="s">
        <v>37</v>
      </c>
      <c r="G358">
        <f>VLOOKUP(Table4[[#This Row],[Home]],'NHL Model'!$A$6:$B$38,2,FALSE)</f>
        <v>0.72108184732572844</v>
      </c>
      <c r="H358" t="s">
        <v>27</v>
      </c>
      <c r="I358">
        <f>VLOOKUP(Table4[[#This Row],[Visitor]],'NHL Model'!$A$6:$B$38,2,FALSE)</f>
        <v>-0.55097933929175691</v>
      </c>
      <c r="J358">
        <f>($B$1+Table4[[#This Row],[Home Differential]])-Table4[[#This Row],[Away Differential]]</f>
        <v>1.4016681724290094</v>
      </c>
      <c r="K358" t="str">
        <f>IF(Table4[[#This Row],[HomeIce Differential]]&gt;0,Table4[[#This Row],[Home]],Table4[[#This Row],[Visitor]])</f>
        <v>Tampa Bay Lightning</v>
      </c>
      <c r="L3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0.75338368173951276</v>
      </c>
      <c r="M358" t="str">
        <f>IF(OR((NHL2025_26Results[[#This Row],[Winning Team]]="")),"-",IF(Table4[[#This Row],[Predicted Winner]]=NHL2025_26Results[[#This Row],[Winning Team]],"YES","NO"))</f>
        <v>YES</v>
      </c>
      <c r="N358">
        <f>IF(Table4[[#This Row],[Adjusted Correct]]="-", "",IF(Table4[[#This Row],[Adjusted Correct]]="YES",(Table4[[#This Row],[Strength of Win]]-1)^2,(Table4[[#This Row],[Strength of Win]]-0)^2))</f>
        <v>6.0819608432357931E-2</v>
      </c>
      <c r="O358">
        <v>0.63124202931539042</v>
      </c>
      <c r="P358" s="11">
        <v>0.62668942412235118</v>
      </c>
      <c r="Q358" t="s">
        <v>37</v>
      </c>
      <c r="R358" t="s">
        <v>248</v>
      </c>
    </row>
    <row r="359" spans="4:18" x14ac:dyDescent="0.2">
      <c r="D359" s="1">
        <v>45985</v>
      </c>
      <c r="E359" s="2">
        <v>0.875</v>
      </c>
      <c r="F359" t="s">
        <v>55</v>
      </c>
      <c r="G359">
        <f>VLOOKUP(Table4[[#This Row],[Home]],'NHL Model'!$A$6:$B$38,2,FALSE)</f>
        <v>8.4094725828611647E-2</v>
      </c>
      <c r="H359" t="s">
        <v>20</v>
      </c>
      <c r="I359">
        <f>VLOOKUP(Table4[[#This Row],[Visitor]],'NHL Model'!$A$6:$B$38,2,FALSE)</f>
        <v>-0.16296463421387539</v>
      </c>
      <c r="J359">
        <f>($B$1+Table4[[#This Row],[Home Differential]])-Table4[[#This Row],[Away Differential]]</f>
        <v>0.37666634585401115</v>
      </c>
      <c r="K359" t="str">
        <f>IF(Table4[[#This Row],[HomeIce Differential]]&gt;0,Table4[[#This Row],[Home]],Table4[[#This Row],[Visitor]])</f>
        <v>Utah Mammoth</v>
      </c>
      <c r="L3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0.59935946713326138</v>
      </c>
      <c r="M359" t="str">
        <f>IF(OR((NHL2025_26Results[[#This Row],[Winning Team]]="")),"-",IF(Table4[[#This Row],[Predicted Winner]]=NHL2025_26Results[[#This Row],[Winning Team]],"YES","NO"))</f>
        <v>YES</v>
      </c>
      <c r="N359">
        <f>IF(Table4[[#This Row],[Adjusted Correct]]="-", "",IF(Table4[[#This Row],[Adjusted Correct]]="YES",(Table4[[#This Row],[Strength of Win]]-1)^2,(Table4[[#This Row],[Strength of Win]]-0)^2))</f>
        <v>0.16051283657574428</v>
      </c>
      <c r="O359">
        <v>-0.29288086291418641</v>
      </c>
      <c r="P359" s="11">
        <v>0.46763535982847776</v>
      </c>
      <c r="Q359" t="s">
        <v>20</v>
      </c>
      <c r="R359" t="s">
        <v>249</v>
      </c>
    </row>
    <row r="360" spans="4:18" x14ac:dyDescent="0.2">
      <c r="D360" s="1">
        <v>45985</v>
      </c>
      <c r="E360" s="2">
        <v>0.79166666666666663</v>
      </c>
      <c r="F360" t="s">
        <v>22</v>
      </c>
      <c r="G360">
        <f>VLOOKUP(Table4[[#This Row],[Home]],'NHL Model'!$A$6:$B$38,2,FALSE)</f>
        <v>-0.11977593183651415</v>
      </c>
      <c r="H360" t="s">
        <v>28</v>
      </c>
      <c r="I360">
        <f>VLOOKUP(Table4[[#This Row],[Visitor]],'NHL Model'!$A$6:$B$38,2,FALSE)</f>
        <v>-0.28156479873410767</v>
      </c>
      <c r="J360">
        <f>($B$1+Table4[[#This Row],[Home Differential]])-Table4[[#This Row],[Away Differential]]</f>
        <v>0.29139585270911761</v>
      </c>
      <c r="K360" t="str">
        <f>IF(Table4[[#This Row],[HomeIce Differential]]&gt;0,Table4[[#This Row],[Home]],Table4[[#This Row],[Visitor]])</f>
        <v>Washington Capitals</v>
      </c>
      <c r="L3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0.57874707149572235</v>
      </c>
      <c r="M360" t="str">
        <f>IF(OR((NHL2025_26Results[[#This Row],[Winning Team]]="")),"-",IF(Table4[[#This Row],[Predicted Winner]]=NHL2025_26Results[[#This Row],[Winning Team]],"YES","NO"))</f>
        <v>YES</v>
      </c>
      <c r="N360">
        <f>IF(Table4[[#This Row],[Adjusted Correct]]="-", "",IF(Table4[[#This Row],[Adjusted Correct]]="YES",(Table4[[#This Row],[Strength of Win]]-1)^2,(Table4[[#This Row],[Strength of Win]]-0)^2))</f>
        <v>0.17745402977343006</v>
      </c>
      <c r="O360">
        <v>0.79654080928706983</v>
      </c>
      <c r="P360" s="11">
        <v>0.64541171061492297</v>
      </c>
      <c r="Q360" t="s">
        <v>22</v>
      </c>
      <c r="R360" t="s">
        <v>248</v>
      </c>
    </row>
    <row r="361" spans="4:18" x14ac:dyDescent="0.2">
      <c r="D361" s="1">
        <v>45986</v>
      </c>
      <c r="E361" s="2">
        <v>0.875</v>
      </c>
      <c r="F361" t="s">
        <v>17</v>
      </c>
      <c r="G361">
        <f>VLOOKUP(Table4[[#This Row],[Home]],'NHL Model'!$A$6:$B$38,2,FALSE)</f>
        <v>-0.36462594951491906</v>
      </c>
      <c r="H361" t="s">
        <v>39</v>
      </c>
      <c r="I361">
        <f>VLOOKUP(Table4[[#This Row],[Visitor]],'NHL Model'!$A$6:$B$38,2,FALSE)</f>
        <v>0.21708030788125537</v>
      </c>
      <c r="J361">
        <f>($B$1+Table4[[#This Row],[Home Differential]])-Table4[[#This Row],[Away Differential]]</f>
        <v>-0.45209927158465035</v>
      </c>
      <c r="K361" t="str">
        <f>IF(Table4[[#This Row],[HomeIce Differential]]&gt;0,Table4[[#This Row],[Home]],Table4[[#This Row],[Visitor]])</f>
        <v>Dallas Stars</v>
      </c>
      <c r="L3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0.56890269013502959</v>
      </c>
      <c r="M361" t="str">
        <f>IF(OR((NHL2025_26Results[[#This Row],[Winning Team]]="")),"-",IF(Table4[[#This Row],[Predicted Winner]]=NHL2025_26Results[[#This Row],[Winning Team]],"YES","NO"))</f>
        <v>YES</v>
      </c>
      <c r="N361">
        <f>IF(Table4[[#This Row],[Adjusted Correct]]="-", "",IF(Table4[[#This Row],[Adjusted Correct]]="YES",(Table4[[#This Row],[Strength of Win]]-1)^2,(Table4[[#This Row],[Strength of Win]]-0)^2))</f>
        <v>0.18584489057281431</v>
      </c>
      <c r="O361">
        <v>-0.69868256982577315</v>
      </c>
      <c r="P361" s="11">
        <v>0.60437958986718887</v>
      </c>
      <c r="Q361" t="s">
        <v>39</v>
      </c>
      <c r="R361" t="s">
        <v>248</v>
      </c>
    </row>
    <row r="362" spans="4:18" x14ac:dyDescent="0.2">
      <c r="D362" s="1">
        <v>45987</v>
      </c>
      <c r="E362" s="2">
        <v>0.91666666666666663</v>
      </c>
      <c r="F362" t="s">
        <v>31</v>
      </c>
      <c r="G362">
        <f>VLOOKUP(Table4[[#This Row],[Home]],'NHL Model'!$A$6:$B$38,2,FALSE)</f>
        <v>-0.46360583111358089</v>
      </c>
      <c r="H362" t="s">
        <v>38</v>
      </c>
      <c r="I362">
        <f>VLOOKUP(Table4[[#This Row],[Visitor]],'NHL Model'!$A$6:$B$38,2,FALSE)</f>
        <v>-1.3920033028857945</v>
      </c>
      <c r="J362">
        <f>($B$1+Table4[[#This Row],[Home Differential]])-Table4[[#This Row],[Away Differential]]</f>
        <v>1.0580044575837377</v>
      </c>
      <c r="K362" t="str">
        <f>IF(Table4[[#This Row],[HomeIce Differential]]&gt;0,Table4[[#This Row],[Home]],Table4[[#This Row],[Visitor]])</f>
        <v>Anaheim Ducks</v>
      </c>
      <c r="L3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0.71052338732249987</v>
      </c>
      <c r="M362" t="str">
        <f>IF(OR((NHL2025_26Results[[#This Row],[Winning Team]]="")),"-",IF(Table4[[#This Row],[Predicted Winner]]=NHL2025_26Results[[#This Row],[Winning Team]],"YES","NO"))</f>
        <v>NO</v>
      </c>
      <c r="N362">
        <f>IF(Table4[[#This Row],[Adjusted Correct]]="-", "",IF(Table4[[#This Row],[Adjusted Correct]]="YES",(Table4[[#This Row],[Strength of Win]]-1)^2,(Table4[[#This Row],[Strength of Win]]-0)^2))</f>
        <v>0.50484348393223921</v>
      </c>
      <c r="O362">
        <v>1.6387605199554174</v>
      </c>
      <c r="P362" s="11">
        <v>0.84305317470559937</v>
      </c>
      <c r="Q362" t="s">
        <v>31</v>
      </c>
      <c r="R362" t="s">
        <v>249</v>
      </c>
    </row>
    <row r="363" spans="4:18" x14ac:dyDescent="0.2">
      <c r="D363" s="1">
        <v>45987</v>
      </c>
      <c r="E363" s="2">
        <v>0.79166666666666663</v>
      </c>
      <c r="F363" t="s">
        <v>25</v>
      </c>
      <c r="G363">
        <f>VLOOKUP(Table4[[#This Row],[Home]],'NHL Model'!$A$6:$B$38,2,FALSE)</f>
        <v>0.2324942014830165</v>
      </c>
      <c r="H363" t="s">
        <v>15</v>
      </c>
      <c r="I363">
        <f>VLOOKUP(Table4[[#This Row],[Visitor]],'NHL Model'!$A$6:$B$38,2,FALSE)</f>
        <v>-0.73651915476403329</v>
      </c>
      <c r="J363">
        <f>($B$1+Table4[[#This Row],[Home Differential]])-Table4[[#This Row],[Away Differential]]</f>
        <v>1.0986203420585738</v>
      </c>
      <c r="K363" t="str">
        <f>IF(Table4[[#This Row],[HomeIce Differential]]&gt;0,Table4[[#This Row],[Home]],Table4[[#This Row],[Visitor]])</f>
        <v>Carolina Hurricanes</v>
      </c>
      <c r="L3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0.68383538156755252</v>
      </c>
      <c r="M363" t="str">
        <f>IF(OR((NHL2025_26Results[[#This Row],[Winning Team]]="")),"-",IF(Table4[[#This Row],[Predicted Winner]]=NHL2025_26Results[[#This Row],[Winning Team]],"YES","NO"))</f>
        <v>NO</v>
      </c>
      <c r="N363">
        <f>IF(Table4[[#This Row],[Adjusted Correct]]="-", "",IF(Table4[[#This Row],[Adjusted Correct]]="YES",(Table4[[#This Row],[Strength of Win]]-1)^2,(Table4[[#This Row],[Strength of Win]]-0)^2))</f>
        <v>0.46763082908364018</v>
      </c>
      <c r="O363">
        <v>1.087958661524363</v>
      </c>
      <c r="P363" s="11">
        <v>0.66023805844789762</v>
      </c>
      <c r="Q363" t="s">
        <v>25</v>
      </c>
      <c r="R363" t="s">
        <v>249</v>
      </c>
    </row>
    <row r="364" spans="4:18" x14ac:dyDescent="0.2">
      <c r="D364" s="1">
        <v>45987</v>
      </c>
      <c r="E364" s="2">
        <v>0.79166666666666663</v>
      </c>
      <c r="F364" t="s">
        <v>28</v>
      </c>
      <c r="G364">
        <f>VLOOKUP(Table4[[#This Row],[Home]],'NHL Model'!$A$6:$B$38,2,FALSE)</f>
        <v>-0.28156479873410767</v>
      </c>
      <c r="H364" t="s">
        <v>19</v>
      </c>
      <c r="I364">
        <f>VLOOKUP(Table4[[#This Row],[Visitor]],'NHL Model'!$A$6:$B$38,2,FALSE)</f>
        <v>-0.44228056828684137</v>
      </c>
      <c r="J364">
        <f>($B$1+Table4[[#This Row],[Home Differential]])-Table4[[#This Row],[Away Differential]]</f>
        <v>0.29032275536425778</v>
      </c>
      <c r="K364" t="str">
        <f>IF(Table4[[#This Row],[HomeIce Differential]]&gt;0,Table4[[#This Row],[Home]],Table4[[#This Row],[Visitor]])</f>
        <v>Columbus Blue Jackets</v>
      </c>
      <c r="L3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0.5796474165035127</v>
      </c>
      <c r="M364" t="str">
        <f>IF(OR((NHL2025_26Results[[#This Row],[Winning Team]]="")),"-",IF(Table4[[#This Row],[Predicted Winner]]=NHL2025_26Results[[#This Row],[Winning Team]],"YES","NO"))</f>
        <v>NO</v>
      </c>
      <c r="N364">
        <f>IF(Table4[[#This Row],[Adjusted Correct]]="-", "",IF(Table4[[#This Row],[Adjusted Correct]]="YES",(Table4[[#This Row],[Strength of Win]]-1)^2,(Table4[[#This Row],[Strength of Win]]-0)^2))</f>
        <v>0.33599112745919674</v>
      </c>
      <c r="O364">
        <v>0.39522710638726088</v>
      </c>
      <c r="P364" s="11">
        <v>0.60195378300433666</v>
      </c>
      <c r="Q364" t="s">
        <v>28</v>
      </c>
      <c r="R364" t="s">
        <v>249</v>
      </c>
    </row>
    <row r="365" spans="4:18" x14ac:dyDescent="0.2">
      <c r="D365" s="1">
        <v>45987</v>
      </c>
      <c r="E365" s="2">
        <v>0.85416666666666663</v>
      </c>
      <c r="F365" t="s">
        <v>10</v>
      </c>
      <c r="G365">
        <f>VLOOKUP(Table4[[#This Row],[Home]],'NHL Model'!$A$6:$B$38,2,FALSE)</f>
        <v>-0.92658078135875344</v>
      </c>
      <c r="H365" t="s">
        <v>34</v>
      </c>
      <c r="I365">
        <f>VLOOKUP(Table4[[#This Row],[Visitor]],'NHL Model'!$A$6:$B$38,2,FALSE)</f>
        <v>6.0485283743665949E-2</v>
      </c>
      <c r="J365">
        <f>($B$1+Table4[[#This Row],[Home Differential]])-Table4[[#This Row],[Away Differential]]</f>
        <v>-0.85745907929089527</v>
      </c>
      <c r="K365" t="str">
        <f>IF(Table4[[#This Row],[HomeIce Differential]]&gt;0,Table4[[#This Row],[Home]],Table4[[#This Row],[Visitor]])</f>
        <v>Minnesota Wild</v>
      </c>
      <c r="L3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0.62555265040821995</v>
      </c>
      <c r="M365" t="str">
        <f>IF(OR((NHL2025_26Results[[#This Row],[Winning Team]]="")),"-",IF(Table4[[#This Row],[Predicted Winner]]=NHL2025_26Results[[#This Row],[Winning Team]],"YES","NO"))</f>
        <v>YES</v>
      </c>
      <c r="N365">
        <f>IF(Table4[[#This Row],[Adjusted Correct]]="-", "",IF(Table4[[#This Row],[Adjusted Correct]]="YES",(Table4[[#This Row],[Strength of Win]]-1)^2,(Table4[[#This Row],[Strength of Win]]-0)^2))</f>
        <v>0.14021081761630874</v>
      </c>
      <c r="O365">
        <v>0.20463122667250075</v>
      </c>
      <c r="P365" s="11">
        <v>0.54765963116715599</v>
      </c>
      <c r="Q365" t="s">
        <v>10</v>
      </c>
      <c r="R365" t="s">
        <v>249</v>
      </c>
    </row>
    <row r="366" spans="4:18" x14ac:dyDescent="0.2">
      <c r="D366" s="1">
        <v>45987</v>
      </c>
      <c r="E366" s="2">
        <v>0.875</v>
      </c>
      <c r="F366" t="s">
        <v>12</v>
      </c>
      <c r="G366">
        <f>VLOOKUP(Table4[[#This Row],[Home]],'NHL Model'!$A$6:$B$38,2,FALSE)</f>
        <v>0.99866683349964291</v>
      </c>
      <c r="H366" t="s">
        <v>33</v>
      </c>
      <c r="I366">
        <f>VLOOKUP(Table4[[#This Row],[Visitor]],'NHL Model'!$A$6:$B$38,2,FALSE)</f>
        <v>-0.65236582493376272</v>
      </c>
      <c r="J366">
        <f>($B$1+Table4[[#This Row],[Home Differential]])-Table4[[#This Row],[Away Differential]]</f>
        <v>1.7806396442449297</v>
      </c>
      <c r="K366" t="str">
        <f>IF(Table4[[#This Row],[HomeIce Differential]]&gt;0,Table4[[#This Row],[Home]],Table4[[#This Row],[Visitor]])</f>
        <v>Colorado Avalanche</v>
      </c>
      <c r="L3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0.8197896206919757</v>
      </c>
      <c r="M366" t="str">
        <f>IF(OR((NHL2025_26Results[[#This Row],[Winning Team]]="")),"-",IF(Table4[[#This Row],[Predicted Winner]]=NHL2025_26Results[[#This Row],[Winning Team]],"YES","NO"))</f>
        <v>YES</v>
      </c>
      <c r="N366">
        <f>IF(Table4[[#This Row],[Adjusted Correct]]="-", "",IF(Table4[[#This Row],[Adjusted Correct]]="YES",(Table4[[#This Row],[Strength of Win]]-1)^2,(Table4[[#This Row],[Strength of Win]]-0)^2))</f>
        <v>3.2475780810341998E-2</v>
      </c>
      <c r="O366">
        <v>1.9656999227671841</v>
      </c>
      <c r="P366" s="11">
        <v>0.90800999973273655</v>
      </c>
      <c r="Q366" t="s">
        <v>12</v>
      </c>
      <c r="R366" t="s">
        <v>248</v>
      </c>
    </row>
    <row r="367" spans="4:18" x14ac:dyDescent="0.2">
      <c r="D367" s="1">
        <v>45987</v>
      </c>
      <c r="E367" s="2">
        <v>0.79166666666666663</v>
      </c>
      <c r="F367" t="s">
        <v>26</v>
      </c>
      <c r="G367">
        <f>VLOOKUP(Table4[[#This Row],[Home]],'NHL Model'!$A$6:$B$38,2,FALSE)</f>
        <v>-0.33113778518110382</v>
      </c>
      <c r="H367" t="s">
        <v>29</v>
      </c>
      <c r="I367">
        <f>VLOOKUP(Table4[[#This Row],[Visitor]],'NHL Model'!$A$6:$B$38,2,FALSE)</f>
        <v>-0.82056481120798741</v>
      </c>
      <c r="J367">
        <f>($B$1+Table4[[#This Row],[Home Differential]])-Table4[[#This Row],[Away Differential]]</f>
        <v>0.61903401183840767</v>
      </c>
      <c r="K367" t="str">
        <f>IF(Table4[[#This Row],[HomeIce Differential]]&gt;0,Table4[[#This Row],[Home]],Table4[[#This Row],[Visitor]])</f>
        <v>Detroit Red Wings</v>
      </c>
      <c r="L3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0.63555145834314009</v>
      </c>
      <c r="M367" t="str">
        <f>IF(OR((NHL2025_26Results[[#This Row],[Winning Team]]="")),"-",IF(Table4[[#This Row],[Predicted Winner]]=NHL2025_26Results[[#This Row],[Winning Team]],"YES","NO"))</f>
        <v>NO</v>
      </c>
      <c r="N367">
        <f>IF(Table4[[#This Row],[Adjusted Correct]]="-", "",IF(Table4[[#This Row],[Adjusted Correct]]="YES",(Table4[[#This Row],[Strength of Win]]-1)^2,(Table4[[#This Row],[Strength of Win]]-0)^2))</f>
        <v>0.40392565620209214</v>
      </c>
      <c r="O367">
        <v>1.1722900958076288</v>
      </c>
      <c r="P367" s="11">
        <v>0.73510915286023726</v>
      </c>
      <c r="Q367" t="s">
        <v>26</v>
      </c>
      <c r="R367" t="s">
        <v>249</v>
      </c>
    </row>
    <row r="368" spans="4:18" x14ac:dyDescent="0.2">
      <c r="D368" s="1">
        <v>45987</v>
      </c>
      <c r="E368" s="2">
        <v>0.79166666666666663</v>
      </c>
      <c r="F368" t="s">
        <v>11</v>
      </c>
      <c r="G368">
        <f>VLOOKUP(Table4[[#This Row],[Home]],'NHL Model'!$A$6:$B$38,2,FALSE)</f>
        <v>-0.55695213126481558</v>
      </c>
      <c r="H368" t="s">
        <v>27</v>
      </c>
      <c r="I368">
        <f>VLOOKUP(Table4[[#This Row],[Visitor]],'NHL Model'!$A$6:$B$38,2,FALSE)</f>
        <v>-0.55097933929175691</v>
      </c>
      <c r="J368">
        <f>($B$1+Table4[[#This Row],[Home Differential]])-Table4[[#This Row],[Away Differential]]</f>
        <v>0.12363419383846541</v>
      </c>
      <c r="K368" t="str">
        <f>IF(Table4[[#This Row],[HomeIce Differential]]&gt;0,Table4[[#This Row],[Home]],Table4[[#This Row],[Visitor]])</f>
        <v>Florida Panthers</v>
      </c>
      <c r="L3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0.55388336161973328</v>
      </c>
      <c r="M368" t="str">
        <f>IF(OR((NHL2025_26Results[[#This Row],[Winning Team]]="")),"-",IF(Table4[[#This Row],[Predicted Winner]]=NHL2025_26Results[[#This Row],[Winning Team]],"YES","NO"))</f>
        <v>NO</v>
      </c>
      <c r="N368">
        <f>IF(Table4[[#This Row],[Adjusted Correct]]="-", "",IF(Table4[[#This Row],[Adjusted Correct]]="YES",(Table4[[#This Row],[Strength of Win]]-1)^2,(Table4[[#This Row],[Strength of Win]]-0)^2))</f>
        <v>0.30678677827917622</v>
      </c>
      <c r="O368">
        <v>0.49001614782787051</v>
      </c>
      <c r="P368" s="11">
        <v>0.65979259220139941</v>
      </c>
      <c r="Q368" t="s">
        <v>11</v>
      </c>
      <c r="R368" t="s">
        <v>249</v>
      </c>
    </row>
    <row r="369" spans="4:18" x14ac:dyDescent="0.2">
      <c r="D369" s="1">
        <v>45987</v>
      </c>
      <c r="E369" s="2">
        <v>0.79166666666666663</v>
      </c>
      <c r="F369" t="s">
        <v>24</v>
      </c>
      <c r="G369">
        <f>VLOOKUP(Table4[[#This Row],[Home]],'NHL Model'!$A$6:$B$38,2,FALSE)</f>
        <v>-0.74510803532792402</v>
      </c>
      <c r="H369" t="s">
        <v>35</v>
      </c>
      <c r="I369">
        <f>VLOOKUP(Table4[[#This Row],[Visitor]],'NHL Model'!$A$6:$B$38,2,FALSE)</f>
        <v>-1.3128572733047907</v>
      </c>
      <c r="J369">
        <f>($B$1+Table4[[#This Row],[Home Differential]])-Table4[[#This Row],[Away Differential]]</f>
        <v>0.69735622378839079</v>
      </c>
      <c r="K369" t="str">
        <f>IF(Table4[[#This Row],[HomeIce Differential]]&gt;0,Table4[[#This Row],[Home]],Table4[[#This Row],[Visitor]])</f>
        <v>New Jersey Devils</v>
      </c>
      <c r="L3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0.61830882648270757</v>
      </c>
      <c r="M369" t="str">
        <f>IF(OR((NHL2025_26Results[[#This Row],[Winning Team]]="")),"-",IF(Table4[[#This Row],[Predicted Winner]]=NHL2025_26Results[[#This Row],[Winning Team]],"YES","NO"))</f>
        <v>YES</v>
      </c>
      <c r="N369">
        <f>IF(Table4[[#This Row],[Adjusted Correct]]="-", "",IF(Table4[[#This Row],[Adjusted Correct]]="YES",(Table4[[#This Row],[Strength of Win]]-1)^2,(Table4[[#This Row],[Strength of Win]]-0)^2))</f>
        <v>0.14568815194100784</v>
      </c>
      <c r="O369">
        <v>1.7395591687703991</v>
      </c>
      <c r="P369" s="11">
        <v>0.90065082571403132</v>
      </c>
      <c r="Q369" t="s">
        <v>24</v>
      </c>
      <c r="R369" t="s">
        <v>248</v>
      </c>
    </row>
    <row r="370" spans="4:18" x14ac:dyDescent="0.2">
      <c r="D370" s="1">
        <v>45987</v>
      </c>
      <c r="E370" s="2">
        <v>0.79166666666666663</v>
      </c>
      <c r="F370" t="s">
        <v>30</v>
      </c>
      <c r="G370">
        <f>VLOOKUP(Table4[[#This Row],[Home]],'NHL Model'!$A$6:$B$38,2,FALSE)</f>
        <v>-0.18630462558229716</v>
      </c>
      <c r="H370" t="s">
        <v>21</v>
      </c>
      <c r="I370">
        <f>VLOOKUP(Table4[[#This Row],[Visitor]],'NHL Model'!$A$6:$B$38,2,FALSE)</f>
        <v>-0.10253061303059285</v>
      </c>
      <c r="J370">
        <f>($B$1+Table4[[#This Row],[Home Differential]])-Table4[[#This Row],[Away Differential]]</f>
        <v>4.5832973259819804E-2</v>
      </c>
      <c r="K370" t="str">
        <f>IF(Table4[[#This Row],[HomeIce Differential]]&gt;0,Table4[[#This Row],[Home]],Table4[[#This Row],[Visitor]])</f>
        <v>New York Islanders</v>
      </c>
      <c r="L3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0.55916338226506468</v>
      </c>
      <c r="M370" t="str">
        <f>IF(OR((NHL2025_26Results[[#This Row],[Winning Team]]="")),"-",IF(Table4[[#This Row],[Predicted Winner]]=NHL2025_26Results[[#This Row],[Winning Team]],"YES","NO"))</f>
        <v>NO</v>
      </c>
      <c r="N370">
        <f>IF(Table4[[#This Row],[Adjusted Correct]]="-", "",IF(Table4[[#This Row],[Adjusted Correct]]="YES",(Table4[[#This Row],[Strength of Win]]-1)^2,(Table4[[#This Row],[Strength of Win]]-0)^2))</f>
        <v>0.31266368806610684</v>
      </c>
      <c r="O370">
        <v>0.2875788973065343</v>
      </c>
      <c r="P370" s="11">
        <v>0.57995255709643112</v>
      </c>
      <c r="Q370" t="s">
        <v>30</v>
      </c>
      <c r="R370" t="s">
        <v>249</v>
      </c>
    </row>
    <row r="371" spans="4:18" x14ac:dyDescent="0.2">
      <c r="D371" s="1">
        <v>45987</v>
      </c>
      <c r="E371" s="2">
        <v>0.79166666666666663</v>
      </c>
      <c r="F371" t="s">
        <v>14</v>
      </c>
      <c r="G371">
        <f>VLOOKUP(Table4[[#This Row],[Home]],'NHL Model'!$A$6:$B$38,2,FALSE)</f>
        <v>3.6349513460996066E-5</v>
      </c>
      <c r="H371" t="s">
        <v>23</v>
      </c>
      <c r="I371">
        <f>VLOOKUP(Table4[[#This Row],[Visitor]],'NHL Model'!$A$6:$B$38,2,FALSE)</f>
        <v>8.1543966060426461E-3</v>
      </c>
      <c r="J371">
        <f>($B$1+Table4[[#This Row],[Home Differential]])-Table4[[#This Row],[Away Differential]]</f>
        <v>0.12148893871894245</v>
      </c>
      <c r="K371" t="str">
        <f>IF(Table4[[#This Row],[HomeIce Differential]]&gt;0,Table4[[#This Row],[Home]],Table4[[#This Row],[Visitor]])</f>
        <v>Pittsburgh Penguins</v>
      </c>
      <c r="L3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0.51674805269050428</v>
      </c>
      <c r="M371" t="str">
        <f>IF(OR((NHL2025_26Results[[#This Row],[Winning Team]]="")),"-",IF(Table4[[#This Row],[Predicted Winner]]=NHL2025_26Results[[#This Row],[Winning Team]],"YES","NO"))</f>
        <v>YES</v>
      </c>
      <c r="N371">
        <f>IF(Table4[[#This Row],[Adjusted Correct]]="-", "",IF(Table4[[#This Row],[Adjusted Correct]]="YES",(Table4[[#This Row],[Strength of Win]]-1)^2,(Table4[[#This Row],[Strength of Win]]-0)^2))</f>
        <v>0.23353244457841962</v>
      </c>
      <c r="O371">
        <v>0.43728656309002328</v>
      </c>
      <c r="P371" s="11">
        <v>0.60075103751696357</v>
      </c>
      <c r="Q371" t="s">
        <v>14</v>
      </c>
      <c r="R371" t="s">
        <v>248</v>
      </c>
    </row>
    <row r="372" spans="4:18" x14ac:dyDescent="0.2">
      <c r="D372" s="1">
        <v>45987</v>
      </c>
      <c r="E372" s="2">
        <v>0.91666666666666663</v>
      </c>
      <c r="F372" t="s">
        <v>32</v>
      </c>
      <c r="G372">
        <f>VLOOKUP(Table4[[#This Row],[Home]],'NHL Model'!$A$6:$B$38,2,FALSE)</f>
        <v>-0.48236715437805205</v>
      </c>
      <c r="H372" t="s">
        <v>39</v>
      </c>
      <c r="I372">
        <f>VLOOKUP(Table4[[#This Row],[Visitor]],'NHL Model'!$A$6:$B$38,2,FALSE)</f>
        <v>0.21708030788125537</v>
      </c>
      <c r="J372">
        <f>($B$1+Table4[[#This Row],[Home Differential]])-Table4[[#This Row],[Away Differential]]</f>
        <v>-0.56984047644778335</v>
      </c>
      <c r="K372" t="str">
        <f>IF(Table4[[#This Row],[HomeIce Differential]]&gt;0,Table4[[#This Row],[Home]],Table4[[#This Row],[Visitor]])</f>
        <v>Dallas Stars</v>
      </c>
      <c r="L3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0.58212430523929204</v>
      </c>
      <c r="M372" t="str">
        <f>IF(OR((NHL2025_26Results[[#This Row],[Winning Team]]="")),"-",IF(Table4[[#This Row],[Predicted Winner]]=NHL2025_26Results[[#This Row],[Winning Team]],"YES","NO"))</f>
        <v>YES</v>
      </c>
      <c r="N372">
        <f>IF(Table4[[#This Row],[Adjusted Correct]]="-", "",IF(Table4[[#This Row],[Adjusted Correct]]="YES",(Table4[[#This Row],[Strength of Win]]-1)^2,(Table4[[#This Row],[Strength of Win]]-0)^2))</f>
        <v>0.17462009627174438</v>
      </c>
      <c r="O372">
        <v>-0.30305462647533121</v>
      </c>
      <c r="P372" s="11">
        <v>0.56841834769681898</v>
      </c>
      <c r="Q372" t="s">
        <v>39</v>
      </c>
      <c r="R372" t="s">
        <v>248</v>
      </c>
    </row>
    <row r="373" spans="4:18" x14ac:dyDescent="0.2">
      <c r="D373" s="1">
        <v>45987</v>
      </c>
      <c r="E373" s="2">
        <v>0.79166666666666663</v>
      </c>
      <c r="F373" t="s">
        <v>37</v>
      </c>
      <c r="G373">
        <f>VLOOKUP(Table4[[#This Row],[Home]],'NHL Model'!$A$6:$B$38,2,FALSE)</f>
        <v>0.72108184732572844</v>
      </c>
      <c r="H373" t="s">
        <v>16</v>
      </c>
      <c r="I373">
        <f>VLOOKUP(Table4[[#This Row],[Visitor]],'NHL Model'!$A$6:$B$38,2,FALSE)</f>
        <v>-0.89031221864884547</v>
      </c>
      <c r="J373">
        <f>($B$1+Table4[[#This Row],[Home Differential]])-Table4[[#This Row],[Away Differential]]</f>
        <v>1.7410010517860979</v>
      </c>
      <c r="K373" t="str">
        <f>IF(Table4[[#This Row],[HomeIce Differential]]&gt;0,Table4[[#This Row],[Home]],Table4[[#This Row],[Visitor]])</f>
        <v>Tampa Bay Lightning</v>
      </c>
      <c r="L3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0.79148868268880535</v>
      </c>
      <c r="M373" t="str">
        <f>IF(OR((NHL2025_26Results[[#This Row],[Winning Team]]="")),"-",IF(Table4[[#This Row],[Predicted Winner]]=NHL2025_26Results[[#This Row],[Winning Team]],"YES","NO"))</f>
        <v>YES</v>
      </c>
      <c r="N373">
        <f>IF(Table4[[#This Row],[Adjusted Correct]]="-", "",IF(Table4[[#This Row],[Adjusted Correct]]="YES",(Table4[[#This Row],[Strength of Win]]-1)^2,(Table4[[#This Row],[Strength of Win]]-0)^2))</f>
        <v>4.34769694468497E-2</v>
      </c>
      <c r="O373">
        <v>1.4608519687560064</v>
      </c>
      <c r="P373" s="11">
        <v>0.76205763760112666</v>
      </c>
      <c r="Q373" t="s">
        <v>37</v>
      </c>
      <c r="R373" t="s">
        <v>248</v>
      </c>
    </row>
    <row r="374" spans="4:18" x14ac:dyDescent="0.2">
      <c r="D374" s="1">
        <v>45987</v>
      </c>
      <c r="E374" s="2">
        <v>0.89583333333333337</v>
      </c>
      <c r="F374" t="s">
        <v>55</v>
      </c>
      <c r="G374">
        <f>VLOOKUP(Table4[[#This Row],[Home]],'NHL Model'!$A$6:$B$38,2,FALSE)</f>
        <v>8.4094725828611647E-2</v>
      </c>
      <c r="H374" t="s">
        <v>18</v>
      </c>
      <c r="I374">
        <f>VLOOKUP(Table4[[#This Row],[Visitor]],'NHL Model'!$A$6:$B$38,2,FALSE)</f>
        <v>-8.6274676766085606E-2</v>
      </c>
      <c r="J374">
        <f>($B$1+Table4[[#This Row],[Home Differential]])-Table4[[#This Row],[Away Differential]]</f>
        <v>0.29997638840622132</v>
      </c>
      <c r="K374" t="str">
        <f>IF(Table4[[#This Row],[HomeIce Differential]]&gt;0,Table4[[#This Row],[Home]],Table4[[#This Row],[Visitor]])</f>
        <v>Utah Mammoth</v>
      </c>
      <c r="L3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0.55759624168313038</v>
      </c>
      <c r="M374" t="str">
        <f>IF(OR((NHL2025_26Results[[#This Row],[Winning Team]]="")),"-",IF(Table4[[#This Row],[Predicted Winner]]=NHL2025_26Results[[#This Row],[Winning Team]],"YES","NO"))</f>
        <v>NO</v>
      </c>
      <c r="N374">
        <f>IF(Table4[[#This Row],[Adjusted Correct]]="-", "",IF(Table4[[#This Row],[Adjusted Correct]]="YES",(Table4[[#This Row],[Strength of Win]]-1)^2,(Table4[[#This Row],[Strength of Win]]-0)^2))</f>
        <v>0.31091356873915194</v>
      </c>
      <c r="O374">
        <v>0.77924989663491484</v>
      </c>
      <c r="P374" s="11">
        <v>0.66578120089593074</v>
      </c>
      <c r="Q374" t="s">
        <v>55</v>
      </c>
      <c r="R374" t="s">
        <v>249</v>
      </c>
    </row>
    <row r="375" spans="4:18" x14ac:dyDescent="0.2">
      <c r="D375" s="1">
        <v>45987</v>
      </c>
      <c r="E375" s="2">
        <v>0.91666666666666663</v>
      </c>
      <c r="F375" t="s">
        <v>20</v>
      </c>
      <c r="G375">
        <f>VLOOKUP(Table4[[#This Row],[Home]],'NHL Model'!$A$6:$B$38,2,FALSE)</f>
        <v>-0.16296463421387539</v>
      </c>
      <c r="H375" t="s">
        <v>36</v>
      </c>
      <c r="I375">
        <f>VLOOKUP(Table4[[#This Row],[Visitor]],'NHL Model'!$A$6:$B$38,2,FALSE)</f>
        <v>-0.19010748264223354</v>
      </c>
      <c r="J375">
        <f>($B$1+Table4[[#This Row],[Home Differential]])-Table4[[#This Row],[Away Differential]]</f>
        <v>0.15674983423988226</v>
      </c>
      <c r="K375" t="str">
        <f>IF(Table4[[#This Row],[HomeIce Differential]]&gt;0,Table4[[#This Row],[Home]],Table4[[#This Row],[Visitor]])</f>
        <v>Vegas Golden Knights</v>
      </c>
      <c r="L3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0.54558586149985122</v>
      </c>
      <c r="M375" t="str">
        <f>IF(OR((NHL2025_26Results[[#This Row],[Winning Team]]="")),"-",IF(Table4[[#This Row],[Predicted Winner]]=NHL2025_26Results[[#This Row],[Winning Team]],"YES","NO"))</f>
        <v>NO</v>
      </c>
      <c r="N375">
        <f>IF(Table4[[#This Row],[Adjusted Correct]]="-", "",IF(Table4[[#This Row],[Adjusted Correct]]="YES",(Table4[[#This Row],[Strength of Win]]-1)^2,(Table4[[#This Row],[Strength of Win]]-0)^2))</f>
        <v>0.29766393226853483</v>
      </c>
      <c r="O375">
        <v>0.46968261353108021</v>
      </c>
      <c r="P375" s="11">
        <v>0.60525173303762814</v>
      </c>
      <c r="Q375" t="s">
        <v>20</v>
      </c>
      <c r="R375" t="s">
        <v>249</v>
      </c>
    </row>
    <row r="376" spans="4:18" x14ac:dyDescent="0.2">
      <c r="D376" s="1">
        <v>45987</v>
      </c>
      <c r="E376" s="2">
        <v>0.79166666666666663</v>
      </c>
      <c r="F376" t="s">
        <v>22</v>
      </c>
      <c r="G376">
        <f>VLOOKUP(Table4[[#This Row],[Home]],'NHL Model'!$A$6:$B$38,2,FALSE)</f>
        <v>-0.11977593183651415</v>
      </c>
      <c r="H376" t="s">
        <v>40</v>
      </c>
      <c r="I376">
        <f>VLOOKUP(Table4[[#This Row],[Visitor]],'NHL Model'!$A$6:$B$38,2,FALSE)</f>
        <v>-0.58845147248022256</v>
      </c>
      <c r="J376">
        <f>($B$1+Table4[[#This Row],[Home Differential]])-Table4[[#This Row],[Away Differential]]</f>
        <v>0.5982825264552325</v>
      </c>
      <c r="K376" t="str">
        <f>IF(Table4[[#This Row],[HomeIce Differential]]&gt;0,Table4[[#This Row],[Home]],Table4[[#This Row],[Visitor]])</f>
        <v>Washington Capitals</v>
      </c>
      <c r="L3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0.62514997997984589</v>
      </c>
      <c r="M376" t="str">
        <f>IF(OR((NHL2025_26Results[[#This Row],[Winning Team]]="")),"-",IF(Table4[[#This Row],[Predicted Winner]]=NHL2025_26Results[[#This Row],[Winning Team]],"YES","NO"))</f>
        <v>YES</v>
      </c>
      <c r="N376">
        <f>IF(Table4[[#This Row],[Adjusted Correct]]="-", "",IF(Table4[[#This Row],[Adjusted Correct]]="YES",(Table4[[#This Row],[Strength of Win]]-1)^2,(Table4[[#This Row],[Strength of Win]]-0)^2))</f>
        <v>0.14051253750910994</v>
      </c>
      <c r="O376">
        <v>0.44761183976902907</v>
      </c>
      <c r="P376" s="11">
        <v>0.53586971075913947</v>
      </c>
      <c r="Q376" t="s">
        <v>22</v>
      </c>
      <c r="R376" t="s">
        <v>248</v>
      </c>
    </row>
    <row r="377" spans="4:18" x14ac:dyDescent="0.2">
      <c r="D377" s="1">
        <v>45989</v>
      </c>
      <c r="E377" s="2">
        <v>0.66666666666666663</v>
      </c>
      <c r="F377" t="s">
        <v>31</v>
      </c>
      <c r="G377">
        <f>VLOOKUP(Table4[[#This Row],[Home]],'NHL Model'!$A$6:$B$38,2,FALSE)</f>
        <v>-0.46360583111358089</v>
      </c>
      <c r="H377" t="s">
        <v>13</v>
      </c>
      <c r="I377">
        <f>VLOOKUP(Table4[[#This Row],[Visitor]],'NHL Model'!$A$6:$B$38,2,FALSE)</f>
        <v>-0.59069689888466137</v>
      </c>
      <c r="J377">
        <f>($B$1+Table4[[#This Row],[Home Differential]])-Table4[[#This Row],[Away Differential]]</f>
        <v>0.25669805358260456</v>
      </c>
      <c r="K377" t="str">
        <f>IF(Table4[[#This Row],[HomeIce Differential]]&gt;0,Table4[[#This Row],[Home]],Table4[[#This Row],[Visitor]])</f>
        <v>Anaheim Ducks</v>
      </c>
      <c r="L3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0.60025418830949107</v>
      </c>
      <c r="M377" t="str">
        <f>IF(OR((NHL2025_26Results[[#This Row],[Winning Team]]="")),"-",IF(Table4[[#This Row],[Predicted Winner]]=NHL2025_26Results[[#This Row],[Winning Team]],"YES","NO"))</f>
        <v>YES</v>
      </c>
      <c r="N377">
        <f>IF(Table4[[#This Row],[Adjusted Correct]]="-", "",IF(Table4[[#This Row],[Adjusted Correct]]="YES",(Table4[[#This Row],[Strength of Win]]-1)^2,(Table4[[#This Row],[Strength of Win]]-0)^2))</f>
        <v>0.15979671396410383</v>
      </c>
      <c r="O377">
        <v>0.65766512247595899</v>
      </c>
      <c r="P377" s="11">
        <v>0.61390663987595384</v>
      </c>
      <c r="Q377" t="s">
        <v>31</v>
      </c>
      <c r="R377" t="s">
        <v>248</v>
      </c>
    </row>
    <row r="378" spans="4:18" x14ac:dyDescent="0.2">
      <c r="D378" s="1">
        <v>45989</v>
      </c>
      <c r="E378" s="2">
        <v>0.54166666666666663</v>
      </c>
      <c r="F378" t="s">
        <v>21</v>
      </c>
      <c r="G378">
        <f>VLOOKUP(Table4[[#This Row],[Home]],'NHL Model'!$A$6:$B$38,2,FALSE)</f>
        <v>-0.10253061303059285</v>
      </c>
      <c r="H378" t="s">
        <v>15</v>
      </c>
      <c r="I378">
        <f>VLOOKUP(Table4[[#This Row],[Visitor]],'NHL Model'!$A$6:$B$38,2,FALSE)</f>
        <v>-0.73651915476403329</v>
      </c>
      <c r="J378">
        <f>($B$1+Table4[[#This Row],[Home Differential]])-Table4[[#This Row],[Away Differential]]</f>
        <v>0.76359552754496451</v>
      </c>
      <c r="K378" t="str">
        <f>IF(Table4[[#This Row],[HomeIce Differential]]&gt;0,Table4[[#This Row],[Home]],Table4[[#This Row],[Visitor]])</f>
        <v>Boston Bruins</v>
      </c>
      <c r="L3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0.64226883312587757</v>
      </c>
      <c r="M378" t="str">
        <f>IF(OR((NHL2025_26Results[[#This Row],[Winning Team]]="")),"-",IF(Table4[[#This Row],[Predicted Winner]]=NHL2025_26Results[[#This Row],[Winning Team]],"YES","NO"))</f>
        <v>NO</v>
      </c>
      <c r="N378">
        <f>IF(Table4[[#This Row],[Adjusted Correct]]="-", "",IF(Table4[[#This Row],[Adjusted Correct]]="YES",(Table4[[#This Row],[Strength of Win]]-1)^2,(Table4[[#This Row],[Strength of Win]]-0)^2))</f>
        <v>0.41250925400487637</v>
      </c>
      <c r="O378">
        <v>0.46454009287019493</v>
      </c>
      <c r="P378" s="11">
        <v>0.5586981473589383</v>
      </c>
      <c r="Q378" t="s">
        <v>21</v>
      </c>
      <c r="R378" t="s">
        <v>249</v>
      </c>
    </row>
    <row r="379" spans="4:18" x14ac:dyDescent="0.2">
      <c r="D379" s="1">
        <v>45989</v>
      </c>
      <c r="E379" s="2">
        <v>0.66666666666666663</v>
      </c>
      <c r="F379" t="s">
        <v>23</v>
      </c>
      <c r="G379">
        <f>VLOOKUP(Table4[[#This Row],[Home]],'NHL Model'!$A$6:$B$38,2,FALSE)</f>
        <v>8.1543966060426461E-3</v>
      </c>
      <c r="H379" t="s">
        <v>24</v>
      </c>
      <c r="I379">
        <f>VLOOKUP(Table4[[#This Row],[Visitor]],'NHL Model'!$A$6:$B$38,2,FALSE)</f>
        <v>-0.74510803532792402</v>
      </c>
      <c r="J379">
        <f>($B$1+Table4[[#This Row],[Home Differential]])-Table4[[#This Row],[Away Differential]]</f>
        <v>0.88286941774549077</v>
      </c>
      <c r="K379" t="str">
        <f>IF(Table4[[#This Row],[HomeIce Differential]]&gt;0,Table4[[#This Row],[Home]],Table4[[#This Row],[Visitor]])</f>
        <v>Buffalo Sabres</v>
      </c>
      <c r="L3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0.64752791703609136</v>
      </c>
      <c r="M379" t="str">
        <f>IF(OR((NHL2025_26Results[[#This Row],[Winning Team]]="")),"-",IF(Table4[[#This Row],[Predicted Winner]]=NHL2025_26Results[[#This Row],[Winning Team]],"YES","NO"))</f>
        <v>NO</v>
      </c>
      <c r="N379">
        <f>IF(Table4[[#This Row],[Adjusted Correct]]="-", "",IF(Table4[[#This Row],[Adjusted Correct]]="YES",(Table4[[#This Row],[Strength of Win]]-1)^2,(Table4[[#This Row],[Strength of Win]]-0)^2))</f>
        <v>0.41929240334109924</v>
      </c>
      <c r="O379">
        <v>-0.42791275543631624</v>
      </c>
      <c r="P379" s="11">
        <v>0.50087851742754785</v>
      </c>
      <c r="Q379" t="s">
        <v>24</v>
      </c>
      <c r="R379" t="s">
        <v>248</v>
      </c>
    </row>
    <row r="380" spans="4:18" x14ac:dyDescent="0.2">
      <c r="D380" s="1">
        <v>45989</v>
      </c>
      <c r="E380" s="2">
        <v>0.70833333333333337</v>
      </c>
      <c r="F380" t="s">
        <v>25</v>
      </c>
      <c r="G380">
        <f>VLOOKUP(Table4[[#This Row],[Home]],'NHL Model'!$A$6:$B$38,2,FALSE)</f>
        <v>0.2324942014830165</v>
      </c>
      <c r="H380" t="s">
        <v>40</v>
      </c>
      <c r="I380">
        <f>VLOOKUP(Table4[[#This Row],[Visitor]],'NHL Model'!$A$6:$B$38,2,FALSE)</f>
        <v>-0.58845147248022256</v>
      </c>
      <c r="J380">
        <f>($B$1+Table4[[#This Row],[Home Differential]])-Table4[[#This Row],[Away Differential]]</f>
        <v>0.95055265977476311</v>
      </c>
      <c r="K380" t="str">
        <f>IF(Table4[[#This Row],[HomeIce Differential]]&gt;0,Table4[[#This Row],[Home]],Table4[[#This Row],[Visitor]])</f>
        <v>Carolina Hurricanes</v>
      </c>
      <c r="L3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0.70231695638491032</v>
      </c>
      <c r="M380" t="str">
        <f>IF(OR((NHL2025_26Results[[#This Row],[Winning Team]]="")),"-",IF(Table4[[#This Row],[Predicted Winner]]=NHL2025_26Results[[#This Row],[Winning Team]],"YES","NO"))</f>
        <v>YES</v>
      </c>
      <c r="N380">
        <f>IF(Table4[[#This Row],[Adjusted Correct]]="-", "",IF(Table4[[#This Row],[Adjusted Correct]]="YES",(Table4[[#This Row],[Strength of Win]]-1)^2,(Table4[[#This Row],[Strength of Win]]-0)^2))</f>
        <v>8.8615194455943389E-2</v>
      </c>
      <c r="O380">
        <v>0.49959240966523888</v>
      </c>
      <c r="P380" s="11">
        <v>0.58693679599124149</v>
      </c>
      <c r="Q380" t="s">
        <v>25</v>
      </c>
      <c r="R380" t="s">
        <v>248</v>
      </c>
    </row>
    <row r="381" spans="4:18" x14ac:dyDescent="0.2">
      <c r="D381" s="1">
        <v>45989</v>
      </c>
      <c r="E381" s="2">
        <v>0.79166666666666663</v>
      </c>
      <c r="F381" t="s">
        <v>28</v>
      </c>
      <c r="G381">
        <f>VLOOKUP(Table4[[#This Row],[Home]],'NHL Model'!$A$6:$B$38,2,FALSE)</f>
        <v>-0.28156479873410767</v>
      </c>
      <c r="H381" t="s">
        <v>14</v>
      </c>
      <c r="I381">
        <f>VLOOKUP(Table4[[#This Row],[Visitor]],'NHL Model'!$A$6:$B$38,2,FALSE)</f>
        <v>3.6349513460996066E-5</v>
      </c>
      <c r="J381">
        <f>($B$1+Table4[[#This Row],[Home Differential]])-Table4[[#This Row],[Away Differential]]</f>
        <v>-0.15199416243604455</v>
      </c>
      <c r="K381" t="str">
        <f>IF(Table4[[#This Row],[HomeIce Differential]]&gt;0,Table4[[#This Row],[Home]],Table4[[#This Row],[Visitor]])</f>
        <v>Pittsburgh Penguins</v>
      </c>
      <c r="L3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0.52411026565978436</v>
      </c>
      <c r="M381" t="str">
        <f>IF(OR((NHL2025_26Results[[#This Row],[Winning Team]]="")),"-",IF(Table4[[#This Row],[Predicted Winner]]=NHL2025_26Results[[#This Row],[Winning Team]],"YES","NO"))</f>
        <v>YES</v>
      </c>
      <c r="N381">
        <f>IF(Table4[[#This Row],[Adjusted Correct]]="-", "",IF(Table4[[#This Row],[Adjusted Correct]]="YES",(Table4[[#This Row],[Strength of Win]]-1)^2,(Table4[[#This Row],[Strength of Win]]-0)^2))</f>
        <v>0.22647103925040102</v>
      </c>
      <c r="O381">
        <v>-0.52698871804388547</v>
      </c>
      <c r="P381" s="11">
        <v>0.52658900254898244</v>
      </c>
      <c r="Q381" t="s">
        <v>14</v>
      </c>
      <c r="R381" t="s">
        <v>248</v>
      </c>
    </row>
    <row r="382" spans="4:18" x14ac:dyDescent="0.2">
      <c r="D382" s="1">
        <v>45989</v>
      </c>
      <c r="E382" s="2">
        <v>0.83333333333333337</v>
      </c>
      <c r="F382" t="s">
        <v>10</v>
      </c>
      <c r="G382">
        <f>VLOOKUP(Table4[[#This Row],[Home]],'NHL Model'!$A$6:$B$38,2,FALSE)</f>
        <v>-0.92658078135875344</v>
      </c>
      <c r="H382" t="s">
        <v>29</v>
      </c>
      <c r="I382">
        <f>VLOOKUP(Table4[[#This Row],[Visitor]],'NHL Model'!$A$6:$B$38,2,FALSE)</f>
        <v>-0.82056481120798741</v>
      </c>
      <c r="J382">
        <f>($B$1+Table4[[#This Row],[Home Differential]])-Table4[[#This Row],[Away Differential]]</f>
        <v>2.3591015660758052E-2</v>
      </c>
      <c r="K382" t="str">
        <f>IF(Table4[[#This Row],[HomeIce Differential]]&gt;0,Table4[[#This Row],[Home]],Table4[[#This Row],[Visitor]])</f>
        <v>Chicago Blackhawks</v>
      </c>
      <c r="L3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0.54264912635595797</v>
      </c>
      <c r="M382" t="str">
        <f>IF(OR((NHL2025_26Results[[#This Row],[Winning Team]]="")),"-",IF(Table4[[#This Row],[Predicted Winner]]=NHL2025_26Results[[#This Row],[Winning Team]],"YES","NO"))</f>
        <v>NO</v>
      </c>
      <c r="N382">
        <f>IF(Table4[[#This Row],[Adjusted Correct]]="-", "",IF(Table4[[#This Row],[Adjusted Correct]]="YES",(Table4[[#This Row],[Strength of Win]]-1)^2,(Table4[[#This Row],[Strength of Win]]-0)^2))</f>
        <v>0.29446807433488442</v>
      </c>
      <c r="O382">
        <v>1.3590845612656259</v>
      </c>
      <c r="P382" s="11">
        <v>0.71173059349415335</v>
      </c>
      <c r="Q382" t="s">
        <v>10</v>
      </c>
      <c r="R382" t="s">
        <v>249</v>
      </c>
    </row>
    <row r="383" spans="4:18" x14ac:dyDescent="0.2">
      <c r="D383" s="1">
        <v>45989</v>
      </c>
      <c r="E383" s="2">
        <v>0.83333333333333337</v>
      </c>
      <c r="F383" t="s">
        <v>39</v>
      </c>
      <c r="G383">
        <f>VLOOKUP(Table4[[#This Row],[Home]],'NHL Model'!$A$6:$B$38,2,FALSE)</f>
        <v>0.21708030788125537</v>
      </c>
      <c r="H383" t="s">
        <v>55</v>
      </c>
      <c r="I383">
        <f>VLOOKUP(Table4[[#This Row],[Visitor]],'NHL Model'!$A$6:$B$38,2,FALSE)</f>
        <v>8.4094725828611647E-2</v>
      </c>
      <c r="J383">
        <f>($B$1+Table4[[#This Row],[Home Differential]])-Table4[[#This Row],[Away Differential]]</f>
        <v>0.26259256786416785</v>
      </c>
      <c r="K383" t="str">
        <f>IF(Table4[[#This Row],[HomeIce Differential]]&gt;0,Table4[[#This Row],[Home]],Table4[[#This Row],[Visitor]])</f>
        <v>Dallas Stars</v>
      </c>
      <c r="L3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0.60732573998143935</v>
      </c>
      <c r="M383" t="str">
        <f>IF(OR((NHL2025_26Results[[#This Row],[Winning Team]]="")),"-",IF(Table4[[#This Row],[Predicted Winner]]=NHL2025_26Results[[#This Row],[Winning Team]],"YES","NO"))</f>
        <v>YES</v>
      </c>
      <c r="N383">
        <f>IF(Table4[[#This Row],[Adjusted Correct]]="-", "",IF(Table4[[#This Row],[Adjusted Correct]]="YES",(Table4[[#This Row],[Strength of Win]]-1)^2,(Table4[[#This Row],[Strength of Win]]-0)^2))</f>
        <v>0.15419307448112418</v>
      </c>
      <c r="O383">
        <v>0.53785732059230895</v>
      </c>
      <c r="P383" s="11">
        <v>0.61045781172798907</v>
      </c>
      <c r="Q383" t="s">
        <v>39</v>
      </c>
      <c r="R383" t="s">
        <v>248</v>
      </c>
    </row>
    <row r="384" spans="4:18" x14ac:dyDescent="0.2">
      <c r="D384" s="1">
        <v>45989</v>
      </c>
      <c r="E384" s="2">
        <v>0.5</v>
      </c>
      <c r="F384" t="s">
        <v>26</v>
      </c>
      <c r="G384">
        <f>VLOOKUP(Table4[[#This Row],[Home]],'NHL Model'!$A$6:$B$38,2,FALSE)</f>
        <v>-0.33113778518110382</v>
      </c>
      <c r="H384" t="s">
        <v>37</v>
      </c>
      <c r="I384">
        <f>VLOOKUP(Table4[[#This Row],[Visitor]],'NHL Model'!$A$6:$B$38,2,FALSE)</f>
        <v>0.72108184732572844</v>
      </c>
      <c r="J384">
        <f>($B$1+Table4[[#This Row],[Home Differential]])-Table4[[#This Row],[Away Differential]]</f>
        <v>-0.92261264669530818</v>
      </c>
      <c r="K384" t="str">
        <f>IF(Table4[[#This Row],[HomeIce Differential]]&gt;0,Table4[[#This Row],[Home]],Table4[[#This Row],[Visitor]])</f>
        <v>Tampa Bay Lightning</v>
      </c>
      <c r="L3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0.63432999807889301</v>
      </c>
      <c r="M384" t="str">
        <f>IF(OR((NHL2025_26Results[[#This Row],[Winning Team]]="")),"-",IF(Table4[[#This Row],[Predicted Winner]]=NHL2025_26Results[[#This Row],[Winning Team]],"YES","NO"))</f>
        <v>YES</v>
      </c>
      <c r="N384">
        <f>IF(Table4[[#This Row],[Adjusted Correct]]="-", "",IF(Table4[[#This Row],[Adjusted Correct]]="YES",(Table4[[#This Row],[Strength of Win]]-1)^2,(Table4[[#This Row],[Strength of Win]]-0)^2))</f>
        <v>0.13371455030498239</v>
      </c>
      <c r="O384">
        <v>-1.0555040517533043</v>
      </c>
      <c r="P384" s="11">
        <v>0.64556602646232719</v>
      </c>
      <c r="Q384" t="s">
        <v>37</v>
      </c>
      <c r="R384" t="s">
        <v>248</v>
      </c>
    </row>
    <row r="385" spans="4:18" x14ac:dyDescent="0.2">
      <c r="D385" s="1">
        <v>45989</v>
      </c>
      <c r="E385" s="2">
        <v>0.66666666666666663</v>
      </c>
      <c r="F385" t="s">
        <v>11</v>
      </c>
      <c r="G385">
        <f>VLOOKUP(Table4[[#This Row],[Home]],'NHL Model'!$A$6:$B$38,2,FALSE)</f>
        <v>-0.55695213126481558</v>
      </c>
      <c r="H385" t="s">
        <v>16</v>
      </c>
      <c r="I385">
        <f>VLOOKUP(Table4[[#This Row],[Visitor]],'NHL Model'!$A$6:$B$38,2,FALSE)</f>
        <v>-0.89031221864884547</v>
      </c>
      <c r="J385">
        <f>($B$1+Table4[[#This Row],[Home Differential]])-Table4[[#This Row],[Away Differential]]</f>
        <v>0.46296707319555397</v>
      </c>
      <c r="K385" t="str">
        <f>IF(Table4[[#This Row],[HomeIce Differential]]&gt;0,Table4[[#This Row],[Home]],Table4[[#This Row],[Visitor]])</f>
        <v>Florida Panthers</v>
      </c>
      <c r="L3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0.59198836256902587</v>
      </c>
      <c r="M385" t="str">
        <f>IF(OR((NHL2025_26Results[[#This Row],[Winning Team]]="")),"-",IF(Table4[[#This Row],[Predicted Winner]]=NHL2025_26Results[[#This Row],[Winning Team]],"YES","NO"))</f>
        <v>NO</v>
      </c>
      <c r="N385">
        <f>IF(Table4[[#This Row],[Adjusted Correct]]="-", "",IF(Table4[[#This Row],[Adjusted Correct]]="YES",(Table4[[#This Row],[Strength of Win]]-1)^2,(Table4[[#This Row],[Strength of Win]]-0)^2))</f>
        <v>0.35045022141715643</v>
      </c>
      <c r="O385">
        <v>1.0134971218256432</v>
      </c>
      <c r="P385" s="11">
        <v>0.70030907762976513</v>
      </c>
      <c r="Q385" t="s">
        <v>11</v>
      </c>
      <c r="R385" t="s">
        <v>249</v>
      </c>
    </row>
    <row r="386" spans="4:18" x14ac:dyDescent="0.2">
      <c r="D386" s="1">
        <v>45989</v>
      </c>
      <c r="E386" s="2">
        <v>0.64583333333333337</v>
      </c>
      <c r="F386" t="s">
        <v>34</v>
      </c>
      <c r="G386">
        <f>VLOOKUP(Table4[[#This Row],[Home]],'NHL Model'!$A$6:$B$38,2,FALSE)</f>
        <v>6.0485283743665949E-2</v>
      </c>
      <c r="H386" t="s">
        <v>12</v>
      </c>
      <c r="I386">
        <f>VLOOKUP(Table4[[#This Row],[Visitor]],'NHL Model'!$A$6:$B$38,2,FALSE)</f>
        <v>0.99866683349964291</v>
      </c>
      <c r="J386">
        <f>($B$1+Table4[[#This Row],[Home Differential]])-Table4[[#This Row],[Away Differential]]</f>
        <v>-0.80857456394445282</v>
      </c>
      <c r="K386" t="str">
        <f>IF(Table4[[#This Row],[HomeIce Differential]]&gt;0,Table4[[#This Row],[Home]],Table4[[#This Row],[Visitor]])</f>
        <v>Colorado Avalanche</v>
      </c>
      <c r="L3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0.60803934320070629</v>
      </c>
      <c r="M386" t="str">
        <f>IF(OR((NHL2025_26Results[[#This Row],[Winning Team]]="")),"-",IF(Table4[[#This Row],[Predicted Winner]]=NHL2025_26Results[[#This Row],[Winning Team]],"YES","NO"))</f>
        <v>NO</v>
      </c>
      <c r="N386">
        <f>IF(Table4[[#This Row],[Adjusted Correct]]="-", "",IF(Table4[[#This Row],[Adjusted Correct]]="YES",(Table4[[#This Row],[Strength of Win]]-1)^2,(Table4[[#This Row],[Strength of Win]]-0)^2))</f>
        <v>0.3697118428799463</v>
      </c>
      <c r="O386">
        <v>-1.6345680627934112</v>
      </c>
      <c r="P386" s="11">
        <v>0.75902620127073683</v>
      </c>
      <c r="Q386" t="s">
        <v>12</v>
      </c>
      <c r="R386" t="s">
        <v>249</v>
      </c>
    </row>
    <row r="387" spans="4:18" x14ac:dyDescent="0.2">
      <c r="D387" s="1">
        <v>45989</v>
      </c>
      <c r="E387" s="2">
        <v>0.66666666666666663</v>
      </c>
      <c r="F387" t="s">
        <v>30</v>
      </c>
      <c r="G387">
        <f>VLOOKUP(Table4[[#This Row],[Home]],'NHL Model'!$A$6:$B$38,2,FALSE)</f>
        <v>-0.18630462558229716</v>
      </c>
      <c r="H387" t="s">
        <v>27</v>
      </c>
      <c r="I387">
        <f>VLOOKUP(Table4[[#This Row],[Visitor]],'NHL Model'!$A$6:$B$38,2,FALSE)</f>
        <v>-0.55097933929175691</v>
      </c>
      <c r="J387">
        <f>($B$1+Table4[[#This Row],[Home Differential]])-Table4[[#This Row],[Away Differential]]</f>
        <v>0.49428169952098389</v>
      </c>
      <c r="K387" t="str">
        <f>IF(Table4[[#This Row],[HomeIce Differential]]&gt;0,Table4[[#This Row],[Home]],Table4[[#This Row],[Visitor]])</f>
        <v>New York Islanders</v>
      </c>
      <c r="L3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0.60952142352610161</v>
      </c>
      <c r="M387" t="str">
        <f>IF(OR((NHL2025_26Results[[#This Row],[Winning Team]]="")),"-",IF(Table4[[#This Row],[Predicted Winner]]=NHL2025_26Results[[#This Row],[Winning Team]],"YES","NO"))</f>
        <v>NO</v>
      </c>
      <c r="N387">
        <f>IF(Table4[[#This Row],[Adjusted Correct]]="-", "",IF(Table4[[#This Row],[Adjusted Correct]]="YES",(Table4[[#This Row],[Strength of Win]]-1)^2,(Table4[[#This Row],[Strength of Win]]-0)^2))</f>
        <v>0.37151636573728536</v>
      </c>
      <c r="O387">
        <v>0.41382256861288746</v>
      </c>
      <c r="P387" s="11">
        <v>0.5922896053230029</v>
      </c>
      <c r="Q387" t="s">
        <v>30</v>
      </c>
      <c r="R387" t="s">
        <v>249</v>
      </c>
    </row>
    <row r="388" spans="4:18" x14ac:dyDescent="0.2">
      <c r="D388" s="1">
        <v>45989</v>
      </c>
      <c r="E388" s="2">
        <v>0.66666666666666663</v>
      </c>
      <c r="F388" t="s">
        <v>33</v>
      </c>
      <c r="G388">
        <f>VLOOKUP(Table4[[#This Row],[Home]],'NHL Model'!$A$6:$B$38,2,FALSE)</f>
        <v>-0.65236582493376272</v>
      </c>
      <c r="H388" t="s">
        <v>38</v>
      </c>
      <c r="I388">
        <f>VLOOKUP(Table4[[#This Row],[Visitor]],'NHL Model'!$A$6:$B$38,2,FALSE)</f>
        <v>-1.3920033028857945</v>
      </c>
      <c r="J388">
        <f>($B$1+Table4[[#This Row],[Home Differential]])-Table4[[#This Row],[Away Differential]]</f>
        <v>0.86924446376355591</v>
      </c>
      <c r="K388" t="str">
        <f>IF(Table4[[#This Row],[HomeIce Differential]]&gt;0,Table4[[#This Row],[Home]],Table4[[#This Row],[Visitor]])</f>
        <v>San Jose Sharks</v>
      </c>
      <c r="L3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0.63761082150256954</v>
      </c>
      <c r="M388" t="str">
        <f>IF(OR((NHL2025_26Results[[#This Row],[Winning Team]]="")),"-",IF(Table4[[#This Row],[Predicted Winner]]=NHL2025_26Results[[#This Row],[Winning Team]],"YES","NO"))</f>
        <v>YES</v>
      </c>
      <c r="N388">
        <f>IF(Table4[[#This Row],[Adjusted Correct]]="-", "",IF(Table4[[#This Row],[Adjusted Correct]]="YES",(Table4[[#This Row],[Strength of Win]]-1)^2,(Table4[[#This Row],[Strength of Win]]-0)^2))</f>
        <v>0.13132591669204252</v>
      </c>
      <c r="O388">
        <v>0.5772313867148301</v>
      </c>
      <c r="P388" s="11">
        <v>0.57365080975885752</v>
      </c>
      <c r="Q388" t="s">
        <v>33</v>
      </c>
      <c r="R388" t="s">
        <v>248</v>
      </c>
    </row>
    <row r="389" spans="4:18" x14ac:dyDescent="0.2">
      <c r="D389" s="1">
        <v>45989</v>
      </c>
      <c r="E389" s="2">
        <v>0.66666666666666663</v>
      </c>
      <c r="F389" t="s">
        <v>35</v>
      </c>
      <c r="G389">
        <f>VLOOKUP(Table4[[#This Row],[Home]],'NHL Model'!$A$6:$B$38,2,FALSE)</f>
        <v>-1.3128572733047907</v>
      </c>
      <c r="H389" t="s">
        <v>36</v>
      </c>
      <c r="I389">
        <f>VLOOKUP(Table4[[#This Row],[Visitor]],'NHL Model'!$A$6:$B$38,2,FALSE)</f>
        <v>-0.19010748264223354</v>
      </c>
      <c r="J389">
        <f>($B$1+Table4[[#This Row],[Home Differential]])-Table4[[#This Row],[Away Differential]]</f>
        <v>-0.99314280485103312</v>
      </c>
      <c r="K389" t="str">
        <f>IF(Table4[[#This Row],[HomeIce Differential]]&gt;0,Table4[[#This Row],[Home]],Table4[[#This Row],[Visitor]])</f>
        <v>Ottawa Senators</v>
      </c>
      <c r="L3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0.58354002865014099</v>
      </c>
      <c r="M389" t="str">
        <f>IF(OR((NHL2025_26Results[[#This Row],[Winning Team]]="")),"-",IF(Table4[[#This Row],[Predicted Winner]]=NHL2025_26Results[[#This Row],[Winning Team]],"YES","NO"))</f>
        <v>NO</v>
      </c>
      <c r="N389">
        <f>IF(Table4[[#This Row],[Adjusted Correct]]="-", "",IF(Table4[[#This Row],[Adjusted Correct]]="YES",(Table4[[#This Row],[Strength of Win]]-1)^2,(Table4[[#This Row],[Strength of Win]]-0)^2))</f>
        <v>0.34051896503700735</v>
      </c>
      <c r="O389">
        <v>-1.1527716534947849</v>
      </c>
      <c r="P389" s="11">
        <v>0.62643063099405782</v>
      </c>
      <c r="Q389" t="s">
        <v>36</v>
      </c>
      <c r="R389" t="s">
        <v>249</v>
      </c>
    </row>
    <row r="390" spans="4:18" x14ac:dyDescent="0.2">
      <c r="D390" s="1">
        <v>45989</v>
      </c>
      <c r="E390" s="2">
        <v>0.66666666666666663</v>
      </c>
      <c r="F390" t="s">
        <v>20</v>
      </c>
      <c r="G390">
        <f>VLOOKUP(Table4[[#This Row],[Home]],'NHL Model'!$A$6:$B$38,2,FALSE)</f>
        <v>-0.16296463421387539</v>
      </c>
      <c r="H390" t="s">
        <v>18</v>
      </c>
      <c r="I390">
        <f>VLOOKUP(Table4[[#This Row],[Visitor]],'NHL Model'!$A$6:$B$38,2,FALSE)</f>
        <v>-8.6274676766085606E-2</v>
      </c>
      <c r="J390">
        <f>($B$1+Table4[[#This Row],[Home Differential]])-Table4[[#This Row],[Away Differential]]</f>
        <v>5.2917028363734325E-2</v>
      </c>
      <c r="K390" t="str">
        <f>IF(Table4[[#This Row],[HomeIce Differential]]&gt;0,Table4[[#This Row],[Home]],Table4[[#This Row],[Visitor]])</f>
        <v>Vegas Golden Knights</v>
      </c>
      <c r="L3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0.50057270621786698</v>
      </c>
      <c r="M390" t="str">
        <f>IF(OR((NHL2025_26Results[[#This Row],[Winning Team]]="")),"-",IF(Table4[[#This Row],[Predicted Winner]]=NHL2025_26Results[[#This Row],[Winning Team]],"YES","NO"))</f>
        <v>NO</v>
      </c>
      <c r="N390">
        <f>IF(Table4[[#This Row],[Adjusted Correct]]="-", "",IF(Table4[[#This Row],[Adjusted Correct]]="YES",(Table4[[#This Row],[Strength of Win]]-1)^2,(Table4[[#This Row],[Strength of Win]]-0)^2))</f>
        <v>0.25057303421027899</v>
      </c>
      <c r="O390">
        <v>0.63335943034814701</v>
      </c>
      <c r="P390" s="11">
        <v>0.55371395552431535</v>
      </c>
      <c r="Q390" t="s">
        <v>20</v>
      </c>
      <c r="R390" t="s">
        <v>249</v>
      </c>
    </row>
    <row r="391" spans="4:18" x14ac:dyDescent="0.2">
      <c r="D391" s="1">
        <v>45989</v>
      </c>
      <c r="E391" s="2">
        <v>0.70833333333333337</v>
      </c>
      <c r="F391" t="s">
        <v>22</v>
      </c>
      <c r="G391">
        <f>VLOOKUP(Table4[[#This Row],[Home]],'NHL Model'!$A$6:$B$38,2,FALSE)</f>
        <v>-0.11977593183651415</v>
      </c>
      <c r="H391" t="s">
        <v>19</v>
      </c>
      <c r="I391">
        <f>VLOOKUP(Table4[[#This Row],[Visitor]],'NHL Model'!$A$6:$B$38,2,FALSE)</f>
        <v>-0.44228056828684137</v>
      </c>
      <c r="J391">
        <f>($B$1+Table4[[#This Row],[Home Differential]])-Table4[[#This Row],[Away Differential]]</f>
        <v>0.45211162226185131</v>
      </c>
      <c r="K391" t="str">
        <f>IF(Table4[[#This Row],[HomeIce Differential]]&gt;0,Table4[[#This Row],[Home]],Table4[[#This Row],[Visitor]])</f>
        <v>Washington Capitals</v>
      </c>
      <c r="L3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0.6087358840230952</v>
      </c>
      <c r="M391" t="str">
        <f>IF(OR((NHL2025_26Results[[#This Row],[Winning Team]]="")),"-",IF(Table4[[#This Row],[Predicted Winner]]=NHL2025_26Results[[#This Row],[Winning Team]],"YES","NO"))</f>
        <v>YES</v>
      </c>
      <c r="N391">
        <f>IF(Table4[[#This Row],[Adjusted Correct]]="-", "",IF(Table4[[#This Row],[Adjusted Correct]]="YES",(Table4[[#This Row],[Strength of Win]]-1)^2,(Table4[[#This Row],[Strength of Win]]-0)^2))</f>
        <v>0.15308760845118882</v>
      </c>
      <c r="O391">
        <v>1.2534610579393526</v>
      </c>
      <c r="P391" s="11">
        <v>0.71240088703849758</v>
      </c>
      <c r="Q391" t="s">
        <v>22</v>
      </c>
      <c r="R391" t="s">
        <v>248</v>
      </c>
    </row>
    <row r="392" spans="4:18" x14ac:dyDescent="0.2">
      <c r="D392" s="1">
        <v>45990</v>
      </c>
      <c r="E392" s="2">
        <v>0.79166666666666663</v>
      </c>
      <c r="F392" t="s">
        <v>21</v>
      </c>
      <c r="G392">
        <f>VLOOKUP(Table4[[#This Row],[Home]],'NHL Model'!$A$6:$B$38,2,FALSE)</f>
        <v>-0.10253061303059285</v>
      </c>
      <c r="H392" t="s">
        <v>26</v>
      </c>
      <c r="I392">
        <f>VLOOKUP(Table4[[#This Row],[Visitor]],'NHL Model'!$A$6:$B$38,2,FALSE)</f>
        <v>-0.33113778518110382</v>
      </c>
      <c r="J392">
        <f>($B$1+Table4[[#This Row],[Home Differential]])-Table4[[#This Row],[Away Differential]]</f>
        <v>0.35821415796203504</v>
      </c>
      <c r="K392" t="str">
        <f>IF(Table4[[#This Row],[HomeIce Differential]]&gt;0,Table4[[#This Row],[Home]],Table4[[#This Row],[Visitor]])</f>
        <v>Boston Bruins</v>
      </c>
      <c r="L3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0.59468069826705727</v>
      </c>
      <c r="M392" t="str">
        <f>IF(OR((NHL2025_26Results[[#This Row],[Winning Team]]="")),"-",IF(Table4[[#This Row],[Predicted Winner]]=NHL2025_26Results[[#This Row],[Winning Team]],"YES","NO"))</f>
        <v>YES</v>
      </c>
      <c r="N392">
        <f>IF(Table4[[#This Row],[Adjusted Correct]]="-", "",IF(Table4[[#This Row],[Adjusted Correct]]="YES",(Table4[[#This Row],[Strength of Win]]-1)^2,(Table4[[#This Row],[Strength of Win]]-0)^2))</f>
        <v>0.16428373635728027</v>
      </c>
      <c r="O392">
        <v>0.73870759014832743</v>
      </c>
      <c r="P392" s="11">
        <v>0.6376879242331368</v>
      </c>
      <c r="Q392" t="s">
        <v>21</v>
      </c>
      <c r="R392" t="s">
        <v>248</v>
      </c>
    </row>
    <row r="393" spans="4:18" x14ac:dyDescent="0.2">
      <c r="D393" s="1">
        <v>45990</v>
      </c>
      <c r="E393" s="2">
        <v>0.625</v>
      </c>
      <c r="F393" t="s">
        <v>12</v>
      </c>
      <c r="G393">
        <f>VLOOKUP(Table4[[#This Row],[Home]],'NHL Model'!$A$6:$B$38,2,FALSE)</f>
        <v>0.99866683349964291</v>
      </c>
      <c r="H393" t="s">
        <v>18</v>
      </c>
      <c r="I393">
        <f>VLOOKUP(Table4[[#This Row],[Visitor]],'NHL Model'!$A$6:$B$38,2,FALSE)</f>
        <v>-8.6274676766085606E-2</v>
      </c>
      <c r="J393">
        <f>($B$1+Table4[[#This Row],[Home Differential]])-Table4[[#This Row],[Away Differential]]</f>
        <v>1.2145484960772526</v>
      </c>
      <c r="K393" t="str">
        <f>IF(Table4[[#This Row],[HomeIce Differential]]&gt;0,Table4[[#This Row],[Home]],Table4[[#This Row],[Visitor]])</f>
        <v>Colorado Avalanche</v>
      </c>
      <c r="L3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0.71254528670033834</v>
      </c>
      <c r="M393" t="str">
        <f>IF(OR((NHL2025_26Results[[#This Row],[Winning Team]]="")),"-",IF(Table4[[#This Row],[Predicted Winner]]=NHL2025_26Results[[#This Row],[Winning Team]],"YES","NO"))</f>
        <v>YES</v>
      </c>
      <c r="N393">
        <f>IF(Table4[[#This Row],[Adjusted Correct]]="-", "",IF(Table4[[#This Row],[Adjusted Correct]]="YES",(Table4[[#This Row],[Strength of Win]]-1)^2,(Table4[[#This Row],[Strength of Win]]-0)^2))</f>
        <v>8.2630212198190681E-2</v>
      </c>
      <c r="O393">
        <v>2.0809148635978927</v>
      </c>
      <c r="P393" s="11">
        <v>0.80465714449512971</v>
      </c>
      <c r="Q393" t="s">
        <v>12</v>
      </c>
      <c r="R393" t="s">
        <v>248</v>
      </c>
    </row>
    <row r="394" spans="4:18" x14ac:dyDescent="0.2">
      <c r="D394" s="1">
        <v>45990</v>
      </c>
      <c r="E394" s="2">
        <v>0.91666666666666663</v>
      </c>
      <c r="F394" t="s">
        <v>13</v>
      </c>
      <c r="G394">
        <f>VLOOKUP(Table4[[#This Row],[Home]],'NHL Model'!$A$6:$B$38,2,FALSE)</f>
        <v>-0.59069689888466137</v>
      </c>
      <c r="H394" t="s">
        <v>38</v>
      </c>
      <c r="I394">
        <f>VLOOKUP(Table4[[#This Row],[Visitor]],'NHL Model'!$A$6:$B$38,2,FALSE)</f>
        <v>-1.3920033028857945</v>
      </c>
      <c r="J394">
        <f>($B$1+Table4[[#This Row],[Home Differential]])-Table4[[#This Row],[Away Differential]]</f>
        <v>0.93091338981265725</v>
      </c>
      <c r="K394" t="str">
        <f>IF(Table4[[#This Row],[HomeIce Differential]]&gt;0,Table4[[#This Row],[Home]],Table4[[#This Row],[Visitor]])</f>
        <v>Los Angeles Kings</v>
      </c>
      <c r="L3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0.64453586363257187</v>
      </c>
      <c r="M394" t="str">
        <f>IF(OR((NHL2025_26Results[[#This Row],[Winning Team]]="")),"-",IF(Table4[[#This Row],[Predicted Winner]]=NHL2025_26Results[[#This Row],[Winning Team]],"YES","NO"))</f>
        <v>YES</v>
      </c>
      <c r="N394">
        <f>IF(Table4[[#This Row],[Adjusted Correct]]="-", "",IF(Table4[[#This Row],[Adjusted Correct]]="YES",(Table4[[#This Row],[Strength of Win]]-1)^2,(Table4[[#This Row],[Strength of Win]]-0)^2))</f>
        <v>0.12635475224344153</v>
      </c>
      <c r="O394">
        <v>0.71320018668962071</v>
      </c>
      <c r="P394" s="11">
        <v>0.60222624573168826</v>
      </c>
      <c r="Q394" t="s">
        <v>13</v>
      </c>
      <c r="R394" t="s">
        <v>248</v>
      </c>
    </row>
    <row r="395" spans="4:18" x14ac:dyDescent="0.2">
      <c r="D395" s="1">
        <v>45990</v>
      </c>
      <c r="E395" s="2">
        <v>0.83333333333333337</v>
      </c>
      <c r="F395" t="s">
        <v>34</v>
      </c>
      <c r="G395">
        <f>VLOOKUP(Table4[[#This Row],[Home]],'NHL Model'!$A$6:$B$38,2,FALSE)</f>
        <v>6.0485283743665949E-2</v>
      </c>
      <c r="H395" t="s">
        <v>23</v>
      </c>
      <c r="I395">
        <f>VLOOKUP(Table4[[#This Row],[Visitor]],'NHL Model'!$A$6:$B$38,2,FALSE)</f>
        <v>8.1543966060426461E-3</v>
      </c>
      <c r="J395">
        <f>($B$1+Table4[[#This Row],[Home Differential]])-Table4[[#This Row],[Away Differential]]</f>
        <v>0.1819378729491474</v>
      </c>
      <c r="K395" t="str">
        <f>IF(Table4[[#This Row],[HomeIce Differential]]&gt;0,Table4[[#This Row],[Home]],Table4[[#This Row],[Visitor]])</f>
        <v>Minnesota Wild</v>
      </c>
      <c r="L3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0.53558202231184271</v>
      </c>
      <c r="M395" t="str">
        <f>IF(OR((NHL2025_26Results[[#This Row],[Winning Team]]="")),"-",IF(Table4[[#This Row],[Predicted Winner]]=NHL2025_26Results[[#This Row],[Winning Team]],"YES","NO"))</f>
        <v>NO</v>
      </c>
      <c r="N395">
        <f>IF(Table4[[#This Row],[Adjusted Correct]]="-", "",IF(Table4[[#This Row],[Adjusted Correct]]="YES",(Table4[[#This Row],[Strength of Win]]-1)^2,(Table4[[#This Row],[Strength of Win]]-0)^2))</f>
        <v>0.28684810262364319</v>
      </c>
      <c r="O395">
        <v>0.83481687214619971</v>
      </c>
      <c r="P395" s="11">
        <v>0.65116469391174403</v>
      </c>
      <c r="Q395" t="s">
        <v>34</v>
      </c>
      <c r="R395" t="s">
        <v>249</v>
      </c>
    </row>
    <row r="396" spans="4:18" x14ac:dyDescent="0.2">
      <c r="D396" s="1">
        <v>45990</v>
      </c>
      <c r="E396" s="2">
        <v>0.79166666666666663</v>
      </c>
      <c r="F396" t="s">
        <v>24</v>
      </c>
      <c r="G396">
        <f>VLOOKUP(Table4[[#This Row],[Home]],'NHL Model'!$A$6:$B$38,2,FALSE)</f>
        <v>-0.74510803532792402</v>
      </c>
      <c r="H396" t="s">
        <v>27</v>
      </c>
      <c r="I396">
        <f>VLOOKUP(Table4[[#This Row],[Visitor]],'NHL Model'!$A$6:$B$38,2,FALSE)</f>
        <v>-0.55097933929175691</v>
      </c>
      <c r="J396">
        <f>($B$1+Table4[[#This Row],[Home Differential]])-Table4[[#This Row],[Away Differential]]</f>
        <v>-6.4521710224643036E-2</v>
      </c>
      <c r="K396" t="str">
        <f>IF(Table4[[#This Row],[HomeIce Differential]]&gt;0,Table4[[#This Row],[Home]],Table4[[#This Row],[Visitor]])</f>
        <v>Philadelphia Flyers</v>
      </c>
      <c r="L3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0.46724539229448725</v>
      </c>
      <c r="M396" t="str">
        <f>IF(OR((NHL2025_26Results[[#This Row],[Winning Team]]="")),"-",IF(Table4[[#This Row],[Predicted Winner]]=NHL2025_26Results[[#This Row],[Winning Team]],"YES","NO"))</f>
        <v>YES</v>
      </c>
      <c r="N396">
        <f>IF(Table4[[#This Row],[Adjusted Correct]]="-", "",IF(Table4[[#This Row],[Adjusted Correct]]="YES",(Table4[[#This Row],[Strength of Win]]-1)^2,(Table4[[#This Row],[Strength of Win]]-0)^2))</f>
        <v>0.28382747203145481</v>
      </c>
      <c r="O396">
        <v>0.5524147747089877</v>
      </c>
      <c r="P396" s="11">
        <v>0.70714193737735653</v>
      </c>
      <c r="Q396" t="s">
        <v>24</v>
      </c>
      <c r="R396" t="s">
        <v>249</v>
      </c>
    </row>
    <row r="397" spans="4:18" x14ac:dyDescent="0.2">
      <c r="D397" s="1">
        <v>45990</v>
      </c>
      <c r="E397" s="2">
        <v>0.79166666666666663</v>
      </c>
      <c r="F397" t="s">
        <v>29</v>
      </c>
      <c r="G397">
        <f>VLOOKUP(Table4[[#This Row],[Home]],'NHL Model'!$A$6:$B$38,2,FALSE)</f>
        <v>-0.82056481120798741</v>
      </c>
      <c r="H397" t="s">
        <v>40</v>
      </c>
      <c r="I397">
        <f>VLOOKUP(Table4[[#This Row],[Visitor]],'NHL Model'!$A$6:$B$38,2,FALSE)</f>
        <v>-0.58845147248022256</v>
      </c>
      <c r="J397">
        <f>($B$1+Table4[[#This Row],[Home Differential]])-Table4[[#This Row],[Away Differential]]</f>
        <v>-0.10250635291624077</v>
      </c>
      <c r="K397" t="str">
        <f>IF(Table4[[#This Row],[HomeIce Differential]]&gt;0,Table4[[#This Row],[Home]],Table4[[#This Row],[Visitor]])</f>
        <v>Winnipeg Jets</v>
      </c>
      <c r="L3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0.47151083467827326</v>
      </c>
      <c r="M397" t="str">
        <f>IF(OR((NHL2025_26Results[[#This Row],[Winning Team]]="")),"-",IF(Table4[[#This Row],[Predicted Winner]]=NHL2025_26Results[[#This Row],[Winning Team]],"YES","NO"))</f>
        <v>YES</v>
      </c>
      <c r="N397">
        <f>IF(Table4[[#This Row],[Adjusted Correct]]="-", "",IF(Table4[[#This Row],[Adjusted Correct]]="YES",(Table4[[#This Row],[Strength of Win]]-1)^2,(Table4[[#This Row],[Strength of Win]]-0)^2))</f>
        <v>0.27930079786245543</v>
      </c>
      <c r="O397">
        <v>-1.0249054596260834</v>
      </c>
      <c r="P397" s="11">
        <v>0.60003801192993833</v>
      </c>
      <c r="Q397" t="s">
        <v>40</v>
      </c>
      <c r="R397" t="s">
        <v>248</v>
      </c>
    </row>
    <row r="398" spans="4:18" x14ac:dyDescent="0.2">
      <c r="D398" s="1">
        <v>45990</v>
      </c>
      <c r="E398" s="2">
        <v>0.58333333333333337</v>
      </c>
      <c r="F398" t="s">
        <v>15</v>
      </c>
      <c r="G398">
        <f>VLOOKUP(Table4[[#This Row],[Home]],'NHL Model'!$A$6:$B$38,2,FALSE)</f>
        <v>-0.73651915476403329</v>
      </c>
      <c r="H398" t="s">
        <v>37</v>
      </c>
      <c r="I398">
        <f>VLOOKUP(Table4[[#This Row],[Visitor]],'NHL Model'!$A$6:$B$38,2,FALSE)</f>
        <v>0.72108184732572844</v>
      </c>
      <c r="J398">
        <f>($B$1+Table4[[#This Row],[Home Differential]])-Table4[[#This Row],[Away Differential]]</f>
        <v>-1.3279940162782378</v>
      </c>
      <c r="K398" t="str">
        <f>IF(Table4[[#This Row],[HomeIce Differential]]&gt;0,Table4[[#This Row],[Home]],Table4[[#This Row],[Visitor]])</f>
        <v>Tampa Bay Lightning</v>
      </c>
      <c r="L3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0.70598373008254345</v>
      </c>
      <c r="M398" t="str">
        <f>IF(OR((NHL2025_26Results[[#This Row],[Winning Team]]="")),"-",IF(Table4[[#This Row],[Predicted Winner]]=NHL2025_26Results[[#This Row],[Winning Team]],"YES","NO"))</f>
        <v>YES</v>
      </c>
      <c r="N398">
        <f>IF(Table4[[#This Row],[Adjusted Correct]]="-", "",IF(Table4[[#This Row],[Adjusted Correct]]="YES",(Table4[[#This Row],[Strength of Win]]-1)^2,(Table4[[#This Row],[Strength of Win]]-0)^2))</f>
        <v>8.644556697617467E-2</v>
      </c>
      <c r="O398">
        <v>-0.54364658774799723</v>
      </c>
      <c r="P398" s="11">
        <v>0.60422270497873032</v>
      </c>
      <c r="Q398" t="s">
        <v>37</v>
      </c>
      <c r="R398" t="s">
        <v>248</v>
      </c>
    </row>
    <row r="399" spans="4:18" x14ac:dyDescent="0.2">
      <c r="D399" s="1">
        <v>45990</v>
      </c>
      <c r="E399" s="2">
        <v>0.79166666666666663</v>
      </c>
      <c r="F399" t="s">
        <v>14</v>
      </c>
      <c r="G399">
        <f>VLOOKUP(Table4[[#This Row],[Home]],'NHL Model'!$A$6:$B$38,2,FALSE)</f>
        <v>3.6349513460996066E-5</v>
      </c>
      <c r="H399" t="s">
        <v>19</v>
      </c>
      <c r="I399">
        <f>VLOOKUP(Table4[[#This Row],[Visitor]],'NHL Model'!$A$6:$B$38,2,FALSE)</f>
        <v>-0.44228056828684137</v>
      </c>
      <c r="J399">
        <f>($B$1+Table4[[#This Row],[Home Differential]])-Table4[[#This Row],[Away Differential]]</f>
        <v>0.57192390361182643</v>
      </c>
      <c r="K399" t="str">
        <f>IF(Table4[[#This Row],[HomeIce Differential]]&gt;0,Table4[[#This Row],[Home]],Table4[[#This Row],[Visitor]])</f>
        <v>Pittsburgh Penguins</v>
      </c>
      <c r="L3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0.60422354630456643</v>
      </c>
      <c r="M399" t="str">
        <f>IF(OR((NHL2025_26Results[[#This Row],[Winning Team]]="")),"-",IF(Table4[[#This Row],[Predicted Winner]]=NHL2025_26Results[[#This Row],[Winning Team]],"YES","NO"))</f>
        <v>NO</v>
      </c>
      <c r="N399">
        <f>IF(Table4[[#This Row],[Adjusted Correct]]="-", "",IF(Table4[[#This Row],[Adjusted Correct]]="YES",(Table4[[#This Row],[Strength of Win]]-1)^2,(Table4[[#This Row],[Strength of Win]]-0)^2))</f>
        <v>0.36508609390886654</v>
      </c>
      <c r="O399">
        <v>0.90957425441448914</v>
      </c>
      <c r="P399" s="11">
        <v>0.64834310805661832</v>
      </c>
      <c r="Q399" t="s">
        <v>14</v>
      </c>
      <c r="R399" t="s">
        <v>249</v>
      </c>
    </row>
    <row r="400" spans="4:18" x14ac:dyDescent="0.2">
      <c r="D400" s="1">
        <v>45990</v>
      </c>
      <c r="E400" s="2">
        <v>0.66666666666666663</v>
      </c>
      <c r="F400" t="s">
        <v>32</v>
      </c>
      <c r="G400">
        <f>VLOOKUP(Table4[[#This Row],[Home]],'NHL Model'!$A$6:$B$38,2,FALSE)</f>
        <v>-0.48236715437805205</v>
      </c>
      <c r="H400" t="s">
        <v>17</v>
      </c>
      <c r="I400">
        <f>VLOOKUP(Table4[[#This Row],[Visitor]],'NHL Model'!$A$6:$B$38,2,FALSE)</f>
        <v>-0.36462594951491906</v>
      </c>
      <c r="J400">
        <f>($B$1+Table4[[#This Row],[Home Differential]])-Table4[[#This Row],[Away Differential]]</f>
        <v>1.1865780948391136E-2</v>
      </c>
      <c r="K400" t="str">
        <f>IF(Table4[[#This Row],[HomeIce Differential]]&gt;0,Table4[[#This Row],[Home]],Table4[[#This Row],[Visitor]])</f>
        <v>Seattle Kraken</v>
      </c>
      <c r="L4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0.54133245441808997</v>
      </c>
      <c r="M400" t="str">
        <f>IF(OR((NHL2025_26Results[[#This Row],[Winning Team]]="")),"-",IF(Table4[[#This Row],[Predicted Winner]]=NHL2025_26Results[[#This Row],[Winning Team]],"YES","NO"))</f>
        <v>NO</v>
      </c>
      <c r="N400">
        <f>IF(Table4[[#This Row],[Adjusted Correct]]="-", "",IF(Table4[[#This Row],[Adjusted Correct]]="YES",(Table4[[#This Row],[Strength of Win]]-1)^2,(Table4[[#This Row],[Strength of Win]]-0)^2))</f>
        <v>0.29304082620631344</v>
      </c>
      <c r="O400">
        <v>0.59377536280955445</v>
      </c>
      <c r="P400" s="11">
        <v>0.61159342686420448</v>
      </c>
      <c r="Q400" t="s">
        <v>32</v>
      </c>
      <c r="R400" t="s">
        <v>249</v>
      </c>
    </row>
    <row r="401" spans="4:18" x14ac:dyDescent="0.2">
      <c r="D401" s="1">
        <v>45990</v>
      </c>
      <c r="E401" s="2">
        <v>0.83333333333333337</v>
      </c>
      <c r="F401" t="s">
        <v>35</v>
      </c>
      <c r="G401">
        <f>VLOOKUP(Table4[[#This Row],[Home]],'NHL Model'!$A$6:$B$38,2,FALSE)</f>
        <v>-1.3128572733047907</v>
      </c>
      <c r="H401" t="s">
        <v>55</v>
      </c>
      <c r="I401">
        <f>VLOOKUP(Table4[[#This Row],[Visitor]],'NHL Model'!$A$6:$B$38,2,FALSE)</f>
        <v>8.4094725828611647E-2</v>
      </c>
      <c r="J401">
        <f>($B$1+Table4[[#This Row],[Home Differential]])-Table4[[#This Row],[Away Differential]]</f>
        <v>-1.2673450133218782</v>
      </c>
      <c r="K401" t="str">
        <f>IF(Table4[[#This Row],[HomeIce Differential]]&gt;0,Table4[[#This Row],[Home]],Table4[[#This Row],[Visitor]])</f>
        <v>Utah Mammoth</v>
      </c>
      <c r="L4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0.60231507134589346</v>
      </c>
      <c r="M401" t="str">
        <f>IF(OR((NHL2025_26Results[[#This Row],[Winning Team]]="")),"-",IF(Table4[[#This Row],[Predicted Winner]]=NHL2025_26Results[[#This Row],[Winning Team]],"YES","NO"))</f>
        <v>NO</v>
      </c>
      <c r="N401">
        <f>IF(Table4[[#This Row],[Adjusted Correct]]="-", "",IF(Table4[[#This Row],[Adjusted Correct]]="YES",(Table4[[#This Row],[Strength of Win]]-1)^2,(Table4[[#This Row],[Strength of Win]]-0)^2))</f>
        <v>0.36278344517040872</v>
      </c>
      <c r="O401">
        <v>-1.1013145461475458</v>
      </c>
      <c r="P401" s="11">
        <v>0.5881605462824806</v>
      </c>
      <c r="Q401" t="s">
        <v>55</v>
      </c>
      <c r="R401" t="s">
        <v>249</v>
      </c>
    </row>
    <row r="402" spans="4:18" x14ac:dyDescent="0.2">
      <c r="D402" s="1">
        <v>45990</v>
      </c>
      <c r="E402" s="2">
        <v>0.91666666666666663</v>
      </c>
      <c r="F402" t="s">
        <v>20</v>
      </c>
      <c r="G402">
        <f>VLOOKUP(Table4[[#This Row],[Home]],'NHL Model'!$A$6:$B$38,2,FALSE)</f>
        <v>-0.16296463421387539</v>
      </c>
      <c r="H402" t="s">
        <v>33</v>
      </c>
      <c r="I402">
        <f>VLOOKUP(Table4[[#This Row],[Visitor]],'NHL Model'!$A$6:$B$38,2,FALSE)</f>
        <v>-0.65236582493376272</v>
      </c>
      <c r="J402">
        <f>($B$1+Table4[[#This Row],[Home Differential]])-Table4[[#This Row],[Away Differential]]</f>
        <v>0.61900817653141149</v>
      </c>
      <c r="K402" t="str">
        <f>IF(Table4[[#This Row],[HomeIce Differential]]&gt;0,Table4[[#This Row],[Home]],Table4[[#This Row],[Visitor]])</f>
        <v>Vegas Golden Knights</v>
      </c>
      <c r="L4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0.60951082134757673</v>
      </c>
      <c r="M402" t="str">
        <f>IF(OR((NHL2025_26Results[[#This Row],[Winning Team]]="")),"-",IF(Table4[[#This Row],[Predicted Winner]]=NHL2025_26Results[[#This Row],[Winning Team]],"YES","NO"))</f>
        <v>YES</v>
      </c>
      <c r="N402">
        <f>IF(Table4[[#This Row],[Adjusted Correct]]="-", "",IF(Table4[[#This Row],[Adjusted Correct]]="YES",(Table4[[#This Row],[Strength of Win]]-1)^2,(Table4[[#This Row],[Strength of Win]]-0)^2))</f>
        <v>0.15248179864464415</v>
      </c>
      <c r="O402">
        <v>0.32367054229494718</v>
      </c>
      <c r="P402" s="11">
        <v>0.57766570927549499</v>
      </c>
      <c r="Q402" t="s">
        <v>20</v>
      </c>
      <c r="R402" t="s">
        <v>248</v>
      </c>
    </row>
    <row r="403" spans="4:18" x14ac:dyDescent="0.2">
      <c r="D403" s="1">
        <v>45991</v>
      </c>
      <c r="E403" s="2">
        <v>0.70833333333333337</v>
      </c>
      <c r="F403" t="s">
        <v>25</v>
      </c>
      <c r="G403">
        <f>VLOOKUP(Table4[[#This Row],[Home]],'NHL Model'!$A$6:$B$38,2,FALSE)</f>
        <v>0.2324942014830165</v>
      </c>
      <c r="H403" t="s">
        <v>16</v>
      </c>
      <c r="I403">
        <f>VLOOKUP(Table4[[#This Row],[Visitor]],'NHL Model'!$A$6:$B$38,2,FALSE)</f>
        <v>-0.89031221864884547</v>
      </c>
      <c r="J403">
        <f>($B$1+Table4[[#This Row],[Home Differential]])-Table4[[#This Row],[Away Differential]]</f>
        <v>1.252413405943386</v>
      </c>
      <c r="K403" t="str">
        <f>IF(Table4[[#This Row],[HomeIce Differential]]&gt;0,Table4[[#This Row],[Home]],Table4[[#This Row],[Visitor]])</f>
        <v>Carolina Hurricanes</v>
      </c>
      <c r="L4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0.73621406662398414</v>
      </c>
      <c r="M403" t="str">
        <f>IF(OR((NHL2025_26Results[[#This Row],[Winning Team]]="")),"-",IF(Table4[[#This Row],[Predicted Winner]]=NHL2025_26Results[[#This Row],[Winning Team]],"YES","NO"))</f>
        <v>YES</v>
      </c>
      <c r="N403">
        <f>IF(Table4[[#This Row],[Adjusted Correct]]="-", "",IF(Table4[[#This Row],[Adjusted Correct]]="YES",(Table4[[#This Row],[Strength of Win]]-1)^2,(Table4[[#This Row],[Strength of Win]]-0)^2))</f>
        <v>6.9583018647055878E-2</v>
      </c>
      <c r="O403">
        <v>1.5727342528575918</v>
      </c>
      <c r="P403" s="11">
        <v>0.76741996113668021</v>
      </c>
      <c r="Q403" t="s">
        <v>25</v>
      </c>
      <c r="R403" t="s">
        <v>248</v>
      </c>
    </row>
    <row r="404" spans="4:18" x14ac:dyDescent="0.2">
      <c r="D404" s="1">
        <v>45991</v>
      </c>
      <c r="E404" s="2">
        <v>0.64583333333333337</v>
      </c>
      <c r="F404" t="s">
        <v>10</v>
      </c>
      <c r="G404">
        <f>VLOOKUP(Table4[[#This Row],[Home]],'NHL Model'!$A$6:$B$38,2,FALSE)</f>
        <v>-0.92658078135875344</v>
      </c>
      <c r="H404" t="s">
        <v>31</v>
      </c>
      <c r="I404">
        <f>VLOOKUP(Table4[[#This Row],[Visitor]],'NHL Model'!$A$6:$B$38,2,FALSE)</f>
        <v>-0.46360583111358089</v>
      </c>
      <c r="J404">
        <f>($B$1+Table4[[#This Row],[Home Differential]])-Table4[[#This Row],[Away Differential]]</f>
        <v>-0.33336796443364847</v>
      </c>
      <c r="K404" t="str">
        <f>IF(Table4[[#This Row],[HomeIce Differential]]&gt;0,Table4[[#This Row],[Home]],Table4[[#This Row],[Visitor]])</f>
        <v>Anaheim Ducks</v>
      </c>
      <c r="L4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0.49743517759102934</v>
      </c>
      <c r="M404" t="str">
        <f>IF(OR((NHL2025_26Results[[#This Row],[Winning Team]]="")),"-",IF(Table4[[#This Row],[Predicted Winner]]=NHL2025_26Results[[#This Row],[Winning Team]],"YES","NO"))</f>
        <v>NO</v>
      </c>
      <c r="N404">
        <f>IF(Table4[[#This Row],[Adjusted Correct]]="-", "",IF(Table4[[#This Row],[Adjusted Correct]]="YES",(Table4[[#This Row],[Strength of Win]]-1)^2,(Table4[[#This Row],[Strength of Win]]-0)^2))</f>
        <v>0.24744175590501891</v>
      </c>
      <c r="O404">
        <v>-0.42719454832800263</v>
      </c>
      <c r="P404" s="11">
        <v>0.53156013129546975</v>
      </c>
      <c r="Q404" t="s">
        <v>31</v>
      </c>
      <c r="R404" t="s">
        <v>249</v>
      </c>
    </row>
    <row r="405" spans="4:18" x14ac:dyDescent="0.2">
      <c r="D405" s="1">
        <v>45991</v>
      </c>
      <c r="E405" s="2">
        <v>0.75</v>
      </c>
      <c r="F405" t="s">
        <v>39</v>
      </c>
      <c r="G405">
        <f>VLOOKUP(Table4[[#This Row],[Home]],'NHL Model'!$A$6:$B$38,2,FALSE)</f>
        <v>0.21708030788125537</v>
      </c>
      <c r="H405" t="s">
        <v>36</v>
      </c>
      <c r="I405">
        <f>VLOOKUP(Table4[[#This Row],[Visitor]],'NHL Model'!$A$6:$B$38,2,FALSE)</f>
        <v>-0.19010748264223354</v>
      </c>
      <c r="J405">
        <f>($B$1+Table4[[#This Row],[Home Differential]])-Table4[[#This Row],[Away Differential]]</f>
        <v>0.53679477633501305</v>
      </c>
      <c r="K405" t="str">
        <f>IF(Table4[[#This Row],[HomeIce Differential]]&gt;0,Table4[[#This Row],[Home]],Table4[[#This Row],[Visitor]])</f>
        <v>Dallas Stars</v>
      </c>
      <c r="L4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0.6262948342654393</v>
      </c>
      <c r="M405" t="str">
        <f>IF(OR((NHL2025_26Results[[#This Row],[Winning Team]]="")),"-",IF(Table4[[#This Row],[Predicted Winner]]=NHL2025_26Results[[#This Row],[Winning Team]],"YES","NO"))</f>
        <v>YES</v>
      </c>
      <c r="N405">
        <f>IF(Table4[[#This Row],[Adjusted Correct]]="-", "",IF(Table4[[#This Row],[Adjusted Correct]]="YES",(Table4[[#This Row],[Strength of Win]]-1)^2,(Table4[[#This Row],[Strength of Win]]-0)^2))</f>
        <v>0.13965555089669549</v>
      </c>
      <c r="O405">
        <v>0.68062961121344756</v>
      </c>
      <c r="P405" s="11">
        <v>0.6392050364051306</v>
      </c>
      <c r="Q405" t="s">
        <v>39</v>
      </c>
      <c r="R405" t="s">
        <v>248</v>
      </c>
    </row>
    <row r="406" spans="4:18" x14ac:dyDescent="0.2">
      <c r="D406" s="1">
        <v>45991</v>
      </c>
      <c r="E406" s="2">
        <v>0.54166666666666663</v>
      </c>
      <c r="F406" t="s">
        <v>30</v>
      </c>
      <c r="G406">
        <f>VLOOKUP(Table4[[#This Row],[Home]],'NHL Model'!$A$6:$B$38,2,FALSE)</f>
        <v>-0.18630462558229716</v>
      </c>
      <c r="H406" t="s">
        <v>22</v>
      </c>
      <c r="I406">
        <f>VLOOKUP(Table4[[#This Row],[Visitor]],'NHL Model'!$A$6:$B$38,2,FALSE)</f>
        <v>-0.11977593183651415</v>
      </c>
      <c r="J406">
        <f>($B$1+Table4[[#This Row],[Home Differential]])-Table4[[#This Row],[Away Differential]]</f>
        <v>6.3078292065741101E-2</v>
      </c>
      <c r="K406" t="str">
        <f>IF(Table4[[#This Row],[HomeIce Differential]]&gt;0,Table4[[#This Row],[Home]],Table4[[#This Row],[Visitor]])</f>
        <v>New York Islanders</v>
      </c>
      <c r="L4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0.56109992578750645</v>
      </c>
      <c r="M406" t="str">
        <f>IF(OR((NHL2025_26Results[[#This Row],[Winning Team]]="")),"-",IF(Table4[[#This Row],[Predicted Winner]]=NHL2025_26Results[[#This Row],[Winning Team]],"YES","NO"))</f>
        <v>NO</v>
      </c>
      <c r="N406">
        <f>IF(Table4[[#This Row],[Adjusted Correct]]="-", "",IF(Table4[[#This Row],[Adjusted Correct]]="YES",(Table4[[#This Row],[Strength of Win]]-1)^2,(Table4[[#This Row],[Strength of Win]]-0)^2))</f>
        <v>0.31483312671874525</v>
      </c>
      <c r="O406">
        <v>-0.42982156290581186</v>
      </c>
      <c r="P406" s="11">
        <v>0.53187246776283503</v>
      </c>
      <c r="Q406" t="s">
        <v>22</v>
      </c>
      <c r="R406" t="s">
        <v>248</v>
      </c>
    </row>
    <row r="407" spans="4:18" x14ac:dyDescent="0.2">
      <c r="D407" s="1">
        <v>45992</v>
      </c>
      <c r="E407" s="2">
        <v>0.8125</v>
      </c>
      <c r="F407" t="s">
        <v>23</v>
      </c>
      <c r="G407">
        <f>VLOOKUP(Table4[[#This Row],[Home]],'NHL Model'!$A$6:$B$38,2,FALSE)</f>
        <v>8.1543966060426461E-3</v>
      </c>
      <c r="H407" t="s">
        <v>40</v>
      </c>
      <c r="I407">
        <f>VLOOKUP(Table4[[#This Row],[Visitor]],'NHL Model'!$A$6:$B$38,2,FALSE)</f>
        <v>-0.58845147248022256</v>
      </c>
      <c r="J407">
        <f>($B$1+Table4[[#This Row],[Home Differential]])-Table4[[#This Row],[Away Differential]]</f>
        <v>0.72621285489778931</v>
      </c>
      <c r="K407" t="str">
        <f>IF(Table4[[#This Row],[HomeIce Differential]]&gt;0,Table4[[#This Row],[Home]],Table4[[#This Row],[Visitor]])</f>
        <v>Buffalo Sabres</v>
      </c>
      <c r="L4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0.65049168556759307</v>
      </c>
      <c r="M407" t="str">
        <f>IF(OR((NHL2025_26Results[[#This Row],[Winning Team]]="")),"-",IF(Table4[[#This Row],[Predicted Winner]]=NHL2025_26Results[[#This Row],[Winning Team]],"YES","NO"))</f>
        <v>YES</v>
      </c>
      <c r="N407">
        <f>IF(Table4[[#This Row],[Adjusted Correct]]="-", "",IF(Table4[[#This Row],[Adjusted Correct]]="YES",(Table4[[#This Row],[Strength of Win]]-1)^2,(Table4[[#This Row],[Strength of Win]]-0)^2))</f>
        <v>0.12215606185738223</v>
      </c>
      <c r="O407">
        <v>-0.44447861205924954</v>
      </c>
      <c r="P407" s="11">
        <v>0.5530101482683023</v>
      </c>
      <c r="Q407" t="s">
        <v>40</v>
      </c>
      <c r="R407" t="s">
        <v>249</v>
      </c>
    </row>
    <row r="408" spans="4:18" x14ac:dyDescent="0.2">
      <c r="D408" s="1">
        <v>45992</v>
      </c>
      <c r="E408" s="2">
        <v>0.79166666666666663</v>
      </c>
      <c r="F408" t="s">
        <v>24</v>
      </c>
      <c r="G408">
        <f>VLOOKUP(Table4[[#This Row],[Home]],'NHL Model'!$A$6:$B$38,2,FALSE)</f>
        <v>-0.74510803532792402</v>
      </c>
      <c r="H408" t="s">
        <v>28</v>
      </c>
      <c r="I408">
        <f>VLOOKUP(Table4[[#This Row],[Visitor]],'NHL Model'!$A$6:$B$38,2,FALSE)</f>
        <v>-0.28156479873410767</v>
      </c>
      <c r="J408">
        <f>($B$1+Table4[[#This Row],[Home Differential]])-Table4[[#This Row],[Away Differential]]</f>
        <v>-0.33393625078229228</v>
      </c>
      <c r="K408" t="str">
        <f>IF(Table4[[#This Row],[HomeIce Differential]]&gt;0,Table4[[#This Row],[Home]],Table4[[#This Row],[Visitor]])</f>
        <v>Columbus Blue Jackets</v>
      </c>
      <c r="L4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0.5095151760742257</v>
      </c>
      <c r="M408" t="str">
        <f>IF(OR((NHL2025_26Results[[#This Row],[Winning Team]]="")),"-",IF(Table4[[#This Row],[Predicted Winner]]=NHL2025_26Results[[#This Row],[Winning Team]],"YES","NO"))</f>
        <v>YES</v>
      </c>
      <c r="N408">
        <f>IF(Table4[[#This Row],[Adjusted Correct]]="-", "",IF(Table4[[#This Row],[Adjusted Correct]]="YES",(Table4[[#This Row],[Strength of Win]]-1)^2,(Table4[[#This Row],[Strength of Win]]-0)^2))</f>
        <v>0.24057536250149783</v>
      </c>
      <c r="O408">
        <v>0.8563975760149829</v>
      </c>
      <c r="P408" s="11">
        <v>0.74362519576475983</v>
      </c>
      <c r="Q408" t="s">
        <v>24</v>
      </c>
      <c r="R408" t="s">
        <v>249</v>
      </c>
    </row>
    <row r="409" spans="4:18" x14ac:dyDescent="0.2">
      <c r="D409" s="1">
        <v>45992</v>
      </c>
      <c r="E409" s="2">
        <v>0.79166666666666663</v>
      </c>
      <c r="F409" t="s">
        <v>27</v>
      </c>
      <c r="G409">
        <f>VLOOKUP(Table4[[#This Row],[Home]],'NHL Model'!$A$6:$B$38,2,FALSE)</f>
        <v>-0.55097933929175691</v>
      </c>
      <c r="H409" t="s">
        <v>14</v>
      </c>
      <c r="I409">
        <f>VLOOKUP(Table4[[#This Row],[Visitor]],'NHL Model'!$A$6:$B$38,2,FALSE)</f>
        <v>3.6349513460996066E-5</v>
      </c>
      <c r="J409">
        <f>($B$1+Table4[[#This Row],[Home Differential]])-Table4[[#This Row],[Away Differential]]</f>
        <v>-0.42140870299369382</v>
      </c>
      <c r="K409" t="str">
        <f>IF(Table4[[#This Row],[HomeIce Differential]]&gt;0,Table4[[#This Row],[Home]],Table4[[#This Row],[Visitor]])</f>
        <v>Pittsburgh Penguins</v>
      </c>
      <c r="L4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0.56146042998711321</v>
      </c>
      <c r="M409" t="str">
        <f>IF(OR((NHL2025_26Results[[#This Row],[Winning Team]]="")),"-",IF(Table4[[#This Row],[Predicted Winner]]=NHL2025_26Results[[#This Row],[Winning Team]],"YES","NO"))</f>
        <v>YES</v>
      </c>
      <c r="N409">
        <f>IF(Table4[[#This Row],[Adjusted Correct]]="-", "",IF(Table4[[#This Row],[Adjusted Correct]]="YES",(Table4[[#This Row],[Strength of Win]]-1)^2,(Table4[[#This Row],[Strength of Win]]-0)^2))</f>
        <v>0.19231695446708763</v>
      </c>
      <c r="O409">
        <v>0.15919728897355392</v>
      </c>
      <c r="P409" s="11">
        <v>0.57096605822853652</v>
      </c>
      <c r="Q409" t="s">
        <v>27</v>
      </c>
      <c r="R409" t="s">
        <v>249</v>
      </c>
    </row>
    <row r="410" spans="4:18" x14ac:dyDescent="0.2">
      <c r="D410" s="1">
        <v>45992</v>
      </c>
      <c r="E410" s="2">
        <v>0.91666666666666663</v>
      </c>
      <c r="F410" t="s">
        <v>33</v>
      </c>
      <c r="G410">
        <f>VLOOKUP(Table4[[#This Row],[Home]],'NHL Model'!$A$6:$B$38,2,FALSE)</f>
        <v>-0.65236582493376272</v>
      </c>
      <c r="H410" t="s">
        <v>55</v>
      </c>
      <c r="I410">
        <f>VLOOKUP(Table4[[#This Row],[Visitor]],'NHL Model'!$A$6:$B$38,2,FALSE)</f>
        <v>8.4094725828611647E-2</v>
      </c>
      <c r="J410">
        <f>($B$1+Table4[[#This Row],[Home Differential]])-Table4[[#This Row],[Away Differential]]</f>
        <v>-0.6068535649508503</v>
      </c>
      <c r="K410" t="str">
        <f>IF(Table4[[#This Row],[HomeIce Differential]]&gt;0,Table4[[#This Row],[Home]],Table4[[#This Row],[Visitor]])</f>
        <v>Utah Mammoth</v>
      </c>
      <c r="L4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0.52814593302112545</v>
      </c>
      <c r="M410" t="str">
        <f>IF(OR((NHL2025_26Results[[#This Row],[Winning Team]]="")),"-",IF(Table4[[#This Row],[Predicted Winner]]=NHL2025_26Results[[#This Row],[Winning Team]],"YES","NO"))</f>
        <v>NO</v>
      </c>
      <c r="N410">
        <f>IF(Table4[[#This Row],[Adjusted Correct]]="-", "",IF(Table4[[#This Row],[Adjusted Correct]]="YES",(Table4[[#This Row],[Strength of Win]]-1)^2,(Table4[[#This Row],[Strength of Win]]-0)^2))</f>
        <v>0.27893812656675515</v>
      </c>
      <c r="O410">
        <v>-0.20194389964739645</v>
      </c>
      <c r="P410" s="11">
        <v>0.48440863438464371</v>
      </c>
      <c r="Q410" t="s">
        <v>55</v>
      </c>
      <c r="R410" t="s">
        <v>249</v>
      </c>
    </row>
    <row r="411" spans="4:18" x14ac:dyDescent="0.2">
      <c r="D411" s="1">
        <v>45992</v>
      </c>
      <c r="E411" s="2">
        <v>0.83333333333333337</v>
      </c>
      <c r="F411" t="s">
        <v>35</v>
      </c>
      <c r="G411">
        <f>VLOOKUP(Table4[[#This Row],[Home]],'NHL Model'!$A$6:$B$38,2,FALSE)</f>
        <v>-1.3128572733047907</v>
      </c>
      <c r="H411" t="s">
        <v>31</v>
      </c>
      <c r="I411">
        <f>VLOOKUP(Table4[[#This Row],[Visitor]],'NHL Model'!$A$6:$B$38,2,FALSE)</f>
        <v>-0.46360583111358089</v>
      </c>
      <c r="J411">
        <f>($B$1+Table4[[#This Row],[Home Differential]])-Table4[[#This Row],[Away Differential]]</f>
        <v>-0.71964445637968577</v>
      </c>
      <c r="K411" t="str">
        <f>IF(Table4[[#This Row],[HomeIce Differential]]&gt;0,Table4[[#This Row],[Home]],Table4[[#This Row],[Visitor]])</f>
        <v>Anaheim Ducks</v>
      </c>
      <c r="L4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0.54081165829098521</v>
      </c>
      <c r="M411" t="str">
        <f>IF(OR((NHL2025_26Results[[#This Row],[Winning Team]]="")),"-",IF(Table4[[#This Row],[Predicted Winner]]=NHL2025_26Results[[#This Row],[Winning Team]],"YES","NO"))</f>
        <v>YES</v>
      </c>
      <c r="N411">
        <f>IF(Table4[[#This Row],[Adjusted Correct]]="-", "",IF(Table4[[#This Row],[Adjusted Correct]]="YES",(Table4[[#This Row],[Strength of Win]]-1)^2,(Table4[[#This Row],[Strength of Win]]-0)^2))</f>
        <v>0.21085393316147494</v>
      </c>
      <c r="O411">
        <v>-1.3982555913796977</v>
      </c>
      <c r="P411" s="11">
        <v>0.62983439774604211</v>
      </c>
      <c r="Q411" t="s">
        <v>31</v>
      </c>
      <c r="R411" t="s">
        <v>248</v>
      </c>
    </row>
    <row r="412" spans="4:18" x14ac:dyDescent="0.2">
      <c r="D412" s="1">
        <v>45993</v>
      </c>
      <c r="E412" s="2">
        <v>0.875</v>
      </c>
      <c r="F412" t="s">
        <v>12</v>
      </c>
      <c r="G412">
        <f>VLOOKUP(Table4[[#This Row],[Home]],'NHL Model'!$A$6:$B$38,2,FALSE)</f>
        <v>0.99866683349964291</v>
      </c>
      <c r="H412" t="s">
        <v>38</v>
      </c>
      <c r="I412">
        <f>VLOOKUP(Table4[[#This Row],[Visitor]],'NHL Model'!$A$6:$B$38,2,FALSE)</f>
        <v>-1.3920033028857945</v>
      </c>
      <c r="J412">
        <f>($B$1+Table4[[#This Row],[Home Differential]])-Table4[[#This Row],[Away Differential]]</f>
        <v>2.5202771221969615</v>
      </c>
      <c r="K412" t="str">
        <f>IF(Table4[[#This Row],[HomeIce Differential]]&gt;0,Table4[[#This Row],[Home]],Table4[[#This Row],[Visitor]])</f>
        <v>Colorado Avalanche</v>
      </c>
      <c r="L4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0.9028463726721927</v>
      </c>
      <c r="M412" t="str">
        <f>IF(OR((NHL2025_26Results[[#This Row],[Winning Team]]="")),"-",IF(Table4[[#This Row],[Predicted Winner]]=NHL2025_26Results[[#This Row],[Winning Team]],"YES","NO"))</f>
        <v>YES</v>
      </c>
      <c r="N412">
        <f>IF(Table4[[#This Row],[Adjusted Correct]]="-", "",IF(Table4[[#This Row],[Adjusted Correct]]="YES",(Table4[[#This Row],[Strength of Win]]-1)^2,(Table4[[#This Row],[Strength of Win]]-0)^2))</f>
        <v>9.4388273029504654E-3</v>
      </c>
      <c r="O412">
        <v>2.6294821624609428</v>
      </c>
      <c r="P412" s="11">
        <v>0.94805649187988317</v>
      </c>
      <c r="Q412" t="s">
        <v>12</v>
      </c>
      <c r="R412" t="s">
        <v>248</v>
      </c>
    </row>
    <row r="413" spans="4:18" x14ac:dyDescent="0.2">
      <c r="D413" s="1">
        <v>45993</v>
      </c>
      <c r="E413" s="2">
        <v>0.79166666666666663</v>
      </c>
      <c r="F413" t="s">
        <v>26</v>
      </c>
      <c r="G413">
        <f>VLOOKUP(Table4[[#This Row],[Home]],'NHL Model'!$A$6:$B$38,2,FALSE)</f>
        <v>-0.33113778518110382</v>
      </c>
      <c r="H413" t="s">
        <v>21</v>
      </c>
      <c r="I413">
        <f>VLOOKUP(Table4[[#This Row],[Visitor]],'NHL Model'!$A$6:$B$38,2,FALSE)</f>
        <v>-0.10253061303059285</v>
      </c>
      <c r="J413">
        <f>($B$1+Table4[[#This Row],[Home Differential]])-Table4[[#This Row],[Away Differential]]</f>
        <v>-9.9000186338986856E-2</v>
      </c>
      <c r="K413" t="str">
        <f>IF(Table4[[#This Row],[HomeIce Differential]]&gt;0,Table4[[#This Row],[Home]],Table4[[#This Row],[Visitor]])</f>
        <v>Boston Bruins</v>
      </c>
      <c r="L4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0.44507937782874135</v>
      </c>
      <c r="M413" t="str">
        <f>IF(OR((NHL2025_26Results[[#This Row],[Winning Team]]="")),"-",IF(Table4[[#This Row],[Predicted Winner]]=NHL2025_26Results[[#This Row],[Winning Team]],"YES","NO"))</f>
        <v>NO</v>
      </c>
      <c r="N413">
        <f>IF(Table4[[#This Row],[Adjusted Correct]]="-", "",IF(Table4[[#This Row],[Adjusted Correct]]="YES",(Table4[[#This Row],[Strength of Win]]-1)^2,(Table4[[#This Row],[Strength of Win]]-0)^2))</f>
        <v>0.19809565256841949</v>
      </c>
      <c r="O413">
        <v>-0.60566905566141549</v>
      </c>
      <c r="P413" s="11">
        <v>0.53155029437330192</v>
      </c>
      <c r="Q413" t="s">
        <v>21</v>
      </c>
      <c r="R413" t="s">
        <v>249</v>
      </c>
    </row>
    <row r="414" spans="4:18" x14ac:dyDescent="0.2">
      <c r="D414" s="1">
        <v>45993</v>
      </c>
      <c r="E414" s="2">
        <v>0.875</v>
      </c>
      <c r="F414" t="s">
        <v>17</v>
      </c>
      <c r="G414">
        <f>VLOOKUP(Table4[[#This Row],[Home]],'NHL Model'!$A$6:$B$38,2,FALSE)</f>
        <v>-0.36462594951491906</v>
      </c>
      <c r="H414" t="s">
        <v>34</v>
      </c>
      <c r="I414">
        <f>VLOOKUP(Table4[[#This Row],[Visitor]],'NHL Model'!$A$6:$B$38,2,FALSE)</f>
        <v>6.0485283743665949E-2</v>
      </c>
      <c r="J414">
        <f>($B$1+Table4[[#This Row],[Home Differential]])-Table4[[#This Row],[Away Differential]]</f>
        <v>-0.29550424744706089</v>
      </c>
      <c r="K414" t="str">
        <f>IF(Table4[[#This Row],[HomeIce Differential]]&gt;0,Table4[[#This Row],[Home]],Table4[[#This Row],[Visitor]])</f>
        <v>Minnesota Wild</v>
      </c>
      <c r="L4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0.56244856971483337</v>
      </c>
      <c r="M414" t="str">
        <f>IF(OR((NHL2025_26Results[[#This Row],[Winning Team]]="")),"-",IF(Table4[[#This Row],[Predicted Winner]]=NHL2025_26Results[[#This Row],[Winning Team]],"YES","NO"))</f>
        <v>YES</v>
      </c>
      <c r="N414">
        <f>IF(Table4[[#This Row],[Adjusted Correct]]="-", "",IF(Table4[[#This Row],[Adjusted Correct]]="YES",(Table4[[#This Row],[Strength of Win]]-1)^2,(Table4[[#This Row],[Strength of Win]]-0)^2))</f>
        <v>0.19145125414459505</v>
      </c>
      <c r="O414">
        <v>-0.71272112786488051</v>
      </c>
      <c r="P414" s="11">
        <v>0.57863355472801747</v>
      </c>
      <c r="Q414" t="s">
        <v>34</v>
      </c>
      <c r="R414" t="s">
        <v>248</v>
      </c>
    </row>
    <row r="415" spans="4:18" x14ac:dyDescent="0.2">
      <c r="D415" s="1">
        <v>45993</v>
      </c>
      <c r="E415" s="2">
        <v>0.8125</v>
      </c>
      <c r="F415" t="s">
        <v>11</v>
      </c>
      <c r="G415">
        <f>VLOOKUP(Table4[[#This Row],[Home]],'NHL Model'!$A$6:$B$38,2,FALSE)</f>
        <v>-0.55695213126481558</v>
      </c>
      <c r="H415" t="s">
        <v>19</v>
      </c>
      <c r="I415">
        <f>VLOOKUP(Table4[[#This Row],[Visitor]],'NHL Model'!$A$6:$B$38,2,FALSE)</f>
        <v>-0.44228056828684137</v>
      </c>
      <c r="J415">
        <f>($B$1+Table4[[#This Row],[Home Differential]])-Table4[[#This Row],[Away Differential]]</f>
        <v>1.4935422833549872E-2</v>
      </c>
      <c r="K415" t="str">
        <f>IF(Table4[[#This Row],[HomeIce Differential]]&gt;0,Table4[[#This Row],[Home]],Table4[[#This Row],[Visitor]])</f>
        <v>Florida Panthers</v>
      </c>
      <c r="L4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0.54167715637320135</v>
      </c>
      <c r="M415" t="str">
        <f>IF(OR((NHL2025_26Results[[#This Row],[Winning Team]]="")),"-",IF(Table4[[#This Row],[Predicted Winner]]=NHL2025_26Results[[#This Row],[Winning Team]],"YES","NO"))</f>
        <v>NO</v>
      </c>
      <c r="N415">
        <f>IF(Table4[[#This Row],[Adjusted Correct]]="-", "",IF(Table4[[#This Row],[Adjusted Correct]]="YES",(Table4[[#This Row],[Strength of Win]]-1)^2,(Table4[[#This Row],[Strength of Win]]-0)^2))</f>
        <v>0.29341414173655761</v>
      </c>
      <c r="O415">
        <v>0.28726104917803646</v>
      </c>
      <c r="P415" s="11">
        <v>0.58755858766064739</v>
      </c>
      <c r="Q415" t="s">
        <v>11</v>
      </c>
      <c r="R415" t="s">
        <v>249</v>
      </c>
    </row>
    <row r="416" spans="4:18" x14ac:dyDescent="0.2">
      <c r="D416" s="1">
        <v>45993</v>
      </c>
      <c r="E416" s="2">
        <v>0.9375</v>
      </c>
      <c r="F416" t="s">
        <v>13</v>
      </c>
      <c r="G416">
        <f>VLOOKUP(Table4[[#This Row],[Home]],'NHL Model'!$A$6:$B$38,2,FALSE)</f>
        <v>-0.59069689888466137</v>
      </c>
      <c r="H416" t="s">
        <v>22</v>
      </c>
      <c r="I416">
        <f>VLOOKUP(Table4[[#This Row],[Visitor]],'NHL Model'!$A$6:$B$38,2,FALSE)</f>
        <v>-0.11977593183651415</v>
      </c>
      <c r="J416">
        <f>($B$1+Table4[[#This Row],[Home Differential]])-Table4[[#This Row],[Away Differential]]</f>
        <v>-0.34131398123662315</v>
      </c>
      <c r="K416" t="str">
        <f>IF(Table4[[#This Row],[HomeIce Differential]]&gt;0,Table4[[#This Row],[Home]],Table4[[#This Row],[Visitor]])</f>
        <v>Washington Capitals</v>
      </c>
      <c r="L4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0.49832746653866716</v>
      </c>
      <c r="M416" t="str">
        <f>IF(OR((NHL2025_26Results[[#This Row],[Winning Team]]="")),"-",IF(Table4[[#This Row],[Predicted Winner]]=NHL2025_26Results[[#This Row],[Winning Team]],"YES","NO"))</f>
        <v>YES</v>
      </c>
      <c r="N416">
        <f>IF(Table4[[#This Row],[Adjusted Correct]]="-", "",IF(Table4[[#This Row],[Adjusted Correct]]="YES",(Table4[[#This Row],[Strength of Win]]-1)^2,(Table4[[#This Row],[Strength of Win]]-0)^2))</f>
        <v>0.25167533082951205</v>
      </c>
      <c r="O416">
        <v>-0.72909008260780817</v>
      </c>
      <c r="P416" s="11">
        <v>0.58764459056015705</v>
      </c>
      <c r="Q416" t="s">
        <v>22</v>
      </c>
      <c r="R416" t="s">
        <v>248</v>
      </c>
    </row>
    <row r="417" spans="4:18" x14ac:dyDescent="0.2">
      <c r="D417" s="1">
        <v>45993</v>
      </c>
      <c r="E417" s="2">
        <v>0.79166666666666663</v>
      </c>
      <c r="F417" t="s">
        <v>18</v>
      </c>
      <c r="G417">
        <f>VLOOKUP(Table4[[#This Row],[Home]],'NHL Model'!$A$6:$B$38,2,FALSE)</f>
        <v>-8.6274676766085606E-2</v>
      </c>
      <c r="H417" t="s">
        <v>36</v>
      </c>
      <c r="I417">
        <f>VLOOKUP(Table4[[#This Row],[Visitor]],'NHL Model'!$A$6:$B$38,2,FALSE)</f>
        <v>-0.19010748264223354</v>
      </c>
      <c r="J417">
        <f>($B$1+Table4[[#This Row],[Home Differential]])-Table4[[#This Row],[Away Differential]]</f>
        <v>0.23343979168767204</v>
      </c>
      <c r="K417" t="str">
        <f>IF(Table4[[#This Row],[HomeIce Differential]]&gt;0,Table4[[#This Row],[Home]],Table4[[#This Row],[Visitor]])</f>
        <v>Montreal Canadiens</v>
      </c>
      <c r="L4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0.5682699314981714</v>
      </c>
      <c r="M417" t="str">
        <f>IF(OR((NHL2025_26Results[[#This Row],[Winning Team]]="")),"-",IF(Table4[[#This Row],[Predicted Winner]]=NHL2025_26Results[[#This Row],[Winning Team]],"YES","NO"))</f>
        <v>NO</v>
      </c>
      <c r="N417">
        <f>IF(Table4[[#This Row],[Adjusted Correct]]="-", "",IF(Table4[[#This Row],[Adjusted Correct]]="YES",(Table4[[#This Row],[Strength of Win]]-1)^2,(Table4[[#This Row],[Strength of Win]]-0)^2))</f>
        <v>0.32293071504493642</v>
      </c>
      <c r="O417">
        <v>-1.1612828485824123E-2</v>
      </c>
      <c r="P417" s="11">
        <v>0.46135596911883597</v>
      </c>
      <c r="Q417" t="s">
        <v>36</v>
      </c>
      <c r="R417" t="s">
        <v>248</v>
      </c>
    </row>
    <row r="418" spans="4:18" x14ac:dyDescent="0.2">
      <c r="D418" s="1">
        <v>45993</v>
      </c>
      <c r="E418" s="2">
        <v>0.83333333333333337</v>
      </c>
      <c r="F418" t="s">
        <v>29</v>
      </c>
      <c r="G418">
        <f>VLOOKUP(Table4[[#This Row],[Home]],'NHL Model'!$A$6:$B$38,2,FALSE)</f>
        <v>-0.82056481120798741</v>
      </c>
      <c r="H418" t="s">
        <v>16</v>
      </c>
      <c r="I418">
        <f>VLOOKUP(Table4[[#This Row],[Visitor]],'NHL Model'!$A$6:$B$38,2,FALSE)</f>
        <v>-0.89031221864884547</v>
      </c>
      <c r="J418">
        <f>($B$1+Table4[[#This Row],[Home Differential]])-Table4[[#This Row],[Away Differential]]</f>
        <v>0.19935439325238213</v>
      </c>
      <c r="K418" t="str">
        <f>IF(Table4[[#This Row],[HomeIce Differential]]&gt;0,Table4[[#This Row],[Home]],Table4[[#This Row],[Visitor]])</f>
        <v>Nashville Predators</v>
      </c>
      <c r="L4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0.56238627556080067</v>
      </c>
      <c r="M418" t="str">
        <f>IF(OR((NHL2025_26Results[[#This Row],[Winning Team]]="")),"-",IF(Table4[[#This Row],[Predicted Winner]]=NHL2025_26Results[[#This Row],[Winning Team]],"YES","NO"))</f>
        <v>YES</v>
      </c>
      <c r="N418">
        <f>IF(Table4[[#This Row],[Adjusted Correct]]="-", "",IF(Table4[[#This Row],[Adjusted Correct]]="YES",(Table4[[#This Row],[Strength of Win]]-1)^2,(Table4[[#This Row],[Strength of Win]]-0)^2))</f>
        <v>0.19150577181754749</v>
      </c>
      <c r="O418">
        <v>-0.2692352558422777</v>
      </c>
      <c r="P418" s="11">
        <v>0.49143718974836059</v>
      </c>
      <c r="Q418" t="s">
        <v>16</v>
      </c>
      <c r="R418" t="s">
        <v>249</v>
      </c>
    </row>
    <row r="419" spans="4:18" x14ac:dyDescent="0.2">
      <c r="D419" s="1">
        <v>45993</v>
      </c>
      <c r="E419" s="2">
        <v>0.79166666666666663</v>
      </c>
      <c r="F419" t="s">
        <v>30</v>
      </c>
      <c r="G419">
        <f>VLOOKUP(Table4[[#This Row],[Home]],'NHL Model'!$A$6:$B$38,2,FALSE)</f>
        <v>-0.18630462558229716</v>
      </c>
      <c r="H419" t="s">
        <v>37</v>
      </c>
      <c r="I419">
        <f>VLOOKUP(Table4[[#This Row],[Visitor]],'NHL Model'!$A$6:$B$38,2,FALSE)</f>
        <v>0.72108184732572844</v>
      </c>
      <c r="J419">
        <f>($B$1+Table4[[#This Row],[Home Differential]])-Table4[[#This Row],[Away Differential]]</f>
        <v>-0.77777948709650147</v>
      </c>
      <c r="K419" t="str">
        <f>IF(Table4[[#This Row],[HomeIce Differential]]&gt;0,Table4[[#This Row],[Home]],Table4[[#This Row],[Visitor]])</f>
        <v>Tampa Bay Lightning</v>
      </c>
      <c r="L4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0.63019700850854798</v>
      </c>
      <c r="M419" t="str">
        <f>IF(OR((NHL2025_26Results[[#This Row],[Winning Team]]="")),"-",IF(Table4[[#This Row],[Predicted Winner]]=NHL2025_26Results[[#This Row],[Winning Team]],"YES","NO"))</f>
        <v>NO</v>
      </c>
      <c r="N419">
        <f>IF(Table4[[#This Row],[Adjusted Correct]]="-", "",IF(Table4[[#This Row],[Adjusted Correct]]="YES",(Table4[[#This Row],[Strength of Win]]-1)^2,(Table4[[#This Row],[Strength of Win]]-0)^2))</f>
        <v>0.39714826953312288</v>
      </c>
      <c r="O419">
        <v>-0.70153619526477451</v>
      </c>
      <c r="P419" s="11">
        <v>0.63440089257773835</v>
      </c>
      <c r="Q419" t="s">
        <v>37</v>
      </c>
      <c r="R419" t="s">
        <v>249</v>
      </c>
    </row>
    <row r="420" spans="4:18" x14ac:dyDescent="0.2">
      <c r="D420" s="1">
        <v>45993</v>
      </c>
      <c r="E420" s="2">
        <v>0.79166666666666663</v>
      </c>
      <c r="F420" t="s">
        <v>15</v>
      </c>
      <c r="G420">
        <f>VLOOKUP(Table4[[#This Row],[Home]],'NHL Model'!$A$6:$B$38,2,FALSE)</f>
        <v>-0.73651915476403329</v>
      </c>
      <c r="H420" t="s">
        <v>39</v>
      </c>
      <c r="I420">
        <f>VLOOKUP(Table4[[#This Row],[Visitor]],'NHL Model'!$A$6:$B$38,2,FALSE)</f>
        <v>0.21708030788125537</v>
      </c>
      <c r="J420">
        <f>($B$1+Table4[[#This Row],[Home Differential]])-Table4[[#This Row],[Away Differential]]</f>
        <v>-0.82399247683376453</v>
      </c>
      <c r="K420" t="str">
        <f>IF(Table4[[#This Row],[HomeIce Differential]]&gt;0,Table4[[#This Row],[Home]],Table4[[#This Row],[Visitor]])</f>
        <v>Dallas Stars</v>
      </c>
      <c r="L4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0.61066401596323061</v>
      </c>
      <c r="M420" t="str">
        <f>IF(OR((NHL2025_26Results[[#This Row],[Winning Team]]="")),"-",IF(Table4[[#This Row],[Predicted Winner]]=NHL2025_26Results[[#This Row],[Winning Team]],"YES","NO"))</f>
        <v>NO</v>
      </c>
      <c r="N420">
        <f>IF(Table4[[#This Row],[Adjusted Correct]]="-", "",IF(Table4[[#This Row],[Adjusted Correct]]="YES",(Table4[[#This Row],[Strength of Win]]-1)^2,(Table4[[#This Row],[Strength of Win]]-0)^2))</f>
        <v>0.37291054039234078</v>
      </c>
      <c r="O420">
        <v>-0.65357573741589992</v>
      </c>
      <c r="P420" s="11">
        <v>0.63811236624172885</v>
      </c>
      <c r="Q420" t="s">
        <v>39</v>
      </c>
      <c r="R420" t="s">
        <v>249</v>
      </c>
    </row>
    <row r="421" spans="4:18" x14ac:dyDescent="0.2">
      <c r="D421" s="1">
        <v>45993</v>
      </c>
      <c r="E421" s="2">
        <v>0.91666666666666663</v>
      </c>
      <c r="F421" t="s">
        <v>20</v>
      </c>
      <c r="G421">
        <f>VLOOKUP(Table4[[#This Row],[Home]],'NHL Model'!$A$6:$B$38,2,FALSE)</f>
        <v>-0.16296463421387539</v>
      </c>
      <c r="H421" t="s">
        <v>10</v>
      </c>
      <c r="I421">
        <f>VLOOKUP(Table4[[#This Row],[Visitor]],'NHL Model'!$A$6:$B$38,2,FALSE)</f>
        <v>-0.92658078135875344</v>
      </c>
      <c r="J421">
        <f>($B$1+Table4[[#This Row],[Home Differential]])-Table4[[#This Row],[Away Differential]]</f>
        <v>0.89322313295640221</v>
      </c>
      <c r="K421" t="str">
        <f>IF(Table4[[#This Row],[HomeIce Differential]]&gt;0,Table4[[#This Row],[Home]],Table4[[#This Row],[Visitor]])</f>
        <v>Vegas Golden Knights</v>
      </c>
      <c r="L4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0.64030347897238882</v>
      </c>
      <c r="M421" t="str">
        <f>IF(OR((NHL2025_26Results[[#This Row],[Winning Team]]="")),"-",IF(Table4[[#This Row],[Predicted Winner]]=NHL2025_26Results[[#This Row],[Winning Team]],"YES","NO"))</f>
        <v>YES</v>
      </c>
      <c r="N421">
        <f>IF(Table4[[#This Row],[Adjusted Correct]]="-", "",IF(Table4[[#This Row],[Adjusted Correct]]="YES",(Table4[[#This Row],[Strength of Win]]-1)^2,(Table4[[#This Row],[Strength of Win]]-0)^2))</f>
        <v>0.12938158723936674</v>
      </c>
      <c r="O421">
        <v>-1.834382621316033E-2</v>
      </c>
      <c r="P421" s="11">
        <v>0.46214191244593872</v>
      </c>
      <c r="Q421" t="s">
        <v>10</v>
      </c>
      <c r="R421" t="s">
        <v>249</v>
      </c>
    </row>
    <row r="422" spans="4:18" x14ac:dyDescent="0.2">
      <c r="D422" s="1">
        <v>45994</v>
      </c>
      <c r="E422" s="2">
        <v>0.91666666666666663</v>
      </c>
      <c r="F422" t="s">
        <v>31</v>
      </c>
      <c r="G422">
        <f>VLOOKUP(Table4[[#This Row],[Home]],'NHL Model'!$A$6:$B$38,2,FALSE)</f>
        <v>-0.46360583111358089</v>
      </c>
      <c r="H422" t="s">
        <v>55</v>
      </c>
      <c r="I422">
        <f>VLOOKUP(Table4[[#This Row],[Visitor]],'NHL Model'!$A$6:$B$38,2,FALSE)</f>
        <v>8.4094725828611647E-2</v>
      </c>
      <c r="J422">
        <f>($B$1+Table4[[#This Row],[Home Differential]])-Table4[[#This Row],[Away Differential]]</f>
        <v>-0.41809357113066847</v>
      </c>
      <c r="K422" t="str">
        <f>IF(Table4[[#This Row],[HomeIce Differential]]&gt;0,Table4[[#This Row],[Home]],Table4[[#This Row],[Visitor]])</f>
        <v>Utah Mammoth</v>
      </c>
      <c r="L4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0.45523336720119495</v>
      </c>
      <c r="M422" t="str">
        <f>IF(OR((NHL2025_26Results[[#This Row],[Winning Team]]="")),"-",IF(Table4[[#This Row],[Predicted Winner]]=NHL2025_26Results[[#This Row],[Winning Team]],"YES","NO"))</f>
        <v>YES</v>
      </c>
      <c r="N422">
        <f>IF(Table4[[#This Row],[Adjusted Correct]]="-", "",IF(Table4[[#This Row],[Adjusted Correct]]="YES",(Table4[[#This Row],[Strength of Win]]-1)^2,(Table4[[#This Row],[Strength of Win]]-0)^2))</f>
        <v>0.29677068421094804</v>
      </c>
      <c r="O422">
        <v>0.62817145905413341</v>
      </c>
      <c r="P422" s="11">
        <v>0.69209045804207525</v>
      </c>
      <c r="Q422" t="s">
        <v>31</v>
      </c>
      <c r="R422" t="s">
        <v>249</v>
      </c>
    </row>
    <row r="423" spans="4:18" x14ac:dyDescent="0.2">
      <c r="D423" s="1">
        <v>45994</v>
      </c>
      <c r="E423" s="2">
        <v>0.8125</v>
      </c>
      <c r="F423" t="s">
        <v>18</v>
      </c>
      <c r="G423">
        <f>VLOOKUP(Table4[[#This Row],[Home]],'NHL Model'!$A$6:$B$38,2,FALSE)</f>
        <v>-8.6274676766085606E-2</v>
      </c>
      <c r="H423" t="s">
        <v>40</v>
      </c>
      <c r="I423">
        <f>VLOOKUP(Table4[[#This Row],[Visitor]],'NHL Model'!$A$6:$B$38,2,FALSE)</f>
        <v>-0.58845147248022256</v>
      </c>
      <c r="J423">
        <f>($B$1+Table4[[#This Row],[Home Differential]])-Table4[[#This Row],[Away Differential]]</f>
        <v>0.63178378152566106</v>
      </c>
      <c r="K423" t="str">
        <f>IF(Table4[[#This Row],[HomeIce Differential]]&gt;0,Table4[[#This Row],[Home]],Table4[[#This Row],[Visitor]])</f>
        <v>Montreal Canadiens</v>
      </c>
      <c r="L4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0.62496206392394615</v>
      </c>
      <c r="M423" t="str">
        <f>IF(OR((NHL2025_26Results[[#This Row],[Winning Team]]="")),"-",IF(Table4[[#This Row],[Predicted Winner]]=NHL2025_26Results[[#This Row],[Winning Team]],"YES","NO"))</f>
        <v>YES</v>
      </c>
      <c r="N423">
        <f>IF(Table4[[#This Row],[Adjusted Correct]]="-", "",IF(Table4[[#This Row],[Adjusted Correct]]="YES",(Table4[[#This Row],[Strength of Win]]-1)^2,(Table4[[#This Row],[Strength of Win]]-0)^2))</f>
        <v>0.14065345349618624</v>
      </c>
      <c r="O423">
        <v>-0.32801766116312969</v>
      </c>
      <c r="P423" s="11">
        <v>0.51849963206772609</v>
      </c>
      <c r="Q423" t="s">
        <v>40</v>
      </c>
      <c r="R423" t="s">
        <v>249</v>
      </c>
    </row>
    <row r="424" spans="4:18" x14ac:dyDescent="0.2">
      <c r="D424" s="1">
        <v>45994</v>
      </c>
      <c r="E424" s="2">
        <v>0.79166666666666663</v>
      </c>
      <c r="F424" t="s">
        <v>24</v>
      </c>
      <c r="G424">
        <f>VLOOKUP(Table4[[#This Row],[Home]],'NHL Model'!$A$6:$B$38,2,FALSE)</f>
        <v>-0.74510803532792402</v>
      </c>
      <c r="H424" t="s">
        <v>39</v>
      </c>
      <c r="I424">
        <f>VLOOKUP(Table4[[#This Row],[Visitor]],'NHL Model'!$A$6:$B$38,2,FALSE)</f>
        <v>0.21708030788125537</v>
      </c>
      <c r="J424">
        <f>($B$1+Table4[[#This Row],[Home Differential]])-Table4[[#This Row],[Away Differential]]</f>
        <v>-0.83258135739765526</v>
      </c>
      <c r="K424" t="str">
        <f>IF(Table4[[#This Row],[HomeIce Differential]]&gt;0,Table4[[#This Row],[Home]],Table4[[#This Row],[Visitor]])</f>
        <v>Dallas Stars</v>
      </c>
      <c r="L4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0.61162849456801682</v>
      </c>
      <c r="M424" t="str">
        <f>IF(OR((NHL2025_26Results[[#This Row],[Winning Team]]="")),"-",IF(Table4[[#This Row],[Predicted Winner]]=NHL2025_26Results[[#This Row],[Winning Team]],"YES","NO"))</f>
        <v>YES</v>
      </c>
      <c r="N424">
        <f>IF(Table4[[#This Row],[Adjusted Correct]]="-", "",IF(Table4[[#This Row],[Adjusted Correct]]="YES",(Table4[[#This Row],[Strength of Win]]-1)^2,(Table4[[#This Row],[Strength of Win]]-0)^2))</f>
        <v>0.15083242623150495</v>
      </c>
      <c r="O424">
        <v>-0.31726104790717247</v>
      </c>
      <c r="P424" s="11">
        <v>0.49803157782821433</v>
      </c>
      <c r="Q424" t="s">
        <v>39</v>
      </c>
      <c r="R424" t="s">
        <v>248</v>
      </c>
    </row>
    <row r="425" spans="4:18" x14ac:dyDescent="0.2">
      <c r="D425" s="1">
        <v>45994</v>
      </c>
      <c r="E425" s="2">
        <v>0.8125</v>
      </c>
      <c r="F425" t="s">
        <v>27</v>
      </c>
      <c r="G425">
        <f>VLOOKUP(Table4[[#This Row],[Home]],'NHL Model'!$A$6:$B$38,2,FALSE)</f>
        <v>-0.55097933929175691</v>
      </c>
      <c r="H425" t="s">
        <v>23</v>
      </c>
      <c r="I425">
        <f>VLOOKUP(Table4[[#This Row],[Visitor]],'NHL Model'!$A$6:$B$38,2,FALSE)</f>
        <v>8.1543966060426461E-3</v>
      </c>
      <c r="J425">
        <f>($B$1+Table4[[#This Row],[Home Differential]])-Table4[[#This Row],[Away Differential]]</f>
        <v>-0.4295267500862755</v>
      </c>
      <c r="K425" t="str">
        <f>IF(Table4[[#This Row],[HomeIce Differential]]&gt;0,Table4[[#This Row],[Home]],Table4[[#This Row],[Visitor]])</f>
        <v>Buffalo Sabres</v>
      </c>
      <c r="L4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0.54512762933824166</v>
      </c>
      <c r="M425" t="str">
        <f>IF(OR((NHL2025_26Results[[#This Row],[Winning Team]]="")),"-",IF(Table4[[#This Row],[Predicted Winner]]=NHL2025_26Results[[#This Row],[Winning Team]],"YES","NO"))</f>
        <v>NO</v>
      </c>
      <c r="N425">
        <f>IF(Table4[[#This Row],[Adjusted Correct]]="-", "",IF(Table4[[#This Row],[Adjusted Correct]]="YES",(Table4[[#This Row],[Strength of Win]]-1)^2,(Table4[[#This Row],[Strength of Win]]-0)^2))</f>
        <v>0.29716413226793137</v>
      </c>
      <c r="O425">
        <v>0.14489965279043743</v>
      </c>
      <c r="P425" s="11">
        <v>0.57068377807912385</v>
      </c>
      <c r="Q425" t="s">
        <v>27</v>
      </c>
      <c r="R425" t="s">
        <v>248</v>
      </c>
    </row>
    <row r="426" spans="4:18" x14ac:dyDescent="0.2">
      <c r="D426" s="1">
        <v>45994</v>
      </c>
      <c r="E426" s="2">
        <v>0.91666666666666663</v>
      </c>
      <c r="F426" t="s">
        <v>33</v>
      </c>
      <c r="G426">
        <f>VLOOKUP(Table4[[#This Row],[Home]],'NHL Model'!$A$6:$B$38,2,FALSE)</f>
        <v>-0.65236582493376272</v>
      </c>
      <c r="H426" t="s">
        <v>22</v>
      </c>
      <c r="I426">
        <f>VLOOKUP(Table4[[#This Row],[Visitor]],'NHL Model'!$A$6:$B$38,2,FALSE)</f>
        <v>-0.11977593183651415</v>
      </c>
      <c r="J426">
        <f>($B$1+Table4[[#This Row],[Home Differential]])-Table4[[#This Row],[Away Differential]]</f>
        <v>-0.4029829072857245</v>
      </c>
      <c r="K426" t="str">
        <f>IF(Table4[[#This Row],[HomeIce Differential]]&gt;0,Table4[[#This Row],[Home]],Table4[[#This Row],[Visitor]])</f>
        <v>Washington Capitals</v>
      </c>
      <c r="L4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0.50525250866866955</v>
      </c>
      <c r="M426" t="str">
        <f>IF(OR((NHL2025_26Results[[#This Row],[Winning Team]]="")),"-",IF(Table4[[#This Row],[Predicted Winner]]=NHL2025_26Results[[#This Row],[Winning Team]],"YES","NO"))</f>
        <v>YES</v>
      </c>
      <c r="N426">
        <f>IF(Table4[[#This Row],[Adjusted Correct]]="-", "",IF(Table4[[#This Row],[Adjusted Correct]]="YES",(Table4[[#This Row],[Strength of Win]]-1)^2,(Table4[[#This Row],[Strength of Win]]-0)^2))</f>
        <v>0.24477508017864488</v>
      </c>
      <c r="O426">
        <v>-0.89281121340080916</v>
      </c>
      <c r="P426" s="11">
        <v>0.61178698114373775</v>
      </c>
      <c r="Q426" t="s">
        <v>22</v>
      </c>
      <c r="R426" t="s">
        <v>248</v>
      </c>
    </row>
    <row r="427" spans="4:18" x14ac:dyDescent="0.2">
      <c r="D427" s="1">
        <v>45995</v>
      </c>
      <c r="E427" s="2">
        <v>0.79166666666666663</v>
      </c>
      <c r="F427" t="s">
        <v>21</v>
      </c>
      <c r="G427">
        <f>VLOOKUP(Table4[[#This Row],[Home]],'NHL Model'!$A$6:$B$38,2,FALSE)</f>
        <v>-0.10253061303059285</v>
      </c>
      <c r="H427" t="s">
        <v>35</v>
      </c>
      <c r="I427">
        <f>VLOOKUP(Table4[[#This Row],[Visitor]],'NHL Model'!$A$6:$B$38,2,FALSE)</f>
        <v>-1.3128572733047907</v>
      </c>
      <c r="J427">
        <f>($B$1+Table4[[#This Row],[Home Differential]])-Table4[[#This Row],[Away Differential]]</f>
        <v>1.3399336460857221</v>
      </c>
      <c r="K427" t="str">
        <f>IF(Table4[[#This Row],[HomeIce Differential]]&gt;0,Table4[[#This Row],[Home]],Table4[[#This Row],[Visitor]])</f>
        <v>Boston Bruins</v>
      </c>
      <c r="L4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0.742182305891945</v>
      </c>
      <c r="M427" t="str">
        <f>IF(OR((NHL2025_26Results[[#This Row],[Winning Team]]="")),"-",IF(Table4[[#This Row],[Predicted Winner]]=NHL2025_26Results[[#This Row],[Winning Team]],"YES","NO"))</f>
        <v>YES</v>
      </c>
      <c r="N427">
        <f>IF(Table4[[#This Row],[Adjusted Correct]]="-", "",IF(Table4[[#This Row],[Adjusted Correct]]="YES",(Table4[[#This Row],[Strength of Win]]-1)^2,(Table4[[#This Row],[Strength of Win]]-0)^2))</f>
        <v>6.646996339519462E-2</v>
      </c>
      <c r="O427">
        <v>1.1242770127029269</v>
      </c>
      <c r="P427" s="11">
        <v>0.71494364753273776</v>
      </c>
      <c r="Q427" t="s">
        <v>21</v>
      </c>
      <c r="R427" t="s">
        <v>248</v>
      </c>
    </row>
    <row r="428" spans="4:18" x14ac:dyDescent="0.2">
      <c r="D428" s="1">
        <v>45995</v>
      </c>
      <c r="E428" s="2">
        <v>0.8125</v>
      </c>
      <c r="F428" t="s">
        <v>25</v>
      </c>
      <c r="G428">
        <f>VLOOKUP(Table4[[#This Row],[Home]],'NHL Model'!$A$6:$B$38,2,FALSE)</f>
        <v>0.2324942014830165</v>
      </c>
      <c r="H428" t="s">
        <v>19</v>
      </c>
      <c r="I428">
        <f>VLOOKUP(Table4[[#This Row],[Visitor]],'NHL Model'!$A$6:$B$38,2,FALSE)</f>
        <v>-0.44228056828684137</v>
      </c>
      <c r="J428">
        <f>($B$1+Table4[[#This Row],[Home Differential]])-Table4[[#This Row],[Away Differential]]</f>
        <v>0.80438175558138192</v>
      </c>
      <c r="K428" t="str">
        <f>IF(Table4[[#This Row],[HomeIce Differential]]&gt;0,Table4[[#This Row],[Home]],Table4[[#This Row],[Visitor]])</f>
        <v>Carolina Hurricanes</v>
      </c>
      <c r="L4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0.68590286042815962</v>
      </c>
      <c r="M428" t="str">
        <f>IF(OR((NHL2025_26Results[[#This Row],[Winning Team]]="")),"-",IF(Table4[[#This Row],[Predicted Winner]]=NHL2025_26Results[[#This Row],[Winning Team]],"YES","NO"))</f>
        <v>NO</v>
      </c>
      <c r="N428">
        <f>IF(Table4[[#This Row],[Adjusted Correct]]="-", "",IF(Table4[[#This Row],[Adjusted Correct]]="YES",(Table4[[#This Row],[Strength of Win]]-1)^2,(Table4[[#This Row],[Strength of Win]]-0)^2))</f>
        <v>0.47046273394353144</v>
      </c>
      <c r="O428">
        <v>0.93334714467676982</v>
      </c>
      <c r="P428" s="11">
        <v>0.70133407685840665</v>
      </c>
      <c r="Q428" t="s">
        <v>25</v>
      </c>
      <c r="R428" t="s">
        <v>249</v>
      </c>
    </row>
    <row r="429" spans="4:18" x14ac:dyDescent="0.2">
      <c r="D429" s="1">
        <v>45995</v>
      </c>
      <c r="E429" s="2">
        <v>0.79166666666666663</v>
      </c>
      <c r="F429" t="s">
        <v>28</v>
      </c>
      <c r="G429">
        <f>VLOOKUP(Table4[[#This Row],[Home]],'NHL Model'!$A$6:$B$38,2,FALSE)</f>
        <v>-0.28156479873410767</v>
      </c>
      <c r="H429" t="s">
        <v>26</v>
      </c>
      <c r="I429">
        <f>VLOOKUP(Table4[[#This Row],[Visitor]],'NHL Model'!$A$6:$B$38,2,FALSE)</f>
        <v>-0.33113778518110382</v>
      </c>
      <c r="J429">
        <f>($B$1+Table4[[#This Row],[Home Differential]])-Table4[[#This Row],[Away Differential]]</f>
        <v>0.17917997225852025</v>
      </c>
      <c r="K429" t="str">
        <f>IF(Table4[[#This Row],[HomeIce Differential]]&gt;0,Table4[[#This Row],[Home]],Table4[[#This Row],[Visitor]])</f>
        <v>Columbus Blue Jackets</v>
      </c>
      <c r="L4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0.5292117209201106</v>
      </c>
      <c r="M429" t="str">
        <f>IF(OR((NHL2025_26Results[[#This Row],[Winning Team]]="")),"-",IF(Table4[[#This Row],[Predicted Winner]]=NHL2025_26Results[[#This Row],[Winning Team]],"YES","NO"))</f>
        <v>YES</v>
      </c>
      <c r="N429">
        <f>IF(Table4[[#This Row],[Adjusted Correct]]="-", "",IF(Table4[[#This Row],[Adjusted Correct]]="YES",(Table4[[#This Row],[Strength of Win]]-1)^2,(Table4[[#This Row],[Strength of Win]]-0)^2))</f>
        <v>0.22164160371900382</v>
      </c>
      <c r="O429">
        <v>0.2916183034579104</v>
      </c>
      <c r="P429" s="11">
        <v>0.57424946943513311</v>
      </c>
      <c r="Q429" t="s">
        <v>28</v>
      </c>
      <c r="R429" t="s">
        <v>248</v>
      </c>
    </row>
    <row r="430" spans="4:18" x14ac:dyDescent="0.2">
      <c r="D430" s="1">
        <v>45995</v>
      </c>
      <c r="E430" s="2">
        <v>0.875</v>
      </c>
      <c r="F430" t="s">
        <v>16</v>
      </c>
      <c r="G430">
        <f>VLOOKUP(Table4[[#This Row],[Home]],'NHL Model'!$A$6:$B$38,2,FALSE)</f>
        <v>-0.89031221864884547</v>
      </c>
      <c r="H430" t="s">
        <v>34</v>
      </c>
      <c r="I430">
        <f>VLOOKUP(Table4[[#This Row],[Visitor]],'NHL Model'!$A$6:$B$38,2,FALSE)</f>
        <v>6.0485283743665949E-2</v>
      </c>
      <c r="J430">
        <f>($B$1+Table4[[#This Row],[Home Differential]])-Table4[[#This Row],[Away Differential]]</f>
        <v>-0.8211905165809873</v>
      </c>
      <c r="K430" t="str">
        <f>IF(Table4[[#This Row],[HomeIce Differential]]&gt;0,Table4[[#This Row],[Home]],Table4[[#This Row],[Visitor]])</f>
        <v>Minnesota Wild</v>
      </c>
      <c r="L4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0.62147991328027374</v>
      </c>
      <c r="M430" t="str">
        <f>IF(OR((NHL2025_26Results[[#This Row],[Winning Team]]="")),"-",IF(Table4[[#This Row],[Predicted Winner]]=NHL2025_26Results[[#This Row],[Winning Team]],"YES","NO"))</f>
        <v>NO</v>
      </c>
      <c r="N430">
        <f>IF(Table4[[#This Row],[Adjusted Correct]]="-", "",IF(Table4[[#This Row],[Adjusted Correct]]="YES",(Table4[[#This Row],[Strength of Win]]-1)^2,(Table4[[#This Row],[Strength of Win]]-0)^2))</f>
        <v>0.38623728261085655</v>
      </c>
      <c r="O430">
        <v>-1.1344514850438607</v>
      </c>
      <c r="P430" s="11">
        <v>0.65252488034359291</v>
      </c>
      <c r="Q430" t="s">
        <v>34</v>
      </c>
      <c r="R430" t="s">
        <v>249</v>
      </c>
    </row>
    <row r="431" spans="4:18" x14ac:dyDescent="0.2">
      <c r="D431" s="1">
        <v>45995</v>
      </c>
      <c r="E431" s="2">
        <v>0.875</v>
      </c>
      <c r="F431" t="s">
        <v>17</v>
      </c>
      <c r="G431">
        <f>VLOOKUP(Table4[[#This Row],[Home]],'NHL Model'!$A$6:$B$38,2,FALSE)</f>
        <v>-0.36462594951491906</v>
      </c>
      <c r="H431" t="s">
        <v>32</v>
      </c>
      <c r="I431">
        <f>VLOOKUP(Table4[[#This Row],[Visitor]],'NHL Model'!$A$6:$B$38,2,FALSE)</f>
        <v>-0.48236715437805205</v>
      </c>
      <c r="J431">
        <f>($B$1+Table4[[#This Row],[Home Differential]])-Table4[[#This Row],[Away Differential]]</f>
        <v>0.2473481906746571</v>
      </c>
      <c r="K431" t="str">
        <f>IF(Table4[[#This Row],[HomeIce Differential]]&gt;0,Table4[[#This Row],[Home]],Table4[[#This Row],[Visitor]])</f>
        <v>Edmonton Oilers</v>
      </c>
      <c r="L4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0.56777568462661487</v>
      </c>
      <c r="M431" t="str">
        <f>IF(OR((NHL2025_26Results[[#This Row],[Winning Team]]="")),"-",IF(Table4[[#This Row],[Predicted Winner]]=NHL2025_26Results[[#This Row],[Winning Team]],"YES","NO"))</f>
        <v>YES</v>
      </c>
      <c r="N431">
        <f>IF(Table4[[#This Row],[Adjusted Correct]]="-", "",IF(Table4[[#This Row],[Adjusted Correct]]="YES",(Table4[[#This Row],[Strength of Win]]-1)^2,(Table4[[#This Row],[Strength of Win]]-0)^2))</f>
        <v>0.18681785879999149</v>
      </c>
      <c r="O431">
        <v>-0.14191021337851084</v>
      </c>
      <c r="P431" s="11">
        <v>0.47666681911940423</v>
      </c>
      <c r="Q431" t="s">
        <v>32</v>
      </c>
      <c r="R431" t="s">
        <v>249</v>
      </c>
    </row>
    <row r="432" spans="4:18" x14ac:dyDescent="0.2">
      <c r="D432" s="1">
        <v>45995</v>
      </c>
      <c r="E432" s="2">
        <v>0.79166666666666663</v>
      </c>
      <c r="F432" t="s">
        <v>11</v>
      </c>
      <c r="G432">
        <f>VLOOKUP(Table4[[#This Row],[Home]],'NHL Model'!$A$6:$B$38,2,FALSE)</f>
        <v>-0.55695213126481558</v>
      </c>
      <c r="H432" t="s">
        <v>29</v>
      </c>
      <c r="I432">
        <f>VLOOKUP(Table4[[#This Row],[Visitor]],'NHL Model'!$A$6:$B$38,2,FALSE)</f>
        <v>-0.82056481120798741</v>
      </c>
      <c r="J432">
        <f>($B$1+Table4[[#This Row],[Home Differential]])-Table4[[#This Row],[Away Differential]]</f>
        <v>0.39321966575469591</v>
      </c>
      <c r="K432" t="str">
        <f>IF(Table4[[#This Row],[HomeIce Differential]]&gt;0,Table4[[#This Row],[Home]],Table4[[#This Row],[Visitor]])</f>
        <v>Florida Panthers</v>
      </c>
      <c r="L4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0.58415615653057773</v>
      </c>
      <c r="M432" t="str">
        <f>IF(OR((NHL2025_26Results[[#This Row],[Winning Team]]="")),"-",IF(Table4[[#This Row],[Predicted Winner]]=NHL2025_26Results[[#This Row],[Winning Team]],"YES","NO"))</f>
        <v>NO</v>
      </c>
      <c r="N432">
        <f>IF(Table4[[#This Row],[Adjusted Correct]]="-", "",IF(Table4[[#This Row],[Adjusted Correct]]="YES",(Table4[[#This Row],[Strength of Win]]-1)^2,(Table4[[#This Row],[Strength of Win]]-0)^2))</f>
        <v>0.34123841521257681</v>
      </c>
      <c r="O432">
        <v>0.70840578728319825</v>
      </c>
      <c r="P432" s="11">
        <v>0.62319958682816057</v>
      </c>
      <c r="Q432" t="s">
        <v>11</v>
      </c>
      <c r="R432" t="s">
        <v>249</v>
      </c>
    </row>
    <row r="433" spans="4:18" x14ac:dyDescent="0.2">
      <c r="D433" s="1">
        <v>45995</v>
      </c>
      <c r="E433" s="2">
        <v>0.91666666666666663</v>
      </c>
      <c r="F433" t="s">
        <v>13</v>
      </c>
      <c r="G433">
        <f>VLOOKUP(Table4[[#This Row],[Home]],'NHL Model'!$A$6:$B$38,2,FALSE)</f>
        <v>-0.59069689888466137</v>
      </c>
      <c r="H433" t="s">
        <v>10</v>
      </c>
      <c r="I433">
        <f>VLOOKUP(Table4[[#This Row],[Visitor]],'NHL Model'!$A$6:$B$38,2,FALSE)</f>
        <v>-0.92658078135875344</v>
      </c>
      <c r="J433">
        <f>($B$1+Table4[[#This Row],[Home Differential]])-Table4[[#This Row],[Away Differential]]</f>
        <v>0.46549086828561614</v>
      </c>
      <c r="K433" t="str">
        <f>IF(Table4[[#This Row],[HomeIce Differential]]&gt;0,Table4[[#This Row],[Home]],Table4[[#This Row],[Visitor]])</f>
        <v>Los Angeles Kings</v>
      </c>
      <c r="L4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0.59227176927716707</v>
      </c>
      <c r="M433" t="str">
        <f>IF(OR((NHL2025_26Results[[#This Row],[Winning Team]]="")),"-",IF(Table4[[#This Row],[Predicted Winner]]=NHL2025_26Results[[#This Row],[Winning Team]],"YES","NO"))</f>
        <v>NO</v>
      </c>
      <c r="N433">
        <f>IF(Table4[[#This Row],[Adjusted Correct]]="-", "",IF(Table4[[#This Row],[Adjusted Correct]]="YES",(Table4[[#This Row],[Strength of Win]]-1)^2,(Table4[[#This Row],[Strength of Win]]-0)^2))</f>
        <v>0.35078584868270585</v>
      </c>
      <c r="O433">
        <v>-0.1243762174677997</v>
      </c>
      <c r="P433" s="11">
        <v>0.47460751745726998</v>
      </c>
      <c r="Q433" t="s">
        <v>10</v>
      </c>
      <c r="R433" t="s">
        <v>248</v>
      </c>
    </row>
    <row r="434" spans="4:18" x14ac:dyDescent="0.2">
      <c r="D434" s="1">
        <v>45995</v>
      </c>
      <c r="E434" s="2">
        <v>0.79166666666666663</v>
      </c>
      <c r="F434" t="s">
        <v>30</v>
      </c>
      <c r="G434">
        <f>VLOOKUP(Table4[[#This Row],[Home]],'NHL Model'!$A$6:$B$38,2,FALSE)</f>
        <v>-0.18630462558229716</v>
      </c>
      <c r="H434" t="s">
        <v>12</v>
      </c>
      <c r="I434">
        <f>VLOOKUP(Table4[[#This Row],[Visitor]],'NHL Model'!$A$6:$B$38,2,FALSE)</f>
        <v>0.99866683349964291</v>
      </c>
      <c r="J434">
        <f>($B$1+Table4[[#This Row],[Home Differential]])-Table4[[#This Row],[Away Differential]]</f>
        <v>-1.0553644732704159</v>
      </c>
      <c r="K434" t="str">
        <f>IF(Table4[[#This Row],[HomeIce Differential]]&gt;0,Table4[[#This Row],[Home]],Table4[[#This Row],[Visitor]])</f>
        <v>Colorado Avalanche</v>
      </c>
      <c r="L4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0.63366247209742343</v>
      </c>
      <c r="M434" t="str">
        <f>IF(OR((NHL2025_26Results[[#This Row],[Winning Team]]="")),"-",IF(Table4[[#This Row],[Predicted Winner]]=NHL2025_26Results[[#This Row],[Winning Team]],"YES","NO"))</f>
        <v>NO</v>
      </c>
      <c r="N434">
        <f>IF(Table4[[#This Row],[Adjusted Correct]]="-", "",IF(Table4[[#This Row],[Adjusted Correct]]="YES",(Table4[[#This Row],[Strength of Win]]-1)^2,(Table4[[#This Row],[Strength of Win]]-0)^2))</f>
        <v>0.40152812854461795</v>
      </c>
      <c r="O434">
        <v>-1.7064637247040184</v>
      </c>
      <c r="P434" s="11">
        <v>0.73304089491034219</v>
      </c>
      <c r="Q434" t="s">
        <v>12</v>
      </c>
      <c r="R434" t="s">
        <v>249</v>
      </c>
    </row>
    <row r="435" spans="4:18" x14ac:dyDescent="0.2">
      <c r="D435" s="1">
        <v>45995</v>
      </c>
      <c r="E435" s="2">
        <v>0.79166666666666663</v>
      </c>
      <c r="F435" t="s">
        <v>36</v>
      </c>
      <c r="G435">
        <f>VLOOKUP(Table4[[#This Row],[Home]],'NHL Model'!$A$6:$B$38,2,FALSE)</f>
        <v>-0.19010748264223354</v>
      </c>
      <c r="H435" t="s">
        <v>15</v>
      </c>
      <c r="I435">
        <f>VLOOKUP(Table4[[#This Row],[Visitor]],'NHL Model'!$A$6:$B$38,2,FALSE)</f>
        <v>-0.73651915476403329</v>
      </c>
      <c r="J435">
        <f>($B$1+Table4[[#This Row],[Home Differential]])-Table4[[#This Row],[Away Differential]]</f>
        <v>0.67601865793332383</v>
      </c>
      <c r="K435" t="str">
        <f>IF(Table4[[#This Row],[HomeIce Differential]]&gt;0,Table4[[#This Row],[Home]],Table4[[#This Row],[Visitor]])</f>
        <v>Ottawa Senators</v>
      </c>
      <c r="L4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0.57999676272003542</v>
      </c>
      <c r="M435" t="str">
        <f>IF(OR((NHL2025_26Results[[#This Row],[Winning Team]]="")),"-",IF(Table4[[#This Row],[Predicted Winner]]=NHL2025_26Results[[#This Row],[Winning Team]],"YES","NO"))</f>
        <v>NO</v>
      </c>
      <c r="N435">
        <f>IF(Table4[[#This Row],[Adjusted Correct]]="-", "",IF(Table4[[#This Row],[Adjusted Correct]]="YES",(Table4[[#This Row],[Strength of Win]]-1)^2,(Table4[[#This Row],[Strength of Win]]-0)^2))</f>
        <v>0.33639624476572105</v>
      </c>
      <c r="O435">
        <v>-0.1816899348159049</v>
      </c>
      <c r="P435" s="11">
        <v>0.57894248394517056</v>
      </c>
      <c r="Q435" t="s">
        <v>15</v>
      </c>
      <c r="R435" t="s">
        <v>248</v>
      </c>
    </row>
    <row r="436" spans="4:18" x14ac:dyDescent="0.2">
      <c r="D436" s="1">
        <v>45995</v>
      </c>
      <c r="E436" s="2">
        <v>0.79166666666666663</v>
      </c>
      <c r="F436" t="s">
        <v>37</v>
      </c>
      <c r="G436">
        <f>VLOOKUP(Table4[[#This Row],[Home]],'NHL Model'!$A$6:$B$38,2,FALSE)</f>
        <v>0.72108184732572844</v>
      </c>
      <c r="H436" t="s">
        <v>14</v>
      </c>
      <c r="I436">
        <f>VLOOKUP(Table4[[#This Row],[Visitor]],'NHL Model'!$A$6:$B$38,2,FALSE)</f>
        <v>3.6349513460996066E-5</v>
      </c>
      <c r="J436">
        <f>($B$1+Table4[[#This Row],[Home Differential]])-Table4[[#This Row],[Away Differential]]</f>
        <v>0.85065248362379153</v>
      </c>
      <c r="K436" t="str">
        <f>IF(Table4[[#This Row],[HomeIce Differential]]&gt;0,Table4[[#This Row],[Home]],Table4[[#This Row],[Visitor]])</f>
        <v>Tampa Bay Lightning</v>
      </c>
      <c r="L4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0.63838019902964116</v>
      </c>
      <c r="M436" t="str">
        <f>IF(OR((NHL2025_26Results[[#This Row],[Winning Team]]="")),"-",IF(Table4[[#This Row],[Predicted Winner]]=NHL2025_26Results[[#This Row],[Winning Team]],"YES","NO"))</f>
        <v>NO</v>
      </c>
      <c r="N436">
        <f>IF(Table4[[#This Row],[Adjusted Correct]]="-", "",IF(Table4[[#This Row],[Adjusted Correct]]="YES",(Table4[[#This Row],[Strength of Win]]-1)^2,(Table4[[#This Row],[Strength of Win]]-0)^2))</f>
        <v>0.40752927851312426</v>
      </c>
      <c r="O436">
        <v>0.6261997543658262</v>
      </c>
      <c r="P436" s="11">
        <v>0.60687813176720706</v>
      </c>
      <c r="Q436" t="s">
        <v>37</v>
      </c>
      <c r="R436" t="s">
        <v>249</v>
      </c>
    </row>
    <row r="437" spans="4:18" x14ac:dyDescent="0.2">
      <c r="D437" s="1">
        <v>45996</v>
      </c>
      <c r="E437" s="2">
        <v>0.91666666666666663</v>
      </c>
      <c r="F437" t="s">
        <v>31</v>
      </c>
      <c r="G437">
        <f>VLOOKUP(Table4[[#This Row],[Home]],'NHL Model'!$A$6:$B$38,2,FALSE)</f>
        <v>-0.46360583111358089</v>
      </c>
      <c r="H437" t="s">
        <v>22</v>
      </c>
      <c r="I437">
        <f>VLOOKUP(Table4[[#This Row],[Visitor]],'NHL Model'!$A$6:$B$38,2,FALSE)</f>
        <v>-0.11977593183651415</v>
      </c>
      <c r="J437">
        <f>($B$1+Table4[[#This Row],[Home Differential]])-Table4[[#This Row],[Away Differential]]</f>
        <v>-0.21422291346554267</v>
      </c>
      <c r="K437" t="str">
        <f>IF(Table4[[#This Row],[HomeIce Differential]]&gt;0,Table4[[#This Row],[Home]],Table4[[#This Row],[Visitor]])</f>
        <v>Washington Capitals</v>
      </c>
      <c r="L4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0.43233994284873911</v>
      </c>
      <c r="M437" t="str">
        <f>IF(OR((NHL2025_26Results[[#This Row],[Winning Team]]="")),"-",IF(Table4[[#This Row],[Predicted Winner]]=NHL2025_26Results[[#This Row],[Winning Team]],"YES","NO"))</f>
        <v>NO</v>
      </c>
      <c r="N437">
        <f>IF(Table4[[#This Row],[Adjusted Correct]]="-", "",IF(Table4[[#This Row],[Adjusted Correct]]="YES",(Table4[[#This Row],[Strength of Win]]-1)^2,(Table4[[#This Row],[Strength of Win]]-0)^2))</f>
        <v>0.18691782618245101</v>
      </c>
      <c r="O437">
        <v>-0.76617003857249488</v>
      </c>
      <c r="P437" s="11">
        <v>0.55277195228166454</v>
      </c>
      <c r="Q437" t="s">
        <v>22</v>
      </c>
      <c r="R437" t="s">
        <v>249</v>
      </c>
    </row>
    <row r="438" spans="4:18" x14ac:dyDescent="0.2">
      <c r="D438" s="1">
        <v>45996</v>
      </c>
      <c r="E438" s="2">
        <v>0.83333333333333337</v>
      </c>
      <c r="F438" t="s">
        <v>39</v>
      </c>
      <c r="G438">
        <f>VLOOKUP(Table4[[#This Row],[Home]],'NHL Model'!$A$6:$B$38,2,FALSE)</f>
        <v>0.21708030788125537</v>
      </c>
      <c r="H438" t="s">
        <v>33</v>
      </c>
      <c r="I438">
        <f>VLOOKUP(Table4[[#This Row],[Visitor]],'NHL Model'!$A$6:$B$38,2,FALSE)</f>
        <v>-0.65236582493376272</v>
      </c>
      <c r="J438">
        <f>($B$1+Table4[[#This Row],[Home Differential]])-Table4[[#This Row],[Away Differential]]</f>
        <v>0.99905311862654222</v>
      </c>
      <c r="K438" t="str">
        <f>IF(Table4[[#This Row],[HomeIce Differential]]&gt;0,Table4[[#This Row],[Home]],Table4[[#This Row],[Visitor]])</f>
        <v>Dallas Stars</v>
      </c>
      <c r="L4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0.69002574252491722</v>
      </c>
      <c r="M438" t="str">
        <f>IF(OR((NHL2025_26Results[[#This Row],[Winning Team]]="")),"-",IF(Table4[[#This Row],[Predicted Winner]]=NHL2025_26Results[[#This Row],[Winning Team]],"YES","NO"))</f>
        <v>YES</v>
      </c>
      <c r="N438">
        <f>IF(Table4[[#This Row],[Adjusted Correct]]="-", "",IF(Table4[[#This Row],[Adjusted Correct]]="YES",(Table4[[#This Row],[Strength of Win]]-1)^2,(Table4[[#This Row],[Strength of Win]]-0)^2))</f>
        <v>9.6084040297228918E-2</v>
      </c>
      <c r="O438">
        <v>1.1605191205385363</v>
      </c>
      <c r="P438" s="11">
        <v>0.69672988814449488</v>
      </c>
      <c r="Q438" t="s">
        <v>39</v>
      </c>
      <c r="R438" t="s">
        <v>248</v>
      </c>
    </row>
    <row r="439" spans="4:18" x14ac:dyDescent="0.2">
      <c r="D439" s="1">
        <v>45996</v>
      </c>
      <c r="E439" s="2">
        <v>0.79166666666666663</v>
      </c>
      <c r="F439" t="s">
        <v>24</v>
      </c>
      <c r="G439">
        <f>VLOOKUP(Table4[[#This Row],[Home]],'NHL Model'!$A$6:$B$38,2,FALSE)</f>
        <v>-0.74510803532792402</v>
      </c>
      <c r="H439" t="s">
        <v>20</v>
      </c>
      <c r="I439">
        <f>VLOOKUP(Table4[[#This Row],[Visitor]],'NHL Model'!$A$6:$B$38,2,FALSE)</f>
        <v>-0.16296463421387539</v>
      </c>
      <c r="J439">
        <f>($B$1+Table4[[#This Row],[Home Differential]])-Table4[[#This Row],[Away Differential]]</f>
        <v>-0.45253641530252453</v>
      </c>
      <c r="K439" t="str">
        <f>IF(Table4[[#This Row],[HomeIce Differential]]&gt;0,Table4[[#This Row],[Home]],Table4[[#This Row],[Visitor]])</f>
        <v>Vegas Golden Knights</v>
      </c>
      <c r="L4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0.52283324707928736</v>
      </c>
      <c r="M439" t="str">
        <f>IF(OR((NHL2025_26Results[[#This Row],[Winning Team]]="")),"-",IF(Table4[[#This Row],[Predicted Winner]]=NHL2025_26Results[[#This Row],[Winning Team]],"YES","NO"))</f>
        <v>YES</v>
      </c>
      <c r="N439">
        <f>IF(Table4[[#This Row],[Adjusted Correct]]="-", "",IF(Table4[[#This Row],[Adjusted Correct]]="YES",(Table4[[#This Row],[Strength of Win]]-1)^2,(Table4[[#This Row],[Strength of Win]]-0)^2))</f>
        <v>0.22768811009289644</v>
      </c>
      <c r="O439">
        <v>0.1908458985349622</v>
      </c>
      <c r="P439" s="11">
        <v>0.62127227490364367</v>
      </c>
      <c r="Q439" t="s">
        <v>24</v>
      </c>
      <c r="R439" t="s">
        <v>249</v>
      </c>
    </row>
    <row r="440" spans="4:18" x14ac:dyDescent="0.2">
      <c r="D440" s="1">
        <v>45996</v>
      </c>
      <c r="E440" s="2">
        <v>0.875</v>
      </c>
      <c r="F440" t="s">
        <v>38</v>
      </c>
      <c r="G440">
        <f>VLOOKUP(Table4[[#This Row],[Home]],'NHL Model'!$A$6:$B$38,2,FALSE)</f>
        <v>-1.3920033028857945</v>
      </c>
      <c r="H440" t="s">
        <v>55</v>
      </c>
      <c r="I440">
        <f>VLOOKUP(Table4[[#This Row],[Visitor]],'NHL Model'!$A$6:$B$38,2,FALSE)</f>
        <v>8.4094725828611647E-2</v>
      </c>
      <c r="J440">
        <f>($B$1+Table4[[#This Row],[Home Differential]])-Table4[[#This Row],[Away Differential]]</f>
        <v>-1.346491042902882</v>
      </c>
      <c r="K440" t="str">
        <f>IF(Table4[[#This Row],[HomeIce Differential]]&gt;0,Table4[[#This Row],[Home]],Table4[[#This Row],[Visitor]])</f>
        <v>Utah Mammoth</v>
      </c>
      <c r="L4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0.61120268500134245</v>
      </c>
      <c r="M440" t="str">
        <f>IF(OR((NHL2025_26Results[[#This Row],[Winning Team]]="")),"-",IF(Table4[[#This Row],[Predicted Winner]]=NHL2025_26Results[[#This Row],[Winning Team]],"YES","NO"))</f>
        <v>YES</v>
      </c>
      <c r="N440">
        <f>IF(Table4[[#This Row],[Adjusted Correct]]="-", "",IF(Table4[[#This Row],[Adjusted Correct]]="YES",(Table4[[#This Row],[Strength of Win]]-1)^2,(Table4[[#This Row],[Strength of Win]]-0)^2))</f>
        <v>0.15116335215016535</v>
      </c>
      <c r="O440">
        <v>-0.72691080570714139</v>
      </c>
      <c r="P440" s="11">
        <v>0.53797255037893632</v>
      </c>
      <c r="Q440" t="s">
        <v>55</v>
      </c>
      <c r="R440" t="s">
        <v>248</v>
      </c>
    </row>
    <row r="441" spans="4:18" x14ac:dyDescent="0.2">
      <c r="D441" s="1">
        <v>45996</v>
      </c>
      <c r="E441" s="2">
        <v>0.79166666666666663</v>
      </c>
      <c r="F441" t="s">
        <v>40</v>
      </c>
      <c r="G441">
        <f>VLOOKUP(Table4[[#This Row],[Home]],'NHL Model'!$A$6:$B$38,2,FALSE)</f>
        <v>-0.58845147248022256</v>
      </c>
      <c r="H441" t="s">
        <v>23</v>
      </c>
      <c r="I441">
        <f>VLOOKUP(Table4[[#This Row],[Visitor]],'NHL Model'!$A$6:$B$38,2,FALSE)</f>
        <v>8.1543966060426461E-3</v>
      </c>
      <c r="J441">
        <f>($B$1+Table4[[#This Row],[Home Differential]])-Table4[[#This Row],[Away Differential]]</f>
        <v>-0.46699888327474115</v>
      </c>
      <c r="K441" t="str">
        <f>IF(Table4[[#This Row],[HomeIce Differential]]&gt;0,Table4[[#This Row],[Home]],Table4[[#This Row],[Visitor]])</f>
        <v>Buffalo Sabres</v>
      </c>
      <c r="L4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0.54933552004846053</v>
      </c>
      <c r="M441" t="str">
        <f>IF(OR((NHL2025_26Results[[#This Row],[Winning Team]]="")),"-",IF(Table4[[#This Row],[Predicted Winner]]=NHL2025_26Results[[#This Row],[Winning Team]],"YES","NO"))</f>
        <v>NO</v>
      </c>
      <c r="N441">
        <f>IF(Table4[[#This Row],[Adjusted Correct]]="-", "",IF(Table4[[#This Row],[Adjusted Correct]]="YES",(Table4[[#This Row],[Strength of Win]]-1)^2,(Table4[[#This Row],[Strength of Win]]-0)^2))</f>
        <v>0.30176951358691256</v>
      </c>
      <c r="O441">
        <v>0.22415943612869432</v>
      </c>
      <c r="P441" s="11">
        <v>0.56654008383703025</v>
      </c>
      <c r="Q441" t="s">
        <v>40</v>
      </c>
      <c r="R441" t="s">
        <v>248</v>
      </c>
    </row>
    <row r="442" spans="4:18" x14ac:dyDescent="0.2">
      <c r="D442" s="1">
        <v>45997</v>
      </c>
      <c r="E442" s="2">
        <v>0.79166666666666663</v>
      </c>
      <c r="F442" t="s">
        <v>21</v>
      </c>
      <c r="G442">
        <f>VLOOKUP(Table4[[#This Row],[Home]],'NHL Model'!$A$6:$B$38,2,FALSE)</f>
        <v>-0.10253061303059285</v>
      </c>
      <c r="H442" t="s">
        <v>24</v>
      </c>
      <c r="I442">
        <f>VLOOKUP(Table4[[#This Row],[Visitor]],'NHL Model'!$A$6:$B$38,2,FALSE)</f>
        <v>-0.74510803532792402</v>
      </c>
      <c r="J442">
        <f>($B$1+Table4[[#This Row],[Home Differential]])-Table4[[#This Row],[Away Differential]]</f>
        <v>0.77218440810885525</v>
      </c>
      <c r="K442" t="str">
        <f>IF(Table4[[#This Row],[HomeIce Differential]]&gt;0,Table4[[#This Row],[Home]],Table4[[#This Row],[Visitor]])</f>
        <v>Boston Bruins</v>
      </c>
      <c r="L4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0.6581401440288005</v>
      </c>
      <c r="M442" t="str">
        <f>IF(OR((NHL2025_26Results[[#This Row],[Winning Team]]="")),"-",IF(Table4[[#This Row],[Predicted Winner]]=NHL2025_26Results[[#This Row],[Winning Team]],"YES","NO"))</f>
        <v>YES</v>
      </c>
      <c r="N442">
        <f>IF(Table4[[#This Row],[Adjusted Correct]]="-", "",IF(Table4[[#This Row],[Adjusted Correct]]="YES",(Table4[[#This Row],[Strength of Win]]-1)^2,(Table4[[#This Row],[Strength of Win]]-0)^2))</f>
        <v>0.11686816112464926</v>
      </c>
      <c r="O442">
        <v>7.4780324865432443E-2</v>
      </c>
      <c r="P442" s="11">
        <v>0.57994330624292001</v>
      </c>
      <c r="Q442" t="s">
        <v>21</v>
      </c>
      <c r="R442" t="s">
        <v>248</v>
      </c>
    </row>
    <row r="443" spans="4:18" x14ac:dyDescent="0.2">
      <c r="D443" s="1">
        <v>45997</v>
      </c>
      <c r="E443" s="2">
        <v>0.79166666666666663</v>
      </c>
      <c r="F443" t="s">
        <v>25</v>
      </c>
      <c r="G443">
        <f>VLOOKUP(Table4[[#This Row],[Home]],'NHL Model'!$A$6:$B$38,2,FALSE)</f>
        <v>0.2324942014830165</v>
      </c>
      <c r="H443" t="s">
        <v>29</v>
      </c>
      <c r="I443">
        <f>VLOOKUP(Table4[[#This Row],[Visitor]],'NHL Model'!$A$6:$B$38,2,FALSE)</f>
        <v>-0.82056481120798741</v>
      </c>
      <c r="J443">
        <f>($B$1+Table4[[#This Row],[Home Differential]])-Table4[[#This Row],[Away Differential]]</f>
        <v>1.1826659985025281</v>
      </c>
      <c r="K443" t="str">
        <f>IF(Table4[[#This Row],[HomeIce Differential]]&gt;0,Table4[[#This Row],[Home]],Table4[[#This Row],[Visitor]])</f>
        <v>Carolina Hurricanes</v>
      </c>
      <c r="L4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0.728381860585536</v>
      </c>
      <c r="M443" t="str">
        <f>IF(OR((NHL2025_26Results[[#This Row],[Winning Team]]="")),"-",IF(Table4[[#This Row],[Predicted Winner]]=NHL2025_26Results[[#This Row],[Winning Team]],"YES","NO"))</f>
        <v>YES</v>
      </c>
      <c r="N443">
        <f>IF(Table4[[#This Row],[Adjusted Correct]]="-", "",IF(Table4[[#This Row],[Adjusted Correct]]="YES",(Table4[[#This Row],[Strength of Win]]-1)^2,(Table4[[#This Row],[Strength of Win]]-0)^2))</f>
        <v>7.3776413658975207E-2</v>
      </c>
      <c r="O443">
        <v>1.4275905394243464</v>
      </c>
      <c r="P443" s="11">
        <v>0.73479624045042391</v>
      </c>
      <c r="Q443" t="s">
        <v>25</v>
      </c>
      <c r="R443" t="s">
        <v>248</v>
      </c>
    </row>
    <row r="444" spans="4:18" x14ac:dyDescent="0.2">
      <c r="D444" s="1">
        <v>45997</v>
      </c>
      <c r="E444" s="2">
        <v>0.79166666666666663</v>
      </c>
      <c r="F444" t="s">
        <v>16</v>
      </c>
      <c r="G444">
        <f>VLOOKUP(Table4[[#This Row],[Home]],'NHL Model'!$A$6:$B$38,2,FALSE)</f>
        <v>-0.89031221864884547</v>
      </c>
      <c r="H444" t="s">
        <v>55</v>
      </c>
      <c r="I444">
        <f>VLOOKUP(Table4[[#This Row],[Visitor]],'NHL Model'!$A$6:$B$38,2,FALSE)</f>
        <v>8.4094725828611647E-2</v>
      </c>
      <c r="J444">
        <f>($B$1+Table4[[#This Row],[Home Differential]])-Table4[[#This Row],[Away Differential]]</f>
        <v>-0.84479995866593305</v>
      </c>
      <c r="K444" t="str">
        <f>IF(Table4[[#This Row],[HomeIce Differential]]&gt;0,Table4[[#This Row],[Home]],Table4[[#This Row],[Visitor]])</f>
        <v>Utah Mammoth</v>
      </c>
      <c r="L4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0.55486585351799134</v>
      </c>
      <c r="M444" t="str">
        <f>IF(OR((NHL2025_26Results[[#This Row],[Winning Team]]="")),"-",IF(Table4[[#This Row],[Predicted Winner]]=NHL2025_26Results[[#This Row],[Winning Team]],"YES","NO"))</f>
        <v>NO</v>
      </c>
      <c r="N444">
        <f>IF(Table4[[#This Row],[Adjusted Correct]]="-", "",IF(Table4[[#This Row],[Adjusted Correct]]="YES",(Table4[[#This Row],[Strength of Win]]-1)^2,(Table4[[#This Row],[Strength of Win]]-0)^2))</f>
        <v>0.30787611540024901</v>
      </c>
      <c r="O444">
        <v>-0.92077897023560651</v>
      </c>
      <c r="P444" s="11">
        <v>0.5648429352011175</v>
      </c>
      <c r="Q444" t="s">
        <v>55</v>
      </c>
      <c r="R444" t="s">
        <v>249</v>
      </c>
    </row>
    <row r="445" spans="4:18" x14ac:dyDescent="0.2">
      <c r="D445" s="1">
        <v>45997</v>
      </c>
      <c r="E445" s="2">
        <v>0.91666666666666663</v>
      </c>
      <c r="F445" t="s">
        <v>17</v>
      </c>
      <c r="G445">
        <f>VLOOKUP(Table4[[#This Row],[Home]],'NHL Model'!$A$6:$B$38,2,FALSE)</f>
        <v>-0.36462594951491906</v>
      </c>
      <c r="H445" t="s">
        <v>40</v>
      </c>
      <c r="I445">
        <f>VLOOKUP(Table4[[#This Row],[Visitor]],'NHL Model'!$A$6:$B$38,2,FALSE)</f>
        <v>-0.58845147248022256</v>
      </c>
      <c r="J445">
        <f>($B$1+Table4[[#This Row],[Home Differential]])-Table4[[#This Row],[Away Differential]]</f>
        <v>0.35343250877682764</v>
      </c>
      <c r="K445" t="str">
        <f>IF(Table4[[#This Row],[HomeIce Differential]]&gt;0,Table4[[#This Row],[Home]],Table4[[#This Row],[Visitor]])</f>
        <v>Edmonton Oilers</v>
      </c>
      <c r="L4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0.57968830284871886</v>
      </c>
      <c r="M445" t="str">
        <f>IF(OR((NHL2025_26Results[[#This Row],[Winning Team]]="")),"-",IF(Table4[[#This Row],[Predicted Winner]]=NHL2025_26Results[[#This Row],[Winning Team]],"YES","NO"))</f>
        <v>YES</v>
      </c>
      <c r="N445">
        <f>IF(Table4[[#This Row],[Adjusted Correct]]="-", "",IF(Table4[[#This Row],[Adjusted Correct]]="YES",(Table4[[#This Row],[Strength of Win]]-1)^2,(Table4[[#This Row],[Strength of Win]]-0)^2))</f>
        <v>0.17666192276219028</v>
      </c>
      <c r="O445">
        <v>-0.33464499956890115</v>
      </c>
      <c r="P445" s="11">
        <v>0.49918162940999083</v>
      </c>
      <c r="Q445" t="s">
        <v>40</v>
      </c>
      <c r="R445" t="s">
        <v>249</v>
      </c>
    </row>
    <row r="446" spans="4:18" x14ac:dyDescent="0.2">
      <c r="D446" s="1">
        <v>45997</v>
      </c>
      <c r="E446" s="2">
        <v>0.64583333333333337</v>
      </c>
      <c r="F446" t="s">
        <v>11</v>
      </c>
      <c r="G446">
        <f>VLOOKUP(Table4[[#This Row],[Home]],'NHL Model'!$A$6:$B$38,2,FALSE)</f>
        <v>-0.55695213126481558</v>
      </c>
      <c r="H446" t="s">
        <v>28</v>
      </c>
      <c r="I446">
        <f>VLOOKUP(Table4[[#This Row],[Visitor]],'NHL Model'!$A$6:$B$38,2,FALSE)</f>
        <v>-0.28156479873410767</v>
      </c>
      <c r="J446">
        <f>($B$1+Table4[[#This Row],[Home Differential]])-Table4[[#This Row],[Away Differential]]</f>
        <v>-0.14578034671918383</v>
      </c>
      <c r="K446" t="str">
        <f>IF(Table4[[#This Row],[HomeIce Differential]]&gt;0,Table4[[#This Row],[Home]],Table4[[#This Row],[Visitor]])</f>
        <v>Columbus Blue Jackets</v>
      </c>
      <c r="L4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0.48838642216000533</v>
      </c>
      <c r="M446" t="str">
        <f>IF(OR((NHL2025_26Results[[#This Row],[Winning Team]]="")),"-",IF(Table4[[#This Row],[Predicted Winner]]=NHL2025_26Results[[#This Row],[Winning Team]],"YES","NO"))</f>
        <v>NO</v>
      </c>
      <c r="N446">
        <f>IF(Table4[[#This Row],[Adjusted Correct]]="-", "",IF(Table4[[#This Row],[Adjusted Correct]]="YES",(Table4[[#This Row],[Strength of Win]]-1)^2,(Table4[[#This Row],[Strength of Win]]-0)^2))</f>
        <v>0.23852129735025093</v>
      </c>
      <c r="O446">
        <v>-1.8999945409129637E-2</v>
      </c>
      <c r="P446" s="11">
        <v>0.4657395554880448</v>
      </c>
      <c r="Q446" t="s">
        <v>28</v>
      </c>
      <c r="R446" t="s">
        <v>249</v>
      </c>
    </row>
    <row r="447" spans="4:18" x14ac:dyDescent="0.2">
      <c r="D447" s="1">
        <v>45997</v>
      </c>
      <c r="E447" s="2">
        <v>0.875</v>
      </c>
      <c r="F447" t="s">
        <v>13</v>
      </c>
      <c r="G447">
        <f>VLOOKUP(Table4[[#This Row],[Home]],'NHL Model'!$A$6:$B$38,2,FALSE)</f>
        <v>-0.59069689888466137</v>
      </c>
      <c r="H447" t="s">
        <v>10</v>
      </c>
      <c r="I447">
        <f>VLOOKUP(Table4[[#This Row],[Visitor]],'NHL Model'!$A$6:$B$38,2,FALSE)</f>
        <v>-0.92658078135875344</v>
      </c>
      <c r="J447">
        <f>($B$1+Table4[[#This Row],[Home Differential]])-Table4[[#This Row],[Away Differential]]</f>
        <v>0.46549086828561614</v>
      </c>
      <c r="K447" t="str">
        <f>IF(Table4[[#This Row],[HomeIce Differential]]&gt;0,Table4[[#This Row],[Home]],Table4[[#This Row],[Visitor]])</f>
        <v>Los Angeles Kings</v>
      </c>
      <c r="L4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0.59227176927716707</v>
      </c>
      <c r="M447" t="str">
        <f>IF(OR((NHL2025_26Results[[#This Row],[Winning Team]]="")),"-",IF(Table4[[#This Row],[Predicted Winner]]=NHL2025_26Results[[#This Row],[Winning Team]],"YES","NO"))</f>
        <v>YES</v>
      </c>
      <c r="N447">
        <f>IF(Table4[[#This Row],[Adjusted Correct]]="-", "",IF(Table4[[#This Row],[Adjusted Correct]]="YES",(Table4[[#This Row],[Strength of Win]]-1)^2,(Table4[[#This Row],[Strength of Win]]-0)^2))</f>
        <v>0.16624231012837168</v>
      </c>
      <c r="O447">
        <v>-0.17161664201237084</v>
      </c>
      <c r="P447" s="11">
        <v>0.4803703308559662</v>
      </c>
      <c r="Q447" t="s">
        <v>10</v>
      </c>
      <c r="R447" t="s">
        <v>249</v>
      </c>
    </row>
    <row r="448" spans="4:18" x14ac:dyDescent="0.2">
      <c r="D448" s="1">
        <v>45997</v>
      </c>
      <c r="E448" s="2">
        <v>0.52083333333333337</v>
      </c>
      <c r="F448" t="s">
        <v>15</v>
      </c>
      <c r="G448">
        <f>VLOOKUP(Table4[[#This Row],[Home]],'NHL Model'!$A$6:$B$38,2,FALSE)</f>
        <v>-0.73651915476403329</v>
      </c>
      <c r="H448" t="s">
        <v>12</v>
      </c>
      <c r="I448">
        <f>VLOOKUP(Table4[[#This Row],[Visitor]],'NHL Model'!$A$6:$B$38,2,FALSE)</f>
        <v>0.99866683349964291</v>
      </c>
      <c r="J448">
        <f>($B$1+Table4[[#This Row],[Home Differential]])-Table4[[#This Row],[Away Differential]]</f>
        <v>-1.6055790024521521</v>
      </c>
      <c r="K448" t="str">
        <f>IF(Table4[[#This Row],[HomeIce Differential]]&gt;0,Table4[[#This Row],[Home]],Table4[[#This Row],[Visitor]])</f>
        <v>Colorado Avalanche</v>
      </c>
      <c r="L4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0.70956192895574821</v>
      </c>
      <c r="M448" t="str">
        <f>IF(OR((NHL2025_26Results[[#This Row],[Winning Team]]="")),"-",IF(Table4[[#This Row],[Predicted Winner]]=NHL2025_26Results[[#This Row],[Winning Team]],"YES","NO"))</f>
        <v>YES</v>
      </c>
      <c r="N448">
        <f>IF(Table4[[#This Row],[Adjusted Correct]]="-", "",IF(Table4[[#This Row],[Adjusted Correct]]="YES",(Table4[[#This Row],[Strength of Win]]-1)^2,(Table4[[#This Row],[Strength of Win]]-0)^2))</f>
        <v>8.4354273111905853E-2</v>
      </c>
      <c r="O448">
        <v>-1.5200313585207512</v>
      </c>
      <c r="P448" s="11">
        <v>0.68721460914902843</v>
      </c>
      <c r="Q448" t="s">
        <v>12</v>
      </c>
      <c r="R448" t="s">
        <v>248</v>
      </c>
    </row>
    <row r="449" spans="4:18" x14ac:dyDescent="0.2">
      <c r="D449" s="1">
        <v>45997</v>
      </c>
      <c r="E449" s="2">
        <v>0.79166666666666663</v>
      </c>
      <c r="F449" t="s">
        <v>36</v>
      </c>
      <c r="G449">
        <f>VLOOKUP(Table4[[#This Row],[Home]],'NHL Model'!$A$6:$B$38,2,FALSE)</f>
        <v>-0.19010748264223354</v>
      </c>
      <c r="H449" t="s">
        <v>35</v>
      </c>
      <c r="I449">
        <f>VLOOKUP(Table4[[#This Row],[Visitor]],'NHL Model'!$A$6:$B$38,2,FALSE)</f>
        <v>-1.3128572733047907</v>
      </c>
      <c r="J449">
        <f>($B$1+Table4[[#This Row],[Home Differential]])-Table4[[#This Row],[Away Differential]]</f>
        <v>1.2523567764740813</v>
      </c>
      <c r="K449" t="str">
        <f>IF(Table4[[#This Row],[HomeIce Differential]]&gt;0,Table4[[#This Row],[Home]],Table4[[#This Row],[Visitor]])</f>
        <v>Ottawa Senators</v>
      </c>
      <c r="L4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0.68063198428284322</v>
      </c>
      <c r="M449" t="str">
        <f>IF(OR((NHL2025_26Results[[#This Row],[Winning Team]]="")),"-",IF(Table4[[#This Row],[Predicted Winner]]=NHL2025_26Results[[#This Row],[Winning Team]],"YES","NO"))</f>
        <v>NO</v>
      </c>
      <c r="N449">
        <f>IF(Table4[[#This Row],[Adjusted Correct]]="-", "",IF(Table4[[#This Row],[Adjusted Correct]]="YES",(Table4[[#This Row],[Strength of Win]]-1)^2,(Table4[[#This Row],[Strength of Win]]-0)^2))</f>
        <v>0.46325989802880052</v>
      </c>
      <c r="O449">
        <v>0.99262647348582633</v>
      </c>
      <c r="P449" s="11">
        <v>0.65302372925823782</v>
      </c>
      <c r="Q449" t="s">
        <v>36</v>
      </c>
      <c r="R449" t="s">
        <v>249</v>
      </c>
    </row>
    <row r="450" spans="4:18" x14ac:dyDescent="0.2">
      <c r="D450" s="1">
        <v>45997</v>
      </c>
      <c r="E450" s="2">
        <v>0.91666666666666663</v>
      </c>
      <c r="F450" t="s">
        <v>32</v>
      </c>
      <c r="G450">
        <f>VLOOKUP(Table4[[#This Row],[Home]],'NHL Model'!$A$6:$B$38,2,FALSE)</f>
        <v>-0.48236715437805205</v>
      </c>
      <c r="H450" t="s">
        <v>26</v>
      </c>
      <c r="I450">
        <f>VLOOKUP(Table4[[#This Row],[Visitor]],'NHL Model'!$A$6:$B$38,2,FALSE)</f>
        <v>-0.33113778518110382</v>
      </c>
      <c r="J450">
        <f>($B$1+Table4[[#This Row],[Home Differential]])-Table4[[#This Row],[Away Differential]]</f>
        <v>-2.1622383385424104E-2</v>
      </c>
      <c r="K450" t="str">
        <f>IF(Table4[[#This Row],[HomeIce Differential]]&gt;0,Table4[[#This Row],[Home]],Table4[[#This Row],[Visitor]])</f>
        <v>Detroit Red Wings</v>
      </c>
      <c r="L4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0.50043602915413909</v>
      </c>
      <c r="M450" t="str">
        <f>IF(OR((NHL2025_26Results[[#This Row],[Winning Team]]="")),"-",IF(Table4[[#This Row],[Predicted Winner]]=NHL2025_26Results[[#This Row],[Winning Team]],"YES","NO"))</f>
        <v>YES</v>
      </c>
      <c r="N450">
        <f>IF(Table4[[#This Row],[Adjusted Correct]]="-", "",IF(Table4[[#This Row],[Adjusted Correct]]="YES",(Table4[[#This Row],[Strength of Win]]-1)^2,(Table4[[#This Row],[Strength of Win]]-0)^2))</f>
        <v>0.24956416096728418</v>
      </c>
      <c r="O450">
        <v>8.3112309576806376E-2</v>
      </c>
      <c r="P450" s="11">
        <v>0.54946344211700093</v>
      </c>
      <c r="Q450" t="s">
        <v>32</v>
      </c>
      <c r="R450" t="s">
        <v>249</v>
      </c>
    </row>
    <row r="451" spans="4:18" x14ac:dyDescent="0.2">
      <c r="D451" s="1">
        <v>45997</v>
      </c>
      <c r="E451" s="2">
        <v>0.79166666666666663</v>
      </c>
      <c r="F451" t="s">
        <v>37</v>
      </c>
      <c r="G451">
        <f>VLOOKUP(Table4[[#This Row],[Home]],'NHL Model'!$A$6:$B$38,2,FALSE)</f>
        <v>0.72108184732572844</v>
      </c>
      <c r="H451" t="s">
        <v>30</v>
      </c>
      <c r="I451">
        <f>VLOOKUP(Table4[[#This Row],[Visitor]],'NHL Model'!$A$6:$B$38,2,FALSE)</f>
        <v>-0.18630462558229716</v>
      </c>
      <c r="J451">
        <f>($B$1+Table4[[#This Row],[Home Differential]])-Table4[[#This Row],[Away Differential]]</f>
        <v>1.0369934587195497</v>
      </c>
      <c r="K451" t="str">
        <f>IF(Table4[[#This Row],[HomeIce Differential]]&gt;0,Table4[[#This Row],[Home]],Table4[[#This Row],[Visitor]])</f>
        <v>Tampa Bay Lightning</v>
      </c>
      <c r="L4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0.67636941923442029</v>
      </c>
      <c r="M451" t="str">
        <f>IF(OR((NHL2025_26Results[[#This Row],[Winning Team]]="")),"-",IF(Table4[[#This Row],[Predicted Winner]]=NHL2025_26Results[[#This Row],[Winning Team]],"YES","NO"))</f>
        <v>NO</v>
      </c>
      <c r="N451">
        <f>IF(Table4[[#This Row],[Adjusted Correct]]="-", "",IF(Table4[[#This Row],[Adjusted Correct]]="YES",(Table4[[#This Row],[Strength of Win]]-1)^2,(Table4[[#This Row],[Strength of Win]]-0)^2))</f>
        <v>0.45747559127550697</v>
      </c>
      <c r="O451">
        <v>0.47254745250038166</v>
      </c>
      <c r="P451" s="11">
        <v>0.5352872954101745</v>
      </c>
      <c r="Q451" t="s">
        <v>37</v>
      </c>
      <c r="R451" t="s">
        <v>249</v>
      </c>
    </row>
    <row r="452" spans="4:18" x14ac:dyDescent="0.2">
      <c r="D452" s="1">
        <v>45997</v>
      </c>
      <c r="E452" s="2">
        <v>0.79166666666666663</v>
      </c>
      <c r="F452" t="s">
        <v>19</v>
      </c>
      <c r="G452">
        <f>VLOOKUP(Table4[[#This Row],[Home]],'NHL Model'!$A$6:$B$38,2,FALSE)</f>
        <v>-0.44228056828684137</v>
      </c>
      <c r="H452" t="s">
        <v>18</v>
      </c>
      <c r="I452">
        <f>VLOOKUP(Table4[[#This Row],[Visitor]],'NHL Model'!$A$6:$B$38,2,FALSE)</f>
        <v>-8.6274676766085606E-2</v>
      </c>
      <c r="J452">
        <f>($B$1+Table4[[#This Row],[Home Differential]])-Table4[[#This Row],[Away Differential]]</f>
        <v>-0.22639890570923168</v>
      </c>
      <c r="K452" t="str">
        <f>IF(Table4[[#This Row],[HomeIce Differential]]&gt;0,Table4[[#This Row],[Home]],Table4[[#This Row],[Visitor]])</f>
        <v>Montreal Canadiens</v>
      </c>
      <c r="L4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0.53079275990839858</v>
      </c>
      <c r="M452" t="str">
        <f>IF(OR((NHL2025_26Results[[#This Row],[Winning Team]]="")),"-",IF(Table4[[#This Row],[Predicted Winner]]=NHL2025_26Results[[#This Row],[Winning Team]],"YES","NO"))</f>
        <v>YES</v>
      </c>
      <c r="N452">
        <f>IF(Table4[[#This Row],[Adjusted Correct]]="-", "",IF(Table4[[#This Row],[Adjusted Correct]]="YES",(Table4[[#This Row],[Strength of Win]]-1)^2,(Table4[[#This Row],[Strength of Win]]-0)^2))</f>
        <v>0.22015543415437769</v>
      </c>
      <c r="O452">
        <v>0.32879308553961978</v>
      </c>
      <c r="P452" s="11">
        <v>0.51814963300845873</v>
      </c>
      <c r="Q452" t="s">
        <v>19</v>
      </c>
      <c r="R452" t="s">
        <v>249</v>
      </c>
    </row>
    <row r="453" spans="4:18" x14ac:dyDescent="0.2">
      <c r="D453" s="1">
        <v>45997</v>
      </c>
      <c r="E453" s="2">
        <v>0.91666666666666663</v>
      </c>
      <c r="F453" t="s">
        <v>38</v>
      </c>
      <c r="G453">
        <f>VLOOKUP(Table4[[#This Row],[Home]],'NHL Model'!$A$6:$B$38,2,FALSE)</f>
        <v>-1.3920033028857945</v>
      </c>
      <c r="H453" t="s">
        <v>34</v>
      </c>
      <c r="I453">
        <f>VLOOKUP(Table4[[#This Row],[Visitor]],'NHL Model'!$A$6:$B$38,2,FALSE)</f>
        <v>6.0485283743665949E-2</v>
      </c>
      <c r="J453">
        <f>($B$1+Table4[[#This Row],[Home Differential]])-Table4[[#This Row],[Away Differential]]</f>
        <v>-1.3228816008179365</v>
      </c>
      <c r="K453" t="str">
        <f>IF(Table4[[#This Row],[HomeIce Differential]]&gt;0,Table4[[#This Row],[Home]],Table4[[#This Row],[Visitor]])</f>
        <v>Minnesota Wild</v>
      </c>
      <c r="L4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0.67781674476362486</v>
      </c>
      <c r="M453" t="str">
        <f>IF(OR((NHL2025_26Results[[#This Row],[Winning Team]]="")),"-",IF(Table4[[#This Row],[Predicted Winner]]=NHL2025_26Results[[#This Row],[Winning Team]],"YES","NO"))</f>
        <v>NO</v>
      </c>
      <c r="N453">
        <f>IF(Table4[[#This Row],[Adjusted Correct]]="-", "",IF(Table4[[#This Row],[Adjusted Correct]]="YES",(Table4[[#This Row],[Strength of Win]]-1)^2,(Table4[[#This Row],[Strength of Win]]-0)^2))</f>
        <v>0.45943553948195698</v>
      </c>
      <c r="O453">
        <v>-0.77436283650222482</v>
      </c>
      <c r="P453" s="11">
        <v>0.58745824378954448</v>
      </c>
      <c r="Q453" t="s">
        <v>34</v>
      </c>
      <c r="R453" t="s">
        <v>249</v>
      </c>
    </row>
    <row r="454" spans="4:18" x14ac:dyDescent="0.2">
      <c r="D454" s="1">
        <v>45998</v>
      </c>
      <c r="E454" s="2">
        <v>0.83333333333333337</v>
      </c>
      <c r="F454" t="s">
        <v>31</v>
      </c>
      <c r="G454">
        <f>VLOOKUP(Table4[[#This Row],[Home]],'NHL Model'!$A$6:$B$38,2,FALSE)</f>
        <v>-0.46360583111358089</v>
      </c>
      <c r="H454" t="s">
        <v>10</v>
      </c>
      <c r="I454">
        <f>VLOOKUP(Table4[[#This Row],[Visitor]],'NHL Model'!$A$6:$B$38,2,FALSE)</f>
        <v>-0.92658078135875344</v>
      </c>
      <c r="J454">
        <f>($B$1+Table4[[#This Row],[Home Differential]])-Table4[[#This Row],[Away Differential]]</f>
        <v>0.59258193605669662</v>
      </c>
      <c r="K454" t="str">
        <f>IF(Table4[[#This Row],[HomeIce Differential]]&gt;0,Table4[[#This Row],[Home]],Table4[[#This Row],[Visitor]])</f>
        <v>Anaheim Ducks</v>
      </c>
      <c r="L4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0.65825929296709496</v>
      </c>
      <c r="M454" t="str">
        <f>IF(OR((NHL2025_26Results[[#This Row],[Winning Team]]="")),"-",IF(Table4[[#This Row],[Predicted Winner]]=NHL2025_26Results[[#This Row],[Winning Team]],"YES","NO"))</f>
        <v>YES</v>
      </c>
      <c r="N454">
        <f>IF(Table4[[#This Row],[Adjusted Correct]]="-", "",IF(Table4[[#This Row],[Adjusted Correct]]="YES",(Table4[[#This Row],[Strength of Win]]-1)^2,(Table4[[#This Row],[Strength of Win]]-0)^2))</f>
        <v>0.11678671084334984</v>
      </c>
      <c r="O454">
        <v>0.42286006667991216</v>
      </c>
      <c r="P454" s="11">
        <v>0.65446247338304309</v>
      </c>
      <c r="Q454" t="s">
        <v>31</v>
      </c>
      <c r="R454" t="s">
        <v>248</v>
      </c>
    </row>
    <row r="455" spans="4:18" x14ac:dyDescent="0.2">
      <c r="D455" s="1">
        <v>45998</v>
      </c>
      <c r="E455" s="2">
        <v>0.70833333333333337</v>
      </c>
      <c r="F455" t="s">
        <v>25</v>
      </c>
      <c r="G455">
        <f>VLOOKUP(Table4[[#This Row],[Home]],'NHL Model'!$A$6:$B$38,2,FALSE)</f>
        <v>0.2324942014830165</v>
      </c>
      <c r="H455" t="s">
        <v>33</v>
      </c>
      <c r="I455">
        <f>VLOOKUP(Table4[[#This Row],[Visitor]],'NHL Model'!$A$6:$B$38,2,FALSE)</f>
        <v>-0.65236582493376272</v>
      </c>
      <c r="J455">
        <f>($B$1+Table4[[#This Row],[Home Differential]])-Table4[[#This Row],[Away Differential]]</f>
        <v>1.0144670122283033</v>
      </c>
      <c r="K455" t="str">
        <f>IF(Table4[[#This Row],[HomeIce Differential]]&gt;0,Table4[[#This Row],[Home]],Table4[[#This Row],[Visitor]])</f>
        <v>Carolina Hurricanes</v>
      </c>
      <c r="L4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0.70949414612711825</v>
      </c>
      <c r="M455" t="str">
        <f>IF(OR((NHL2025_26Results[[#This Row],[Winning Team]]="")),"-",IF(Table4[[#This Row],[Predicted Winner]]=NHL2025_26Results[[#This Row],[Winning Team]],"YES","NO"))</f>
        <v>NO</v>
      </c>
      <c r="N455">
        <f>IF(Table4[[#This Row],[Adjusted Correct]]="-", "",IF(Table4[[#This Row],[Adjusted Correct]]="YES",(Table4[[#This Row],[Strength of Win]]-1)^2,(Table4[[#This Row],[Strength of Win]]-0)^2))</f>
        <v>0.50338194338864861</v>
      </c>
      <c r="O455">
        <v>1.1021380929007367</v>
      </c>
      <c r="P455" s="11">
        <v>0.70329060620376804</v>
      </c>
      <c r="Q455" t="s">
        <v>25</v>
      </c>
      <c r="R455" t="s">
        <v>249</v>
      </c>
    </row>
    <row r="456" spans="4:18" x14ac:dyDescent="0.2">
      <c r="D456" s="1">
        <v>45998</v>
      </c>
      <c r="E456" s="2">
        <v>0.75</v>
      </c>
      <c r="F456" t="s">
        <v>39</v>
      </c>
      <c r="G456">
        <f>VLOOKUP(Table4[[#This Row],[Home]],'NHL Model'!$A$6:$B$38,2,FALSE)</f>
        <v>0.21708030788125537</v>
      </c>
      <c r="H456" t="s">
        <v>14</v>
      </c>
      <c r="I456">
        <f>VLOOKUP(Table4[[#This Row],[Visitor]],'NHL Model'!$A$6:$B$38,2,FALSE)</f>
        <v>3.6349513460996066E-5</v>
      </c>
      <c r="J456">
        <f>($B$1+Table4[[#This Row],[Home Differential]])-Table4[[#This Row],[Away Differential]]</f>
        <v>0.34665094417931852</v>
      </c>
      <c r="K456" t="str">
        <f>IF(Table4[[#This Row],[HomeIce Differential]]&gt;0,Table4[[#This Row],[Home]],Table4[[#This Row],[Visitor]])</f>
        <v>Dallas Stars</v>
      </c>
      <c r="L4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0.56315584963109722</v>
      </c>
      <c r="M456" t="str">
        <f>IF(OR((NHL2025_26Results[[#This Row],[Winning Team]]="")),"-",IF(Table4[[#This Row],[Predicted Winner]]=NHL2025_26Results[[#This Row],[Winning Team]],"YES","NO"))</f>
        <v>YES</v>
      </c>
      <c r="N456">
        <f>IF(Table4[[#This Row],[Adjusted Correct]]="-", "",IF(Table4[[#This Row],[Adjusted Correct]]="YES",(Table4[[#This Row],[Strength of Win]]-1)^2,(Table4[[#This Row],[Strength of Win]]-0)^2))</f>
        <v>0.19083281171152855</v>
      </c>
      <c r="O456">
        <v>0.67496077906229379</v>
      </c>
      <c r="P456" s="11">
        <v>0.60313926647417737</v>
      </c>
      <c r="Q456" t="s">
        <v>39</v>
      </c>
      <c r="R456" t="s">
        <v>248</v>
      </c>
    </row>
    <row r="457" spans="4:18" x14ac:dyDescent="0.2">
      <c r="D457" s="1">
        <v>45998</v>
      </c>
      <c r="E457" s="2">
        <v>0.70833333333333337</v>
      </c>
      <c r="F457" t="s">
        <v>11</v>
      </c>
      <c r="G457">
        <f>VLOOKUP(Table4[[#This Row],[Home]],'NHL Model'!$A$6:$B$38,2,FALSE)</f>
        <v>-0.55695213126481558</v>
      </c>
      <c r="H457" t="s">
        <v>30</v>
      </c>
      <c r="I457">
        <f>VLOOKUP(Table4[[#This Row],[Visitor]],'NHL Model'!$A$6:$B$38,2,FALSE)</f>
        <v>-0.18630462558229716</v>
      </c>
      <c r="J457">
        <f>($B$1+Table4[[#This Row],[Home Differential]])-Table4[[#This Row],[Away Differential]]</f>
        <v>-0.24104051987099434</v>
      </c>
      <c r="K457" t="str">
        <f>IF(Table4[[#This Row],[HomeIce Differential]]&gt;0,Table4[[#This Row],[Home]],Table4[[#This Row],[Visitor]])</f>
        <v>New York Islanders</v>
      </c>
      <c r="L4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0.52396178182328923</v>
      </c>
      <c r="M457" t="str">
        <f>IF(OR((NHL2025_26Results[[#This Row],[Winning Team]]="")),"-",IF(Table4[[#This Row],[Predicted Winner]]=NHL2025_26Results[[#This Row],[Winning Team]],"YES","NO"))</f>
        <v>NO</v>
      </c>
      <c r="N457">
        <f>IF(Table4[[#This Row],[Adjusted Correct]]="-", "",IF(Table4[[#This Row],[Adjusted Correct]]="YES",(Table4[[#This Row],[Strength of Win]]-1)^2,(Table4[[#This Row],[Strength of Win]]-0)^2))</f>
        <v>0.27453594881143617</v>
      </c>
      <c r="O457">
        <v>-0.57329291288391782</v>
      </c>
      <c r="P457" s="11">
        <v>0.60610035027025788</v>
      </c>
      <c r="Q457" t="s">
        <v>30</v>
      </c>
      <c r="R457" t="s">
        <v>249</v>
      </c>
    </row>
    <row r="458" spans="4:18" x14ac:dyDescent="0.2">
      <c r="D458" s="1">
        <v>45998</v>
      </c>
      <c r="E458" s="2">
        <v>0.79166666666666663</v>
      </c>
      <c r="F458" t="s">
        <v>18</v>
      </c>
      <c r="G458">
        <f>VLOOKUP(Table4[[#This Row],[Home]],'NHL Model'!$A$6:$B$38,2,FALSE)</f>
        <v>-8.6274676766085606E-2</v>
      </c>
      <c r="H458" t="s">
        <v>35</v>
      </c>
      <c r="I458">
        <f>VLOOKUP(Table4[[#This Row],[Visitor]],'NHL Model'!$A$6:$B$38,2,FALSE)</f>
        <v>-1.3128572733047907</v>
      </c>
      <c r="J458">
        <f>($B$1+Table4[[#This Row],[Home Differential]])-Table4[[#This Row],[Away Differential]]</f>
        <v>1.3561895823502292</v>
      </c>
      <c r="K458" t="str">
        <f>IF(Table4[[#This Row],[HomeIce Differential]]&gt;0,Table4[[#This Row],[Home]],Table4[[#This Row],[Visitor]])</f>
        <v>Montreal Canadiens</v>
      </c>
      <c r="L4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0.7063083919909221</v>
      </c>
      <c r="M458" t="str">
        <f>IF(OR((NHL2025_26Results[[#This Row],[Winning Team]]="")),"-",IF(Table4[[#This Row],[Predicted Winner]]=NHL2025_26Results[[#This Row],[Winning Team]],"YES","NO"))</f>
        <v>NO</v>
      </c>
      <c r="N458">
        <f>IF(Table4[[#This Row],[Adjusted Correct]]="-", "",IF(Table4[[#This Row],[Adjusted Correct]]="YES",(Table4[[#This Row],[Strength of Win]]-1)^2,(Table4[[#This Row],[Strength of Win]]-0)^2))</f>
        <v>0.49887154459680205</v>
      </c>
      <c r="O458">
        <v>0.85497540135413574</v>
      </c>
      <c r="P458" s="11">
        <v>0.63339090858399061</v>
      </c>
      <c r="Q458" t="s">
        <v>18</v>
      </c>
      <c r="R458" t="s">
        <v>249</v>
      </c>
    </row>
    <row r="459" spans="4:18" x14ac:dyDescent="0.2">
      <c r="D459" s="1">
        <v>45998</v>
      </c>
      <c r="E459" s="2">
        <v>0.79166666666666663</v>
      </c>
      <c r="F459" t="s">
        <v>15</v>
      </c>
      <c r="G459">
        <f>VLOOKUP(Table4[[#This Row],[Home]],'NHL Model'!$A$6:$B$38,2,FALSE)</f>
        <v>-0.73651915476403329</v>
      </c>
      <c r="H459" t="s">
        <v>20</v>
      </c>
      <c r="I459">
        <f>VLOOKUP(Table4[[#This Row],[Visitor]],'NHL Model'!$A$6:$B$38,2,FALSE)</f>
        <v>-0.16296463421387539</v>
      </c>
      <c r="J459">
        <f>($B$1+Table4[[#This Row],[Home Differential]])-Table4[[#This Row],[Away Differential]]</f>
        <v>-0.4439475347386338</v>
      </c>
      <c r="K459" t="str">
        <f>IF(Table4[[#This Row],[HomeIce Differential]]&gt;0,Table4[[#This Row],[Home]],Table4[[#This Row],[Visitor]])</f>
        <v>Vegas Golden Knights</v>
      </c>
      <c r="L4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0.52186876847450114</v>
      </c>
      <c r="M459" t="str">
        <f>IF(OR((NHL2025_26Results[[#This Row],[Winning Team]]="")),"-",IF(Table4[[#This Row],[Predicted Winner]]=NHL2025_26Results[[#This Row],[Winning Team]],"YES","NO"))</f>
        <v>YES</v>
      </c>
      <c r="N459">
        <f>IF(Table4[[#This Row],[Adjusted Correct]]="-", "",IF(Table4[[#This Row],[Adjusted Correct]]="YES",(Table4[[#This Row],[Strength of Win]]-1)^2,(Table4[[#This Row],[Strength of Win]]-0)^2))</f>
        <v>0.2286094745600902</v>
      </c>
      <c r="O459">
        <v>0.1181399166546595</v>
      </c>
      <c r="P459" s="11">
        <v>0.5321354611539999</v>
      </c>
      <c r="Q459" t="s">
        <v>15</v>
      </c>
      <c r="R459" t="s">
        <v>249</v>
      </c>
    </row>
    <row r="460" spans="4:18" x14ac:dyDescent="0.2">
      <c r="D460" s="1">
        <v>45998</v>
      </c>
      <c r="E460" s="2">
        <v>0.54166666666666663</v>
      </c>
      <c r="F460" t="s">
        <v>27</v>
      </c>
      <c r="G460">
        <f>VLOOKUP(Table4[[#This Row],[Home]],'NHL Model'!$A$6:$B$38,2,FALSE)</f>
        <v>-0.55097933929175691</v>
      </c>
      <c r="H460" t="s">
        <v>12</v>
      </c>
      <c r="I460">
        <f>VLOOKUP(Table4[[#This Row],[Visitor]],'NHL Model'!$A$6:$B$38,2,FALSE)</f>
        <v>0.99866683349964291</v>
      </c>
      <c r="J460">
        <f>($B$1+Table4[[#This Row],[Home Differential]])-Table4[[#This Row],[Away Differential]]</f>
        <v>-1.4200391869798756</v>
      </c>
      <c r="K460" t="str">
        <f>IF(Table4[[#This Row],[HomeIce Differential]]&gt;0,Table4[[#This Row],[Home]],Table4[[#This Row],[Visitor]])</f>
        <v>Colorado Avalanche</v>
      </c>
      <c r="L4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0.68872694574369486</v>
      </c>
      <c r="M460" t="str">
        <f>IF(OR((NHL2025_26Results[[#This Row],[Winning Team]]="")),"-",IF(Table4[[#This Row],[Predicted Winner]]=NHL2025_26Results[[#This Row],[Winning Team]],"YES","NO"))</f>
        <v>YES</v>
      </c>
      <c r="N460">
        <f>IF(Table4[[#This Row],[Adjusted Correct]]="-", "",IF(Table4[[#This Row],[Adjusted Correct]]="YES",(Table4[[#This Row],[Strength of Win]]-1)^2,(Table4[[#This Row],[Strength of Win]]-0)^2))</f>
        <v>9.6890914306048681E-2</v>
      </c>
      <c r="O460">
        <v>-1.6022032535028696</v>
      </c>
      <c r="P460" s="11">
        <v>0.67501230718903549</v>
      </c>
      <c r="Q460" t="s">
        <v>12</v>
      </c>
      <c r="R460" t="s">
        <v>248</v>
      </c>
    </row>
    <row r="461" spans="4:18" x14ac:dyDescent="0.2">
      <c r="D461" s="1">
        <v>45998</v>
      </c>
      <c r="E461" s="2">
        <v>0.79166666666666663</v>
      </c>
      <c r="F461" t="s">
        <v>22</v>
      </c>
      <c r="G461">
        <f>VLOOKUP(Table4[[#This Row],[Home]],'NHL Model'!$A$6:$B$38,2,FALSE)</f>
        <v>-0.11977593183651415</v>
      </c>
      <c r="H461" t="s">
        <v>28</v>
      </c>
      <c r="I461">
        <f>VLOOKUP(Table4[[#This Row],[Visitor]],'NHL Model'!$A$6:$B$38,2,FALSE)</f>
        <v>-0.28156479873410767</v>
      </c>
      <c r="J461">
        <f>($B$1+Table4[[#This Row],[Home Differential]])-Table4[[#This Row],[Away Differential]]</f>
        <v>0.29139585270911761</v>
      </c>
      <c r="K461" t="str">
        <f>IF(Table4[[#This Row],[HomeIce Differential]]&gt;0,Table4[[#This Row],[Home]],Table4[[#This Row],[Visitor]])</f>
        <v>Washington Capitals</v>
      </c>
      <c r="L4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0.57874707149572235</v>
      </c>
      <c r="M461" t="str">
        <f>IF(OR((NHL2025_26Results[[#This Row],[Winning Team]]="")),"-",IF(Table4[[#This Row],[Predicted Winner]]=NHL2025_26Results[[#This Row],[Winning Team]],"YES","NO"))</f>
        <v>YES</v>
      </c>
      <c r="N461">
        <f>IF(Table4[[#This Row],[Adjusted Correct]]="-", "",IF(Table4[[#This Row],[Adjusted Correct]]="YES",(Table4[[#This Row],[Strength of Win]]-1)^2,(Table4[[#This Row],[Strength of Win]]-0)^2))</f>
        <v>0.17745402977343006</v>
      </c>
      <c r="O461">
        <v>1.2583247485921496</v>
      </c>
      <c r="P461" s="11">
        <v>0.70348741145214055</v>
      </c>
      <c r="Q461" t="s">
        <v>22</v>
      </c>
      <c r="R461" t="s">
        <v>248</v>
      </c>
    </row>
    <row r="462" spans="4:18" x14ac:dyDescent="0.2">
      <c r="D462" s="1">
        <v>45999</v>
      </c>
      <c r="E462" s="2">
        <v>0.875</v>
      </c>
      <c r="F462" t="s">
        <v>16</v>
      </c>
      <c r="G462">
        <f>VLOOKUP(Table4[[#This Row],[Home]],'NHL Model'!$A$6:$B$38,2,FALSE)</f>
        <v>-0.89031221864884547</v>
      </c>
      <c r="H462" t="s">
        <v>23</v>
      </c>
      <c r="I462">
        <f>VLOOKUP(Table4[[#This Row],[Visitor]],'NHL Model'!$A$6:$B$38,2,FALSE)</f>
        <v>8.1543966060426461E-3</v>
      </c>
      <c r="J462">
        <f>($B$1+Table4[[#This Row],[Home Differential]])-Table4[[#This Row],[Away Differential]]</f>
        <v>-0.76885962944336406</v>
      </c>
      <c r="K462" t="str">
        <f>IF(Table4[[#This Row],[HomeIce Differential]]&gt;0,Table4[[#This Row],[Home]],Table4[[#This Row],[Visitor]])</f>
        <v>Buffalo Sabres</v>
      </c>
      <c r="L4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0.58323263028753436</v>
      </c>
      <c r="M462" t="str">
        <f>IF(OR((NHL2025_26Results[[#This Row],[Winning Team]]="")),"-",IF(Table4[[#This Row],[Predicted Winner]]=NHL2025_26Results[[#This Row],[Winning Team]],"YES","NO"))</f>
        <v>NO</v>
      </c>
      <c r="N462">
        <f>IF(Table4[[#This Row],[Adjusted Correct]]="-", "",IF(Table4[[#This Row],[Adjusted Correct]]="YES",(Table4[[#This Row],[Strength of Win]]-1)^2,(Table4[[#This Row],[Strength of Win]]-0)^2))</f>
        <v>0.34016030103211575</v>
      </c>
      <c r="O462">
        <v>-0.2171200410012834</v>
      </c>
      <c r="P462" s="11">
        <v>0.48312905655371075</v>
      </c>
      <c r="Q462" t="s">
        <v>23</v>
      </c>
      <c r="R462" t="s">
        <v>249</v>
      </c>
    </row>
    <row r="463" spans="4:18" x14ac:dyDescent="0.2">
      <c r="D463" s="1">
        <v>45999</v>
      </c>
      <c r="E463" s="2">
        <v>0.91666666666666663</v>
      </c>
      <c r="F463" t="s">
        <v>32</v>
      </c>
      <c r="G463">
        <f>VLOOKUP(Table4[[#This Row],[Home]],'NHL Model'!$A$6:$B$38,2,FALSE)</f>
        <v>-0.48236715437805205</v>
      </c>
      <c r="H463" t="s">
        <v>34</v>
      </c>
      <c r="I463">
        <f>VLOOKUP(Table4[[#This Row],[Visitor]],'NHL Model'!$A$6:$B$38,2,FALSE)</f>
        <v>6.0485283743665949E-2</v>
      </c>
      <c r="J463">
        <f>($B$1+Table4[[#This Row],[Home Differential]])-Table4[[#This Row],[Away Differential]]</f>
        <v>-0.41324545231019388</v>
      </c>
      <c r="K463" t="str">
        <f>IF(Table4[[#This Row],[HomeIce Differential]]&gt;0,Table4[[#This Row],[Home]],Table4[[#This Row],[Visitor]])</f>
        <v>Minnesota Wild</v>
      </c>
      <c r="L4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0.57567018481909582</v>
      </c>
      <c r="M463" t="str">
        <f>IF(OR((NHL2025_26Results[[#This Row],[Winning Team]]="")),"-",IF(Table4[[#This Row],[Predicted Winner]]=NHL2025_26Results[[#This Row],[Winning Team]],"YES","NO"))</f>
        <v>YES</v>
      </c>
      <c r="N463">
        <f>IF(Table4[[#This Row],[Adjusted Correct]]="-", "",IF(Table4[[#This Row],[Adjusted Correct]]="YES",(Table4[[#This Row],[Strength of Win]]-1)^2,(Table4[[#This Row],[Strength of Win]]-0)^2))</f>
        <v>0.1800557920514603</v>
      </c>
      <c r="O463">
        <v>-0.4849438181225848</v>
      </c>
      <c r="P463" s="11">
        <v>0.53242863974411836</v>
      </c>
      <c r="Q463" t="s">
        <v>34</v>
      </c>
      <c r="R463" t="s">
        <v>248</v>
      </c>
    </row>
    <row r="464" spans="4:18" x14ac:dyDescent="0.2">
      <c r="D464" s="1">
        <v>45999</v>
      </c>
      <c r="E464" s="2">
        <v>0.8125</v>
      </c>
      <c r="F464" t="s">
        <v>19</v>
      </c>
      <c r="G464">
        <f>VLOOKUP(Table4[[#This Row],[Home]],'NHL Model'!$A$6:$B$38,2,FALSE)</f>
        <v>-0.44228056828684137</v>
      </c>
      <c r="H464" t="s">
        <v>37</v>
      </c>
      <c r="I464">
        <f>VLOOKUP(Table4[[#This Row],[Visitor]],'NHL Model'!$A$6:$B$38,2,FALSE)</f>
        <v>0.72108184732572844</v>
      </c>
      <c r="J464">
        <f>($B$1+Table4[[#This Row],[Home Differential]])-Table4[[#This Row],[Away Differential]]</f>
        <v>-1.0337554298010456</v>
      </c>
      <c r="K464" t="str">
        <f>IF(Table4[[#This Row],[HomeIce Differential]]&gt;0,Table4[[#This Row],[Home]],Table4[[#This Row],[Visitor]])</f>
        <v>Tampa Bay Lightning</v>
      </c>
      <c r="L4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0.67294254162395817</v>
      </c>
      <c r="M464" t="str">
        <f>IF(OR((NHL2025_26Results[[#This Row],[Winning Team]]="")),"-",IF(Table4[[#This Row],[Predicted Winner]]=NHL2025_26Results[[#This Row],[Winning Team]],"YES","NO"))</f>
        <v>NO</v>
      </c>
      <c r="N464">
        <f>IF(Table4[[#This Row],[Adjusted Correct]]="-", "",IF(Table4[[#This Row],[Adjusted Correct]]="YES",(Table4[[#This Row],[Strength of Win]]-1)^2,(Table4[[#This Row],[Strength of Win]]-0)^2))</f>
        <v>0.45285166432731266</v>
      </c>
      <c r="O464">
        <v>-0.64598302902421545</v>
      </c>
      <c r="P464" s="11">
        <v>0.60143753530885613</v>
      </c>
      <c r="Q464" t="s">
        <v>37</v>
      </c>
      <c r="R464" t="s">
        <v>249</v>
      </c>
    </row>
    <row r="465" spans="4:18" x14ac:dyDescent="0.2">
      <c r="D465" s="1">
        <v>45999</v>
      </c>
      <c r="E465" s="2">
        <v>0.875</v>
      </c>
      <c r="F465" t="s">
        <v>55</v>
      </c>
      <c r="G465">
        <f>VLOOKUP(Table4[[#This Row],[Home]],'NHL Model'!$A$6:$B$38,2,FALSE)</f>
        <v>8.4094725828611647E-2</v>
      </c>
      <c r="H465" t="s">
        <v>13</v>
      </c>
      <c r="I465">
        <f>VLOOKUP(Table4[[#This Row],[Visitor]],'NHL Model'!$A$6:$B$38,2,FALSE)</f>
        <v>-0.59069689888466137</v>
      </c>
      <c r="J465">
        <f>($B$1+Table4[[#This Row],[Home Differential]])-Table4[[#This Row],[Away Differential]]</f>
        <v>0.80439861052479711</v>
      </c>
      <c r="K465" t="str">
        <f>IF(Table4[[#This Row],[HomeIce Differential]]&gt;0,Table4[[#This Row],[Home]],Table4[[#This Row],[Visitor]])</f>
        <v>Utah Mammoth</v>
      </c>
      <c r="L4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0.63871612671002131</v>
      </c>
      <c r="M465" t="str">
        <f>IF(OR((NHL2025_26Results[[#This Row],[Winning Team]]="")),"-",IF(Table4[[#This Row],[Predicted Winner]]=NHL2025_26Results[[#This Row],[Winning Team]],"YES","NO"))</f>
        <v>NO</v>
      </c>
      <c r="N465">
        <f>IF(Table4[[#This Row],[Adjusted Correct]]="-", "",IF(Table4[[#This Row],[Adjusted Correct]]="YES",(Table4[[#This Row],[Strength of Win]]-1)^2,(Table4[[#This Row],[Strength of Win]]-0)^2))</f>
        <v>0.40795829051945198</v>
      </c>
      <c r="O465">
        <v>0.17191006850908852</v>
      </c>
      <c r="P465" s="11">
        <v>0.53301887491853994</v>
      </c>
      <c r="Q465" t="s">
        <v>55</v>
      </c>
      <c r="R465" t="s">
        <v>249</v>
      </c>
    </row>
    <row r="466" spans="4:18" x14ac:dyDescent="0.2">
      <c r="D466" s="1">
        <v>45999</v>
      </c>
      <c r="E466" s="2">
        <v>0.91666666666666663</v>
      </c>
      <c r="F466" t="s">
        <v>38</v>
      </c>
      <c r="G466">
        <f>VLOOKUP(Table4[[#This Row],[Home]],'NHL Model'!$A$6:$B$38,2,FALSE)</f>
        <v>-1.3920033028857945</v>
      </c>
      <c r="H466" t="s">
        <v>26</v>
      </c>
      <c r="I466">
        <f>VLOOKUP(Table4[[#This Row],[Visitor]],'NHL Model'!$A$6:$B$38,2,FALSE)</f>
        <v>-0.33113778518110382</v>
      </c>
      <c r="J466">
        <f>($B$1+Table4[[#This Row],[Home Differential]])-Table4[[#This Row],[Away Differential]]</f>
        <v>-0.93125853189316665</v>
      </c>
      <c r="K466" t="str">
        <f>IF(Table4[[#This Row],[HomeIce Differential]]&gt;0,Table4[[#This Row],[Home]],Table4[[#This Row],[Visitor]])</f>
        <v>Detroit Red Wings</v>
      </c>
      <c r="L4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0.60258258909866802</v>
      </c>
      <c r="M466" t="str">
        <f>IF(OR((NHL2025_26Results[[#This Row],[Winning Team]]="")),"-",IF(Table4[[#This Row],[Predicted Winner]]=NHL2025_26Results[[#This Row],[Winning Team]],"YES","NO"))</f>
        <v>YES</v>
      </c>
      <c r="N466">
        <f>IF(Table4[[#This Row],[Adjusted Correct]]="-", "",IF(Table4[[#This Row],[Adjusted Correct]]="YES",(Table4[[#This Row],[Strength of Win]]-1)^2,(Table4[[#This Row],[Strength of Win]]-0)^2))</f>
        <v>0.15794059848751815</v>
      </c>
      <c r="O466">
        <v>-3.289115853132063E-2</v>
      </c>
      <c r="P466" s="11">
        <v>0.46433327589028595</v>
      </c>
      <c r="Q466" t="s">
        <v>26</v>
      </c>
      <c r="R466" t="s">
        <v>248</v>
      </c>
    </row>
    <row r="467" spans="4:18" x14ac:dyDescent="0.2">
      <c r="D467" s="1">
        <v>46000</v>
      </c>
      <c r="E467" s="2">
        <v>0.8125</v>
      </c>
      <c r="F467" t="s">
        <v>25</v>
      </c>
      <c r="G467">
        <f>VLOOKUP(Table4[[#This Row],[Home]],'NHL Model'!$A$6:$B$38,2,FALSE)</f>
        <v>0.2324942014830165</v>
      </c>
      <c r="H467" t="s">
        <v>28</v>
      </c>
      <c r="I467">
        <f>VLOOKUP(Table4[[#This Row],[Visitor]],'NHL Model'!$A$6:$B$38,2,FALSE)</f>
        <v>-0.28156479873410767</v>
      </c>
      <c r="J467">
        <f>($B$1+Table4[[#This Row],[Home Differential]])-Table4[[#This Row],[Away Differential]]</f>
        <v>0.64366598602864822</v>
      </c>
      <c r="K467" t="str">
        <f>IF(Table4[[#This Row],[HomeIce Differential]]&gt;0,Table4[[#This Row],[Home]],Table4[[#This Row],[Visitor]])</f>
        <v>Carolina Hurricanes</v>
      </c>
      <c r="L4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0.65617235955752773</v>
      </c>
      <c r="M467" t="str">
        <f>IF(OR((NHL2025_26Results[[#This Row],[Winning Team]]="")),"-",IF(Table4[[#This Row],[Predicted Winner]]=NHL2025_26Results[[#This Row],[Winning Team]],"YES","NO"))</f>
        <v>YES</v>
      </c>
      <c r="N467">
        <f>IF(Table4[[#This Row],[Adjusted Correct]]="-", "",IF(Table4[[#This Row],[Adjusted Correct]]="YES",(Table4[[#This Row],[Strength of Win]]-1)^2,(Table4[[#This Row],[Strength of Win]]-0)^2))</f>
        <v>0.11821744633223799</v>
      </c>
      <c r="O467">
        <v>0.82264765414494812</v>
      </c>
      <c r="P467" s="11">
        <v>0.65668278000917069</v>
      </c>
      <c r="Q467" t="s">
        <v>25</v>
      </c>
      <c r="R467" t="s">
        <v>248</v>
      </c>
    </row>
    <row r="468" spans="4:18" x14ac:dyDescent="0.2">
      <c r="D468" s="1">
        <v>46000</v>
      </c>
      <c r="E468" s="2">
        <v>0.875</v>
      </c>
      <c r="F468" t="s">
        <v>17</v>
      </c>
      <c r="G468">
        <f>VLOOKUP(Table4[[#This Row],[Home]],'NHL Model'!$A$6:$B$38,2,FALSE)</f>
        <v>-0.36462594951491906</v>
      </c>
      <c r="H468" t="s">
        <v>23</v>
      </c>
      <c r="I468">
        <f>VLOOKUP(Table4[[#This Row],[Visitor]],'NHL Model'!$A$6:$B$38,2,FALSE)</f>
        <v>8.1543966060426461E-3</v>
      </c>
      <c r="J468">
        <f>($B$1+Table4[[#This Row],[Home Differential]])-Table4[[#This Row],[Away Differential]]</f>
        <v>-0.24317336030943759</v>
      </c>
      <c r="K468" t="str">
        <f>IF(Table4[[#This Row],[HomeIce Differential]]&gt;0,Table4[[#This Row],[Home]],Table4[[#This Row],[Visitor]])</f>
        <v>Buffalo Sabres</v>
      </c>
      <c r="L4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0.5242012867220941</v>
      </c>
      <c r="M468" t="str">
        <f>IF(OR((NHL2025_26Results[[#This Row],[Winning Team]]="")),"-",IF(Table4[[#This Row],[Predicted Winner]]=NHL2025_26Results[[#This Row],[Winning Team]],"YES","NO"))</f>
        <v>YES</v>
      </c>
      <c r="N468">
        <f>IF(Table4[[#This Row],[Adjusted Correct]]="-", "",IF(Table4[[#This Row],[Adjusted Correct]]="YES",(Table4[[#This Row],[Strength of Win]]-1)^2,(Table4[[#This Row],[Strength of Win]]-0)^2))</f>
        <v>0.22638441555691091</v>
      </c>
      <c r="O468">
        <v>0.30983166405151386</v>
      </c>
      <c r="P468" s="11">
        <v>0.59324484048301129</v>
      </c>
      <c r="Q468" t="s">
        <v>17</v>
      </c>
      <c r="R468" t="s">
        <v>249</v>
      </c>
    </row>
    <row r="469" spans="4:18" x14ac:dyDescent="0.2">
      <c r="D469" s="1">
        <v>46000</v>
      </c>
      <c r="E469" s="2">
        <v>0.79166666666666663</v>
      </c>
      <c r="F469" t="s">
        <v>18</v>
      </c>
      <c r="G469">
        <f>VLOOKUP(Table4[[#This Row],[Home]],'NHL Model'!$A$6:$B$38,2,FALSE)</f>
        <v>-8.6274676766085606E-2</v>
      </c>
      <c r="H469" t="s">
        <v>37</v>
      </c>
      <c r="I469">
        <f>VLOOKUP(Table4[[#This Row],[Visitor]],'NHL Model'!$A$6:$B$38,2,FALSE)</f>
        <v>0.72108184732572844</v>
      </c>
      <c r="J469">
        <f>($B$1+Table4[[#This Row],[Home Differential]])-Table4[[#This Row],[Away Differential]]</f>
        <v>-0.67774953828028994</v>
      </c>
      <c r="K469" t="str">
        <f>IF(Table4[[#This Row],[HomeIce Differential]]&gt;0,Table4[[#This Row],[Home]],Table4[[#This Row],[Visitor]])</f>
        <v>Tampa Bay Lightning</v>
      </c>
      <c r="L4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0.61896425882092232</v>
      </c>
      <c r="M469" t="str">
        <f>IF(OR((NHL2025_26Results[[#This Row],[Winning Team]]="")),"-",IF(Table4[[#This Row],[Predicted Winner]]=NHL2025_26Results[[#This Row],[Winning Team]],"YES","NO"))</f>
        <v>YES</v>
      </c>
      <c r="N469">
        <f>IF(Table4[[#This Row],[Adjusted Correct]]="-", "",IF(Table4[[#This Row],[Adjusted Correct]]="YES",(Table4[[#This Row],[Strength of Win]]-1)^2,(Table4[[#This Row],[Strength of Win]]-0)^2))</f>
        <v>0.14518823605588907</v>
      </c>
      <c r="O469">
        <v>-0.82134147136529001</v>
      </c>
      <c r="P469" s="11">
        <v>0.60463993733114096</v>
      </c>
      <c r="Q469" t="s">
        <v>37</v>
      </c>
      <c r="R469" t="s">
        <v>248</v>
      </c>
    </row>
    <row r="470" spans="4:18" x14ac:dyDescent="0.2">
      <c r="D470" s="1">
        <v>46000</v>
      </c>
      <c r="E470" s="2">
        <v>0.89583333333333337</v>
      </c>
      <c r="F470" t="s">
        <v>29</v>
      </c>
      <c r="G470">
        <f>VLOOKUP(Table4[[#This Row],[Home]],'NHL Model'!$A$6:$B$38,2,FALSE)</f>
        <v>-0.82056481120798741</v>
      </c>
      <c r="H470" t="s">
        <v>12</v>
      </c>
      <c r="I470">
        <f>VLOOKUP(Table4[[#This Row],[Visitor]],'NHL Model'!$A$6:$B$38,2,FALSE)</f>
        <v>0.99866683349964291</v>
      </c>
      <c r="J470">
        <f>($B$1+Table4[[#This Row],[Home Differential]])-Table4[[#This Row],[Away Differential]]</f>
        <v>-1.6896246588961064</v>
      </c>
      <c r="K470" t="str">
        <f>IF(Table4[[#This Row],[HomeIce Differential]]&gt;0,Table4[[#This Row],[Home]],Table4[[#This Row],[Visitor]])</f>
        <v>Colorado Avalanche</v>
      </c>
      <c r="L4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0.71899974065453931</v>
      </c>
      <c r="M470" t="str">
        <f>IF(OR((NHL2025_26Results[[#This Row],[Winning Team]]="")),"-",IF(Table4[[#This Row],[Predicted Winner]]=NHL2025_26Results[[#This Row],[Winning Team]],"YES","NO"))</f>
        <v>NO</v>
      </c>
      <c r="N470">
        <f>IF(Table4[[#This Row],[Adjusted Correct]]="-", "",IF(Table4[[#This Row],[Adjusted Correct]]="YES",(Table4[[#This Row],[Strength of Win]]-1)^2,(Table4[[#This Row],[Strength of Win]]-0)^2))</f>
        <v>0.51696062706129475</v>
      </c>
      <c r="O470">
        <v>-2.4835880488971087</v>
      </c>
      <c r="P470" s="11">
        <v>0.81013970369181165</v>
      </c>
      <c r="Q470" t="s">
        <v>12</v>
      </c>
      <c r="R470" t="s">
        <v>249</v>
      </c>
    </row>
    <row r="471" spans="4:18" x14ac:dyDescent="0.2">
      <c r="D471" s="1">
        <v>46000</v>
      </c>
      <c r="E471" s="2">
        <v>0.79166666666666663</v>
      </c>
      <c r="F471" t="s">
        <v>30</v>
      </c>
      <c r="G471">
        <f>VLOOKUP(Table4[[#This Row],[Home]],'NHL Model'!$A$6:$B$38,2,FALSE)</f>
        <v>-0.18630462558229716</v>
      </c>
      <c r="H471" t="s">
        <v>20</v>
      </c>
      <c r="I471">
        <f>VLOOKUP(Table4[[#This Row],[Visitor]],'NHL Model'!$A$6:$B$38,2,FALSE)</f>
        <v>-0.16296463421387539</v>
      </c>
      <c r="J471">
        <f>($B$1+Table4[[#This Row],[Home Differential]])-Table4[[#This Row],[Away Differential]]</f>
        <v>0.10626699444310234</v>
      </c>
      <c r="K471" t="str">
        <f>IF(Table4[[#This Row],[HomeIce Differential]]&gt;0,Table4[[#This Row],[Home]],Table4[[#This Row],[Visitor]])</f>
        <v>New York Islanders</v>
      </c>
      <c r="L4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0.55398920642104421</v>
      </c>
      <c r="M471" t="str">
        <f>IF(OR((NHL2025_26Results[[#This Row],[Winning Team]]="")),"-",IF(Table4[[#This Row],[Predicted Winner]]=NHL2025_26Results[[#This Row],[Winning Team]],"YES","NO"))</f>
        <v>YES</v>
      </c>
      <c r="N471">
        <f>IF(Table4[[#This Row],[Adjusted Correct]]="-", "",IF(Table4[[#This Row],[Adjusted Correct]]="YES",(Table4[[#This Row],[Strength of Win]]-1)^2,(Table4[[#This Row],[Strength of Win]]-0)^2))</f>
        <v>0.1989256279889299</v>
      </c>
      <c r="O471">
        <v>0.15417067210243451</v>
      </c>
      <c r="P471" s="11">
        <v>0.51770086444165897</v>
      </c>
      <c r="Q471" t="s">
        <v>30</v>
      </c>
      <c r="R471" t="s">
        <v>248</v>
      </c>
    </row>
    <row r="472" spans="4:18" x14ac:dyDescent="0.2">
      <c r="D472" s="1">
        <v>46000</v>
      </c>
      <c r="E472" s="2">
        <v>0.79166666666666663</v>
      </c>
      <c r="F472" t="s">
        <v>36</v>
      </c>
      <c r="G472">
        <f>VLOOKUP(Table4[[#This Row],[Home]],'NHL Model'!$A$6:$B$38,2,FALSE)</f>
        <v>-0.19010748264223354</v>
      </c>
      <c r="H472" t="s">
        <v>24</v>
      </c>
      <c r="I472">
        <f>VLOOKUP(Table4[[#This Row],[Visitor]],'NHL Model'!$A$6:$B$38,2,FALSE)</f>
        <v>-0.74510803532792402</v>
      </c>
      <c r="J472">
        <f>($B$1+Table4[[#This Row],[Home Differential]])-Table4[[#This Row],[Away Differential]]</f>
        <v>0.68460753849721456</v>
      </c>
      <c r="K472" t="str">
        <f>IF(Table4[[#This Row],[HomeIce Differential]]&gt;0,Table4[[#This Row],[Home]],Table4[[#This Row],[Visitor]])</f>
        <v>Ottawa Senators</v>
      </c>
      <c r="L4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0.59610799655325719</v>
      </c>
      <c r="M472" t="str">
        <f>IF(OR((NHL2025_26Results[[#This Row],[Winning Team]]="")),"-",IF(Table4[[#This Row],[Predicted Winner]]=NHL2025_26Results[[#This Row],[Winning Team]],"YES","NO"))</f>
        <v>NO</v>
      </c>
      <c r="N472">
        <f>IF(Table4[[#This Row],[Adjusted Correct]]="-", "",IF(Table4[[#This Row],[Adjusted Correct]]="YES",(Table4[[#This Row],[Strength of Win]]-1)^2,(Table4[[#This Row],[Strength of Win]]-0)^2))</f>
        <v>0.35534474355473811</v>
      </c>
      <c r="O472">
        <v>-0.10695725238000442</v>
      </c>
      <c r="P472" s="11">
        <v>0.47536145342994035</v>
      </c>
      <c r="Q472" t="s">
        <v>24</v>
      </c>
      <c r="R472" t="s">
        <v>248</v>
      </c>
    </row>
    <row r="473" spans="4:18" x14ac:dyDescent="0.2">
      <c r="D473" s="1">
        <v>46000</v>
      </c>
      <c r="E473" s="2">
        <v>0.79166666666666663</v>
      </c>
      <c r="F473" t="s">
        <v>27</v>
      </c>
      <c r="G473">
        <f>VLOOKUP(Table4[[#This Row],[Home]],'NHL Model'!$A$6:$B$38,2,FALSE)</f>
        <v>-0.55097933929175691</v>
      </c>
      <c r="H473" t="s">
        <v>33</v>
      </c>
      <c r="I473">
        <f>VLOOKUP(Table4[[#This Row],[Visitor]],'NHL Model'!$A$6:$B$38,2,FALSE)</f>
        <v>-0.65236582493376272</v>
      </c>
      <c r="J473">
        <f>($B$1+Table4[[#This Row],[Home Differential]])-Table4[[#This Row],[Away Differential]]</f>
        <v>0.23099347145352989</v>
      </c>
      <c r="K473" t="str">
        <f>IF(Table4[[#This Row],[HomeIce Differential]]&gt;0,Table4[[#This Row],[Home]],Table4[[#This Row],[Visitor]])</f>
        <v>Philadelphia Flyers</v>
      </c>
      <c r="L4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0.56593914997477923</v>
      </c>
      <c r="M473" t="str">
        <f>IF(OR((NHL2025_26Results[[#This Row],[Winning Team]]="")),"-",IF(Table4[[#This Row],[Predicted Winner]]=NHL2025_26Results[[#This Row],[Winning Team]],"YES","NO"))</f>
        <v>YES</v>
      </c>
      <c r="N473">
        <f>IF(Table4[[#This Row],[Adjusted Correct]]="-", "",IF(Table4[[#This Row],[Adjusted Correct]]="YES",(Table4[[#This Row],[Strength of Win]]-1)^2,(Table4[[#This Row],[Strength of Win]]-0)^2))</f>
        <v>0.18840882152461719</v>
      </c>
      <c r="O473">
        <v>0.40795241461170451</v>
      </c>
      <c r="P473" s="11">
        <v>0.59507328577885699</v>
      </c>
      <c r="Q473" t="s">
        <v>27</v>
      </c>
      <c r="R473" t="s">
        <v>248</v>
      </c>
    </row>
    <row r="474" spans="4:18" x14ac:dyDescent="0.2">
      <c r="D474" s="1">
        <v>46000</v>
      </c>
      <c r="E474" s="2">
        <v>0.79166666666666663</v>
      </c>
      <c r="F474" t="s">
        <v>14</v>
      </c>
      <c r="G474">
        <f>VLOOKUP(Table4[[#This Row],[Home]],'NHL Model'!$A$6:$B$38,2,FALSE)</f>
        <v>3.6349513460996066E-5</v>
      </c>
      <c r="H474" t="s">
        <v>31</v>
      </c>
      <c r="I474">
        <f>VLOOKUP(Table4[[#This Row],[Visitor]],'NHL Model'!$A$6:$B$38,2,FALSE)</f>
        <v>-0.46360583111358089</v>
      </c>
      <c r="J474">
        <f>($B$1+Table4[[#This Row],[Home Differential]])-Table4[[#This Row],[Away Differential]]</f>
        <v>0.59324916643856596</v>
      </c>
      <c r="K474" t="str">
        <f>IF(Table4[[#This Row],[HomeIce Differential]]&gt;0,Table4[[#This Row],[Home]],Table4[[#This Row],[Visitor]])</f>
        <v>Pittsburgh Penguins</v>
      </c>
      <c r="L4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0.60661824251495544</v>
      </c>
      <c r="M474" t="str">
        <f>IF(OR((NHL2025_26Results[[#This Row],[Winning Team]]="")),"-",IF(Table4[[#This Row],[Predicted Winner]]=NHL2025_26Results[[#This Row],[Winning Team]],"YES","NO"))</f>
        <v>NO</v>
      </c>
      <c r="N474">
        <f>IF(Table4[[#This Row],[Adjusted Correct]]="-", "",IF(Table4[[#This Row],[Adjusted Correct]]="YES",(Table4[[#This Row],[Strength of Win]]-1)^2,(Table4[[#This Row],[Strength of Win]]-0)^2))</f>
        <v>0.36798569215193327</v>
      </c>
      <c r="O474">
        <v>-9.8458634665806122E-2</v>
      </c>
      <c r="P474" s="11">
        <v>0.49161808840865701</v>
      </c>
      <c r="Q474" t="s">
        <v>31</v>
      </c>
      <c r="R474" t="s">
        <v>248</v>
      </c>
    </row>
    <row r="475" spans="4:18" x14ac:dyDescent="0.2">
      <c r="D475" s="1">
        <v>46000</v>
      </c>
      <c r="E475" s="2">
        <v>0.83333333333333337</v>
      </c>
      <c r="F475" t="s">
        <v>35</v>
      </c>
      <c r="G475">
        <f>VLOOKUP(Table4[[#This Row],[Home]],'NHL Model'!$A$6:$B$38,2,FALSE)</f>
        <v>-1.3128572733047907</v>
      </c>
      <c r="H475" t="s">
        <v>21</v>
      </c>
      <c r="I475">
        <f>VLOOKUP(Table4[[#This Row],[Visitor]],'NHL Model'!$A$6:$B$38,2,FALSE)</f>
        <v>-0.10253061303059285</v>
      </c>
      <c r="J475">
        <f>($B$1+Table4[[#This Row],[Home Differential]])-Table4[[#This Row],[Away Differential]]</f>
        <v>-1.0807196744626739</v>
      </c>
      <c r="K475" t="str">
        <f>IF(Table4[[#This Row],[HomeIce Differential]]&gt;0,Table4[[#This Row],[Home]],Table4[[#This Row],[Visitor]])</f>
        <v>Boston Bruins</v>
      </c>
      <c r="L4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0.58135819051587934</v>
      </c>
      <c r="M475" t="str">
        <f>IF(OR((NHL2025_26Results[[#This Row],[Winning Team]]="")),"-",IF(Table4[[#This Row],[Predicted Winner]]=NHL2025_26Results[[#This Row],[Winning Team]],"YES","NO"))</f>
        <v>YES</v>
      </c>
      <c r="N475">
        <f>IF(Table4[[#This Row],[Adjusted Correct]]="-", "",IF(Table4[[#This Row],[Adjusted Correct]]="YES",(Table4[[#This Row],[Strength of Win]]-1)^2,(Table4[[#This Row],[Strength of Win]]-0)^2))</f>
        <v>0.17526096464813878</v>
      </c>
      <c r="O475">
        <v>-1.0831184618888989</v>
      </c>
      <c r="P475" s="11">
        <v>0.57934553063376903</v>
      </c>
      <c r="Q475" t="s">
        <v>21</v>
      </c>
      <c r="R475" t="s">
        <v>248</v>
      </c>
    </row>
    <row r="476" spans="4:18" x14ac:dyDescent="0.2">
      <c r="D476" s="1">
        <v>46000</v>
      </c>
      <c r="E476" s="2">
        <v>0.83333333333333337</v>
      </c>
      <c r="F476" t="s">
        <v>40</v>
      </c>
      <c r="G476">
        <f>VLOOKUP(Table4[[#This Row],[Home]],'NHL Model'!$A$6:$B$38,2,FALSE)</f>
        <v>-0.58845147248022256</v>
      </c>
      <c r="H476" t="s">
        <v>39</v>
      </c>
      <c r="I476">
        <f>VLOOKUP(Table4[[#This Row],[Visitor]],'NHL Model'!$A$6:$B$38,2,FALSE)</f>
        <v>0.21708030788125537</v>
      </c>
      <c r="J476">
        <f>($B$1+Table4[[#This Row],[Home Differential]])-Table4[[#This Row],[Away Differential]]</f>
        <v>-0.6759247945499538</v>
      </c>
      <c r="K476" t="str">
        <f>IF(Table4[[#This Row],[HomeIce Differential]]&gt;0,Table4[[#This Row],[Home]],Table4[[#This Row],[Visitor]])</f>
        <v>Dallas Stars</v>
      </c>
      <c r="L4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0.59403692346139603</v>
      </c>
      <c r="M476" t="str">
        <f>IF(OR((NHL2025_26Results[[#This Row],[Winning Team]]="")),"-",IF(Table4[[#This Row],[Predicted Winner]]=NHL2025_26Results[[#This Row],[Winning Team]],"YES","NO"))</f>
        <v>YES</v>
      </c>
      <c r="N476">
        <f>IF(Table4[[#This Row],[Adjusted Correct]]="-", "",IF(Table4[[#This Row],[Adjusted Correct]]="YES",(Table4[[#This Row],[Strength of Win]]-1)^2,(Table4[[#This Row],[Strength of Win]]-0)^2))</f>
        <v>0.16480601951268842</v>
      </c>
      <c r="O476">
        <v>-0.87102322758163708</v>
      </c>
      <c r="P476" s="11">
        <v>0.62930873486861949</v>
      </c>
      <c r="Q476" t="s">
        <v>39</v>
      </c>
      <c r="R476" t="s">
        <v>248</v>
      </c>
    </row>
    <row r="477" spans="4:18" x14ac:dyDescent="0.2">
      <c r="D477" s="1">
        <v>46001</v>
      </c>
      <c r="E477" s="2">
        <v>0.85416666666666663</v>
      </c>
      <c r="F477" t="s">
        <v>16</v>
      </c>
      <c r="G477">
        <f>VLOOKUP(Table4[[#This Row],[Home]],'NHL Model'!$A$6:$B$38,2,FALSE)</f>
        <v>-0.89031221864884547</v>
      </c>
      <c r="H477" t="s">
        <v>26</v>
      </c>
      <c r="I477">
        <f>VLOOKUP(Table4[[#This Row],[Visitor]],'NHL Model'!$A$6:$B$38,2,FALSE)</f>
        <v>-0.33113778518110382</v>
      </c>
      <c r="J477">
        <f>($B$1+Table4[[#This Row],[Home Differential]])-Table4[[#This Row],[Away Differential]]</f>
        <v>-0.42956744765621757</v>
      </c>
      <c r="K477" t="str">
        <f>IF(Table4[[#This Row],[HomeIce Differential]]&gt;0,Table4[[#This Row],[Home]],Table4[[#This Row],[Visitor]])</f>
        <v>Detroit Red Wings</v>
      </c>
      <c r="L4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0.54624575761531691</v>
      </c>
      <c r="M477" t="str">
        <f>IF(OR((NHL2025_26Results[[#This Row],[Winning Team]]="")),"-",IF(Table4[[#This Row],[Predicted Winner]]=NHL2025_26Results[[#This Row],[Winning Team]],"YES","NO"))</f>
        <v>YES</v>
      </c>
      <c r="N477">
        <f>IF(Table4[[#This Row],[Adjusted Correct]]="-", "",IF(Table4[[#This Row],[Adjusted Correct]]="YES",(Table4[[#This Row],[Strength of Win]]-1)^2,(Table4[[#This Row],[Strength of Win]]-0)^2))</f>
        <v>0.20589291248209773</v>
      </c>
      <c r="O477">
        <v>-0.14566484057151297</v>
      </c>
      <c r="P477" s="11">
        <v>0.49691845389097244</v>
      </c>
      <c r="Q477" t="s">
        <v>26</v>
      </c>
      <c r="R477" t="s">
        <v>248</v>
      </c>
    </row>
    <row r="478" spans="4:18" x14ac:dyDescent="0.2">
      <c r="D478" s="1">
        <v>46001</v>
      </c>
      <c r="E478" s="2">
        <v>0.8125</v>
      </c>
      <c r="F478" t="s">
        <v>10</v>
      </c>
      <c r="G478">
        <f>VLOOKUP(Table4[[#This Row],[Home]],'NHL Model'!$A$6:$B$38,2,FALSE)</f>
        <v>-0.92658078135875344</v>
      </c>
      <c r="H478" t="s">
        <v>15</v>
      </c>
      <c r="I478">
        <f>VLOOKUP(Table4[[#This Row],[Visitor]],'NHL Model'!$A$6:$B$38,2,FALSE)</f>
        <v>-0.73651915476403329</v>
      </c>
      <c r="J478">
        <f>($B$1+Table4[[#This Row],[Home Differential]])-Table4[[#This Row],[Away Differential]]</f>
        <v>-6.0454640783196067E-2</v>
      </c>
      <c r="K478" t="str">
        <f>IF(Table4[[#This Row],[HomeIce Differential]]&gt;0,Table4[[#This Row],[Home]],Table4[[#This Row],[Visitor]])</f>
        <v>New York Rangers</v>
      </c>
      <c r="L4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0.50270467134049945</v>
      </c>
      <c r="M478" t="str">
        <f>IF(OR((NHL2025_26Results[[#This Row],[Winning Team]]="")),"-",IF(Table4[[#This Row],[Predicted Winner]]=NHL2025_26Results[[#This Row],[Winning Team]],"YES","NO"))</f>
        <v>NO</v>
      </c>
      <c r="N478">
        <f>IF(Table4[[#This Row],[Adjusted Correct]]="-", "",IF(Table4[[#This Row],[Adjusted Correct]]="YES",(Table4[[#This Row],[Strength of Win]]-1)^2,(Table4[[#This Row],[Strength of Win]]-0)^2))</f>
        <v>0.25271198658755956</v>
      </c>
      <c r="O478">
        <v>-0.34130453646374942</v>
      </c>
      <c r="P478" s="11">
        <v>0.60441117761242247</v>
      </c>
      <c r="Q478" t="s">
        <v>15</v>
      </c>
      <c r="R478" t="s">
        <v>249</v>
      </c>
    </row>
    <row r="479" spans="4:18" x14ac:dyDescent="0.2">
      <c r="D479" s="1">
        <v>46001</v>
      </c>
      <c r="E479" s="2">
        <v>0.91666666666666663</v>
      </c>
      <c r="F479" t="s">
        <v>32</v>
      </c>
      <c r="G479">
        <f>VLOOKUP(Table4[[#This Row],[Home]],'NHL Model'!$A$6:$B$38,2,FALSE)</f>
        <v>-0.48236715437805205</v>
      </c>
      <c r="H479" t="s">
        <v>13</v>
      </c>
      <c r="I479">
        <f>VLOOKUP(Table4[[#This Row],[Visitor]],'NHL Model'!$A$6:$B$38,2,FALSE)</f>
        <v>-0.59069689888466137</v>
      </c>
      <c r="J479">
        <f>($B$1+Table4[[#This Row],[Home Differential]])-Table4[[#This Row],[Away Differential]]</f>
        <v>0.23793673031813345</v>
      </c>
      <c r="K479" t="str">
        <f>IF(Table4[[#This Row],[HomeIce Differential]]&gt;0,Table4[[#This Row],[Home]],Table4[[#This Row],[Visitor]])</f>
        <v>Seattle Kraken</v>
      </c>
      <c r="L4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0.54594960458743125</v>
      </c>
      <c r="M479" t="str">
        <f>IF(OR((NHL2025_26Results[[#This Row],[Winning Team]]="")),"-",IF(Table4[[#This Row],[Predicted Winner]]=NHL2025_26Results[[#This Row],[Winning Team]],"YES","NO"))</f>
        <v>YES</v>
      </c>
      <c r="N479">
        <f>IF(Table4[[#This Row],[Adjusted Correct]]="-", "",IF(Table4[[#This Row],[Adjusted Correct]]="YES",(Table4[[#This Row],[Strength of Win]]-1)^2,(Table4[[#This Row],[Strength of Win]]-0)^2))</f>
        <v>0.20616176157431004</v>
      </c>
      <c r="O479">
        <v>-0.70686110740328612</v>
      </c>
      <c r="P479" s="11">
        <v>0.6148472828810817</v>
      </c>
      <c r="Q479" t="s">
        <v>13</v>
      </c>
      <c r="R479" t="s">
        <v>249</v>
      </c>
    </row>
    <row r="480" spans="4:18" x14ac:dyDescent="0.2">
      <c r="D480" s="1">
        <v>46001</v>
      </c>
      <c r="E480" s="2">
        <v>0.875</v>
      </c>
      <c r="F480" t="s">
        <v>55</v>
      </c>
      <c r="G480">
        <f>VLOOKUP(Table4[[#This Row],[Home]],'NHL Model'!$A$6:$B$38,2,FALSE)</f>
        <v>8.4094725828611647E-2</v>
      </c>
      <c r="H480" t="s">
        <v>11</v>
      </c>
      <c r="I480">
        <f>VLOOKUP(Table4[[#This Row],[Visitor]],'NHL Model'!$A$6:$B$38,2,FALSE)</f>
        <v>-0.55695213126481558</v>
      </c>
      <c r="J480">
        <f>($B$1+Table4[[#This Row],[Home Differential]])-Table4[[#This Row],[Away Differential]]</f>
        <v>0.77065384290495131</v>
      </c>
      <c r="K480" t="str">
        <f>IF(Table4[[#This Row],[HomeIce Differential]]&gt;0,Table4[[#This Row],[Home]],Table4[[#This Row],[Visitor]])</f>
        <v>Utah Mammoth</v>
      </c>
      <c r="L4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0.61651571870067501</v>
      </c>
      <c r="M480" t="str">
        <f>IF(OR((NHL2025_26Results[[#This Row],[Winning Team]]="")),"-",IF(Table4[[#This Row],[Predicted Winner]]=NHL2025_26Results[[#This Row],[Winning Team]],"YES","NO"))</f>
        <v>NO</v>
      </c>
      <c r="N480">
        <f>IF(Table4[[#This Row],[Adjusted Correct]]="-", "",IF(Table4[[#This Row],[Adjusted Correct]]="YES",(Table4[[#This Row],[Strength of Win]]-1)^2,(Table4[[#This Row],[Strength of Win]]-0)^2))</f>
        <v>0.38009163140500984</v>
      </c>
      <c r="O480">
        <v>0.22734460349640592</v>
      </c>
      <c r="P480" s="11">
        <v>0.58431013213532323</v>
      </c>
      <c r="Q480" t="s">
        <v>55</v>
      </c>
      <c r="R480" t="s">
        <v>249</v>
      </c>
    </row>
    <row r="481" spans="4:18" x14ac:dyDescent="0.2">
      <c r="D481" s="1">
        <v>46002</v>
      </c>
      <c r="E481" s="2">
        <v>0.79166666666666663</v>
      </c>
      <c r="F481" t="s">
        <v>28</v>
      </c>
      <c r="G481">
        <f>VLOOKUP(Table4[[#This Row],[Home]],'NHL Model'!$A$6:$B$38,2,FALSE)</f>
        <v>-0.28156479873410767</v>
      </c>
      <c r="H481" t="s">
        <v>36</v>
      </c>
      <c r="I481">
        <f>VLOOKUP(Table4[[#This Row],[Visitor]],'NHL Model'!$A$6:$B$38,2,FALSE)</f>
        <v>-0.19010748264223354</v>
      </c>
      <c r="J481">
        <f>($B$1+Table4[[#This Row],[Home Differential]])-Table4[[#This Row],[Away Differential]]</f>
        <v>3.8149669719649976E-2</v>
      </c>
      <c r="K481" t="str">
        <f>IF(Table4[[#This Row],[HomeIce Differential]]&gt;0,Table4[[#This Row],[Home]],Table4[[#This Row],[Visitor]])</f>
        <v>Columbus Blue Jackets</v>
      </c>
      <c r="L4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0.53933932446029775</v>
      </c>
      <c r="M481" t="str">
        <f>IF(OR((NHL2025_26Results[[#This Row],[Winning Team]]="")),"-",IF(Table4[[#This Row],[Predicted Winner]]=NHL2025_26Results[[#This Row],[Winning Team]],"YES","NO"))</f>
        <v>NO</v>
      </c>
      <c r="N481">
        <f>IF(Table4[[#This Row],[Adjusted Correct]]="-", "",IF(Table4[[#This Row],[Adjusted Correct]]="YES",(Table4[[#This Row],[Strength of Win]]-1)^2,(Table4[[#This Row],[Strength of Win]]-0)^2))</f>
        <v>0.29088690690929031</v>
      </c>
      <c r="O481">
        <v>-3.2231108500657024E-2</v>
      </c>
      <c r="P481" s="11">
        <v>0.46711731334256834</v>
      </c>
      <c r="Q481" t="s">
        <v>36</v>
      </c>
      <c r="R481" t="s">
        <v>248</v>
      </c>
    </row>
    <row r="482" spans="4:18" x14ac:dyDescent="0.2">
      <c r="D482" s="1">
        <v>46002</v>
      </c>
      <c r="E482" s="2">
        <v>0.875</v>
      </c>
      <c r="F482" t="s">
        <v>12</v>
      </c>
      <c r="G482">
        <f>VLOOKUP(Table4[[#This Row],[Home]],'NHL Model'!$A$6:$B$38,2,FALSE)</f>
        <v>0.99866683349964291</v>
      </c>
      <c r="H482" t="s">
        <v>11</v>
      </c>
      <c r="I482">
        <f>VLOOKUP(Table4[[#This Row],[Visitor]],'NHL Model'!$A$6:$B$38,2,FALSE)</f>
        <v>-0.55695213126481558</v>
      </c>
      <c r="J482">
        <f>($B$1+Table4[[#This Row],[Home Differential]])-Table4[[#This Row],[Away Differential]]</f>
        <v>1.6852259505759826</v>
      </c>
      <c r="K482" t="str">
        <f>IF(Table4[[#This Row],[HomeIce Differential]]&gt;0,Table4[[#This Row],[Home]],Table4[[#This Row],[Visitor]])</f>
        <v>Colorado Avalanche</v>
      </c>
      <c r="L4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0.77133008963717242</v>
      </c>
      <c r="M482" t="str">
        <f>IF(OR((NHL2025_26Results[[#This Row],[Winning Team]]="")),"-",IF(Table4[[#This Row],[Predicted Winner]]=NHL2025_26Results[[#This Row],[Winning Team]],"YES","NO"))</f>
        <v>YES</v>
      </c>
      <c r="N482">
        <f>IF(Table4[[#This Row],[Adjusted Correct]]="-", "",IF(Table4[[#This Row],[Adjusted Correct]]="YES",(Table4[[#This Row],[Strength of Win]]-1)^2,(Table4[[#This Row],[Strength of Win]]-0)^2))</f>
        <v>5.2289927905343599E-2</v>
      </c>
      <c r="O482">
        <v>1.6863371007593475</v>
      </c>
      <c r="P482" s="11">
        <v>0.8330947688755499</v>
      </c>
      <c r="Q482" t="s">
        <v>12</v>
      </c>
      <c r="R482" t="s">
        <v>248</v>
      </c>
    </row>
    <row r="483" spans="4:18" x14ac:dyDescent="0.2">
      <c r="D483" s="1">
        <v>46002</v>
      </c>
      <c r="E483" s="2">
        <v>0.875</v>
      </c>
      <c r="F483" t="s">
        <v>17</v>
      </c>
      <c r="G483">
        <f>VLOOKUP(Table4[[#This Row],[Home]],'NHL Model'!$A$6:$B$38,2,FALSE)</f>
        <v>-0.36462594951491906</v>
      </c>
      <c r="H483" t="s">
        <v>26</v>
      </c>
      <c r="I483">
        <f>VLOOKUP(Table4[[#This Row],[Visitor]],'NHL Model'!$A$6:$B$38,2,FALSE)</f>
        <v>-0.33113778518110382</v>
      </c>
      <c r="J483">
        <f>($B$1+Table4[[#This Row],[Home Differential]])-Table4[[#This Row],[Away Differential]]</f>
        <v>9.6118821477708866E-2</v>
      </c>
      <c r="K483" t="str">
        <f>IF(Table4[[#This Row],[HomeIce Differential]]&gt;0,Table4[[#This Row],[Home]],Table4[[#This Row],[Visitor]])</f>
        <v>Edmonton Oilers</v>
      </c>
      <c r="L4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0.51278558595012347</v>
      </c>
      <c r="M483" t="str">
        <f>IF(OR((NHL2025_26Results[[#This Row],[Winning Team]]="")),"-",IF(Table4[[#This Row],[Predicted Winner]]=NHL2025_26Results[[#This Row],[Winning Team]],"YES","NO"))</f>
        <v>YES</v>
      </c>
      <c r="N483">
        <f>IF(Table4[[#This Row],[Adjusted Correct]]="-", "",IF(Table4[[#This Row],[Adjusted Correct]]="YES",(Table4[[#This Row],[Strength of Win]]-1)^2,(Table4[[#This Row],[Strength of Win]]-0)^2))</f>
        <v>0.23737788525796452</v>
      </c>
      <c r="O483">
        <v>0.13625773740362063</v>
      </c>
      <c r="P483" s="11">
        <v>0.51807590008501603</v>
      </c>
      <c r="Q483" t="s">
        <v>17</v>
      </c>
      <c r="R483" t="s">
        <v>248</v>
      </c>
    </row>
    <row r="484" spans="4:18" x14ac:dyDescent="0.2">
      <c r="D484" s="1">
        <v>46002</v>
      </c>
      <c r="E484" s="2">
        <v>0.83333333333333337</v>
      </c>
      <c r="F484" t="s">
        <v>34</v>
      </c>
      <c r="G484">
        <f>VLOOKUP(Table4[[#This Row],[Home]],'NHL Model'!$A$6:$B$38,2,FALSE)</f>
        <v>6.0485283743665949E-2</v>
      </c>
      <c r="H484" t="s">
        <v>39</v>
      </c>
      <c r="I484">
        <f>VLOOKUP(Table4[[#This Row],[Visitor]],'NHL Model'!$A$6:$B$38,2,FALSE)</f>
        <v>0.21708030788125537</v>
      </c>
      <c r="J484">
        <f>($B$1+Table4[[#This Row],[Home Differential]])-Table4[[#This Row],[Away Differential]]</f>
        <v>-2.6988038326065333E-2</v>
      </c>
      <c r="K484" t="str">
        <f>IF(Table4[[#This Row],[HomeIce Differential]]&gt;0,Table4[[#This Row],[Home]],Table4[[#This Row],[Visitor]])</f>
        <v>Dallas Stars</v>
      </c>
      <c r="L4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0.5091224374626212</v>
      </c>
      <c r="M484" t="str">
        <f>IF(OR((NHL2025_26Results[[#This Row],[Winning Team]]="")),"-",IF(Table4[[#This Row],[Predicted Winner]]=NHL2025_26Results[[#This Row],[Winning Team]],"YES","NO"))</f>
        <v>NO</v>
      </c>
      <c r="N484">
        <f>IF(Table4[[#This Row],[Adjusted Correct]]="-", "",IF(Table4[[#This Row],[Adjusted Correct]]="YES",(Table4[[#This Row],[Strength of Win]]-1)^2,(Table4[[#This Row],[Strength of Win]]-0)^2))</f>
        <v>0.25920565632788062</v>
      </c>
      <c r="O484">
        <v>-0.66142602833567965</v>
      </c>
      <c r="P484" s="11">
        <v>0.63275075395323788</v>
      </c>
      <c r="Q484" t="s">
        <v>39</v>
      </c>
      <c r="R484" t="s">
        <v>249</v>
      </c>
    </row>
    <row r="485" spans="4:18" x14ac:dyDescent="0.2">
      <c r="D485" s="1">
        <v>46002</v>
      </c>
      <c r="E485" s="2">
        <v>0.79166666666666663</v>
      </c>
      <c r="F485" t="s">
        <v>24</v>
      </c>
      <c r="G485">
        <f>VLOOKUP(Table4[[#This Row],[Home]],'NHL Model'!$A$6:$B$38,2,FALSE)</f>
        <v>-0.74510803532792402</v>
      </c>
      <c r="H485" t="s">
        <v>37</v>
      </c>
      <c r="I485">
        <f>VLOOKUP(Table4[[#This Row],[Visitor]],'NHL Model'!$A$6:$B$38,2,FALSE)</f>
        <v>0.72108184732572844</v>
      </c>
      <c r="J485">
        <f>($B$1+Table4[[#This Row],[Home Differential]])-Table4[[#This Row],[Away Differential]]</f>
        <v>-1.3365828968421285</v>
      </c>
      <c r="K485" t="str">
        <f>IF(Table4[[#This Row],[HomeIce Differential]]&gt;0,Table4[[#This Row],[Home]],Table4[[#This Row],[Visitor]])</f>
        <v>Tampa Bay Lightning</v>
      </c>
      <c r="L4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0.70694820868732966</v>
      </c>
      <c r="M485" t="str">
        <f>IF(OR((NHL2025_26Results[[#This Row],[Winning Team]]="")),"-",IF(Table4[[#This Row],[Predicted Winner]]=NHL2025_26Results[[#This Row],[Winning Team]],"YES","NO"))</f>
        <v>YES</v>
      </c>
      <c r="N485">
        <f>IF(Table4[[#This Row],[Adjusted Correct]]="-", "",IF(Table4[[#This Row],[Adjusted Correct]]="YES",(Table4[[#This Row],[Strength of Win]]-1)^2,(Table4[[#This Row],[Strength of Win]]-0)^2))</f>
        <v>8.5879352391564884E-2</v>
      </c>
      <c r="O485">
        <v>-0.61118234862047216</v>
      </c>
      <c r="P485" s="11">
        <v>0.54990775595140096</v>
      </c>
      <c r="Q485" t="s">
        <v>37</v>
      </c>
      <c r="R485" t="s">
        <v>248</v>
      </c>
    </row>
    <row r="486" spans="4:18" x14ac:dyDescent="0.2">
      <c r="D486" s="1">
        <v>46002</v>
      </c>
      <c r="E486" s="2">
        <v>0.83333333333333337</v>
      </c>
      <c r="F486" t="s">
        <v>29</v>
      </c>
      <c r="G486">
        <f>VLOOKUP(Table4[[#This Row],[Home]],'NHL Model'!$A$6:$B$38,2,FALSE)</f>
        <v>-0.82056481120798741</v>
      </c>
      <c r="H486" t="s">
        <v>35</v>
      </c>
      <c r="I486">
        <f>VLOOKUP(Table4[[#This Row],[Visitor]],'NHL Model'!$A$6:$B$38,2,FALSE)</f>
        <v>-1.3128572733047907</v>
      </c>
      <c r="J486">
        <f>($B$1+Table4[[#This Row],[Home Differential]])-Table4[[#This Row],[Away Differential]]</f>
        <v>0.62189944790832741</v>
      </c>
      <c r="K486" t="str">
        <f>IF(Table4[[#This Row],[HomeIce Differential]]&gt;0,Table4[[#This Row],[Home]],Table4[[#This Row],[Visitor]])</f>
        <v>Nashville Predators</v>
      </c>
      <c r="L4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0.60983549338870269</v>
      </c>
      <c r="M486" t="str">
        <f>IF(OR((NHL2025_26Results[[#This Row],[Winning Team]]="")),"-",IF(Table4[[#This Row],[Predicted Winner]]=NHL2025_26Results[[#This Row],[Winning Team]],"YES","NO"))</f>
        <v>YES</v>
      </c>
      <c r="N486">
        <f>IF(Table4[[#This Row],[Adjusted Correct]]="-", "",IF(Table4[[#This Row],[Adjusted Correct]]="YES",(Table4[[#This Row],[Strength of Win]]-1)^2,(Table4[[#This Row],[Strength of Win]]-0)^2))</f>
        <v>0.15222834221923706</v>
      </c>
      <c r="O486">
        <v>0.34023187142837874</v>
      </c>
      <c r="P486" s="11">
        <v>0.57738045774140645</v>
      </c>
      <c r="Q486" t="s">
        <v>29</v>
      </c>
      <c r="R486" t="s">
        <v>248</v>
      </c>
    </row>
    <row r="487" spans="4:18" x14ac:dyDescent="0.2">
      <c r="D487" s="1">
        <v>46002</v>
      </c>
      <c r="E487" s="2">
        <v>0.79166666666666663</v>
      </c>
      <c r="F487" t="s">
        <v>30</v>
      </c>
      <c r="G487">
        <f>VLOOKUP(Table4[[#This Row],[Home]],'NHL Model'!$A$6:$B$38,2,FALSE)</f>
        <v>-0.18630462558229716</v>
      </c>
      <c r="H487" t="s">
        <v>31</v>
      </c>
      <c r="I487">
        <f>VLOOKUP(Table4[[#This Row],[Visitor]],'NHL Model'!$A$6:$B$38,2,FALSE)</f>
        <v>-0.46360583111358089</v>
      </c>
      <c r="J487">
        <f>($B$1+Table4[[#This Row],[Home Differential]])-Table4[[#This Row],[Away Differential]]</f>
        <v>0.40690819134280787</v>
      </c>
      <c r="K487" t="str">
        <f>IF(Table4[[#This Row],[HomeIce Differential]]&gt;0,Table4[[#This Row],[Home]],Table4[[#This Row],[Visitor]])</f>
        <v>New York Islanders</v>
      </c>
      <c r="L4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0.59970991448995881</v>
      </c>
      <c r="M487" t="str">
        <f>IF(OR((NHL2025_26Results[[#This Row],[Winning Team]]="")),"-",IF(Table4[[#This Row],[Predicted Winner]]=NHL2025_26Results[[#This Row],[Winning Team]],"YES","NO"))</f>
        <v>YES</v>
      </c>
      <c r="N487">
        <f>IF(Table4[[#This Row],[Adjusted Correct]]="-", "",IF(Table4[[#This Row],[Adjusted Correct]]="YES",(Table4[[#This Row],[Strength of Win]]-1)^2,(Table4[[#This Row],[Strength of Win]]-0)^2))</f>
        <v>0.16023215255763609</v>
      </c>
      <c r="O487">
        <v>-7.3070314095594169E-2</v>
      </c>
      <c r="P487" s="11">
        <v>0.50492246967472165</v>
      </c>
      <c r="Q487" t="s">
        <v>31</v>
      </c>
      <c r="R487" t="s">
        <v>249</v>
      </c>
    </row>
    <row r="488" spans="4:18" x14ac:dyDescent="0.2">
      <c r="D488" s="1">
        <v>46002</v>
      </c>
      <c r="E488" s="2">
        <v>0.79166666666666663</v>
      </c>
      <c r="F488" t="s">
        <v>27</v>
      </c>
      <c r="G488">
        <f>VLOOKUP(Table4[[#This Row],[Home]],'NHL Model'!$A$6:$B$38,2,FALSE)</f>
        <v>-0.55097933929175691</v>
      </c>
      <c r="H488" t="s">
        <v>20</v>
      </c>
      <c r="I488">
        <f>VLOOKUP(Table4[[#This Row],[Visitor]],'NHL Model'!$A$6:$B$38,2,FALSE)</f>
        <v>-0.16296463421387539</v>
      </c>
      <c r="J488">
        <f>($B$1+Table4[[#This Row],[Home Differential]])-Table4[[#This Row],[Away Differential]]</f>
        <v>-0.25840771926635742</v>
      </c>
      <c r="K488" t="str">
        <f>IF(Table4[[#This Row],[HomeIce Differential]]&gt;0,Table4[[#This Row],[Home]],Table4[[#This Row],[Visitor]])</f>
        <v>Vegas Golden Knights</v>
      </c>
      <c r="L4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0.5010337852624478</v>
      </c>
      <c r="M488" t="str">
        <f>IF(OR((NHL2025_26Results[[#This Row],[Winning Team]]="")),"-",IF(Table4[[#This Row],[Predicted Winner]]=NHL2025_26Results[[#This Row],[Winning Team]],"YES","NO"))</f>
        <v>YES</v>
      </c>
      <c r="N488">
        <f>IF(Table4[[#This Row],[Adjusted Correct]]="-", "",IF(Table4[[#This Row],[Adjusted Correct]]="YES",(Table4[[#This Row],[Strength of Win]]-1)^2,(Table4[[#This Row],[Strength of Win]]-0)^2))</f>
        <v>0.24896728344952107</v>
      </c>
      <c r="O488">
        <v>5.1319695904352286E-2</v>
      </c>
      <c r="P488" s="11">
        <v>0.54617891214870506</v>
      </c>
      <c r="Q488" t="s">
        <v>27</v>
      </c>
      <c r="R488" t="s">
        <v>249</v>
      </c>
    </row>
    <row r="489" spans="4:18" x14ac:dyDescent="0.2">
      <c r="D489" s="1">
        <v>46002</v>
      </c>
      <c r="E489" s="2">
        <v>0.79166666666666663</v>
      </c>
      <c r="F489" t="s">
        <v>14</v>
      </c>
      <c r="G489">
        <f>VLOOKUP(Table4[[#This Row],[Home]],'NHL Model'!$A$6:$B$38,2,FALSE)</f>
        <v>3.6349513460996066E-5</v>
      </c>
      <c r="H489" t="s">
        <v>18</v>
      </c>
      <c r="I489">
        <f>VLOOKUP(Table4[[#This Row],[Visitor]],'NHL Model'!$A$6:$B$38,2,FALSE)</f>
        <v>-8.6274676766085606E-2</v>
      </c>
      <c r="J489">
        <f>($B$1+Table4[[#This Row],[Home Differential]])-Table4[[#This Row],[Away Differential]]</f>
        <v>0.2159180120910707</v>
      </c>
      <c r="K489" t="str">
        <f>IF(Table4[[#This Row],[HomeIce Differential]]&gt;0,Table4[[#This Row],[Home]],Table4[[#This Row],[Visitor]])</f>
        <v>Pittsburgh Penguins</v>
      </c>
      <c r="L4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0.51887671687381531</v>
      </c>
      <c r="M489" t="str">
        <f>IF(OR((NHL2025_26Results[[#This Row],[Winning Team]]="")),"-",IF(Table4[[#This Row],[Predicted Winner]]=NHL2025_26Results[[#This Row],[Winning Team]],"YES","NO"))</f>
        <v>NO</v>
      </c>
      <c r="N489">
        <f>IF(Table4[[#This Row],[Adjusted Correct]]="-", "",IF(Table4[[#This Row],[Adjusted Correct]]="YES",(Table4[[#This Row],[Strength of Win]]-1)^2,(Table4[[#This Row],[Strength of Win]]-0)^2))</f>
        <v>0.26923304731374947</v>
      </c>
      <c r="O489">
        <v>0.77448764145506754</v>
      </c>
      <c r="P489" s="11">
        <v>0.55246792606529849</v>
      </c>
      <c r="Q489" t="s">
        <v>14</v>
      </c>
      <c r="R489" t="s">
        <v>249</v>
      </c>
    </row>
    <row r="490" spans="4:18" x14ac:dyDescent="0.2">
      <c r="D490" s="1">
        <v>46002</v>
      </c>
      <c r="E490" s="2">
        <v>0.79166666666666663</v>
      </c>
      <c r="F490" t="s">
        <v>19</v>
      </c>
      <c r="G490">
        <f>VLOOKUP(Table4[[#This Row],[Home]],'NHL Model'!$A$6:$B$38,2,FALSE)</f>
        <v>-0.44228056828684137</v>
      </c>
      <c r="H490" t="s">
        <v>33</v>
      </c>
      <c r="I490">
        <f>VLOOKUP(Table4[[#This Row],[Visitor]],'NHL Model'!$A$6:$B$38,2,FALSE)</f>
        <v>-0.65236582493376272</v>
      </c>
      <c r="J490">
        <f>($B$1+Table4[[#This Row],[Home Differential]])-Table4[[#This Row],[Away Differential]]</f>
        <v>0.33969224245844543</v>
      </c>
      <c r="K490" t="str">
        <f>IF(Table4[[#This Row],[HomeIce Differential]]&gt;0,Table4[[#This Row],[Home]],Table4[[#This Row],[Visitor]])</f>
        <v>Toronto Maple Leafs</v>
      </c>
      <c r="L4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0.57814535522131105</v>
      </c>
      <c r="M490" t="str">
        <f>IF(OR((NHL2025_26Results[[#This Row],[Winning Team]]="")),"-",IF(Table4[[#This Row],[Predicted Winner]]=NHL2025_26Results[[#This Row],[Winning Team]],"YES","NO"))</f>
        <v>NO</v>
      </c>
      <c r="N490">
        <f>IF(Table4[[#This Row],[Adjusted Correct]]="-", "",IF(Table4[[#This Row],[Adjusted Correct]]="YES",(Table4[[#This Row],[Strength of Win]]-1)^2,(Table4[[#This Row],[Strength of Win]]-0)^2))</f>
        <v>0.33425205176397593</v>
      </c>
      <c r="O490">
        <v>0.45634759430137817</v>
      </c>
      <c r="P490" s="11">
        <v>0.59013781305249091</v>
      </c>
      <c r="Q490" t="s">
        <v>19</v>
      </c>
      <c r="R490" t="s">
        <v>249</v>
      </c>
    </row>
    <row r="491" spans="4:18" x14ac:dyDescent="0.2">
      <c r="D491" s="1">
        <v>46002</v>
      </c>
      <c r="E491" s="2">
        <v>0.91666666666666663</v>
      </c>
      <c r="F491" t="s">
        <v>38</v>
      </c>
      <c r="G491">
        <f>VLOOKUP(Table4[[#This Row],[Home]],'NHL Model'!$A$6:$B$38,2,FALSE)</f>
        <v>-1.3920033028857945</v>
      </c>
      <c r="H491" t="s">
        <v>23</v>
      </c>
      <c r="I491">
        <f>VLOOKUP(Table4[[#This Row],[Visitor]],'NHL Model'!$A$6:$B$38,2,FALSE)</f>
        <v>8.1543966060426461E-3</v>
      </c>
      <c r="J491">
        <f>($B$1+Table4[[#This Row],[Home Differential]])-Table4[[#This Row],[Away Differential]]</f>
        <v>-1.2705507136803131</v>
      </c>
      <c r="K491" t="str">
        <f>IF(Table4[[#This Row],[HomeIce Differential]]&gt;0,Table4[[#This Row],[Home]],Table4[[#This Row],[Visitor]])</f>
        <v>Buffalo Sabres</v>
      </c>
      <c r="L4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0.63956946177088558</v>
      </c>
      <c r="M491" t="str">
        <f>IF(OR((NHL2025_26Results[[#This Row],[Winning Team]]="")),"-",IF(Table4[[#This Row],[Predicted Winner]]=NHL2025_26Results[[#This Row],[Winning Team]],"YES","NO"))</f>
        <v>YES</v>
      </c>
      <c r="N491">
        <f>IF(Table4[[#This Row],[Adjusted Correct]]="-", "",IF(Table4[[#This Row],[Adjusted Correct]]="YES",(Table4[[#This Row],[Strength of Win]]-1)^2,(Table4[[#This Row],[Strength of Win]]-0)^2))</f>
        <v>0.12991017288812912</v>
      </c>
      <c r="O491">
        <v>-0.23362736426213393</v>
      </c>
      <c r="P491" s="11">
        <v>0.48566807683352281</v>
      </c>
      <c r="Q491" t="s">
        <v>23</v>
      </c>
      <c r="R491" t="s">
        <v>248</v>
      </c>
    </row>
    <row r="492" spans="4:18" x14ac:dyDescent="0.2">
      <c r="D492" s="1">
        <v>46002</v>
      </c>
      <c r="E492" s="2">
        <v>0.83333333333333337</v>
      </c>
      <c r="F492" t="s">
        <v>40</v>
      </c>
      <c r="G492">
        <f>VLOOKUP(Table4[[#This Row],[Home]],'NHL Model'!$A$6:$B$38,2,FALSE)</f>
        <v>-0.58845147248022256</v>
      </c>
      <c r="H492" t="s">
        <v>21</v>
      </c>
      <c r="I492">
        <f>VLOOKUP(Table4[[#This Row],[Visitor]],'NHL Model'!$A$6:$B$38,2,FALSE)</f>
        <v>-0.10253061303059285</v>
      </c>
      <c r="J492">
        <f>($B$1+Table4[[#This Row],[Home Differential]])-Table4[[#This Row],[Away Differential]]</f>
        <v>-0.35631387363810563</v>
      </c>
      <c r="K492" t="str">
        <f>IF(Table4[[#This Row],[HomeIce Differential]]&gt;0,Table4[[#This Row],[Home]],Table4[[#This Row],[Visitor]])</f>
        <v>Boston Bruins</v>
      </c>
      <c r="L4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0.50001186244890339</v>
      </c>
      <c r="M492" t="str">
        <f>IF(OR((NHL2025_26Results[[#This Row],[Winning Team]]="")),"-",IF(Table4[[#This Row],[Predicted Winner]]=NHL2025_26Results[[#This Row],[Winning Team]],"YES","NO"))</f>
        <v>YES</v>
      </c>
      <c r="N492">
        <f>IF(Table4[[#This Row],[Adjusted Correct]]="-", "",IF(Table4[[#This Row],[Adjusted Correct]]="YES",(Table4[[#This Row],[Strength of Win]]-1)^2,(Table4[[#This Row],[Strength of Win]]-0)^2))</f>
        <v>0.2499881376918143</v>
      </c>
      <c r="O492">
        <v>-0.2826311372507529</v>
      </c>
      <c r="P492" s="11">
        <v>0.49462816249918612</v>
      </c>
      <c r="Q492" t="s">
        <v>21</v>
      </c>
      <c r="R492" t="s">
        <v>248</v>
      </c>
    </row>
    <row r="493" spans="4:18" x14ac:dyDescent="0.2">
      <c r="D493" s="1">
        <v>46002</v>
      </c>
      <c r="E493" s="2">
        <v>0.79166666666666663</v>
      </c>
      <c r="F493" t="s">
        <v>22</v>
      </c>
      <c r="G493">
        <f>VLOOKUP(Table4[[#This Row],[Home]],'NHL Model'!$A$6:$B$38,2,FALSE)</f>
        <v>-0.11977593183651415</v>
      </c>
      <c r="H493" t="s">
        <v>25</v>
      </c>
      <c r="I493">
        <f>VLOOKUP(Table4[[#This Row],[Visitor]],'NHL Model'!$A$6:$B$38,2,FALSE)</f>
        <v>0.2324942014830165</v>
      </c>
      <c r="J493">
        <f>($B$1+Table4[[#This Row],[Home Differential]])-Table4[[#This Row],[Away Differential]]</f>
        <v>-0.22266314750800653</v>
      </c>
      <c r="K493" t="str">
        <f>IF(Table4[[#This Row],[HomeIce Differential]]&gt;0,Table4[[#This Row],[Home]],Table4[[#This Row],[Visitor]])</f>
        <v>Carolina Hurricanes</v>
      </c>
      <c r="L4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0.52339598865049841</v>
      </c>
      <c r="M493" t="str">
        <f>IF(OR((NHL2025_26Results[[#This Row],[Winning Team]]="")),"-",IF(Table4[[#This Row],[Predicted Winner]]=NHL2025_26Results[[#This Row],[Winning Team]],"YES","NO"))</f>
        <v>YES</v>
      </c>
      <c r="N493">
        <f>IF(Table4[[#This Row],[Adjusted Correct]]="-", "",IF(Table4[[#This Row],[Adjusted Correct]]="YES",(Table4[[#This Row],[Strength of Win]]-1)^2,(Table4[[#This Row],[Strength of Win]]-0)^2))</f>
        <v>0.22715138363443585</v>
      </c>
      <c r="O493">
        <v>0.47670454993992839</v>
      </c>
      <c r="P493" s="11">
        <v>0.55625035181933369</v>
      </c>
      <c r="Q493" t="s">
        <v>22</v>
      </c>
      <c r="R493" t="s">
        <v>249</v>
      </c>
    </row>
    <row r="494" spans="4:18" x14ac:dyDescent="0.2">
      <c r="D494" s="1">
        <v>46003</v>
      </c>
      <c r="E494" s="2">
        <v>0.83333333333333337</v>
      </c>
      <c r="F494" t="s">
        <v>35</v>
      </c>
      <c r="G494">
        <f>VLOOKUP(Table4[[#This Row],[Home]],'NHL Model'!$A$6:$B$38,2,FALSE)</f>
        <v>-1.3128572733047907</v>
      </c>
      <c r="H494" t="s">
        <v>10</v>
      </c>
      <c r="I494">
        <f>VLOOKUP(Table4[[#This Row],[Visitor]],'NHL Model'!$A$6:$B$38,2,FALSE)</f>
        <v>-0.92658078135875344</v>
      </c>
      <c r="J494">
        <f>($B$1+Table4[[#This Row],[Home Differential]])-Table4[[#This Row],[Away Differential]]</f>
        <v>-0.25666950613451323</v>
      </c>
      <c r="K494" t="str">
        <f>IF(Table4[[#This Row],[HomeIce Differential]]&gt;0,Table4[[#This Row],[Home]],Table4[[#This Row],[Visitor]])</f>
        <v>Chicago Blackhawks</v>
      </c>
      <c r="L4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0.48882241117760344</v>
      </c>
      <c r="M494" t="str">
        <f>IF(OR((NHL2025_26Results[[#This Row],[Winning Team]]="")),"-",IF(Table4[[#This Row],[Predicted Winner]]=NHL2025_26Results[[#This Row],[Winning Team]],"YES","NO"))</f>
        <v>NO</v>
      </c>
      <c r="N494">
        <f>IF(Table4[[#This Row],[Adjusted Correct]]="-", "",IF(Table4[[#This Row],[Adjusted Correct]]="YES",(Table4[[#This Row],[Strength of Win]]-1)^2,(Table4[[#This Row],[Strength of Win]]-0)^2))</f>
        <v>0.238947349669486</v>
      </c>
      <c r="O494">
        <v>-0.93298105376014906</v>
      </c>
      <c r="P494" s="11">
        <v>0.56497768314241603</v>
      </c>
      <c r="Q494" t="s">
        <v>10</v>
      </c>
      <c r="R494" t="s">
        <v>249</v>
      </c>
    </row>
    <row r="495" spans="4:18" x14ac:dyDescent="0.2">
      <c r="D495" s="1">
        <v>46003</v>
      </c>
      <c r="E495" s="2">
        <v>0.875</v>
      </c>
      <c r="F495" t="s">
        <v>55</v>
      </c>
      <c r="G495">
        <f>VLOOKUP(Table4[[#This Row],[Home]],'NHL Model'!$A$6:$B$38,2,FALSE)</f>
        <v>8.4094725828611647E-2</v>
      </c>
      <c r="H495" t="s">
        <v>32</v>
      </c>
      <c r="I495">
        <f>VLOOKUP(Table4[[#This Row],[Visitor]],'NHL Model'!$A$6:$B$38,2,FALSE)</f>
        <v>-0.48236715437805205</v>
      </c>
      <c r="J495">
        <f>($B$1+Table4[[#This Row],[Home Differential]])-Table4[[#This Row],[Away Differential]]</f>
        <v>0.69606886601818774</v>
      </c>
      <c r="K495" t="str">
        <f>IF(Table4[[#This Row],[HomeIce Differential]]&gt;0,Table4[[#This Row],[Home]],Table4[[#This Row],[Visitor]])</f>
        <v>Utah Mammoth</v>
      </c>
      <c r="L4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0.64710670051383423</v>
      </c>
      <c r="M495" t="str">
        <f>IF(OR((NHL2025_26Results[[#This Row],[Winning Team]]="")),"-",IF(Table4[[#This Row],[Predicted Winner]]=NHL2025_26Results[[#This Row],[Winning Team]],"YES","NO"))</f>
        <v>YES</v>
      </c>
      <c r="N495">
        <f>IF(Table4[[#This Row],[Adjusted Correct]]="-", "",IF(Table4[[#This Row],[Adjusted Correct]]="YES",(Table4[[#This Row],[Strength of Win]]-1)^2,(Table4[[#This Row],[Strength of Win]]-0)^2))</f>
        <v>0.12453368082223268</v>
      </c>
      <c r="O495">
        <v>0.7074827223370932</v>
      </c>
      <c r="P495" s="11">
        <v>0.61960493597904354</v>
      </c>
      <c r="Q495" t="s">
        <v>55</v>
      </c>
      <c r="R495" t="s">
        <v>248</v>
      </c>
    </row>
    <row r="496" spans="4:18" x14ac:dyDescent="0.2">
      <c r="D496" s="1">
        <v>46004</v>
      </c>
      <c r="E496" s="2">
        <v>0.79166666666666663</v>
      </c>
      <c r="F496" t="s">
        <v>28</v>
      </c>
      <c r="G496">
        <f>VLOOKUP(Table4[[#This Row],[Home]],'NHL Model'!$A$6:$B$38,2,FALSE)</f>
        <v>-0.28156479873410767</v>
      </c>
      <c r="H496" t="s">
        <v>20</v>
      </c>
      <c r="I496">
        <f>VLOOKUP(Table4[[#This Row],[Visitor]],'NHL Model'!$A$6:$B$38,2,FALSE)</f>
        <v>-0.16296463421387539</v>
      </c>
      <c r="J496">
        <f>($B$1+Table4[[#This Row],[Home Differential]])-Table4[[#This Row],[Away Differential]]</f>
        <v>1.1006821291291824E-2</v>
      </c>
      <c r="K496" t="str">
        <f>IF(Table4[[#This Row],[HomeIce Differential]]&gt;0,Table4[[#This Row],[Home]],Table4[[#This Row],[Visitor]])</f>
        <v>Columbus Blue Jackets</v>
      </c>
      <c r="L4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0.53629134907079623</v>
      </c>
      <c r="M496" t="str">
        <f>IF(OR((NHL2025_26Results[[#This Row],[Winning Team]]="")),"-",IF(Table4[[#This Row],[Predicted Winner]]=NHL2025_26Results[[#This Row],[Winning Team]],"YES","NO"))</f>
        <v>NO</v>
      </c>
      <c r="N496">
        <f>IF(Table4[[#This Row],[Adjusted Correct]]="-", "",IF(Table4[[#This Row],[Adjusted Correct]]="YES",(Table4[[#This Row],[Strength of Win]]-1)^2,(Table4[[#This Row],[Strength of Win]]-0)^2))</f>
        <v>0.28760841108817459</v>
      </c>
      <c r="O496">
        <v>-0.59236728766162994</v>
      </c>
      <c r="P496" s="11">
        <v>0.56204729471730286</v>
      </c>
      <c r="Q496" t="s">
        <v>20</v>
      </c>
      <c r="R496" t="s">
        <v>248</v>
      </c>
    </row>
    <row r="497" spans="4:18" x14ac:dyDescent="0.2">
      <c r="D497" s="1">
        <v>46004</v>
      </c>
      <c r="E497" s="2">
        <v>0.83333333333333337</v>
      </c>
      <c r="F497" t="s">
        <v>10</v>
      </c>
      <c r="G497">
        <f>VLOOKUP(Table4[[#This Row],[Home]],'NHL Model'!$A$6:$B$38,2,FALSE)</f>
        <v>-0.92658078135875344</v>
      </c>
      <c r="H497" t="s">
        <v>26</v>
      </c>
      <c r="I497">
        <f>VLOOKUP(Table4[[#This Row],[Visitor]],'NHL Model'!$A$6:$B$38,2,FALSE)</f>
        <v>-0.33113778518110382</v>
      </c>
      <c r="J497">
        <f>($B$1+Table4[[#This Row],[Home Differential]])-Table4[[#This Row],[Away Differential]]</f>
        <v>-0.46583601036612554</v>
      </c>
      <c r="K497" t="str">
        <f>IF(Table4[[#This Row],[HomeIce Differential]]&gt;0,Table4[[#This Row],[Home]],Table4[[#This Row],[Visitor]])</f>
        <v>Detroit Red Wings</v>
      </c>
      <c r="L4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0.55031849474326322</v>
      </c>
      <c r="M497" t="str">
        <f>IF(OR((NHL2025_26Results[[#This Row],[Winning Team]]="")),"-",IF(Table4[[#This Row],[Predicted Winner]]=NHL2025_26Results[[#This Row],[Winning Team]],"YES","NO"))</f>
        <v>YES</v>
      </c>
      <c r="N497">
        <f>IF(Table4[[#This Row],[Adjusted Correct]]="-", "",IF(Table4[[#This Row],[Adjusted Correct]]="YES",(Table4[[#This Row],[Strength of Win]]-1)^2,(Table4[[#This Row],[Strength of Win]]-0)^2))</f>
        <v>0.20221345616996458</v>
      </c>
      <c r="O497">
        <v>0.28026106399303485</v>
      </c>
      <c r="P497" s="11">
        <v>0.55005592988839935</v>
      </c>
      <c r="Q497" t="s">
        <v>10</v>
      </c>
      <c r="R497" t="s">
        <v>249</v>
      </c>
    </row>
    <row r="498" spans="4:18" x14ac:dyDescent="0.2">
      <c r="D498" s="1">
        <v>46004</v>
      </c>
      <c r="E498" s="2">
        <v>0.875</v>
      </c>
      <c r="F498" t="s">
        <v>12</v>
      </c>
      <c r="G498">
        <f>VLOOKUP(Table4[[#This Row],[Home]],'NHL Model'!$A$6:$B$38,2,FALSE)</f>
        <v>0.99866683349964291</v>
      </c>
      <c r="H498" t="s">
        <v>29</v>
      </c>
      <c r="I498">
        <f>VLOOKUP(Table4[[#This Row],[Visitor]],'NHL Model'!$A$6:$B$38,2,FALSE)</f>
        <v>-0.82056481120798741</v>
      </c>
      <c r="J498">
        <f>($B$1+Table4[[#This Row],[Home Differential]])-Table4[[#This Row],[Away Differential]]</f>
        <v>1.9488386305191545</v>
      </c>
      <c r="K498" t="str">
        <f>IF(Table4[[#This Row],[HomeIce Differential]]&gt;0,Table4[[#This Row],[Home]],Table4[[#This Row],[Visitor]])</f>
        <v>Colorado Avalanche</v>
      </c>
      <c r="L4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0.83867733515039333</v>
      </c>
      <c r="M498" t="str">
        <f>IF(OR((NHL2025_26Results[[#This Row],[Winning Team]]="")),"-",IF(Table4[[#This Row],[Predicted Winner]]=NHL2025_26Results[[#This Row],[Winning Team]],"YES","NO"))</f>
        <v>YES</v>
      </c>
      <c r="N498">
        <f>IF(Table4[[#This Row],[Adjusted Correct]]="-", "",IF(Table4[[#This Row],[Adjusted Correct]]="YES",(Table4[[#This Row],[Strength of Win]]-1)^2,(Table4[[#This Row],[Strength of Win]]-0)^2))</f>
        <v>2.6025002194178519E-2</v>
      </c>
      <c r="O498">
        <v>2.3832251275827825</v>
      </c>
      <c r="P498" s="11">
        <v>0.91288374111268134</v>
      </c>
      <c r="Q498" t="s">
        <v>12</v>
      </c>
      <c r="R498" t="s">
        <v>248</v>
      </c>
    </row>
    <row r="499" spans="4:18" x14ac:dyDescent="0.2">
      <c r="D499" s="1">
        <v>46004</v>
      </c>
      <c r="E499" s="2">
        <v>0.83333333333333337</v>
      </c>
      <c r="F499" t="s">
        <v>39</v>
      </c>
      <c r="G499">
        <f>VLOOKUP(Table4[[#This Row],[Home]],'NHL Model'!$A$6:$B$38,2,FALSE)</f>
        <v>0.21708030788125537</v>
      </c>
      <c r="H499" t="s">
        <v>11</v>
      </c>
      <c r="I499">
        <f>VLOOKUP(Table4[[#This Row],[Visitor]],'NHL Model'!$A$6:$B$38,2,FALSE)</f>
        <v>-0.55695213126481558</v>
      </c>
      <c r="J499">
        <f>($B$1+Table4[[#This Row],[Home Differential]])-Table4[[#This Row],[Away Differential]]</f>
        <v>0.90363942495759508</v>
      </c>
      <c r="K499" t="str">
        <f>IF(Table4[[#This Row],[HomeIce Differential]]&gt;0,Table4[[#This Row],[Home]],Table4[[#This Row],[Visitor]])</f>
        <v>Dallas Stars</v>
      </c>
      <c r="L4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0.64049755491649685</v>
      </c>
      <c r="M499" t="str">
        <f>IF(OR((NHL2025_26Results[[#This Row],[Winning Team]]="")),"-",IF(Table4[[#This Row],[Predicted Winner]]=NHL2025_26Results[[#This Row],[Winning Team]],"YES","NO"))</f>
        <v>NO</v>
      </c>
      <c r="N499">
        <f>IF(Table4[[#This Row],[Adjusted Correct]]="-", "",IF(Table4[[#This Row],[Adjusted Correct]]="YES",(Table4[[#This Row],[Strength of Win]]-1)^2,(Table4[[#This Row],[Strength of Win]]-0)^2))</f>
        <v>0.4102371178540109</v>
      </c>
      <c r="O499">
        <v>0.94678195638964402</v>
      </c>
      <c r="P499" s="11">
        <v>0.69584997731474907</v>
      </c>
      <c r="Q499" t="s">
        <v>39</v>
      </c>
      <c r="R499" t="s">
        <v>249</v>
      </c>
    </row>
    <row r="500" spans="4:18" x14ac:dyDescent="0.2">
      <c r="D500" s="1">
        <v>46004</v>
      </c>
      <c r="E500" s="2">
        <v>0.91666666666666663</v>
      </c>
      <c r="F500" t="s">
        <v>13</v>
      </c>
      <c r="G500">
        <f>VLOOKUP(Table4[[#This Row],[Home]],'NHL Model'!$A$6:$B$38,2,FALSE)</f>
        <v>-0.59069689888466137</v>
      </c>
      <c r="H500" t="s">
        <v>16</v>
      </c>
      <c r="I500">
        <f>VLOOKUP(Table4[[#This Row],[Visitor]],'NHL Model'!$A$6:$B$38,2,FALSE)</f>
        <v>-0.89031221864884547</v>
      </c>
      <c r="J500">
        <f>($B$1+Table4[[#This Row],[Home Differential]])-Table4[[#This Row],[Away Differential]]</f>
        <v>0.42922230557570817</v>
      </c>
      <c r="K500" t="str">
        <f>IF(Table4[[#This Row],[HomeIce Differential]]&gt;0,Table4[[#This Row],[Home]],Table4[[#This Row],[Visitor]])</f>
        <v>Los Angeles Kings</v>
      </c>
      <c r="L5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0.58819903214922076</v>
      </c>
      <c r="M500" t="str">
        <f>IF(OR((NHL2025_26Results[[#This Row],[Winning Team]]="")),"-",IF(Table4[[#This Row],[Predicted Winner]]=NHL2025_26Results[[#This Row],[Winning Team]],"YES","NO"))</f>
        <v>NO</v>
      </c>
      <c r="N500">
        <f>IF(Table4[[#This Row],[Adjusted Correct]]="-", "",IF(Table4[[#This Row],[Adjusted Correct]]="YES",(Table4[[#This Row],[Strength of Win]]-1)^2,(Table4[[#This Row],[Strength of Win]]-0)^2))</f>
        <v>0.34597810142128005</v>
      </c>
      <c r="O500">
        <v>0.76684136296371475</v>
      </c>
      <c r="P500" s="11">
        <v>0.62434281906836697</v>
      </c>
      <c r="Q500" t="s">
        <v>13</v>
      </c>
      <c r="R500" t="s">
        <v>249</v>
      </c>
    </row>
    <row r="501" spans="4:18" x14ac:dyDescent="0.2">
      <c r="D501" s="1">
        <v>46004</v>
      </c>
      <c r="E501" s="2">
        <v>0.58333333333333337</v>
      </c>
      <c r="F501" t="s">
        <v>34</v>
      </c>
      <c r="G501">
        <f>VLOOKUP(Table4[[#This Row],[Home]],'NHL Model'!$A$6:$B$38,2,FALSE)</f>
        <v>6.0485283743665949E-2</v>
      </c>
      <c r="H501" t="s">
        <v>36</v>
      </c>
      <c r="I501">
        <f>VLOOKUP(Table4[[#This Row],[Visitor]],'NHL Model'!$A$6:$B$38,2,FALSE)</f>
        <v>-0.19010748264223354</v>
      </c>
      <c r="J501">
        <f>($B$1+Table4[[#This Row],[Home Differential]])-Table4[[#This Row],[Away Differential]]</f>
        <v>0.38019975219742358</v>
      </c>
      <c r="K501" t="str">
        <f>IF(Table4[[#This Row],[HomeIce Differential]]&gt;0,Table4[[#This Row],[Home]],Table4[[#This Row],[Visitor]])</f>
        <v>Minnesota Wild</v>
      </c>
      <c r="L5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0.58267219429469896</v>
      </c>
      <c r="M501" t="str">
        <f>IF(OR((NHL2025_26Results[[#This Row],[Winning Team]]="")),"-",IF(Table4[[#This Row],[Predicted Winner]]=NHL2025_26Results[[#This Row],[Winning Team]],"YES","NO"))</f>
        <v>YES</v>
      </c>
      <c r="N501">
        <f>IF(Table4[[#This Row],[Adjusted Correct]]="-", "",IF(Table4[[#This Row],[Adjusted Correct]]="YES",(Table4[[#This Row],[Strength of Win]]-1)^2,(Table4[[#This Row],[Strength of Win]]-0)^2))</f>
        <v>0.1741624974148015</v>
      </c>
      <c r="O501">
        <v>0.41054303352904981</v>
      </c>
      <c r="P501" s="11">
        <v>0.57456628879531602</v>
      </c>
      <c r="Q501" t="s">
        <v>34</v>
      </c>
      <c r="R501" t="s">
        <v>248</v>
      </c>
    </row>
    <row r="502" spans="4:18" x14ac:dyDescent="0.2">
      <c r="D502" s="1">
        <v>46004</v>
      </c>
      <c r="E502" s="2">
        <v>0.52083333333333337</v>
      </c>
      <c r="F502" t="s">
        <v>24</v>
      </c>
      <c r="G502">
        <f>VLOOKUP(Table4[[#This Row],[Home]],'NHL Model'!$A$6:$B$38,2,FALSE)</f>
        <v>-0.74510803532792402</v>
      </c>
      <c r="H502" t="s">
        <v>31</v>
      </c>
      <c r="I502">
        <f>VLOOKUP(Table4[[#This Row],[Visitor]],'NHL Model'!$A$6:$B$38,2,FALSE)</f>
        <v>-0.46360583111358089</v>
      </c>
      <c r="J502">
        <f>($B$1+Table4[[#This Row],[Home Differential]])-Table4[[#This Row],[Away Differential]]</f>
        <v>-0.15189521840281905</v>
      </c>
      <c r="K502" t="str">
        <f>IF(Table4[[#This Row],[HomeIce Differential]]&gt;0,Table4[[#This Row],[Home]],Table4[[#This Row],[Visitor]])</f>
        <v>Anaheim Ducks</v>
      </c>
      <c r="L5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0.47705690133063006</v>
      </c>
      <c r="M502" t="str">
        <f>IF(OR((NHL2025_26Results[[#This Row],[Winning Team]]="")),"-",IF(Table4[[#This Row],[Predicted Winner]]=NHL2025_26Results[[#This Row],[Winning Team]],"YES","NO"))</f>
        <v>NO</v>
      </c>
      <c r="N502">
        <f>IF(Table4[[#This Row],[Adjusted Correct]]="-", "",IF(Table4[[#This Row],[Adjusted Correct]]="YES",(Table4[[#This Row],[Strength of Win]]-1)^2,(Table4[[#This Row],[Strength of Win]]-0)^2))</f>
        <v>0.22758328710718251</v>
      </c>
      <c r="O502">
        <v>-0.34792851513896522</v>
      </c>
      <c r="P502" s="11">
        <v>0.49281317616088316</v>
      </c>
      <c r="Q502" t="s">
        <v>31</v>
      </c>
      <c r="R502" t="s">
        <v>249</v>
      </c>
    </row>
    <row r="503" spans="4:18" x14ac:dyDescent="0.2">
      <c r="D503" s="1">
        <v>46004</v>
      </c>
      <c r="E503" s="2">
        <v>0.64583333333333337</v>
      </c>
      <c r="F503" t="s">
        <v>30</v>
      </c>
      <c r="G503">
        <f>VLOOKUP(Table4[[#This Row],[Home]],'NHL Model'!$A$6:$B$38,2,FALSE)</f>
        <v>-0.18630462558229716</v>
      </c>
      <c r="H503" t="s">
        <v>37</v>
      </c>
      <c r="I503">
        <f>VLOOKUP(Table4[[#This Row],[Visitor]],'NHL Model'!$A$6:$B$38,2,FALSE)</f>
        <v>0.72108184732572844</v>
      </c>
      <c r="J503">
        <f>($B$1+Table4[[#This Row],[Home Differential]])-Table4[[#This Row],[Away Differential]]</f>
        <v>-0.77777948709650147</v>
      </c>
      <c r="K503" t="str">
        <f>IF(Table4[[#This Row],[HomeIce Differential]]&gt;0,Table4[[#This Row],[Home]],Table4[[#This Row],[Visitor]])</f>
        <v>Tampa Bay Lightning</v>
      </c>
      <c r="L5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0.63019700850854798</v>
      </c>
      <c r="M503" t="str">
        <f>IF(OR((NHL2025_26Results[[#This Row],[Winning Team]]="")),"-",IF(Table4[[#This Row],[Predicted Winner]]=NHL2025_26Results[[#This Row],[Winning Team]],"YES","NO"))</f>
        <v>NO</v>
      </c>
      <c r="N503">
        <f>IF(Table4[[#This Row],[Adjusted Correct]]="-", "",IF(Table4[[#This Row],[Adjusted Correct]]="YES",(Table4[[#This Row],[Strength of Win]]-1)^2,(Table4[[#This Row],[Strength of Win]]-0)^2))</f>
        <v>0.39714826953312288</v>
      </c>
      <c r="O503">
        <v>-0.30696602042903298</v>
      </c>
      <c r="P503" s="11">
        <v>0.57024305368748252</v>
      </c>
      <c r="Q503" t="s">
        <v>37</v>
      </c>
      <c r="R503" t="s">
        <v>249</v>
      </c>
    </row>
    <row r="504" spans="4:18" x14ac:dyDescent="0.2">
      <c r="D504" s="1">
        <v>46004</v>
      </c>
      <c r="E504" s="2">
        <v>0.79166666666666663</v>
      </c>
      <c r="F504" t="s">
        <v>15</v>
      </c>
      <c r="G504">
        <f>VLOOKUP(Table4[[#This Row],[Home]],'NHL Model'!$A$6:$B$38,2,FALSE)</f>
        <v>-0.73651915476403329</v>
      </c>
      <c r="H504" t="s">
        <v>18</v>
      </c>
      <c r="I504">
        <f>VLOOKUP(Table4[[#This Row],[Visitor]],'NHL Model'!$A$6:$B$38,2,FALSE)</f>
        <v>-8.6274676766085606E-2</v>
      </c>
      <c r="J504">
        <f>($B$1+Table4[[#This Row],[Home Differential]])-Table4[[#This Row],[Away Differential]]</f>
        <v>-0.52063749218642363</v>
      </c>
      <c r="K504" t="str">
        <f>IF(Table4[[#This Row],[HomeIce Differential]]&gt;0,Table4[[#This Row],[Home]],Table4[[#This Row],[Visitor]])</f>
        <v>Montreal Canadiens</v>
      </c>
      <c r="L5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0.56383394836698386</v>
      </c>
      <c r="M504" t="str">
        <f>IF(OR((NHL2025_26Results[[#This Row],[Winning Team]]="")),"-",IF(Table4[[#This Row],[Predicted Winner]]=NHL2025_26Results[[#This Row],[Winning Team]],"YES","NO"))</f>
        <v>NO</v>
      </c>
      <c r="N504">
        <f>IF(Table4[[#This Row],[Adjusted Correct]]="-", "",IF(Table4[[#This Row],[Adjusted Correct]]="YES",(Table4[[#This Row],[Strength of Win]]-1)^2,(Table4[[#This Row],[Strength of Win]]-0)^2))</f>
        <v>0.31790872133110265</v>
      </c>
      <c r="O504">
        <v>0.53373442266733462</v>
      </c>
      <c r="P504" s="11">
        <v>0.51522575278406502</v>
      </c>
      <c r="Q504" t="s">
        <v>15</v>
      </c>
      <c r="R504" t="s">
        <v>248</v>
      </c>
    </row>
    <row r="505" spans="4:18" x14ac:dyDescent="0.2">
      <c r="D505" s="1">
        <v>46004</v>
      </c>
      <c r="E505" s="2">
        <v>0.79166666666666663</v>
      </c>
      <c r="F505" t="s">
        <v>27</v>
      </c>
      <c r="G505">
        <f>VLOOKUP(Table4[[#This Row],[Home]],'NHL Model'!$A$6:$B$38,2,FALSE)</f>
        <v>-0.55097933929175691</v>
      </c>
      <c r="H505" t="s">
        <v>25</v>
      </c>
      <c r="I505">
        <f>VLOOKUP(Table4[[#This Row],[Visitor]],'NHL Model'!$A$6:$B$38,2,FALSE)</f>
        <v>0.2324942014830165</v>
      </c>
      <c r="J505">
        <f>($B$1+Table4[[#This Row],[Home Differential]])-Table4[[#This Row],[Away Differential]]</f>
        <v>-0.6538665549632493</v>
      </c>
      <c r="K505" t="str">
        <f>IF(Table4[[#This Row],[HomeIce Differential]]&gt;0,Table4[[#This Row],[Home]],Table4[[#This Row],[Visitor]])</f>
        <v>Carolina Hurricanes</v>
      </c>
      <c r="L5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0.58995412905072897</v>
      </c>
      <c r="M505" t="str">
        <f>IF(OR((NHL2025_26Results[[#This Row],[Winning Team]]="")),"-",IF(Table4[[#This Row],[Predicted Winner]]=NHL2025_26Results[[#This Row],[Winning Team]],"YES","NO"))</f>
        <v>YES</v>
      </c>
      <c r="N505">
        <f>IF(Table4[[#This Row],[Adjusted Correct]]="-", "",IF(Table4[[#This Row],[Adjusted Correct]]="YES",(Table4[[#This Row],[Strength of Win]]-1)^2,(Table4[[#This Row],[Strength of Win]]-0)^2))</f>
        <v>0.16813761628254623</v>
      </c>
      <c r="O505">
        <v>-0.39175910006658066</v>
      </c>
      <c r="P505" s="11">
        <v>0.57951237082748019</v>
      </c>
      <c r="Q505" t="s">
        <v>25</v>
      </c>
      <c r="R505" t="s">
        <v>248</v>
      </c>
    </row>
    <row r="506" spans="4:18" x14ac:dyDescent="0.2">
      <c r="D506" s="1">
        <v>46004</v>
      </c>
      <c r="E506" s="2">
        <v>0.625</v>
      </c>
      <c r="F506" t="s">
        <v>14</v>
      </c>
      <c r="G506">
        <f>VLOOKUP(Table4[[#This Row],[Home]],'NHL Model'!$A$6:$B$38,2,FALSE)</f>
        <v>3.6349513460996066E-5</v>
      </c>
      <c r="H506" t="s">
        <v>33</v>
      </c>
      <c r="I506">
        <f>VLOOKUP(Table4[[#This Row],[Visitor]],'NHL Model'!$A$6:$B$38,2,FALSE)</f>
        <v>-0.65236582493376272</v>
      </c>
      <c r="J506">
        <f>($B$1+Table4[[#This Row],[Home Differential]])-Table4[[#This Row],[Away Differential]]</f>
        <v>0.78200916025874778</v>
      </c>
      <c r="K506" t="str">
        <f>IF(Table4[[#This Row],[HomeIce Differential]]&gt;0,Table4[[#This Row],[Home]],Table4[[#This Row],[Visitor]])</f>
        <v>Pittsburgh Penguins</v>
      </c>
      <c r="L5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0.62781483200352506</v>
      </c>
      <c r="M506" t="str">
        <f>IF(OR((NHL2025_26Results[[#This Row],[Winning Team]]="")),"-",IF(Table4[[#This Row],[Predicted Winner]]=NHL2025_26Results[[#This Row],[Winning Team]],"YES","NO"))</f>
        <v>NO</v>
      </c>
      <c r="N506">
        <f>IF(Table4[[#This Row],[Adjusted Correct]]="-", "",IF(Table4[[#This Row],[Adjusted Correct]]="YES",(Table4[[#This Row],[Strength of Win]]-1)^2,(Table4[[#This Row],[Strength of Win]]-0)^2))</f>
        <v>0.39415146328361439</v>
      </c>
      <c r="O506">
        <v>0.51099465702758418</v>
      </c>
      <c r="P506" s="11">
        <v>0.59620292799023034</v>
      </c>
      <c r="Q506" t="s">
        <v>14</v>
      </c>
      <c r="R506" t="s">
        <v>249</v>
      </c>
    </row>
    <row r="507" spans="4:18" x14ac:dyDescent="0.2">
      <c r="D507" s="1">
        <v>46004</v>
      </c>
      <c r="E507" s="2">
        <v>0.79166666666666663</v>
      </c>
      <c r="F507" t="s">
        <v>19</v>
      </c>
      <c r="G507">
        <f>VLOOKUP(Table4[[#This Row],[Home]],'NHL Model'!$A$6:$B$38,2,FALSE)</f>
        <v>-0.44228056828684137</v>
      </c>
      <c r="H507" t="s">
        <v>17</v>
      </c>
      <c r="I507">
        <f>VLOOKUP(Table4[[#This Row],[Visitor]],'NHL Model'!$A$6:$B$38,2,FALSE)</f>
        <v>-0.36462594951491906</v>
      </c>
      <c r="J507">
        <f>($B$1+Table4[[#This Row],[Home Differential]])-Table4[[#This Row],[Away Differential]]</f>
        <v>5.1952367039601766E-2</v>
      </c>
      <c r="K507" t="str">
        <f>IF(Table4[[#This Row],[HomeIce Differential]]&gt;0,Table4[[#This Row],[Home]],Table4[[#This Row],[Visitor]])</f>
        <v>Toronto Maple Leafs</v>
      </c>
      <c r="L5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0.54583393215273668</v>
      </c>
      <c r="M507" t="str">
        <f>IF(OR((NHL2025_26Results[[#This Row],[Winning Team]]="")),"-",IF(Table4[[#This Row],[Predicted Winner]]=NHL2025_26Results[[#This Row],[Winning Team]],"YES","NO"))</f>
        <v>NO</v>
      </c>
      <c r="N507">
        <f>IF(Table4[[#This Row],[Adjusted Correct]]="-", "",IF(Table4[[#This Row],[Adjusted Correct]]="YES",(Table4[[#This Row],[Strength of Win]]-1)^2,(Table4[[#This Row],[Strength of Win]]-0)^2))</f>
        <v>0.29793468148931834</v>
      </c>
      <c r="O507">
        <v>0.22037208074551362</v>
      </c>
      <c r="P507" s="11">
        <v>0.56423813246354304</v>
      </c>
      <c r="Q507" t="s">
        <v>19</v>
      </c>
      <c r="R507" t="s">
        <v>249</v>
      </c>
    </row>
    <row r="508" spans="4:18" x14ac:dyDescent="0.2">
      <c r="D508" s="1">
        <v>46004</v>
      </c>
      <c r="E508" s="2">
        <v>0.79166666666666663</v>
      </c>
      <c r="F508" t="s">
        <v>40</v>
      </c>
      <c r="G508">
        <f>VLOOKUP(Table4[[#This Row],[Home]],'NHL Model'!$A$6:$B$38,2,FALSE)</f>
        <v>-0.58845147248022256</v>
      </c>
      <c r="H508" t="s">
        <v>22</v>
      </c>
      <c r="I508">
        <f>VLOOKUP(Table4[[#This Row],[Visitor]],'NHL Model'!$A$6:$B$38,2,FALSE)</f>
        <v>-0.11977593183651415</v>
      </c>
      <c r="J508">
        <f>($B$1+Table4[[#This Row],[Home Differential]])-Table4[[#This Row],[Away Differential]]</f>
        <v>-0.33906855483218434</v>
      </c>
      <c r="K508" t="str">
        <f>IF(Table4[[#This Row],[HomeIce Differential]]&gt;0,Table4[[#This Row],[Home]],Table4[[#This Row],[Visitor]])</f>
        <v>Washington Capitals</v>
      </c>
      <c r="L5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0.49807531892646167</v>
      </c>
      <c r="M508" t="str">
        <f>IF(OR((NHL2025_26Results[[#This Row],[Winning Team]]="")),"-",IF(Table4[[#This Row],[Predicted Winner]]=NHL2025_26Results[[#This Row],[Winning Team]],"YES","NO"))</f>
        <v>NO</v>
      </c>
      <c r="N508">
        <f>IF(Table4[[#This Row],[Adjusted Correct]]="-", "",IF(Table4[[#This Row],[Adjusted Correct]]="YES",(Table4[[#This Row],[Strength of Win]]-1)^2,(Table4[[#This Row],[Strength of Win]]-0)^2))</f>
        <v>0.24807902332369652</v>
      </c>
      <c r="O508">
        <v>-1.0068081859464102</v>
      </c>
      <c r="P508" s="11">
        <v>0.62487494201062066</v>
      </c>
      <c r="Q508" t="s">
        <v>22</v>
      </c>
      <c r="R508" t="s">
        <v>249</v>
      </c>
    </row>
    <row r="509" spans="4:18" x14ac:dyDescent="0.2">
      <c r="D509" s="1">
        <v>46005</v>
      </c>
      <c r="E509" s="2">
        <v>0.70833333333333337</v>
      </c>
      <c r="F509" t="s">
        <v>25</v>
      </c>
      <c r="G509">
        <f>VLOOKUP(Table4[[#This Row],[Home]],'NHL Model'!$A$6:$B$38,2,FALSE)</f>
        <v>0.2324942014830165</v>
      </c>
      <c r="H509" t="s">
        <v>27</v>
      </c>
      <c r="I509">
        <f>VLOOKUP(Table4[[#This Row],[Visitor]],'NHL Model'!$A$6:$B$38,2,FALSE)</f>
        <v>-0.55097933929175691</v>
      </c>
      <c r="J509">
        <f>($B$1+Table4[[#This Row],[Home Differential]])-Table4[[#This Row],[Away Differential]]</f>
        <v>0.91308052658629757</v>
      </c>
      <c r="K509" t="str">
        <f>IF(Table4[[#This Row],[HomeIce Differential]]&gt;0,Table4[[#This Row],[Home]],Table4[[#This Row],[Visitor]])</f>
        <v>Carolina Hurricanes</v>
      </c>
      <c r="L5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0.69810906567469155</v>
      </c>
      <c r="M509" t="str">
        <f>IF(OR((NHL2025_26Results[[#This Row],[Winning Team]]="")),"-",IF(Table4[[#This Row],[Predicted Winner]]=NHL2025_26Results[[#This Row],[Winning Team]],"YES","NO"))</f>
        <v>YES</v>
      </c>
      <c r="N509">
        <f>IF(Table4[[#This Row],[Adjusted Correct]]="-", "",IF(Table4[[#This Row],[Adjusted Correct]]="YES",(Table4[[#This Row],[Strength of Win]]-1)^2,(Table4[[#This Row],[Strength of Win]]-0)^2))</f>
        <v>9.1138136227807698E-2</v>
      </c>
      <c r="O509">
        <v>0.56654076643835671</v>
      </c>
      <c r="P509" s="11">
        <v>0.59398900268626798</v>
      </c>
      <c r="Q509" t="s">
        <v>25</v>
      </c>
      <c r="R509" t="s">
        <v>248</v>
      </c>
    </row>
    <row r="510" spans="4:18" x14ac:dyDescent="0.2">
      <c r="D510" s="1">
        <v>46005</v>
      </c>
      <c r="E510" s="2">
        <v>0.75</v>
      </c>
      <c r="F510" t="s">
        <v>34</v>
      </c>
      <c r="G510">
        <f>VLOOKUP(Table4[[#This Row],[Home]],'NHL Model'!$A$6:$B$38,2,FALSE)</f>
        <v>6.0485283743665949E-2</v>
      </c>
      <c r="H510" t="s">
        <v>21</v>
      </c>
      <c r="I510">
        <f>VLOOKUP(Table4[[#This Row],[Visitor]],'NHL Model'!$A$6:$B$38,2,FALSE)</f>
        <v>-0.10253061303059285</v>
      </c>
      <c r="J510">
        <f>($B$1+Table4[[#This Row],[Home Differential]])-Table4[[#This Row],[Away Differential]]</f>
        <v>0.2926228825857829</v>
      </c>
      <c r="K510" t="str">
        <f>IF(Table4[[#This Row],[HomeIce Differential]]&gt;0,Table4[[#This Row],[Home]],Table4[[#This Row],[Visitor]])</f>
        <v>Minnesota Wild</v>
      </c>
      <c r="L5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0.5848078067700484</v>
      </c>
      <c r="M510" t="str">
        <f>IF(OR((NHL2025_26Results[[#This Row],[Winning Team]]="")),"-",IF(Table4[[#This Row],[Predicted Winner]]=NHL2025_26Results[[#This Row],[Winning Team]],"YES","NO"))</f>
        <v>YES</v>
      </c>
      <c r="N510">
        <f>IF(Table4[[#This Row],[Adjusted Correct]]="-", "",IF(Table4[[#This Row],[Adjusted Correct]]="YES",(Table4[[#This Row],[Strength of Win]]-1)^2,(Table4[[#This Row],[Strength of Win]]-0)^2))</f>
        <v>0.17238455731909746</v>
      </c>
      <c r="O510">
        <v>-5.657633815831159E-2</v>
      </c>
      <c r="P510" s="11">
        <v>0.46545206735734235</v>
      </c>
      <c r="Q510" t="s">
        <v>21</v>
      </c>
      <c r="R510" t="s">
        <v>249</v>
      </c>
    </row>
    <row r="511" spans="4:18" x14ac:dyDescent="0.2">
      <c r="D511" s="1">
        <v>46005</v>
      </c>
      <c r="E511" s="2">
        <v>0.79166666666666663</v>
      </c>
      <c r="F511" t="s">
        <v>18</v>
      </c>
      <c r="G511">
        <f>VLOOKUP(Table4[[#This Row],[Home]],'NHL Model'!$A$6:$B$38,2,FALSE)</f>
        <v>-8.6274676766085606E-2</v>
      </c>
      <c r="H511" t="s">
        <v>17</v>
      </c>
      <c r="I511">
        <f>VLOOKUP(Table4[[#This Row],[Visitor]],'NHL Model'!$A$6:$B$38,2,FALSE)</f>
        <v>-0.36462594951491906</v>
      </c>
      <c r="J511">
        <f>($B$1+Table4[[#This Row],[Home Differential]])-Table4[[#This Row],[Away Differential]]</f>
        <v>0.40795825856035756</v>
      </c>
      <c r="K511" t="str">
        <f>IF(Table4[[#This Row],[HomeIce Differential]]&gt;0,Table4[[#This Row],[Home]],Table4[[#This Row],[Visitor]])</f>
        <v>Montreal Canadiens</v>
      </c>
      <c r="L5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0.59982783059757971</v>
      </c>
      <c r="M511" t="str">
        <f>IF(OR((NHL2025_26Results[[#This Row],[Winning Team]]="")),"-",IF(Table4[[#This Row],[Predicted Winner]]=NHL2025_26Results[[#This Row],[Winning Team]],"YES","NO"))</f>
        <v>YES</v>
      </c>
      <c r="N511">
        <f>IF(Table4[[#This Row],[Adjusted Correct]]="-", "",IF(Table4[[#This Row],[Adjusted Correct]]="YES",(Table4[[#This Row],[Strength of Win]]-1)^2,(Table4[[#This Row],[Strength of Win]]-0)^2))</f>
        <v>0.16013776516423936</v>
      </c>
      <c r="O511">
        <v>-0.241493742596432</v>
      </c>
      <c r="P511" s="11">
        <v>0.48557919717467751</v>
      </c>
      <c r="Q511" t="s">
        <v>17</v>
      </c>
      <c r="R511" t="s">
        <v>249</v>
      </c>
    </row>
    <row r="512" spans="4:18" x14ac:dyDescent="0.2">
      <c r="D512" s="1">
        <v>46005</v>
      </c>
      <c r="E512" s="2">
        <v>0.52083333333333337</v>
      </c>
      <c r="F512" t="s">
        <v>24</v>
      </c>
      <c r="G512">
        <f>VLOOKUP(Table4[[#This Row],[Home]],'NHL Model'!$A$6:$B$38,2,FALSE)</f>
        <v>-0.74510803532792402</v>
      </c>
      <c r="H512" t="s">
        <v>38</v>
      </c>
      <c r="I512">
        <f>VLOOKUP(Table4[[#This Row],[Visitor]],'NHL Model'!$A$6:$B$38,2,FALSE)</f>
        <v>-1.3920033028857945</v>
      </c>
      <c r="J512">
        <f>($B$1+Table4[[#This Row],[Home Differential]])-Table4[[#This Row],[Away Differential]]</f>
        <v>0.7765022533693946</v>
      </c>
      <c r="K512" t="str">
        <f>IF(Table4[[#This Row],[HomeIce Differential]]&gt;0,Table4[[#This Row],[Home]],Table4[[#This Row],[Visitor]])</f>
        <v>New Jersey Devils</v>
      </c>
      <c r="L5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0.62719644013815667</v>
      </c>
      <c r="M512" t="str">
        <f>IF(OR((NHL2025_26Results[[#This Row],[Winning Team]]="")),"-",IF(Table4[[#This Row],[Predicted Winner]]=NHL2025_26Results[[#This Row],[Winning Team]],"YES","NO"))</f>
        <v>NO</v>
      </c>
      <c r="N512">
        <f>IF(Table4[[#This Row],[Adjusted Correct]]="-", "",IF(Table4[[#This Row],[Adjusted Correct]]="YES",(Table4[[#This Row],[Strength of Win]]-1)^2,(Table4[[#This Row],[Strength of Win]]-0)^2))</f>
        <v>0.39337537452197635</v>
      </c>
      <c r="O512">
        <v>0.77227553541541805</v>
      </c>
      <c r="P512" s="11">
        <v>0.65783686656310647</v>
      </c>
      <c r="Q512" t="s">
        <v>24</v>
      </c>
      <c r="R512" t="s">
        <v>249</v>
      </c>
    </row>
    <row r="513" spans="4:18" x14ac:dyDescent="0.2">
      <c r="D513" s="1">
        <v>46005</v>
      </c>
      <c r="E513" s="2">
        <v>0.625</v>
      </c>
      <c r="F513" t="s">
        <v>14</v>
      </c>
      <c r="G513">
        <f>VLOOKUP(Table4[[#This Row],[Home]],'NHL Model'!$A$6:$B$38,2,FALSE)</f>
        <v>3.6349513460996066E-5</v>
      </c>
      <c r="H513" t="s">
        <v>55</v>
      </c>
      <c r="I513">
        <f>VLOOKUP(Table4[[#This Row],[Visitor]],'NHL Model'!$A$6:$B$38,2,FALSE)</f>
        <v>8.4094725828611647E-2</v>
      </c>
      <c r="J513">
        <f>($B$1+Table4[[#This Row],[Home Differential]])-Table4[[#This Row],[Away Differential]]</f>
        <v>4.5548609496373446E-2</v>
      </c>
      <c r="K513" t="str">
        <f>IF(Table4[[#This Row],[HomeIce Differential]]&gt;0,Table4[[#This Row],[Home]],Table4[[#This Row],[Visitor]])</f>
        <v>Pittsburgh Penguins</v>
      </c>
      <c r="L5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0.54511482946004719</v>
      </c>
      <c r="M513" t="str">
        <f>IF(OR((NHL2025_26Results[[#This Row],[Winning Team]]="")),"-",IF(Table4[[#This Row],[Predicted Winner]]=NHL2025_26Results[[#This Row],[Winning Team]],"YES","NO"))</f>
        <v>NO</v>
      </c>
      <c r="N513">
        <f>IF(Table4[[#This Row],[Adjusted Correct]]="-", "",IF(Table4[[#This Row],[Adjusted Correct]]="YES",(Table4[[#This Row],[Strength of Win]]-1)^2,(Table4[[#This Row],[Strength of Win]]-0)^2))</f>
        <v>0.29715017729725635</v>
      </c>
      <c r="O513">
        <v>4.5708147563035123E-2</v>
      </c>
      <c r="P513" s="11">
        <v>0.54484144105115795</v>
      </c>
      <c r="Q513" t="s">
        <v>14</v>
      </c>
      <c r="R513" t="s">
        <v>249</v>
      </c>
    </row>
    <row r="514" spans="4:18" x14ac:dyDescent="0.2">
      <c r="D514" s="1">
        <v>46005</v>
      </c>
      <c r="E514" s="2">
        <v>0.83333333333333337</v>
      </c>
      <c r="F514" t="s">
        <v>32</v>
      </c>
      <c r="G514">
        <f>VLOOKUP(Table4[[#This Row],[Home]],'NHL Model'!$A$6:$B$38,2,FALSE)</f>
        <v>-0.48236715437805205</v>
      </c>
      <c r="H514" t="s">
        <v>23</v>
      </c>
      <c r="I514">
        <f>VLOOKUP(Table4[[#This Row],[Visitor]],'NHL Model'!$A$6:$B$38,2,FALSE)</f>
        <v>8.1543966060426461E-3</v>
      </c>
      <c r="J514">
        <f>($B$1+Table4[[#This Row],[Home Differential]])-Table4[[#This Row],[Away Differential]]</f>
        <v>-0.36091456517257059</v>
      </c>
      <c r="K514" t="str">
        <f>IF(Table4[[#This Row],[HomeIce Differential]]&gt;0,Table4[[#This Row],[Home]],Table4[[#This Row],[Visitor]])</f>
        <v>Buffalo Sabres</v>
      </c>
      <c r="L5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0.53742290182635655</v>
      </c>
      <c r="M514" t="str">
        <f>IF(OR((NHL2025_26Results[[#This Row],[Winning Team]]="")),"-",IF(Table4[[#This Row],[Predicted Winner]]=NHL2025_26Results[[#This Row],[Winning Team]],"YES","NO"))</f>
        <v>YES</v>
      </c>
      <c r="N514">
        <f>IF(Table4[[#This Row],[Adjusted Correct]]="-", "",IF(Table4[[#This Row],[Adjusted Correct]]="YES",(Table4[[#This Row],[Strength of Win]]-1)^2,(Table4[[#This Row],[Strength of Win]]-0)^2))</f>
        <v>0.21397757175474857</v>
      </c>
      <c r="O514">
        <v>-0.1833989810799394</v>
      </c>
      <c r="P514" s="11">
        <v>0.47942575674318127</v>
      </c>
      <c r="Q514" t="s">
        <v>23</v>
      </c>
      <c r="R514" t="s">
        <v>248</v>
      </c>
    </row>
    <row r="515" spans="4:18" x14ac:dyDescent="0.2">
      <c r="D515" s="1">
        <v>46006</v>
      </c>
      <c r="E515" s="2">
        <v>0.83333333333333337</v>
      </c>
      <c r="F515" t="s">
        <v>39</v>
      </c>
      <c r="G515">
        <f>VLOOKUP(Table4[[#This Row],[Home]],'NHL Model'!$A$6:$B$38,2,FALSE)</f>
        <v>0.21708030788125537</v>
      </c>
      <c r="H515" t="s">
        <v>13</v>
      </c>
      <c r="I515">
        <f>VLOOKUP(Table4[[#This Row],[Visitor]],'NHL Model'!$A$6:$B$38,2,FALSE)</f>
        <v>-0.59069689888466137</v>
      </c>
      <c r="J515">
        <f>($B$1+Table4[[#This Row],[Home Differential]])-Table4[[#This Row],[Away Differential]]</f>
        <v>0.93738419257744088</v>
      </c>
      <c r="K515" t="str">
        <f>IF(Table4[[#This Row],[HomeIce Differential]]&gt;0,Table4[[#This Row],[Home]],Table4[[#This Row],[Visitor]])</f>
        <v>Dallas Stars</v>
      </c>
      <c r="L5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0.66263954427272731</v>
      </c>
      <c r="M515" t="str">
        <f>IF(OR((NHL2025_26Results[[#This Row],[Winning Team]]="")),"-",IF(Table4[[#This Row],[Predicted Winner]]=NHL2025_26Results[[#This Row],[Winning Team]],"YES","NO"))</f>
        <v>YES</v>
      </c>
      <c r="N515">
        <f>IF(Table4[[#This Row],[Adjusted Correct]]="-", "",IF(Table4[[#This Row],[Adjusted Correct]]="YES",(Table4[[#This Row],[Strength of Win]]-1)^2,(Table4[[#This Row],[Strength of Win]]-0)^2))</f>
        <v>0.11381207708851311</v>
      </c>
      <c r="O515">
        <v>0.66939104577574426</v>
      </c>
      <c r="P515" s="11">
        <v>0.61397879579359116</v>
      </c>
      <c r="Q515" t="s">
        <v>39</v>
      </c>
      <c r="R515" t="s">
        <v>248</v>
      </c>
    </row>
    <row r="516" spans="4:18" x14ac:dyDescent="0.2">
      <c r="D516" s="1">
        <v>46006</v>
      </c>
      <c r="E516" s="2">
        <v>0.79166666666666663</v>
      </c>
      <c r="F516" t="s">
        <v>15</v>
      </c>
      <c r="G516">
        <f>VLOOKUP(Table4[[#This Row],[Home]],'NHL Model'!$A$6:$B$38,2,FALSE)</f>
        <v>-0.73651915476403329</v>
      </c>
      <c r="H516" t="s">
        <v>31</v>
      </c>
      <c r="I516">
        <f>VLOOKUP(Table4[[#This Row],[Visitor]],'NHL Model'!$A$6:$B$38,2,FALSE)</f>
        <v>-0.46360583111358089</v>
      </c>
      <c r="J516">
        <f>($B$1+Table4[[#This Row],[Home Differential]])-Table4[[#This Row],[Away Differential]]</f>
        <v>-0.14330633783892832</v>
      </c>
      <c r="K516" t="str">
        <f>IF(Table4[[#This Row],[HomeIce Differential]]&gt;0,Table4[[#This Row],[Home]],Table4[[#This Row],[Visitor]])</f>
        <v>Anaheim Ducks</v>
      </c>
      <c r="L5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0.47609242272584379</v>
      </c>
      <c r="M516" t="str">
        <f>IF(OR((NHL2025_26Results[[#This Row],[Winning Team]]="")),"-",IF(Table4[[#This Row],[Predicted Winner]]=NHL2025_26Results[[#This Row],[Winning Team]],"YES","NO"))</f>
        <v>YES</v>
      </c>
      <c r="N516">
        <f>IF(Table4[[#This Row],[Adjusted Correct]]="-", "",IF(Table4[[#This Row],[Adjusted Correct]]="YES",(Table4[[#This Row],[Strength of Win]]-1)^2,(Table4[[#This Row],[Strength of Win]]-0)^2))</f>
        <v>0.27447914952527591</v>
      </c>
      <c r="O516">
        <v>-0.1058623655453248</v>
      </c>
      <c r="P516" s="11">
        <v>0.49277819383077481</v>
      </c>
      <c r="Q516" t="s">
        <v>31</v>
      </c>
      <c r="R516" t="s">
        <v>248</v>
      </c>
    </row>
    <row r="517" spans="4:18" x14ac:dyDescent="0.2">
      <c r="D517" s="1">
        <v>46006</v>
      </c>
      <c r="E517" s="2">
        <v>0.83333333333333337</v>
      </c>
      <c r="F517" t="s">
        <v>35</v>
      </c>
      <c r="G517">
        <f>VLOOKUP(Table4[[#This Row],[Home]],'NHL Model'!$A$6:$B$38,2,FALSE)</f>
        <v>-1.3128572733047907</v>
      </c>
      <c r="H517" t="s">
        <v>29</v>
      </c>
      <c r="I517">
        <f>VLOOKUP(Table4[[#This Row],[Visitor]],'NHL Model'!$A$6:$B$38,2,FALSE)</f>
        <v>-0.82056481120798741</v>
      </c>
      <c r="J517">
        <f>($B$1+Table4[[#This Row],[Home Differential]])-Table4[[#This Row],[Away Differential]]</f>
        <v>-0.36268547628527925</v>
      </c>
      <c r="K517" t="str">
        <f>IF(Table4[[#This Row],[HomeIce Differential]]&gt;0,Table4[[#This Row],[Home]],Table4[[#This Row],[Visitor]])</f>
        <v>Nashville Predators</v>
      </c>
      <c r="L5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0.50072735434399795</v>
      </c>
      <c r="M517" t="str">
        <f>IF(OR((NHL2025_26Results[[#This Row],[Winning Team]]="")),"-",IF(Table4[[#This Row],[Predicted Winner]]=NHL2025_26Results[[#This Row],[Winning Team]],"YES","NO"))</f>
        <v>YES</v>
      </c>
      <c r="N517">
        <f>IF(Table4[[#This Row],[Adjusted Correct]]="-", "",IF(Table4[[#This Row],[Adjusted Correct]]="YES",(Table4[[#This Row],[Strength of Win]]-1)^2,(Table4[[#This Row],[Strength of Win]]-0)^2))</f>
        <v>0.24927317470034377</v>
      </c>
      <c r="O517">
        <v>-0.43934738425165687</v>
      </c>
      <c r="P517" s="11">
        <v>0.50983930296178026</v>
      </c>
      <c r="Q517" t="s">
        <v>29</v>
      </c>
      <c r="R517" t="s">
        <v>248</v>
      </c>
    </row>
    <row r="518" spans="4:18" x14ac:dyDescent="0.2">
      <c r="D518" s="1">
        <v>46006</v>
      </c>
      <c r="E518" s="2">
        <v>0.79166666666666663</v>
      </c>
      <c r="F518" t="s">
        <v>37</v>
      </c>
      <c r="G518">
        <f>VLOOKUP(Table4[[#This Row],[Home]],'NHL Model'!$A$6:$B$38,2,FALSE)</f>
        <v>0.72108184732572844</v>
      </c>
      <c r="H518" t="s">
        <v>11</v>
      </c>
      <c r="I518">
        <f>VLOOKUP(Table4[[#This Row],[Visitor]],'NHL Model'!$A$6:$B$38,2,FALSE)</f>
        <v>-0.55695213126481558</v>
      </c>
      <c r="J518">
        <f>($B$1+Table4[[#This Row],[Home Differential]])-Table4[[#This Row],[Away Differential]]</f>
        <v>1.4076409644020682</v>
      </c>
      <c r="K518" t="str">
        <f>IF(Table4[[#This Row],[HomeIce Differential]]&gt;0,Table4[[#This Row],[Home]],Table4[[#This Row],[Visitor]])</f>
        <v>Tampa Bay Lightning</v>
      </c>
      <c r="L5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0.7156315228532989</v>
      </c>
      <c r="M518" t="str">
        <f>IF(OR((NHL2025_26Results[[#This Row],[Winning Team]]="")),"-",IF(Table4[[#This Row],[Predicted Winner]]=NHL2025_26Results[[#This Row],[Winning Team]],"YES","NO"))</f>
        <v>NO</v>
      </c>
      <c r="N518">
        <f>IF(Table4[[#This Row],[Adjusted Correct]]="-", "",IF(Table4[[#This Row],[Adjusted Correct]]="YES",(Table4[[#This Row],[Strength of Win]]-1)^2,(Table4[[#This Row],[Strength of Win]]-0)^2))</f>
        <v>0.51212847650133164</v>
      </c>
      <c r="O518">
        <v>0.81608712479574819</v>
      </c>
      <c r="P518" s="11">
        <v>0.61180720171638059</v>
      </c>
      <c r="Q518" t="s">
        <v>37</v>
      </c>
      <c r="R518" t="s">
        <v>249</v>
      </c>
    </row>
    <row r="519" spans="4:18" x14ac:dyDescent="0.2">
      <c r="D519" s="1">
        <v>46006</v>
      </c>
      <c r="E519" s="2">
        <v>0.8125</v>
      </c>
      <c r="F519" t="s">
        <v>40</v>
      </c>
      <c r="G519">
        <f>VLOOKUP(Table4[[#This Row],[Home]],'NHL Model'!$A$6:$B$38,2,FALSE)</f>
        <v>-0.58845147248022256</v>
      </c>
      <c r="H519" t="s">
        <v>36</v>
      </c>
      <c r="I519">
        <f>VLOOKUP(Table4[[#This Row],[Visitor]],'NHL Model'!$A$6:$B$38,2,FALSE)</f>
        <v>-0.19010748264223354</v>
      </c>
      <c r="J519">
        <f>($B$1+Table4[[#This Row],[Home Differential]])-Table4[[#This Row],[Away Differential]]</f>
        <v>-0.26873700402646494</v>
      </c>
      <c r="K519" t="str">
        <f>IF(Table4[[#This Row],[HomeIce Differential]]&gt;0,Table4[[#This Row],[Home]],Table4[[#This Row],[Visitor]])</f>
        <v>Ottawa Senators</v>
      </c>
      <c r="L5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0.50219370058316504</v>
      </c>
      <c r="M519" t="str">
        <f>IF(OR((NHL2025_26Results[[#This Row],[Winning Team]]="")),"-",IF(Table4[[#This Row],[Predicted Winner]]=NHL2025_26Results[[#This Row],[Winning Team]],"YES","NO"))</f>
        <v>YES</v>
      </c>
      <c r="N519">
        <f>IF(Table4[[#This Row],[Adjusted Correct]]="-", "",IF(Table4[[#This Row],[Adjusted Correct]]="YES",(Table4[[#This Row],[Strength of Win]]-1)^2,(Table4[[#This Row],[Strength of Win]]-0)^2))</f>
        <v>0.24781111173908354</v>
      </c>
      <c r="O519">
        <v>0.20128600110066225</v>
      </c>
      <c r="P519" s="11">
        <v>0.54206453210364636</v>
      </c>
      <c r="Q519" t="s">
        <v>40</v>
      </c>
      <c r="R519" t="s">
        <v>249</v>
      </c>
    </row>
    <row r="520" spans="4:18" x14ac:dyDescent="0.2">
      <c r="D520" s="1">
        <v>46007</v>
      </c>
      <c r="E520" s="2">
        <v>0.79166666666666663</v>
      </c>
      <c r="F520" t="s">
        <v>21</v>
      </c>
      <c r="G520">
        <f>VLOOKUP(Table4[[#This Row],[Home]],'NHL Model'!$A$6:$B$38,2,FALSE)</f>
        <v>-0.10253061303059285</v>
      </c>
      <c r="H520" t="s">
        <v>55</v>
      </c>
      <c r="I520">
        <f>VLOOKUP(Table4[[#This Row],[Visitor]],'NHL Model'!$A$6:$B$38,2,FALSE)</f>
        <v>8.4094725828611647E-2</v>
      </c>
      <c r="J520">
        <f>($B$1+Table4[[#This Row],[Home Differential]])-Table4[[#This Row],[Away Differential]]</f>
        <v>-5.7018353047680395E-2</v>
      </c>
      <c r="K520" t="str">
        <f>IF(Table4[[#This Row],[HomeIce Differential]]&gt;0,Table4[[#This Row],[Home]],Table4[[#This Row],[Visitor]])</f>
        <v>Utah Mammoth</v>
      </c>
      <c r="L5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0.41468683497630077</v>
      </c>
      <c r="M520" t="str">
        <f>IF(OR((NHL2025_26Results[[#This Row],[Winning Team]]="")),"-",IF(Table4[[#This Row],[Predicted Winner]]=NHL2025_26Results[[#This Row],[Winning Team]],"YES","NO"))</f>
        <v>NO</v>
      </c>
      <c r="N520">
        <f>IF(Table4[[#This Row],[Adjusted Correct]]="-", "",IF(Table4[[#This Row],[Adjusted Correct]]="YES",(Table4[[#This Row],[Strength of Win]]-1)^2,(Table4[[#This Row],[Strength of Win]]-0)^2))</f>
        <v>0.17196517110266171</v>
      </c>
      <c r="O520">
        <v>0.16560475720699727</v>
      </c>
      <c r="P520" s="11">
        <v>0.6178890144556296</v>
      </c>
      <c r="Q520" t="s">
        <v>21</v>
      </c>
      <c r="R520" t="s">
        <v>248</v>
      </c>
    </row>
    <row r="521" spans="4:18" x14ac:dyDescent="0.2">
      <c r="D521" s="1">
        <v>46007</v>
      </c>
      <c r="E521" s="2">
        <v>0.79166666666666663</v>
      </c>
      <c r="F521" t="s">
        <v>28</v>
      </c>
      <c r="G521">
        <f>VLOOKUP(Table4[[#This Row],[Home]],'NHL Model'!$A$6:$B$38,2,FALSE)</f>
        <v>-0.28156479873410767</v>
      </c>
      <c r="H521" t="s">
        <v>31</v>
      </c>
      <c r="I521">
        <f>VLOOKUP(Table4[[#This Row],[Visitor]],'NHL Model'!$A$6:$B$38,2,FALSE)</f>
        <v>-0.46360583111358089</v>
      </c>
      <c r="J521">
        <f>($B$1+Table4[[#This Row],[Home Differential]])-Table4[[#This Row],[Away Differential]]</f>
        <v>0.3116480181909973</v>
      </c>
      <c r="K521" t="str">
        <f>IF(Table4[[#This Row],[HomeIce Differential]]&gt;0,Table4[[#This Row],[Home]],Table4[[#This Row],[Visitor]])</f>
        <v>Columbus Blue Jackets</v>
      </c>
      <c r="L5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0.58204211271390172</v>
      </c>
      <c r="M521" t="str">
        <f>IF(OR((NHL2025_26Results[[#This Row],[Winning Team]]="")),"-",IF(Table4[[#This Row],[Predicted Winner]]=NHL2025_26Results[[#This Row],[Winning Team]],"YES","NO"))</f>
        <v>YES</v>
      </c>
      <c r="N521">
        <f>IF(Table4[[#This Row],[Adjusted Correct]]="-", "",IF(Table4[[#This Row],[Adjusted Correct]]="YES",(Table4[[#This Row],[Strength of Win]]-1)^2,(Table4[[#This Row],[Strength of Win]]-0)^2))</f>
        <v>0.17468879554465883</v>
      </c>
      <c r="O521">
        <v>-0.74348428015357837</v>
      </c>
      <c r="P521" s="11">
        <v>0.56499457462078495</v>
      </c>
      <c r="Q521" t="s">
        <v>31</v>
      </c>
      <c r="R521" t="s">
        <v>249</v>
      </c>
    </row>
    <row r="522" spans="4:18" x14ac:dyDescent="0.2">
      <c r="D522" s="1">
        <v>46007</v>
      </c>
      <c r="E522" s="2">
        <v>0.79166666666666663</v>
      </c>
      <c r="F522" t="s">
        <v>26</v>
      </c>
      <c r="G522">
        <f>VLOOKUP(Table4[[#This Row],[Home]],'NHL Model'!$A$6:$B$38,2,FALSE)</f>
        <v>-0.33113778518110382</v>
      </c>
      <c r="H522" t="s">
        <v>30</v>
      </c>
      <c r="I522">
        <f>VLOOKUP(Table4[[#This Row],[Visitor]],'NHL Model'!$A$6:$B$38,2,FALSE)</f>
        <v>-0.18630462558229716</v>
      </c>
      <c r="J522">
        <f>($B$1+Table4[[#This Row],[Home Differential]])-Table4[[#This Row],[Away Differential]]</f>
        <v>-1.5226173787282554E-2</v>
      </c>
      <c r="K522" t="str">
        <f>IF(Table4[[#This Row],[HomeIce Differential]]&gt;0,Table4[[#This Row],[Home]],Table4[[#This Row],[Visitor]])</f>
        <v>New York Islanders</v>
      </c>
      <c r="L5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0.47229804121601282</v>
      </c>
      <c r="M522" t="str">
        <f>IF(OR((NHL2025_26Results[[#This Row],[Winning Team]]="")),"-",IF(Table4[[#This Row],[Predicted Winner]]=NHL2025_26Results[[#This Row],[Winning Team]],"YES","NO"))</f>
        <v>NO</v>
      </c>
      <c r="N522">
        <f>IF(Table4[[#This Row],[Adjusted Correct]]="-", "",IF(Table4[[#This Row],[Adjusted Correct]]="YES",(Table4[[#This Row],[Strength of Win]]-1)^2,(Table4[[#This Row],[Strength of Win]]-0)^2))</f>
        <v>0.22306543973648255</v>
      </c>
      <c r="O522">
        <v>-0.68978737312811511</v>
      </c>
      <c r="P522" s="11">
        <v>0.59427134170161433</v>
      </c>
      <c r="Q522" t="s">
        <v>30</v>
      </c>
      <c r="R522" t="s">
        <v>249</v>
      </c>
    </row>
    <row r="523" spans="4:18" x14ac:dyDescent="0.2">
      <c r="D523" s="1">
        <v>46007</v>
      </c>
      <c r="E523" s="2">
        <v>0.83333333333333337</v>
      </c>
      <c r="F523" t="s">
        <v>34</v>
      </c>
      <c r="G523">
        <f>VLOOKUP(Table4[[#This Row],[Home]],'NHL Model'!$A$6:$B$38,2,FALSE)</f>
        <v>6.0485283743665949E-2</v>
      </c>
      <c r="H523" t="s">
        <v>22</v>
      </c>
      <c r="I523">
        <f>VLOOKUP(Table4[[#This Row],[Visitor]],'NHL Model'!$A$6:$B$38,2,FALSE)</f>
        <v>-0.11977593183651415</v>
      </c>
      <c r="J523">
        <f>($B$1+Table4[[#This Row],[Home Differential]])-Table4[[#This Row],[Away Differential]]</f>
        <v>0.30986820139170418</v>
      </c>
      <c r="K523" t="str">
        <f>IF(Table4[[#This Row],[HomeIce Differential]]&gt;0,Table4[[#This Row],[Home]],Table4[[#This Row],[Visitor]])</f>
        <v>Minnesota Wild</v>
      </c>
      <c r="L5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0.58674435029249017</v>
      </c>
      <c r="M523" t="str">
        <f>IF(OR((NHL2025_26Results[[#This Row],[Winning Team]]="")),"-",IF(Table4[[#This Row],[Predicted Winner]]=NHL2025_26Results[[#This Row],[Winning Team]],"YES","NO"))</f>
        <v>YES</v>
      </c>
      <c r="N523">
        <f>IF(Table4[[#This Row],[Adjusted Correct]]="-", "",IF(Table4[[#This Row],[Adjusted Correct]]="YES",(Table4[[#This Row],[Strength of Win]]-1)^2,(Table4[[#This Row],[Strength of Win]]-0)^2))</f>
        <v>0.17078023201517606</v>
      </c>
      <c r="O523">
        <v>-0.3348940756094092</v>
      </c>
      <c r="P523" s="11">
        <v>0.50395776993991792</v>
      </c>
      <c r="Q523" t="s">
        <v>22</v>
      </c>
      <c r="R523" t="s">
        <v>249</v>
      </c>
    </row>
    <row r="524" spans="4:18" x14ac:dyDescent="0.2">
      <c r="D524" s="1">
        <v>46007</v>
      </c>
      <c r="E524" s="2">
        <v>0.79166666666666663</v>
      </c>
      <c r="F524" t="s">
        <v>18</v>
      </c>
      <c r="G524">
        <f>VLOOKUP(Table4[[#This Row],[Home]],'NHL Model'!$A$6:$B$38,2,FALSE)</f>
        <v>-8.6274676766085606E-2</v>
      </c>
      <c r="H524" t="s">
        <v>27</v>
      </c>
      <c r="I524">
        <f>VLOOKUP(Table4[[#This Row],[Visitor]],'NHL Model'!$A$6:$B$38,2,FALSE)</f>
        <v>-0.55097933929175691</v>
      </c>
      <c r="J524">
        <f>($B$1+Table4[[#This Row],[Home Differential]])-Table4[[#This Row],[Away Differential]]</f>
        <v>0.59431164833719541</v>
      </c>
      <c r="K524" t="str">
        <f>IF(Table4[[#This Row],[HomeIce Differential]]&gt;0,Table4[[#This Row],[Home]],Table4[[#This Row],[Visitor]])</f>
        <v>Montreal Canadiens</v>
      </c>
      <c r="L5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0.62075417321372728</v>
      </c>
      <c r="M524" t="str">
        <f>IF(OR((NHL2025_26Results[[#This Row],[Winning Team]]="")),"-",IF(Table4[[#This Row],[Predicted Winner]]=NHL2025_26Results[[#This Row],[Winning Team]],"YES","NO"))</f>
        <v>NO</v>
      </c>
      <c r="N524">
        <f>IF(Table4[[#This Row],[Adjusted Correct]]="-", "",IF(Table4[[#This Row],[Adjusted Correct]]="YES",(Table4[[#This Row],[Strength of Win]]-1)^2,(Table4[[#This Row],[Strength of Win]]-0)^2))</f>
        <v>0.38533574356225814</v>
      </c>
      <c r="O524">
        <v>-0.40043925226472354</v>
      </c>
      <c r="P524" s="11">
        <v>0.52613284451865483</v>
      </c>
      <c r="Q524" t="s">
        <v>27</v>
      </c>
      <c r="R524" t="s">
        <v>248</v>
      </c>
    </row>
    <row r="525" spans="4:18" x14ac:dyDescent="0.2">
      <c r="D525" s="1">
        <v>46007</v>
      </c>
      <c r="E525" s="2">
        <v>0.79166666666666663</v>
      </c>
      <c r="F525" t="s">
        <v>15</v>
      </c>
      <c r="G525">
        <f>VLOOKUP(Table4[[#This Row],[Home]],'NHL Model'!$A$6:$B$38,2,FALSE)</f>
        <v>-0.73651915476403329</v>
      </c>
      <c r="H525" t="s">
        <v>38</v>
      </c>
      <c r="I525">
        <f>VLOOKUP(Table4[[#This Row],[Visitor]],'NHL Model'!$A$6:$B$38,2,FALSE)</f>
        <v>-1.3920033028857945</v>
      </c>
      <c r="J525">
        <f>($B$1+Table4[[#This Row],[Home Differential]])-Table4[[#This Row],[Away Differential]]</f>
        <v>0.78509113393328533</v>
      </c>
      <c r="K525" t="str">
        <f>IF(Table4[[#This Row],[HomeIce Differential]]&gt;0,Table4[[#This Row],[Home]],Table4[[#This Row],[Visitor]])</f>
        <v>New York Rangers</v>
      </c>
      <c r="L5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0.62816091874294289</v>
      </c>
      <c r="M525" t="str">
        <f>IF(OR((NHL2025_26Results[[#This Row],[Winning Team]]="")),"-",IF(Table4[[#This Row],[Predicted Winner]]=NHL2025_26Results[[#This Row],[Winning Team]],"YES","NO"))</f>
        <v>NO</v>
      </c>
      <c r="N525">
        <f>IF(Table4[[#This Row],[Adjusted Correct]]="-", "",IF(Table4[[#This Row],[Adjusted Correct]]="YES",(Table4[[#This Row],[Strength of Win]]-1)^2,(Table4[[#This Row],[Strength of Win]]-0)^2))</f>
        <v>0.39458613983597812</v>
      </c>
      <c r="O525">
        <v>0.74353783765654446</v>
      </c>
      <c r="P525" s="11">
        <v>0.61857366953367099</v>
      </c>
      <c r="Q525" t="s">
        <v>15</v>
      </c>
      <c r="R525" t="s">
        <v>249</v>
      </c>
    </row>
    <row r="526" spans="4:18" x14ac:dyDescent="0.2">
      <c r="D526" s="1">
        <v>46007</v>
      </c>
      <c r="E526" s="2">
        <v>0.8125</v>
      </c>
      <c r="F526" t="s">
        <v>14</v>
      </c>
      <c r="G526">
        <f>VLOOKUP(Table4[[#This Row],[Home]],'NHL Model'!$A$6:$B$38,2,FALSE)</f>
        <v>3.6349513460996066E-5</v>
      </c>
      <c r="H526" t="s">
        <v>17</v>
      </c>
      <c r="I526">
        <f>VLOOKUP(Table4[[#This Row],[Visitor]],'NHL Model'!$A$6:$B$38,2,FALSE)</f>
        <v>-0.36462594951491906</v>
      </c>
      <c r="J526">
        <f>($B$1+Table4[[#This Row],[Home Differential]])-Table4[[#This Row],[Away Differential]]</f>
        <v>0.49426928483990418</v>
      </c>
      <c r="K526" t="str">
        <f>IF(Table4[[#This Row],[HomeIce Differential]]&gt;0,Table4[[#This Row],[Home]],Table4[[#This Row],[Visitor]])</f>
        <v>Pittsburgh Penguins</v>
      </c>
      <c r="L5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0.59550340893495068</v>
      </c>
      <c r="M526" t="str">
        <f>IF(OR((NHL2025_26Results[[#This Row],[Winning Team]]="")),"-",IF(Table4[[#This Row],[Predicted Winner]]=NHL2025_26Results[[#This Row],[Winning Team]],"YES","NO"))</f>
        <v>NO</v>
      </c>
      <c r="N526">
        <f>IF(Table4[[#This Row],[Adjusted Correct]]="-", "",IF(Table4[[#This Row],[Adjusted Correct]]="YES",(Table4[[#This Row],[Strength of Win]]-1)^2,(Table4[[#This Row],[Strength of Win]]-0)^2))</f>
        <v>0.3546243100531471</v>
      </c>
      <c r="O526">
        <v>0.28613179606731376</v>
      </c>
      <c r="P526" s="11">
        <v>0.5724143355198501</v>
      </c>
      <c r="Q526" t="s">
        <v>14</v>
      </c>
      <c r="R526" t="s">
        <v>249</v>
      </c>
    </row>
    <row r="527" spans="4:18" x14ac:dyDescent="0.2">
      <c r="D527" s="1">
        <v>46007</v>
      </c>
      <c r="E527" s="2">
        <v>0.91666666666666663</v>
      </c>
      <c r="F527" t="s">
        <v>32</v>
      </c>
      <c r="G527">
        <f>VLOOKUP(Table4[[#This Row],[Home]],'NHL Model'!$A$6:$B$38,2,FALSE)</f>
        <v>-0.48236715437805205</v>
      </c>
      <c r="H527" t="s">
        <v>12</v>
      </c>
      <c r="I527">
        <f>VLOOKUP(Table4[[#This Row],[Visitor]],'NHL Model'!$A$6:$B$38,2,FALSE)</f>
        <v>0.99866683349964291</v>
      </c>
      <c r="J527">
        <f>($B$1+Table4[[#This Row],[Home Differential]])-Table4[[#This Row],[Away Differential]]</f>
        <v>-1.3514270020661709</v>
      </c>
      <c r="K527" t="str">
        <f>IF(Table4[[#This Row],[HomeIce Differential]]&gt;0,Table4[[#This Row],[Home]],Table4[[#This Row],[Visitor]])</f>
        <v>Colorado Avalanche</v>
      </c>
      <c r="L5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0.68102221823180975</v>
      </c>
      <c r="M527" t="str">
        <f>IF(OR((NHL2025_26Results[[#This Row],[Winning Team]]="")),"-",IF(Table4[[#This Row],[Predicted Winner]]=NHL2025_26Results[[#This Row],[Winning Team]],"YES","NO"))</f>
        <v>YES</v>
      </c>
      <c r="N527">
        <f>IF(Table4[[#This Row],[Adjusted Correct]]="-", "",IF(Table4[[#This Row],[Adjusted Correct]]="YES",(Table4[[#This Row],[Strength of Win]]-1)^2,(Table4[[#This Row],[Strength of Win]]-0)^2))</f>
        <v>0.1017468252617552</v>
      </c>
      <c r="O527">
        <v>-2.2957358942446682</v>
      </c>
      <c r="P527" s="11">
        <v>0.7814480321317927</v>
      </c>
      <c r="Q527" t="s">
        <v>12</v>
      </c>
      <c r="R527" t="s">
        <v>248</v>
      </c>
    </row>
    <row r="528" spans="4:18" x14ac:dyDescent="0.2">
      <c r="D528" s="1">
        <v>46007</v>
      </c>
      <c r="E528" s="2">
        <v>0.91666666666666663</v>
      </c>
      <c r="F528" t="s">
        <v>33</v>
      </c>
      <c r="G528">
        <f>VLOOKUP(Table4[[#This Row],[Home]],'NHL Model'!$A$6:$B$38,2,FALSE)</f>
        <v>-0.65236582493376272</v>
      </c>
      <c r="H528" t="s">
        <v>16</v>
      </c>
      <c r="I528">
        <f>VLOOKUP(Table4[[#This Row],[Visitor]],'NHL Model'!$A$6:$B$38,2,FALSE)</f>
        <v>-0.89031221864884547</v>
      </c>
      <c r="J528">
        <f>($B$1+Table4[[#This Row],[Home Differential]])-Table4[[#This Row],[Away Differential]]</f>
        <v>0.36755337952660683</v>
      </c>
      <c r="K528" t="str">
        <f>IF(Table4[[#This Row],[HomeIce Differential]]&gt;0,Table4[[#This Row],[Home]],Table4[[#This Row],[Visitor]])</f>
        <v>San Jose Sharks</v>
      </c>
      <c r="L5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0.58127399001921831</v>
      </c>
      <c r="M528" t="str">
        <f>IF(OR((NHL2025_26Results[[#This Row],[Winning Team]]="")),"-",IF(Table4[[#This Row],[Predicted Winner]]=NHL2025_26Results[[#This Row],[Winning Team]],"YES","NO"))</f>
        <v>YES</v>
      </c>
      <c r="N528">
        <f>IF(Table4[[#This Row],[Adjusted Correct]]="-", "",IF(Table4[[#This Row],[Adjusted Correct]]="YES",(Table4[[#This Row],[Strength of Win]]-1)^2,(Table4[[#This Row],[Strength of Win]]-0)^2))</f>
        <v>0.17533147143442568</v>
      </c>
      <c r="O528">
        <v>0.31968699157293423</v>
      </c>
      <c r="P528" s="11">
        <v>0.57621562352944078</v>
      </c>
      <c r="Q528" t="s">
        <v>33</v>
      </c>
      <c r="R528" t="s">
        <v>248</v>
      </c>
    </row>
    <row r="529" spans="4:18" x14ac:dyDescent="0.2">
      <c r="D529" s="1">
        <v>46007</v>
      </c>
      <c r="E529" s="2">
        <v>0.79166666666666663</v>
      </c>
      <c r="F529" t="s">
        <v>19</v>
      </c>
      <c r="G529">
        <f>VLOOKUP(Table4[[#This Row],[Home]],'NHL Model'!$A$6:$B$38,2,FALSE)</f>
        <v>-0.44228056828684137</v>
      </c>
      <c r="H529" t="s">
        <v>10</v>
      </c>
      <c r="I529">
        <f>VLOOKUP(Table4[[#This Row],[Visitor]],'NHL Model'!$A$6:$B$38,2,FALSE)</f>
        <v>-0.92658078135875344</v>
      </c>
      <c r="J529">
        <f>($B$1+Table4[[#This Row],[Home Differential]])-Table4[[#This Row],[Away Differential]]</f>
        <v>0.61390719888343614</v>
      </c>
      <c r="K529" t="str">
        <f>IF(Table4[[#This Row],[HomeIce Differential]]&gt;0,Table4[[#This Row],[Home]],Table4[[#This Row],[Visitor]])</f>
        <v>Toronto Maple Leafs</v>
      </c>
      <c r="L5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0.60893801284612326</v>
      </c>
      <c r="M529" t="str">
        <f>IF(OR((NHL2025_26Results[[#This Row],[Winning Team]]="")),"-",IF(Table4[[#This Row],[Predicted Winner]]=NHL2025_26Results[[#This Row],[Winning Team]],"YES","NO"))</f>
        <v>YES</v>
      </c>
      <c r="N529">
        <f>IF(Table4[[#This Row],[Adjusted Correct]]="-", "",IF(Table4[[#This Row],[Adjusted Correct]]="YES",(Table4[[#This Row],[Strength of Win]]-1)^2,(Table4[[#This Row],[Strength of Win]]-0)^2))</f>
        <v>0.15292947779673885</v>
      </c>
      <c r="O529">
        <v>0.32220257253973789</v>
      </c>
      <c r="P529" s="11">
        <v>0.5765006001961589</v>
      </c>
      <c r="Q529" t="s">
        <v>19</v>
      </c>
      <c r="R529" t="s">
        <v>248</v>
      </c>
    </row>
    <row r="530" spans="4:18" x14ac:dyDescent="0.2">
      <c r="D530" s="1">
        <v>46008</v>
      </c>
      <c r="E530" s="2">
        <v>0.8125</v>
      </c>
      <c r="F530" t="s">
        <v>26</v>
      </c>
      <c r="G530">
        <f>VLOOKUP(Table4[[#This Row],[Home]],'NHL Model'!$A$6:$B$38,2,FALSE)</f>
        <v>-0.33113778518110382</v>
      </c>
      <c r="H530" t="s">
        <v>55</v>
      </c>
      <c r="I530">
        <f>VLOOKUP(Table4[[#This Row],[Visitor]],'NHL Model'!$A$6:$B$38,2,FALSE)</f>
        <v>8.4094725828611647E-2</v>
      </c>
      <c r="J530">
        <f>($B$1+Table4[[#This Row],[Home Differential]])-Table4[[#This Row],[Away Differential]]</f>
        <v>-0.28562552519819134</v>
      </c>
      <c r="K530" t="str">
        <f>IF(Table4[[#This Row],[HomeIce Differential]]&gt;0,Table4[[#This Row],[Home]],Table4[[#This Row],[Visitor]])</f>
        <v>Utah Mammoth</v>
      </c>
      <c r="L5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0.46603625865875542</v>
      </c>
      <c r="M530" t="str">
        <f>IF(OR((NHL2025_26Results[[#This Row],[Winning Team]]="")),"-",IF(Table4[[#This Row],[Predicted Winner]]=NHL2025_26Results[[#This Row],[Winning Team]],"YES","NO"))</f>
        <v>YES</v>
      </c>
      <c r="N530">
        <f>IF(Table4[[#This Row],[Adjusted Correct]]="-", "",IF(Table4[[#This Row],[Adjusted Correct]]="YES",(Table4[[#This Row],[Strength of Win]]-1)^2,(Table4[[#This Row],[Strength of Win]]-0)^2))</f>
        <v>0.28511727706713952</v>
      </c>
      <c r="O530">
        <v>-0.24062190221798424</v>
      </c>
      <c r="P530" s="11">
        <v>0.46645581232520744</v>
      </c>
      <c r="Q530" t="s">
        <v>55</v>
      </c>
      <c r="R530" t="s">
        <v>248</v>
      </c>
    </row>
    <row r="531" spans="4:18" x14ac:dyDescent="0.2">
      <c r="D531" s="1">
        <v>46008</v>
      </c>
      <c r="E531" s="2">
        <v>0.79166666666666663</v>
      </c>
      <c r="F531" t="s">
        <v>11</v>
      </c>
      <c r="G531">
        <f>VLOOKUP(Table4[[#This Row],[Home]],'NHL Model'!$A$6:$B$38,2,FALSE)</f>
        <v>-0.55695213126481558</v>
      </c>
      <c r="H531" t="s">
        <v>13</v>
      </c>
      <c r="I531">
        <f>VLOOKUP(Table4[[#This Row],[Visitor]],'NHL Model'!$A$6:$B$38,2,FALSE)</f>
        <v>-0.59069689888466137</v>
      </c>
      <c r="J531">
        <f>($B$1+Table4[[#This Row],[Home Differential]])-Table4[[#This Row],[Away Differential]]</f>
        <v>0.16335175343136987</v>
      </c>
      <c r="K531" t="str">
        <f>IF(Table4[[#This Row],[HomeIce Differential]]&gt;0,Table4[[#This Row],[Home]],Table4[[#This Row],[Visitor]])</f>
        <v>Florida Panthers</v>
      </c>
      <c r="L5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0.53757416917292677</v>
      </c>
      <c r="M531" t="str">
        <f>IF(OR((NHL2025_26Results[[#This Row],[Winning Team]]="")),"-",IF(Table4[[#This Row],[Predicted Winner]]=NHL2025_26Results[[#This Row],[Winning Team]],"YES","NO"))</f>
        <v>YES</v>
      </c>
      <c r="N531">
        <f>IF(Table4[[#This Row],[Adjusted Correct]]="-", "",IF(Table4[[#This Row],[Adjusted Correct]]="YES",(Table4[[#This Row],[Strength of Win]]-1)^2,(Table4[[#This Row],[Strength of Win]]-0)^2))</f>
        <v>0.21383764901610894</v>
      </c>
      <c r="O531">
        <v>0.27123997325659871</v>
      </c>
      <c r="P531" s="11">
        <v>0.53113794964197891</v>
      </c>
      <c r="Q531" t="s">
        <v>11</v>
      </c>
      <c r="R531" t="s">
        <v>248</v>
      </c>
    </row>
    <row r="532" spans="4:18" x14ac:dyDescent="0.2">
      <c r="D532" s="1">
        <v>46008</v>
      </c>
      <c r="E532" s="2">
        <v>0.83333333333333337</v>
      </c>
      <c r="F532" t="s">
        <v>29</v>
      </c>
      <c r="G532">
        <f>VLOOKUP(Table4[[#This Row],[Home]],'NHL Model'!$A$6:$B$38,2,FALSE)</f>
        <v>-0.82056481120798741</v>
      </c>
      <c r="H532" t="s">
        <v>25</v>
      </c>
      <c r="I532">
        <f>VLOOKUP(Table4[[#This Row],[Visitor]],'NHL Model'!$A$6:$B$38,2,FALSE)</f>
        <v>0.2324942014830165</v>
      </c>
      <c r="J532">
        <f>($B$1+Table4[[#This Row],[Home Differential]])-Table4[[#This Row],[Away Differential]]</f>
        <v>-0.9234520268794798</v>
      </c>
      <c r="K532" t="str">
        <f>IF(Table4[[#This Row],[HomeIce Differential]]&gt;0,Table4[[#This Row],[Home]],Table4[[#This Row],[Visitor]])</f>
        <v>Carolina Hurricanes</v>
      </c>
      <c r="L5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0.62022692396157342</v>
      </c>
      <c r="M532" t="str">
        <f>IF(OR((NHL2025_26Results[[#This Row],[Winning Team]]="")),"-",IF(Table4[[#This Row],[Predicted Winner]]=NHL2025_26Results[[#This Row],[Winning Team]],"YES","NO"))</f>
        <v>YES</v>
      </c>
      <c r="N532">
        <f>IF(Table4[[#This Row],[Adjusted Correct]]="-", "",IF(Table4[[#This Row],[Adjusted Correct]]="YES",(Table4[[#This Row],[Strength of Win]]-1)^2,(Table4[[#This Row],[Strength of Win]]-0)^2))</f>
        <v>0.14422758928368853</v>
      </c>
      <c r="O532">
        <v>-1.109046325368626</v>
      </c>
      <c r="P532" s="11">
        <v>0.67980307338886881</v>
      </c>
      <c r="Q532" t="s">
        <v>25</v>
      </c>
      <c r="R532" t="s">
        <v>248</v>
      </c>
    </row>
    <row r="533" spans="4:18" x14ac:dyDescent="0.2">
      <c r="D533" s="1">
        <v>46008</v>
      </c>
      <c r="E533" s="2">
        <v>0.83333333333333337</v>
      </c>
      <c r="F533" t="s">
        <v>35</v>
      </c>
      <c r="G533">
        <f>VLOOKUP(Table4[[#This Row],[Home]],'NHL Model'!$A$6:$B$38,2,FALSE)</f>
        <v>-1.3128572733047907</v>
      </c>
      <c r="H533" t="s">
        <v>40</v>
      </c>
      <c r="I533">
        <f>VLOOKUP(Table4[[#This Row],[Visitor]],'NHL Model'!$A$6:$B$38,2,FALSE)</f>
        <v>-0.58845147248022256</v>
      </c>
      <c r="J533">
        <f>($B$1+Table4[[#This Row],[Home Differential]])-Table4[[#This Row],[Away Differential]]</f>
        <v>-0.5947988150130441</v>
      </c>
      <c r="K533" t="str">
        <f>IF(Table4[[#This Row],[HomeIce Differential]]&gt;0,Table4[[#This Row],[Home]],Table4[[#This Row],[Visitor]])</f>
        <v>Winnipeg Jets</v>
      </c>
      <c r="L5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0.52679225854462353</v>
      </c>
      <c r="M533" t="str">
        <f>IF(OR((NHL2025_26Results[[#This Row],[Winning Team]]="")),"-",IF(Table4[[#This Row],[Predicted Winner]]=NHL2025_26Results[[#This Row],[Winning Team]],"YES","NO"))</f>
        <v>NO</v>
      </c>
      <c r="N533">
        <f>IF(Table4[[#This Row],[Adjusted Correct]]="-", "",IF(Table4[[#This Row],[Adjusted Correct]]="YES",(Table4[[#This Row],[Strength of Win]]-1)^2,(Table4[[#This Row],[Strength of Win]]-0)^2))</f>
        <v>0.27751008366254548</v>
      </c>
      <c r="O533">
        <v>-1.0645989858622593</v>
      </c>
      <c r="P533" s="11">
        <v>0.58221439639842743</v>
      </c>
      <c r="Q533" t="s">
        <v>40</v>
      </c>
      <c r="R533" t="s">
        <v>249</v>
      </c>
    </row>
    <row r="534" spans="4:18" x14ac:dyDescent="0.2">
      <c r="D534" s="1">
        <v>46008</v>
      </c>
      <c r="E534" s="2">
        <v>0.91666666666666663</v>
      </c>
      <c r="F534" t="s">
        <v>20</v>
      </c>
      <c r="G534">
        <f>VLOOKUP(Table4[[#This Row],[Home]],'NHL Model'!$A$6:$B$38,2,FALSE)</f>
        <v>-0.16296463421387539</v>
      </c>
      <c r="H534" t="s">
        <v>24</v>
      </c>
      <c r="I534">
        <f>VLOOKUP(Table4[[#This Row],[Visitor]],'NHL Model'!$A$6:$B$38,2,FALSE)</f>
        <v>-0.74510803532792402</v>
      </c>
      <c r="J534">
        <f>($B$1+Table4[[#This Row],[Home Differential]])-Table4[[#This Row],[Away Differential]]</f>
        <v>0.7117503869255728</v>
      </c>
      <c r="K534" t="str">
        <f>IF(Table4[[#This Row],[HomeIce Differential]]&gt;0,Table4[[#This Row],[Home]],Table4[[#This Row],[Visitor]])</f>
        <v>Vegas Golden Knights</v>
      </c>
      <c r="L5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0.59915597194275882</v>
      </c>
      <c r="M534" t="str">
        <f>IF(OR((NHL2025_26Results[[#This Row],[Winning Team]]="")),"-",IF(Table4[[#This Row],[Predicted Winner]]=NHL2025_26Results[[#This Row],[Winning Team]],"YES","NO"))</f>
        <v>NO</v>
      </c>
      <c r="N534">
        <f>IF(Table4[[#This Row],[Adjusted Correct]]="-", "",IF(Table4[[#This Row],[Adjusted Correct]]="YES",(Table4[[#This Row],[Strength of Win]]-1)^2,(Table4[[#This Row],[Strength of Win]]-0)^2))</f>
        <v>0.35898787871467203</v>
      </c>
      <c r="O534">
        <v>0.39564036722237245</v>
      </c>
      <c r="P534" s="11">
        <v>0.56464970097225642</v>
      </c>
      <c r="Q534" t="s">
        <v>20</v>
      </c>
      <c r="R534" t="s">
        <v>249</v>
      </c>
    </row>
    <row r="535" spans="4:18" x14ac:dyDescent="0.2">
      <c r="D535" s="1">
        <v>46009</v>
      </c>
      <c r="E535" s="2">
        <v>0.79166666666666663</v>
      </c>
      <c r="F535" t="s">
        <v>21</v>
      </c>
      <c r="G535">
        <f>VLOOKUP(Table4[[#This Row],[Home]],'NHL Model'!$A$6:$B$38,2,FALSE)</f>
        <v>-0.10253061303059285</v>
      </c>
      <c r="H535" t="s">
        <v>17</v>
      </c>
      <c r="I535">
        <f>VLOOKUP(Table4[[#This Row],[Visitor]],'NHL Model'!$A$6:$B$38,2,FALSE)</f>
        <v>-0.36462594951491906</v>
      </c>
      <c r="J535">
        <f>($B$1+Table4[[#This Row],[Home Differential]])-Table4[[#This Row],[Away Differential]]</f>
        <v>0.39170232229585034</v>
      </c>
      <c r="K535" t="str">
        <f>IF(Table4[[#This Row],[HomeIce Differential]]&gt;0,Table4[[#This Row],[Home]],Table4[[#This Row],[Visitor]])</f>
        <v>Boston Bruins</v>
      </c>
      <c r="L5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0.63570174449860262</v>
      </c>
      <c r="M535" t="str">
        <f>IF(OR((NHL2025_26Results[[#This Row],[Winning Team]]="")),"-",IF(Table4[[#This Row],[Predicted Winner]]=NHL2025_26Results[[#This Row],[Winning Team]],"YES","NO"))</f>
        <v>NO</v>
      </c>
      <c r="N535">
        <f>IF(Table4[[#This Row],[Adjusted Correct]]="-", "",IF(Table4[[#This Row],[Adjusted Correct]]="YES",(Table4[[#This Row],[Strength of Win]]-1)^2,(Table4[[#This Row],[Strength of Win]]-0)^2))</f>
        <v>0.40411670795856663</v>
      </c>
      <c r="O535">
        <v>0.49294016624906106</v>
      </c>
      <c r="P535" s="11">
        <v>0.66379247626632953</v>
      </c>
      <c r="Q535" t="s">
        <v>21</v>
      </c>
      <c r="R535" t="s">
        <v>249</v>
      </c>
    </row>
    <row r="536" spans="4:18" x14ac:dyDescent="0.2">
      <c r="D536" s="1">
        <v>46009</v>
      </c>
      <c r="E536" s="2">
        <v>0.8125</v>
      </c>
      <c r="F536" t="s">
        <v>23</v>
      </c>
      <c r="G536">
        <f>VLOOKUP(Table4[[#This Row],[Home]],'NHL Model'!$A$6:$B$38,2,FALSE)</f>
        <v>8.1543966060426461E-3</v>
      </c>
      <c r="H536" t="s">
        <v>27</v>
      </c>
      <c r="I536">
        <f>VLOOKUP(Table4[[#This Row],[Visitor]],'NHL Model'!$A$6:$B$38,2,FALSE)</f>
        <v>-0.55097933929175691</v>
      </c>
      <c r="J536">
        <f>($B$1+Table4[[#This Row],[Home Differential]])-Table4[[#This Row],[Away Differential]]</f>
        <v>0.68874072170932366</v>
      </c>
      <c r="K536" t="str">
        <f>IF(Table4[[#This Row],[HomeIce Differential]]&gt;0,Table4[[#This Row],[Home]],Table4[[#This Row],[Visitor]])</f>
        <v>Buffalo Sabres</v>
      </c>
      <c r="L5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0.64628379485737419</v>
      </c>
      <c r="M536" t="str">
        <f>IF(OR((NHL2025_26Results[[#This Row],[Winning Team]]="")),"-",IF(Table4[[#This Row],[Predicted Winner]]=NHL2025_26Results[[#This Row],[Winning Team]],"YES","NO"))</f>
        <v>YES</v>
      </c>
      <c r="N536">
        <f>IF(Table4[[#This Row],[Adjusted Correct]]="-", "",IF(Table4[[#This Row],[Adjusted Correct]]="YES",(Table4[[#This Row],[Strength of Win]]-1)^2,(Table4[[#This Row],[Strength of Win]]-0)^2))</f>
        <v>0.12511515378050014</v>
      </c>
      <c r="O536">
        <v>-0.47790409062924388</v>
      </c>
      <c r="P536" s="11">
        <v>0.54564676379575738</v>
      </c>
      <c r="Q536" t="s">
        <v>27</v>
      </c>
      <c r="R536" t="s">
        <v>249</v>
      </c>
    </row>
    <row r="537" spans="4:18" x14ac:dyDescent="0.2">
      <c r="D537" s="1">
        <v>46009</v>
      </c>
      <c r="E537" s="2">
        <v>0.79166666666666663</v>
      </c>
      <c r="F537" t="s">
        <v>28</v>
      </c>
      <c r="G537">
        <f>VLOOKUP(Table4[[#This Row],[Home]],'NHL Model'!$A$6:$B$38,2,FALSE)</f>
        <v>-0.28156479873410767</v>
      </c>
      <c r="H537" t="s">
        <v>34</v>
      </c>
      <c r="I537">
        <f>VLOOKUP(Table4[[#This Row],[Visitor]],'NHL Model'!$A$6:$B$38,2,FALSE)</f>
        <v>6.0485283743665949E-2</v>
      </c>
      <c r="J537">
        <f>($B$1+Table4[[#This Row],[Home Differential]])-Table4[[#This Row],[Away Differential]]</f>
        <v>-0.2124430966662495</v>
      </c>
      <c r="K537" t="str">
        <f>IF(Table4[[#This Row],[HomeIce Differential]]&gt;0,Table4[[#This Row],[Home]],Table4[[#This Row],[Visitor]])</f>
        <v>Minnesota Wild</v>
      </c>
      <c r="L5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0.54604035701188969</v>
      </c>
      <c r="M537" t="str">
        <f>IF(OR((NHL2025_26Results[[#This Row],[Winning Team]]="")),"-",IF(Table4[[#This Row],[Predicted Winner]]=NHL2025_26Results[[#This Row],[Winning Team]],"YES","NO"))</f>
        <v>YES</v>
      </c>
      <c r="N537">
        <f>IF(Table4[[#This Row],[Adjusted Correct]]="-", "",IF(Table4[[#This Row],[Adjusted Correct]]="YES",(Table4[[#This Row],[Strength of Win]]-1)^2,(Table4[[#This Row],[Strength of Win]]-0)^2))</f>
        <v>0.20607935746189257</v>
      </c>
      <c r="O537">
        <v>-0.84946060915682908</v>
      </c>
      <c r="P537" s="11">
        <v>0.59743490782926922</v>
      </c>
      <c r="Q537" t="s">
        <v>34</v>
      </c>
      <c r="R537" t="s">
        <v>248</v>
      </c>
    </row>
    <row r="538" spans="4:18" x14ac:dyDescent="0.2">
      <c r="D538" s="1">
        <v>46009</v>
      </c>
      <c r="E538" s="2">
        <v>0.875</v>
      </c>
      <c r="F538" t="s">
        <v>16</v>
      </c>
      <c r="G538">
        <f>VLOOKUP(Table4[[#This Row],[Home]],'NHL Model'!$A$6:$B$38,2,FALSE)</f>
        <v>-0.89031221864884547</v>
      </c>
      <c r="H538" t="s">
        <v>32</v>
      </c>
      <c r="I538">
        <f>VLOOKUP(Table4[[#This Row],[Visitor]],'NHL Model'!$A$6:$B$38,2,FALSE)</f>
        <v>-0.48236715437805205</v>
      </c>
      <c r="J538">
        <f>($B$1+Table4[[#This Row],[Home Differential]])-Table4[[#This Row],[Away Differential]]</f>
        <v>-0.27833807845926933</v>
      </c>
      <c r="K538" t="str">
        <f>IF(Table4[[#This Row],[HomeIce Differential]]&gt;0,Table4[[#This Row],[Home]],Table4[[#This Row],[Visitor]])</f>
        <v>Seattle Kraken</v>
      </c>
      <c r="L5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0.49125565893882545</v>
      </c>
      <c r="M538" t="str">
        <f>IF(OR((NHL2025_26Results[[#This Row],[Winning Team]]="")),"-",IF(Table4[[#This Row],[Predicted Winner]]=NHL2025_26Results[[#This Row],[Winning Team]],"YES","NO"))</f>
        <v>NO</v>
      </c>
      <c r="N538">
        <f>IF(Table4[[#This Row],[Adjusted Correct]]="-", "",IF(Table4[[#This Row],[Adjusted Correct]]="YES",(Table4[[#This Row],[Strength of Win]]-1)^2,(Table4[[#This Row],[Strength of Win]]-0)^2))</f>
        <v>0.24133212243941959</v>
      </c>
      <c r="O538">
        <v>0.16397864226434727</v>
      </c>
      <c r="P538" s="11">
        <v>0.55940819169140121</v>
      </c>
      <c r="Q538" t="s">
        <v>16</v>
      </c>
      <c r="R538" t="s">
        <v>248</v>
      </c>
    </row>
    <row r="539" spans="4:18" x14ac:dyDescent="0.2">
      <c r="D539" s="1">
        <v>46009</v>
      </c>
      <c r="E539" s="2">
        <v>0.79166666666666663</v>
      </c>
      <c r="F539" t="s">
        <v>18</v>
      </c>
      <c r="G539">
        <f>VLOOKUP(Table4[[#This Row],[Home]],'NHL Model'!$A$6:$B$38,2,FALSE)</f>
        <v>-8.6274676766085606E-2</v>
      </c>
      <c r="H539" t="s">
        <v>10</v>
      </c>
      <c r="I539">
        <f>VLOOKUP(Table4[[#This Row],[Visitor]],'NHL Model'!$A$6:$B$38,2,FALSE)</f>
        <v>-0.92658078135875344</v>
      </c>
      <c r="J539">
        <f>($B$1+Table4[[#This Row],[Home Differential]])-Table4[[#This Row],[Away Differential]]</f>
        <v>0.96991309040419194</v>
      </c>
      <c r="K539" t="str">
        <f>IF(Table4[[#This Row],[HomeIce Differential]]&gt;0,Table4[[#This Row],[Home]],Table4[[#This Row],[Visitor]])</f>
        <v>Montreal Canadiens</v>
      </c>
      <c r="L5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0.66293191129096618</v>
      </c>
      <c r="M539" t="str">
        <f>IF(OR((NHL2025_26Results[[#This Row],[Winning Team]]="")),"-",IF(Table4[[#This Row],[Predicted Winner]]=NHL2025_26Results[[#This Row],[Winning Team]],"YES","NO"))</f>
        <v>YES</v>
      </c>
      <c r="N539">
        <f>IF(Table4[[#This Row],[Adjusted Correct]]="-", "",IF(Table4[[#This Row],[Adjusted Correct]]="YES",(Table4[[#This Row],[Strength of Win]]-1)^2,(Table4[[#This Row],[Strength of Win]]-0)^2))</f>
        <v>0.11361489642596109</v>
      </c>
      <c r="O539">
        <v>3.2688275070731521E-2</v>
      </c>
      <c r="P539" s="11">
        <v>0.5438689203659296</v>
      </c>
      <c r="Q539" t="s">
        <v>18</v>
      </c>
      <c r="R539" t="s">
        <v>248</v>
      </c>
    </row>
    <row r="540" spans="4:18" x14ac:dyDescent="0.2">
      <c r="D540" s="1">
        <v>46009</v>
      </c>
      <c r="E540" s="2">
        <v>0.79166666666666663</v>
      </c>
      <c r="F540" t="s">
        <v>36</v>
      </c>
      <c r="G540">
        <f>VLOOKUP(Table4[[#This Row],[Home]],'NHL Model'!$A$6:$B$38,2,FALSE)</f>
        <v>-0.19010748264223354</v>
      </c>
      <c r="H540" t="s">
        <v>14</v>
      </c>
      <c r="I540">
        <f>VLOOKUP(Table4[[#This Row],[Visitor]],'NHL Model'!$A$6:$B$38,2,FALSE)</f>
        <v>3.6349513460996066E-5</v>
      </c>
      <c r="J540">
        <f>($B$1+Table4[[#This Row],[Home Differential]])-Table4[[#This Row],[Away Differential]]</f>
        <v>-6.0536846344170427E-2</v>
      </c>
      <c r="K540" t="str">
        <f>IF(Table4[[#This Row],[HomeIce Differential]]&gt;0,Table4[[#This Row],[Home]],Table4[[#This Row],[Visitor]])</f>
        <v>Pittsburgh Penguins</v>
      </c>
      <c r="L5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0.52093673400381724</v>
      </c>
      <c r="M540" t="str">
        <f>IF(OR((NHL2025_26Results[[#This Row],[Winning Team]]="")),"-",IF(Table4[[#This Row],[Predicted Winner]]=NHL2025_26Results[[#This Row],[Winning Team]],"YES","NO"))</f>
        <v>NO</v>
      </c>
      <c r="N540">
        <f>IF(Table4[[#This Row],[Adjusted Correct]]="-", "",IF(Table4[[#This Row],[Adjusted Correct]]="YES",(Table4[[#This Row],[Strength of Win]]-1)^2,(Table4[[#This Row],[Strength of Win]]-0)^2))</f>
        <v>0.27137508083456385</v>
      </c>
      <c r="O540">
        <v>-3.3479433087773167E-2</v>
      </c>
      <c r="P540" s="11">
        <v>0.50085697022082709</v>
      </c>
      <c r="Q540" t="s">
        <v>14</v>
      </c>
      <c r="R540" t="s">
        <v>249</v>
      </c>
    </row>
    <row r="541" spans="4:18" x14ac:dyDescent="0.2">
      <c r="D541" s="1">
        <v>46009</v>
      </c>
      <c r="E541" s="2">
        <v>0.91666666666666663</v>
      </c>
      <c r="F541" t="s">
        <v>33</v>
      </c>
      <c r="G541">
        <f>VLOOKUP(Table4[[#This Row],[Home]],'NHL Model'!$A$6:$B$38,2,FALSE)</f>
        <v>-0.65236582493376272</v>
      </c>
      <c r="H541" t="s">
        <v>39</v>
      </c>
      <c r="I541">
        <f>VLOOKUP(Table4[[#This Row],[Visitor]],'NHL Model'!$A$6:$B$38,2,FALSE)</f>
        <v>0.21708030788125537</v>
      </c>
      <c r="J541">
        <f>($B$1+Table4[[#This Row],[Home Differential]])-Table4[[#This Row],[Away Differential]]</f>
        <v>-0.73983914700349396</v>
      </c>
      <c r="K541" t="str">
        <f>IF(Table4[[#This Row],[HomeIce Differential]]&gt;0,Table4[[#This Row],[Home]],Table4[[#This Row],[Visitor]])</f>
        <v>Dallas Stars</v>
      </c>
      <c r="L5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0.60121411320360396</v>
      </c>
      <c r="M541" t="str">
        <f>IF(OR((NHL2025_26Results[[#This Row],[Winning Team]]="")),"-",IF(Table4[[#This Row],[Predicted Winner]]=NHL2025_26Results[[#This Row],[Winning Team]],"YES","NO"))</f>
        <v>YES</v>
      </c>
      <c r="N541">
        <f>IF(Table4[[#This Row],[Adjusted Correct]]="-", "",IF(Table4[[#This Row],[Adjusted Correct]]="YES",(Table4[[#This Row],[Strength of Win]]-1)^2,(Table4[[#This Row],[Strength of Win]]-0)^2))</f>
        <v>0.159030183507988</v>
      </c>
      <c r="O541">
        <v>-0.80708482532505321</v>
      </c>
      <c r="P541" s="11">
        <v>0.63356846117832699</v>
      </c>
      <c r="Q541" t="s">
        <v>39</v>
      </c>
      <c r="R541" t="s">
        <v>248</v>
      </c>
    </row>
    <row r="542" spans="4:18" x14ac:dyDescent="0.2">
      <c r="D542" s="1">
        <v>46009</v>
      </c>
      <c r="E542" s="2">
        <v>0.83333333333333337</v>
      </c>
      <c r="F542" t="s">
        <v>35</v>
      </c>
      <c r="G542">
        <f>VLOOKUP(Table4[[#This Row],[Home]],'NHL Model'!$A$6:$B$38,2,FALSE)</f>
        <v>-1.3128572733047907</v>
      </c>
      <c r="H542" t="s">
        <v>15</v>
      </c>
      <c r="I542">
        <f>VLOOKUP(Table4[[#This Row],[Visitor]],'NHL Model'!$A$6:$B$38,2,FALSE)</f>
        <v>-0.73651915476403329</v>
      </c>
      <c r="J542">
        <f>($B$1+Table4[[#This Row],[Home Differential]])-Table4[[#This Row],[Away Differential]]</f>
        <v>-0.44673113272923337</v>
      </c>
      <c r="K542" t="str">
        <f>IF(Table4[[#This Row],[HomeIce Differential]]&gt;0,Table4[[#This Row],[Home]],Table4[[#This Row],[Visitor]])</f>
        <v>New York Rangers</v>
      </c>
      <c r="L5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0.54608115204045526</v>
      </c>
      <c r="M542" t="str">
        <f>IF(OR((NHL2025_26Results[[#This Row],[Winning Team]]="")),"-",IF(Table4[[#This Row],[Predicted Winner]]=NHL2025_26Results[[#This Row],[Winning Team]],"YES","NO"))</f>
        <v>YES</v>
      </c>
      <c r="N542">
        <f>IF(Table4[[#This Row],[Adjusted Correct]]="-", "",IF(Table4[[#This Row],[Adjusted Correct]]="YES",(Table4[[#This Row],[Strength of Win]]-1)^2,(Table4[[#This Row],[Strength of Win]]-0)^2))</f>
        <v>0.20604232053292029</v>
      </c>
      <c r="O542">
        <v>-0.9585244747424666</v>
      </c>
      <c r="P542" s="11">
        <v>0.6659352717614363</v>
      </c>
      <c r="Q542" t="s">
        <v>15</v>
      </c>
      <c r="R542" t="s">
        <v>248</v>
      </c>
    </row>
    <row r="543" spans="4:18" x14ac:dyDescent="0.2">
      <c r="D543" s="1">
        <v>46009</v>
      </c>
      <c r="E543" s="2">
        <v>0.79166666666666663</v>
      </c>
      <c r="F543" t="s">
        <v>37</v>
      </c>
      <c r="G543">
        <f>VLOOKUP(Table4[[#This Row],[Home]],'NHL Model'!$A$6:$B$38,2,FALSE)</f>
        <v>0.72108184732572844</v>
      </c>
      <c r="H543" t="s">
        <v>13</v>
      </c>
      <c r="I543">
        <f>VLOOKUP(Table4[[#This Row],[Visitor]],'NHL Model'!$A$6:$B$38,2,FALSE)</f>
        <v>-0.59069689888466137</v>
      </c>
      <c r="J543">
        <f>($B$1+Table4[[#This Row],[Home Differential]])-Table4[[#This Row],[Away Differential]]</f>
        <v>1.4413857320219139</v>
      </c>
      <c r="K543" t="str">
        <f>IF(Table4[[#This Row],[HomeIce Differential]]&gt;0,Table4[[#This Row],[Home]],Table4[[#This Row],[Visitor]])</f>
        <v>Tampa Bay Lightning</v>
      </c>
      <c r="L5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0.73761635228124423</v>
      </c>
      <c r="M543" t="str">
        <f>IF(OR((NHL2025_26Results[[#This Row],[Winning Team]]="")),"-",IF(Table4[[#This Row],[Predicted Winner]]=NHL2025_26Results[[#This Row],[Winning Team]],"YES","NO"))</f>
        <v>NO</v>
      </c>
      <c r="N543">
        <f>IF(Table4[[#This Row],[Adjusted Correct]]="-", "",IF(Table4[[#This Row],[Adjusted Correct]]="YES",(Table4[[#This Row],[Strength of Win]]-1)^2,(Table4[[#This Row],[Strength of Win]]-0)^2))</f>
        <v>0.54407788315268857</v>
      </c>
      <c r="O543">
        <v>0.76451269962607205</v>
      </c>
      <c r="P543" s="11">
        <v>0.59690281370653897</v>
      </c>
      <c r="Q543" t="s">
        <v>37</v>
      </c>
      <c r="R543" t="s">
        <v>249</v>
      </c>
    </row>
    <row r="544" spans="4:18" x14ac:dyDescent="0.2">
      <c r="D544" s="1">
        <v>46009</v>
      </c>
      <c r="E544" s="2">
        <v>0.79166666666666663</v>
      </c>
      <c r="F544" t="s">
        <v>22</v>
      </c>
      <c r="G544">
        <f>VLOOKUP(Table4[[#This Row],[Home]],'NHL Model'!$A$6:$B$38,2,FALSE)</f>
        <v>-0.11977593183651415</v>
      </c>
      <c r="H544" t="s">
        <v>19</v>
      </c>
      <c r="I544">
        <f>VLOOKUP(Table4[[#This Row],[Visitor]],'NHL Model'!$A$6:$B$38,2,FALSE)</f>
        <v>-0.44228056828684137</v>
      </c>
      <c r="J544">
        <f>($B$1+Table4[[#This Row],[Home Differential]])-Table4[[#This Row],[Away Differential]]</f>
        <v>0.45211162226185131</v>
      </c>
      <c r="K544" t="str">
        <f>IF(Table4[[#This Row],[HomeIce Differential]]&gt;0,Table4[[#This Row],[Home]],Table4[[#This Row],[Visitor]])</f>
        <v>Washington Capitals</v>
      </c>
      <c r="L5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0.6087358840230952</v>
      </c>
      <c r="M544" t="str">
        <f>IF(OR((NHL2025_26Results[[#This Row],[Winning Team]]="")),"-",IF(Table4[[#This Row],[Predicted Winner]]=NHL2025_26Results[[#This Row],[Winning Team]],"YES","NO"))</f>
        <v>YES</v>
      </c>
      <c r="N544">
        <f>IF(Table4[[#This Row],[Adjusted Correct]]="-", "",IF(Table4[[#This Row],[Adjusted Correct]]="YES",(Table4[[#This Row],[Strength of Win]]-1)^2,(Table4[[#This Row],[Strength of Win]]-0)^2))</f>
        <v>0.15308760845118882</v>
      </c>
      <c r="O544">
        <v>0.70217862697127909</v>
      </c>
      <c r="P544" s="11">
        <v>0.64427571809626627</v>
      </c>
      <c r="Q544" t="s">
        <v>22</v>
      </c>
      <c r="R544" t="s">
        <v>248</v>
      </c>
    </row>
    <row r="545" spans="4:18" x14ac:dyDescent="0.2">
      <c r="D545" s="1">
        <v>46010</v>
      </c>
      <c r="E545" s="2">
        <v>0.91666666666666663</v>
      </c>
      <c r="F545" t="s">
        <v>31</v>
      </c>
      <c r="G545">
        <f>VLOOKUP(Table4[[#This Row],[Home]],'NHL Model'!$A$6:$B$38,2,FALSE)</f>
        <v>-0.46360583111358089</v>
      </c>
      <c r="H545" t="s">
        <v>39</v>
      </c>
      <c r="I545">
        <f>VLOOKUP(Table4[[#This Row],[Visitor]],'NHL Model'!$A$6:$B$38,2,FALSE)</f>
        <v>0.21708030788125537</v>
      </c>
      <c r="J545">
        <f>($B$1+Table4[[#This Row],[Home Differential]])-Table4[[#This Row],[Away Differential]]</f>
        <v>-0.55107915318331213</v>
      </c>
      <c r="K545" t="str">
        <f>IF(Table4[[#This Row],[HomeIce Differential]]&gt;0,Table4[[#This Row],[Home]],Table4[[#This Row],[Visitor]])</f>
        <v>Dallas Stars</v>
      </c>
      <c r="L5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0.52740005006843793</v>
      </c>
      <c r="M545" t="str">
        <f>IF(OR((NHL2025_26Results[[#This Row],[Winning Team]]="")),"-",IF(Table4[[#This Row],[Predicted Winner]]=NHL2025_26Results[[#This Row],[Winning Team]],"YES","NO"))</f>
        <v>YES</v>
      </c>
      <c r="N545">
        <f>IF(Table4[[#This Row],[Adjusted Correct]]="-", "",IF(Table4[[#This Row],[Adjusted Correct]]="YES",(Table4[[#This Row],[Strength of Win]]-1)^2,(Table4[[#This Row],[Strength of Win]]-0)^2))</f>
        <v>0.22335071267531498</v>
      </c>
      <c r="O545">
        <v>-0.37275100535707684</v>
      </c>
      <c r="P545" s="11">
        <v>0.52050222330988927</v>
      </c>
      <c r="Q545" t="s">
        <v>39</v>
      </c>
      <c r="R545" t="s">
        <v>248</v>
      </c>
    </row>
    <row r="546" spans="4:18" x14ac:dyDescent="0.2">
      <c r="D546" s="1">
        <v>46010</v>
      </c>
      <c r="E546" s="2">
        <v>0.875</v>
      </c>
      <c r="F546" t="s">
        <v>12</v>
      </c>
      <c r="G546">
        <f>VLOOKUP(Table4[[#This Row],[Home]],'NHL Model'!$A$6:$B$38,2,FALSE)</f>
        <v>0.99866683349964291</v>
      </c>
      <c r="H546" t="s">
        <v>40</v>
      </c>
      <c r="I546">
        <f>VLOOKUP(Table4[[#This Row],[Visitor]],'NHL Model'!$A$6:$B$38,2,FALSE)</f>
        <v>-0.58845147248022256</v>
      </c>
      <c r="J546">
        <f>($B$1+Table4[[#This Row],[Home Differential]])-Table4[[#This Row],[Away Differential]]</f>
        <v>1.7167252917913896</v>
      </c>
      <c r="K546" t="str">
        <f>IF(Table4[[#This Row],[HomeIce Differential]]&gt;0,Table4[[#This Row],[Home]],Table4[[#This Row],[Visitor]])</f>
        <v>Colorado Avalanche</v>
      </c>
      <c r="L5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0.81261243094976776</v>
      </c>
      <c r="M546" t="str">
        <f>IF(OR((NHL2025_26Results[[#This Row],[Winning Team]]="")),"-",IF(Table4[[#This Row],[Predicted Winner]]=NHL2025_26Results[[#This Row],[Winning Team]],"YES","NO"))</f>
        <v>YES</v>
      </c>
      <c r="N546">
        <f>IF(Table4[[#This Row],[Adjusted Correct]]="-", "",IF(Table4[[#This Row],[Adjusted Correct]]="YES",(Table4[[#This Row],[Strength of Win]]-1)^2,(Table4[[#This Row],[Strength of Win]]-0)^2))</f>
        <v>3.5114101034555555E-2</v>
      </c>
      <c r="O546">
        <v>1.845384622256238</v>
      </c>
      <c r="P546" s="11">
        <v>0.87264123754523415</v>
      </c>
      <c r="Q546" t="s">
        <v>12</v>
      </c>
      <c r="R546" t="s">
        <v>248</v>
      </c>
    </row>
    <row r="547" spans="4:18" x14ac:dyDescent="0.2">
      <c r="D547" s="1">
        <v>46010</v>
      </c>
      <c r="E547" s="2">
        <v>0.79166666666666663</v>
      </c>
      <c r="F547" t="s">
        <v>11</v>
      </c>
      <c r="G547">
        <f>VLOOKUP(Table4[[#This Row],[Home]],'NHL Model'!$A$6:$B$38,2,FALSE)</f>
        <v>-0.55695213126481558</v>
      </c>
      <c r="H547" t="s">
        <v>25</v>
      </c>
      <c r="I547">
        <f>VLOOKUP(Table4[[#This Row],[Visitor]],'NHL Model'!$A$6:$B$38,2,FALSE)</f>
        <v>0.2324942014830165</v>
      </c>
      <c r="J547">
        <f>($B$1+Table4[[#This Row],[Home Differential]])-Table4[[#This Row],[Away Differential]]</f>
        <v>-0.65983934693630797</v>
      </c>
      <c r="K547" t="str">
        <f>IF(Table4[[#This Row],[HomeIce Differential]]&gt;0,Table4[[#This Row],[Home]],Table4[[#This Row],[Visitor]])</f>
        <v>Carolina Hurricanes</v>
      </c>
      <c r="L5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0.59062483695334822</v>
      </c>
      <c r="M547" t="str">
        <f>IF(OR((NHL2025_26Results[[#This Row],[Winning Team]]="")),"-",IF(Table4[[#This Row],[Predicted Winner]]=NHL2025_26Results[[#This Row],[Winning Team]],"YES","NO"))</f>
        <v>NO</v>
      </c>
      <c r="N547">
        <f>IF(Table4[[#This Row],[Adjusted Correct]]="-", "",IF(Table4[[#This Row],[Adjusted Correct]]="YES",(Table4[[#This Row],[Strength of Win]]-1)^2,(Table4[[#This Row],[Strength of Win]]-0)^2))</f>
        <v>0.34883769802616915</v>
      </c>
      <c r="O547">
        <v>-0.47030559725133625</v>
      </c>
      <c r="P547" s="11">
        <v>0.59876594630700064</v>
      </c>
      <c r="Q547" t="s">
        <v>25</v>
      </c>
      <c r="R547" t="s">
        <v>249</v>
      </c>
    </row>
    <row r="548" spans="4:18" x14ac:dyDescent="0.2">
      <c r="D548" s="1">
        <v>46010</v>
      </c>
      <c r="E548" s="2">
        <v>0.79166666666666663</v>
      </c>
      <c r="F548" t="s">
        <v>30</v>
      </c>
      <c r="G548">
        <f>VLOOKUP(Table4[[#This Row],[Home]],'NHL Model'!$A$6:$B$38,2,FALSE)</f>
        <v>-0.18630462558229716</v>
      </c>
      <c r="H548" t="s">
        <v>38</v>
      </c>
      <c r="I548">
        <f>VLOOKUP(Table4[[#This Row],[Visitor]],'NHL Model'!$A$6:$B$38,2,FALSE)</f>
        <v>-1.3920033028857945</v>
      </c>
      <c r="J548">
        <f>($B$1+Table4[[#This Row],[Home Differential]])-Table4[[#This Row],[Away Differential]]</f>
        <v>1.3353056631150215</v>
      </c>
      <c r="K548" t="str">
        <f>IF(Table4[[#This Row],[HomeIce Differential]]&gt;0,Table4[[#This Row],[Home]],Table4[[#This Row],[Visitor]])</f>
        <v>New York Islanders</v>
      </c>
      <c r="L5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0.70396325595874543</v>
      </c>
      <c r="M548" t="str">
        <f>IF(OR((NHL2025_26Results[[#This Row],[Winning Team]]="")),"-",IF(Table4[[#This Row],[Predicted Winner]]=NHL2025_26Results[[#This Row],[Winning Team]],"YES","NO"))</f>
        <v>NO</v>
      </c>
      <c r="N548">
        <f>IF(Table4[[#This Row],[Adjusted Correct]]="-", "",IF(Table4[[#This Row],[Adjusted Correct]]="YES",(Table4[[#This Row],[Strength of Win]]-1)^2,(Table4[[#This Row],[Strength of Win]]-0)^2))</f>
        <v>0.49556426574003815</v>
      </c>
      <c r="O548">
        <v>1.0329205772845387</v>
      </c>
      <c r="P548" s="11">
        <v>0.64910691480203775</v>
      </c>
      <c r="Q548" t="s">
        <v>30</v>
      </c>
      <c r="R548" t="s">
        <v>249</v>
      </c>
    </row>
    <row r="549" spans="4:18" x14ac:dyDescent="0.2">
      <c r="D549" s="1">
        <v>46010</v>
      </c>
      <c r="E549" s="2">
        <v>0.875</v>
      </c>
      <c r="F549" t="s">
        <v>55</v>
      </c>
      <c r="G549">
        <f>VLOOKUP(Table4[[#This Row],[Home]],'NHL Model'!$A$6:$B$38,2,FALSE)</f>
        <v>8.4094725828611647E-2</v>
      </c>
      <c r="H549" t="s">
        <v>24</v>
      </c>
      <c r="I549">
        <f>VLOOKUP(Table4[[#This Row],[Visitor]],'NHL Model'!$A$6:$B$38,2,FALSE)</f>
        <v>-0.74510803532792402</v>
      </c>
      <c r="J549">
        <f>($B$1+Table4[[#This Row],[Home Differential]])-Table4[[#This Row],[Away Differential]]</f>
        <v>0.95880974696805976</v>
      </c>
      <c r="K549" t="str">
        <f>IF(Table4[[#This Row],[HomeIce Differential]]&gt;0,Table4[[#This Row],[Home]],Table4[[#This Row],[Visitor]])</f>
        <v>Utah Mammoth</v>
      </c>
      <c r="L5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0.65605555020443662</v>
      </c>
      <c r="M549" t="str">
        <f>IF(OR((NHL2025_26Results[[#This Row],[Winning Team]]="")),"-",IF(Table4[[#This Row],[Predicted Winner]]=NHL2025_26Results[[#This Row],[Winning Team]],"YES","NO"))</f>
        <v>NO</v>
      </c>
      <c r="N549">
        <f>IF(Table4[[#This Row],[Adjusted Correct]]="-", "",IF(Table4[[#This Row],[Adjusted Correct]]="YES",(Table4[[#This Row],[Strength of Win]]-1)^2,(Table4[[#This Row],[Strength of Win]]-0)^2))</f>
        <v>0.43040888495404606</v>
      </c>
      <c r="O549">
        <v>0.31390061627289817</v>
      </c>
      <c r="P549" s="11">
        <v>0.55639972322354403</v>
      </c>
      <c r="Q549" t="s">
        <v>55</v>
      </c>
      <c r="R549" t="s">
        <v>249</v>
      </c>
    </row>
    <row r="550" spans="4:18" x14ac:dyDescent="0.2">
      <c r="D550" s="1">
        <v>46011</v>
      </c>
      <c r="E550" s="2">
        <v>0.91666666666666663</v>
      </c>
      <c r="F550" t="s">
        <v>31</v>
      </c>
      <c r="G550">
        <f>VLOOKUP(Table4[[#This Row],[Home]],'NHL Model'!$A$6:$B$38,2,FALSE)</f>
        <v>-0.46360583111358089</v>
      </c>
      <c r="H550" t="s">
        <v>28</v>
      </c>
      <c r="I550">
        <f>VLOOKUP(Table4[[#This Row],[Visitor]],'NHL Model'!$A$6:$B$38,2,FALSE)</f>
        <v>-0.28156479873410767</v>
      </c>
      <c r="J550">
        <f>($B$1+Table4[[#This Row],[Home Differential]])-Table4[[#This Row],[Away Differential]]</f>
        <v>-5.2434046567949144E-2</v>
      </c>
      <c r="K550" t="str">
        <f>IF(Table4[[#This Row],[HomeIce Differential]]&gt;0,Table4[[#This Row],[Home]],Table4[[#This Row],[Visitor]])</f>
        <v>Columbus Blue Jackets</v>
      </c>
      <c r="L5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0.42588802180924068</v>
      </c>
      <c r="M550" t="str">
        <f>IF(OR((NHL2025_26Results[[#This Row],[Winning Team]]="")),"-",IF(Table4[[#This Row],[Predicted Winner]]=NHL2025_26Results[[#This Row],[Winning Team]],"YES","NO"))</f>
        <v>NO</v>
      </c>
      <c r="N550">
        <f>IF(Table4[[#This Row],[Adjusted Correct]]="-", "",IF(Table4[[#This Row],[Adjusted Correct]]="YES",(Table4[[#This Row],[Strength of Win]]-1)^2,(Table4[[#This Row],[Strength of Win]]-0)^2))</f>
        <v>0.18138060712058826</v>
      </c>
      <c r="O550">
        <v>0.68293624985667667</v>
      </c>
      <c r="P550" s="11">
        <v>0.67857711061993431</v>
      </c>
      <c r="Q550" t="s">
        <v>31</v>
      </c>
      <c r="R550" t="s">
        <v>248</v>
      </c>
    </row>
    <row r="551" spans="4:18" x14ac:dyDescent="0.2">
      <c r="D551" s="1">
        <v>46011</v>
      </c>
      <c r="E551" s="2">
        <v>0.79166666666666663</v>
      </c>
      <c r="F551" t="s">
        <v>21</v>
      </c>
      <c r="G551">
        <f>VLOOKUP(Table4[[#This Row],[Home]],'NHL Model'!$A$6:$B$38,2,FALSE)</f>
        <v>-0.10253061303059285</v>
      </c>
      <c r="H551" t="s">
        <v>38</v>
      </c>
      <c r="I551">
        <f>VLOOKUP(Table4[[#This Row],[Visitor]],'NHL Model'!$A$6:$B$38,2,FALSE)</f>
        <v>-1.3920033028857945</v>
      </c>
      <c r="J551">
        <f>($B$1+Table4[[#This Row],[Home Differential]])-Table4[[#This Row],[Away Differential]]</f>
        <v>1.4190796756667259</v>
      </c>
      <c r="K551" t="str">
        <f>IF(Table4[[#This Row],[HomeIce Differential]]&gt;0,Table4[[#This Row],[Home]],Table4[[#This Row],[Visitor]])</f>
        <v>Boston Bruins</v>
      </c>
      <c r="L5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0.75106991954739399</v>
      </c>
      <c r="M551" t="str">
        <f>IF(OR((NHL2025_26Results[[#This Row],[Winning Team]]="")),"-",IF(Table4[[#This Row],[Predicted Winner]]=NHL2025_26Results[[#This Row],[Winning Team]],"YES","NO"))</f>
        <v>NO</v>
      </c>
      <c r="N551">
        <f>IF(Table4[[#This Row],[Adjusted Correct]]="-", "",IF(Table4[[#This Row],[Adjusted Correct]]="YES",(Table4[[#This Row],[Strength of Win]]-1)^2,(Table4[[#This Row],[Strength of Win]]-0)^2))</f>
        <v>0.56410602404892884</v>
      </c>
      <c r="O551">
        <v>0.74940061261023139</v>
      </c>
      <c r="P551" s="11">
        <v>0.64600415172827763</v>
      </c>
      <c r="Q551" t="s">
        <v>21</v>
      </c>
      <c r="R551" t="s">
        <v>249</v>
      </c>
    </row>
    <row r="552" spans="4:18" x14ac:dyDescent="0.2">
      <c r="D552" s="1">
        <v>46011</v>
      </c>
      <c r="E552" s="2">
        <v>0.70833333333333337</v>
      </c>
      <c r="F552" t="s">
        <v>23</v>
      </c>
      <c r="G552">
        <f>VLOOKUP(Table4[[#This Row],[Home]],'NHL Model'!$A$6:$B$38,2,FALSE)</f>
        <v>8.1543966060426461E-3</v>
      </c>
      <c r="H552" t="s">
        <v>30</v>
      </c>
      <c r="I552">
        <f>VLOOKUP(Table4[[#This Row],[Visitor]],'NHL Model'!$A$6:$B$38,2,FALSE)</f>
        <v>-0.18630462558229716</v>
      </c>
      <c r="J552">
        <f>($B$1+Table4[[#This Row],[Home Differential]])-Table4[[#This Row],[Away Differential]]</f>
        <v>0.3240660079998639</v>
      </c>
      <c r="K552" t="str">
        <f>IF(Table4[[#This Row],[HomeIce Differential]]&gt;0,Table4[[#This Row],[Home]],Table4[[#This Row],[Visitor]])</f>
        <v>Buffalo Sabres</v>
      </c>
      <c r="L5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0.56874970635954825</v>
      </c>
      <c r="M552" t="str">
        <f>IF(OR((NHL2025_26Results[[#This Row],[Winning Team]]="")),"-",IF(Table4[[#This Row],[Predicted Winner]]=NHL2025_26Results[[#This Row],[Winning Team]],"YES","NO"))</f>
        <v>YES</v>
      </c>
      <c r="N552">
        <f>IF(Table4[[#This Row],[Adjusted Correct]]="-", "",IF(Table4[[#This Row],[Adjusted Correct]]="YES",(Table4[[#This Row],[Strength of Win]]-1)^2,(Table4[[#This Row],[Strength of Win]]-0)^2))</f>
        <v>0.18597681576497585</v>
      </c>
      <c r="O552">
        <v>-0.44814972742645337</v>
      </c>
      <c r="P552" s="11">
        <v>0.54095285292918349</v>
      </c>
      <c r="Q552" t="s">
        <v>30</v>
      </c>
      <c r="R552" t="s">
        <v>249</v>
      </c>
    </row>
    <row r="553" spans="4:18" x14ac:dyDescent="0.2">
      <c r="D553" s="1">
        <v>46011</v>
      </c>
      <c r="E553" s="2">
        <v>0.91666666666666663</v>
      </c>
      <c r="F553" t="s">
        <v>16</v>
      </c>
      <c r="G553">
        <f>VLOOKUP(Table4[[#This Row],[Home]],'NHL Model'!$A$6:$B$38,2,FALSE)</f>
        <v>-0.89031221864884547</v>
      </c>
      <c r="H553" t="s">
        <v>20</v>
      </c>
      <c r="I553">
        <f>VLOOKUP(Table4[[#This Row],[Visitor]],'NHL Model'!$A$6:$B$38,2,FALSE)</f>
        <v>-0.16296463421387539</v>
      </c>
      <c r="J553">
        <f>($B$1+Table4[[#This Row],[Home Differential]])-Table4[[#This Row],[Away Differential]]</f>
        <v>-0.59774059862344597</v>
      </c>
      <c r="K553" t="str">
        <f>IF(Table4[[#This Row],[HomeIce Differential]]&gt;0,Table4[[#This Row],[Home]],Table4[[#This Row],[Visitor]])</f>
        <v>Vegas Golden Knights</v>
      </c>
      <c r="L5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0.53913878621174038</v>
      </c>
      <c r="M553" t="str">
        <f>IF(OR((NHL2025_26Results[[#This Row],[Winning Team]]="")),"-",IF(Table4[[#This Row],[Predicted Winner]]=NHL2025_26Results[[#This Row],[Winning Team]],"YES","NO"))</f>
        <v>NO</v>
      </c>
      <c r="N553">
        <f>IF(Table4[[#This Row],[Adjusted Correct]]="-", "",IF(Table4[[#This Row],[Adjusted Correct]]="YES",(Table4[[#This Row],[Strength of Win]]-1)^2,(Table4[[#This Row],[Strength of Win]]-0)^2))</f>
        <v>0.2906706307978687</v>
      </c>
      <c r="O553">
        <v>-0.64668318895765031</v>
      </c>
      <c r="P553" s="11">
        <v>0.58543519554725798</v>
      </c>
      <c r="Q553" t="s">
        <v>20</v>
      </c>
      <c r="R553" t="s">
        <v>249</v>
      </c>
    </row>
    <row r="554" spans="4:18" x14ac:dyDescent="0.2">
      <c r="D554" s="1">
        <v>46011</v>
      </c>
      <c r="E554" s="2">
        <v>0.75</v>
      </c>
      <c r="F554" t="s">
        <v>11</v>
      </c>
      <c r="G554">
        <f>VLOOKUP(Table4[[#This Row],[Home]],'NHL Model'!$A$6:$B$38,2,FALSE)</f>
        <v>-0.55695213126481558</v>
      </c>
      <c r="H554" t="s">
        <v>35</v>
      </c>
      <c r="I554">
        <f>VLOOKUP(Table4[[#This Row],[Visitor]],'NHL Model'!$A$6:$B$38,2,FALSE)</f>
        <v>-1.3128572733047907</v>
      </c>
      <c r="J554">
        <f>($B$1+Table4[[#This Row],[Home Differential]])-Table4[[#This Row],[Away Differential]]</f>
        <v>0.88551212785149924</v>
      </c>
      <c r="K554" t="str">
        <f>IF(Table4[[#This Row],[HomeIce Differential]]&gt;0,Table4[[#This Row],[Home]],Table4[[#This Row],[Visitor]])</f>
        <v>Florida Panthers</v>
      </c>
      <c r="L5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0.639437580396928</v>
      </c>
      <c r="M554" t="str">
        <f>IF(OR((NHL2025_26Results[[#This Row],[Winning Team]]="")),"-",IF(Table4[[#This Row],[Predicted Winner]]=NHL2025_26Results[[#This Row],[Winning Team]],"YES","NO"))</f>
        <v>NO</v>
      </c>
      <c r="N554">
        <f>IF(Table4[[#This Row],[Adjusted Correct]]="-", "",IF(Table4[[#This Row],[Adjusted Correct]]="YES",(Table4[[#This Row],[Strength of Win]]-1)^2,(Table4[[#This Row],[Strength of Win]]-0)^2))</f>
        <v>0.40888041922387774</v>
      </c>
      <c r="O554">
        <v>1.3951812960335386</v>
      </c>
      <c r="P554" s="11">
        <v>0.72834448018024245</v>
      </c>
      <c r="Q554" t="s">
        <v>11</v>
      </c>
      <c r="R554" t="s">
        <v>249</v>
      </c>
    </row>
    <row r="555" spans="4:18" x14ac:dyDescent="0.2">
      <c r="D555" s="1">
        <v>46011</v>
      </c>
      <c r="E555" s="2">
        <v>0.625</v>
      </c>
      <c r="F555" t="s">
        <v>34</v>
      </c>
      <c r="G555">
        <f>VLOOKUP(Table4[[#This Row],[Home]],'NHL Model'!$A$6:$B$38,2,FALSE)</f>
        <v>6.0485283743665949E-2</v>
      </c>
      <c r="H555" t="s">
        <v>17</v>
      </c>
      <c r="I555">
        <f>VLOOKUP(Table4[[#This Row],[Visitor]],'NHL Model'!$A$6:$B$38,2,FALSE)</f>
        <v>-0.36462594951491906</v>
      </c>
      <c r="J555">
        <f>($B$1+Table4[[#This Row],[Home Differential]])-Table4[[#This Row],[Away Differential]]</f>
        <v>0.5547182190701091</v>
      </c>
      <c r="K555" t="str">
        <f>IF(Table4[[#This Row],[HomeIce Differential]]&gt;0,Table4[[#This Row],[Home]],Table4[[#This Row],[Visitor]])</f>
        <v>Minnesota Wild</v>
      </c>
      <c r="L5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0.61423950541493777</v>
      </c>
      <c r="M555" t="str">
        <f>IF(OR((NHL2025_26Results[[#This Row],[Winning Team]]="")),"-",IF(Table4[[#This Row],[Predicted Winner]]=NHL2025_26Results[[#This Row],[Winning Team]],"YES","NO"))</f>
        <v>YES</v>
      </c>
      <c r="N555">
        <f>IF(Table4[[#This Row],[Adjusted Correct]]="-", "",IF(Table4[[#This Row],[Adjusted Correct]]="YES",(Table4[[#This Row],[Strength of Win]]-1)^2,(Table4[[#This Row],[Strength of Win]]-0)^2))</f>
        <v>0.14881115918251184</v>
      </c>
      <c r="O555">
        <v>0.66663197655621553</v>
      </c>
      <c r="P555" s="11">
        <v>0.65614392479145744</v>
      </c>
      <c r="Q555" t="s">
        <v>34</v>
      </c>
      <c r="R555" t="s">
        <v>248</v>
      </c>
    </row>
    <row r="556" spans="4:18" x14ac:dyDescent="0.2">
      <c r="D556" s="1">
        <v>46011</v>
      </c>
      <c r="E556" s="2">
        <v>0.79166666666666663</v>
      </c>
      <c r="F556" t="s">
        <v>18</v>
      </c>
      <c r="G556">
        <f>VLOOKUP(Table4[[#This Row],[Home]],'NHL Model'!$A$6:$B$38,2,FALSE)</f>
        <v>-8.6274676766085606E-2</v>
      </c>
      <c r="H556" t="s">
        <v>14</v>
      </c>
      <c r="I556">
        <f>VLOOKUP(Table4[[#This Row],[Visitor]],'NHL Model'!$A$6:$B$38,2,FALSE)</f>
        <v>3.6349513460996066E-5</v>
      </c>
      <c r="J556">
        <f>($B$1+Table4[[#This Row],[Home Differential]])-Table4[[#This Row],[Away Differential]]</f>
        <v>4.3295959531977506E-2</v>
      </c>
      <c r="K556" t="str">
        <f>IF(Table4[[#This Row],[HomeIce Differential]]&gt;0,Table4[[#This Row],[Home]],Table4[[#This Row],[Visitor]])</f>
        <v>Montreal Canadiens</v>
      </c>
      <c r="L5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0.50486187068636645</v>
      </c>
      <c r="M556" t="str">
        <f>IF(OR((NHL2025_26Results[[#This Row],[Winning Team]]="")),"-",IF(Table4[[#This Row],[Predicted Winner]]=NHL2025_26Results[[#This Row],[Winning Team]],"YES","NO"))</f>
        <v>YES</v>
      </c>
      <c r="N556">
        <f>IF(Table4[[#This Row],[Adjusted Correct]]="-", "",IF(Table4[[#This Row],[Adjusted Correct]]="YES",(Table4[[#This Row],[Strength of Win]]-1)^2,(Table4[[#This Row],[Strength of Win]]-0)^2))</f>
        <v>0.24516176710020449</v>
      </c>
      <c r="O556">
        <v>-0.10737844539680398</v>
      </c>
      <c r="P556" s="11">
        <v>0.49326097355079418</v>
      </c>
      <c r="Q556" t="s">
        <v>14</v>
      </c>
      <c r="R556" t="s">
        <v>249</v>
      </c>
    </row>
    <row r="557" spans="4:18" x14ac:dyDescent="0.2">
      <c r="D557" s="1">
        <v>46011</v>
      </c>
      <c r="E557" s="2">
        <v>0.79166666666666663</v>
      </c>
      <c r="F557" t="s">
        <v>29</v>
      </c>
      <c r="G557">
        <f>VLOOKUP(Table4[[#This Row],[Home]],'NHL Model'!$A$6:$B$38,2,FALSE)</f>
        <v>-0.82056481120798741</v>
      </c>
      <c r="H557" t="s">
        <v>19</v>
      </c>
      <c r="I557">
        <f>VLOOKUP(Table4[[#This Row],[Visitor]],'NHL Model'!$A$6:$B$38,2,FALSE)</f>
        <v>-0.44228056828684137</v>
      </c>
      <c r="J557">
        <f>($B$1+Table4[[#This Row],[Home Differential]])-Table4[[#This Row],[Away Differential]]</f>
        <v>-0.24867725710962196</v>
      </c>
      <c r="K557" t="str">
        <f>IF(Table4[[#This Row],[HomeIce Differential]]&gt;0,Table4[[#This Row],[Home]],Table4[[#This Row],[Visitor]])</f>
        <v>Toronto Maple Leafs</v>
      </c>
      <c r="L5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0.48792493063502396</v>
      </c>
      <c r="M557" t="str">
        <f>IF(OR((NHL2025_26Results[[#This Row],[Winning Team]]="")),"-",IF(Table4[[#This Row],[Predicted Winner]]=NHL2025_26Results[[#This Row],[Winning Team]],"YES","NO"))</f>
        <v>NO</v>
      </c>
      <c r="N557">
        <f>IF(Table4[[#This Row],[Adjusted Correct]]="-", "",IF(Table4[[#This Row],[Adjusted Correct]]="YES",(Table4[[#This Row],[Strength of Win]]-1)^2,(Table4[[#This Row],[Strength of Win]]-0)^2))</f>
        <v>0.23807073793519293</v>
      </c>
      <c r="O557">
        <v>-0.41104953535385647</v>
      </c>
      <c r="P557" s="11">
        <v>0.50781895516504072</v>
      </c>
      <c r="Q557" t="s">
        <v>19</v>
      </c>
      <c r="R557" t="s">
        <v>249</v>
      </c>
    </row>
    <row r="558" spans="4:18" x14ac:dyDescent="0.2">
      <c r="D558" s="1">
        <v>46011</v>
      </c>
      <c r="E558" s="2">
        <v>0.52083333333333337</v>
      </c>
      <c r="F558" t="s">
        <v>15</v>
      </c>
      <c r="G558">
        <f>VLOOKUP(Table4[[#This Row],[Home]],'NHL Model'!$A$6:$B$38,2,FALSE)</f>
        <v>-0.73651915476403329</v>
      </c>
      <c r="H558" t="s">
        <v>27</v>
      </c>
      <c r="I558">
        <f>VLOOKUP(Table4[[#This Row],[Visitor]],'NHL Model'!$A$6:$B$38,2,FALSE)</f>
        <v>-0.55097933929175691</v>
      </c>
      <c r="J558">
        <f>($B$1+Table4[[#This Row],[Home Differential]])-Table4[[#This Row],[Away Differential]]</f>
        <v>-5.5932829660752303E-2</v>
      </c>
      <c r="K558" t="str">
        <f>IF(Table4[[#This Row],[HomeIce Differential]]&gt;0,Table4[[#This Row],[Home]],Table4[[#This Row],[Visitor]])</f>
        <v>Philadelphia Flyers</v>
      </c>
      <c r="L5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0.46628091368970104</v>
      </c>
      <c r="M558" t="str">
        <f>IF(OR((NHL2025_26Results[[#This Row],[Winning Team]]="")),"-",IF(Table4[[#This Row],[Predicted Winner]]=NHL2025_26Results[[#This Row],[Winning Team]],"YES","NO"))</f>
        <v>NO</v>
      </c>
      <c r="N558">
        <f>IF(Table4[[#This Row],[Adjusted Correct]]="-", "",IF(Table4[[#This Row],[Adjusted Correct]]="YES",(Table4[[#This Row],[Strength of Win]]-1)^2,(Table4[[#This Row],[Strength of Win]]-0)^2))</f>
        <v>0.21741789047130242</v>
      </c>
      <c r="O558">
        <v>-0.18513154849409541</v>
      </c>
      <c r="P558" s="11">
        <v>0.50230628763380714</v>
      </c>
      <c r="Q558" t="s">
        <v>27</v>
      </c>
      <c r="R558" t="s">
        <v>249</v>
      </c>
    </row>
    <row r="559" spans="4:18" x14ac:dyDescent="0.2">
      <c r="D559" s="1">
        <v>46011</v>
      </c>
      <c r="E559" s="2">
        <v>0.625</v>
      </c>
      <c r="F559" t="s">
        <v>36</v>
      </c>
      <c r="G559">
        <f>VLOOKUP(Table4[[#This Row],[Home]],'NHL Model'!$A$6:$B$38,2,FALSE)</f>
        <v>-0.19010748264223354</v>
      </c>
      <c r="H559" t="s">
        <v>10</v>
      </c>
      <c r="I559">
        <f>VLOOKUP(Table4[[#This Row],[Visitor]],'NHL Model'!$A$6:$B$38,2,FALSE)</f>
        <v>-0.92658078135875344</v>
      </c>
      <c r="J559">
        <f>($B$1+Table4[[#This Row],[Home Differential]])-Table4[[#This Row],[Away Differential]]</f>
        <v>0.86608028452804398</v>
      </c>
      <c r="K559" t="str">
        <f>IF(Table4[[#This Row],[HomeIce Differential]]&gt;0,Table4[[#This Row],[Home]],Table4[[#This Row],[Visitor]])</f>
        <v>Ottawa Senators</v>
      </c>
      <c r="L5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0.63725550358288729</v>
      </c>
      <c r="M559" t="str">
        <f>IF(OR((NHL2025_26Results[[#This Row],[Winning Team]]="")),"-",IF(Table4[[#This Row],[Predicted Winner]]=NHL2025_26Results[[#This Row],[Winning Team]],"YES","NO"))</f>
        <v>YES</v>
      </c>
      <c r="N559">
        <f>IF(Table4[[#This Row],[Adjusted Correct]]="-", "",IF(Table4[[#This Row],[Adjusted Correct]]="YES",(Table4[[#This Row],[Strength of Win]]-1)^2,(Table4[[#This Row],[Strength of Win]]-0)^2))</f>
        <v>0.13158356968090471</v>
      </c>
      <c r="O559">
        <v>0.51400401602390333</v>
      </c>
      <c r="P559" s="11">
        <v>0.59979604131102759</v>
      </c>
      <c r="Q559" t="s">
        <v>36</v>
      </c>
      <c r="R559" t="s">
        <v>248</v>
      </c>
    </row>
    <row r="560" spans="4:18" x14ac:dyDescent="0.2">
      <c r="D560" s="1">
        <v>46011</v>
      </c>
      <c r="E560" s="2">
        <v>0.91666666666666663</v>
      </c>
      <c r="F560" t="s">
        <v>33</v>
      </c>
      <c r="G560">
        <f>VLOOKUP(Table4[[#This Row],[Home]],'NHL Model'!$A$6:$B$38,2,FALSE)</f>
        <v>-0.65236582493376272</v>
      </c>
      <c r="H560" t="s">
        <v>32</v>
      </c>
      <c r="I560">
        <f>VLOOKUP(Table4[[#This Row],[Visitor]],'NHL Model'!$A$6:$B$38,2,FALSE)</f>
        <v>-0.48236715437805205</v>
      </c>
      <c r="J560">
        <f>($B$1+Table4[[#This Row],[Home Differential]])-Table4[[#This Row],[Away Differential]]</f>
        <v>-4.0391684744186584E-2</v>
      </c>
      <c r="K560" t="str">
        <f>IF(Table4[[#This Row],[HomeIce Differential]]&gt;0,Table4[[#This Row],[Home]],Table4[[#This Row],[Visitor]])</f>
        <v>Seattle Kraken</v>
      </c>
      <c r="L5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0.46453573844195956</v>
      </c>
      <c r="M560" t="str">
        <f>IF(OR((NHL2025_26Results[[#This Row],[Winning Team]]="")),"-",IF(Table4[[#This Row],[Predicted Winner]]=NHL2025_26Results[[#This Row],[Winning Team]],"YES","NO"))</f>
        <v>YES</v>
      </c>
      <c r="N560">
        <f>IF(Table4[[#This Row],[Adjusted Correct]]="-", "",IF(Table4[[#This Row],[Adjusted Correct]]="YES",(Table4[[#This Row],[Strength of Win]]-1)^2,(Table4[[#This Row],[Strength of Win]]-0)^2))</f>
        <v>0.28672197540589761</v>
      </c>
      <c r="O560">
        <v>0.57749533467588521</v>
      </c>
      <c r="P560" s="11">
        <v>0.6071822277894402</v>
      </c>
      <c r="Q560" t="s">
        <v>33</v>
      </c>
      <c r="R560" t="s">
        <v>249</v>
      </c>
    </row>
    <row r="561" spans="4:18" x14ac:dyDescent="0.2">
      <c r="D561" s="1">
        <v>46011</v>
      </c>
      <c r="E561" s="2">
        <v>0.79166666666666663</v>
      </c>
      <c r="F561" t="s">
        <v>37</v>
      </c>
      <c r="G561">
        <f>VLOOKUP(Table4[[#This Row],[Home]],'NHL Model'!$A$6:$B$38,2,FALSE)</f>
        <v>0.72108184732572844</v>
      </c>
      <c r="H561" t="s">
        <v>25</v>
      </c>
      <c r="I561">
        <f>VLOOKUP(Table4[[#This Row],[Visitor]],'NHL Model'!$A$6:$B$38,2,FALSE)</f>
        <v>0.2324942014830165</v>
      </c>
      <c r="J561">
        <f>($B$1+Table4[[#This Row],[Home Differential]])-Table4[[#This Row],[Away Differential]]</f>
        <v>0.61819463165423605</v>
      </c>
      <c r="K561" t="str">
        <f>IF(Table4[[#This Row],[HomeIce Differential]]&gt;0,Table4[[#This Row],[Home]],Table4[[#This Row],[Visitor]])</f>
        <v>Tampa Bay Lightning</v>
      </c>
      <c r="L5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0.60990086568563417</v>
      </c>
      <c r="M561" t="str">
        <f>IF(OR((NHL2025_26Results[[#This Row],[Winning Team]]="")),"-",IF(Table4[[#This Row],[Predicted Winner]]=NHL2025_26Results[[#This Row],[Winning Team]],"YES","NO"))</f>
        <v>YES</v>
      </c>
      <c r="N561">
        <f>IF(Table4[[#This Row],[Adjusted Correct]]="-", "",IF(Table4[[#This Row],[Adjusted Correct]]="YES",(Table4[[#This Row],[Strength of Win]]-1)^2,(Table4[[#This Row],[Strength of Win]]-0)^2))</f>
        <v>0.15217733459281763</v>
      </c>
      <c r="O561">
        <v>-3.2487550519498143E-2</v>
      </c>
      <c r="P561" s="11">
        <v>0.54887355288861217</v>
      </c>
      <c r="Q561" t="s">
        <v>25</v>
      </c>
      <c r="R561" t="s">
        <v>249</v>
      </c>
    </row>
    <row r="562" spans="4:18" x14ac:dyDescent="0.2">
      <c r="D562" s="1">
        <v>46011</v>
      </c>
      <c r="E562" s="2">
        <v>0.52083333333333337</v>
      </c>
      <c r="F562" t="s">
        <v>22</v>
      </c>
      <c r="G562">
        <f>VLOOKUP(Table4[[#This Row],[Home]],'NHL Model'!$A$6:$B$38,2,FALSE)</f>
        <v>-0.11977593183651415</v>
      </c>
      <c r="H562" t="s">
        <v>26</v>
      </c>
      <c r="I562">
        <f>VLOOKUP(Table4[[#This Row],[Visitor]],'NHL Model'!$A$6:$B$38,2,FALSE)</f>
        <v>-0.33113778518110382</v>
      </c>
      <c r="J562">
        <f>($B$1+Table4[[#This Row],[Home Differential]])-Table4[[#This Row],[Away Differential]]</f>
        <v>0.34096883915611376</v>
      </c>
      <c r="K562" t="str">
        <f>IF(Table4[[#This Row],[HomeIce Differential]]&gt;0,Table4[[#This Row],[Home]],Table4[[#This Row],[Visitor]])</f>
        <v>Washington Capitals</v>
      </c>
      <c r="L5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0.55841254820934894</v>
      </c>
      <c r="M562" t="str">
        <f>IF(OR((NHL2025_26Results[[#This Row],[Winning Team]]="")),"-",IF(Table4[[#This Row],[Predicted Winner]]=NHL2025_26Results[[#This Row],[Winning Team]],"YES","NO"))</f>
        <v>NO</v>
      </c>
      <c r="N562">
        <f>IF(Table4[[#This Row],[Adjusted Correct]]="-", "",IF(Table4[[#This Row],[Adjusted Correct]]="YES",(Table4[[#This Row],[Strength of Win]]-1)^2,(Table4[[#This Row],[Strength of Win]]-0)^2))</f>
        <v>0.31182457399765845</v>
      </c>
      <c r="O562">
        <v>1.0986292217005231</v>
      </c>
      <c r="P562" s="11">
        <v>0.66362433301131429</v>
      </c>
      <c r="Q562" t="s">
        <v>22</v>
      </c>
      <c r="R562" t="s">
        <v>249</v>
      </c>
    </row>
    <row r="563" spans="4:18" x14ac:dyDescent="0.2">
      <c r="D563" s="1">
        <v>46012</v>
      </c>
      <c r="E563" s="2">
        <v>0.79166666666666663</v>
      </c>
      <c r="F563" t="s">
        <v>21</v>
      </c>
      <c r="G563">
        <f>VLOOKUP(Table4[[#This Row],[Home]],'NHL Model'!$A$6:$B$38,2,FALSE)</f>
        <v>-0.10253061303059285</v>
      </c>
      <c r="H563" t="s">
        <v>36</v>
      </c>
      <c r="I563">
        <f>VLOOKUP(Table4[[#This Row],[Visitor]],'NHL Model'!$A$6:$B$38,2,FALSE)</f>
        <v>-0.19010748264223354</v>
      </c>
      <c r="J563">
        <f>($B$1+Table4[[#This Row],[Home Differential]])-Table4[[#This Row],[Away Differential]]</f>
        <v>0.21718385542316479</v>
      </c>
      <c r="K563" t="str">
        <f>IF(Table4[[#This Row],[HomeIce Differential]]&gt;0,Table4[[#This Row],[Home]],Table4[[#This Row],[Visitor]])</f>
        <v>Boston Bruins</v>
      </c>
      <c r="L5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0.60438841480009342</v>
      </c>
      <c r="M563" t="str">
        <f>IF(OR((NHL2025_26Results[[#This Row],[Winning Team]]="")),"-",IF(Table4[[#This Row],[Predicted Winner]]=NHL2025_26Results[[#This Row],[Winning Team]],"YES","NO"))</f>
        <v>NO</v>
      </c>
      <c r="N563">
        <f>IF(Table4[[#This Row],[Adjusted Correct]]="-", "",IF(Table4[[#This Row],[Adjusted Correct]]="YES",(Table4[[#This Row],[Strength of Win]]-1)^2,(Table4[[#This Row],[Strength of Win]]-0)^2))</f>
        <v>0.36528535594456979</v>
      </c>
      <c r="O563">
        <v>0.21077174225046777</v>
      </c>
      <c r="P563" s="11">
        <v>0.58129984045165495</v>
      </c>
      <c r="Q563" t="s">
        <v>21</v>
      </c>
      <c r="R563" t="s">
        <v>249</v>
      </c>
    </row>
    <row r="564" spans="4:18" x14ac:dyDescent="0.2">
      <c r="D564" s="1">
        <v>46012</v>
      </c>
      <c r="E564" s="2">
        <v>0.79166666666666663</v>
      </c>
      <c r="F564" t="s">
        <v>39</v>
      </c>
      <c r="G564">
        <f>VLOOKUP(Table4[[#This Row],[Home]],'NHL Model'!$A$6:$B$38,2,FALSE)</f>
        <v>0.21708030788125537</v>
      </c>
      <c r="H564" t="s">
        <v>19</v>
      </c>
      <c r="I564">
        <f>VLOOKUP(Table4[[#This Row],[Visitor]],'NHL Model'!$A$6:$B$38,2,FALSE)</f>
        <v>-0.44228056828684137</v>
      </c>
      <c r="J564">
        <f>($B$1+Table4[[#This Row],[Home Differential]])-Table4[[#This Row],[Away Differential]]</f>
        <v>0.78896786197962088</v>
      </c>
      <c r="K564" t="str">
        <f>IF(Table4[[#This Row],[HomeIce Differential]]&gt;0,Table4[[#This Row],[Home]],Table4[[#This Row],[Visitor]])</f>
        <v>Dallas Stars</v>
      </c>
      <c r="L5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0.66643445682595859</v>
      </c>
      <c r="M564" t="str">
        <f>IF(OR((NHL2025_26Results[[#This Row],[Winning Team]]="")),"-",IF(Table4[[#This Row],[Predicted Winner]]=NHL2025_26Results[[#This Row],[Winning Team]],"YES","NO"))</f>
        <v>YES</v>
      </c>
      <c r="N564">
        <f>IF(Table4[[#This Row],[Adjusted Correct]]="-", "",IF(Table4[[#This Row],[Adjusted Correct]]="YES",(Table4[[#This Row],[Strength of Win]]-1)^2,(Table4[[#This Row],[Strength of Win]]-0)^2))</f>
        <v>0.11126597159299328</v>
      </c>
      <c r="O564">
        <v>1.0854020198444816</v>
      </c>
      <c r="P564" s="11">
        <v>0.70375220318510967</v>
      </c>
      <c r="Q564" t="s">
        <v>39</v>
      </c>
      <c r="R564" t="s">
        <v>248</v>
      </c>
    </row>
    <row r="565" spans="4:18" x14ac:dyDescent="0.2">
      <c r="D565" s="1">
        <v>46012</v>
      </c>
      <c r="E565" s="2">
        <v>0.54166666666666663</v>
      </c>
      <c r="F565" t="s">
        <v>26</v>
      </c>
      <c r="G565">
        <f>VLOOKUP(Table4[[#This Row],[Home]],'NHL Model'!$A$6:$B$38,2,FALSE)</f>
        <v>-0.33113778518110382</v>
      </c>
      <c r="H565" t="s">
        <v>22</v>
      </c>
      <c r="I565">
        <f>VLOOKUP(Table4[[#This Row],[Visitor]],'NHL Model'!$A$6:$B$38,2,FALSE)</f>
        <v>-0.11977593183651415</v>
      </c>
      <c r="J565">
        <f>($B$1+Table4[[#This Row],[Home Differential]])-Table4[[#This Row],[Away Differential]]</f>
        <v>-8.1754867533065559E-2</v>
      </c>
      <c r="K565" t="str">
        <f>IF(Table4[[#This Row],[HomeIce Differential]]&gt;0,Table4[[#This Row],[Home]],Table4[[#This Row],[Visitor]])</f>
        <v>Washington Capitals</v>
      </c>
      <c r="L5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0.44314283430629958</v>
      </c>
      <c r="M565" t="str">
        <f>IF(OR((NHL2025_26Results[[#This Row],[Winning Team]]="")),"-",IF(Table4[[#This Row],[Predicted Winner]]=NHL2025_26Results[[#This Row],[Winning Team]],"YES","NO"))</f>
        <v>NO</v>
      </c>
      <c r="N565">
        <f>IF(Table4[[#This Row],[Adjusted Correct]]="-", "",IF(Table4[[#This Row],[Adjusted Correct]]="YES",(Table4[[#This Row],[Strength of Win]]-1)^2,(Table4[[#This Row],[Strength of Win]]-0)^2))</f>
        <v>0.19637557159702049</v>
      </c>
      <c r="O565">
        <v>-0.7286166535583023</v>
      </c>
      <c r="P565" s="11">
        <v>0.55374705082035591</v>
      </c>
      <c r="Q565" t="s">
        <v>22</v>
      </c>
      <c r="R565" t="s">
        <v>249</v>
      </c>
    </row>
    <row r="566" spans="4:18" x14ac:dyDescent="0.2">
      <c r="D566" s="1">
        <v>46012</v>
      </c>
      <c r="E566" s="2">
        <v>0.83333333333333337</v>
      </c>
      <c r="F566" t="s">
        <v>17</v>
      </c>
      <c r="G566">
        <f>VLOOKUP(Table4[[#This Row],[Home]],'NHL Model'!$A$6:$B$38,2,FALSE)</f>
        <v>-0.36462594951491906</v>
      </c>
      <c r="H566" t="s">
        <v>20</v>
      </c>
      <c r="I566">
        <f>VLOOKUP(Table4[[#This Row],[Visitor]],'NHL Model'!$A$6:$B$38,2,FALSE)</f>
        <v>-0.16296463421387539</v>
      </c>
      <c r="J566">
        <f>($B$1+Table4[[#This Row],[Home Differential]])-Table4[[#This Row],[Away Differential]]</f>
        <v>-7.2054329489519564E-2</v>
      </c>
      <c r="K566" t="str">
        <f>IF(Table4[[#This Row],[HomeIce Differential]]&gt;0,Table4[[#This Row],[Home]],Table4[[#This Row],[Visitor]])</f>
        <v>Vegas Golden Knights</v>
      </c>
      <c r="L5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0.48010744264630018</v>
      </c>
      <c r="M566" t="str">
        <f>IF(OR((NHL2025_26Results[[#This Row],[Winning Team]]="")),"-",IF(Table4[[#This Row],[Predicted Winner]]=NHL2025_26Results[[#This Row],[Winning Team]],"YES","NO"))</f>
        <v>NO</v>
      </c>
      <c r="N566">
        <f>IF(Table4[[#This Row],[Adjusted Correct]]="-", "",IF(Table4[[#This Row],[Adjusted Correct]]="YES",(Table4[[#This Row],[Strength of Win]]-1)^2,(Table4[[#This Row],[Strength of Win]]-0)^2))</f>
        <v>0.23050315648437042</v>
      </c>
      <c r="O566">
        <v>-9.3848799360709029E-2</v>
      </c>
      <c r="P566" s="11">
        <v>0.49122845119933201</v>
      </c>
      <c r="Q566" t="s">
        <v>20</v>
      </c>
      <c r="R566" t="s">
        <v>249</v>
      </c>
    </row>
    <row r="567" spans="4:18" x14ac:dyDescent="0.2">
      <c r="D567" s="1">
        <v>46012</v>
      </c>
      <c r="E567" s="2">
        <v>0.75</v>
      </c>
      <c r="F567" t="s">
        <v>34</v>
      </c>
      <c r="G567">
        <f>VLOOKUP(Table4[[#This Row],[Home]],'NHL Model'!$A$6:$B$38,2,FALSE)</f>
        <v>6.0485283743665949E-2</v>
      </c>
      <c r="H567" t="s">
        <v>12</v>
      </c>
      <c r="I567">
        <f>VLOOKUP(Table4[[#This Row],[Visitor]],'NHL Model'!$A$6:$B$38,2,FALSE)</f>
        <v>0.99866683349964291</v>
      </c>
      <c r="J567">
        <f>($B$1+Table4[[#This Row],[Home Differential]])-Table4[[#This Row],[Away Differential]]</f>
        <v>-0.80857456394445282</v>
      </c>
      <c r="K567" t="str">
        <f>IF(Table4[[#This Row],[HomeIce Differential]]&gt;0,Table4[[#This Row],[Home]],Table4[[#This Row],[Visitor]])</f>
        <v>Colorado Avalanche</v>
      </c>
      <c r="L5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0.60803934320070629</v>
      </c>
      <c r="M567" t="str">
        <f>IF(OR((NHL2025_26Results[[#This Row],[Winning Team]]="")),"-",IF(Table4[[#This Row],[Predicted Winner]]=NHL2025_26Results[[#This Row],[Winning Team]],"YES","NO"))</f>
        <v>YES</v>
      </c>
      <c r="N567">
        <f>IF(Table4[[#This Row],[Adjusted Correct]]="-", "",IF(Table4[[#This Row],[Adjusted Correct]]="YES",(Table4[[#This Row],[Strength of Win]]-1)^2,(Table4[[#This Row],[Strength of Win]]-0)^2))</f>
        <v>0.15363315647853371</v>
      </c>
      <c r="O567">
        <v>-0.94222108561759244</v>
      </c>
      <c r="P567" s="11">
        <v>0.58811590911100409</v>
      </c>
      <c r="Q567" t="s">
        <v>12</v>
      </c>
      <c r="R567" t="s">
        <v>248</v>
      </c>
    </row>
    <row r="568" spans="4:18" x14ac:dyDescent="0.2">
      <c r="D568" s="1">
        <v>46012</v>
      </c>
      <c r="E568" s="2">
        <v>0.79166666666666663</v>
      </c>
      <c r="F568" t="s">
        <v>24</v>
      </c>
      <c r="G568">
        <f>VLOOKUP(Table4[[#This Row],[Home]],'NHL Model'!$A$6:$B$38,2,FALSE)</f>
        <v>-0.74510803532792402</v>
      </c>
      <c r="H568" t="s">
        <v>23</v>
      </c>
      <c r="I568">
        <f>VLOOKUP(Table4[[#This Row],[Visitor]],'NHL Model'!$A$6:$B$38,2,FALSE)</f>
        <v>8.1543966060426461E-3</v>
      </c>
      <c r="J568">
        <f>($B$1+Table4[[#This Row],[Home Differential]])-Table4[[#This Row],[Away Differential]]</f>
        <v>-0.62365544612244261</v>
      </c>
      <c r="K568" t="str">
        <f>IF(Table4[[#This Row],[HomeIce Differential]]&gt;0,Table4[[#This Row],[Home]],Table4[[#This Row],[Visitor]])</f>
        <v>Buffalo Sabres</v>
      </c>
      <c r="L5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0.56692709115508133</v>
      </c>
      <c r="M568" t="str">
        <f>IF(OR((NHL2025_26Results[[#This Row],[Winning Team]]="")),"-",IF(Table4[[#This Row],[Predicted Winner]]=NHL2025_26Results[[#This Row],[Winning Team]],"YES","NO"))</f>
        <v>YES</v>
      </c>
      <c r="N568">
        <f>IF(Table4[[#This Row],[Adjusted Correct]]="-", "",IF(Table4[[#This Row],[Adjusted Correct]]="YES",(Table4[[#This Row],[Strength of Win]]-1)^2,(Table4[[#This Row],[Strength of Win]]-0)^2))</f>
        <v>0.18755214437539924</v>
      </c>
      <c r="O568">
        <v>0.13813674297286588</v>
      </c>
      <c r="P568" s="11">
        <v>0.57634615620090923</v>
      </c>
      <c r="Q568" t="s">
        <v>24</v>
      </c>
      <c r="R568" t="s">
        <v>249</v>
      </c>
    </row>
    <row r="569" spans="4:18" x14ac:dyDescent="0.2">
      <c r="D569" s="1">
        <v>46012</v>
      </c>
      <c r="E569" s="2">
        <v>0.79166666666666663</v>
      </c>
      <c r="F569" t="s">
        <v>29</v>
      </c>
      <c r="G569">
        <f>VLOOKUP(Table4[[#This Row],[Home]],'NHL Model'!$A$6:$B$38,2,FALSE)</f>
        <v>-0.82056481120798741</v>
      </c>
      <c r="H569" t="s">
        <v>15</v>
      </c>
      <c r="I569">
        <f>VLOOKUP(Table4[[#This Row],[Visitor]],'NHL Model'!$A$6:$B$38,2,FALSE)</f>
        <v>-0.73651915476403329</v>
      </c>
      <c r="J569">
        <f>($B$1+Table4[[#This Row],[Home Differential]])-Table4[[#This Row],[Away Differential]]</f>
        <v>4.5561329367569958E-2</v>
      </c>
      <c r="K569" t="str">
        <f>IF(Table4[[#This Row],[HomeIce Differential]]&gt;0,Table4[[#This Row],[Home]],Table4[[#This Row],[Visitor]])</f>
        <v>Nashville Predators</v>
      </c>
      <c r="L5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0.509200271825895</v>
      </c>
      <c r="M569" t="str">
        <f>IF(OR((NHL2025_26Results[[#This Row],[Winning Team]]="")),"-",IF(Table4[[#This Row],[Predicted Winner]]=NHL2025_26Results[[#This Row],[Winning Team]],"YES","NO"))</f>
        <v>YES</v>
      </c>
      <c r="N569">
        <f>IF(Table4[[#This Row],[Adjusted Correct]]="-", "",IF(Table4[[#This Row],[Adjusted Correct]]="YES",(Table4[[#This Row],[Strength of Win]]-1)^2,(Table4[[#This Row],[Strength of Win]]-0)^2))</f>
        <v>0.24088437317577535</v>
      </c>
      <c r="O569">
        <v>-0.36172146627407686</v>
      </c>
      <c r="P569" s="11">
        <v>0.59864656535162963</v>
      </c>
      <c r="Q569" t="s">
        <v>15</v>
      </c>
      <c r="R569" t="s">
        <v>249</v>
      </c>
    </row>
    <row r="570" spans="4:18" x14ac:dyDescent="0.2">
      <c r="D570" s="1">
        <v>46012</v>
      </c>
      <c r="E570" s="2">
        <v>0.79166666666666663</v>
      </c>
      <c r="F570" t="s">
        <v>14</v>
      </c>
      <c r="G570">
        <f>VLOOKUP(Table4[[#This Row],[Home]],'NHL Model'!$A$6:$B$38,2,FALSE)</f>
        <v>3.6349513460996066E-5</v>
      </c>
      <c r="H570" t="s">
        <v>18</v>
      </c>
      <c r="I570">
        <f>VLOOKUP(Table4[[#This Row],[Visitor]],'NHL Model'!$A$6:$B$38,2,FALSE)</f>
        <v>-8.6274676766085606E-2</v>
      </c>
      <c r="J570">
        <f>($B$1+Table4[[#This Row],[Home Differential]])-Table4[[#This Row],[Away Differential]]</f>
        <v>0.2159180120910707</v>
      </c>
      <c r="K570" t="str">
        <f>IF(Table4[[#This Row],[HomeIce Differential]]&gt;0,Table4[[#This Row],[Home]],Table4[[#This Row],[Visitor]])</f>
        <v>Pittsburgh Penguins</v>
      </c>
      <c r="L5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0.51887671687381531</v>
      </c>
      <c r="M570" t="str">
        <f>IF(OR((NHL2025_26Results[[#This Row],[Winning Team]]="")),"-",IF(Table4[[#This Row],[Predicted Winner]]=NHL2025_26Results[[#This Row],[Winning Team]],"YES","NO"))</f>
        <v>YES</v>
      </c>
      <c r="N570">
        <f>IF(Table4[[#This Row],[Adjusted Correct]]="-", "",IF(Table4[[#This Row],[Adjusted Correct]]="YES",(Table4[[#This Row],[Strength of Win]]-1)^2,(Table4[[#This Row],[Strength of Win]]-0)^2))</f>
        <v>0.23147961356611887</v>
      </c>
      <c r="O570">
        <v>1.0984926191771993E-2</v>
      </c>
      <c r="P570" s="11">
        <v>0.47489127103891671</v>
      </c>
      <c r="Q570" t="s">
        <v>14</v>
      </c>
      <c r="R570" t="s">
        <v>248</v>
      </c>
    </row>
    <row r="571" spans="4:18" x14ac:dyDescent="0.2">
      <c r="D571" s="1">
        <v>46012</v>
      </c>
      <c r="E571" s="2">
        <v>0.79166666666666663</v>
      </c>
      <c r="F571" t="s">
        <v>55</v>
      </c>
      <c r="G571">
        <f>VLOOKUP(Table4[[#This Row],[Home]],'NHL Model'!$A$6:$B$38,2,FALSE)</f>
        <v>8.4094725828611647E-2</v>
      </c>
      <c r="H571" t="s">
        <v>40</v>
      </c>
      <c r="I571">
        <f>VLOOKUP(Table4[[#This Row],[Visitor]],'NHL Model'!$A$6:$B$38,2,FALSE)</f>
        <v>-0.58845147248022256</v>
      </c>
      <c r="J571">
        <f>($B$1+Table4[[#This Row],[Home Differential]])-Table4[[#This Row],[Away Differential]]</f>
        <v>0.8021531841203583</v>
      </c>
      <c r="K571" t="str">
        <f>IF(Table4[[#This Row],[HomeIce Differential]]&gt;0,Table4[[#This Row],[Home]],Table4[[#This Row],[Visitor]])</f>
        <v>Utah Mammoth</v>
      </c>
      <c r="L5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0.65901931873593822</v>
      </c>
      <c r="M571" t="str">
        <f>IF(OR((NHL2025_26Results[[#This Row],[Winning Team]]="")),"-",IF(Table4[[#This Row],[Predicted Winner]]=NHL2025_26Results[[#This Row],[Winning Team]],"YES","NO"))</f>
        <v>YES</v>
      </c>
      <c r="N571">
        <f>IF(Table4[[#This Row],[Adjusted Correct]]="-", "",IF(Table4[[#This Row],[Adjusted Correct]]="YES",(Table4[[#This Row],[Strength of Win]]-1)^2,(Table4[[#This Row],[Strength of Win]]-0)^2))</f>
        <v>0.11626782499530369</v>
      </c>
      <c r="O571">
        <v>0.2344523322925427</v>
      </c>
      <c r="P571" s="11">
        <v>0.56576240818163115</v>
      </c>
      <c r="Q571" t="s">
        <v>55</v>
      </c>
      <c r="R571" t="s">
        <v>248</v>
      </c>
    </row>
    <row r="572" spans="4:18" x14ac:dyDescent="0.2">
      <c r="D572" s="1">
        <v>46013</v>
      </c>
      <c r="E572" s="2">
        <v>0.91666666666666663</v>
      </c>
      <c r="F572" t="s">
        <v>31</v>
      </c>
      <c r="G572">
        <f>VLOOKUP(Table4[[#This Row],[Home]],'NHL Model'!$A$6:$B$38,2,FALSE)</f>
        <v>-0.46360583111358089</v>
      </c>
      <c r="H572" t="s">
        <v>32</v>
      </c>
      <c r="I572">
        <f>VLOOKUP(Table4[[#This Row],[Visitor]],'NHL Model'!$A$6:$B$38,2,FALSE)</f>
        <v>-0.48236715437805205</v>
      </c>
      <c r="J572">
        <f>($B$1+Table4[[#This Row],[Home Differential]])-Table4[[#This Row],[Away Differential]]</f>
        <v>0.14836830907599524</v>
      </c>
      <c r="K572" t="str">
        <f>IF(Table4[[#This Row],[HomeIce Differential]]&gt;0,Table4[[#This Row],[Home]],Table4[[#This Row],[Visitor]])</f>
        <v>Anaheim Ducks</v>
      </c>
      <c r="L5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0.60837682737797094</v>
      </c>
      <c r="M572" t="str">
        <f>IF(OR((NHL2025_26Results[[#This Row],[Winning Team]]="")),"-",IF(Table4[[#This Row],[Predicted Winner]]=NHL2025_26Results[[#This Row],[Winning Team]],"YES","NO"))</f>
        <v>NO</v>
      </c>
      <c r="N572">
        <f>IF(Table4[[#This Row],[Adjusted Correct]]="-", "",IF(Table4[[#This Row],[Adjusted Correct]]="YES",(Table4[[#This Row],[Strength of Win]]-1)^2,(Table4[[#This Row],[Strength of Win]]-0)^2))</f>
        <v>0.37012236409048543</v>
      </c>
      <c r="O572">
        <v>0.87986325506614627</v>
      </c>
      <c r="P572" s="11">
        <v>0.70641709945137598</v>
      </c>
      <c r="Q572" t="s">
        <v>31</v>
      </c>
      <c r="R572" t="s">
        <v>249</v>
      </c>
    </row>
    <row r="573" spans="4:18" x14ac:dyDescent="0.2">
      <c r="D573" s="1">
        <v>46013</v>
      </c>
      <c r="E573" s="2">
        <v>0.91666666666666663</v>
      </c>
      <c r="F573" t="s">
        <v>13</v>
      </c>
      <c r="G573">
        <f>VLOOKUP(Table4[[#This Row],[Home]],'NHL Model'!$A$6:$B$38,2,FALSE)</f>
        <v>-0.59069689888466137</v>
      </c>
      <c r="H573" t="s">
        <v>28</v>
      </c>
      <c r="I573">
        <f>VLOOKUP(Table4[[#This Row],[Visitor]],'NHL Model'!$A$6:$B$38,2,FALSE)</f>
        <v>-0.28156479873410767</v>
      </c>
      <c r="J573">
        <f>($B$1+Table4[[#This Row],[Home Differential]])-Table4[[#This Row],[Away Differential]]</f>
        <v>-0.17952511433902962</v>
      </c>
      <c r="K573" t="str">
        <f>IF(Table4[[#This Row],[HomeIce Differential]]&gt;0,Table4[[#This Row],[Home]],Table4[[#This Row],[Visitor]])</f>
        <v>Columbus Blue Jackets</v>
      </c>
      <c r="L5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0.4921757525798105</v>
      </c>
      <c r="M573" t="str">
        <f>IF(OR((NHL2025_26Results[[#This Row],[Winning Team]]="")),"-",IF(Table4[[#This Row],[Predicted Winner]]=NHL2025_26Results[[#This Row],[Winning Team]],"YES","NO"))</f>
        <v>YES</v>
      </c>
      <c r="N573">
        <f>IF(Table4[[#This Row],[Adjusted Correct]]="-", "",IF(Table4[[#This Row],[Adjusted Correct]]="YES",(Table4[[#This Row],[Strength of Win]]-1)^2,(Table4[[#This Row],[Strength of Win]]-0)^2))</f>
        <v>0.25788546626788184</v>
      </c>
      <c r="O573">
        <v>0.54611011017112476</v>
      </c>
      <c r="P573" s="11">
        <v>0.60266846240459893</v>
      </c>
      <c r="Q573" t="s">
        <v>13</v>
      </c>
      <c r="R573" t="s">
        <v>249</v>
      </c>
    </row>
    <row r="574" spans="4:18" x14ac:dyDescent="0.2">
      <c r="D574" s="1">
        <v>46013</v>
      </c>
      <c r="E574" s="2">
        <v>0.8125</v>
      </c>
      <c r="F574" t="s">
        <v>27</v>
      </c>
      <c r="G574">
        <f>VLOOKUP(Table4[[#This Row],[Home]],'NHL Model'!$A$6:$B$38,2,FALSE)</f>
        <v>-0.55097933929175691</v>
      </c>
      <c r="H574" t="s">
        <v>38</v>
      </c>
      <c r="I574">
        <f>VLOOKUP(Table4[[#This Row],[Visitor]],'NHL Model'!$A$6:$B$38,2,FALSE)</f>
        <v>-1.3920033028857945</v>
      </c>
      <c r="J574">
        <f>($B$1+Table4[[#This Row],[Home Differential]])-Table4[[#This Row],[Away Differential]]</f>
        <v>0.97063094940556172</v>
      </c>
      <c r="K574" t="str">
        <f>IF(Table4[[#This Row],[HomeIce Differential]]&gt;0,Table4[[#This Row],[Home]],Table4[[#This Row],[Visitor]])</f>
        <v>Philadelphia Flyers</v>
      </c>
      <c r="L5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0.64899590195499623</v>
      </c>
      <c r="M574" t="str">
        <f>IF(OR((NHL2025_26Results[[#This Row],[Winning Team]]="")),"-",IF(Table4[[#This Row],[Predicted Winner]]=NHL2025_26Results[[#This Row],[Winning Team]],"YES","NO"))</f>
        <v>YES</v>
      </c>
      <c r="N574">
        <f>IF(Table4[[#This Row],[Adjusted Correct]]="-", "",IF(Table4[[#This Row],[Adjusted Correct]]="YES",(Table4[[#This Row],[Strength of Win]]-1)^2,(Table4[[#This Row],[Strength of Win]]-0)^2))</f>
        <v>0.12320387684438662</v>
      </c>
      <c r="O574">
        <v>0.58298581302434638</v>
      </c>
      <c r="P574" s="11">
        <v>0.5623129504904717</v>
      </c>
      <c r="Q574" t="s">
        <v>27</v>
      </c>
      <c r="R574" t="s">
        <v>248</v>
      </c>
    </row>
    <row r="575" spans="4:18" x14ac:dyDescent="0.2">
      <c r="D575" s="1">
        <v>46013</v>
      </c>
      <c r="E575" s="2">
        <v>0.79166666666666663</v>
      </c>
      <c r="F575" t="s">
        <v>37</v>
      </c>
      <c r="G575">
        <f>VLOOKUP(Table4[[#This Row],[Home]],'NHL Model'!$A$6:$B$38,2,FALSE)</f>
        <v>0.72108184732572844</v>
      </c>
      <c r="H575" t="s">
        <v>35</v>
      </c>
      <c r="I575">
        <f>VLOOKUP(Table4[[#This Row],[Visitor]],'NHL Model'!$A$6:$B$38,2,FALSE)</f>
        <v>-1.3128572733047907</v>
      </c>
      <c r="J575">
        <f>($B$1+Table4[[#This Row],[Home Differential]])-Table4[[#This Row],[Away Differential]]</f>
        <v>2.1635461064420434</v>
      </c>
      <c r="K575" t="str">
        <f>IF(Table4[[#This Row],[HomeIce Differential]]&gt;0,Table4[[#This Row],[Home]],Table4[[#This Row],[Visitor]])</f>
        <v>Tampa Bay Lightning</v>
      </c>
      <c r="L5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0.83893790051670747</v>
      </c>
      <c r="M575" t="str">
        <f>IF(OR((NHL2025_26Results[[#This Row],[Winning Team]]="")),"-",IF(Table4[[#This Row],[Predicted Winner]]=NHL2025_26Results[[#This Row],[Winning Team]],"YES","NO"))</f>
        <v>YES</v>
      </c>
      <c r="N575">
        <f>IF(Table4[[#This Row],[Adjusted Correct]]="-", "",IF(Table4[[#This Row],[Adjusted Correct]]="YES",(Table4[[#This Row],[Strength of Win]]-1)^2,(Table4[[#This Row],[Strength of Win]]-0)^2))</f>
        <v>2.594099988996602E-2</v>
      </c>
      <c r="O575">
        <v>1.6620256838245728</v>
      </c>
      <c r="P575" s="11">
        <v>0.73072452998462212</v>
      </c>
      <c r="Q575" t="s">
        <v>37</v>
      </c>
      <c r="R575" t="s">
        <v>248</v>
      </c>
    </row>
    <row r="576" spans="4:18" x14ac:dyDescent="0.2">
      <c r="D576" s="1">
        <v>46014</v>
      </c>
      <c r="E576" s="2">
        <v>0.79166666666666663</v>
      </c>
      <c r="F576" t="s">
        <v>21</v>
      </c>
      <c r="G576">
        <f>VLOOKUP(Table4[[#This Row],[Home]],'NHL Model'!$A$6:$B$38,2,FALSE)</f>
        <v>-0.10253061303059285</v>
      </c>
      <c r="H576" t="s">
        <v>18</v>
      </c>
      <c r="I576">
        <f>VLOOKUP(Table4[[#This Row],[Visitor]],'NHL Model'!$A$6:$B$38,2,FALSE)</f>
        <v>-8.6274676766085606E-2</v>
      </c>
      <c r="J576">
        <f>($B$1+Table4[[#This Row],[Home Differential]])-Table4[[#This Row],[Away Differential]]</f>
        <v>0.11335104954701686</v>
      </c>
      <c r="K576" t="str">
        <f>IF(Table4[[#This Row],[HomeIce Differential]]&gt;0,Table4[[#This Row],[Home]],Table4[[#This Row],[Visitor]])</f>
        <v>Boston Bruins</v>
      </c>
      <c r="L5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0.55989843891138424</v>
      </c>
      <c r="M576" t="str">
        <f>IF(OR((NHL2025_26Results[[#This Row],[Winning Team]]="")),"-",IF(Table4[[#This Row],[Predicted Winner]]=NHL2025_26Results[[#This Row],[Winning Team]],"YES","NO"))</f>
        <v>NO</v>
      </c>
      <c r="N576">
        <f>IF(Table4[[#This Row],[Adjusted Correct]]="-", "",IF(Table4[[#This Row],[Adjusted Correct]]="YES",(Table4[[#This Row],[Strength of Win]]-1)^2,(Table4[[#This Row],[Strength of Win]]-0)^2))</f>
        <v>0.31348626189540507</v>
      </c>
      <c r="O576">
        <v>0.36210970652672214</v>
      </c>
      <c r="P576" s="11">
        <v>0.55715894947578537</v>
      </c>
      <c r="Q576" t="s">
        <v>21</v>
      </c>
      <c r="R576" t="s">
        <v>249</v>
      </c>
    </row>
    <row r="577" spans="4:18" x14ac:dyDescent="0.2">
      <c r="D577" s="1">
        <v>46014</v>
      </c>
      <c r="E577" s="2">
        <v>0.79166666666666663</v>
      </c>
      <c r="F577" t="s">
        <v>25</v>
      </c>
      <c r="G577">
        <f>VLOOKUP(Table4[[#This Row],[Home]],'NHL Model'!$A$6:$B$38,2,FALSE)</f>
        <v>0.2324942014830165</v>
      </c>
      <c r="H577" t="s">
        <v>11</v>
      </c>
      <c r="I577">
        <f>VLOOKUP(Table4[[#This Row],[Visitor]],'NHL Model'!$A$6:$B$38,2,FALSE)</f>
        <v>-0.55695213126481558</v>
      </c>
      <c r="J577">
        <f>($B$1+Table4[[#This Row],[Home Differential]])-Table4[[#This Row],[Away Differential]]</f>
        <v>0.91905331855935612</v>
      </c>
      <c r="K577" t="str">
        <f>IF(Table4[[#This Row],[HomeIce Differential]]&gt;0,Table4[[#This Row],[Home]],Table4[[#This Row],[Visitor]])</f>
        <v>Carolina Hurricanes</v>
      </c>
      <c r="L5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0.6603469075210755</v>
      </c>
      <c r="M577" t="str">
        <f>IF(OR((NHL2025_26Results[[#This Row],[Winning Team]]="")),"-",IF(Table4[[#This Row],[Predicted Winner]]=NHL2025_26Results[[#This Row],[Winning Team]],"YES","NO"))</f>
        <v>NO</v>
      </c>
      <c r="N577">
        <f>IF(Table4[[#This Row],[Adjusted Correct]]="-", "",IF(Table4[[#This Row],[Adjusted Correct]]="YES",(Table4[[#This Row],[Strength of Win]]-1)^2,(Table4[[#This Row],[Strength of Win]]-0)^2))</f>
        <v>0.43605803827264783</v>
      </c>
      <c r="O577">
        <v>0.60479483570866843</v>
      </c>
      <c r="P577" s="11">
        <v>0.63263064163146787</v>
      </c>
      <c r="Q577" t="s">
        <v>25</v>
      </c>
      <c r="R577" t="s">
        <v>249</v>
      </c>
    </row>
    <row r="578" spans="4:18" x14ac:dyDescent="0.2">
      <c r="D578" s="1">
        <v>46014</v>
      </c>
      <c r="E578" s="2">
        <v>0.875</v>
      </c>
      <c r="F578" t="s">
        <v>10</v>
      </c>
      <c r="G578">
        <f>VLOOKUP(Table4[[#This Row],[Home]],'NHL Model'!$A$6:$B$38,2,FALSE)</f>
        <v>-0.92658078135875344</v>
      </c>
      <c r="H578" t="s">
        <v>27</v>
      </c>
      <c r="I578">
        <f>VLOOKUP(Table4[[#This Row],[Visitor]],'NHL Model'!$A$6:$B$38,2,FALSE)</f>
        <v>-0.55097933929175691</v>
      </c>
      <c r="J578">
        <f>($B$1+Table4[[#This Row],[Home Differential]])-Table4[[#This Row],[Away Differential]]</f>
        <v>-0.24599445625547245</v>
      </c>
      <c r="K578" t="str">
        <f>IF(Table4[[#This Row],[HomeIce Differential]]&gt;0,Table4[[#This Row],[Home]],Table4[[#This Row],[Visitor]])</f>
        <v>Philadelphia Flyers</v>
      </c>
      <c r="L5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0.48762366855488654</v>
      </c>
      <c r="M578" t="str">
        <f>IF(OR((NHL2025_26Results[[#This Row],[Winning Team]]="")),"-",IF(Table4[[#This Row],[Predicted Winner]]=NHL2025_26Results[[#This Row],[Winning Team]],"YES","NO"))</f>
        <v>YES</v>
      </c>
      <c r="N578">
        <f>IF(Table4[[#This Row],[Adjusted Correct]]="-", "",IF(Table4[[#This Row],[Adjusted Correct]]="YES",(Table4[[#This Row],[Strength of Win]]-1)^2,(Table4[[#This Row],[Strength of Win]]-0)^2))</f>
        <v>0.26252950502515282</v>
      </c>
      <c r="O578">
        <v>-0.59418807952911945</v>
      </c>
      <c r="P578" s="11">
        <v>0.53090240641572484</v>
      </c>
      <c r="Q578" t="s">
        <v>27</v>
      </c>
      <c r="R578" t="s">
        <v>248</v>
      </c>
    </row>
    <row r="579" spans="4:18" x14ac:dyDescent="0.2">
      <c r="D579" s="1">
        <v>46014</v>
      </c>
      <c r="E579" s="2">
        <v>0.875</v>
      </c>
      <c r="F579" t="s">
        <v>12</v>
      </c>
      <c r="G579">
        <f>VLOOKUP(Table4[[#This Row],[Home]],'NHL Model'!$A$6:$B$38,2,FALSE)</f>
        <v>0.99866683349964291</v>
      </c>
      <c r="H579" t="s">
        <v>55</v>
      </c>
      <c r="I579">
        <f>VLOOKUP(Table4[[#This Row],[Visitor]],'NHL Model'!$A$6:$B$38,2,FALSE)</f>
        <v>8.4094725828611647E-2</v>
      </c>
      <c r="J579">
        <f>($B$1+Table4[[#This Row],[Home Differential]])-Table4[[#This Row],[Away Differential]]</f>
        <v>1.0441790934825554</v>
      </c>
      <c r="K579" t="str">
        <f>IF(Table4[[#This Row],[HomeIce Differential]]&gt;0,Table4[[#This Row],[Home]],Table4[[#This Row],[Visitor]])</f>
        <v>Colorado Avalanche</v>
      </c>
      <c r="L5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0.73708961814849783</v>
      </c>
      <c r="M579" t="str">
        <f>IF(OR((NHL2025_26Results[[#This Row],[Winning Team]]="")),"-",IF(Table4[[#This Row],[Predicted Winner]]=NHL2025_26Results[[#This Row],[Winning Team]],"YES","NO"))</f>
        <v>YES</v>
      </c>
      <c r="N579">
        <f>IF(Table4[[#This Row],[Adjusted Correct]]="-", "",IF(Table4[[#This Row],[Adjusted Correct]]="YES",(Table4[[#This Row],[Strength of Win]]-1)^2,(Table4[[#This Row],[Strength of Win]]-0)^2))</f>
        <v>6.9121868885302681E-2</v>
      </c>
      <c r="O579">
        <v>1.68361620262099</v>
      </c>
      <c r="P579" s="11">
        <v>0.84619785254835378</v>
      </c>
      <c r="Q579" t="s">
        <v>12</v>
      </c>
      <c r="R579" t="s">
        <v>248</v>
      </c>
    </row>
    <row r="580" spans="4:18" x14ac:dyDescent="0.2">
      <c r="D580" s="1">
        <v>46014</v>
      </c>
      <c r="E580" s="2">
        <v>0.77083333333333337</v>
      </c>
      <c r="F580" t="s">
        <v>26</v>
      </c>
      <c r="G580">
        <f>VLOOKUP(Table4[[#This Row],[Home]],'NHL Model'!$A$6:$B$38,2,FALSE)</f>
        <v>-0.33113778518110382</v>
      </c>
      <c r="H580" t="s">
        <v>39</v>
      </c>
      <c r="I580">
        <f>VLOOKUP(Table4[[#This Row],[Visitor]],'NHL Model'!$A$6:$B$38,2,FALSE)</f>
        <v>0.21708030788125537</v>
      </c>
      <c r="J580">
        <f>($B$1+Table4[[#This Row],[Home Differential]])-Table4[[#This Row],[Away Differential]]</f>
        <v>-0.41861110725083506</v>
      </c>
      <c r="K580" t="str">
        <f>IF(Table4[[#This Row],[HomeIce Differential]]&gt;0,Table4[[#This Row],[Home]],Table4[[#This Row],[Visitor]])</f>
        <v>Dallas Stars</v>
      </c>
      <c r="L5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0.53881073835290838</v>
      </c>
      <c r="M580" t="str">
        <f>IF(OR((NHL2025_26Results[[#This Row],[Winning Team]]="")),"-",IF(Table4[[#This Row],[Predicted Winner]]=NHL2025_26Results[[#This Row],[Winning Team]],"YES","NO"))</f>
        <v>NO</v>
      </c>
      <c r="N580">
        <f>IF(Table4[[#This Row],[Adjusted Correct]]="-", "",IF(Table4[[#This Row],[Adjusted Correct]]="YES",(Table4[[#This Row],[Strength of Win]]-1)^2,(Table4[[#This Row],[Strength of Win]]-0)^2))</f>
        <v>0.29031701176440627</v>
      </c>
      <c r="O580">
        <v>-1.0844249079327231</v>
      </c>
      <c r="P580" s="11">
        <v>0.66454065595596168</v>
      </c>
      <c r="Q580" t="s">
        <v>39</v>
      </c>
      <c r="R580" t="s">
        <v>249</v>
      </c>
    </row>
    <row r="581" spans="4:18" x14ac:dyDescent="0.2">
      <c r="D581" s="1">
        <v>46014</v>
      </c>
      <c r="E581" s="2">
        <v>0.875</v>
      </c>
      <c r="F581" t="s">
        <v>17</v>
      </c>
      <c r="G581">
        <f>VLOOKUP(Table4[[#This Row],[Home]],'NHL Model'!$A$6:$B$38,2,FALSE)</f>
        <v>-0.36462594951491906</v>
      </c>
      <c r="H581" t="s">
        <v>16</v>
      </c>
      <c r="I581">
        <f>VLOOKUP(Table4[[#This Row],[Visitor]],'NHL Model'!$A$6:$B$38,2,FALSE)</f>
        <v>-0.89031221864884547</v>
      </c>
      <c r="J581">
        <f>($B$1+Table4[[#This Row],[Home Differential]])-Table4[[#This Row],[Away Differential]]</f>
        <v>0.65529325494545054</v>
      </c>
      <c r="K581" t="str">
        <f>IF(Table4[[#This Row],[HomeIce Differential]]&gt;0,Table4[[#This Row],[Home]],Table4[[#This Row],[Visitor]])</f>
        <v>Edmonton Oilers</v>
      </c>
      <c r="L5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0.61358541308779269</v>
      </c>
      <c r="M581" t="str">
        <f>IF(OR((NHL2025_26Results[[#This Row],[Winning Team]]="")),"-",IF(Table4[[#This Row],[Predicted Winner]]=NHL2025_26Results[[#This Row],[Winning Team]],"YES","NO"))</f>
        <v>YES</v>
      </c>
      <c r="N581">
        <f>IF(Table4[[#This Row],[Adjusted Correct]]="-", "",IF(Table4[[#This Row],[Adjusted Correct]]="YES",(Table4[[#This Row],[Strength of Win]]-1)^2,(Table4[[#This Row],[Strength of Win]]-0)^2))</f>
        <v>0.14931623297853183</v>
      </c>
      <c r="O581">
        <v>0.43210622881800331</v>
      </c>
      <c r="P581" s="11">
        <v>0.6149988171957006</v>
      </c>
      <c r="Q581" t="s">
        <v>17</v>
      </c>
      <c r="R581" t="s">
        <v>248</v>
      </c>
    </row>
    <row r="582" spans="4:18" x14ac:dyDescent="0.2">
      <c r="D582" s="1">
        <v>46014</v>
      </c>
      <c r="E582" s="2">
        <v>0.91666666666666663</v>
      </c>
      <c r="F582" t="s">
        <v>13</v>
      </c>
      <c r="G582">
        <f>VLOOKUP(Table4[[#This Row],[Home]],'NHL Model'!$A$6:$B$38,2,FALSE)</f>
        <v>-0.59069689888466137</v>
      </c>
      <c r="H582" t="s">
        <v>32</v>
      </c>
      <c r="I582">
        <f>VLOOKUP(Table4[[#This Row],[Visitor]],'NHL Model'!$A$6:$B$38,2,FALSE)</f>
        <v>-0.48236715437805205</v>
      </c>
      <c r="J582">
        <f>($B$1+Table4[[#This Row],[Home Differential]])-Table4[[#This Row],[Away Differential]]</f>
        <v>2.1277241304914762E-2</v>
      </c>
      <c r="K582" t="str">
        <f>IF(Table4[[#This Row],[HomeIce Differential]]&gt;0,Table4[[#This Row],[Home]],Table4[[#This Row],[Visitor]])</f>
        <v>Los Angeles Kings</v>
      </c>
      <c r="L5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0.54238930368804295</v>
      </c>
      <c r="M582" t="str">
        <f>IF(OR((NHL2025_26Results[[#This Row],[Winning Team]]="")),"-",IF(Table4[[#This Row],[Predicted Winner]]=NHL2025_26Results[[#This Row],[Winning Team]],"YES","NO"))</f>
        <v>NO</v>
      </c>
      <c r="N582">
        <f>IF(Table4[[#This Row],[Adjusted Correct]]="-", "",IF(Table4[[#This Row],[Adjusted Correct]]="YES",(Table4[[#This Row],[Strength of Win]]-1)^2,(Table4[[#This Row],[Strength of Win]]-0)^2))</f>
        <v>0.2941861567552001</v>
      </c>
      <c r="O582">
        <v>0.54120144537466575</v>
      </c>
      <c r="P582" s="11">
        <v>0.60132243930941065</v>
      </c>
      <c r="Q582" t="s">
        <v>13</v>
      </c>
      <c r="R582" t="s">
        <v>249</v>
      </c>
    </row>
    <row r="583" spans="4:18" x14ac:dyDescent="0.2">
      <c r="D583" s="1">
        <v>46014</v>
      </c>
      <c r="E583" s="2">
        <v>0.83333333333333337</v>
      </c>
      <c r="F583" t="s">
        <v>34</v>
      </c>
      <c r="G583">
        <f>VLOOKUP(Table4[[#This Row],[Home]],'NHL Model'!$A$6:$B$38,2,FALSE)</f>
        <v>6.0485283743665949E-2</v>
      </c>
      <c r="H583" t="s">
        <v>29</v>
      </c>
      <c r="I583">
        <f>VLOOKUP(Table4[[#This Row],[Visitor]],'NHL Model'!$A$6:$B$38,2,FALSE)</f>
        <v>-0.82056481120798741</v>
      </c>
      <c r="J583">
        <f>($B$1+Table4[[#This Row],[Home Differential]])-Table4[[#This Row],[Away Differential]]</f>
        <v>1.0106570807631774</v>
      </c>
      <c r="K583" t="str">
        <f>IF(Table4[[#This Row],[HomeIce Differential]]&gt;0,Table4[[#This Row],[Home]],Table4[[#This Row],[Visitor]])</f>
        <v>Minnesota Wild</v>
      </c>
      <c r="L5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0.66543864294192989</v>
      </c>
      <c r="M583" t="str">
        <f>IF(OR((NHL2025_26Results[[#This Row],[Winning Team]]="")),"-",IF(Table4[[#This Row],[Predicted Winner]]=NHL2025_26Results[[#This Row],[Winning Team]],"YES","NO"))</f>
        <v>NO</v>
      </c>
      <c r="N583">
        <f>IF(Table4[[#This Row],[Adjusted Correct]]="-", "",IF(Table4[[#This Row],[Adjusted Correct]]="YES",(Table4[[#This Row],[Strength of Win]]-1)^2,(Table4[[#This Row],[Strength of Win]]-0)^2))</f>
        <v>0.44280858752039726</v>
      </c>
      <c r="O583">
        <v>1.0762057491199628</v>
      </c>
      <c r="P583" s="11">
        <v>0.69564083956979383</v>
      </c>
      <c r="Q583" t="s">
        <v>34</v>
      </c>
      <c r="R583" t="s">
        <v>249</v>
      </c>
    </row>
    <row r="584" spans="4:18" x14ac:dyDescent="0.2">
      <c r="D584" s="1">
        <v>46014</v>
      </c>
      <c r="E584" s="2">
        <v>0.79166666666666663</v>
      </c>
      <c r="F584" t="s">
        <v>30</v>
      </c>
      <c r="G584">
        <f>VLOOKUP(Table4[[#This Row],[Home]],'NHL Model'!$A$6:$B$38,2,FALSE)</f>
        <v>-0.18630462558229716</v>
      </c>
      <c r="H584" t="s">
        <v>24</v>
      </c>
      <c r="I584">
        <f>VLOOKUP(Table4[[#This Row],[Visitor]],'NHL Model'!$A$6:$B$38,2,FALSE)</f>
        <v>-0.74510803532792402</v>
      </c>
      <c r="J584">
        <f>($B$1+Table4[[#This Row],[Home Differential]])-Table4[[#This Row],[Away Differential]]</f>
        <v>0.688410395557151</v>
      </c>
      <c r="K584" t="str">
        <f>IF(Table4[[#This Row],[HomeIce Differential]]&gt;0,Table4[[#This Row],[Home]],Table4[[#This Row],[Visitor]])</f>
        <v>New York Islanders</v>
      </c>
      <c r="L5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0.61063759817765961</v>
      </c>
      <c r="M584" t="str">
        <f>IF(OR((NHL2025_26Results[[#This Row],[Winning Team]]="")),"-",IF(Table4[[#This Row],[Predicted Winner]]=NHL2025_26Results[[#This Row],[Winning Team]],"YES","NO"))</f>
        <v>YES</v>
      </c>
      <c r="N584">
        <f>IF(Table4[[#This Row],[Adjusted Correct]]="-", "",IF(Table4[[#This Row],[Adjusted Correct]]="YES",(Table4[[#This Row],[Strength of Win]]-1)^2,(Table4[[#This Row],[Strength of Win]]-0)^2))</f>
        <v>0.15160307995286165</v>
      </c>
      <c r="O584">
        <v>0.33425069775232996</v>
      </c>
      <c r="P584" s="11">
        <v>0.53077387789469721</v>
      </c>
      <c r="Q584" t="s">
        <v>30</v>
      </c>
      <c r="R584" t="s">
        <v>248</v>
      </c>
    </row>
    <row r="585" spans="4:18" x14ac:dyDescent="0.2">
      <c r="D585" s="1">
        <v>46014</v>
      </c>
      <c r="E585" s="2">
        <v>0.79166666666666663</v>
      </c>
      <c r="F585" t="s">
        <v>36</v>
      </c>
      <c r="G585">
        <f>VLOOKUP(Table4[[#This Row],[Home]],'NHL Model'!$A$6:$B$38,2,FALSE)</f>
        <v>-0.19010748264223354</v>
      </c>
      <c r="H585" t="s">
        <v>23</v>
      </c>
      <c r="I585">
        <f>VLOOKUP(Table4[[#This Row],[Visitor]],'NHL Model'!$A$6:$B$38,2,FALSE)</f>
        <v>8.1543966060426461E-3</v>
      </c>
      <c r="J585">
        <f>($B$1+Table4[[#This Row],[Home Differential]])-Table4[[#This Row],[Away Differential]]</f>
        <v>-6.8654893436752074E-2</v>
      </c>
      <c r="K585" t="str">
        <f>IF(Table4[[#This Row],[HomeIce Differential]]&gt;0,Table4[[#This Row],[Home]],Table4[[#This Row],[Visitor]])</f>
        <v>Buffalo Sabres</v>
      </c>
      <c r="L5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0.5046039333549458</v>
      </c>
      <c r="M585" t="str">
        <f>IF(OR((NHL2025_26Results[[#This Row],[Winning Team]]="")),"-",IF(Table4[[#This Row],[Predicted Winner]]=NHL2025_26Results[[#This Row],[Winning Team]],"YES","NO"))</f>
        <v>YES</v>
      </c>
      <c r="N585">
        <f>IF(Table4[[#This Row],[Adjusted Correct]]="-", "",IF(Table4[[#This Row],[Adjusted Correct]]="YES",(Table4[[#This Row],[Strength of Win]]-1)^2,(Table4[[#This Row],[Strength of Win]]-0)^2))</f>
        <v>0.24541726284739099</v>
      </c>
      <c r="O585">
        <v>0.37622066961068845</v>
      </c>
      <c r="P585" s="11">
        <v>0.58262880185616606</v>
      </c>
      <c r="Q585" t="s">
        <v>36</v>
      </c>
      <c r="R585" t="s">
        <v>249</v>
      </c>
    </row>
    <row r="586" spans="4:18" x14ac:dyDescent="0.2">
      <c r="D586" s="1">
        <v>46014</v>
      </c>
      <c r="E586" s="2">
        <v>0.66666666666666663</v>
      </c>
      <c r="F586" t="s">
        <v>19</v>
      </c>
      <c r="G586">
        <f>VLOOKUP(Table4[[#This Row],[Home]],'NHL Model'!$A$6:$B$38,2,FALSE)</f>
        <v>-0.44228056828684137</v>
      </c>
      <c r="H586" t="s">
        <v>14</v>
      </c>
      <c r="I586">
        <f>VLOOKUP(Table4[[#This Row],[Visitor]],'NHL Model'!$A$6:$B$38,2,FALSE)</f>
        <v>3.6349513460996066E-5</v>
      </c>
      <c r="J586">
        <f>($B$1+Table4[[#This Row],[Home Differential]])-Table4[[#This Row],[Away Differential]]</f>
        <v>-0.31270993198877828</v>
      </c>
      <c r="K586" t="str">
        <f>IF(Table4[[#This Row],[HomeIce Differential]]&gt;0,Table4[[#This Row],[Home]],Table4[[#This Row],[Visitor]])</f>
        <v>Pittsburgh Penguins</v>
      </c>
      <c r="L5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0.54925422474058139</v>
      </c>
      <c r="M586" t="str">
        <f>IF(OR((NHL2025_26Results[[#This Row],[Winning Team]]="")),"-",IF(Table4[[#This Row],[Predicted Winner]]=NHL2025_26Results[[#This Row],[Winning Team]],"YES","NO"))</f>
        <v>NO</v>
      </c>
      <c r="N586">
        <f>IF(Table4[[#This Row],[Adjusted Correct]]="-", "",IF(Table4[[#This Row],[Adjusted Correct]]="YES",(Table4[[#This Row],[Strength of Win]]-1)^2,(Table4[[#This Row],[Strength of Win]]-0)^2))</f>
        <v>0.3016802033953771</v>
      </c>
      <c r="O586">
        <v>-5.3805758326201117E-2</v>
      </c>
      <c r="P586" s="11">
        <v>0.47175436302623769</v>
      </c>
      <c r="Q586" t="s">
        <v>14</v>
      </c>
      <c r="R586" t="s">
        <v>249</v>
      </c>
    </row>
    <row r="587" spans="4:18" x14ac:dyDescent="0.2">
      <c r="D587" s="1">
        <v>46014</v>
      </c>
      <c r="E587" s="2">
        <v>0.91666666666666663</v>
      </c>
      <c r="F587" t="s">
        <v>20</v>
      </c>
      <c r="G587">
        <f>VLOOKUP(Table4[[#This Row],[Home]],'NHL Model'!$A$6:$B$38,2,FALSE)</f>
        <v>-0.16296463421387539</v>
      </c>
      <c r="H587" t="s">
        <v>33</v>
      </c>
      <c r="I587">
        <f>VLOOKUP(Table4[[#This Row],[Visitor]],'NHL Model'!$A$6:$B$38,2,FALSE)</f>
        <v>-0.65236582493376272</v>
      </c>
      <c r="J587">
        <f>($B$1+Table4[[#This Row],[Home Differential]])-Table4[[#This Row],[Away Differential]]</f>
        <v>0.61900817653141149</v>
      </c>
      <c r="K587" t="str">
        <f>IF(Table4[[#This Row],[HomeIce Differential]]&gt;0,Table4[[#This Row],[Home]],Table4[[#This Row],[Visitor]])</f>
        <v>Vegas Golden Knights</v>
      </c>
      <c r="L5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0.60951082134757673</v>
      </c>
      <c r="M587" t="str">
        <f>IF(OR((NHL2025_26Results[[#This Row],[Winning Team]]="")),"-",IF(Table4[[#This Row],[Predicted Winner]]=NHL2025_26Results[[#This Row],[Winning Team]],"YES","NO"))</f>
        <v>YES</v>
      </c>
      <c r="N587">
        <f>IF(Table4[[#This Row],[Adjusted Correct]]="-", "",IF(Table4[[#This Row],[Adjusted Correct]]="YES",(Table4[[#This Row],[Strength of Win]]-1)^2,(Table4[[#This Row],[Strength of Win]]-0)^2))</f>
        <v>0.15248179864464415</v>
      </c>
      <c r="O587">
        <v>0.42227255833298727</v>
      </c>
      <c r="P587" s="11">
        <v>0.5878468480668555</v>
      </c>
      <c r="Q587" t="s">
        <v>20</v>
      </c>
      <c r="R587" t="s">
        <v>248</v>
      </c>
    </row>
    <row r="588" spans="4:18" x14ac:dyDescent="0.2">
      <c r="D588" s="1">
        <v>46014</v>
      </c>
      <c r="E588" s="2">
        <v>0.79166666666666663</v>
      </c>
      <c r="F588" t="s">
        <v>22</v>
      </c>
      <c r="G588">
        <f>VLOOKUP(Table4[[#This Row],[Home]],'NHL Model'!$A$6:$B$38,2,FALSE)</f>
        <v>-0.11977593183651415</v>
      </c>
      <c r="H588" t="s">
        <v>15</v>
      </c>
      <c r="I588">
        <f>VLOOKUP(Table4[[#This Row],[Visitor]],'NHL Model'!$A$6:$B$38,2,FALSE)</f>
        <v>-0.73651915476403329</v>
      </c>
      <c r="J588">
        <f>($B$1+Table4[[#This Row],[Home Differential]])-Table4[[#This Row],[Away Differential]]</f>
        <v>0.74635020873904323</v>
      </c>
      <c r="K588" t="str">
        <f>IF(Table4[[#This Row],[HomeIce Differential]]&gt;0,Table4[[#This Row],[Home]],Table4[[#This Row],[Visitor]])</f>
        <v>Washington Capitals</v>
      </c>
      <c r="L5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0.60602269915840457</v>
      </c>
      <c r="M588" t="str">
        <f>IF(OR((NHL2025_26Results[[#This Row],[Winning Team]]="")),"-",IF(Table4[[#This Row],[Predicted Winner]]=NHL2025_26Results[[#This Row],[Winning Team]],"YES","NO"))</f>
        <v>NO</v>
      </c>
      <c r="N588">
        <f>IF(Table4[[#This Row],[Adjusted Correct]]="-", "",IF(Table4[[#This Row],[Adjusted Correct]]="YES",(Table4[[#This Row],[Strength of Win]]-1)^2,(Table4[[#This Row],[Strength of Win]]-0)^2))</f>
        <v>0.36726351189523815</v>
      </c>
      <c r="O588">
        <v>0.67692398055063552</v>
      </c>
      <c r="P588" s="11">
        <v>0.54779296188617821</v>
      </c>
      <c r="Q588" t="s">
        <v>22</v>
      </c>
      <c r="R588" t="s">
        <v>249</v>
      </c>
    </row>
    <row r="589" spans="4:18" x14ac:dyDescent="0.2">
      <c r="D589" s="1">
        <v>46018</v>
      </c>
      <c r="E589" s="2">
        <v>0.79166666666666663</v>
      </c>
      <c r="F589" t="s">
        <v>23</v>
      </c>
      <c r="G589">
        <f>VLOOKUP(Table4[[#This Row],[Home]],'NHL Model'!$A$6:$B$38,2,FALSE)</f>
        <v>8.1543966060426461E-3</v>
      </c>
      <c r="H589" t="s">
        <v>21</v>
      </c>
      <c r="I589">
        <f>VLOOKUP(Table4[[#This Row],[Visitor]],'NHL Model'!$A$6:$B$38,2,FALSE)</f>
        <v>-0.10253061303059285</v>
      </c>
      <c r="J589">
        <f>($B$1+Table4[[#This Row],[Home Differential]])-Table4[[#This Row],[Away Differential]]</f>
        <v>0.2402919954481596</v>
      </c>
      <c r="K589" t="str">
        <f>IF(Table4[[#This Row],[HomeIce Differential]]&gt;0,Table4[[#This Row],[Home]],Table4[[#This Row],[Visitor]])</f>
        <v>Buffalo Sabres</v>
      </c>
      <c r="L5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0.59592575359633715</v>
      </c>
      <c r="M589" t="str">
        <f>IF(OR((NHL2025_26Results[[#This Row],[Winning Team]]="")),"-",IF(Table4[[#This Row],[Predicted Winner]]=NHL2025_26Results[[#This Row],[Winning Team]],"YES","NO"))</f>
        <v>YES</v>
      </c>
      <c r="N589">
        <f>IF(Table4[[#This Row],[Adjusted Correct]]="-", "",IF(Table4[[#This Row],[Adjusted Correct]]="YES",(Table4[[#This Row],[Strength of Win]]-1)^2,(Table4[[#This Row],[Strength of Win]]-0)^2))</f>
        <v>0.16327599660668804</v>
      </c>
      <c r="O589">
        <v>-5.6063125249113735E-3</v>
      </c>
      <c r="P589" s="11">
        <v>0.43565794963783</v>
      </c>
      <c r="Q589" t="s">
        <v>21</v>
      </c>
      <c r="R589" t="s">
        <v>249</v>
      </c>
    </row>
    <row r="590" spans="4:18" x14ac:dyDescent="0.2">
      <c r="D590" s="1">
        <v>46018</v>
      </c>
      <c r="E590" s="2">
        <v>0.79166666666666663</v>
      </c>
      <c r="F590" t="s">
        <v>25</v>
      </c>
      <c r="G590">
        <f>VLOOKUP(Table4[[#This Row],[Home]],'NHL Model'!$A$6:$B$38,2,FALSE)</f>
        <v>0.2324942014830165</v>
      </c>
      <c r="H590" t="s">
        <v>26</v>
      </c>
      <c r="I590">
        <f>VLOOKUP(Table4[[#This Row],[Visitor]],'NHL Model'!$A$6:$B$38,2,FALSE)</f>
        <v>-0.33113778518110382</v>
      </c>
      <c r="J590">
        <f>($B$1+Table4[[#This Row],[Home Differential]])-Table4[[#This Row],[Away Differential]]</f>
        <v>0.69323897247564448</v>
      </c>
      <c r="K590" t="str">
        <f>IF(Table4[[#This Row],[HomeIce Differential]]&gt;0,Table4[[#This Row],[Home]],Table4[[#This Row],[Visitor]])</f>
        <v>Carolina Hurricanes</v>
      </c>
      <c r="L5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0.63625104281927092</v>
      </c>
      <c r="M590" t="str">
        <f>IF(OR((NHL2025_26Results[[#This Row],[Winning Team]]="")),"-",IF(Table4[[#This Row],[Predicted Winner]]=NHL2025_26Results[[#This Row],[Winning Team]],"YES","NO"))</f>
        <v>YES</v>
      </c>
      <c r="N590">
        <f>IF(Table4[[#This Row],[Adjusted Correct]]="-", "",IF(Table4[[#This Row],[Adjusted Correct]]="YES",(Table4[[#This Row],[Strength of Win]]-1)^2,(Table4[[#This Row],[Strength of Win]]-0)^2))</f>
        <v>0.13231330385006787</v>
      </c>
      <c r="O590">
        <v>0.69184847414782247</v>
      </c>
      <c r="P590" s="11">
        <v>0.59941158866581856</v>
      </c>
      <c r="Q590" t="s">
        <v>25</v>
      </c>
      <c r="R590" t="s">
        <v>248</v>
      </c>
    </row>
    <row r="591" spans="4:18" x14ac:dyDescent="0.2">
      <c r="D591" s="1">
        <v>46018</v>
      </c>
      <c r="E591" s="2">
        <v>0.91666666666666663</v>
      </c>
      <c r="F591" t="s">
        <v>16</v>
      </c>
      <c r="G591">
        <f>VLOOKUP(Table4[[#This Row],[Home]],'NHL Model'!$A$6:$B$38,2,FALSE)</f>
        <v>-0.89031221864884547</v>
      </c>
      <c r="H591" t="s">
        <v>17</v>
      </c>
      <c r="I591">
        <f>VLOOKUP(Table4[[#This Row],[Visitor]],'NHL Model'!$A$6:$B$38,2,FALSE)</f>
        <v>-0.36462594951491906</v>
      </c>
      <c r="J591">
        <f>($B$1+Table4[[#This Row],[Home Differential]])-Table4[[#This Row],[Away Differential]]</f>
        <v>-0.39607928332240233</v>
      </c>
      <c r="K591" t="str">
        <f>IF(Table4[[#This Row],[HomeIce Differential]]&gt;0,Table4[[#This Row],[Home]],Table4[[#This Row],[Visitor]])</f>
        <v>Edmonton Oilers</v>
      </c>
      <c r="L5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0.50447727404308784</v>
      </c>
      <c r="M591" t="str">
        <f>IF(OR((NHL2025_26Results[[#This Row],[Winning Team]]="")),"-",IF(Table4[[#This Row],[Predicted Winner]]=NHL2025_26Results[[#This Row],[Winning Team]],"YES","NO"))</f>
        <v>NO</v>
      </c>
      <c r="N591">
        <f>IF(Table4[[#This Row],[Adjusted Correct]]="-", "",IF(Table4[[#This Row],[Adjusted Correct]]="YES",(Table4[[#This Row],[Strength of Win]]-1)^2,(Table4[[#This Row],[Strength of Win]]-0)^2))</f>
        <v>0.25449732002594477</v>
      </c>
      <c r="O591">
        <v>-0.48126463148581899</v>
      </c>
      <c r="P591" s="11">
        <v>0.50246816779392278</v>
      </c>
      <c r="Q591" t="s">
        <v>17</v>
      </c>
      <c r="R591" t="s">
        <v>249</v>
      </c>
    </row>
    <row r="592" spans="4:18" x14ac:dyDescent="0.2">
      <c r="D592" s="1">
        <v>46018</v>
      </c>
      <c r="E592" s="2">
        <v>0.83333333333333337</v>
      </c>
      <c r="F592" t="s">
        <v>39</v>
      </c>
      <c r="G592">
        <f>VLOOKUP(Table4[[#This Row],[Home]],'NHL Model'!$A$6:$B$38,2,FALSE)</f>
        <v>0.21708030788125537</v>
      </c>
      <c r="H592" t="s">
        <v>10</v>
      </c>
      <c r="I592">
        <f>VLOOKUP(Table4[[#This Row],[Visitor]],'NHL Model'!$A$6:$B$38,2,FALSE)</f>
        <v>-0.92658078135875344</v>
      </c>
      <c r="J592">
        <f>($B$1+Table4[[#This Row],[Home Differential]])-Table4[[#This Row],[Away Differential]]</f>
        <v>1.2732680750515328</v>
      </c>
      <c r="K592" t="str">
        <f>IF(Table4[[#This Row],[HomeIce Differential]]&gt;0,Table4[[#This Row],[Home]],Table4[[#This Row],[Visitor]])</f>
        <v>Dallas Stars</v>
      </c>
      <c r="L5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0.72081840014972942</v>
      </c>
      <c r="M592" t="str">
        <f>IF(OR((NHL2025_26Results[[#This Row],[Winning Team]]="")),"-",IF(Table4[[#This Row],[Predicted Winner]]=NHL2025_26Results[[#This Row],[Winning Team]],"YES","NO"))</f>
        <v>NO</v>
      </c>
      <c r="N592">
        <f>IF(Table4[[#This Row],[Adjusted Correct]]="-", "",IF(Table4[[#This Row],[Adjusted Correct]]="YES",(Table4[[#This Row],[Strength of Win]]-1)^2,(Table4[[#This Row],[Strength of Win]]-0)^2))</f>
        <v>0.51957916599441545</v>
      </c>
      <c r="O592">
        <v>1.4487885041114759</v>
      </c>
      <c r="P592" s="11">
        <v>0.75003301618001306</v>
      </c>
      <c r="Q592" t="s">
        <v>39</v>
      </c>
      <c r="R592" t="s">
        <v>249</v>
      </c>
    </row>
    <row r="593" spans="4:18" x14ac:dyDescent="0.2">
      <c r="D593" s="1">
        <v>46018</v>
      </c>
      <c r="E593" s="2">
        <v>0.79166666666666663</v>
      </c>
      <c r="F593" t="s">
        <v>11</v>
      </c>
      <c r="G593">
        <f>VLOOKUP(Table4[[#This Row],[Home]],'NHL Model'!$A$6:$B$38,2,FALSE)</f>
        <v>-0.55695213126481558</v>
      </c>
      <c r="H593" t="s">
        <v>37</v>
      </c>
      <c r="I593">
        <f>VLOOKUP(Table4[[#This Row],[Visitor]],'NHL Model'!$A$6:$B$38,2,FALSE)</f>
        <v>0.72108184732572844</v>
      </c>
      <c r="J593">
        <f>($B$1+Table4[[#This Row],[Home Differential]])-Table4[[#This Row],[Away Differential]]</f>
        <v>-1.1484269927790201</v>
      </c>
      <c r="K593" t="str">
        <f>IF(Table4[[#This Row],[HomeIce Differential]]&gt;0,Table4[[#This Row],[Home]],Table4[[#This Row],[Visitor]])</f>
        <v>Tampa Bay Lightning</v>
      </c>
      <c r="L5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0.68581945477310924</v>
      </c>
      <c r="M593" t="str">
        <f>IF(OR((NHL2025_26Results[[#This Row],[Winning Team]]="")),"-",IF(Table4[[#This Row],[Predicted Winner]]=NHL2025_26Results[[#This Row],[Winning Team]],"YES","NO"))</f>
        <v>YES</v>
      </c>
      <c r="N593">
        <f>IF(Table4[[#This Row],[Adjusted Correct]]="-", "",IF(Table4[[#This Row],[Adjusted Correct]]="YES",(Table4[[#This Row],[Strength of Win]]-1)^2,(Table4[[#This Row],[Strength of Win]]-0)^2))</f>
        <v>9.8709414999066353E-2</v>
      </c>
      <c r="O593">
        <v>-0.44892979255358123</v>
      </c>
      <c r="P593" s="11">
        <v>0.55630338938123836</v>
      </c>
      <c r="Q593" t="s">
        <v>37</v>
      </c>
      <c r="R593" t="s">
        <v>248</v>
      </c>
    </row>
    <row r="594" spans="4:18" x14ac:dyDescent="0.2">
      <c r="D594" s="1">
        <v>46018</v>
      </c>
      <c r="E594" s="2">
        <v>0.875</v>
      </c>
      <c r="F594" t="s">
        <v>13</v>
      </c>
      <c r="G594">
        <f>VLOOKUP(Table4[[#This Row],[Home]],'NHL Model'!$A$6:$B$38,2,FALSE)</f>
        <v>-0.59069689888466137</v>
      </c>
      <c r="H594" t="s">
        <v>31</v>
      </c>
      <c r="I594">
        <f>VLOOKUP(Table4[[#This Row],[Visitor]],'NHL Model'!$A$6:$B$38,2,FALSE)</f>
        <v>-0.46360583111358089</v>
      </c>
      <c r="J594">
        <f>($B$1+Table4[[#This Row],[Home Differential]])-Table4[[#This Row],[Away Differential]]</f>
        <v>2.5159180404435988E-3</v>
      </c>
      <c r="K594" t="str">
        <f>IF(Table4[[#This Row],[HomeIce Differential]]&gt;0,Table4[[#This Row],[Home]],Table4[[#This Row],[Visitor]])</f>
        <v>Los Angeles Kings</v>
      </c>
      <c r="L5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0.54028252216378525</v>
      </c>
      <c r="M594" t="str">
        <f>IF(OR((NHL2025_26Results[[#This Row],[Winning Team]]="")),"-",IF(Table4[[#This Row],[Predicted Winner]]=NHL2025_26Results[[#This Row],[Winning Team]],"YES","NO"))</f>
        <v>YES</v>
      </c>
      <c r="N594">
        <f>IF(Table4[[#This Row],[Adjusted Correct]]="-", "",IF(Table4[[#This Row],[Adjusted Correct]]="YES",(Table4[[#This Row],[Strength of Win]]-1)^2,(Table4[[#This Row],[Strength of Win]]-0)^2))</f>
        <v>0.21134015942809059</v>
      </c>
      <c r="O594">
        <v>-0.16905410305538182</v>
      </c>
      <c r="P594" s="11">
        <v>0.48576318562485876</v>
      </c>
      <c r="Q594" t="s">
        <v>31</v>
      </c>
      <c r="R594" t="s">
        <v>249</v>
      </c>
    </row>
    <row r="595" spans="4:18" x14ac:dyDescent="0.2">
      <c r="D595" s="1">
        <v>46018</v>
      </c>
      <c r="E595" s="2">
        <v>0.79166666666666663</v>
      </c>
      <c r="F595" t="s">
        <v>24</v>
      </c>
      <c r="G595">
        <f>VLOOKUP(Table4[[#This Row],[Home]],'NHL Model'!$A$6:$B$38,2,FALSE)</f>
        <v>-0.74510803532792402</v>
      </c>
      <c r="H595" t="s">
        <v>22</v>
      </c>
      <c r="I595">
        <f>VLOOKUP(Table4[[#This Row],[Visitor]],'NHL Model'!$A$6:$B$38,2,FALSE)</f>
        <v>-0.11977593183651415</v>
      </c>
      <c r="J595">
        <f>($B$1+Table4[[#This Row],[Home Differential]])-Table4[[#This Row],[Away Differential]]</f>
        <v>-0.49572511767988581</v>
      </c>
      <c r="K595" t="str">
        <f>IF(Table4[[#This Row],[HomeIce Differential]]&gt;0,Table4[[#This Row],[Home]],Table4[[#This Row],[Visitor]])</f>
        <v>Washington Capitals</v>
      </c>
      <c r="L5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0.51566689003308241</v>
      </c>
      <c r="M595" t="str">
        <f>IF(OR((NHL2025_26Results[[#This Row],[Winning Team]]="")),"-",IF(Table4[[#This Row],[Predicted Winner]]=NHL2025_26Results[[#This Row],[Winning Team]],"YES","NO"))</f>
        <v>YES</v>
      </c>
      <c r="N595">
        <f>IF(Table4[[#This Row],[Adjusted Correct]]="-", "",IF(Table4[[#This Row],[Adjusted Correct]]="YES",(Table4[[#This Row],[Strength of Win]]-1)^2,(Table4[[#This Row],[Strength of Win]]-0)^2))</f>
        <v>0.23457856141022629</v>
      </c>
      <c r="O595">
        <v>-0.37794787807551095</v>
      </c>
      <c r="P595" s="11">
        <v>0.49989915685674108</v>
      </c>
      <c r="Q595" t="s">
        <v>22</v>
      </c>
      <c r="R595" t="s">
        <v>248</v>
      </c>
    </row>
    <row r="596" spans="4:18" x14ac:dyDescent="0.2">
      <c r="D596" s="1">
        <v>46018</v>
      </c>
      <c r="E596" s="2">
        <v>0.75</v>
      </c>
      <c r="F596" t="s">
        <v>30</v>
      </c>
      <c r="G596">
        <f>VLOOKUP(Table4[[#This Row],[Home]],'NHL Model'!$A$6:$B$38,2,FALSE)</f>
        <v>-0.18630462558229716</v>
      </c>
      <c r="H596" t="s">
        <v>15</v>
      </c>
      <c r="I596">
        <f>VLOOKUP(Table4[[#This Row],[Visitor]],'NHL Model'!$A$6:$B$38,2,FALSE)</f>
        <v>-0.73651915476403329</v>
      </c>
      <c r="J596">
        <f>($B$1+Table4[[#This Row],[Home Differential]])-Table4[[#This Row],[Away Differential]]</f>
        <v>0.67982151499326027</v>
      </c>
      <c r="K596" t="str">
        <f>IF(Table4[[#This Row],[HomeIce Differential]]&gt;0,Table4[[#This Row],[Home]],Table4[[#This Row],[Visitor]])</f>
        <v>New York Islanders</v>
      </c>
      <c r="L5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0.59455840972132146</v>
      </c>
      <c r="M596" t="str">
        <f>IF(OR((NHL2025_26Results[[#This Row],[Winning Team]]="")),"-",IF(Table4[[#This Row],[Predicted Winner]]=NHL2025_26Results[[#This Row],[Winning Team]],"YES","NO"))</f>
        <v>YES</v>
      </c>
      <c r="N596">
        <f>IF(Table4[[#This Row],[Adjusted Correct]]="-", "",IF(Table4[[#This Row],[Adjusted Correct]]="YES",(Table4[[#This Row],[Strength of Win]]-1)^2,(Table4[[#This Row],[Strength of Win]]-0)^2))</f>
        <v>0.16438288312770385</v>
      </c>
      <c r="O596">
        <v>0.2754692866806232</v>
      </c>
      <c r="P596" s="11">
        <v>0.48215682936740945</v>
      </c>
      <c r="Q596" t="s">
        <v>30</v>
      </c>
      <c r="R596" t="s">
        <v>248</v>
      </c>
    </row>
    <row r="597" spans="4:18" x14ac:dyDescent="0.2">
      <c r="D597" s="1">
        <v>46018</v>
      </c>
      <c r="E597" s="2">
        <v>0.83333333333333337</v>
      </c>
      <c r="F597" t="s">
        <v>35</v>
      </c>
      <c r="G597">
        <f>VLOOKUP(Table4[[#This Row],[Home]],'NHL Model'!$A$6:$B$38,2,FALSE)</f>
        <v>-1.3128572733047907</v>
      </c>
      <c r="H597" t="s">
        <v>29</v>
      </c>
      <c r="I597">
        <f>VLOOKUP(Table4[[#This Row],[Visitor]],'NHL Model'!$A$6:$B$38,2,FALSE)</f>
        <v>-0.82056481120798741</v>
      </c>
      <c r="J597">
        <f>($B$1+Table4[[#This Row],[Home Differential]])-Table4[[#This Row],[Away Differential]]</f>
        <v>-0.36268547628527925</v>
      </c>
      <c r="K597" t="str">
        <f>IF(Table4[[#This Row],[HomeIce Differential]]&gt;0,Table4[[#This Row],[Home]],Table4[[#This Row],[Visitor]])</f>
        <v>Nashville Predators</v>
      </c>
      <c r="L5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0.50072735434399795</v>
      </c>
      <c r="M597" t="str">
        <f>IF(OR((NHL2025_26Results[[#This Row],[Winning Team]]="")),"-",IF(Table4[[#This Row],[Predicted Winner]]=NHL2025_26Results[[#This Row],[Winning Team]],"YES","NO"))</f>
        <v>NO</v>
      </c>
      <c r="N597">
        <f>IF(Table4[[#This Row],[Adjusted Correct]]="-", "",IF(Table4[[#This Row],[Adjusted Correct]]="YES",(Table4[[#This Row],[Strength of Win]]-1)^2,(Table4[[#This Row],[Strength of Win]]-0)^2))</f>
        <v>0.25072788338833968</v>
      </c>
      <c r="O597">
        <v>-0.54306679016724368</v>
      </c>
      <c r="P597" s="11">
        <v>0.51934387691191386</v>
      </c>
      <c r="Q597" t="s">
        <v>29</v>
      </c>
      <c r="R597" t="s">
        <v>249</v>
      </c>
    </row>
    <row r="598" spans="4:18" x14ac:dyDescent="0.2">
      <c r="D598" s="1">
        <v>46018</v>
      </c>
      <c r="E598" s="2">
        <v>0.79166666666666663</v>
      </c>
      <c r="F598" t="s">
        <v>19</v>
      </c>
      <c r="G598">
        <f>VLOOKUP(Table4[[#This Row],[Home]],'NHL Model'!$A$6:$B$38,2,FALSE)</f>
        <v>-0.44228056828684137</v>
      </c>
      <c r="H598" t="s">
        <v>36</v>
      </c>
      <c r="I598">
        <f>VLOOKUP(Table4[[#This Row],[Visitor]],'NHL Model'!$A$6:$B$38,2,FALSE)</f>
        <v>-0.19010748264223354</v>
      </c>
      <c r="J598">
        <f>($B$1+Table4[[#This Row],[Home Differential]])-Table4[[#This Row],[Away Differential]]</f>
        <v>-0.12256609983308375</v>
      </c>
      <c r="K598" t="str">
        <f>IF(Table4[[#This Row],[HomeIce Differential]]&gt;0,Table4[[#This Row],[Home]],Table4[[#This Row],[Visitor]])</f>
        <v>Ottawa Senators</v>
      </c>
      <c r="L5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0.4857796046264144</v>
      </c>
      <c r="M598" t="str">
        <f>IF(OR((NHL2025_26Results[[#This Row],[Winning Team]]="")),"-",IF(Table4[[#This Row],[Predicted Winner]]=NHL2025_26Results[[#This Row],[Winning Team]],"YES","NO"))</f>
        <v>NO</v>
      </c>
      <c r="N598">
        <f>IF(Table4[[#This Row],[Adjusted Correct]]="-", "",IF(Table4[[#This Row],[Adjusted Correct]]="YES",(Table4[[#This Row],[Strength of Win]]-1)^2,(Table4[[#This Row],[Strength of Win]]-0)^2))</f>
        <v>0.23598182427099548</v>
      </c>
      <c r="O598">
        <v>-0.33205081020441635</v>
      </c>
      <c r="P598" s="11">
        <v>0.52986842283033098</v>
      </c>
      <c r="Q598" t="s">
        <v>36</v>
      </c>
      <c r="R598" t="s">
        <v>249</v>
      </c>
    </row>
    <row r="599" spans="4:18" x14ac:dyDescent="0.2">
      <c r="D599" s="1">
        <v>46018</v>
      </c>
      <c r="E599" s="2">
        <v>0.91666666666666663</v>
      </c>
      <c r="F599" t="s">
        <v>38</v>
      </c>
      <c r="G599">
        <f>VLOOKUP(Table4[[#This Row],[Home]],'NHL Model'!$A$6:$B$38,2,FALSE)</f>
        <v>-1.3920033028857945</v>
      </c>
      <c r="H599" t="s">
        <v>33</v>
      </c>
      <c r="I599">
        <f>VLOOKUP(Table4[[#This Row],[Visitor]],'NHL Model'!$A$6:$B$38,2,FALSE)</f>
        <v>-0.65236582493376272</v>
      </c>
      <c r="J599">
        <f>($B$1+Table4[[#This Row],[Home Differential]])-Table4[[#This Row],[Away Differential]]</f>
        <v>-0.61003049214050775</v>
      </c>
      <c r="K599" t="str">
        <f>IF(Table4[[#This Row],[HomeIce Differential]]&gt;0,Table4[[#This Row],[Home]],Table4[[#This Row],[Visitor]])</f>
        <v>San Jose Sharks</v>
      </c>
      <c r="L5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0.52850268245786469</v>
      </c>
      <c r="M599" t="str">
        <f>IF(OR((NHL2025_26Results[[#This Row],[Winning Team]]="")),"-",IF(Table4[[#This Row],[Predicted Winner]]=NHL2025_26Results[[#This Row],[Winning Team]],"YES","NO"))</f>
        <v>YES</v>
      </c>
      <c r="N599">
        <f>IF(Table4[[#This Row],[Adjusted Correct]]="-", "",IF(Table4[[#This Row],[Adjusted Correct]]="YES",(Table4[[#This Row],[Strength of Win]]-1)^2,(Table4[[#This Row],[Strength of Win]]-0)^2))</f>
        <v>0.22230972044942918</v>
      </c>
      <c r="O599">
        <v>1.9479305352313347E-2</v>
      </c>
      <c r="P599" s="11">
        <v>0.54212861018218639</v>
      </c>
      <c r="Q599" t="s">
        <v>38</v>
      </c>
      <c r="R599" t="s">
        <v>249</v>
      </c>
    </row>
    <row r="600" spans="4:18" x14ac:dyDescent="0.2">
      <c r="D600" s="1">
        <v>46018</v>
      </c>
      <c r="E600" s="2">
        <v>0.91666666666666663</v>
      </c>
      <c r="F600" t="s">
        <v>20</v>
      </c>
      <c r="G600">
        <f>VLOOKUP(Table4[[#This Row],[Home]],'NHL Model'!$A$6:$B$38,2,FALSE)</f>
        <v>-0.16296463421387539</v>
      </c>
      <c r="H600" t="s">
        <v>12</v>
      </c>
      <c r="I600">
        <f>VLOOKUP(Table4[[#This Row],[Visitor]],'NHL Model'!$A$6:$B$38,2,FALSE)</f>
        <v>0.99866683349964291</v>
      </c>
      <c r="J600">
        <f>($B$1+Table4[[#This Row],[Home Differential]])-Table4[[#This Row],[Away Differential]]</f>
        <v>-1.0320244819019941</v>
      </c>
      <c r="K600" t="str">
        <f>IF(Table4[[#This Row],[HomeIce Differential]]&gt;0,Table4[[#This Row],[Home]],Table4[[#This Row],[Visitor]])</f>
        <v>Colorado Avalanche</v>
      </c>
      <c r="L6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0.64515527437089737</v>
      </c>
      <c r="M600" t="str">
        <f>IF(OR((NHL2025_26Results[[#This Row],[Winning Team]]="")),"-",IF(Table4[[#This Row],[Predicted Winner]]=NHL2025_26Results[[#This Row],[Winning Team]],"YES","NO"))</f>
        <v>YES</v>
      </c>
      <c r="N600">
        <f>IF(Table4[[#This Row],[Adjusted Correct]]="-", "",IF(Table4[[#This Row],[Adjusted Correct]]="YES",(Table4[[#This Row],[Strength of Win]]-1)^2,(Table4[[#This Row],[Strength of Win]]-0)^2))</f>
        <v>0.12591477930679312</v>
      </c>
      <c r="O600">
        <v>-1.4641126050784863</v>
      </c>
      <c r="P600" s="11">
        <v>0.69907514608413479</v>
      </c>
      <c r="Q600" t="s">
        <v>12</v>
      </c>
      <c r="R600" t="s">
        <v>248</v>
      </c>
    </row>
    <row r="601" spans="4:18" x14ac:dyDescent="0.2">
      <c r="D601" s="1">
        <v>46018</v>
      </c>
      <c r="E601" s="2">
        <v>0.79166666666666663</v>
      </c>
      <c r="F601" t="s">
        <v>40</v>
      </c>
      <c r="G601">
        <f>VLOOKUP(Table4[[#This Row],[Home]],'NHL Model'!$A$6:$B$38,2,FALSE)</f>
        <v>-0.58845147248022256</v>
      </c>
      <c r="H601" t="s">
        <v>34</v>
      </c>
      <c r="I601">
        <f>VLOOKUP(Table4[[#This Row],[Visitor]],'NHL Model'!$A$6:$B$38,2,FALSE)</f>
        <v>6.0485283743665949E-2</v>
      </c>
      <c r="J601">
        <f>($B$1+Table4[[#This Row],[Home Differential]])-Table4[[#This Row],[Away Differential]]</f>
        <v>-0.51932977041236439</v>
      </c>
      <c r="K601" t="str">
        <f>IF(Table4[[#This Row],[HomeIce Differential]]&gt;0,Table4[[#This Row],[Home]],Table4[[#This Row],[Visitor]])</f>
        <v>Minnesota Wild</v>
      </c>
      <c r="L6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0.58758280304119992</v>
      </c>
      <c r="M601" t="str">
        <f>IF(OR((NHL2025_26Results[[#This Row],[Winning Team]]="")),"-",IF(Table4[[#This Row],[Predicted Winner]]=NHL2025_26Results[[#This Row],[Winning Team]],"YES","NO"))</f>
        <v>YES</v>
      </c>
      <c r="N601">
        <f>IF(Table4[[#This Row],[Adjusted Correct]]="-", "",IF(Table4[[#This Row],[Adjusted Correct]]="YES",(Table4[[#This Row],[Strength of Win]]-1)^2,(Table4[[#This Row],[Strength of Win]]-0)^2))</f>
        <v>0.17008794434735369</v>
      </c>
      <c r="O601">
        <v>-0.52314978382909783</v>
      </c>
      <c r="P601" s="11">
        <v>0.56737151838290512</v>
      </c>
      <c r="Q601" t="s">
        <v>34</v>
      </c>
      <c r="R601" t="s">
        <v>248</v>
      </c>
    </row>
    <row r="602" spans="4:18" x14ac:dyDescent="0.2">
      <c r="D602" s="1">
        <v>46019</v>
      </c>
      <c r="E602" s="2">
        <v>0.70833333333333337</v>
      </c>
      <c r="F602" t="s">
        <v>28</v>
      </c>
      <c r="G602">
        <f>VLOOKUP(Table4[[#This Row],[Home]],'NHL Model'!$A$6:$B$38,2,FALSE)</f>
        <v>-0.28156479873410767</v>
      </c>
      <c r="H602" t="s">
        <v>30</v>
      </c>
      <c r="I602">
        <f>VLOOKUP(Table4[[#This Row],[Visitor]],'NHL Model'!$A$6:$B$38,2,FALSE)</f>
        <v>-0.18630462558229716</v>
      </c>
      <c r="J602">
        <f>($B$1+Table4[[#This Row],[Home Differential]])-Table4[[#This Row],[Away Differential]]</f>
        <v>3.4346812659713594E-2</v>
      </c>
      <c r="K602" t="str">
        <f>IF(Table4[[#This Row],[HomeIce Differential]]&gt;0,Table4[[#This Row],[Home]],Table4[[#This Row],[Visitor]])</f>
        <v>Columbus Blue Jackets</v>
      </c>
      <c r="L6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0.51406101801760706</v>
      </c>
      <c r="M602" t="str">
        <f>IF(OR((NHL2025_26Results[[#This Row],[Winning Team]]="")),"-",IF(Table4[[#This Row],[Predicted Winner]]=NHL2025_26Results[[#This Row],[Winning Team]],"YES","NO"))</f>
        <v>YES</v>
      </c>
      <c r="N602">
        <f>IF(Table4[[#This Row],[Adjusted Correct]]="-", "",IF(Table4[[#This Row],[Adjusted Correct]]="YES",(Table4[[#This Row],[Strength of Win]]-1)^2,(Table4[[#This Row],[Strength of Win]]-0)^2))</f>
        <v>0.2361366942100844</v>
      </c>
      <c r="O602">
        <v>-0.60891718013705942</v>
      </c>
      <c r="P602" s="11">
        <v>0.56298367219459478</v>
      </c>
      <c r="Q602" t="s">
        <v>30</v>
      </c>
      <c r="R602" t="s">
        <v>249</v>
      </c>
    </row>
    <row r="603" spans="4:18" x14ac:dyDescent="0.2">
      <c r="D603" s="1">
        <v>46019</v>
      </c>
      <c r="E603" s="2">
        <v>0.79166666666666663</v>
      </c>
      <c r="F603" t="s">
        <v>10</v>
      </c>
      <c r="G603">
        <f>VLOOKUP(Table4[[#This Row],[Home]],'NHL Model'!$A$6:$B$38,2,FALSE)</f>
        <v>-0.92658078135875344</v>
      </c>
      <c r="H603" t="s">
        <v>14</v>
      </c>
      <c r="I603">
        <f>VLOOKUP(Table4[[#This Row],[Visitor]],'NHL Model'!$A$6:$B$38,2,FALSE)</f>
        <v>3.6349513460996066E-5</v>
      </c>
      <c r="J603">
        <f>($B$1+Table4[[#This Row],[Home Differential]])-Table4[[#This Row],[Away Differential]]</f>
        <v>-0.79701014506069034</v>
      </c>
      <c r="K603" t="str">
        <f>IF(Table4[[#This Row],[HomeIce Differential]]&gt;0,Table4[[#This Row],[Home]],Table4[[#This Row],[Visitor]])</f>
        <v>Pittsburgh Penguins</v>
      </c>
      <c r="L6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0.60363816806435211</v>
      </c>
      <c r="M603" t="str">
        <f>IF(OR((NHL2025_26Results[[#This Row],[Winning Team]]="")),"-",IF(Table4[[#This Row],[Predicted Winner]]=NHL2025_26Results[[#This Row],[Winning Team]],"YES","NO"))</f>
        <v>YES</v>
      </c>
      <c r="N603">
        <f>IF(Table4[[#This Row],[Adjusted Correct]]="-", "",IF(Table4[[#This Row],[Adjusted Correct]]="YES",(Table4[[#This Row],[Strength of Win]]-1)^2,(Table4[[#This Row],[Strength of Win]]-0)^2))</f>
        <v>0.15710270181538277</v>
      </c>
      <c r="O603">
        <v>-6.1886004338487843E-2</v>
      </c>
      <c r="P603" s="11">
        <v>0.46690434480408916</v>
      </c>
      <c r="Q603" t="s">
        <v>14</v>
      </c>
      <c r="R603" t="s">
        <v>248</v>
      </c>
    </row>
    <row r="604" spans="4:18" x14ac:dyDescent="0.2">
      <c r="D604" s="1">
        <v>46019</v>
      </c>
      <c r="E604" s="2">
        <v>0.79166666666666663</v>
      </c>
      <c r="F604" t="s">
        <v>26</v>
      </c>
      <c r="G604">
        <f>VLOOKUP(Table4[[#This Row],[Home]],'NHL Model'!$A$6:$B$38,2,FALSE)</f>
        <v>-0.33113778518110382</v>
      </c>
      <c r="H604" t="s">
        <v>19</v>
      </c>
      <c r="I604">
        <f>VLOOKUP(Table4[[#This Row],[Visitor]],'NHL Model'!$A$6:$B$38,2,FALSE)</f>
        <v>-0.44228056828684137</v>
      </c>
      <c r="J604">
        <f>($B$1+Table4[[#This Row],[Home Differential]])-Table4[[#This Row],[Away Differential]]</f>
        <v>0.24074976891726166</v>
      </c>
      <c r="K604" t="str">
        <f>IF(Table4[[#This Row],[HomeIce Differential]]&gt;0,Table4[[#This Row],[Home]],Table4[[#This Row],[Visitor]])</f>
        <v>Detroit Red Wings</v>
      </c>
      <c r="L6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0.59307245818576382</v>
      </c>
      <c r="M604" t="str">
        <f>IF(OR((NHL2025_26Results[[#This Row],[Winning Team]]="")),"-",IF(Table4[[#This Row],[Predicted Winner]]=NHL2025_26Results[[#This Row],[Winning Team]],"YES","NO"))</f>
        <v>YES</v>
      </c>
      <c r="N604">
        <f>IF(Table4[[#This Row],[Adjusted Correct]]="-", "",IF(Table4[[#This Row],[Adjusted Correct]]="YES",(Table4[[#This Row],[Strength of Win]]-1)^2,(Table4[[#This Row],[Strength of Win]]-0)^2))</f>
        <v>0.16559002428697694</v>
      </c>
      <c r="O604">
        <v>8.8615734622056089E-2</v>
      </c>
      <c r="P604" s="11">
        <v>0.57592419714896359</v>
      </c>
      <c r="Q604" t="s">
        <v>26</v>
      </c>
      <c r="R604" t="s">
        <v>248</v>
      </c>
    </row>
    <row r="605" spans="4:18" x14ac:dyDescent="0.2">
      <c r="D605" s="1">
        <v>46019</v>
      </c>
      <c r="E605" s="2">
        <v>0.83333333333333337</v>
      </c>
      <c r="F605" t="s">
        <v>32</v>
      </c>
      <c r="G605">
        <f>VLOOKUP(Table4[[#This Row],[Home]],'NHL Model'!$A$6:$B$38,2,FALSE)</f>
        <v>-0.48236715437805205</v>
      </c>
      <c r="H605" t="s">
        <v>27</v>
      </c>
      <c r="I605">
        <f>VLOOKUP(Table4[[#This Row],[Visitor]],'NHL Model'!$A$6:$B$38,2,FALSE)</f>
        <v>-0.55097933929175691</v>
      </c>
      <c r="J605">
        <f>($B$1+Table4[[#This Row],[Home Differential]])-Table4[[#This Row],[Away Differential]]</f>
        <v>0.19821917072522899</v>
      </c>
      <c r="K605" t="str">
        <f>IF(Table4[[#This Row],[HomeIce Differential]]&gt;0,Table4[[#This Row],[Home]],Table4[[#This Row],[Visitor]])</f>
        <v>Seattle Kraken</v>
      </c>
      <c r="L6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0.56225879703423765</v>
      </c>
      <c r="M605" t="str">
        <f>IF(OR((NHL2025_26Results[[#This Row],[Winning Team]]="")),"-",IF(Table4[[#This Row],[Predicted Winner]]=NHL2025_26Results[[#This Row],[Winning Team]],"YES","NO"))</f>
        <v>YES</v>
      </c>
      <c r="N605">
        <f>IF(Table4[[#This Row],[Adjusted Correct]]="-", "",IF(Table4[[#This Row],[Adjusted Correct]]="YES",(Table4[[#This Row],[Strength of Win]]-1)^2,(Table4[[#This Row],[Strength of Win]]-0)^2))</f>
        <v>0.19161736077391275</v>
      </c>
      <c r="O605">
        <v>-0.68151291773348177</v>
      </c>
      <c r="P605" s="11">
        <v>0.55680257987246939</v>
      </c>
      <c r="Q605" t="s">
        <v>27</v>
      </c>
      <c r="R605" t="s">
        <v>249</v>
      </c>
    </row>
    <row r="606" spans="4:18" x14ac:dyDescent="0.2">
      <c r="D606" s="1">
        <v>46019</v>
      </c>
      <c r="E606" s="2">
        <v>0.70833333333333337</v>
      </c>
      <c r="F606" t="s">
        <v>37</v>
      </c>
      <c r="G606">
        <f>VLOOKUP(Table4[[#This Row],[Home]],'NHL Model'!$A$6:$B$38,2,FALSE)</f>
        <v>0.72108184732572844</v>
      </c>
      <c r="H606" t="s">
        <v>18</v>
      </c>
      <c r="I606">
        <f>VLOOKUP(Table4[[#This Row],[Visitor]],'NHL Model'!$A$6:$B$38,2,FALSE)</f>
        <v>-8.6274676766085606E-2</v>
      </c>
      <c r="J606">
        <f>($B$1+Table4[[#This Row],[Home Differential]])-Table4[[#This Row],[Away Differential]]</f>
        <v>0.9369635099033381</v>
      </c>
      <c r="K606" t="str">
        <f>IF(Table4[[#This Row],[HomeIce Differential]]&gt;0,Table4[[#This Row],[Home]],Table4[[#This Row],[Visitor]])</f>
        <v>Tampa Bay Lightning</v>
      </c>
      <c r="L6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0.65676680656003583</v>
      </c>
      <c r="M606" t="str">
        <f>IF(OR((NHL2025_26Results[[#This Row],[Winning Team]]="")),"-",IF(Table4[[#This Row],[Predicted Winner]]=NHL2025_26Results[[#This Row],[Winning Team]],"YES","NO"))</f>
        <v>YES</v>
      </c>
      <c r="N606">
        <f>IF(Table4[[#This Row],[Adjusted Correct]]="-", "",IF(Table4[[#This Row],[Adjusted Correct]]="YES",(Table4[[#This Row],[Strength of Win]]-1)^2,(Table4[[#This Row],[Strength of Win]]-0)^2))</f>
        <v>0.11780902507899586</v>
      </c>
      <c r="O606">
        <v>0.85744447190305539</v>
      </c>
      <c r="P606" s="11">
        <v>0.57428481220507399</v>
      </c>
      <c r="Q606" t="s">
        <v>37</v>
      </c>
      <c r="R606" t="s">
        <v>248</v>
      </c>
    </row>
    <row r="607" spans="4:18" x14ac:dyDescent="0.2">
      <c r="D607" s="1">
        <v>46020</v>
      </c>
      <c r="E607" s="2">
        <v>0.91666666666666663</v>
      </c>
      <c r="F607" t="s">
        <v>31</v>
      </c>
      <c r="G607">
        <f>VLOOKUP(Table4[[#This Row],[Home]],'NHL Model'!$A$6:$B$38,2,FALSE)</f>
        <v>-0.46360583111358089</v>
      </c>
      <c r="H607" t="s">
        <v>33</v>
      </c>
      <c r="I607">
        <f>VLOOKUP(Table4[[#This Row],[Visitor]],'NHL Model'!$A$6:$B$38,2,FALSE)</f>
        <v>-0.65236582493376272</v>
      </c>
      <c r="J607">
        <f>($B$1+Table4[[#This Row],[Home Differential]])-Table4[[#This Row],[Away Differential]]</f>
        <v>0.3183669796317059</v>
      </c>
      <c r="K607" t="str">
        <f>IF(Table4[[#This Row],[HomeIce Differential]]&gt;0,Table4[[#This Row],[Home]],Table4[[#This Row],[Visitor]])</f>
        <v>Anaheim Ducks</v>
      </c>
      <c r="L6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0.62746663534228286</v>
      </c>
      <c r="M607" t="str">
        <f>IF(OR((NHL2025_26Results[[#This Row],[Winning Team]]="")),"-",IF(Table4[[#This Row],[Predicted Winner]]=NHL2025_26Results[[#This Row],[Winning Team]],"YES","NO"))</f>
        <v>NO</v>
      </c>
      <c r="N607">
        <f>IF(Table4[[#This Row],[Adjusted Correct]]="-", "",IF(Table4[[#This Row],[Adjusted Correct]]="YES",(Table4[[#This Row],[Strength of Win]]-1)^2,(Table4[[#This Row],[Strength of Win]]-0)^2))</f>
        <v>0.39371437846776536</v>
      </c>
      <c r="O607">
        <v>0.36356169782710945</v>
      </c>
      <c r="P607" s="11">
        <v>0.63125247363078107</v>
      </c>
      <c r="Q607" t="s">
        <v>31</v>
      </c>
      <c r="R607" t="s">
        <v>249</v>
      </c>
    </row>
    <row r="608" spans="4:18" x14ac:dyDescent="0.2">
      <c r="D608" s="1">
        <v>46020</v>
      </c>
      <c r="E608" s="2">
        <v>0.79166666666666663</v>
      </c>
      <c r="F608" t="s">
        <v>25</v>
      </c>
      <c r="G608">
        <f>VLOOKUP(Table4[[#This Row],[Home]],'NHL Model'!$A$6:$B$38,2,FALSE)</f>
        <v>0.2324942014830165</v>
      </c>
      <c r="H608" t="s">
        <v>15</v>
      </c>
      <c r="I608">
        <f>VLOOKUP(Table4[[#This Row],[Visitor]],'NHL Model'!$A$6:$B$38,2,FALSE)</f>
        <v>-0.73651915476403329</v>
      </c>
      <c r="J608">
        <f>($B$1+Table4[[#This Row],[Home Differential]])-Table4[[#This Row],[Away Differential]]</f>
        <v>1.0986203420585738</v>
      </c>
      <c r="K608" t="str">
        <f>IF(Table4[[#This Row],[HomeIce Differential]]&gt;0,Table4[[#This Row],[Home]],Table4[[#This Row],[Visitor]])</f>
        <v>Carolina Hurricanes</v>
      </c>
      <c r="L6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0.68383538156755252</v>
      </c>
      <c r="M608" t="str">
        <f>IF(OR((NHL2025_26Results[[#This Row],[Winning Team]]="")),"-",IF(Table4[[#This Row],[Predicted Winner]]=NHL2025_26Results[[#This Row],[Winning Team]],"YES","NO"))</f>
        <v>YES</v>
      </c>
      <c r="N608">
        <f>IF(Table4[[#This Row],[Adjusted Correct]]="-", "",IF(Table4[[#This Row],[Adjusted Correct]]="YES",(Table4[[#This Row],[Strength of Win]]-1)^2,(Table4[[#This Row],[Strength of Win]]-0)^2))</f>
        <v>9.9960065948535112E-2</v>
      </c>
      <c r="O608">
        <v>0.64510195758953648</v>
      </c>
      <c r="P608" s="11">
        <v>0.56826655966463691</v>
      </c>
      <c r="Q608" t="s">
        <v>25</v>
      </c>
      <c r="R608" t="s">
        <v>248</v>
      </c>
    </row>
    <row r="609" spans="4:18" x14ac:dyDescent="0.2">
      <c r="D609" s="1">
        <v>46020</v>
      </c>
      <c r="E609" s="2">
        <v>0.875</v>
      </c>
      <c r="F609" t="s">
        <v>16</v>
      </c>
      <c r="G609">
        <f>VLOOKUP(Table4[[#This Row],[Home]],'NHL Model'!$A$6:$B$38,2,FALSE)</f>
        <v>-0.89031221864884547</v>
      </c>
      <c r="H609" t="s">
        <v>21</v>
      </c>
      <c r="I609">
        <f>VLOOKUP(Table4[[#This Row],[Visitor]],'NHL Model'!$A$6:$B$38,2,FALSE)</f>
        <v>-0.10253061303059285</v>
      </c>
      <c r="J609">
        <f>($B$1+Table4[[#This Row],[Home Differential]])-Table4[[#This Row],[Away Differential]]</f>
        <v>-0.65817461980672853</v>
      </c>
      <c r="K609" t="str">
        <f>IF(Table4[[#This Row],[HomeIce Differential]]&gt;0,Table4[[#This Row],[Home]],Table4[[#This Row],[Visitor]])</f>
        <v>Boston Bruins</v>
      </c>
      <c r="L6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0.53390897268797732</v>
      </c>
      <c r="M609" t="str">
        <f>IF(OR((NHL2025_26Results[[#This Row],[Winning Team]]="")),"-",IF(Table4[[#This Row],[Predicted Winner]]=NHL2025_26Results[[#This Row],[Winning Team]],"YES","NO"))</f>
        <v>NO</v>
      </c>
      <c r="N609">
        <f>IF(Table4[[#This Row],[Adjusted Correct]]="-", "",IF(Table4[[#This Row],[Adjusted Correct]]="YES",(Table4[[#This Row],[Strength of Win]]-1)^2,(Table4[[#This Row],[Strength of Win]]-0)^2))</f>
        <v>0.28505879111673132</v>
      </c>
      <c r="O609">
        <v>-0.2389004269859033</v>
      </c>
      <c r="P609" s="11">
        <v>0.46481264337588896</v>
      </c>
      <c r="Q609" t="s">
        <v>21</v>
      </c>
      <c r="R609" t="s">
        <v>249</v>
      </c>
    </row>
    <row r="610" spans="4:18" x14ac:dyDescent="0.2">
      <c r="D610" s="1">
        <v>46020</v>
      </c>
      <c r="E610" s="2">
        <v>0.875</v>
      </c>
      <c r="F610" t="s">
        <v>12</v>
      </c>
      <c r="G610">
        <f>VLOOKUP(Table4[[#This Row],[Home]],'NHL Model'!$A$6:$B$38,2,FALSE)</f>
        <v>0.99866683349964291</v>
      </c>
      <c r="H610" t="s">
        <v>13</v>
      </c>
      <c r="I610">
        <f>VLOOKUP(Table4[[#This Row],[Visitor]],'NHL Model'!$A$6:$B$38,2,FALSE)</f>
        <v>-0.59069689888466137</v>
      </c>
      <c r="J610">
        <f>($B$1+Table4[[#This Row],[Home Differential]])-Table4[[#This Row],[Away Differential]]</f>
        <v>1.7189707181958283</v>
      </c>
      <c r="K610" t="str">
        <f>IF(Table4[[#This Row],[HomeIce Differential]]&gt;0,Table4[[#This Row],[Home]],Table4[[#This Row],[Visitor]])</f>
        <v>Colorado Avalanche</v>
      </c>
      <c r="L6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0.79302986781817153</v>
      </c>
      <c r="M610" t="str">
        <f>IF(OR((NHL2025_26Results[[#This Row],[Winning Team]]="")),"-",IF(Table4[[#This Row],[Predicted Winner]]=NHL2025_26Results[[#This Row],[Winning Team]],"YES","NO"))</f>
        <v>YES</v>
      </c>
      <c r="N610">
        <f>IF(Table4[[#This Row],[Adjusted Correct]]="-", "",IF(Table4[[#This Row],[Adjusted Correct]]="YES",(Table4[[#This Row],[Strength of Win]]-1)^2,(Table4[[#This Row],[Strength of Win]]-0)^2))</f>
        <v>4.283663561536355E-2</v>
      </c>
      <c r="O610">
        <v>1.7889270686695991</v>
      </c>
      <c r="P610" s="11">
        <v>0.81055812564456664</v>
      </c>
      <c r="Q610" t="s">
        <v>12</v>
      </c>
      <c r="R610" t="s">
        <v>248</v>
      </c>
    </row>
    <row r="611" spans="4:18" x14ac:dyDescent="0.2">
      <c r="D611" s="1">
        <v>46020</v>
      </c>
      <c r="E611" s="2">
        <v>0.79166666666666663</v>
      </c>
      <c r="F611" t="s">
        <v>11</v>
      </c>
      <c r="G611">
        <f>VLOOKUP(Table4[[#This Row],[Home]],'NHL Model'!$A$6:$B$38,2,FALSE)</f>
        <v>-0.55695213126481558</v>
      </c>
      <c r="H611" t="s">
        <v>22</v>
      </c>
      <c r="I611">
        <f>VLOOKUP(Table4[[#This Row],[Visitor]],'NHL Model'!$A$6:$B$38,2,FALSE)</f>
        <v>-0.11977593183651415</v>
      </c>
      <c r="J611">
        <f>($B$1+Table4[[#This Row],[Home Differential]])-Table4[[#This Row],[Away Differential]]</f>
        <v>-0.30756921361677736</v>
      </c>
      <c r="K611" t="str">
        <f>IF(Table4[[#This Row],[HomeIce Differential]]&gt;0,Table4[[#This Row],[Home]],Table4[[#This Row],[Visitor]])</f>
        <v>Washington Capitals</v>
      </c>
      <c r="L6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0.49453813611886205</v>
      </c>
      <c r="M611" t="str">
        <f>IF(OR((NHL2025_26Results[[#This Row],[Winning Team]]="")),"-",IF(Table4[[#This Row],[Predicted Winner]]=NHL2025_26Results[[#This Row],[Winning Team]],"YES","NO"))</f>
        <v>NO</v>
      </c>
      <c r="N611">
        <f>IF(Table4[[#This Row],[Adjusted Correct]]="-", "",IF(Table4[[#This Row],[Adjusted Correct]]="YES",(Table4[[#This Row],[Strength of Win]]-1)^2,(Table4[[#This Row],[Strength of Win]]-0)^2))</f>
        <v>0.24456796807591813</v>
      </c>
      <c r="O611">
        <v>-0.23194065348732351</v>
      </c>
      <c r="P611" s="11">
        <v>0.50348388143647382</v>
      </c>
      <c r="Q611" t="s">
        <v>22</v>
      </c>
      <c r="R611" t="s">
        <v>249</v>
      </c>
    </row>
    <row r="612" spans="4:18" x14ac:dyDescent="0.2">
      <c r="D612" s="1">
        <v>46020</v>
      </c>
      <c r="E612" s="2">
        <v>0.79166666666666663</v>
      </c>
      <c r="F612" t="s">
        <v>36</v>
      </c>
      <c r="G612">
        <f>VLOOKUP(Table4[[#This Row],[Home]],'NHL Model'!$A$6:$B$38,2,FALSE)</f>
        <v>-0.19010748264223354</v>
      </c>
      <c r="H612" t="s">
        <v>28</v>
      </c>
      <c r="I612">
        <f>VLOOKUP(Table4[[#This Row],[Visitor]],'NHL Model'!$A$6:$B$38,2,FALSE)</f>
        <v>-0.28156479873410767</v>
      </c>
      <c r="J612">
        <f>($B$1+Table4[[#This Row],[Home Differential]])-Table4[[#This Row],[Away Differential]]</f>
        <v>0.22106430190339824</v>
      </c>
      <c r="K612" t="str">
        <f>IF(Table4[[#This Row],[HomeIce Differential]]&gt;0,Table4[[#This Row],[Home]],Table4[[#This Row],[Visitor]])</f>
        <v>Ottawa Senators</v>
      </c>
      <c r="L6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0.55280798172590984</v>
      </c>
      <c r="M612" t="str">
        <f>IF(OR((NHL2025_26Results[[#This Row],[Winning Team]]="")),"-",IF(Table4[[#This Row],[Predicted Winner]]=NHL2025_26Results[[#This Row],[Winning Team]],"YES","NO"))</f>
        <v>NO</v>
      </c>
      <c r="N612">
        <f>IF(Table4[[#This Row],[Adjusted Correct]]="-", "",IF(Table4[[#This Row],[Adjusted Correct]]="YES",(Table4[[#This Row],[Strength of Win]]-1)^2,(Table4[[#This Row],[Strength of Win]]-0)^2))</f>
        <v>0.30559666465987384</v>
      </c>
      <c r="O612">
        <v>0.48125764172925323</v>
      </c>
      <c r="P612" s="11">
        <v>0.59233566012666805</v>
      </c>
      <c r="Q612" t="s">
        <v>36</v>
      </c>
      <c r="R612" t="s">
        <v>249</v>
      </c>
    </row>
    <row r="613" spans="4:18" x14ac:dyDescent="0.2">
      <c r="D613" s="1">
        <v>46020</v>
      </c>
      <c r="E613" s="2">
        <v>0.91666666666666663</v>
      </c>
      <c r="F613" t="s">
        <v>32</v>
      </c>
      <c r="G613">
        <f>VLOOKUP(Table4[[#This Row],[Home]],'NHL Model'!$A$6:$B$38,2,FALSE)</f>
        <v>-0.48236715437805205</v>
      </c>
      <c r="H613" t="s">
        <v>38</v>
      </c>
      <c r="I613">
        <f>VLOOKUP(Table4[[#This Row],[Visitor]],'NHL Model'!$A$6:$B$38,2,FALSE)</f>
        <v>-1.3920033028857945</v>
      </c>
      <c r="J613">
        <f>($B$1+Table4[[#This Row],[Home Differential]])-Table4[[#This Row],[Away Differential]]</f>
        <v>1.0392431343192667</v>
      </c>
      <c r="K613" t="str">
        <f>IF(Table4[[#This Row],[HomeIce Differential]]&gt;0,Table4[[#This Row],[Home]],Table4[[#This Row],[Visitor]])</f>
        <v>Seattle Kraken</v>
      </c>
      <c r="L6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0.65670062946688146</v>
      </c>
      <c r="M613" t="str">
        <f>IF(OR((NHL2025_26Results[[#This Row],[Winning Team]]="")),"-",IF(Table4[[#This Row],[Predicted Winner]]=NHL2025_26Results[[#This Row],[Winning Team]],"YES","NO"))</f>
        <v>NO</v>
      </c>
      <c r="N613">
        <f>IF(Table4[[#This Row],[Adjusted Correct]]="-", "",IF(Table4[[#This Row],[Adjusted Correct]]="YES",(Table4[[#This Row],[Strength of Win]]-1)^2,(Table4[[#This Row],[Strength of Win]]-0)^2))</f>
        <v>0.43125571674219831</v>
      </c>
      <c r="O613">
        <v>0.20779317973099626</v>
      </c>
      <c r="P613" s="11">
        <v>0.53020669847124846</v>
      </c>
      <c r="Q613" t="s">
        <v>32</v>
      </c>
      <c r="R613" t="s">
        <v>249</v>
      </c>
    </row>
    <row r="614" spans="4:18" x14ac:dyDescent="0.2">
      <c r="D614" s="1">
        <v>46020</v>
      </c>
      <c r="E614" s="2">
        <v>0.83333333333333337</v>
      </c>
      <c r="F614" t="s">
        <v>35</v>
      </c>
      <c r="G614">
        <f>VLOOKUP(Table4[[#This Row],[Home]],'NHL Model'!$A$6:$B$38,2,FALSE)</f>
        <v>-1.3128572733047907</v>
      </c>
      <c r="H614" t="s">
        <v>23</v>
      </c>
      <c r="I614">
        <f>VLOOKUP(Table4[[#This Row],[Visitor]],'NHL Model'!$A$6:$B$38,2,FALSE)</f>
        <v>8.1543966060426461E-3</v>
      </c>
      <c r="J614">
        <f>($B$1+Table4[[#This Row],[Home Differential]])-Table4[[#This Row],[Away Differential]]</f>
        <v>-1.1914046840993093</v>
      </c>
      <c r="K614" t="str">
        <f>IF(Table4[[#This Row],[HomeIce Differential]]&gt;0,Table4[[#This Row],[Home]],Table4[[#This Row],[Visitor]])</f>
        <v>Buffalo Sabres</v>
      </c>
      <c r="L6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0.63068184811543648</v>
      </c>
      <c r="M614" t="str">
        <f>IF(OR((NHL2025_26Results[[#This Row],[Winning Team]]="")),"-",IF(Table4[[#This Row],[Predicted Winner]]=NHL2025_26Results[[#This Row],[Winning Team]],"YES","NO"))</f>
        <v>YES</v>
      </c>
      <c r="N614">
        <f>IF(Table4[[#This Row],[Adjusted Correct]]="-", "",IF(Table4[[#This Row],[Adjusted Correct]]="YES",(Table4[[#This Row],[Strength of Win]]-1)^2,(Table4[[#This Row],[Strength of Win]]-0)^2))</f>
        <v>0.13639589731142954</v>
      </c>
      <c r="O614">
        <v>-0.86370035026815695</v>
      </c>
      <c r="P614" s="11">
        <v>0.55392542385508414</v>
      </c>
      <c r="Q614" t="s">
        <v>23</v>
      </c>
      <c r="R614" t="s">
        <v>248</v>
      </c>
    </row>
    <row r="615" spans="4:18" x14ac:dyDescent="0.2">
      <c r="D615" s="1">
        <v>46020</v>
      </c>
      <c r="E615" s="2">
        <v>0.875</v>
      </c>
      <c r="F615" t="s">
        <v>55</v>
      </c>
      <c r="G615">
        <f>VLOOKUP(Table4[[#This Row],[Home]],'NHL Model'!$A$6:$B$38,2,FALSE)</f>
        <v>8.4094725828611647E-2</v>
      </c>
      <c r="H615" t="s">
        <v>29</v>
      </c>
      <c r="I615">
        <f>VLOOKUP(Table4[[#This Row],[Visitor]],'NHL Model'!$A$6:$B$38,2,FALSE)</f>
        <v>-0.82056481120798741</v>
      </c>
      <c r="J615">
        <f>($B$1+Table4[[#This Row],[Home Differential]])-Table4[[#This Row],[Away Differential]]</f>
        <v>1.0342665228481231</v>
      </c>
      <c r="K615" t="str">
        <f>IF(Table4[[#This Row],[HomeIce Differential]]&gt;0,Table4[[#This Row],[Home]],Table4[[#This Row],[Visitor]])</f>
        <v>Utah Mammoth</v>
      </c>
      <c r="L6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0.6850842229365639</v>
      </c>
      <c r="M615" t="str">
        <f>IF(OR((NHL2025_26Results[[#This Row],[Winning Team]]="")),"-",IF(Table4[[#This Row],[Predicted Winner]]=NHL2025_26Results[[#This Row],[Winning Team]],"YES","NO"))</f>
        <v>NO</v>
      </c>
      <c r="N615">
        <f>IF(Table4[[#This Row],[Adjusted Correct]]="-", "",IF(Table4[[#This Row],[Adjusted Correct]]="YES",(Table4[[#This Row],[Strength of Win]]-1)^2,(Table4[[#This Row],[Strength of Win]]-0)^2))</f>
        <v>0.46934039251659559</v>
      </c>
      <c r="O615">
        <v>0.6607289469425055</v>
      </c>
      <c r="P615" s="11">
        <v>0.62197500060696254</v>
      </c>
      <c r="Q615" t="s">
        <v>55</v>
      </c>
      <c r="R615" t="s">
        <v>249</v>
      </c>
    </row>
    <row r="616" spans="4:18" x14ac:dyDescent="0.2">
      <c r="D616" s="1">
        <v>46020</v>
      </c>
      <c r="E616" s="2">
        <v>0.91666666666666663</v>
      </c>
      <c r="F616" t="s">
        <v>20</v>
      </c>
      <c r="G616">
        <f>VLOOKUP(Table4[[#This Row],[Home]],'NHL Model'!$A$6:$B$38,2,FALSE)</f>
        <v>-0.16296463421387539</v>
      </c>
      <c r="H616" t="s">
        <v>34</v>
      </c>
      <c r="I616">
        <f>VLOOKUP(Table4[[#This Row],[Visitor]],'NHL Model'!$A$6:$B$38,2,FALSE)</f>
        <v>6.0485283743665949E-2</v>
      </c>
      <c r="J616">
        <f>($B$1+Table4[[#This Row],[Home Differential]])-Table4[[#This Row],[Away Differential]]</f>
        <v>-9.384293214601723E-2</v>
      </c>
      <c r="K616" t="str">
        <f>IF(Table4[[#This Row],[HomeIce Differential]]&gt;0,Table4[[#This Row],[Home]],Table4[[#This Row],[Visitor]])</f>
        <v>Minnesota Wild</v>
      </c>
      <c r="L6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0.53980324095818355</v>
      </c>
      <c r="M616" t="str">
        <f>IF(OR((NHL2025_26Results[[#This Row],[Winning Team]]="")),"-",IF(Table4[[#This Row],[Predicted Winner]]=NHL2025_26Results[[#This Row],[Winning Team]],"YES","NO"))</f>
        <v>YES</v>
      </c>
      <c r="N616">
        <f>IF(Table4[[#This Row],[Adjusted Correct]]="-", "",IF(Table4[[#This Row],[Adjusted Correct]]="YES",(Table4[[#This Row],[Strength of Win]]-1)^2,(Table4[[#This Row],[Strength of Win]]-0)^2))</f>
        <v>0.21178105703259167</v>
      </c>
      <c r="O616">
        <v>-0.21050628006144234</v>
      </c>
      <c r="P616" s="11">
        <v>0.54426850691308881</v>
      </c>
      <c r="Q616" t="s">
        <v>34</v>
      </c>
      <c r="R616" t="s">
        <v>248</v>
      </c>
    </row>
    <row r="617" spans="4:18" x14ac:dyDescent="0.2">
      <c r="D617" s="1">
        <v>46020</v>
      </c>
      <c r="E617" s="2">
        <v>0.8125</v>
      </c>
      <c r="F617" t="s">
        <v>40</v>
      </c>
      <c r="G617">
        <f>VLOOKUP(Table4[[#This Row],[Home]],'NHL Model'!$A$6:$B$38,2,FALSE)</f>
        <v>-0.58845147248022256</v>
      </c>
      <c r="H617" t="s">
        <v>17</v>
      </c>
      <c r="I617">
        <f>VLOOKUP(Table4[[#This Row],[Visitor]],'NHL Model'!$A$6:$B$38,2,FALSE)</f>
        <v>-0.36462594951491906</v>
      </c>
      <c r="J617">
        <f>($B$1+Table4[[#This Row],[Home Differential]])-Table4[[#This Row],[Away Differential]]</f>
        <v>-9.4218537153779425E-2</v>
      </c>
      <c r="K617" t="str">
        <f>IF(Table4[[#This Row],[HomeIce Differential]]&gt;0,Table4[[#This Row],[Home]],Table4[[#This Row],[Visitor]])</f>
        <v>Edmonton Oilers</v>
      </c>
      <c r="L6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0.47058016380401407</v>
      </c>
      <c r="M617" t="str">
        <f>IF(OR((NHL2025_26Results[[#This Row],[Winning Team]]="")),"-",IF(Table4[[#This Row],[Predicted Winner]]=NHL2025_26Results[[#This Row],[Winning Team]],"YES","NO"))</f>
        <v>YES</v>
      </c>
      <c r="N617">
        <f>IF(Table4[[#This Row],[Adjusted Correct]]="-", "",IF(Table4[[#This Row],[Adjusted Correct]]="YES",(Table4[[#This Row],[Strength of Win]]-1)^2,(Table4[[#This Row],[Strength of Win]]-0)^2))</f>
        <v>0.2802853629577845</v>
      </c>
      <c r="O617">
        <v>-5.0823701282327362E-2</v>
      </c>
      <c r="P617" s="11">
        <v>0.46552696045954445</v>
      </c>
      <c r="Q617" t="s">
        <v>17</v>
      </c>
      <c r="R617" t="s">
        <v>248</v>
      </c>
    </row>
    <row r="618" spans="4:18" x14ac:dyDescent="0.2">
      <c r="D618" s="1">
        <v>46021</v>
      </c>
      <c r="E618" s="2">
        <v>0.85416666666666663</v>
      </c>
      <c r="F618" t="s">
        <v>10</v>
      </c>
      <c r="G618">
        <f>VLOOKUP(Table4[[#This Row],[Home]],'NHL Model'!$A$6:$B$38,2,FALSE)</f>
        <v>-0.92658078135875344</v>
      </c>
      <c r="H618" t="s">
        <v>30</v>
      </c>
      <c r="I618">
        <f>VLOOKUP(Table4[[#This Row],[Visitor]],'NHL Model'!$A$6:$B$38,2,FALSE)</f>
        <v>-0.18630462558229716</v>
      </c>
      <c r="J618">
        <f>($B$1+Table4[[#This Row],[Home Differential]])-Table4[[#This Row],[Away Differential]]</f>
        <v>-0.61066916996493226</v>
      </c>
      <c r="K618" t="str">
        <f>IF(Table4[[#This Row],[HomeIce Differential]]&gt;0,Table4[[#This Row],[Home]],Table4[[#This Row],[Visitor]])</f>
        <v>New York Islanders</v>
      </c>
      <c r="L6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0.56546881199790899</v>
      </c>
      <c r="M618" t="str">
        <f>IF(OR((NHL2025_26Results[[#This Row],[Winning Team]]="")),"-",IF(Table4[[#This Row],[Predicted Winner]]=NHL2025_26Results[[#This Row],[Winning Team]],"YES","NO"))</f>
        <v>YES</v>
      </c>
      <c r="N618">
        <f>IF(Table4[[#This Row],[Adjusted Correct]]="-", "",IF(Table4[[#This Row],[Adjusted Correct]]="YES",(Table4[[#This Row],[Strength of Win]]-1)^2,(Table4[[#This Row],[Strength of Win]]-0)^2))</f>
        <v>0.18881735334650857</v>
      </c>
      <c r="O618">
        <v>-0.67422053273125782</v>
      </c>
      <c r="P618" s="11">
        <v>0.55472648530553359</v>
      </c>
      <c r="Q618" t="s">
        <v>30</v>
      </c>
      <c r="R618" t="s">
        <v>248</v>
      </c>
    </row>
    <row r="619" spans="4:18" x14ac:dyDescent="0.2">
      <c r="D619" s="1">
        <v>46021</v>
      </c>
      <c r="E619" s="2">
        <v>0.79166666666666663</v>
      </c>
      <c r="F619" t="s">
        <v>11</v>
      </c>
      <c r="G619">
        <f>VLOOKUP(Table4[[#This Row],[Home]],'NHL Model'!$A$6:$B$38,2,FALSE)</f>
        <v>-0.55695213126481558</v>
      </c>
      <c r="H619" t="s">
        <v>18</v>
      </c>
      <c r="I619">
        <f>VLOOKUP(Table4[[#This Row],[Visitor]],'NHL Model'!$A$6:$B$38,2,FALSE)</f>
        <v>-8.6274676766085606E-2</v>
      </c>
      <c r="J619">
        <f>($B$1+Table4[[#This Row],[Home Differential]])-Table4[[#This Row],[Away Differential]]</f>
        <v>-0.34107046868720592</v>
      </c>
      <c r="K619" t="str">
        <f>IF(Table4[[#This Row],[HomeIce Differential]]&gt;0,Table4[[#This Row],[Home]],Table4[[#This Row],[Visitor]])</f>
        <v>Montreal Canadiens</v>
      </c>
      <c r="L6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0.54366967305754965</v>
      </c>
      <c r="M619" t="str">
        <f>IF(OR((NHL2025_26Results[[#This Row],[Winning Team]]="")),"-",IF(Table4[[#This Row],[Predicted Winner]]=NHL2025_26Results[[#This Row],[Winning Team]],"YES","NO"))</f>
        <v>YES</v>
      </c>
      <c r="N619">
        <f>IF(Table4[[#This Row],[Adjusted Correct]]="-", "",IF(Table4[[#This Row],[Adjusted Correct]]="YES",(Table4[[#This Row],[Strength of Win]]-1)^2,(Table4[[#This Row],[Strength of Win]]-0)^2))</f>
        <v>0.20823736728740364</v>
      </c>
      <c r="O619">
        <v>0.3168799774813727</v>
      </c>
      <c r="P619" s="11">
        <v>0.53906985156807441</v>
      </c>
      <c r="Q619" t="s">
        <v>11</v>
      </c>
      <c r="R619" t="s">
        <v>249</v>
      </c>
    </row>
    <row r="620" spans="4:18" x14ac:dyDescent="0.2">
      <c r="D620" s="1">
        <v>46021</v>
      </c>
      <c r="E620" s="2">
        <v>0.79166666666666663</v>
      </c>
      <c r="F620" t="s">
        <v>14</v>
      </c>
      <c r="G620">
        <f>VLOOKUP(Table4[[#This Row],[Home]],'NHL Model'!$A$6:$B$38,2,FALSE)</f>
        <v>3.6349513460996066E-5</v>
      </c>
      <c r="H620" t="s">
        <v>25</v>
      </c>
      <c r="I620">
        <f>VLOOKUP(Table4[[#This Row],[Visitor]],'NHL Model'!$A$6:$B$38,2,FALSE)</f>
        <v>0.2324942014830165</v>
      </c>
      <c r="J620">
        <f>($B$1+Table4[[#This Row],[Home Differential]])-Table4[[#This Row],[Away Differential]]</f>
        <v>-0.10285086615803141</v>
      </c>
      <c r="K620" t="str">
        <f>IF(Table4[[#This Row],[HomeIce Differential]]&gt;0,Table4[[#This Row],[Home]],Table4[[#This Row],[Visitor]])</f>
        <v>Carolina Hurricanes</v>
      </c>
      <c r="L6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0.52807844702198314</v>
      </c>
      <c r="M620" t="str">
        <f>IF(OR((NHL2025_26Results[[#This Row],[Winning Team]]="")),"-",IF(Table4[[#This Row],[Predicted Winner]]=NHL2025_26Results[[#This Row],[Winning Team]],"YES","NO"))</f>
        <v>NO</v>
      </c>
      <c r="N620">
        <f>IF(Table4[[#This Row],[Adjusted Correct]]="-", "",IF(Table4[[#This Row],[Adjusted Correct]]="YES",(Table4[[#This Row],[Strength of Win]]-1)^2,(Table4[[#This Row],[Strength of Win]]-0)^2))</f>
        <v>0.27886684620914948</v>
      </c>
      <c r="O620">
        <v>-0.67901404352382766</v>
      </c>
      <c r="P620" s="11">
        <v>0.60537109987316473</v>
      </c>
      <c r="Q620" t="s">
        <v>25</v>
      </c>
      <c r="R620" t="s">
        <v>249</v>
      </c>
    </row>
    <row r="621" spans="4:18" x14ac:dyDescent="0.2">
      <c r="D621" s="1">
        <v>46021</v>
      </c>
      <c r="E621" s="2">
        <v>0.79166666666666663</v>
      </c>
      <c r="F621" t="s">
        <v>19</v>
      </c>
      <c r="G621">
        <f>VLOOKUP(Table4[[#This Row],[Home]],'NHL Model'!$A$6:$B$38,2,FALSE)</f>
        <v>-0.44228056828684137</v>
      </c>
      <c r="H621" t="s">
        <v>24</v>
      </c>
      <c r="I621">
        <f>VLOOKUP(Table4[[#This Row],[Visitor]],'NHL Model'!$A$6:$B$38,2,FALSE)</f>
        <v>-0.74510803532792402</v>
      </c>
      <c r="J621">
        <f>($B$1+Table4[[#This Row],[Home Differential]])-Table4[[#This Row],[Away Differential]]</f>
        <v>0.43243445285260673</v>
      </c>
      <c r="K621" t="str">
        <f>IF(Table4[[#This Row],[HomeIce Differential]]&gt;0,Table4[[#This Row],[Home]],Table4[[#This Row],[Visitor]])</f>
        <v>Toronto Maple Leafs</v>
      </c>
      <c r="L6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0.56779050581649315</v>
      </c>
      <c r="M621" t="str">
        <f>IF(OR((NHL2025_26Results[[#This Row],[Winning Team]]="")),"-",IF(Table4[[#This Row],[Predicted Winner]]=NHL2025_26Results[[#This Row],[Winning Team]],"YES","NO"))</f>
        <v>YES</v>
      </c>
      <c r="N621">
        <f>IF(Table4[[#This Row],[Adjusted Correct]]="-", "",IF(Table4[[#This Row],[Adjusted Correct]]="YES",(Table4[[#This Row],[Strength of Win]]-1)^2,(Table4[[#This Row],[Strength of Win]]-0)^2))</f>
        <v>0.18680504686236285</v>
      </c>
      <c r="O621">
        <v>-7.6964281179312463E-2</v>
      </c>
      <c r="P621" s="11">
        <v>0.49951386937091524</v>
      </c>
      <c r="Q621" t="s">
        <v>24</v>
      </c>
      <c r="R621" t="s">
        <v>249</v>
      </c>
    </row>
    <row r="622" spans="4:18" x14ac:dyDescent="0.2">
      <c r="D622" s="1">
        <v>46021</v>
      </c>
      <c r="E622" s="2">
        <v>0.91666666666666663</v>
      </c>
      <c r="F622" t="s">
        <v>38</v>
      </c>
      <c r="G622">
        <f>VLOOKUP(Table4[[#This Row],[Home]],'NHL Model'!$A$6:$B$38,2,FALSE)</f>
        <v>-1.3920033028857945</v>
      </c>
      <c r="H622" t="s">
        <v>27</v>
      </c>
      <c r="I622">
        <f>VLOOKUP(Table4[[#This Row],[Visitor]],'NHL Model'!$A$6:$B$38,2,FALSE)</f>
        <v>-0.55097933929175691</v>
      </c>
      <c r="J622">
        <f>($B$1+Table4[[#This Row],[Home Differential]])-Table4[[#This Row],[Away Differential]]</f>
        <v>-0.71141697778251356</v>
      </c>
      <c r="K622" t="str">
        <f>IF(Table4[[#This Row],[HomeIce Differential]]&gt;0,Table4[[#This Row],[Home]],Table4[[#This Row],[Visitor]])</f>
        <v>Philadelphia Flyers</v>
      </c>
      <c r="L6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0.53988776291029139</v>
      </c>
      <c r="M622" t="str">
        <f>IF(OR((NHL2025_26Results[[#This Row],[Winning Team]]="")),"-",IF(Table4[[#This Row],[Predicted Winner]]=NHL2025_26Results[[#This Row],[Winning Team]],"YES","NO"))</f>
        <v>YES</v>
      </c>
      <c r="N622">
        <f>IF(Table4[[#This Row],[Adjusted Correct]]="-", "",IF(Table4[[#This Row],[Adjusted Correct]]="YES",(Table4[[#This Row],[Strength of Win]]-1)^2,(Table4[[#This Row],[Strength of Win]]-0)^2))</f>
        <v>0.21170327071969622</v>
      </c>
      <c r="O622">
        <v>-0.58624335140751205</v>
      </c>
      <c r="P622" s="11">
        <v>0.52996451754113305</v>
      </c>
      <c r="Q622" t="s">
        <v>27</v>
      </c>
      <c r="R622" t="s">
        <v>248</v>
      </c>
    </row>
    <row r="623" spans="4:18" x14ac:dyDescent="0.2">
      <c r="D623" s="1">
        <v>46022</v>
      </c>
      <c r="E623" s="2">
        <v>0.66666666666666663</v>
      </c>
      <c r="F623" t="s">
        <v>31</v>
      </c>
      <c r="G623">
        <f>VLOOKUP(Table4[[#This Row],[Home]],'NHL Model'!$A$6:$B$38,2,FALSE)</f>
        <v>-0.46360583111358089</v>
      </c>
      <c r="H623" t="s">
        <v>37</v>
      </c>
      <c r="I623">
        <f>VLOOKUP(Table4[[#This Row],[Visitor]],'NHL Model'!$A$6:$B$38,2,FALSE)</f>
        <v>0.72108184732572844</v>
      </c>
      <c r="J623">
        <f>($B$1+Table4[[#This Row],[Home Differential]])-Table4[[#This Row],[Away Differential]]</f>
        <v>-1.0550806926277851</v>
      </c>
      <c r="K623" t="str">
        <f>IF(Table4[[#This Row],[HomeIce Differential]]&gt;0,Table4[[#This Row],[Home]],Table4[[#This Row],[Visitor]])</f>
        <v>Tampa Bay Lightning</v>
      </c>
      <c r="L6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0.62290386888145843</v>
      </c>
      <c r="M623" t="str">
        <f>IF(OR((NHL2025_26Results[[#This Row],[Winning Team]]="")),"-",IF(Table4[[#This Row],[Predicted Winner]]=NHL2025_26Results[[#This Row],[Winning Team]],"YES","NO"))</f>
        <v>YES</v>
      </c>
      <c r="N623">
        <f>IF(Table4[[#This Row],[Adjusted Correct]]="-", "",IF(Table4[[#This Row],[Adjusted Correct]]="YES",(Table4[[#This Row],[Strength of Win]]-1)^2,(Table4[[#This Row],[Strength of Win]]-0)^2))</f>
        <v>0.14220149210457228</v>
      </c>
      <c r="O623">
        <v>-0.69847779328101445</v>
      </c>
      <c r="P623" s="11">
        <v>0.570279633756128</v>
      </c>
      <c r="Q623" t="s">
        <v>37</v>
      </c>
      <c r="R623" t="s">
        <v>248</v>
      </c>
    </row>
    <row r="624" spans="4:18" x14ac:dyDescent="0.2">
      <c r="D624" s="1">
        <v>46022</v>
      </c>
      <c r="E624" s="2">
        <v>0.79166666666666663</v>
      </c>
      <c r="F624" t="s">
        <v>28</v>
      </c>
      <c r="G624">
        <f>VLOOKUP(Table4[[#This Row],[Home]],'NHL Model'!$A$6:$B$38,2,FALSE)</f>
        <v>-0.28156479873410767</v>
      </c>
      <c r="H624" t="s">
        <v>24</v>
      </c>
      <c r="I624">
        <f>VLOOKUP(Table4[[#This Row],[Visitor]],'NHL Model'!$A$6:$B$38,2,FALSE)</f>
        <v>-0.74510803532792402</v>
      </c>
      <c r="J624">
        <f>($B$1+Table4[[#This Row],[Home Differential]])-Table4[[#This Row],[Away Differential]]</f>
        <v>0.59315022240534043</v>
      </c>
      <c r="K624" t="str">
        <f>IF(Table4[[#This Row],[HomeIce Differential]]&gt;0,Table4[[#This Row],[Home]],Table4[[#This Row],[Visitor]])</f>
        <v>Columbus Blue Jackets</v>
      </c>
      <c r="L6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0.59292292118061207</v>
      </c>
      <c r="M624" t="str">
        <f>IF(OR((NHL2025_26Results[[#This Row],[Winning Team]]="")),"-",IF(Table4[[#This Row],[Predicted Winner]]=NHL2025_26Results[[#This Row],[Winning Team]],"YES","NO"))</f>
        <v>NO</v>
      </c>
      <c r="N624">
        <f>IF(Table4[[#This Row],[Adjusted Correct]]="-", "",IF(Table4[[#This Row],[Adjusted Correct]]="YES",(Table4[[#This Row],[Strength of Win]]-1)^2,(Table4[[#This Row],[Strength of Win]]-0)^2))</f>
        <v>0.35155759046135032</v>
      </c>
      <c r="O624">
        <v>-5.8888281529556746E-3</v>
      </c>
      <c r="P624" s="11">
        <v>0.48143118584087086</v>
      </c>
      <c r="Q624" t="s">
        <v>24</v>
      </c>
      <c r="R624" t="s">
        <v>248</v>
      </c>
    </row>
    <row r="625" spans="4:18" x14ac:dyDescent="0.2">
      <c r="D625" s="1">
        <v>46022</v>
      </c>
      <c r="E625" s="2">
        <v>0.89583333333333337</v>
      </c>
      <c r="F625" t="s">
        <v>16</v>
      </c>
      <c r="G625">
        <f>VLOOKUP(Table4[[#This Row],[Home]],'NHL Model'!$A$6:$B$38,2,FALSE)</f>
        <v>-0.89031221864884547</v>
      </c>
      <c r="H625" t="s">
        <v>27</v>
      </c>
      <c r="I625">
        <f>VLOOKUP(Table4[[#This Row],[Visitor]],'NHL Model'!$A$6:$B$38,2,FALSE)</f>
        <v>-0.55097933929175691</v>
      </c>
      <c r="J625">
        <f>($B$1+Table4[[#This Row],[Home Differential]])-Table4[[#This Row],[Away Differential]]</f>
        <v>-0.20972589354556448</v>
      </c>
      <c r="K625" t="str">
        <f>IF(Table4[[#This Row],[HomeIce Differential]]&gt;0,Table4[[#This Row],[Home]],Table4[[#This Row],[Visitor]])</f>
        <v>Philadelphia Flyers</v>
      </c>
      <c r="L6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0.48355093142694028</v>
      </c>
      <c r="M625" t="str">
        <f>IF(OR((NHL2025_26Results[[#This Row],[Winning Team]]="")),"-",IF(Table4[[#This Row],[Predicted Winner]]=NHL2025_26Results[[#This Row],[Winning Team]],"YES","NO"))</f>
        <v>NO</v>
      </c>
      <c r="N625">
        <f>IF(Table4[[#This Row],[Adjusted Correct]]="-", "",IF(Table4[[#This Row],[Adjusted Correct]]="YES",(Table4[[#This Row],[Strength of Win]]-1)^2,(Table4[[#This Row],[Strength of Win]]-0)^2))</f>
        <v>0.2338215032838615</v>
      </c>
      <c r="O625">
        <v>-0.54363979859023348</v>
      </c>
      <c r="P625" s="11">
        <v>0.51110980189523791</v>
      </c>
      <c r="Q625" t="s">
        <v>27</v>
      </c>
      <c r="R625" t="s">
        <v>249</v>
      </c>
    </row>
    <row r="626" spans="4:18" x14ac:dyDescent="0.2">
      <c r="D626" s="1">
        <v>46022</v>
      </c>
      <c r="E626" s="2">
        <v>0.875</v>
      </c>
      <c r="F626" t="s">
        <v>12</v>
      </c>
      <c r="G626">
        <f>VLOOKUP(Table4[[#This Row],[Home]],'NHL Model'!$A$6:$B$38,2,FALSE)</f>
        <v>0.99866683349964291</v>
      </c>
      <c r="H626" t="s">
        <v>35</v>
      </c>
      <c r="I626">
        <f>VLOOKUP(Table4[[#This Row],[Visitor]],'NHL Model'!$A$6:$B$38,2,FALSE)</f>
        <v>-1.3128572733047907</v>
      </c>
      <c r="J626">
        <f>($B$1+Table4[[#This Row],[Home Differential]])-Table4[[#This Row],[Away Differential]]</f>
        <v>2.441131092615958</v>
      </c>
      <c r="K626" t="str">
        <f>IF(Table4[[#This Row],[HomeIce Differential]]&gt;0,Table4[[#This Row],[Home]],Table4[[#This Row],[Visitor]])</f>
        <v>Colorado Avalanche</v>
      </c>
      <c r="L6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0.89395875901674371</v>
      </c>
      <c r="M626" t="str">
        <f>IF(OR((NHL2025_26Results[[#This Row],[Winning Team]]="")),"-",IF(Table4[[#This Row],[Predicted Winner]]=NHL2025_26Results[[#This Row],[Winning Team]],"YES","NO"))</f>
        <v>YES</v>
      </c>
      <c r="N626">
        <f>IF(Table4[[#This Row],[Adjusted Correct]]="-", "",IF(Table4[[#This Row],[Adjusted Correct]]="YES",(Table4[[#This Row],[Strength of Win]]-1)^2,(Table4[[#This Row],[Strength of Win]]-0)^2))</f>
        <v>1.1244744789269033E-2</v>
      </c>
      <c r="O626">
        <v>2.7959813662746544</v>
      </c>
      <c r="P626" s="11">
        <v>0.97327100225532004</v>
      </c>
      <c r="Q626" t="s">
        <v>12</v>
      </c>
      <c r="R626" t="s">
        <v>248</v>
      </c>
    </row>
    <row r="627" spans="4:18" x14ac:dyDescent="0.2">
      <c r="D627" s="1">
        <v>46022</v>
      </c>
      <c r="E627" s="2">
        <v>0.83333333333333337</v>
      </c>
      <c r="F627" t="s">
        <v>39</v>
      </c>
      <c r="G627">
        <f>VLOOKUP(Table4[[#This Row],[Home]],'NHL Model'!$A$6:$B$38,2,FALSE)</f>
        <v>0.21708030788125537</v>
      </c>
      <c r="H627" t="s">
        <v>23</v>
      </c>
      <c r="I627">
        <f>VLOOKUP(Table4[[#This Row],[Visitor]],'NHL Model'!$A$6:$B$38,2,FALSE)</f>
        <v>8.1543966060426461E-3</v>
      </c>
      <c r="J627">
        <f>($B$1+Table4[[#This Row],[Home Differential]])-Table4[[#This Row],[Away Differential]]</f>
        <v>0.33853289708673684</v>
      </c>
      <c r="K627" t="str">
        <f>IF(Table4[[#This Row],[HomeIce Differential]]&gt;0,Table4[[#This Row],[Home]],Table4[[#This Row],[Visitor]])</f>
        <v>Dallas Stars</v>
      </c>
      <c r="L6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0.57941644173261964</v>
      </c>
      <c r="M627" t="str">
        <f>IF(OR((NHL2025_26Results[[#This Row],[Winning Team]]="")),"-",IF(Table4[[#This Row],[Predicted Winner]]=NHL2025_26Results[[#This Row],[Winning Team]],"YES","NO"))</f>
        <v>NO</v>
      </c>
      <c r="N627">
        <f>IF(Table4[[#This Row],[Adjusted Correct]]="-", "",IF(Table4[[#This Row],[Adjusted Correct]]="YES",(Table4[[#This Row],[Strength of Win]]-1)^2,(Table4[[#This Row],[Strength of Win]]-0)^2))</f>
        <v>0.33572341295009023</v>
      </c>
      <c r="O627">
        <v>0.91158846592369502</v>
      </c>
      <c r="P627" s="11">
        <v>0.6810624979921458</v>
      </c>
      <c r="Q627" t="s">
        <v>39</v>
      </c>
      <c r="R627" t="s">
        <v>249</v>
      </c>
    </row>
    <row r="628" spans="4:18" x14ac:dyDescent="0.2">
      <c r="D628" s="1">
        <v>46022</v>
      </c>
      <c r="E628" s="2">
        <v>0.77083333333333337</v>
      </c>
      <c r="F628" t="s">
        <v>26</v>
      </c>
      <c r="G628">
        <f>VLOOKUP(Table4[[#This Row],[Home]],'NHL Model'!$A$6:$B$38,2,FALSE)</f>
        <v>-0.33113778518110382</v>
      </c>
      <c r="H628" t="s">
        <v>40</v>
      </c>
      <c r="I628">
        <f>VLOOKUP(Table4[[#This Row],[Visitor]],'NHL Model'!$A$6:$B$38,2,FALSE)</f>
        <v>-0.58845147248022256</v>
      </c>
      <c r="J628">
        <f>($B$1+Table4[[#This Row],[Home Differential]])-Table4[[#This Row],[Away Differential]]</f>
        <v>0.38692067311064282</v>
      </c>
      <c r="K628" t="str">
        <f>IF(Table4[[#This Row],[HomeIce Differential]]&gt;0,Table4[[#This Row],[Home]],Table4[[#This Row],[Visitor]])</f>
        <v>Detroit Red Wings</v>
      </c>
      <c r="L6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0.60948655414251451</v>
      </c>
      <c r="M628" t="str">
        <f>IF(OR((NHL2025_26Results[[#This Row],[Winning Team]]="")),"-",IF(Table4[[#This Row],[Predicted Winner]]=NHL2025_26Results[[#This Row],[Winning Team]],"YES","NO"))</f>
        <v>YES</v>
      </c>
      <c r="N628">
        <f>IF(Table4[[#This Row],[Adjusted Correct]]="-", "",IF(Table4[[#This Row],[Adjusted Correct]]="YES",(Table4[[#This Row],[Strength of Win]]-1)^2,(Table4[[#This Row],[Strength of Win]]-0)^2))</f>
        <v>0.15250075139548724</v>
      </c>
      <c r="O628">
        <v>4.9667372656988458E-2</v>
      </c>
      <c r="P628" s="11">
        <v>0.57928118754856484</v>
      </c>
      <c r="Q628" t="s">
        <v>26</v>
      </c>
      <c r="R628" t="s">
        <v>248</v>
      </c>
    </row>
    <row r="629" spans="4:18" x14ac:dyDescent="0.2">
      <c r="D629" s="1">
        <v>46022</v>
      </c>
      <c r="E629" s="2">
        <v>0.89583333333333337</v>
      </c>
      <c r="F629" t="s">
        <v>17</v>
      </c>
      <c r="G629">
        <f>VLOOKUP(Table4[[#This Row],[Home]],'NHL Model'!$A$6:$B$38,2,FALSE)</f>
        <v>-0.36462594951491906</v>
      </c>
      <c r="H629" t="s">
        <v>21</v>
      </c>
      <c r="I629">
        <f>VLOOKUP(Table4[[#This Row],[Visitor]],'NHL Model'!$A$6:$B$38,2,FALSE)</f>
        <v>-0.10253061303059285</v>
      </c>
      <c r="J629">
        <f>($B$1+Table4[[#This Row],[Home Differential]])-Table4[[#This Row],[Away Differential]]</f>
        <v>-0.1324883506728021</v>
      </c>
      <c r="K629" t="str">
        <f>IF(Table4[[#This Row],[HomeIce Differential]]&gt;0,Table4[[#This Row],[Home]],Table4[[#This Row],[Visitor]])</f>
        <v>Boston Bruins</v>
      </c>
      <c r="L6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0.474877629122537</v>
      </c>
      <c r="M629" t="str">
        <f>IF(OR((NHL2025_26Results[[#This Row],[Winning Team]]="")),"-",IF(Table4[[#This Row],[Predicted Winner]]=NHL2025_26Results[[#This Row],[Winning Team]],"YES","NO"))</f>
        <v>YES</v>
      </c>
      <c r="N629">
        <f>IF(Table4[[#This Row],[Adjusted Correct]]="-", "",IF(Table4[[#This Row],[Adjusted Correct]]="YES",(Table4[[#This Row],[Strength of Win]]-1)^2,(Table4[[#This Row],[Strength of Win]]-0)^2))</f>
        <v>0.27575350439596785</v>
      </c>
      <c r="O629">
        <v>0.31511129439741992</v>
      </c>
      <c r="P629" s="11">
        <v>0.61145809347621449</v>
      </c>
      <c r="Q629" t="s">
        <v>17</v>
      </c>
      <c r="R629" t="s">
        <v>249</v>
      </c>
    </row>
    <row r="630" spans="4:18" x14ac:dyDescent="0.2">
      <c r="D630" s="1">
        <v>46022</v>
      </c>
      <c r="E630" s="2">
        <v>0.66666666666666663</v>
      </c>
      <c r="F630" t="s">
        <v>33</v>
      </c>
      <c r="G630">
        <f>VLOOKUP(Table4[[#This Row],[Home]],'NHL Model'!$A$6:$B$38,2,FALSE)</f>
        <v>-0.65236582493376272</v>
      </c>
      <c r="H630" t="s">
        <v>34</v>
      </c>
      <c r="I630">
        <f>VLOOKUP(Table4[[#This Row],[Visitor]],'NHL Model'!$A$6:$B$38,2,FALSE)</f>
        <v>6.0485283743665949E-2</v>
      </c>
      <c r="J630">
        <f>($B$1+Table4[[#This Row],[Home Differential]])-Table4[[#This Row],[Away Differential]]</f>
        <v>-0.58324412286590455</v>
      </c>
      <c r="K630" t="str">
        <f>IF(Table4[[#This Row],[HomeIce Differential]]&gt;0,Table4[[#This Row],[Home]],Table4[[#This Row],[Visitor]])</f>
        <v>Minnesota Wild</v>
      </c>
      <c r="L6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0.59475999278340774</v>
      </c>
      <c r="M630" t="str">
        <f>IF(OR((NHL2025_26Results[[#This Row],[Winning Team]]="")),"-",IF(Table4[[#This Row],[Predicted Winner]]=NHL2025_26Results[[#This Row],[Winning Team]],"YES","NO"))</f>
        <v>NO</v>
      </c>
      <c r="N630">
        <f>IF(Table4[[#This Row],[Adjusted Correct]]="-", "",IF(Table4[[#This Row],[Adjusted Correct]]="YES",(Table4[[#This Row],[Strength of Win]]-1)^2,(Table4[[#This Row],[Strength of Win]]-0)^2))</f>
        <v>0.35373944901571924</v>
      </c>
      <c r="O630">
        <v>-0.7947851387290743</v>
      </c>
      <c r="P630" s="11">
        <v>0.620228734977324</v>
      </c>
      <c r="Q630" t="s">
        <v>34</v>
      </c>
      <c r="R630" t="s">
        <v>249</v>
      </c>
    </row>
    <row r="631" spans="4:18" x14ac:dyDescent="0.2">
      <c r="D631" s="1">
        <v>46022</v>
      </c>
      <c r="E631" s="2">
        <v>0.625</v>
      </c>
      <c r="F631" t="s">
        <v>20</v>
      </c>
      <c r="G631">
        <f>VLOOKUP(Table4[[#This Row],[Home]],'NHL Model'!$A$6:$B$38,2,FALSE)</f>
        <v>-0.16296463421387539</v>
      </c>
      <c r="H631" t="s">
        <v>29</v>
      </c>
      <c r="I631">
        <f>VLOOKUP(Table4[[#This Row],[Visitor]],'NHL Model'!$A$6:$B$38,2,FALSE)</f>
        <v>-0.82056481120798741</v>
      </c>
      <c r="J631">
        <f>($B$1+Table4[[#This Row],[Home Differential]])-Table4[[#This Row],[Away Differential]]</f>
        <v>0.78720716280563607</v>
      </c>
      <c r="K631" t="str">
        <f>IF(Table4[[#This Row],[HomeIce Differential]]&gt;0,Table4[[#This Row],[Home]],Table4[[#This Row],[Visitor]])</f>
        <v>Vegas Golden Knights</v>
      </c>
      <c r="L6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0.62839853580599436</v>
      </c>
      <c r="M631" t="str">
        <f>IF(OR((NHL2025_26Results[[#This Row],[Winning Team]]="")),"-",IF(Table4[[#This Row],[Predicted Winner]]=NHL2025_26Results[[#This Row],[Winning Team]],"YES","NO"))</f>
        <v>NO</v>
      </c>
      <c r="N631">
        <f>IF(Table4[[#This Row],[Adjusted Correct]]="-", "",IF(Table4[[#This Row],[Adjusted Correct]]="YES",(Table4[[#This Row],[Strength of Win]]-1)^2,(Table4[[#This Row],[Strength of Win]]-0)^2))</f>
        <v>0.39488471980311757</v>
      </c>
      <c r="O631">
        <v>0.58327322718971741</v>
      </c>
      <c r="P631" s="11">
        <v>0.60556494108192782</v>
      </c>
      <c r="Q631" t="s">
        <v>20</v>
      </c>
      <c r="R631" t="s">
        <v>249</v>
      </c>
    </row>
    <row r="632" spans="4:18" x14ac:dyDescent="0.2">
      <c r="D632" s="1">
        <v>46022</v>
      </c>
      <c r="E632" s="2">
        <v>0.52083333333333337</v>
      </c>
      <c r="F632" t="s">
        <v>22</v>
      </c>
      <c r="G632">
        <f>VLOOKUP(Table4[[#This Row],[Home]],'NHL Model'!$A$6:$B$38,2,FALSE)</f>
        <v>-0.11977593183651415</v>
      </c>
      <c r="H632" t="s">
        <v>15</v>
      </c>
      <c r="I632">
        <f>VLOOKUP(Table4[[#This Row],[Visitor]],'NHL Model'!$A$6:$B$38,2,FALSE)</f>
        <v>-0.73651915476403329</v>
      </c>
      <c r="J632">
        <f>($B$1+Table4[[#This Row],[Home Differential]])-Table4[[#This Row],[Away Differential]]</f>
        <v>0.74635020873904323</v>
      </c>
      <c r="K632" t="str">
        <f>IF(Table4[[#This Row],[HomeIce Differential]]&gt;0,Table4[[#This Row],[Home]],Table4[[#This Row],[Visitor]])</f>
        <v>Washington Capitals</v>
      </c>
      <c r="L6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0.60602269915840457</v>
      </c>
      <c r="M632" t="str">
        <f>IF(OR((NHL2025_26Results[[#This Row],[Winning Team]]="")),"-",IF(Table4[[#This Row],[Predicted Winner]]=NHL2025_26Results[[#This Row],[Winning Team]],"YES","NO"))</f>
        <v>YES</v>
      </c>
      <c r="N632">
        <f>IF(Table4[[#This Row],[Adjusted Correct]]="-", "",IF(Table4[[#This Row],[Adjusted Correct]]="YES",(Table4[[#This Row],[Strength of Win]]-1)^2,(Table4[[#This Row],[Strength of Win]]-0)^2))</f>
        <v>0.15521811357842899</v>
      </c>
      <c r="O632">
        <v>0.45847708734886722</v>
      </c>
      <c r="P632" s="11">
        <v>0.52620844847327219</v>
      </c>
      <c r="Q632" t="s">
        <v>22</v>
      </c>
      <c r="R632" t="s">
        <v>248</v>
      </c>
    </row>
    <row r="633" spans="4:18" x14ac:dyDescent="0.2">
      <c r="D633" s="1">
        <v>46023</v>
      </c>
      <c r="E633" s="2">
        <v>0.79166666666666663</v>
      </c>
      <c r="F633" t="s">
        <v>25</v>
      </c>
      <c r="G633">
        <f>VLOOKUP(Table4[[#This Row],[Home]],'NHL Model'!$A$6:$B$38,2,FALSE)</f>
        <v>0.2324942014830165</v>
      </c>
      <c r="H633" t="s">
        <v>18</v>
      </c>
      <c r="I633">
        <f>VLOOKUP(Table4[[#This Row],[Visitor]],'NHL Model'!$A$6:$B$38,2,FALSE)</f>
        <v>-8.6274676766085606E-2</v>
      </c>
      <c r="J633">
        <f>($B$1+Table4[[#This Row],[Home Differential]])-Table4[[#This Row],[Away Differential]]</f>
        <v>0.44837586406062624</v>
      </c>
      <c r="K633" t="str">
        <f>IF(Table4[[#This Row],[HomeIce Differential]]&gt;0,Table4[[#This Row],[Home]],Table4[[#This Row],[Visitor]])</f>
        <v>Carolina Hurricanes</v>
      </c>
      <c r="L6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0.60148108100229625</v>
      </c>
      <c r="M633" t="str">
        <f>IF(OR((NHL2025_26Results[[#This Row],[Winning Team]]="")),"-",IF(Table4[[#This Row],[Predicted Winner]]=NHL2025_26Results[[#This Row],[Winning Team]],"YES","NO"))</f>
        <v>NO</v>
      </c>
      <c r="N633">
        <f>IF(Table4[[#This Row],[Adjusted Correct]]="-", "",IF(Table4[[#This Row],[Adjusted Correct]]="YES",(Table4[[#This Row],[Strength of Win]]-1)^2,(Table4[[#This Row],[Strength of Win]]-0)^2))</f>
        <v>0.36177949080369087</v>
      </c>
      <c r="O633">
        <v>0.56812324937047964</v>
      </c>
      <c r="P633" s="11">
        <v>0.58993253579200533</v>
      </c>
      <c r="Q633" t="s">
        <v>25</v>
      </c>
      <c r="R633" t="s">
        <v>249</v>
      </c>
    </row>
    <row r="634" spans="4:18" x14ac:dyDescent="0.2">
      <c r="D634" s="1">
        <v>46023</v>
      </c>
      <c r="E634" s="2">
        <v>0.85416666666666663</v>
      </c>
      <c r="F634" t="s">
        <v>10</v>
      </c>
      <c r="G634">
        <f>VLOOKUP(Table4[[#This Row],[Home]],'NHL Model'!$A$6:$B$38,2,FALSE)</f>
        <v>-0.92658078135875344</v>
      </c>
      <c r="H634" t="s">
        <v>39</v>
      </c>
      <c r="I634">
        <f>VLOOKUP(Table4[[#This Row],[Visitor]],'NHL Model'!$A$6:$B$38,2,FALSE)</f>
        <v>0.21708030788125537</v>
      </c>
      <c r="J634">
        <f>($B$1+Table4[[#This Row],[Home Differential]])-Table4[[#This Row],[Away Differential]]</f>
        <v>-1.0140541034284847</v>
      </c>
      <c r="K634" t="str">
        <f>IF(Table4[[#This Row],[HomeIce Differential]]&gt;0,Table4[[#This Row],[Home]],Table4[[#This Row],[Visitor]])</f>
        <v>Dallas Stars</v>
      </c>
      <c r="L6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0.63200677082841605</v>
      </c>
      <c r="M634" t="str">
        <f>IF(OR((NHL2025_26Results[[#This Row],[Winning Team]]="")),"-",IF(Table4[[#This Row],[Predicted Winner]]=NHL2025_26Results[[#This Row],[Winning Team]],"YES","NO"))</f>
        <v>NO</v>
      </c>
      <c r="N634">
        <f>IF(Table4[[#This Row],[Adjusted Correct]]="-", "",IF(Table4[[#This Row],[Adjusted Correct]]="YES",(Table4[[#This Row],[Strength of Win]]-1)^2,(Table4[[#This Row],[Strength of Win]]-0)^2))</f>
        <v>0.39943255837296199</v>
      </c>
      <c r="O634">
        <v>-1.2047750842125553</v>
      </c>
      <c r="P634" s="11">
        <v>0.67562866943339028</v>
      </c>
      <c r="Q634" t="s">
        <v>39</v>
      </c>
      <c r="R634" t="s">
        <v>249</v>
      </c>
    </row>
    <row r="635" spans="4:18" x14ac:dyDescent="0.2">
      <c r="D635" s="1">
        <v>46023</v>
      </c>
      <c r="E635" s="2">
        <v>0.79166666666666663</v>
      </c>
      <c r="F635" t="s">
        <v>13</v>
      </c>
      <c r="G635">
        <f>VLOOKUP(Table4[[#This Row],[Home]],'NHL Model'!$A$6:$B$38,2,FALSE)</f>
        <v>-0.59069689888466137</v>
      </c>
      <c r="H635" t="s">
        <v>37</v>
      </c>
      <c r="I635">
        <f>VLOOKUP(Table4[[#This Row],[Visitor]],'NHL Model'!$A$6:$B$38,2,FALSE)</f>
        <v>0.72108184732572844</v>
      </c>
      <c r="J635">
        <f>($B$1+Table4[[#This Row],[Home Differential]])-Table4[[#This Row],[Away Differential]]</f>
        <v>-1.1821717603988657</v>
      </c>
      <c r="K635" t="str">
        <f>IF(Table4[[#This Row],[HomeIce Differential]]&gt;0,Table4[[#This Row],[Home]],Table4[[#This Row],[Visitor]])</f>
        <v>Tampa Bay Lightning</v>
      </c>
      <c r="L6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0.68960878519291435</v>
      </c>
      <c r="M635" t="str">
        <f>IF(OR((NHL2025_26Results[[#This Row],[Winning Team]]="")),"-",IF(Table4[[#This Row],[Predicted Winner]]=NHL2025_26Results[[#This Row],[Winning Team]],"YES","NO"))</f>
        <v>YES</v>
      </c>
      <c r="N635">
        <f>IF(Table4[[#This Row],[Adjusted Correct]]="-", "",IF(Table4[[#This Row],[Adjusted Correct]]="YES",(Table4[[#This Row],[Strength of Win]]-1)^2,(Table4[[#This Row],[Strength of Win]]-0)^2))</f>
        <v>9.6342706229418387E-2</v>
      </c>
      <c r="O635">
        <v>-0.65827229928461495</v>
      </c>
      <c r="P635" s="11">
        <v>0.60979147613270701</v>
      </c>
      <c r="Q635" t="s">
        <v>37</v>
      </c>
      <c r="R635" t="s">
        <v>248</v>
      </c>
    </row>
    <row r="636" spans="4:18" x14ac:dyDescent="0.2">
      <c r="D636" s="1">
        <v>46023</v>
      </c>
      <c r="E636" s="2">
        <v>0.625</v>
      </c>
      <c r="F636" t="s">
        <v>30</v>
      </c>
      <c r="G636">
        <f>VLOOKUP(Table4[[#This Row],[Home]],'NHL Model'!$A$6:$B$38,2,FALSE)</f>
        <v>-0.18630462558229716</v>
      </c>
      <c r="H636" t="s">
        <v>55</v>
      </c>
      <c r="I636">
        <f>VLOOKUP(Table4[[#This Row],[Visitor]],'NHL Model'!$A$6:$B$38,2,FALSE)</f>
        <v>8.4094725828611647E-2</v>
      </c>
      <c r="J636">
        <f>($B$1+Table4[[#This Row],[Home Differential]])-Table4[[#This Row],[Away Differential]]</f>
        <v>-0.14079236559938468</v>
      </c>
      <c r="K636" t="str">
        <f>IF(Table4[[#This Row],[HomeIce Differential]]&gt;0,Table4[[#This Row],[Home]],Table4[[#This Row],[Visitor]])</f>
        <v>Utah Mammoth</v>
      </c>
      <c r="L6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0.46179349856494956</v>
      </c>
      <c r="M636" t="str">
        <f>IF(OR((NHL2025_26Results[[#This Row],[Winning Team]]="")),"-",IF(Table4[[#This Row],[Predicted Winner]]=NHL2025_26Results[[#This Row],[Winning Team]],"YES","NO"))</f>
        <v>YES</v>
      </c>
      <c r="N636">
        <f>IF(Table4[[#This Row],[Adjusted Correct]]="-", "",IF(Table4[[#This Row],[Adjusted Correct]]="YES",(Table4[[#This Row],[Strength of Win]]-1)^2,(Table4[[#This Row],[Strength of Win]]-0)^2))</f>
        <v>0.28966623818695697</v>
      </c>
      <c r="O636">
        <v>0.1725636888191219</v>
      </c>
      <c r="P636" s="11">
        <v>0.57255244405268679</v>
      </c>
      <c r="Q636" t="s">
        <v>30</v>
      </c>
      <c r="R636" t="s">
        <v>249</v>
      </c>
    </row>
    <row r="637" spans="4:18" x14ac:dyDescent="0.2">
      <c r="D637" s="1">
        <v>46023</v>
      </c>
      <c r="E637" s="2">
        <v>0.54166666666666663</v>
      </c>
      <c r="F637" t="s">
        <v>36</v>
      </c>
      <c r="G637">
        <f>VLOOKUP(Table4[[#This Row],[Home]],'NHL Model'!$A$6:$B$38,2,FALSE)</f>
        <v>-0.19010748264223354</v>
      </c>
      <c r="H637" t="s">
        <v>22</v>
      </c>
      <c r="I637">
        <f>VLOOKUP(Table4[[#This Row],[Visitor]],'NHL Model'!$A$6:$B$38,2,FALSE)</f>
        <v>-0.11977593183651415</v>
      </c>
      <c r="J637">
        <f>($B$1+Table4[[#This Row],[Home Differential]])-Table4[[#This Row],[Away Differential]]</f>
        <v>5.9275435005804719E-2</v>
      </c>
      <c r="K637" t="str">
        <f>IF(Table4[[#This Row],[HomeIce Differential]]&gt;0,Table4[[#This Row],[Home]],Table4[[#This Row],[Visitor]])</f>
        <v>Ottawa Senators</v>
      </c>
      <c r="L6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0.54665626776705323</v>
      </c>
      <c r="M637" t="str">
        <f>IF(OR((NHL2025_26Results[[#This Row],[Winning Team]]="")),"-",IF(Table4[[#This Row],[Predicted Winner]]=NHL2025_26Results[[#This Row],[Winning Team]],"YES","NO"))</f>
        <v>YES</v>
      </c>
      <c r="N637">
        <f>IF(Table4[[#This Row],[Adjusted Correct]]="-", "",IF(Table4[[#This Row],[Adjusted Correct]]="YES",(Table4[[#This Row],[Strength of Win]]-1)^2,(Table4[[#This Row],[Strength of Win]]-0)^2))</f>
        <v>0.20552053955489774</v>
      </c>
      <c r="O637">
        <v>-0.36876832173294311</v>
      </c>
      <c r="P637" s="11">
        <v>0.50690074434839572</v>
      </c>
      <c r="Q637" t="s">
        <v>22</v>
      </c>
      <c r="R637" t="s">
        <v>249</v>
      </c>
    </row>
    <row r="638" spans="4:18" x14ac:dyDescent="0.2">
      <c r="D638" s="1">
        <v>46023</v>
      </c>
      <c r="E638" s="2">
        <v>0.79166666666666663</v>
      </c>
      <c r="F638" t="s">
        <v>14</v>
      </c>
      <c r="G638">
        <f>VLOOKUP(Table4[[#This Row],[Home]],'NHL Model'!$A$6:$B$38,2,FALSE)</f>
        <v>3.6349513460996066E-5</v>
      </c>
      <c r="H638" t="s">
        <v>26</v>
      </c>
      <c r="I638">
        <f>VLOOKUP(Table4[[#This Row],[Visitor]],'NHL Model'!$A$6:$B$38,2,FALSE)</f>
        <v>-0.33113778518110382</v>
      </c>
      <c r="J638">
        <f>($B$1+Table4[[#This Row],[Home Differential]])-Table4[[#This Row],[Away Differential]]</f>
        <v>0.46078112050608888</v>
      </c>
      <c r="K638" t="str">
        <f>IF(Table4[[#This Row],[HomeIce Differential]]&gt;0,Table4[[#This Row],[Home]],Table4[[#This Row],[Visitor]])</f>
        <v>Pittsburgh Penguins</v>
      </c>
      <c r="L6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0.55373492536272173</v>
      </c>
      <c r="M638" t="str">
        <f>IF(OR((NHL2025_26Results[[#This Row],[Winning Team]]="")),"-",IF(Table4[[#This Row],[Predicted Winner]]=NHL2025_26Results[[#This Row],[Winning Team]],"YES","NO"))</f>
        <v>YES</v>
      </c>
      <c r="N638">
        <f>IF(Table4[[#This Row],[Adjusted Correct]]="-", "",IF(Table4[[#This Row],[Adjusted Correct]]="YES",(Table4[[#This Row],[Strength of Win]]-1)^2,(Table4[[#This Row],[Strength of Win]]-0)^2))</f>
        <v>0.19915251684101554</v>
      </c>
      <c r="O638">
        <v>0.15232609497245597</v>
      </c>
      <c r="P638" s="11">
        <v>0.52277859913721825</v>
      </c>
      <c r="Q638" t="s">
        <v>14</v>
      </c>
      <c r="R638" t="s">
        <v>248</v>
      </c>
    </row>
    <row r="639" spans="4:18" x14ac:dyDescent="0.2">
      <c r="D639" s="1">
        <v>46023</v>
      </c>
      <c r="E639" s="2">
        <v>0.91666666666666663</v>
      </c>
      <c r="F639" t="s">
        <v>32</v>
      </c>
      <c r="G639">
        <f>VLOOKUP(Table4[[#This Row],[Home]],'NHL Model'!$A$6:$B$38,2,FALSE)</f>
        <v>-0.48236715437805205</v>
      </c>
      <c r="H639" t="s">
        <v>29</v>
      </c>
      <c r="I639">
        <f>VLOOKUP(Table4[[#This Row],[Visitor]],'NHL Model'!$A$6:$B$38,2,FALSE)</f>
        <v>-0.82056481120798741</v>
      </c>
      <c r="J639">
        <f>($B$1+Table4[[#This Row],[Home Differential]])-Table4[[#This Row],[Away Differential]]</f>
        <v>0.46780464264145949</v>
      </c>
      <c r="K639" t="str">
        <f>IF(Table4[[#This Row],[HomeIce Differential]]&gt;0,Table4[[#This Row],[Home]],Table4[[#This Row],[Visitor]])</f>
        <v>Seattle Kraken</v>
      </c>
      <c r="L6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0.59253159194508209</v>
      </c>
      <c r="M639" t="str">
        <f>IF(OR((NHL2025_26Results[[#This Row],[Winning Team]]="")),"-",IF(Table4[[#This Row],[Predicted Winner]]=NHL2025_26Results[[#This Row],[Winning Team]],"YES","NO"))</f>
        <v>YES</v>
      </c>
      <c r="N639">
        <f>IF(Table4[[#This Row],[Adjusted Correct]]="-", "",IF(Table4[[#This Row],[Adjusted Correct]]="YES",(Table4[[#This Row],[Strength of Win]]-1)^2,(Table4[[#This Row],[Strength of Win]]-0)^2))</f>
        <v>0.1660305035628091</v>
      </c>
      <c r="O639">
        <v>-4.2897934256173997E-2</v>
      </c>
      <c r="P639" s="11">
        <v>0.46460785548598277</v>
      </c>
      <c r="Q639" t="s">
        <v>29</v>
      </c>
      <c r="R639" t="s">
        <v>249</v>
      </c>
    </row>
    <row r="640" spans="4:18" x14ac:dyDescent="0.2">
      <c r="D640" s="1">
        <v>46023</v>
      </c>
      <c r="E640" s="2">
        <v>0.79166666666666663</v>
      </c>
      <c r="F640" t="s">
        <v>19</v>
      </c>
      <c r="G640">
        <f>VLOOKUP(Table4[[#This Row],[Home]],'NHL Model'!$A$6:$B$38,2,FALSE)</f>
        <v>-0.44228056828684137</v>
      </c>
      <c r="H640" t="s">
        <v>40</v>
      </c>
      <c r="I640">
        <f>VLOOKUP(Table4[[#This Row],[Visitor]],'NHL Model'!$A$6:$B$38,2,FALSE)</f>
        <v>-0.58845147248022256</v>
      </c>
      <c r="J640">
        <f>($B$1+Table4[[#This Row],[Home Differential]])-Table4[[#This Row],[Away Differential]]</f>
        <v>0.27577789000490527</v>
      </c>
      <c r="K640" t="str">
        <f>IF(Table4[[#This Row],[HomeIce Differential]]&gt;0,Table4[[#This Row],[Home]],Table4[[#This Row],[Visitor]])</f>
        <v>Toronto Maple Leafs</v>
      </c>
      <c r="L6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0.57096816547910312</v>
      </c>
      <c r="M640" t="str">
        <f>IF(OR((NHL2025_26Results[[#This Row],[Winning Team]]="")),"-",IF(Table4[[#This Row],[Predicted Winner]]=NHL2025_26Results[[#This Row],[Winning Team]],"YES","NO"))</f>
        <v>YES</v>
      </c>
      <c r="N640">
        <f>IF(Table4[[#This Row],[Adjusted Correct]]="-", "",IF(Table4[[#This Row],[Adjusted Correct]]="YES",(Table4[[#This Row],[Strength of Win]]-1)^2,(Table4[[#This Row],[Strength of Win]]-0)^2))</f>
        <v>0.18406831503236626</v>
      </c>
      <c r="O640">
        <v>0.14342177499266509</v>
      </c>
      <c r="P640" s="11">
        <v>0.56672023607807376</v>
      </c>
      <c r="Q640" t="s">
        <v>19</v>
      </c>
      <c r="R640" t="s">
        <v>248</v>
      </c>
    </row>
    <row r="641" spans="4:18" x14ac:dyDescent="0.2">
      <c r="D641" s="1">
        <v>46024</v>
      </c>
      <c r="E641" s="2">
        <v>0.9375</v>
      </c>
      <c r="F641" t="s">
        <v>31</v>
      </c>
      <c r="G641">
        <f>VLOOKUP(Table4[[#This Row],[Home]],'NHL Model'!$A$6:$B$38,2,FALSE)</f>
        <v>-0.46360583111358089</v>
      </c>
      <c r="H641" t="s">
        <v>34</v>
      </c>
      <c r="I641">
        <f>VLOOKUP(Table4[[#This Row],[Visitor]],'NHL Model'!$A$6:$B$38,2,FALSE)</f>
        <v>6.0485283743665949E-2</v>
      </c>
      <c r="J641">
        <f>($B$1+Table4[[#This Row],[Home Differential]])-Table4[[#This Row],[Away Differential]]</f>
        <v>-0.39448412904572278</v>
      </c>
      <c r="K641" t="str">
        <f>IF(Table4[[#This Row],[HomeIce Differential]]&gt;0,Table4[[#This Row],[Home]],Table4[[#This Row],[Visitor]])</f>
        <v>Minnesota Wild</v>
      </c>
      <c r="L6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0.52093366202087732</v>
      </c>
      <c r="M641" t="str">
        <f>IF(OR((NHL2025_26Results[[#This Row],[Winning Team]]="")),"-",IF(Table4[[#This Row],[Predicted Winner]]=NHL2025_26Results[[#This Row],[Winning Team]],"YES","NO"))</f>
        <v>YES</v>
      </c>
      <c r="N641">
        <f>IF(Table4[[#This Row],[Adjusted Correct]]="-", "",IF(Table4[[#This Row],[Adjusted Correct]]="YES",(Table4[[#This Row],[Strength of Win]]-1)^2,(Table4[[#This Row],[Strength of Win]]-0)^2))</f>
        <v>0.22950455618472701</v>
      </c>
      <c r="O641">
        <v>-0.52024466586881313</v>
      </c>
      <c r="P641" s="11">
        <v>0.54718241456357686</v>
      </c>
      <c r="Q641" t="s">
        <v>34</v>
      </c>
      <c r="R641" t="s">
        <v>248</v>
      </c>
    </row>
    <row r="642" spans="4:18" x14ac:dyDescent="0.2">
      <c r="D642" s="1">
        <v>46024</v>
      </c>
      <c r="E642" s="2">
        <v>0.83333333333333337</v>
      </c>
      <c r="F642" t="s">
        <v>11</v>
      </c>
      <c r="G642">
        <f>VLOOKUP(Table4[[#This Row],[Home]],'NHL Model'!$A$6:$B$38,2,FALSE)</f>
        <v>-0.55695213126481558</v>
      </c>
      <c r="H642" t="s">
        <v>15</v>
      </c>
      <c r="I642">
        <f>VLOOKUP(Table4[[#This Row],[Visitor]],'NHL Model'!$A$6:$B$38,2,FALSE)</f>
        <v>-0.73651915476403329</v>
      </c>
      <c r="J642">
        <f>($B$1+Table4[[#This Row],[Home Differential]])-Table4[[#This Row],[Away Differential]]</f>
        <v>0.30917400931074179</v>
      </c>
      <c r="K642" t="str">
        <f>IF(Table4[[#This Row],[HomeIce Differential]]&gt;0,Table4[[#This Row],[Home]],Table4[[#This Row],[Visitor]])</f>
        <v>Florida Panthers</v>
      </c>
      <c r="L6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0.53880235883412031</v>
      </c>
      <c r="M642" t="str">
        <f>IF(OR((NHL2025_26Results[[#This Row],[Winning Team]]="")),"-",IF(Table4[[#This Row],[Predicted Winner]]=NHL2025_26Results[[#This Row],[Winning Team]],"YES","NO"))</f>
        <v>NO</v>
      </c>
      <c r="N642">
        <f>IF(Table4[[#This Row],[Adjusted Correct]]="-", "",IF(Table4[[#This Row],[Adjusted Correct]]="YES",(Table4[[#This Row],[Strength of Win]]-1)^2,(Table4[[#This Row],[Strength of Win]]-0)^2))</f>
        <v>0.29030798188521212</v>
      </c>
      <c r="O642">
        <v>0.2733201492600344</v>
      </c>
      <c r="P642" s="11">
        <v>0.51096042489532689</v>
      </c>
      <c r="Q642" t="s">
        <v>11</v>
      </c>
      <c r="R642" t="s">
        <v>249</v>
      </c>
    </row>
    <row r="643" spans="4:18" x14ac:dyDescent="0.2">
      <c r="D643" s="1">
        <v>46024</v>
      </c>
      <c r="E643" s="2">
        <v>0.625</v>
      </c>
      <c r="F643" t="s">
        <v>35</v>
      </c>
      <c r="G643">
        <f>VLOOKUP(Table4[[#This Row],[Home]],'NHL Model'!$A$6:$B$38,2,FALSE)</f>
        <v>-1.3128572733047907</v>
      </c>
      <c r="H643" t="s">
        <v>20</v>
      </c>
      <c r="I643">
        <f>VLOOKUP(Table4[[#This Row],[Visitor]],'NHL Model'!$A$6:$B$38,2,FALSE)</f>
        <v>-0.16296463421387539</v>
      </c>
      <c r="J643">
        <f>($B$1+Table4[[#This Row],[Home Differential]])-Table4[[#This Row],[Away Differential]]</f>
        <v>-1.0202856532793914</v>
      </c>
      <c r="K643" t="str">
        <f>IF(Table4[[#This Row],[HomeIce Differential]]&gt;0,Table4[[#This Row],[Home]],Table4[[#This Row],[Visitor]])</f>
        <v>Vegas Golden Knights</v>
      </c>
      <c r="L6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0.58658800403964251</v>
      </c>
      <c r="M643" t="str">
        <f>IF(OR((NHL2025_26Results[[#This Row],[Winning Team]]="")),"-",IF(Table4[[#This Row],[Predicted Winner]]=NHL2025_26Results[[#This Row],[Winning Team]],"YES","NO"))</f>
        <v>NO</v>
      </c>
      <c r="N643">
        <f>IF(Table4[[#This Row],[Adjusted Correct]]="-", "",IF(Table4[[#This Row],[Adjusted Correct]]="YES",(Table4[[#This Row],[Strength of Win]]-1)^2,(Table4[[#This Row],[Strength of Win]]-0)^2))</f>
        <v>0.34408548648321163</v>
      </c>
      <c r="O643">
        <v>-1.0320041225596803</v>
      </c>
      <c r="P643" s="11">
        <v>0.59207603055752023</v>
      </c>
      <c r="Q643" t="s">
        <v>20</v>
      </c>
      <c r="R643" t="s">
        <v>249</v>
      </c>
    </row>
    <row r="644" spans="4:18" x14ac:dyDescent="0.2">
      <c r="D644" s="1">
        <v>46024</v>
      </c>
      <c r="E644" s="2">
        <v>0.9375</v>
      </c>
      <c r="F644" t="s">
        <v>38</v>
      </c>
      <c r="G644">
        <f>VLOOKUP(Table4[[#This Row],[Home]],'NHL Model'!$A$6:$B$38,2,FALSE)</f>
        <v>-1.3920033028857945</v>
      </c>
      <c r="H644" t="s">
        <v>32</v>
      </c>
      <c r="I644">
        <f>VLOOKUP(Table4[[#This Row],[Visitor]],'NHL Model'!$A$6:$B$38,2,FALSE)</f>
        <v>-0.48236715437805205</v>
      </c>
      <c r="J644">
        <f>($B$1+Table4[[#This Row],[Home Differential]])-Table4[[#This Row],[Away Differential]]</f>
        <v>-0.78002916269621836</v>
      </c>
      <c r="K644" t="str">
        <f>IF(Table4[[#This Row],[HomeIce Differential]]&gt;0,Table4[[#This Row],[Home]],Table4[[#This Row],[Visitor]])</f>
        <v>Seattle Kraken</v>
      </c>
      <c r="L6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0.54759249042217661</v>
      </c>
      <c r="M644" t="str">
        <f>IF(OR((NHL2025_26Results[[#This Row],[Winning Team]]="")),"-",IF(Table4[[#This Row],[Predicted Winner]]=NHL2025_26Results[[#This Row],[Winning Team]],"YES","NO"))</f>
        <v>YES</v>
      </c>
      <c r="N644">
        <f>IF(Table4[[#This Row],[Adjusted Correct]]="-", "",IF(Table4[[#This Row],[Adjusted Correct]]="YES",(Table4[[#This Row],[Strength of Win]]-1)^2,(Table4[[#This Row],[Strength of Win]]-0)^2))</f>
        <v>0.20467255472240836</v>
      </c>
      <c r="O644">
        <v>-0.12305433287131029</v>
      </c>
      <c r="P644" s="11">
        <v>0.47327202449348393</v>
      </c>
      <c r="Q644" t="s">
        <v>32</v>
      </c>
      <c r="R644" t="s">
        <v>248</v>
      </c>
    </row>
    <row r="645" spans="4:18" x14ac:dyDescent="0.2">
      <c r="D645" s="1">
        <v>46025</v>
      </c>
      <c r="E645" s="2">
        <v>0.79166666666666663</v>
      </c>
      <c r="F645" t="s">
        <v>25</v>
      </c>
      <c r="G645">
        <f>VLOOKUP(Table4[[#This Row],[Home]],'NHL Model'!$A$6:$B$38,2,FALSE)</f>
        <v>0.2324942014830165</v>
      </c>
      <c r="H645" t="s">
        <v>12</v>
      </c>
      <c r="I645">
        <f>VLOOKUP(Table4[[#This Row],[Visitor]],'NHL Model'!$A$6:$B$38,2,FALSE)</f>
        <v>0.99866683349964291</v>
      </c>
      <c r="J645">
        <f>($B$1+Table4[[#This Row],[Home Differential]])-Table4[[#This Row],[Away Differential]]</f>
        <v>-0.63656564620510236</v>
      </c>
      <c r="K645" t="str">
        <f>IF(Table4[[#This Row],[HomeIce Differential]]&gt;0,Table4[[#This Row],[Home]],Table4[[#This Row],[Visitor]])</f>
        <v>Colorado Avalanche</v>
      </c>
      <c r="L6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0.5441281574081096</v>
      </c>
      <c r="M645" t="str">
        <f>IF(OR((NHL2025_26Results[[#This Row],[Winning Team]]="")),"-",IF(Table4[[#This Row],[Predicted Winner]]=NHL2025_26Results[[#This Row],[Winning Team]],"YES","NO"))</f>
        <v>YES</v>
      </c>
      <c r="N645">
        <f>IF(Table4[[#This Row],[Adjusted Correct]]="-", "",IF(Table4[[#This Row],[Adjusted Correct]]="YES",(Table4[[#This Row],[Strength of Win]]-1)^2,(Table4[[#This Row],[Strength of Win]]-0)^2))</f>
        <v>0.20781913686812531</v>
      </c>
      <c r="O645">
        <v>-1.3392348608337352</v>
      </c>
      <c r="P645" s="11">
        <v>0.65452898337131626</v>
      </c>
      <c r="Q645" t="s">
        <v>12</v>
      </c>
      <c r="R645" t="s">
        <v>248</v>
      </c>
    </row>
    <row r="646" spans="4:18" x14ac:dyDescent="0.2">
      <c r="D646" s="1">
        <v>46025</v>
      </c>
      <c r="E646" s="2">
        <v>0.625</v>
      </c>
      <c r="F646" t="s">
        <v>28</v>
      </c>
      <c r="G646">
        <f>VLOOKUP(Table4[[#This Row],[Home]],'NHL Model'!$A$6:$B$38,2,FALSE)</f>
        <v>-0.28156479873410767</v>
      </c>
      <c r="H646" t="s">
        <v>23</v>
      </c>
      <c r="I646">
        <f>VLOOKUP(Table4[[#This Row],[Visitor]],'NHL Model'!$A$6:$B$38,2,FALSE)</f>
        <v>8.1543966060426461E-3</v>
      </c>
      <c r="J646">
        <f>($B$1+Table4[[#This Row],[Home Differential]])-Table4[[#This Row],[Away Differential]]</f>
        <v>-0.1601122095286262</v>
      </c>
      <c r="K646" t="str">
        <f>IF(Table4[[#This Row],[HomeIce Differential]]&gt;0,Table4[[#This Row],[Home]],Table4[[#This Row],[Visitor]])</f>
        <v>Buffalo Sabres</v>
      </c>
      <c r="L6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0.5077755373999645</v>
      </c>
      <c r="M646" t="str">
        <f>IF(OR((NHL2025_26Results[[#This Row],[Winning Team]]="")),"-",IF(Table4[[#This Row],[Predicted Winner]]=NHL2025_26Results[[#This Row],[Winning Team]],"YES","NO"))</f>
        <v>NO</v>
      </c>
      <c r="N646">
        <f>IF(Table4[[#This Row],[Adjusted Correct]]="-", "",IF(Table4[[#This Row],[Adjusted Correct]]="YES",(Table4[[#This Row],[Strength of Win]]-1)^2,(Table4[[#This Row],[Strength of Win]]-0)^2))</f>
        <v>0.25783599638182275</v>
      </c>
      <c r="O646">
        <v>-0.31796849869557647</v>
      </c>
      <c r="P646" s="11">
        <v>0.49379368739036367</v>
      </c>
      <c r="Q646" t="s">
        <v>23</v>
      </c>
      <c r="R646" t="s">
        <v>249</v>
      </c>
    </row>
    <row r="647" spans="4:18" x14ac:dyDescent="0.2">
      <c r="D647" s="1">
        <v>46025</v>
      </c>
      <c r="E647" s="2">
        <v>0.79166666666666663</v>
      </c>
      <c r="F647" t="s">
        <v>16</v>
      </c>
      <c r="G647">
        <f>VLOOKUP(Table4[[#This Row],[Home]],'NHL Model'!$A$6:$B$38,2,FALSE)</f>
        <v>-0.89031221864884547</v>
      </c>
      <c r="H647" t="s">
        <v>29</v>
      </c>
      <c r="I647">
        <f>VLOOKUP(Table4[[#This Row],[Visitor]],'NHL Model'!$A$6:$B$38,2,FALSE)</f>
        <v>-0.82056481120798741</v>
      </c>
      <c r="J647">
        <f>($B$1+Table4[[#This Row],[Home Differential]])-Table4[[#This Row],[Away Differential]]</f>
        <v>5.9859578370666022E-2</v>
      </c>
      <c r="K647" t="str">
        <f>IF(Table4[[#This Row],[HomeIce Differential]]&gt;0,Table4[[#This Row],[Home]],Table4[[#This Row],[Visitor]])</f>
        <v>Calgary Flames</v>
      </c>
      <c r="L6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0.54672186348390428</v>
      </c>
      <c r="M647" t="str">
        <f>IF(OR((NHL2025_26Results[[#This Row],[Winning Team]]="")),"-",IF(Table4[[#This Row],[Predicted Winner]]=NHL2025_26Results[[#This Row],[Winning Team]],"YES","NO"))</f>
        <v>NO</v>
      </c>
      <c r="N647">
        <f>IF(Table4[[#This Row],[Adjusted Correct]]="-", "",IF(Table4[[#This Row],[Adjusted Correct]]="YES",(Table4[[#This Row],[Strength of Win]]-1)^2,(Table4[[#This Row],[Strength of Win]]-0)^2))</f>
        <v>0.29890479601131287</v>
      </c>
      <c r="O647">
        <v>0.16696403542359595</v>
      </c>
      <c r="P647" s="11">
        <v>0.59633702781733111</v>
      </c>
      <c r="Q647" t="s">
        <v>16</v>
      </c>
      <c r="R647" t="s">
        <v>249</v>
      </c>
    </row>
    <row r="648" spans="4:18" x14ac:dyDescent="0.2">
      <c r="D648" s="1">
        <v>46025</v>
      </c>
      <c r="E648" s="2">
        <v>0.5</v>
      </c>
      <c r="F648" t="s">
        <v>26</v>
      </c>
      <c r="G648">
        <f>VLOOKUP(Table4[[#This Row],[Home]],'NHL Model'!$A$6:$B$38,2,FALSE)</f>
        <v>-0.33113778518110382</v>
      </c>
      <c r="H648" t="s">
        <v>14</v>
      </c>
      <c r="I648">
        <f>VLOOKUP(Table4[[#This Row],[Visitor]],'NHL Model'!$A$6:$B$38,2,FALSE)</f>
        <v>3.6349513460996066E-5</v>
      </c>
      <c r="J648">
        <f>($B$1+Table4[[#This Row],[Home Differential]])-Table4[[#This Row],[Away Differential]]</f>
        <v>-0.2015671488830407</v>
      </c>
      <c r="K648" t="str">
        <f>IF(Table4[[#This Row],[HomeIce Differential]]&gt;0,Table4[[#This Row],[Home]],Table4[[#This Row],[Visitor]])</f>
        <v>Pittsburgh Penguins</v>
      </c>
      <c r="L6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0.51043963249428737</v>
      </c>
      <c r="M648" t="str">
        <f>IF(OR((NHL2025_26Results[[#This Row],[Winning Team]]="")),"-",IF(Table4[[#This Row],[Predicted Winner]]=NHL2025_26Results[[#This Row],[Winning Team]],"YES","NO"))</f>
        <v>YES</v>
      </c>
      <c r="N648">
        <f>IF(Table4[[#This Row],[Adjusted Correct]]="-", "",IF(Table4[[#This Row],[Adjusted Correct]]="YES",(Table4[[#This Row],[Strength of Win]]-1)^2,(Table4[[#This Row],[Strength of Win]]-0)^2))</f>
        <v>0.23966935343232842</v>
      </c>
      <c r="O648">
        <v>-5.8555891278034684E-2</v>
      </c>
      <c r="P648" s="11">
        <v>0.4329474571995528</v>
      </c>
      <c r="Q648" t="s">
        <v>14</v>
      </c>
      <c r="R648" t="s">
        <v>248</v>
      </c>
    </row>
    <row r="649" spans="4:18" x14ac:dyDescent="0.2">
      <c r="D649" s="1">
        <v>46025</v>
      </c>
      <c r="E649" s="2">
        <v>0.64583333333333337</v>
      </c>
      <c r="F649" t="s">
        <v>17</v>
      </c>
      <c r="G649">
        <f>VLOOKUP(Table4[[#This Row],[Home]],'NHL Model'!$A$6:$B$38,2,FALSE)</f>
        <v>-0.36462594951491906</v>
      </c>
      <c r="H649" t="s">
        <v>27</v>
      </c>
      <c r="I649">
        <f>VLOOKUP(Table4[[#This Row],[Visitor]],'NHL Model'!$A$6:$B$38,2,FALSE)</f>
        <v>-0.55097933929175691</v>
      </c>
      <c r="J649">
        <f>($B$1+Table4[[#This Row],[Home Differential]])-Table4[[#This Row],[Away Differential]]</f>
        <v>0.31596037558836199</v>
      </c>
      <c r="K649" t="str">
        <f>IF(Table4[[#This Row],[HomeIce Differential]]&gt;0,Table4[[#This Row],[Home]],Table4[[#This Row],[Visitor]])</f>
        <v>Edmonton Oilers</v>
      </c>
      <c r="L6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0.5754804121385001</v>
      </c>
      <c r="M649" t="str">
        <f>IF(OR((NHL2025_26Results[[#This Row],[Winning Team]]="")),"-",IF(Table4[[#This Row],[Predicted Winner]]=NHL2025_26Results[[#This Row],[Winning Team]],"YES","NO"))</f>
        <v>NO</v>
      </c>
      <c r="N649">
        <f>IF(Table4[[#This Row],[Adjusted Correct]]="-", "",IF(Table4[[#This Row],[Adjusted Correct]]="YES",(Table4[[#This Row],[Strength of Win]]-1)^2,(Table4[[#This Row],[Strength of Win]]-0)^2))</f>
        <v>0.33117770475509795</v>
      </c>
      <c r="O649">
        <v>-3.1363967290720551E-2</v>
      </c>
      <c r="P649" s="11">
        <v>0.44939750192658034</v>
      </c>
      <c r="Q649" t="s">
        <v>27</v>
      </c>
      <c r="R649" t="s">
        <v>248</v>
      </c>
    </row>
    <row r="650" spans="4:18" x14ac:dyDescent="0.2">
      <c r="D650" s="1">
        <v>46025</v>
      </c>
      <c r="E650" s="2">
        <v>0.875</v>
      </c>
      <c r="F650" t="s">
        <v>13</v>
      </c>
      <c r="G650">
        <f>VLOOKUP(Table4[[#This Row],[Home]],'NHL Model'!$A$6:$B$38,2,FALSE)</f>
        <v>-0.59069689888466137</v>
      </c>
      <c r="H650" t="s">
        <v>34</v>
      </c>
      <c r="I650">
        <f>VLOOKUP(Table4[[#This Row],[Visitor]],'NHL Model'!$A$6:$B$38,2,FALSE)</f>
        <v>6.0485283743665949E-2</v>
      </c>
      <c r="J650">
        <f>($B$1+Table4[[#This Row],[Home Differential]])-Table4[[#This Row],[Away Differential]]</f>
        <v>-0.5215751968168032</v>
      </c>
      <c r="K650" t="str">
        <f>IF(Table4[[#This Row],[HomeIce Differential]]&gt;0,Table4[[#This Row],[Home]],Table4[[#This Row],[Visitor]])</f>
        <v>Minnesota Wild</v>
      </c>
      <c r="L6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0.58783495065340541</v>
      </c>
      <c r="M650" t="str">
        <f>IF(OR((NHL2025_26Results[[#This Row],[Winning Team]]="")),"-",IF(Table4[[#This Row],[Predicted Winner]]=NHL2025_26Results[[#This Row],[Winning Team]],"YES","NO"))</f>
        <v>NO</v>
      </c>
      <c r="N650">
        <f>IF(Table4[[#This Row],[Adjusted Correct]]="-", "",IF(Table4[[#This Row],[Adjusted Correct]]="YES",(Table4[[#This Row],[Strength of Win]]-1)^2,(Table4[[#This Row],[Strength of Win]]-0)^2))</f>
        <v>0.34554992920969158</v>
      </c>
      <c r="O650">
        <v>-0.5751399739919365</v>
      </c>
      <c r="P650" s="11">
        <v>0.58744165749683552</v>
      </c>
      <c r="Q650" t="s">
        <v>34</v>
      </c>
      <c r="R650" t="s">
        <v>249</v>
      </c>
    </row>
    <row r="651" spans="4:18" x14ac:dyDescent="0.2">
      <c r="D651" s="1">
        <v>46025</v>
      </c>
      <c r="E651" s="2">
        <v>0.625</v>
      </c>
      <c r="F651" t="s">
        <v>24</v>
      </c>
      <c r="G651">
        <f>VLOOKUP(Table4[[#This Row],[Home]],'NHL Model'!$A$6:$B$38,2,FALSE)</f>
        <v>-0.74510803532792402</v>
      </c>
      <c r="H651" t="s">
        <v>55</v>
      </c>
      <c r="I651">
        <f>VLOOKUP(Table4[[#This Row],[Visitor]],'NHL Model'!$A$6:$B$38,2,FALSE)</f>
        <v>8.4094725828611647E-2</v>
      </c>
      <c r="J651">
        <f>($B$1+Table4[[#This Row],[Home Differential]])-Table4[[#This Row],[Away Differential]]</f>
        <v>-0.69959577534501161</v>
      </c>
      <c r="K651" t="str">
        <f>IF(Table4[[#This Row],[HomeIce Differential]]&gt;0,Table4[[#This Row],[Home]],Table4[[#This Row],[Visitor]])</f>
        <v>Utah Mammoth</v>
      </c>
      <c r="L6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0.53856031438553831</v>
      </c>
      <c r="M651" t="str">
        <f>IF(OR((NHL2025_26Results[[#This Row],[Winning Team]]="")),"-",IF(Table4[[#This Row],[Predicted Winner]]=NHL2025_26Results[[#This Row],[Winning Team]],"YES","NO"))</f>
        <v>NO</v>
      </c>
      <c r="N651">
        <f>IF(Table4[[#This Row],[Adjusted Correct]]="-", "",IF(Table4[[#This Row],[Adjusted Correct]]="YES",(Table4[[#This Row],[Strength of Win]]-1)^2,(Table4[[#This Row],[Strength of Win]]-0)^2))</f>
        <v>0.29004721223104984</v>
      </c>
      <c r="O651">
        <v>-0.31578709276034944</v>
      </c>
      <c r="P651" s="11">
        <v>0.49356184759947569</v>
      </c>
      <c r="Q651" t="s">
        <v>55</v>
      </c>
      <c r="R651" t="s">
        <v>249</v>
      </c>
    </row>
    <row r="652" spans="4:18" x14ac:dyDescent="0.2">
      <c r="D652" s="1">
        <v>46025</v>
      </c>
      <c r="E652" s="2">
        <v>0.79166666666666663</v>
      </c>
      <c r="F652" t="s">
        <v>30</v>
      </c>
      <c r="G652">
        <f>VLOOKUP(Table4[[#This Row],[Home]],'NHL Model'!$A$6:$B$38,2,FALSE)</f>
        <v>-0.18630462558229716</v>
      </c>
      <c r="H652" t="s">
        <v>19</v>
      </c>
      <c r="I652">
        <f>VLOOKUP(Table4[[#This Row],[Visitor]],'NHL Model'!$A$6:$B$38,2,FALSE)</f>
        <v>-0.44228056828684137</v>
      </c>
      <c r="J652">
        <f>($B$1+Table4[[#This Row],[Home Differential]])-Table4[[#This Row],[Away Differential]]</f>
        <v>0.38558292851606835</v>
      </c>
      <c r="K652" t="str">
        <f>IF(Table4[[#This Row],[HomeIce Differential]]&gt;0,Table4[[#This Row],[Home]],Table4[[#This Row],[Visitor]])</f>
        <v>New York Islanders</v>
      </c>
      <c r="L6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0.59731521827956979</v>
      </c>
      <c r="M652" t="str">
        <f>IF(OR((NHL2025_26Results[[#This Row],[Winning Team]]="")),"-",IF(Table4[[#This Row],[Predicted Winner]]=NHL2025_26Results[[#This Row],[Winning Team]],"YES","NO"))</f>
        <v>YES</v>
      </c>
      <c r="N652">
        <f>IF(Table4[[#This Row],[Adjusted Correct]]="-", "",IF(Table4[[#This Row],[Adjusted Correct]]="YES",(Table4[[#This Row],[Strength of Win]]-1)^2,(Table4[[#This Row],[Strength of Win]]-0)^2))</f>
        <v>0.16215503342923052</v>
      </c>
      <c r="O652">
        <v>0.26685126995331337</v>
      </c>
      <c r="P652" s="11">
        <v>0.57085642827167993</v>
      </c>
      <c r="Q652" t="s">
        <v>30</v>
      </c>
      <c r="R652" t="s">
        <v>248</v>
      </c>
    </row>
    <row r="653" spans="4:18" x14ac:dyDescent="0.2">
      <c r="D653" s="1">
        <v>46025</v>
      </c>
      <c r="E653" s="2">
        <v>0.79166666666666663</v>
      </c>
      <c r="F653" t="s">
        <v>36</v>
      </c>
      <c r="G653">
        <f>VLOOKUP(Table4[[#This Row],[Home]],'NHL Model'!$A$6:$B$38,2,FALSE)</f>
        <v>-0.19010748264223354</v>
      </c>
      <c r="H653" t="s">
        <v>40</v>
      </c>
      <c r="I653">
        <f>VLOOKUP(Table4[[#This Row],[Visitor]],'NHL Model'!$A$6:$B$38,2,FALSE)</f>
        <v>-0.58845147248022256</v>
      </c>
      <c r="J653">
        <f>($B$1+Table4[[#This Row],[Home Differential]])-Table4[[#This Row],[Away Differential]]</f>
        <v>0.5279509756495131</v>
      </c>
      <c r="K653" t="str">
        <f>IF(Table4[[#This Row],[HomeIce Differential]]&gt;0,Table4[[#This Row],[Home]],Table4[[#This Row],[Visitor]])</f>
        <v>Ottawa Senators</v>
      </c>
      <c r="L6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0.59928565621586727</v>
      </c>
      <c r="M653" t="str">
        <f>IF(OR((NHL2025_26Results[[#This Row],[Winning Team]]="")),"-",IF(Table4[[#This Row],[Predicted Winner]]=NHL2025_26Results[[#This Row],[Winning Team]],"YES","NO"))</f>
        <v>YES</v>
      </c>
      <c r="N653">
        <f>IF(Table4[[#This Row],[Adjusted Correct]]="-", "",IF(Table4[[#This Row],[Adjusted Correct]]="YES",(Table4[[#This Row],[Strength of Win]]-1)^2,(Table4[[#This Row],[Strength of Win]]-0)^2))</f>
        <v>0.1605719853143481</v>
      </c>
      <c r="O653">
        <v>0.26506266507840248</v>
      </c>
      <c r="P653" s="11">
        <v>0.56817085616739682</v>
      </c>
      <c r="Q653" t="s">
        <v>36</v>
      </c>
      <c r="R653" t="s">
        <v>248</v>
      </c>
    </row>
    <row r="654" spans="4:18" x14ac:dyDescent="0.2">
      <c r="D654" s="1">
        <v>46025</v>
      </c>
      <c r="E654" s="2">
        <v>0.66666666666666663</v>
      </c>
      <c r="F654" t="s">
        <v>33</v>
      </c>
      <c r="G654">
        <f>VLOOKUP(Table4[[#This Row],[Home]],'NHL Model'!$A$6:$B$38,2,FALSE)</f>
        <v>-0.65236582493376272</v>
      </c>
      <c r="H654" t="s">
        <v>37</v>
      </c>
      <c r="I654">
        <f>VLOOKUP(Table4[[#This Row],[Visitor]],'NHL Model'!$A$6:$B$38,2,FALSE)</f>
        <v>0.72108184732572844</v>
      </c>
      <c r="J654">
        <f>($B$1+Table4[[#This Row],[Home Differential]])-Table4[[#This Row],[Away Differential]]</f>
        <v>-1.243840686447967</v>
      </c>
      <c r="K654" t="str">
        <f>IF(Table4[[#This Row],[HomeIce Differential]]&gt;0,Table4[[#This Row],[Home]],Table4[[#This Row],[Visitor]])</f>
        <v>Tampa Bay Lightning</v>
      </c>
      <c r="L6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0.6965338273229168</v>
      </c>
      <c r="M654" t="str">
        <f>IF(OR((NHL2025_26Results[[#This Row],[Winning Team]]="")),"-",IF(Table4[[#This Row],[Predicted Winner]]=NHL2025_26Results[[#This Row],[Winning Team]],"YES","NO"))</f>
        <v>YES</v>
      </c>
      <c r="N654">
        <f>IF(Table4[[#This Row],[Adjusted Correct]]="-", "",IF(Table4[[#This Row],[Adjusted Correct]]="YES",(Table4[[#This Row],[Strength of Win]]-1)^2,(Table4[[#This Row],[Strength of Win]]-0)^2))</f>
        <v>9.2091717959277272E-2</v>
      </c>
      <c r="O654">
        <v>-0.90085173423704201</v>
      </c>
      <c r="P654" s="11">
        <v>0.64196099653269434</v>
      </c>
      <c r="Q654" t="s">
        <v>37</v>
      </c>
      <c r="R654" t="s">
        <v>248</v>
      </c>
    </row>
    <row r="655" spans="4:18" x14ac:dyDescent="0.2">
      <c r="D655" s="1">
        <v>46025</v>
      </c>
      <c r="E655" s="2">
        <v>0.66666666666666663</v>
      </c>
      <c r="F655" t="s">
        <v>35</v>
      </c>
      <c r="G655">
        <f>VLOOKUP(Table4[[#This Row],[Home]],'NHL Model'!$A$6:$B$38,2,FALSE)</f>
        <v>-1.3128572733047907</v>
      </c>
      <c r="H655" t="s">
        <v>18</v>
      </c>
      <c r="I655">
        <f>VLOOKUP(Table4[[#This Row],[Visitor]],'NHL Model'!$A$6:$B$38,2,FALSE)</f>
        <v>-8.6274676766085606E-2</v>
      </c>
      <c r="J655">
        <f>($B$1+Table4[[#This Row],[Home Differential]])-Table4[[#This Row],[Away Differential]]</f>
        <v>-1.0969756107271811</v>
      </c>
      <c r="K655" t="str">
        <f>IF(Table4[[#This Row],[HomeIce Differential]]&gt;0,Table4[[#This Row],[Home]],Table4[[#This Row],[Visitor]])</f>
        <v>Montreal Canadiens</v>
      </c>
      <c r="L6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0.62855318393212523</v>
      </c>
      <c r="M655" t="str">
        <f>IF(OR((NHL2025_26Results[[#This Row],[Winning Team]]="")),"-",IF(Table4[[#This Row],[Predicted Winner]]=NHL2025_26Results[[#This Row],[Winning Team]],"YES","NO"))</f>
        <v>NO</v>
      </c>
      <c r="N655">
        <f>IF(Table4[[#This Row],[Adjusted Correct]]="-", "",IF(Table4[[#This Row],[Adjusted Correct]]="YES",(Table4[[#This Row],[Strength of Win]]-1)^2,(Table4[[#This Row],[Strength of Win]]-0)^2))</f>
        <v>0.39507910503121202</v>
      </c>
      <c r="O655">
        <v>-0.95361239452531932</v>
      </c>
      <c r="P655" s="11">
        <v>0.62766570081511563</v>
      </c>
      <c r="Q655" t="s">
        <v>18</v>
      </c>
      <c r="R655" t="s">
        <v>249</v>
      </c>
    </row>
    <row r="656" spans="4:18" x14ac:dyDescent="0.2">
      <c r="D656" s="1">
        <v>46025</v>
      </c>
      <c r="E656" s="2">
        <v>0.91666666666666663</v>
      </c>
      <c r="F656" t="s">
        <v>38</v>
      </c>
      <c r="G656">
        <f>VLOOKUP(Table4[[#This Row],[Home]],'NHL Model'!$A$6:$B$38,2,FALSE)</f>
        <v>-1.3920033028857945</v>
      </c>
      <c r="H656" t="s">
        <v>21</v>
      </c>
      <c r="I656">
        <f>VLOOKUP(Table4[[#This Row],[Visitor]],'NHL Model'!$A$6:$B$38,2,FALSE)</f>
        <v>-0.10253061303059285</v>
      </c>
      <c r="J656">
        <f>($B$1+Table4[[#This Row],[Home Differential]])-Table4[[#This Row],[Away Differential]]</f>
        <v>-1.1598657040436775</v>
      </c>
      <c r="K656" t="str">
        <f>IF(Table4[[#This Row],[HomeIce Differential]]&gt;0,Table4[[#This Row],[Home]],Table4[[#This Row],[Visitor]])</f>
        <v>Boston Bruins</v>
      </c>
      <c r="L6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0.59024580417132833</v>
      </c>
      <c r="M656" t="str">
        <f>IF(OR((NHL2025_26Results[[#This Row],[Winning Team]]="")),"-",IF(Table4[[#This Row],[Predicted Winner]]=NHL2025_26Results[[#This Row],[Winning Team]],"YES","NO"))</f>
        <v>YES</v>
      </c>
      <c r="N656">
        <f>IF(Table4[[#This Row],[Adjusted Correct]]="-", "",IF(Table4[[#This Row],[Adjusted Correct]]="YES",(Table4[[#This Row],[Strength of Win]]-1)^2,(Table4[[#This Row],[Strength of Win]]-0)^2))</f>
        <v>0.16789850099920142</v>
      </c>
      <c r="O656">
        <v>-0.46843561711935489</v>
      </c>
      <c r="P656" s="11">
        <v>0.50978533053552388</v>
      </c>
      <c r="Q656" t="s">
        <v>21</v>
      </c>
      <c r="R656" t="s">
        <v>248</v>
      </c>
    </row>
    <row r="657" spans="4:18" x14ac:dyDescent="0.2">
      <c r="D657" s="1">
        <v>46025</v>
      </c>
      <c r="E657" s="2">
        <v>0.79166666666666663</v>
      </c>
      <c r="F657" t="s">
        <v>22</v>
      </c>
      <c r="G657">
        <f>VLOOKUP(Table4[[#This Row],[Home]],'NHL Model'!$A$6:$B$38,2,FALSE)</f>
        <v>-0.11977593183651415</v>
      </c>
      <c r="H657" t="s">
        <v>10</v>
      </c>
      <c r="I657">
        <f>VLOOKUP(Table4[[#This Row],[Visitor]],'NHL Model'!$A$6:$B$38,2,FALSE)</f>
        <v>-0.92658078135875344</v>
      </c>
      <c r="J657">
        <f>($B$1+Table4[[#This Row],[Home Differential]])-Table4[[#This Row],[Away Differential]]</f>
        <v>0.93641183533376338</v>
      </c>
      <c r="K657" t="str">
        <f>IF(Table4[[#This Row],[HomeIce Differential]]&gt;0,Table4[[#This Row],[Home]],Table4[[#This Row],[Visitor]])</f>
        <v>Washington Capitals</v>
      </c>
      <c r="L6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0.66311982734686603</v>
      </c>
      <c r="M657" t="str">
        <f>IF(OR((NHL2025_26Results[[#This Row],[Winning Team]]="")),"-",IF(Table4[[#This Row],[Predicted Winner]]=NHL2025_26Results[[#This Row],[Winning Team]],"YES","NO"))</f>
        <v>NO</v>
      </c>
      <c r="N657">
        <f>IF(Table4[[#This Row],[Adjusted Correct]]="-", "",IF(Table4[[#This Row],[Adjusted Correct]]="YES",(Table4[[#This Row],[Strength of Win]]-1)^2,(Table4[[#This Row],[Strength of Win]]-0)^2))</f>
        <v>0.43972790542053741</v>
      </c>
      <c r="O657">
        <v>0.92868552427500728</v>
      </c>
      <c r="P657" s="11">
        <v>0.65271730443445475</v>
      </c>
      <c r="Q657" t="s">
        <v>22</v>
      </c>
      <c r="R657" t="s">
        <v>249</v>
      </c>
    </row>
    <row r="658" spans="4:18" x14ac:dyDescent="0.2">
      <c r="D658" s="1">
        <v>46026</v>
      </c>
      <c r="E658" s="2">
        <v>0.625</v>
      </c>
      <c r="F658" t="s">
        <v>28</v>
      </c>
      <c r="G658">
        <f>VLOOKUP(Table4[[#This Row],[Home]],'NHL Model'!$A$6:$B$38,2,FALSE)</f>
        <v>-0.28156479873410767</v>
      </c>
      <c r="H658" t="s">
        <v>14</v>
      </c>
      <c r="I658">
        <f>VLOOKUP(Table4[[#This Row],[Visitor]],'NHL Model'!$A$6:$B$38,2,FALSE)</f>
        <v>3.6349513460996066E-5</v>
      </c>
      <c r="J658">
        <f>($B$1+Table4[[#This Row],[Home Differential]])-Table4[[#This Row],[Away Differential]]</f>
        <v>-0.15199416243604455</v>
      </c>
      <c r="K658" t="str">
        <f>IF(Table4[[#This Row],[HomeIce Differential]]&gt;0,Table4[[#This Row],[Home]],Table4[[#This Row],[Visitor]])</f>
        <v>Pittsburgh Penguins</v>
      </c>
      <c r="L6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0.52411026565978436</v>
      </c>
      <c r="M658" t="str">
        <f>IF(OR((NHL2025_26Results[[#This Row],[Winning Team]]="")),"-",IF(Table4[[#This Row],[Predicted Winner]]=NHL2025_26Results[[#This Row],[Winning Team]],"YES","NO"))</f>
        <v>YES</v>
      </c>
      <c r="N658">
        <f>IF(Table4[[#This Row],[Adjusted Correct]]="-", "",IF(Table4[[#This Row],[Adjusted Correct]]="YES",(Table4[[#This Row],[Strength of Win]]-1)^2,(Table4[[#This Row],[Strength of Win]]-0)^2))</f>
        <v>0.22647103925040102</v>
      </c>
      <c r="O658">
        <v>-0.1379925267173791</v>
      </c>
      <c r="P658" s="11">
        <v>0.49518014655224557</v>
      </c>
      <c r="Q658" t="s">
        <v>14</v>
      </c>
      <c r="R658" t="s">
        <v>248</v>
      </c>
    </row>
    <row r="659" spans="4:18" x14ac:dyDescent="0.2">
      <c r="D659" s="1">
        <v>46026</v>
      </c>
      <c r="E659" s="2">
        <v>0.79166666666666663</v>
      </c>
      <c r="F659" t="s">
        <v>10</v>
      </c>
      <c r="G659">
        <f>VLOOKUP(Table4[[#This Row],[Home]],'NHL Model'!$A$6:$B$38,2,FALSE)</f>
        <v>-0.92658078135875344</v>
      </c>
      <c r="H659" t="s">
        <v>20</v>
      </c>
      <c r="I659">
        <f>VLOOKUP(Table4[[#This Row],[Visitor]],'NHL Model'!$A$6:$B$38,2,FALSE)</f>
        <v>-0.16296463421387539</v>
      </c>
      <c r="J659">
        <f>($B$1+Table4[[#This Row],[Home Differential]])-Table4[[#This Row],[Away Differential]]</f>
        <v>-0.63400916133335394</v>
      </c>
      <c r="K659" t="str">
        <f>IF(Table4[[#This Row],[HomeIce Differential]]&gt;0,Table4[[#This Row],[Home]],Table4[[#This Row],[Visitor]])</f>
        <v>Vegas Golden Knights</v>
      </c>
      <c r="L6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0.5432115233396867</v>
      </c>
      <c r="M659" t="str">
        <f>IF(OR((NHL2025_26Results[[#This Row],[Winning Team]]="")),"-",IF(Table4[[#This Row],[Predicted Winner]]=NHL2025_26Results[[#This Row],[Winning Team]],"YES","NO"))</f>
        <v>NO</v>
      </c>
      <c r="N659">
        <f>IF(Table4[[#This Row],[Adjusted Correct]]="-", "",IF(Table4[[#This Row],[Adjusted Correct]]="YES",(Table4[[#This Row],[Strength of Win]]-1)^2,(Table4[[#This Row],[Strength of Win]]-0)^2))</f>
        <v>0.29507875908902298</v>
      </c>
      <c r="O659">
        <v>-0.38527348591257271</v>
      </c>
      <c r="P659" s="11">
        <v>0.50752482431619184</v>
      </c>
      <c r="Q659" t="s">
        <v>20</v>
      </c>
      <c r="R659" t="s">
        <v>249</v>
      </c>
    </row>
    <row r="660" spans="4:18" x14ac:dyDescent="0.2">
      <c r="D660" s="1">
        <v>46026</v>
      </c>
      <c r="E660" s="2">
        <v>0.58333333333333337</v>
      </c>
      <c r="F660" t="s">
        <v>39</v>
      </c>
      <c r="G660">
        <f>VLOOKUP(Table4[[#This Row],[Home]],'NHL Model'!$A$6:$B$38,2,FALSE)</f>
        <v>0.21708030788125537</v>
      </c>
      <c r="H660" t="s">
        <v>18</v>
      </c>
      <c r="I660">
        <f>VLOOKUP(Table4[[#This Row],[Visitor]],'NHL Model'!$A$6:$B$38,2,FALSE)</f>
        <v>-8.6274676766085606E-2</v>
      </c>
      <c r="J660">
        <f>($B$1+Table4[[#This Row],[Home Differential]])-Table4[[#This Row],[Away Differential]]</f>
        <v>0.43296197045886509</v>
      </c>
      <c r="K660" t="str">
        <f>IF(Table4[[#This Row],[HomeIce Differential]]&gt;0,Table4[[#This Row],[Home]],Table4[[#This Row],[Visitor]])</f>
        <v>Dallas Stars</v>
      </c>
      <c r="L6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0.58159194655018842</v>
      </c>
      <c r="M660" t="str">
        <f>IF(OR((NHL2025_26Results[[#This Row],[Winning Team]]="")),"-",IF(Table4[[#This Row],[Predicted Winner]]=NHL2025_26Results[[#This Row],[Winning Team]],"YES","NO"))</f>
        <v>NO</v>
      </c>
      <c r="N660">
        <f>IF(Table4[[#This Row],[Adjusted Correct]]="-", "",IF(Table4[[#This Row],[Adjusted Correct]]="YES",(Table4[[#This Row],[Strength of Win]]-1)^2,(Table4[[#This Row],[Strength of Win]]-0)^2))</f>
        <v>0.3382491922920372</v>
      </c>
      <c r="O660">
        <v>0.78512566392204741</v>
      </c>
      <c r="P660" s="11">
        <v>0.59418782178080576</v>
      </c>
      <c r="Q660" t="s">
        <v>39</v>
      </c>
      <c r="R660" t="s">
        <v>249</v>
      </c>
    </row>
    <row r="661" spans="4:18" x14ac:dyDescent="0.2">
      <c r="D661" s="1">
        <v>46026</v>
      </c>
      <c r="E661" s="2">
        <v>0.70833333333333337</v>
      </c>
      <c r="F661" t="s">
        <v>11</v>
      </c>
      <c r="G661">
        <f>VLOOKUP(Table4[[#This Row],[Home]],'NHL Model'!$A$6:$B$38,2,FALSE)</f>
        <v>-0.55695213126481558</v>
      </c>
      <c r="H661" t="s">
        <v>12</v>
      </c>
      <c r="I661">
        <f>VLOOKUP(Table4[[#This Row],[Visitor]],'NHL Model'!$A$6:$B$38,2,FALSE)</f>
        <v>0.99866683349964291</v>
      </c>
      <c r="J661">
        <f>($B$1+Table4[[#This Row],[Home Differential]])-Table4[[#This Row],[Away Differential]]</f>
        <v>-1.4260119789529344</v>
      </c>
      <c r="K661" t="str">
        <f>IF(Table4[[#This Row],[HomeIce Differential]]&gt;0,Table4[[#This Row],[Home]],Table4[[#This Row],[Visitor]])</f>
        <v>Colorado Avalanche</v>
      </c>
      <c r="L6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0.689397653646314</v>
      </c>
      <c r="M661" t="str">
        <f>IF(OR((NHL2025_26Results[[#This Row],[Winning Team]]="")),"-",IF(Table4[[#This Row],[Predicted Winner]]=NHL2025_26Results[[#This Row],[Winning Team]],"YES","NO"))</f>
        <v>NO</v>
      </c>
      <c r="N661">
        <f>IF(Table4[[#This Row],[Adjusted Correct]]="-", "",IF(Table4[[#This Row],[Adjusted Correct]]="YES",(Table4[[#This Row],[Strength of Win]]-1)^2,(Table4[[#This Row],[Strength of Win]]-0)^2))</f>
        <v>0.47526912485304312</v>
      </c>
      <c r="O661">
        <v>-1.707839778105223</v>
      </c>
      <c r="P661" s="11">
        <v>0.73084030454007021</v>
      </c>
      <c r="Q661" t="s">
        <v>12</v>
      </c>
      <c r="R661" t="s">
        <v>249</v>
      </c>
    </row>
    <row r="662" spans="4:18" x14ac:dyDescent="0.2">
      <c r="D662" s="1">
        <v>46026</v>
      </c>
      <c r="E662" s="2">
        <v>0.79166666666666663</v>
      </c>
      <c r="F662" t="s">
        <v>24</v>
      </c>
      <c r="G662">
        <f>VLOOKUP(Table4[[#This Row],[Home]],'NHL Model'!$A$6:$B$38,2,FALSE)</f>
        <v>-0.74510803532792402</v>
      </c>
      <c r="H662" t="s">
        <v>25</v>
      </c>
      <c r="I662">
        <f>VLOOKUP(Table4[[#This Row],[Visitor]],'NHL Model'!$A$6:$B$38,2,FALSE)</f>
        <v>0.2324942014830165</v>
      </c>
      <c r="J662">
        <f>($B$1+Table4[[#This Row],[Home Differential]])-Table4[[#This Row],[Away Differential]]</f>
        <v>-0.84799525099941642</v>
      </c>
      <c r="K662" t="str">
        <f>IF(Table4[[#This Row],[HomeIce Differential]]&gt;0,Table4[[#This Row],[Home]],Table4[[#This Row],[Visitor]])</f>
        <v>Carolina Hurricanes</v>
      </c>
      <c r="L6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0.61175359086756864</v>
      </c>
      <c r="M662" t="str">
        <f>IF(OR((NHL2025_26Results[[#This Row],[Winning Team]]="")),"-",IF(Table4[[#This Row],[Predicted Winner]]=NHL2025_26Results[[#This Row],[Winning Team]],"YES","NO"))</f>
        <v>YES</v>
      </c>
      <c r="N662">
        <f>IF(Table4[[#This Row],[Adjusted Correct]]="-", "",IF(Table4[[#This Row],[Adjusted Correct]]="YES",(Table4[[#This Row],[Strength of Win]]-1)^2,(Table4[[#This Row],[Strength of Win]]-0)^2))</f>
        <v>0.15073527420422728</v>
      </c>
      <c r="O662">
        <v>-0.35196784982422791</v>
      </c>
      <c r="P662" s="11">
        <v>0.5495774239576936</v>
      </c>
      <c r="Q662" t="s">
        <v>25</v>
      </c>
      <c r="R662" t="s">
        <v>248</v>
      </c>
    </row>
    <row r="663" spans="4:18" x14ac:dyDescent="0.2">
      <c r="D663" s="1">
        <v>46027</v>
      </c>
      <c r="E663" s="2">
        <v>0.89583333333333337</v>
      </c>
      <c r="F663" t="s">
        <v>16</v>
      </c>
      <c r="G663">
        <f>VLOOKUP(Table4[[#This Row],[Home]],'NHL Model'!$A$6:$B$38,2,FALSE)</f>
        <v>-0.89031221864884547</v>
      </c>
      <c r="H663" t="s">
        <v>32</v>
      </c>
      <c r="I663">
        <f>VLOOKUP(Table4[[#This Row],[Visitor]],'NHL Model'!$A$6:$B$38,2,FALSE)</f>
        <v>-0.48236715437805205</v>
      </c>
      <c r="J663">
        <f>($B$1+Table4[[#This Row],[Home Differential]])-Table4[[#This Row],[Away Differential]]</f>
        <v>-0.27833807845926933</v>
      </c>
      <c r="K663" t="str">
        <f>IF(Table4[[#This Row],[HomeIce Differential]]&gt;0,Table4[[#This Row],[Home]],Table4[[#This Row],[Visitor]])</f>
        <v>Seattle Kraken</v>
      </c>
      <c r="L6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0.49125565893882545</v>
      </c>
      <c r="M663" t="str">
        <f>IF(OR((NHL2025_26Results[[#This Row],[Winning Team]]="")),"-",IF(Table4[[#This Row],[Predicted Winner]]=NHL2025_26Results[[#This Row],[Winning Team]],"YES","NO"))</f>
        <v>YES</v>
      </c>
      <c r="N663">
        <f>IF(Table4[[#This Row],[Adjusted Correct]]="-", "",IF(Table4[[#This Row],[Adjusted Correct]]="YES",(Table4[[#This Row],[Strength of Win]]-1)^2,(Table4[[#This Row],[Strength of Win]]-0)^2))</f>
        <v>0.25882080456176865</v>
      </c>
      <c r="O663">
        <v>8.5435922058882896E-2</v>
      </c>
      <c r="P663" s="11">
        <v>0.56769092458689374</v>
      </c>
      <c r="Q663" t="s">
        <v>16</v>
      </c>
      <c r="R663" t="s">
        <v>249</v>
      </c>
    </row>
    <row r="664" spans="4:18" x14ac:dyDescent="0.2">
      <c r="D664" s="1">
        <v>46027</v>
      </c>
      <c r="E664" s="2">
        <v>0.9375</v>
      </c>
      <c r="F664" t="s">
        <v>13</v>
      </c>
      <c r="G664">
        <f>VLOOKUP(Table4[[#This Row],[Home]],'NHL Model'!$A$6:$B$38,2,FALSE)</f>
        <v>-0.59069689888466137</v>
      </c>
      <c r="H664" t="s">
        <v>34</v>
      </c>
      <c r="I664">
        <f>VLOOKUP(Table4[[#This Row],[Visitor]],'NHL Model'!$A$6:$B$38,2,FALSE)</f>
        <v>6.0485283743665949E-2</v>
      </c>
      <c r="J664">
        <f>($B$1+Table4[[#This Row],[Home Differential]])-Table4[[#This Row],[Away Differential]]</f>
        <v>-0.5215751968168032</v>
      </c>
      <c r="K664" t="str">
        <f>IF(Table4[[#This Row],[HomeIce Differential]]&gt;0,Table4[[#This Row],[Home]],Table4[[#This Row],[Visitor]])</f>
        <v>Minnesota Wild</v>
      </c>
      <c r="L6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0.58783495065340541</v>
      </c>
      <c r="M664" t="str">
        <f>IF(OR((NHL2025_26Results[[#This Row],[Winning Team]]="")),"-",IF(Table4[[#This Row],[Predicted Winner]]=NHL2025_26Results[[#This Row],[Winning Team]],"YES","NO"))</f>
        <v>NO</v>
      </c>
      <c r="N664">
        <f>IF(Table4[[#This Row],[Adjusted Correct]]="-", "",IF(Table4[[#This Row],[Adjusted Correct]]="YES",(Table4[[#This Row],[Strength of Win]]-1)^2,(Table4[[#This Row],[Strength of Win]]-0)^2))</f>
        <v>0.34554992920969158</v>
      </c>
      <c r="O664">
        <v>-0.48850702586941203</v>
      </c>
      <c r="P664" s="11">
        <v>0.56484096641083315</v>
      </c>
      <c r="Q664" t="s">
        <v>34</v>
      </c>
      <c r="R664" t="s">
        <v>249</v>
      </c>
    </row>
    <row r="665" spans="4:18" x14ac:dyDescent="0.2">
      <c r="D665" s="1">
        <v>46027</v>
      </c>
      <c r="E665" s="2">
        <v>0.79166666666666663</v>
      </c>
      <c r="F665" t="s">
        <v>15</v>
      </c>
      <c r="G665">
        <f>VLOOKUP(Table4[[#This Row],[Home]],'NHL Model'!$A$6:$B$38,2,FALSE)</f>
        <v>-0.73651915476403329</v>
      </c>
      <c r="H665" t="s">
        <v>55</v>
      </c>
      <c r="I665">
        <f>VLOOKUP(Table4[[#This Row],[Visitor]],'NHL Model'!$A$6:$B$38,2,FALSE)</f>
        <v>8.4094725828611647E-2</v>
      </c>
      <c r="J665">
        <f>($B$1+Table4[[#This Row],[Home Differential]])-Table4[[#This Row],[Away Differential]]</f>
        <v>-0.69100689478112087</v>
      </c>
      <c r="K665" t="str">
        <f>IF(Table4[[#This Row],[HomeIce Differential]]&gt;0,Table4[[#This Row],[Home]],Table4[[#This Row],[Visitor]])</f>
        <v>Utah Mammoth</v>
      </c>
      <c r="L6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0.5375958357807521</v>
      </c>
      <c r="M665" t="str">
        <f>IF(OR((NHL2025_26Results[[#This Row],[Winning Team]]="")),"-",IF(Table4[[#This Row],[Predicted Winner]]=NHL2025_26Results[[#This Row],[Winning Team]],"YES","NO"))</f>
        <v>YES</v>
      </c>
      <c r="N665">
        <f>IF(Table4[[#This Row],[Adjusted Correct]]="-", "",IF(Table4[[#This Row],[Adjusted Correct]]="YES",(Table4[[#This Row],[Strength of Win]]-1)^2,(Table4[[#This Row],[Strength of Win]]-0)^2))</f>
        <v>0.21381761108730118</v>
      </c>
      <c r="O665">
        <v>-6.6993406126078847E-2</v>
      </c>
      <c r="P665" s="11">
        <v>0.46695324626845397</v>
      </c>
      <c r="Q665" t="s">
        <v>55</v>
      </c>
      <c r="R665" t="s">
        <v>248</v>
      </c>
    </row>
    <row r="666" spans="4:18" x14ac:dyDescent="0.2">
      <c r="D666" s="1">
        <v>46027</v>
      </c>
      <c r="E666" s="2">
        <v>0.8125</v>
      </c>
      <c r="F666" t="s">
        <v>36</v>
      </c>
      <c r="G666">
        <f>VLOOKUP(Table4[[#This Row],[Home]],'NHL Model'!$A$6:$B$38,2,FALSE)</f>
        <v>-0.19010748264223354</v>
      </c>
      <c r="H666" t="s">
        <v>26</v>
      </c>
      <c r="I666">
        <f>VLOOKUP(Table4[[#This Row],[Visitor]],'NHL Model'!$A$6:$B$38,2,FALSE)</f>
        <v>-0.33113778518110382</v>
      </c>
      <c r="J666">
        <f>($B$1+Table4[[#This Row],[Home Differential]])-Table4[[#This Row],[Away Differential]]</f>
        <v>0.27063728835039436</v>
      </c>
      <c r="K666" t="str">
        <f>IF(Table4[[#This Row],[HomeIce Differential]]&gt;0,Table4[[#This Row],[Home]],Table4[[#This Row],[Visitor]])</f>
        <v>Ottawa Senators</v>
      </c>
      <c r="L6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0.53238293931727176</v>
      </c>
      <c r="M666" t="str">
        <f>IF(OR((NHL2025_26Results[[#This Row],[Winning Team]]="")),"-",IF(Table4[[#This Row],[Predicted Winner]]=NHL2025_26Results[[#This Row],[Winning Team]],"YES","NO"))</f>
        <v>NO</v>
      </c>
      <c r="N666">
        <f>IF(Table4[[#This Row],[Adjusted Correct]]="-", "",IF(Table4[[#This Row],[Adjusted Correct]]="YES",(Table4[[#This Row],[Strength of Win]]-1)^2,(Table4[[#This Row],[Strength of Win]]-0)^2))</f>
        <v>0.28343159407609786</v>
      </c>
      <c r="O666">
        <v>0.35592941360234703</v>
      </c>
      <c r="P666" s="11">
        <v>0.55617268650402929</v>
      </c>
      <c r="Q666" t="s">
        <v>36</v>
      </c>
      <c r="R666" t="s">
        <v>249</v>
      </c>
    </row>
    <row r="667" spans="4:18" x14ac:dyDescent="0.2">
      <c r="D667" s="1">
        <v>46027</v>
      </c>
      <c r="E667" s="2">
        <v>0.79166666666666663</v>
      </c>
      <c r="F667" t="s">
        <v>22</v>
      </c>
      <c r="G667">
        <f>VLOOKUP(Table4[[#This Row],[Home]],'NHL Model'!$A$6:$B$38,2,FALSE)</f>
        <v>-0.11977593183651415</v>
      </c>
      <c r="H667" t="s">
        <v>31</v>
      </c>
      <c r="I667">
        <f>VLOOKUP(Table4[[#This Row],[Visitor]],'NHL Model'!$A$6:$B$38,2,FALSE)</f>
        <v>-0.46360583111358089</v>
      </c>
      <c r="J667">
        <f>($B$1+Table4[[#This Row],[Home Differential]])-Table4[[#This Row],[Away Differential]]</f>
        <v>0.47343688508859083</v>
      </c>
      <c r="K667" t="str">
        <f>IF(Table4[[#This Row],[HomeIce Differential]]&gt;0,Table4[[#This Row],[Home]],Table4[[#This Row],[Visitor]])</f>
        <v>Washington Capitals</v>
      </c>
      <c r="L6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0.61113058023348432</v>
      </c>
      <c r="M667" t="str">
        <f>IF(OR((NHL2025_26Results[[#This Row],[Winning Team]]="")),"-",IF(Table4[[#This Row],[Predicted Winner]]=NHL2025_26Results[[#This Row],[Winning Team]],"YES","NO"))</f>
        <v>YES</v>
      </c>
      <c r="N667">
        <f>IF(Table4[[#This Row],[Adjusted Correct]]="-", "",IF(Table4[[#This Row],[Adjusted Correct]]="YES",(Table4[[#This Row],[Strength of Win]]-1)^2,(Table4[[#This Row],[Strength of Win]]-0)^2))</f>
        <v>0.15121942562954657</v>
      </c>
      <c r="O667">
        <v>0.55788024808914793</v>
      </c>
      <c r="P667" s="11">
        <v>0.60039787553823809</v>
      </c>
      <c r="Q667" t="s">
        <v>22</v>
      </c>
      <c r="R667" t="s">
        <v>248</v>
      </c>
    </row>
    <row r="668" spans="4:18" x14ac:dyDescent="0.2">
      <c r="D668" s="1">
        <v>46028</v>
      </c>
      <c r="E668" s="2">
        <v>0.79166666666666663</v>
      </c>
      <c r="F668" t="s">
        <v>23</v>
      </c>
      <c r="G668">
        <f>VLOOKUP(Table4[[#This Row],[Home]],'NHL Model'!$A$6:$B$38,2,FALSE)</f>
        <v>8.1543966060426461E-3</v>
      </c>
      <c r="H668" t="s">
        <v>38</v>
      </c>
      <c r="I668">
        <f>VLOOKUP(Table4[[#This Row],[Visitor]],'NHL Model'!$A$6:$B$38,2,FALSE)</f>
        <v>-1.3920033028857945</v>
      </c>
      <c r="J668">
        <f>($B$1+Table4[[#This Row],[Home Differential]])-Table4[[#This Row],[Away Differential]]</f>
        <v>1.5297646853033613</v>
      </c>
      <c r="K668" t="str">
        <f>IF(Table4[[#This Row],[HomeIce Differential]]&gt;0,Table4[[#This Row],[Home]],Table4[[#This Row],[Visitor]])</f>
        <v>Buffalo Sabres</v>
      </c>
      <c r="L6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0.74072562729001801</v>
      </c>
      <c r="M668" t="str">
        <f>IF(OR((NHL2025_26Results[[#This Row],[Winning Team]]="")),"-",IF(Table4[[#This Row],[Predicted Winner]]=NHL2025_26Results[[#This Row],[Winning Team]],"YES","NO"))</f>
        <v>YES</v>
      </c>
      <c r="N668">
        <f>IF(Table4[[#This Row],[Adjusted Correct]]="-", "",IF(Table4[[#This Row],[Adjusted Correct]]="YES",(Table4[[#This Row],[Strength of Win]]-1)^2,(Table4[[#This Row],[Strength of Win]]-0)^2))</f>
        <v>6.722320034415466E-2</v>
      </c>
      <c r="O668">
        <v>0.65650839104440339</v>
      </c>
      <c r="P668" s="11">
        <v>0.60442613074402696</v>
      </c>
      <c r="Q668" t="s">
        <v>23</v>
      </c>
      <c r="R668" t="s">
        <v>248</v>
      </c>
    </row>
    <row r="669" spans="4:18" x14ac:dyDescent="0.2">
      <c r="D669" s="1">
        <v>46028</v>
      </c>
      <c r="E669" s="2">
        <v>0.79166666666666663</v>
      </c>
      <c r="F669" t="s">
        <v>25</v>
      </c>
      <c r="G669">
        <f>VLOOKUP(Table4[[#This Row],[Home]],'NHL Model'!$A$6:$B$38,2,FALSE)</f>
        <v>0.2324942014830165</v>
      </c>
      <c r="H669" t="s">
        <v>39</v>
      </c>
      <c r="I669">
        <f>VLOOKUP(Table4[[#This Row],[Visitor]],'NHL Model'!$A$6:$B$38,2,FALSE)</f>
        <v>0.21708030788125537</v>
      </c>
      <c r="J669">
        <f>($B$1+Table4[[#This Row],[Home Differential]])-Table4[[#This Row],[Away Differential]]</f>
        <v>0.14502087941328523</v>
      </c>
      <c r="K669" t="str">
        <f>IF(Table4[[#This Row],[HomeIce Differential]]&gt;0,Table4[[#This Row],[Home]],Table4[[#This Row],[Visitor]])</f>
        <v>Carolina Hurricanes</v>
      </c>
      <c r="L6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0.55474649368951479</v>
      </c>
      <c r="M669" t="str">
        <f>IF(OR((NHL2025_26Results[[#This Row],[Winning Team]]="")),"-",IF(Table4[[#This Row],[Predicted Winner]]=NHL2025_26Results[[#This Row],[Winning Team]],"YES","NO"))</f>
        <v>YES</v>
      </c>
      <c r="N669">
        <f>IF(Table4[[#This Row],[Adjusted Correct]]="-", "",IF(Table4[[#This Row],[Adjusted Correct]]="YES",(Table4[[#This Row],[Strength of Win]]-1)^2,(Table4[[#This Row],[Strength of Win]]-0)^2))</f>
        <v>0.1982506848817813</v>
      </c>
      <c r="O669">
        <v>-0.19563528179519984</v>
      </c>
      <c r="P669" s="11">
        <v>0.53184401896796396</v>
      </c>
      <c r="Q669" t="s">
        <v>39</v>
      </c>
      <c r="R669" t="s">
        <v>249</v>
      </c>
    </row>
    <row r="670" spans="4:18" x14ac:dyDescent="0.2">
      <c r="D670" s="1">
        <v>46028</v>
      </c>
      <c r="E670" s="2">
        <v>0.875</v>
      </c>
      <c r="F670" t="s">
        <v>17</v>
      </c>
      <c r="G670">
        <f>VLOOKUP(Table4[[#This Row],[Home]],'NHL Model'!$A$6:$B$38,2,FALSE)</f>
        <v>-0.36462594951491906</v>
      </c>
      <c r="H670" t="s">
        <v>29</v>
      </c>
      <c r="I670">
        <f>VLOOKUP(Table4[[#This Row],[Visitor]],'NHL Model'!$A$6:$B$38,2,FALSE)</f>
        <v>-0.82056481120798741</v>
      </c>
      <c r="J670">
        <f>($B$1+Table4[[#This Row],[Home Differential]])-Table4[[#This Row],[Away Differential]]</f>
        <v>0.58554584750459249</v>
      </c>
      <c r="K670" t="str">
        <f>IF(Table4[[#This Row],[HomeIce Differential]]&gt;0,Table4[[#This Row],[Home]],Table4[[#This Row],[Visitor]])</f>
        <v>Edmonton Oilers</v>
      </c>
      <c r="L6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0.60575320704934454</v>
      </c>
      <c r="M670" t="str">
        <f>IF(OR((NHL2025_26Results[[#This Row],[Winning Team]]="")),"-",IF(Table4[[#This Row],[Predicted Winner]]=NHL2025_26Results[[#This Row],[Winning Team]],"YES","NO"))</f>
        <v>YES</v>
      </c>
      <c r="N670">
        <f>IF(Table4[[#This Row],[Adjusted Correct]]="-", "",IF(Table4[[#This Row],[Adjusted Correct]]="YES",(Table4[[#This Row],[Strength of Win]]-1)^2,(Table4[[#This Row],[Strength of Win]]-0)^2))</f>
        <v>0.15543053375187699</v>
      </c>
      <c r="O670">
        <v>0.35711908511727791</v>
      </c>
      <c r="P670" s="11">
        <v>0.58394910834933933</v>
      </c>
      <c r="Q670" t="s">
        <v>17</v>
      </c>
      <c r="R670" t="s">
        <v>248</v>
      </c>
    </row>
    <row r="671" spans="4:18" x14ac:dyDescent="0.2">
      <c r="D671" s="1">
        <v>46028</v>
      </c>
      <c r="E671" s="2">
        <v>0.8125</v>
      </c>
      <c r="F671" t="s">
        <v>30</v>
      </c>
      <c r="G671">
        <f>VLOOKUP(Table4[[#This Row],[Home]],'NHL Model'!$A$6:$B$38,2,FALSE)</f>
        <v>-0.18630462558229716</v>
      </c>
      <c r="H671" t="s">
        <v>24</v>
      </c>
      <c r="I671">
        <f>VLOOKUP(Table4[[#This Row],[Visitor]],'NHL Model'!$A$6:$B$38,2,FALSE)</f>
        <v>-0.74510803532792402</v>
      </c>
      <c r="J671">
        <f>($B$1+Table4[[#This Row],[Home Differential]])-Table4[[#This Row],[Away Differential]]</f>
        <v>0.688410395557151</v>
      </c>
      <c r="K671" t="str">
        <f>IF(Table4[[#This Row],[HomeIce Differential]]&gt;0,Table4[[#This Row],[Home]],Table4[[#This Row],[Visitor]])</f>
        <v>New York Islanders</v>
      </c>
      <c r="L6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0.61063759817765961</v>
      </c>
      <c r="M671" t="str">
        <f>IF(OR((NHL2025_26Results[[#This Row],[Winning Team]]="")),"-",IF(Table4[[#This Row],[Predicted Winner]]=NHL2025_26Results[[#This Row],[Winning Team]],"YES","NO"))</f>
        <v>YES</v>
      </c>
      <c r="N671">
        <f>IF(Table4[[#This Row],[Adjusted Correct]]="-", "",IF(Table4[[#This Row],[Adjusted Correct]]="YES",(Table4[[#This Row],[Strength of Win]]-1)^2,(Table4[[#This Row],[Strength of Win]]-0)^2))</f>
        <v>0.15160307995286165</v>
      </c>
      <c r="O671">
        <v>0.27789909383964018</v>
      </c>
      <c r="P671" s="11">
        <v>0.54772830878412493</v>
      </c>
      <c r="Q671" t="s">
        <v>30</v>
      </c>
      <c r="R671" t="s">
        <v>248</v>
      </c>
    </row>
    <row r="672" spans="4:18" x14ac:dyDescent="0.2">
      <c r="D672" s="1">
        <v>46028</v>
      </c>
      <c r="E672" s="2">
        <v>0.79166666666666663</v>
      </c>
      <c r="F672" t="s">
        <v>27</v>
      </c>
      <c r="G672">
        <f>VLOOKUP(Table4[[#This Row],[Home]],'NHL Model'!$A$6:$B$38,2,FALSE)</f>
        <v>-0.55097933929175691</v>
      </c>
      <c r="H672" t="s">
        <v>31</v>
      </c>
      <c r="I672">
        <f>VLOOKUP(Table4[[#This Row],[Visitor]],'NHL Model'!$A$6:$B$38,2,FALSE)</f>
        <v>-0.46360583111358089</v>
      </c>
      <c r="J672">
        <f>($B$1+Table4[[#This Row],[Home Differential]])-Table4[[#This Row],[Away Differential]]</f>
        <v>4.223347763334806E-2</v>
      </c>
      <c r="K672" t="str">
        <f>IF(Table4[[#This Row],[HomeIce Differential]]&gt;0,Table4[[#This Row],[Home]],Table4[[#This Row],[Visitor]])</f>
        <v>Philadelphia Flyers</v>
      </c>
      <c r="L6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0.54474256048620961</v>
      </c>
      <c r="M672" t="str">
        <f>IF(OR((NHL2025_26Results[[#This Row],[Winning Team]]="")),"-",IF(Table4[[#This Row],[Predicted Winner]]=NHL2025_26Results[[#This Row],[Winning Team]],"YES","NO"))</f>
        <v>YES</v>
      </c>
      <c r="N672">
        <f>IF(Table4[[#This Row],[Adjusted Correct]]="-", "",IF(Table4[[#This Row],[Adjusted Correct]]="YES",(Table4[[#This Row],[Strength of Win]]-1)^2,(Table4[[#This Row],[Strength of Win]]-0)^2))</f>
        <v>0.20725933623265252</v>
      </c>
      <c r="O672">
        <v>0.4258796391876189</v>
      </c>
      <c r="P672" s="11">
        <v>0.58856303304766699</v>
      </c>
      <c r="Q672" t="s">
        <v>27</v>
      </c>
      <c r="R672" t="s">
        <v>248</v>
      </c>
    </row>
    <row r="673" spans="4:18" x14ac:dyDescent="0.2">
      <c r="D673" s="1">
        <v>46028</v>
      </c>
      <c r="E673" s="2">
        <v>0.91666666666666663</v>
      </c>
      <c r="F673" t="s">
        <v>32</v>
      </c>
      <c r="G673">
        <f>VLOOKUP(Table4[[#This Row],[Home]],'NHL Model'!$A$6:$B$38,2,FALSE)</f>
        <v>-0.48236715437805205</v>
      </c>
      <c r="H673" t="s">
        <v>21</v>
      </c>
      <c r="I673">
        <f>VLOOKUP(Table4[[#This Row],[Visitor]],'NHL Model'!$A$6:$B$38,2,FALSE)</f>
        <v>-0.10253061303059285</v>
      </c>
      <c r="J673">
        <f>($B$1+Table4[[#This Row],[Home Differential]])-Table4[[#This Row],[Away Differential]]</f>
        <v>-0.25022955553593507</v>
      </c>
      <c r="K673" t="str">
        <f>IF(Table4[[#This Row],[HomeIce Differential]]&gt;0,Table4[[#This Row],[Home]],Table4[[#This Row],[Visitor]])</f>
        <v>Boston Bruins</v>
      </c>
      <c r="L6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0.4880992442267994</v>
      </c>
      <c r="M673" t="str">
        <f>IF(OR((NHL2025_26Results[[#This Row],[Winning Team]]="")),"-",IF(Table4[[#This Row],[Predicted Winner]]=NHL2025_26Results[[#This Row],[Winning Team]],"YES","NO"))</f>
        <v>NO</v>
      </c>
      <c r="N673">
        <f>IF(Table4[[#This Row],[Adjusted Correct]]="-", "",IF(Table4[[#This Row],[Adjusted Correct]]="YES",(Table4[[#This Row],[Strength of Win]]-1)^2,(Table4[[#This Row],[Strength of Win]]-0)^2))</f>
        <v>0.23824087221477278</v>
      </c>
      <c r="O673">
        <v>-0.1493726033383149</v>
      </c>
      <c r="P673" s="11">
        <v>0.48403908635882797</v>
      </c>
      <c r="Q673" t="s">
        <v>21</v>
      </c>
      <c r="R673" t="s">
        <v>249</v>
      </c>
    </row>
    <row r="674" spans="4:18" x14ac:dyDescent="0.2">
      <c r="D674" s="1">
        <v>46028</v>
      </c>
      <c r="E674" s="2">
        <v>0.91666666666666663</v>
      </c>
      <c r="F674" t="s">
        <v>33</v>
      </c>
      <c r="G674">
        <f>VLOOKUP(Table4[[#This Row],[Home]],'NHL Model'!$A$6:$B$38,2,FALSE)</f>
        <v>-0.65236582493376272</v>
      </c>
      <c r="H674" t="s">
        <v>28</v>
      </c>
      <c r="I674">
        <f>VLOOKUP(Table4[[#This Row],[Visitor]],'NHL Model'!$A$6:$B$38,2,FALSE)</f>
        <v>-0.28156479873410767</v>
      </c>
      <c r="J674">
        <f>($B$1+Table4[[#This Row],[Home Differential]])-Table4[[#This Row],[Away Differential]]</f>
        <v>-0.24119404038813097</v>
      </c>
      <c r="K674" t="str">
        <f>IF(Table4[[#This Row],[HomeIce Differential]]&gt;0,Table4[[#This Row],[Home]],Table4[[#This Row],[Visitor]])</f>
        <v>Columbus Blue Jackets</v>
      </c>
      <c r="L6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0.49910079470981289</v>
      </c>
      <c r="M674" t="str">
        <f>IF(OR((NHL2025_26Results[[#This Row],[Winning Team]]="")),"-",IF(Table4[[#This Row],[Predicted Winner]]=NHL2025_26Results[[#This Row],[Winning Team]],"YES","NO"))</f>
        <v>NO</v>
      </c>
      <c r="N674">
        <f>IF(Table4[[#This Row],[Adjusted Correct]]="-", "",IF(Table4[[#This Row],[Adjusted Correct]]="YES",(Table4[[#This Row],[Strength of Win]]-1)^2,(Table4[[#This Row],[Strength of Win]]-0)^2))</f>
        <v>0.24910160327996678</v>
      </c>
      <c r="O674">
        <v>-8.6339690571297409E-2</v>
      </c>
      <c r="P674" s="11">
        <v>0.46892197377620171</v>
      </c>
      <c r="Q674" t="s">
        <v>28</v>
      </c>
      <c r="R674" t="s">
        <v>249</v>
      </c>
    </row>
    <row r="675" spans="4:18" x14ac:dyDescent="0.2">
      <c r="D675" s="1">
        <v>46028</v>
      </c>
      <c r="E675" s="2">
        <v>0.79166666666666663</v>
      </c>
      <c r="F675" t="s">
        <v>37</v>
      </c>
      <c r="G675">
        <f>VLOOKUP(Table4[[#This Row],[Home]],'NHL Model'!$A$6:$B$38,2,FALSE)</f>
        <v>0.72108184732572844</v>
      </c>
      <c r="H675" t="s">
        <v>12</v>
      </c>
      <c r="I675">
        <f>VLOOKUP(Table4[[#This Row],[Visitor]],'NHL Model'!$A$6:$B$38,2,FALSE)</f>
        <v>0.99866683349964291</v>
      </c>
      <c r="J675">
        <f>($B$1+Table4[[#This Row],[Home Differential]])-Table4[[#This Row],[Away Differential]]</f>
        <v>-0.14797800036239039</v>
      </c>
      <c r="K675" t="str">
        <f>IF(Table4[[#This Row],[HomeIce Differential]]&gt;0,Table4[[#This Row],[Home]],Table4[[#This Row],[Visitor]])</f>
        <v>Colorado Avalanche</v>
      </c>
      <c r="L6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0.4888392439943729</v>
      </c>
      <c r="M675" t="str">
        <f>IF(OR((NHL2025_26Results[[#This Row],[Winning Team]]="")),"-",IF(Table4[[#This Row],[Predicted Winner]]=NHL2025_26Results[[#This Row],[Winning Team]],"YES","NO"))</f>
        <v>NO</v>
      </c>
      <c r="N675">
        <f>IF(Table4[[#This Row],[Adjusted Correct]]="-", "",IF(Table4[[#This Row],[Adjusted Correct]]="YES",(Table4[[#This Row],[Strength of Win]]-1)^2,(Table4[[#This Row],[Strength of Win]]-0)^2))</f>
        <v>0.23896380646899004</v>
      </c>
      <c r="O675">
        <v>-0.87074078682693723</v>
      </c>
      <c r="P675" s="11">
        <v>0.62637709041080225</v>
      </c>
      <c r="Q675" t="s">
        <v>12</v>
      </c>
      <c r="R675" t="s">
        <v>249</v>
      </c>
    </row>
    <row r="676" spans="4:18" x14ac:dyDescent="0.2">
      <c r="D676" s="1">
        <v>46028</v>
      </c>
      <c r="E676" s="2">
        <v>0.8125</v>
      </c>
      <c r="F676" t="s">
        <v>19</v>
      </c>
      <c r="G676">
        <f>VLOOKUP(Table4[[#This Row],[Home]],'NHL Model'!$A$6:$B$38,2,FALSE)</f>
        <v>-0.44228056828684137</v>
      </c>
      <c r="H676" t="s">
        <v>11</v>
      </c>
      <c r="I676">
        <f>VLOOKUP(Table4[[#This Row],[Visitor]],'NHL Model'!$A$6:$B$38,2,FALSE)</f>
        <v>-0.55695213126481558</v>
      </c>
      <c r="J676">
        <f>($B$1+Table4[[#This Row],[Home Differential]])-Table4[[#This Row],[Away Differential]]</f>
        <v>0.24427854878949828</v>
      </c>
      <c r="K676" t="str">
        <f>IF(Table4[[#This Row],[HomeIce Differential]]&gt;0,Table4[[#This Row],[Home]],Table4[[#This Row],[Visitor]])</f>
        <v>Toronto Maple Leafs</v>
      </c>
      <c r="L6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0.52814424943327243</v>
      </c>
      <c r="M676" t="str">
        <f>IF(OR((NHL2025_26Results[[#This Row],[Winning Team]]="")),"-",IF(Table4[[#This Row],[Predicted Winner]]=NHL2025_26Results[[#This Row],[Winning Team]],"YES","NO"))</f>
        <v>YES</v>
      </c>
      <c r="N676">
        <f>IF(Table4[[#This Row],[Adjusted Correct]]="-", "",IF(Table4[[#This Row],[Adjusted Correct]]="YES",(Table4[[#This Row],[Strength of Win]]-1)^2,(Table4[[#This Row],[Strength of Win]]-0)^2))</f>
        <v>0.22264784934288984</v>
      </c>
      <c r="O676">
        <v>-9.2624193541592389E-2</v>
      </c>
      <c r="P676" s="11">
        <v>0.48718332769116324</v>
      </c>
      <c r="Q676" t="s">
        <v>11</v>
      </c>
      <c r="R676" t="s">
        <v>249</v>
      </c>
    </row>
    <row r="677" spans="4:18" x14ac:dyDescent="0.2">
      <c r="D677" s="1">
        <v>46028</v>
      </c>
      <c r="E677" s="2">
        <v>0.83333333333333337</v>
      </c>
      <c r="F677" t="s">
        <v>40</v>
      </c>
      <c r="G677">
        <f>VLOOKUP(Table4[[#This Row],[Home]],'NHL Model'!$A$6:$B$38,2,FALSE)</f>
        <v>-0.58845147248022256</v>
      </c>
      <c r="H677" t="s">
        <v>20</v>
      </c>
      <c r="I677">
        <f>VLOOKUP(Table4[[#This Row],[Visitor]],'NHL Model'!$A$6:$B$38,2,FALSE)</f>
        <v>-0.16296463421387539</v>
      </c>
      <c r="J677">
        <f>($B$1+Table4[[#This Row],[Home Differential]])-Table4[[#This Row],[Away Differential]]</f>
        <v>-0.29587985245482307</v>
      </c>
      <c r="K677" t="str">
        <f>IF(Table4[[#This Row],[HomeIce Differential]]&gt;0,Table4[[#This Row],[Home]],Table4[[#This Row],[Visitor]])</f>
        <v>Vegas Golden Knights</v>
      </c>
      <c r="L6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0.50524167597266656</v>
      </c>
      <c r="M677" t="str">
        <f>IF(OR((NHL2025_26Results[[#This Row],[Winning Team]]="")),"-",IF(Table4[[#This Row],[Predicted Winner]]=NHL2025_26Results[[#This Row],[Winning Team]],"YES","NO"))</f>
        <v>YES</v>
      </c>
      <c r="N677">
        <f>IF(Table4[[#This Row],[Adjusted Correct]]="-", "",IF(Table4[[#This Row],[Adjusted Correct]]="YES",(Table4[[#This Row],[Strength of Win]]-1)^2,(Table4[[#This Row],[Strength of Win]]-0)^2))</f>
        <v>0.24478579919433588</v>
      </c>
      <c r="O677">
        <v>-0.15163348584501837</v>
      </c>
      <c r="P677" s="11">
        <v>0.47566915488521633</v>
      </c>
      <c r="Q677" t="s">
        <v>20</v>
      </c>
      <c r="R677" t="s">
        <v>248</v>
      </c>
    </row>
    <row r="678" spans="4:18" x14ac:dyDescent="0.2">
      <c r="D678" s="1">
        <v>46029</v>
      </c>
      <c r="E678" s="2">
        <v>0.89583333333333337</v>
      </c>
      <c r="F678" t="s">
        <v>10</v>
      </c>
      <c r="G678">
        <f>VLOOKUP(Table4[[#This Row],[Home]],'NHL Model'!$A$6:$B$38,2,FALSE)</f>
        <v>-0.92658078135875344</v>
      </c>
      <c r="H678" t="s">
        <v>35</v>
      </c>
      <c r="I678">
        <f>VLOOKUP(Table4[[#This Row],[Visitor]],'NHL Model'!$A$6:$B$38,2,FALSE)</f>
        <v>-1.3128572733047907</v>
      </c>
      <c r="J678">
        <f>($B$1+Table4[[#This Row],[Home Differential]])-Table4[[#This Row],[Away Differential]]</f>
        <v>0.51588347775756138</v>
      </c>
      <c r="K678" t="str">
        <f>IF(Table4[[#This Row],[HomeIce Differential]]&gt;0,Table4[[#This Row],[Home]],Table4[[#This Row],[Visitor]])</f>
        <v>Chicago Blackhawks</v>
      </c>
      <c r="L6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0.59793055022230823</v>
      </c>
      <c r="M678" t="str">
        <f>IF(OR((NHL2025_26Results[[#This Row],[Winning Team]]="")),"-",IF(Table4[[#This Row],[Predicted Winner]]=NHL2025_26Results[[#This Row],[Winning Team]],"YES","NO"))</f>
        <v>YES</v>
      </c>
      <c r="N678">
        <f>IF(Table4[[#This Row],[Adjusted Correct]]="-", "",IF(Table4[[#This Row],[Adjusted Correct]]="YES",(Table4[[#This Row],[Strength of Win]]-1)^2,(Table4[[#This Row],[Strength of Win]]-0)^2))</f>
        <v>0.1616598424445358</v>
      </c>
      <c r="O678">
        <v>0.63670928424151896</v>
      </c>
      <c r="P678" s="11">
        <v>0.60623865455538939</v>
      </c>
      <c r="Q678" t="s">
        <v>10</v>
      </c>
      <c r="R678" t="s">
        <v>248</v>
      </c>
    </row>
    <row r="679" spans="4:18" x14ac:dyDescent="0.2">
      <c r="D679" s="1">
        <v>46029</v>
      </c>
      <c r="E679" s="2">
        <v>0.9375</v>
      </c>
      <c r="F679" t="s">
        <v>13</v>
      </c>
      <c r="G679">
        <f>VLOOKUP(Table4[[#This Row],[Home]],'NHL Model'!$A$6:$B$38,2,FALSE)</f>
        <v>-0.59069689888466137</v>
      </c>
      <c r="H679" t="s">
        <v>33</v>
      </c>
      <c r="I679">
        <f>VLOOKUP(Table4[[#This Row],[Visitor]],'NHL Model'!$A$6:$B$38,2,FALSE)</f>
        <v>-0.65236582493376272</v>
      </c>
      <c r="J679">
        <f>($B$1+Table4[[#This Row],[Home Differential]])-Table4[[#This Row],[Away Differential]]</f>
        <v>0.19127591186062542</v>
      </c>
      <c r="K679" t="str">
        <f>IF(Table4[[#This Row],[HomeIce Differential]]&gt;0,Table4[[#This Row],[Home]],Table4[[#This Row],[Visitor]])</f>
        <v>Los Angeles Kings</v>
      </c>
      <c r="L6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0.56147911165235487</v>
      </c>
      <c r="M679" t="str">
        <f>IF(OR((NHL2025_26Results[[#This Row],[Winning Team]]="")),"-",IF(Table4[[#This Row],[Predicted Winner]]=NHL2025_26Results[[#This Row],[Winning Team]],"YES","NO"))</f>
        <v>NO</v>
      </c>
      <c r="N679">
        <f>IF(Table4[[#This Row],[Adjusted Correct]]="-", "",IF(Table4[[#This Row],[Adjusted Correct]]="YES",(Table4[[#This Row],[Strength of Win]]-1)^2,(Table4[[#This Row],[Strength of Win]]-0)^2))</f>
        <v>0.3152587928219176</v>
      </c>
      <c r="O679">
        <v>0.40478481594275773</v>
      </c>
      <c r="P679" s="11">
        <v>0.57482118130790494</v>
      </c>
      <c r="Q679" t="s">
        <v>13</v>
      </c>
      <c r="R679" t="s">
        <v>249</v>
      </c>
    </row>
    <row r="680" spans="4:18" x14ac:dyDescent="0.2">
      <c r="D680" s="1">
        <v>46029</v>
      </c>
      <c r="E680" s="2">
        <v>0.8125</v>
      </c>
      <c r="F680" t="s">
        <v>18</v>
      </c>
      <c r="G680">
        <f>VLOOKUP(Table4[[#This Row],[Home]],'NHL Model'!$A$6:$B$38,2,FALSE)</f>
        <v>-8.6274676766085606E-2</v>
      </c>
      <c r="H680" t="s">
        <v>16</v>
      </c>
      <c r="I680">
        <f>VLOOKUP(Table4[[#This Row],[Visitor]],'NHL Model'!$A$6:$B$38,2,FALSE)</f>
        <v>-0.89031221864884547</v>
      </c>
      <c r="J680">
        <f>($B$1+Table4[[#This Row],[Home Differential]])-Table4[[#This Row],[Away Differential]]</f>
        <v>0.93364452769428397</v>
      </c>
      <c r="K680" t="str">
        <f>IF(Table4[[#This Row],[HomeIce Differential]]&gt;0,Table4[[#This Row],[Home]],Table4[[#This Row],[Visitor]])</f>
        <v>Montreal Canadiens</v>
      </c>
      <c r="L6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0.65885917416301998</v>
      </c>
      <c r="M680" t="str">
        <f>IF(OR((NHL2025_26Results[[#This Row],[Winning Team]]="")),"-",IF(Table4[[#This Row],[Predicted Winner]]=NHL2025_26Results[[#This Row],[Winning Team]],"YES","NO"))</f>
        <v>YES</v>
      </c>
      <c r="N680">
        <f>IF(Table4[[#This Row],[Adjusted Correct]]="-", "",IF(Table4[[#This Row],[Adjusted Correct]]="YES",(Table4[[#This Row],[Strength of Win]]-1)^2,(Table4[[#This Row],[Strength of Win]]-0)^2))</f>
        <v>0.11637706305273673</v>
      </c>
      <c r="O680">
        <v>0.55118962876510058</v>
      </c>
      <c r="P680" s="11">
        <v>0.59734180467900277</v>
      </c>
      <c r="Q680" t="s">
        <v>18</v>
      </c>
      <c r="R680" t="s">
        <v>248</v>
      </c>
    </row>
    <row r="681" spans="4:18" x14ac:dyDescent="0.2">
      <c r="D681" s="1">
        <v>46029</v>
      </c>
      <c r="E681" s="2">
        <v>0.89583333333333337</v>
      </c>
      <c r="F681" t="s">
        <v>55</v>
      </c>
      <c r="G681">
        <f>VLOOKUP(Table4[[#This Row],[Home]],'NHL Model'!$A$6:$B$38,2,FALSE)</f>
        <v>8.4094725828611647E-2</v>
      </c>
      <c r="H681" t="s">
        <v>36</v>
      </c>
      <c r="I681">
        <f>VLOOKUP(Table4[[#This Row],[Visitor]],'NHL Model'!$A$6:$B$38,2,FALSE)</f>
        <v>-0.19010748264223354</v>
      </c>
      <c r="J681">
        <f>($B$1+Table4[[#This Row],[Home Differential]])-Table4[[#This Row],[Away Differential]]</f>
        <v>0.40380919428236928</v>
      </c>
      <c r="K681" t="str">
        <f>IF(Table4[[#This Row],[HomeIce Differential]]&gt;0,Table4[[#This Row],[Home]],Table4[[#This Row],[Visitor]])</f>
        <v>Utah Mammoth</v>
      </c>
      <c r="L6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0.60240744252276279</v>
      </c>
      <c r="M681" t="str">
        <f>IF(OR((NHL2025_26Results[[#This Row],[Winning Team]]="")),"-",IF(Table4[[#This Row],[Predicted Winner]]=NHL2025_26Results[[#This Row],[Winning Team]],"YES","NO"))</f>
        <v>YES</v>
      </c>
      <c r="N681">
        <f>IF(Table4[[#This Row],[Adjusted Correct]]="-", "",IF(Table4[[#This Row],[Adjusted Correct]]="YES",(Table4[[#This Row],[Strength of Win]]-1)^2,(Table4[[#This Row],[Strength of Win]]-0)^2))</f>
        <v>0.15807984176129017</v>
      </c>
      <c r="O681">
        <v>0.26509851093189646</v>
      </c>
      <c r="P681" s="11">
        <v>0.54680971165138137</v>
      </c>
      <c r="Q681" t="s">
        <v>55</v>
      </c>
      <c r="R681" t="s">
        <v>248</v>
      </c>
    </row>
    <row r="682" spans="4:18" x14ac:dyDescent="0.2">
      <c r="D682" s="1">
        <v>46029</v>
      </c>
      <c r="E682" s="2">
        <v>0.79166666666666663</v>
      </c>
      <c r="F682" t="s">
        <v>22</v>
      </c>
      <c r="G682">
        <f>VLOOKUP(Table4[[#This Row],[Home]],'NHL Model'!$A$6:$B$38,2,FALSE)</f>
        <v>-0.11977593183651415</v>
      </c>
      <c r="H682" t="s">
        <v>39</v>
      </c>
      <c r="I682">
        <f>VLOOKUP(Table4[[#This Row],[Visitor]],'NHL Model'!$A$6:$B$38,2,FALSE)</f>
        <v>0.21708030788125537</v>
      </c>
      <c r="J682">
        <f>($B$1+Table4[[#This Row],[Home Differential]])-Table4[[#This Row],[Away Differential]]</f>
        <v>-0.20724925390624543</v>
      </c>
      <c r="K682" t="str">
        <f>IF(Table4[[#This Row],[HomeIce Differential]]&gt;0,Table4[[#This Row],[Home]],Table4[[#This Row],[Visitor]])</f>
        <v>Dallas Stars</v>
      </c>
      <c r="L6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0.52327281998667519</v>
      </c>
      <c r="M682" t="str">
        <f>IF(OR((NHL2025_26Results[[#This Row],[Winning Team]]="")),"-",IF(Table4[[#This Row],[Predicted Winner]]=NHL2025_26Results[[#This Row],[Winning Team]],"YES","NO"))</f>
        <v>YES</v>
      </c>
      <c r="N682">
        <f>IF(Table4[[#This Row],[Adjusted Correct]]="-", "",IF(Table4[[#This Row],[Adjusted Correct]]="YES",(Table4[[#This Row],[Strength of Win]]-1)^2,(Table4[[#This Row],[Strength of Win]]-0)^2))</f>
        <v>0.22726880416345699</v>
      </c>
      <c r="O682">
        <v>-6.3130753939898532E-2</v>
      </c>
      <c r="P682" s="11">
        <v>0.51767878069838236</v>
      </c>
      <c r="Q682" t="s">
        <v>39</v>
      </c>
      <c r="R682" t="s">
        <v>248</v>
      </c>
    </row>
    <row r="683" spans="4:18" x14ac:dyDescent="0.2">
      <c r="D683" s="1">
        <v>46030</v>
      </c>
      <c r="E683" s="2">
        <v>0.79166666666666663</v>
      </c>
      <c r="F683" t="s">
        <v>21</v>
      </c>
      <c r="G683">
        <f>VLOOKUP(Table4[[#This Row],[Home]],'NHL Model'!$A$6:$B$38,2,FALSE)</f>
        <v>-0.10253061303059285</v>
      </c>
      <c r="H683" t="s">
        <v>16</v>
      </c>
      <c r="I683">
        <f>VLOOKUP(Table4[[#This Row],[Visitor]],'NHL Model'!$A$6:$B$38,2,FALSE)</f>
        <v>-0.89031221864884547</v>
      </c>
      <c r="J683">
        <f>($B$1+Table4[[#This Row],[Home Differential]])-Table4[[#This Row],[Away Differential]]</f>
        <v>0.91738859142977669</v>
      </c>
      <c r="K683" t="str">
        <f>IF(Table4[[#This Row],[HomeIce Differential]]&gt;0,Table4[[#This Row],[Home]],Table4[[#This Row],[Visitor]])</f>
        <v>Boston Bruins</v>
      </c>
      <c r="L6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0.69473308806404288</v>
      </c>
      <c r="M683" t="str">
        <f>IF(OR((NHL2025_26Results[[#This Row],[Winning Team]]="")),"-",IF(Table4[[#This Row],[Predicted Winner]]=NHL2025_26Results[[#This Row],[Winning Team]],"YES","NO"))</f>
        <v>YES</v>
      </c>
      <c r="N683">
        <f>IF(Table4[[#This Row],[Adjusted Correct]]="-", "",IF(Table4[[#This Row],[Adjusted Correct]]="YES",(Table4[[#This Row],[Strength of Win]]-1)^2,(Table4[[#This Row],[Strength of Win]]-0)^2))</f>
        <v>9.3187887522915402E-2</v>
      </c>
      <c r="O683">
        <v>0.48247245981484205</v>
      </c>
      <c r="P683" s="11">
        <v>0.60310339588144357</v>
      </c>
      <c r="Q683" t="s">
        <v>21</v>
      </c>
      <c r="R683" t="s">
        <v>248</v>
      </c>
    </row>
    <row r="684" spans="4:18" x14ac:dyDescent="0.2">
      <c r="D684" s="1">
        <v>46030</v>
      </c>
      <c r="E684" s="2">
        <v>0.79166666666666663</v>
      </c>
      <c r="F684" t="s">
        <v>25</v>
      </c>
      <c r="G684">
        <f>VLOOKUP(Table4[[#This Row],[Home]],'NHL Model'!$A$6:$B$38,2,FALSE)</f>
        <v>0.2324942014830165</v>
      </c>
      <c r="H684" t="s">
        <v>31</v>
      </c>
      <c r="I684">
        <f>VLOOKUP(Table4[[#This Row],[Visitor]],'NHL Model'!$A$6:$B$38,2,FALSE)</f>
        <v>-0.46360583111358089</v>
      </c>
      <c r="J684">
        <f>($B$1+Table4[[#This Row],[Home Differential]])-Table4[[#This Row],[Away Differential]]</f>
        <v>0.82570701840812144</v>
      </c>
      <c r="K684" t="str">
        <f>IF(Table4[[#This Row],[HomeIce Differential]]&gt;0,Table4[[#This Row],[Home]],Table4[[#This Row],[Visitor]])</f>
        <v>Carolina Hurricanes</v>
      </c>
      <c r="L6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0.68829755663854864</v>
      </c>
      <c r="M684" t="str">
        <f>IF(OR((NHL2025_26Results[[#This Row],[Winning Team]]="")),"-",IF(Table4[[#This Row],[Predicted Winner]]=NHL2025_26Results[[#This Row],[Winning Team]],"YES","NO"))</f>
        <v>YES</v>
      </c>
      <c r="N684">
        <f>IF(Table4[[#This Row],[Adjusted Correct]]="-", "",IF(Table4[[#This Row],[Adjusted Correct]]="YES",(Table4[[#This Row],[Strength of Win]]-1)^2,(Table4[[#This Row],[Strength of Win]]-0)^2))</f>
        <v>9.7158413197498794E-2</v>
      </c>
      <c r="O684">
        <v>0.81943340003497567</v>
      </c>
      <c r="P684" s="11">
        <v>0.65293795560755608</v>
      </c>
      <c r="Q684" t="s">
        <v>25</v>
      </c>
      <c r="R684" t="s">
        <v>248</v>
      </c>
    </row>
    <row r="685" spans="4:18" x14ac:dyDescent="0.2">
      <c r="D685" s="1">
        <v>46030</v>
      </c>
      <c r="E685" s="2">
        <v>0.875</v>
      </c>
      <c r="F685" t="s">
        <v>12</v>
      </c>
      <c r="G685">
        <f>VLOOKUP(Table4[[#This Row],[Home]],'NHL Model'!$A$6:$B$38,2,FALSE)</f>
        <v>0.99866683349964291</v>
      </c>
      <c r="H685" t="s">
        <v>36</v>
      </c>
      <c r="I685">
        <f>VLOOKUP(Table4[[#This Row],[Visitor]],'NHL Model'!$A$6:$B$38,2,FALSE)</f>
        <v>-0.19010748264223354</v>
      </c>
      <c r="J685">
        <f>($B$1+Table4[[#This Row],[Home Differential]])-Table4[[#This Row],[Away Differential]]</f>
        <v>1.3183813019534005</v>
      </c>
      <c r="K685" t="str">
        <f>IF(Table4[[#This Row],[HomeIce Differential]]&gt;0,Table4[[#This Row],[Home]],Table4[[#This Row],[Visitor]])</f>
        <v>Colorado Avalanche</v>
      </c>
      <c r="L6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0.75643774190405955</v>
      </c>
      <c r="M685" t="str">
        <f>IF(OR((NHL2025_26Results[[#This Row],[Winning Team]]="")),"-",IF(Table4[[#This Row],[Predicted Winner]]=NHL2025_26Results[[#This Row],[Winning Team]],"YES","NO"))</f>
        <v>YES</v>
      </c>
      <c r="N685">
        <f>IF(Table4[[#This Row],[Adjusted Correct]]="-", "",IF(Table4[[#This Row],[Adjusted Correct]]="YES",(Table4[[#This Row],[Strength of Win]]-1)^2,(Table4[[#This Row],[Strength of Win]]-0)^2))</f>
        <v>5.9322573568793509E-2</v>
      </c>
      <c r="O685">
        <v>1.8140510220130748</v>
      </c>
      <c r="P685" s="11">
        <v>0.83721247637410434</v>
      </c>
      <c r="Q685" t="s">
        <v>12</v>
      </c>
      <c r="R685" t="s">
        <v>248</v>
      </c>
    </row>
    <row r="686" spans="4:18" x14ac:dyDescent="0.2">
      <c r="D686" s="1">
        <v>46030</v>
      </c>
      <c r="E686" s="2">
        <v>0.79166666666666663</v>
      </c>
      <c r="F686" t="s">
        <v>26</v>
      </c>
      <c r="G686">
        <f>VLOOKUP(Table4[[#This Row],[Home]],'NHL Model'!$A$6:$B$38,2,FALSE)</f>
        <v>-0.33113778518110382</v>
      </c>
      <c r="H686" t="s">
        <v>38</v>
      </c>
      <c r="I686">
        <f>VLOOKUP(Table4[[#This Row],[Visitor]],'NHL Model'!$A$6:$B$38,2,FALSE)</f>
        <v>-1.3920033028857945</v>
      </c>
      <c r="J686">
        <f>($B$1+Table4[[#This Row],[Home Differential]])-Table4[[#This Row],[Away Differential]]</f>
        <v>1.1904725035162149</v>
      </c>
      <c r="K686" t="str">
        <f>IF(Table4[[#This Row],[HomeIce Differential]]&gt;0,Table4[[#This Row],[Home]],Table4[[#This Row],[Visitor]])</f>
        <v>Detroit Red Wings</v>
      </c>
      <c r="L6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0.69972049586493945</v>
      </c>
      <c r="M686" t="str">
        <f>IF(OR((NHL2025_26Results[[#This Row],[Winning Team]]="")),"-",IF(Table4[[#This Row],[Predicted Winner]]=NHL2025_26Results[[#This Row],[Winning Team]],"YES","NO"))</f>
        <v>YES</v>
      </c>
      <c r="N686">
        <f>IF(Table4[[#This Row],[Adjusted Correct]]="-", "",IF(Table4[[#This Row],[Adjusted Correct]]="YES",(Table4[[#This Row],[Strength of Win]]-1)^2,(Table4[[#This Row],[Strength of Win]]-0)^2))</f>
        <v>9.0167780603597841E-2</v>
      </c>
      <c r="O686">
        <v>0.57090962742495122</v>
      </c>
      <c r="P686" s="11">
        <v>0.59654591628500575</v>
      </c>
      <c r="Q686" t="s">
        <v>26</v>
      </c>
      <c r="R686" t="s">
        <v>248</v>
      </c>
    </row>
    <row r="687" spans="4:18" x14ac:dyDescent="0.2">
      <c r="D687" s="1">
        <v>46030</v>
      </c>
      <c r="E687" s="2">
        <v>0.79166666666666663</v>
      </c>
      <c r="F687" t="s">
        <v>18</v>
      </c>
      <c r="G687">
        <f>VLOOKUP(Table4[[#This Row],[Home]],'NHL Model'!$A$6:$B$38,2,FALSE)</f>
        <v>-8.6274676766085606E-2</v>
      </c>
      <c r="H687" t="s">
        <v>11</v>
      </c>
      <c r="I687">
        <f>VLOOKUP(Table4[[#This Row],[Visitor]],'NHL Model'!$A$6:$B$38,2,FALSE)</f>
        <v>-0.55695213126481558</v>
      </c>
      <c r="J687">
        <f>($B$1+Table4[[#This Row],[Home Differential]])-Table4[[#This Row],[Away Differential]]</f>
        <v>0.60028444031025407</v>
      </c>
      <c r="K687" t="str">
        <f>IF(Table4[[#This Row],[HomeIce Differential]]&gt;0,Table4[[#This Row],[Home]],Table4[[#This Row],[Visitor]])</f>
        <v>Montreal Canadiens</v>
      </c>
      <c r="L6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0.58225974576624617</v>
      </c>
      <c r="M687" t="str">
        <f>IF(OR((NHL2025_26Results[[#This Row],[Winning Team]]="")),"-",IF(Table4[[#This Row],[Predicted Winner]]=NHL2025_26Results[[#This Row],[Winning Team]],"YES","NO"))</f>
        <v>YES</v>
      </c>
      <c r="N687">
        <f>IF(Table4[[#This Row],[Adjusted Correct]]="-", "",IF(Table4[[#This Row],[Adjusted Correct]]="YES",(Table4[[#This Row],[Strength of Win]]-1)^2,(Table4[[#This Row],[Strength of Win]]-0)^2))</f>
        <v>0.17450692000728127</v>
      </c>
      <c r="O687">
        <v>0.19209554423642813</v>
      </c>
      <c r="P687" s="11">
        <v>0.53877458077929674</v>
      </c>
      <c r="Q687" t="s">
        <v>18</v>
      </c>
      <c r="R687" t="s">
        <v>248</v>
      </c>
    </row>
    <row r="688" spans="4:18" x14ac:dyDescent="0.2">
      <c r="D688" s="1">
        <v>46030</v>
      </c>
      <c r="E688" s="2">
        <v>0.83333333333333337</v>
      </c>
      <c r="F688" t="s">
        <v>29</v>
      </c>
      <c r="G688">
        <f>VLOOKUP(Table4[[#This Row],[Home]],'NHL Model'!$A$6:$B$38,2,FALSE)</f>
        <v>-0.82056481120798741</v>
      </c>
      <c r="H688" t="s">
        <v>30</v>
      </c>
      <c r="I688">
        <f>VLOOKUP(Table4[[#This Row],[Visitor]],'NHL Model'!$A$6:$B$38,2,FALSE)</f>
        <v>-0.18630462558229716</v>
      </c>
      <c r="J688">
        <f>($B$1+Table4[[#This Row],[Home Differential]])-Table4[[#This Row],[Away Differential]]</f>
        <v>-0.50465319981416612</v>
      </c>
      <c r="K688" t="str">
        <f>IF(Table4[[#This Row],[HomeIce Differential]]&gt;0,Table4[[#This Row],[Home]],Table4[[#This Row],[Visitor]])</f>
        <v>New York Islanders</v>
      </c>
      <c r="L6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0.55356386883151454</v>
      </c>
      <c r="M688" t="str">
        <f>IF(OR((NHL2025_26Results[[#This Row],[Winning Team]]="")),"-",IF(Table4[[#This Row],[Predicted Winner]]=NHL2025_26Results[[#This Row],[Winning Team]],"YES","NO"))</f>
        <v>NO</v>
      </c>
      <c r="N688">
        <f>IF(Table4[[#This Row],[Adjusted Correct]]="-", "",IF(Table4[[#This Row],[Adjusted Correct]]="YES",(Table4[[#This Row],[Strength of Win]]-1)^2,(Table4[[#This Row],[Strength of Win]]-0)^2))</f>
        <v>0.30643295687571426</v>
      </c>
      <c r="O688">
        <v>-0.6462123994460458</v>
      </c>
      <c r="P688" s="11">
        <v>0.55932910171034611</v>
      </c>
      <c r="Q688" t="s">
        <v>30</v>
      </c>
      <c r="R688" t="s">
        <v>249</v>
      </c>
    </row>
    <row r="689" spans="4:18" x14ac:dyDescent="0.2">
      <c r="D689" s="1">
        <v>46030</v>
      </c>
      <c r="E689" s="2">
        <v>0.79166666666666663</v>
      </c>
      <c r="F689" t="s">
        <v>15</v>
      </c>
      <c r="G689">
        <f>VLOOKUP(Table4[[#This Row],[Home]],'NHL Model'!$A$6:$B$38,2,FALSE)</f>
        <v>-0.73651915476403329</v>
      </c>
      <c r="H689" t="s">
        <v>23</v>
      </c>
      <c r="I689">
        <f>VLOOKUP(Table4[[#This Row],[Visitor]],'NHL Model'!$A$6:$B$38,2,FALSE)</f>
        <v>8.1543966060426461E-3</v>
      </c>
      <c r="J689">
        <f>($B$1+Table4[[#This Row],[Home Differential]])-Table4[[#This Row],[Away Differential]]</f>
        <v>-0.61506656555855188</v>
      </c>
      <c r="K689" t="str">
        <f>IF(Table4[[#This Row],[HomeIce Differential]]&gt;0,Table4[[#This Row],[Home]],Table4[[#This Row],[Visitor]])</f>
        <v>Buffalo Sabres</v>
      </c>
      <c r="L6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0.56596261255029512</v>
      </c>
      <c r="M689" t="str">
        <f>IF(OR((NHL2025_26Results[[#This Row],[Winning Team]]="")),"-",IF(Table4[[#This Row],[Predicted Winner]]=NHL2025_26Results[[#This Row],[Winning Team]],"YES","NO"))</f>
        <v>YES</v>
      </c>
      <c r="N689">
        <f>IF(Table4[[#This Row],[Adjusted Correct]]="-", "",IF(Table4[[#This Row],[Adjusted Correct]]="YES",(Table4[[#This Row],[Strength of Win]]-1)^2,(Table4[[#This Row],[Strength of Win]]-0)^2))</f>
        <v>0.18838845370416524</v>
      </c>
      <c r="O689">
        <v>9.311546863579355E-2</v>
      </c>
      <c r="P689" s="11">
        <v>0.54947357305191291</v>
      </c>
      <c r="Q689" t="s">
        <v>15</v>
      </c>
      <c r="R689" t="s">
        <v>249</v>
      </c>
    </row>
    <row r="690" spans="4:18" x14ac:dyDescent="0.2">
      <c r="D690" s="1">
        <v>46030</v>
      </c>
      <c r="E690" s="2">
        <v>0.79166666666666663</v>
      </c>
      <c r="F690" t="s">
        <v>27</v>
      </c>
      <c r="G690">
        <f>VLOOKUP(Table4[[#This Row],[Home]],'NHL Model'!$A$6:$B$38,2,FALSE)</f>
        <v>-0.55097933929175691</v>
      </c>
      <c r="H690" t="s">
        <v>19</v>
      </c>
      <c r="I690">
        <f>VLOOKUP(Table4[[#This Row],[Visitor]],'NHL Model'!$A$6:$B$38,2,FALSE)</f>
        <v>-0.44228056828684137</v>
      </c>
      <c r="J690">
        <f>($B$1+Table4[[#This Row],[Home Differential]])-Table4[[#This Row],[Away Differential]]</f>
        <v>2.0908214806608538E-2</v>
      </c>
      <c r="K690" t="str">
        <f>IF(Table4[[#This Row],[HomeIce Differential]]&gt;0,Table4[[#This Row],[Home]],Table4[[#This Row],[Visitor]])</f>
        <v>Philadelphia Flyers</v>
      </c>
      <c r="L6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0.5423478642758206</v>
      </c>
      <c r="M690" t="str">
        <f>IF(OR((NHL2025_26Results[[#This Row],[Winning Team]]="")),"-",IF(Table4[[#This Row],[Predicted Winner]]=NHL2025_26Results[[#This Row],[Winning Team]],"YES","NO"))</f>
        <v>NO</v>
      </c>
      <c r="N690">
        <f>IF(Table4[[#This Row],[Adjusted Correct]]="-", "",IF(Table4[[#This Row],[Adjusted Correct]]="YES",(Table4[[#This Row],[Strength of Win]]-1)^2,(Table4[[#This Row],[Strength of Win]]-0)^2))</f>
        <v>0.2941412058845439</v>
      </c>
      <c r="O690">
        <v>0.34706313094273428</v>
      </c>
      <c r="P690" s="11">
        <v>0.58932684309408745</v>
      </c>
      <c r="Q690" t="s">
        <v>27</v>
      </c>
      <c r="R690" t="s">
        <v>249</v>
      </c>
    </row>
    <row r="691" spans="4:18" x14ac:dyDescent="0.2">
      <c r="D691" s="1">
        <v>46030</v>
      </c>
      <c r="E691" s="2">
        <v>0.79166666666666663</v>
      </c>
      <c r="F691" t="s">
        <v>14</v>
      </c>
      <c r="G691">
        <f>VLOOKUP(Table4[[#This Row],[Home]],'NHL Model'!$A$6:$B$38,2,FALSE)</f>
        <v>3.6349513460996066E-5</v>
      </c>
      <c r="H691" t="s">
        <v>24</v>
      </c>
      <c r="I691">
        <f>VLOOKUP(Table4[[#This Row],[Visitor]],'NHL Model'!$A$6:$B$38,2,FALSE)</f>
        <v>-0.74510803532792402</v>
      </c>
      <c r="J691">
        <f>($B$1+Table4[[#This Row],[Home Differential]])-Table4[[#This Row],[Away Differential]]</f>
        <v>0.87475137065290909</v>
      </c>
      <c r="K691" t="str">
        <f>IF(Table4[[#This Row],[HomeIce Differential]]&gt;0,Table4[[#This Row],[Home]],Table4[[#This Row],[Visitor]])</f>
        <v>Pittsburgh Penguins</v>
      </c>
      <c r="L6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0.61745998259870716</v>
      </c>
      <c r="M691" t="str">
        <f>IF(OR((NHL2025_26Results[[#This Row],[Winning Team]]="")),"-",IF(Table4[[#This Row],[Predicted Winner]]=NHL2025_26Results[[#This Row],[Winning Team]],"YES","NO"))</f>
        <v>YES</v>
      </c>
      <c r="N691">
        <f>IF(Table4[[#This Row],[Adjusted Correct]]="-", "",IF(Table4[[#This Row],[Adjusted Correct]]="YES",(Table4[[#This Row],[Strength of Win]]-1)^2,(Table4[[#This Row],[Strength of Win]]-0)^2))</f>
        <v>0.14633686491338144</v>
      </c>
      <c r="O691">
        <v>0.46895955673158585</v>
      </c>
      <c r="P691" s="11">
        <v>0.56694274108870391</v>
      </c>
      <c r="Q691" t="s">
        <v>14</v>
      </c>
      <c r="R691" t="s">
        <v>248</v>
      </c>
    </row>
    <row r="692" spans="4:18" x14ac:dyDescent="0.2">
      <c r="D692" s="1">
        <v>46030</v>
      </c>
      <c r="E692" s="2">
        <v>0.91666666666666663</v>
      </c>
      <c r="F692" t="s">
        <v>32</v>
      </c>
      <c r="G692">
        <f>VLOOKUP(Table4[[#This Row],[Home]],'NHL Model'!$A$6:$B$38,2,FALSE)</f>
        <v>-0.48236715437805205</v>
      </c>
      <c r="H692" t="s">
        <v>34</v>
      </c>
      <c r="I692">
        <f>VLOOKUP(Table4[[#This Row],[Visitor]],'NHL Model'!$A$6:$B$38,2,FALSE)</f>
        <v>6.0485283743665949E-2</v>
      </c>
      <c r="J692">
        <f>($B$1+Table4[[#This Row],[Home Differential]])-Table4[[#This Row],[Away Differential]]</f>
        <v>-0.41324545231019388</v>
      </c>
      <c r="K692" t="str">
        <f>IF(Table4[[#This Row],[HomeIce Differential]]&gt;0,Table4[[#This Row],[Home]],Table4[[#This Row],[Visitor]])</f>
        <v>Minnesota Wild</v>
      </c>
      <c r="L6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0.57567018481909582</v>
      </c>
      <c r="M692" t="str">
        <f>IF(OR((NHL2025_26Results[[#This Row],[Winning Team]]="")),"-",IF(Table4[[#This Row],[Predicted Winner]]=NHL2025_26Results[[#This Row],[Winning Team]],"YES","NO"))</f>
        <v>YES</v>
      </c>
      <c r="N692">
        <f>IF(Table4[[#This Row],[Adjusted Correct]]="-", "",IF(Table4[[#This Row],[Adjusted Correct]]="YES",(Table4[[#This Row],[Strength of Win]]-1)^2,(Table4[[#This Row],[Strength of Win]]-0)^2))</f>
        <v>0.1800557920514603</v>
      </c>
      <c r="O692">
        <v>-0.52357475837102085</v>
      </c>
      <c r="P692" s="11">
        <v>0.55578108837952978</v>
      </c>
      <c r="Q692" t="s">
        <v>34</v>
      </c>
      <c r="R692" t="s">
        <v>248</v>
      </c>
    </row>
    <row r="693" spans="4:18" x14ac:dyDescent="0.2">
      <c r="D693" s="1">
        <v>46030</v>
      </c>
      <c r="E693" s="2">
        <v>0.91666666666666663</v>
      </c>
      <c r="F693" t="s">
        <v>20</v>
      </c>
      <c r="G693">
        <f>VLOOKUP(Table4[[#This Row],[Home]],'NHL Model'!$A$6:$B$38,2,FALSE)</f>
        <v>-0.16296463421387539</v>
      </c>
      <c r="H693" t="s">
        <v>28</v>
      </c>
      <c r="I693">
        <f>VLOOKUP(Table4[[#This Row],[Visitor]],'NHL Model'!$A$6:$B$38,2,FALSE)</f>
        <v>-0.28156479873410767</v>
      </c>
      <c r="J693">
        <f>($B$1+Table4[[#This Row],[Home Differential]])-Table4[[#This Row],[Away Differential]]</f>
        <v>0.24820715033175639</v>
      </c>
      <c r="K693" t="str">
        <f>IF(Table4[[#This Row],[HomeIce Differential]]&gt;0,Table4[[#This Row],[Home]],Table4[[#This Row],[Visitor]])</f>
        <v>Vegas Golden Knights</v>
      </c>
      <c r="L6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0.55585595711541136</v>
      </c>
      <c r="M693" t="str">
        <f>IF(OR((NHL2025_26Results[[#This Row],[Winning Team]]="")),"-",IF(Table4[[#This Row],[Predicted Winner]]=NHL2025_26Results[[#This Row],[Winning Team]],"YES","NO"))</f>
        <v>YES</v>
      </c>
      <c r="N693">
        <f>IF(Table4[[#This Row],[Adjusted Correct]]="-", "",IF(Table4[[#This Row],[Adjusted Correct]]="YES",(Table4[[#This Row],[Strength of Win]]-1)^2,(Table4[[#This Row],[Strength of Win]]-0)^2))</f>
        <v>0.19726393082986732</v>
      </c>
      <c r="O693">
        <v>0.37853831393256088</v>
      </c>
      <c r="P693" s="11">
        <v>0.57851250949522215</v>
      </c>
      <c r="Q693" t="s">
        <v>20</v>
      </c>
      <c r="R693" t="s">
        <v>248</v>
      </c>
    </row>
    <row r="694" spans="4:18" x14ac:dyDescent="0.2">
      <c r="D694" s="1">
        <v>46030</v>
      </c>
      <c r="E694" s="2">
        <v>0.83333333333333337</v>
      </c>
      <c r="F694" t="s">
        <v>40</v>
      </c>
      <c r="G694">
        <f>VLOOKUP(Table4[[#This Row],[Home]],'NHL Model'!$A$6:$B$38,2,FALSE)</f>
        <v>-0.58845147248022256</v>
      </c>
      <c r="H694" t="s">
        <v>17</v>
      </c>
      <c r="I694">
        <f>VLOOKUP(Table4[[#This Row],[Visitor]],'NHL Model'!$A$6:$B$38,2,FALSE)</f>
        <v>-0.36462594951491906</v>
      </c>
      <c r="J694">
        <f>($B$1+Table4[[#This Row],[Home Differential]])-Table4[[#This Row],[Away Differential]]</f>
        <v>-9.4218537153779425E-2</v>
      </c>
      <c r="K694" t="str">
        <f>IF(Table4[[#This Row],[HomeIce Differential]]&gt;0,Table4[[#This Row],[Home]],Table4[[#This Row],[Visitor]])</f>
        <v>Edmonton Oilers</v>
      </c>
      <c r="L6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0.47058016380401407</v>
      </c>
      <c r="M694" t="str">
        <f>IF(OR((NHL2025_26Results[[#This Row],[Winning Team]]="")),"-",IF(Table4[[#This Row],[Predicted Winner]]=NHL2025_26Results[[#This Row],[Winning Team]],"YES","NO"))</f>
        <v>YES</v>
      </c>
      <c r="N694">
        <f>IF(Table4[[#This Row],[Adjusted Correct]]="-", "",IF(Table4[[#This Row],[Adjusted Correct]]="YES",(Table4[[#This Row],[Strength of Win]]-1)^2,(Table4[[#This Row],[Strength of Win]]-0)^2))</f>
        <v>0.2802853629577845</v>
      </c>
      <c r="O694">
        <v>-0.13948546371966331</v>
      </c>
      <c r="P694" s="11">
        <v>0.47419125897756825</v>
      </c>
      <c r="Q694" t="s">
        <v>17</v>
      </c>
      <c r="R694" t="s">
        <v>248</v>
      </c>
    </row>
    <row r="695" spans="4:18" x14ac:dyDescent="0.2">
      <c r="D695" s="1">
        <v>46031</v>
      </c>
      <c r="E695" s="2">
        <v>0.83333333333333337</v>
      </c>
      <c r="F695" t="s">
        <v>10</v>
      </c>
      <c r="G695">
        <f>VLOOKUP(Table4[[#This Row],[Home]],'NHL Model'!$A$6:$B$38,2,FALSE)</f>
        <v>-0.92658078135875344</v>
      </c>
      <c r="H695" t="s">
        <v>22</v>
      </c>
      <c r="I695">
        <f>VLOOKUP(Table4[[#This Row],[Visitor]],'NHL Model'!$A$6:$B$38,2,FALSE)</f>
        <v>-0.11977593183651415</v>
      </c>
      <c r="J695">
        <f>($B$1+Table4[[#This Row],[Home Differential]])-Table4[[#This Row],[Away Differential]]</f>
        <v>-0.67719786371071522</v>
      </c>
      <c r="K695" t="str">
        <f>IF(Table4[[#This Row],[HomeIce Differential]]&gt;0,Table4[[#This Row],[Home]],Table4[[#This Row],[Visitor]])</f>
        <v>Washington Capitals</v>
      </c>
      <c r="L6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0.53604516629348176</v>
      </c>
      <c r="M695" t="str">
        <f>IF(OR((NHL2025_26Results[[#This Row],[Winning Team]]="")),"-",IF(Table4[[#This Row],[Predicted Winner]]=NHL2025_26Results[[#This Row],[Winning Team]],"YES","NO"))</f>
        <v>YES</v>
      </c>
      <c r="N695">
        <f>IF(Table4[[#This Row],[Adjusted Correct]]="-", "",IF(Table4[[#This Row],[Adjusted Correct]]="YES",(Table4[[#This Row],[Strength of Win]]-1)^2,(Table4[[#This Row],[Strength of Win]]-0)^2))</f>
        <v>0.21525408771964299</v>
      </c>
      <c r="O695">
        <v>-0.53030353224347337</v>
      </c>
      <c r="P695" s="11">
        <v>0.51460853240478854</v>
      </c>
      <c r="Q695" t="s">
        <v>22</v>
      </c>
      <c r="R695" t="s">
        <v>248</v>
      </c>
    </row>
    <row r="696" spans="4:18" x14ac:dyDescent="0.2">
      <c r="D696" s="1">
        <v>46031</v>
      </c>
      <c r="E696" s="2">
        <v>0.875</v>
      </c>
      <c r="F696" t="s">
        <v>55</v>
      </c>
      <c r="G696">
        <f>VLOOKUP(Table4[[#This Row],[Home]],'NHL Model'!$A$6:$B$38,2,FALSE)</f>
        <v>8.4094725828611647E-2</v>
      </c>
      <c r="H696" t="s">
        <v>35</v>
      </c>
      <c r="I696">
        <f>VLOOKUP(Table4[[#This Row],[Visitor]],'NHL Model'!$A$6:$B$38,2,FALSE)</f>
        <v>-1.3128572733047907</v>
      </c>
      <c r="J696">
        <f>($B$1+Table4[[#This Row],[Home Differential]])-Table4[[#This Row],[Away Differential]]</f>
        <v>1.5265589849449266</v>
      </c>
      <c r="K696" t="str">
        <f>IF(Table4[[#This Row],[HomeIce Differential]]&gt;0,Table4[[#This Row],[Home]],Table4[[#This Row],[Visitor]])</f>
        <v>Utah Mammoth</v>
      </c>
      <c r="L6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0.74036564680291417</v>
      </c>
      <c r="M696" t="str">
        <f>IF(OR((NHL2025_26Results[[#This Row],[Winning Team]]="")),"-",IF(Table4[[#This Row],[Predicted Winner]]=NHL2025_26Results[[#This Row],[Winning Team]],"YES","NO"))</f>
        <v>YES</v>
      </c>
      <c r="N696">
        <f>IF(Table4[[#This Row],[Adjusted Correct]]="-", "",IF(Table4[[#This Row],[Adjusted Correct]]="YES",(Table4[[#This Row],[Strength of Win]]-1)^2,(Table4[[#This Row],[Strength of Win]]-0)^2))</f>
        <v>6.7409997360069113E-2</v>
      </c>
      <c r="O696">
        <v>1.3566127198780027</v>
      </c>
      <c r="P696" s="11">
        <v>0.68674449273294702</v>
      </c>
      <c r="Q696" t="s">
        <v>55</v>
      </c>
      <c r="R696" t="s">
        <v>248</v>
      </c>
    </row>
    <row r="697" spans="4:18" x14ac:dyDescent="0.2">
      <c r="D697" s="1">
        <v>46031</v>
      </c>
      <c r="E697" s="2">
        <v>0.83333333333333337</v>
      </c>
      <c r="F697" t="s">
        <v>40</v>
      </c>
      <c r="G697">
        <f>VLOOKUP(Table4[[#This Row],[Home]],'NHL Model'!$A$6:$B$38,2,FALSE)</f>
        <v>-0.58845147248022256</v>
      </c>
      <c r="H697" t="s">
        <v>13</v>
      </c>
      <c r="I697">
        <f>VLOOKUP(Table4[[#This Row],[Visitor]],'NHL Model'!$A$6:$B$38,2,FALSE)</f>
        <v>-0.59069689888466137</v>
      </c>
      <c r="J697">
        <f>($B$1+Table4[[#This Row],[Home Differential]])-Table4[[#This Row],[Away Differential]]</f>
        <v>0.13185241221596289</v>
      </c>
      <c r="K697" t="str">
        <f>IF(Table4[[#This Row],[HomeIce Differential]]&gt;0,Table4[[#This Row],[Home]],Table4[[#This Row],[Visitor]])</f>
        <v>Winnipeg Jets</v>
      </c>
      <c r="L6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0.53403698636532715</v>
      </c>
      <c r="M697" t="str">
        <f>IF(OR((NHL2025_26Results[[#This Row],[Winning Team]]="")),"-",IF(Table4[[#This Row],[Predicted Winner]]=NHL2025_26Results[[#This Row],[Winning Team]],"YES","NO"))</f>
        <v>YES</v>
      </c>
      <c r="N697">
        <f>IF(Table4[[#This Row],[Adjusted Correct]]="-", "",IF(Table4[[#This Row],[Adjusted Correct]]="YES",(Table4[[#This Row],[Strength of Win]]-1)^2,(Table4[[#This Row],[Strength of Win]]-0)^2))</f>
        <v>0.21712153007550633</v>
      </c>
      <c r="O697">
        <v>-0.12280537167638519</v>
      </c>
      <c r="P697" s="11">
        <v>0.50503633624139388</v>
      </c>
      <c r="Q697" t="s">
        <v>13</v>
      </c>
      <c r="R697" t="s">
        <v>249</v>
      </c>
    </row>
    <row r="698" spans="4:18" x14ac:dyDescent="0.2">
      <c r="D698" s="1">
        <v>46032</v>
      </c>
      <c r="E698" s="2">
        <v>0.54166666666666663</v>
      </c>
      <c r="F698" t="s">
        <v>21</v>
      </c>
      <c r="G698">
        <f>VLOOKUP(Table4[[#This Row],[Home]],'NHL Model'!$A$6:$B$38,2,FALSE)</f>
        <v>-0.10253061303059285</v>
      </c>
      <c r="H698" t="s">
        <v>15</v>
      </c>
      <c r="I698">
        <f>VLOOKUP(Table4[[#This Row],[Visitor]],'NHL Model'!$A$6:$B$38,2,FALSE)</f>
        <v>-0.73651915476403329</v>
      </c>
      <c r="J698">
        <f>($B$1+Table4[[#This Row],[Home Differential]])-Table4[[#This Row],[Away Differential]]</f>
        <v>0.76359552754496451</v>
      </c>
      <c r="K698" t="str">
        <f>IF(Table4[[#This Row],[HomeIce Differential]]&gt;0,Table4[[#This Row],[Home]],Table4[[#This Row],[Visitor]])</f>
        <v>Boston Bruins</v>
      </c>
      <c r="L6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0.64226883312587757</v>
      </c>
      <c r="M698" t="str">
        <f>IF(OR((NHL2025_26Results[[#This Row],[Winning Team]]="")),"-",IF(Table4[[#This Row],[Predicted Winner]]=NHL2025_26Results[[#This Row],[Winning Team]],"YES","NO"))</f>
        <v>NO</v>
      </c>
      <c r="N698">
        <f>IF(Table4[[#This Row],[Adjusted Correct]]="-", "",IF(Table4[[#This Row],[Adjusted Correct]]="YES",(Table4[[#This Row],[Strength of Win]]-1)^2,(Table4[[#This Row],[Strength of Win]]-0)^2))</f>
        <v>0.41250925400487637</v>
      </c>
      <c r="O698">
        <v>0.13131037265548831</v>
      </c>
      <c r="P698" s="11">
        <v>0.5093947934740124</v>
      </c>
      <c r="Q698" t="s">
        <v>21</v>
      </c>
      <c r="R698" t="s">
        <v>248</v>
      </c>
    </row>
    <row r="699" spans="4:18" x14ac:dyDescent="0.2">
      <c r="D699" s="1">
        <v>46032</v>
      </c>
      <c r="E699" s="2">
        <v>0.79166666666666663</v>
      </c>
      <c r="F699" t="s">
        <v>23</v>
      </c>
      <c r="G699">
        <f>VLOOKUP(Table4[[#This Row],[Home]],'NHL Model'!$A$6:$B$38,2,FALSE)</f>
        <v>8.1543966060426461E-3</v>
      </c>
      <c r="H699" t="s">
        <v>31</v>
      </c>
      <c r="I699">
        <f>VLOOKUP(Table4[[#This Row],[Visitor]],'NHL Model'!$A$6:$B$38,2,FALSE)</f>
        <v>-0.46360583111358089</v>
      </c>
      <c r="J699">
        <f>($B$1+Table4[[#This Row],[Home Differential]])-Table4[[#This Row],[Away Differential]]</f>
        <v>0.60136721353114764</v>
      </c>
      <c r="K699" t="str">
        <f>IF(Table4[[#This Row],[HomeIce Differential]]&gt;0,Table4[[#This Row],[Home]],Table4[[#This Row],[Visitor]])</f>
        <v>Buffalo Sabres</v>
      </c>
      <c r="L6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0.63647228582123139</v>
      </c>
      <c r="M699" t="str">
        <f>IF(OR((NHL2025_26Results[[#This Row],[Winning Team]]="")),"-",IF(Table4[[#This Row],[Predicted Winner]]=NHL2025_26Results[[#This Row],[Winning Team]],"YES","NO"))</f>
        <v>YES</v>
      </c>
      <c r="N699">
        <f>IF(Table4[[#This Row],[Adjusted Correct]]="-", "",IF(Table4[[#This Row],[Adjusted Correct]]="YES",(Table4[[#This Row],[Strength of Win]]-1)^2,(Table4[[#This Row],[Strength of Win]]-0)^2))</f>
        <v>0.13215239897604047</v>
      </c>
      <c r="O699">
        <v>0.55034593681266408</v>
      </c>
      <c r="P699" s="11">
        <v>0.64095777956624378</v>
      </c>
      <c r="Q699" t="s">
        <v>23</v>
      </c>
      <c r="R699" t="s">
        <v>248</v>
      </c>
    </row>
    <row r="700" spans="4:18" x14ac:dyDescent="0.2">
      <c r="D700" s="1">
        <v>46032</v>
      </c>
      <c r="E700" s="2">
        <v>0.79166666666666663</v>
      </c>
      <c r="F700" t="s">
        <v>25</v>
      </c>
      <c r="G700">
        <f>VLOOKUP(Table4[[#This Row],[Home]],'NHL Model'!$A$6:$B$38,2,FALSE)</f>
        <v>0.2324942014830165</v>
      </c>
      <c r="H700" t="s">
        <v>32</v>
      </c>
      <c r="I700">
        <f>VLOOKUP(Table4[[#This Row],[Visitor]],'NHL Model'!$A$6:$B$38,2,FALSE)</f>
        <v>-0.48236715437805205</v>
      </c>
      <c r="J700">
        <f>($B$1+Table4[[#This Row],[Home Differential]])-Table4[[#This Row],[Away Differential]]</f>
        <v>0.84446834167259266</v>
      </c>
      <c r="K700" t="str">
        <f>IF(Table4[[#This Row],[HomeIce Differential]]&gt;0,Table4[[#This Row],[Home]],Table4[[#This Row],[Visitor]])</f>
        <v>Carolina Hurricanes</v>
      </c>
      <c r="L7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0.69040433816280633</v>
      </c>
      <c r="M700" t="str">
        <f>IF(OR((NHL2025_26Results[[#This Row],[Winning Team]]="")),"-",IF(Table4[[#This Row],[Predicted Winner]]=NHL2025_26Results[[#This Row],[Winning Team]],"YES","NO"))</f>
        <v>YES</v>
      </c>
      <c r="N700">
        <f>IF(Table4[[#This Row],[Adjusted Correct]]="-", "",IF(Table4[[#This Row],[Adjusted Correct]]="YES",(Table4[[#This Row],[Strength of Win]]-1)^2,(Table4[[#This Row],[Strength of Win]]-0)^2))</f>
        <v>9.584947382840997E-2</v>
      </c>
      <c r="O700">
        <v>0.82327287110586178</v>
      </c>
      <c r="P700" s="11">
        <v>0.6383878653240288</v>
      </c>
      <c r="Q700" t="s">
        <v>25</v>
      </c>
      <c r="R700" t="s">
        <v>248</v>
      </c>
    </row>
    <row r="701" spans="4:18" x14ac:dyDescent="0.2">
      <c r="D701" s="1">
        <v>46032</v>
      </c>
      <c r="E701" s="2">
        <v>0.66666666666666663</v>
      </c>
      <c r="F701" t="s">
        <v>12</v>
      </c>
      <c r="G701">
        <f>VLOOKUP(Table4[[#This Row],[Home]],'NHL Model'!$A$6:$B$38,2,FALSE)</f>
        <v>0.99866683349964291</v>
      </c>
      <c r="H701" t="s">
        <v>28</v>
      </c>
      <c r="I701">
        <f>VLOOKUP(Table4[[#This Row],[Visitor]],'NHL Model'!$A$6:$B$38,2,FALSE)</f>
        <v>-0.28156479873410767</v>
      </c>
      <c r="J701">
        <f>($B$1+Table4[[#This Row],[Home Differential]])-Table4[[#This Row],[Away Differential]]</f>
        <v>1.4098386180452747</v>
      </c>
      <c r="K701" t="str">
        <f>IF(Table4[[#This Row],[HomeIce Differential]]&gt;0,Table4[[#This Row],[Home]],Table4[[#This Row],[Visitor]])</f>
        <v>Colorado Avalanche</v>
      </c>
      <c r="L7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0.76670783751961968</v>
      </c>
      <c r="M701" t="str">
        <f>IF(OR((NHL2025_26Results[[#This Row],[Winning Team]]="")),"-",IF(Table4[[#This Row],[Predicted Winner]]=NHL2025_26Results[[#This Row],[Winning Team]],"YES","NO"))</f>
        <v>YES</v>
      </c>
      <c r="N701">
        <f>IF(Table4[[#This Row],[Adjusted Correct]]="-", "",IF(Table4[[#This Row],[Adjusted Correct]]="YES",(Table4[[#This Row],[Strength of Win]]-1)^2,(Table4[[#This Row],[Strength of Win]]-0)^2))</f>
        <v>5.4425233074772171E-2</v>
      </c>
      <c r="O701">
        <v>2.1929427291269161</v>
      </c>
      <c r="P701" s="11">
        <v>0.88240420199445602</v>
      </c>
      <c r="Q701" t="s">
        <v>12</v>
      </c>
      <c r="R701" t="s">
        <v>248</v>
      </c>
    </row>
    <row r="702" spans="4:18" x14ac:dyDescent="0.2">
      <c r="D702" s="1">
        <v>46032</v>
      </c>
      <c r="E702" s="2">
        <v>0.91666666666666663</v>
      </c>
      <c r="F702" t="s">
        <v>17</v>
      </c>
      <c r="G702">
        <f>VLOOKUP(Table4[[#This Row],[Home]],'NHL Model'!$A$6:$B$38,2,FALSE)</f>
        <v>-0.36462594951491906</v>
      </c>
      <c r="H702" t="s">
        <v>13</v>
      </c>
      <c r="I702">
        <f>VLOOKUP(Table4[[#This Row],[Visitor]],'NHL Model'!$A$6:$B$38,2,FALSE)</f>
        <v>-0.59069689888466137</v>
      </c>
      <c r="J702">
        <f>($B$1+Table4[[#This Row],[Home Differential]])-Table4[[#This Row],[Away Differential]]</f>
        <v>0.35567793518126645</v>
      </c>
      <c r="K702" t="str">
        <f>IF(Table4[[#This Row],[HomeIce Differential]]&gt;0,Table4[[#This Row],[Home]],Table4[[#This Row],[Visitor]])</f>
        <v>Edmonton Oilers</v>
      </c>
      <c r="L7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0.55917121969169359</v>
      </c>
      <c r="M702" t="str">
        <f>IF(OR((NHL2025_26Results[[#This Row],[Winning Team]]="")),"-",IF(Table4[[#This Row],[Predicted Winner]]=NHL2025_26Results[[#This Row],[Winning Team]],"YES","NO"))</f>
        <v>NO</v>
      </c>
      <c r="N702">
        <f>IF(Table4[[#This Row],[Adjusted Correct]]="-", "",IF(Table4[[#This Row],[Adjusted Correct]]="YES",(Table4[[#This Row],[Strength of Win]]-1)^2,(Table4[[#This Row],[Strength of Win]]-0)^2))</f>
        <v>0.31267245293149626</v>
      </c>
      <c r="O702">
        <v>0.27845674209197313</v>
      </c>
      <c r="P702" s="11">
        <v>0.56460185458733902</v>
      </c>
      <c r="Q702" t="s">
        <v>17</v>
      </c>
      <c r="R702" t="s">
        <v>249</v>
      </c>
    </row>
    <row r="703" spans="4:18" x14ac:dyDescent="0.2">
      <c r="D703" s="1">
        <v>46032</v>
      </c>
      <c r="E703" s="2">
        <v>0.83333333333333337</v>
      </c>
      <c r="F703" t="s">
        <v>34</v>
      </c>
      <c r="G703">
        <f>VLOOKUP(Table4[[#This Row],[Home]],'NHL Model'!$A$6:$B$38,2,FALSE)</f>
        <v>6.0485283743665949E-2</v>
      </c>
      <c r="H703" t="s">
        <v>30</v>
      </c>
      <c r="I703">
        <f>VLOOKUP(Table4[[#This Row],[Visitor]],'NHL Model'!$A$6:$B$38,2,FALSE)</f>
        <v>-0.18630462558229716</v>
      </c>
      <c r="J703">
        <f>($B$1+Table4[[#This Row],[Home Differential]])-Table4[[#This Row],[Away Differential]]</f>
        <v>0.3763968951374872</v>
      </c>
      <c r="K703" t="str">
        <f>IF(Table4[[#This Row],[HomeIce Differential]]&gt;0,Table4[[#This Row],[Home]],Table4[[#This Row],[Visitor]])</f>
        <v>Minnesota Wild</v>
      </c>
      <c r="L7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0.55741857772941428</v>
      </c>
      <c r="M703" t="str">
        <f>IF(OR((NHL2025_26Results[[#This Row],[Winning Team]]="")),"-",IF(Table4[[#This Row],[Predicted Winner]]=NHL2025_26Results[[#This Row],[Winning Team]],"YES","NO"))</f>
        <v>NO</v>
      </c>
      <c r="N703">
        <f>IF(Table4[[#This Row],[Adjusted Correct]]="-", "",IF(Table4[[#This Row],[Adjusted Correct]]="YES",(Table4[[#This Row],[Strength of Win]]-1)^2,(Table4[[#This Row],[Strength of Win]]-0)^2))</f>
        <v>0.31071547079788309</v>
      </c>
      <c r="O703">
        <v>0.34863177377515592</v>
      </c>
      <c r="P703" s="11">
        <v>0.57674370624126814</v>
      </c>
      <c r="Q703" t="s">
        <v>34</v>
      </c>
      <c r="R703" t="s">
        <v>249</v>
      </c>
    </row>
    <row r="704" spans="4:18" x14ac:dyDescent="0.2">
      <c r="D704" s="1">
        <v>46032</v>
      </c>
      <c r="E704" s="2">
        <v>0.79166666666666663</v>
      </c>
      <c r="F704" t="s">
        <v>18</v>
      </c>
      <c r="G704">
        <f>VLOOKUP(Table4[[#This Row],[Home]],'NHL Model'!$A$6:$B$38,2,FALSE)</f>
        <v>-8.6274676766085606E-2</v>
      </c>
      <c r="H704" t="s">
        <v>26</v>
      </c>
      <c r="I704">
        <f>VLOOKUP(Table4[[#This Row],[Visitor]],'NHL Model'!$A$6:$B$38,2,FALSE)</f>
        <v>-0.33113778518110382</v>
      </c>
      <c r="J704">
        <f>($B$1+Table4[[#This Row],[Home Differential]])-Table4[[#This Row],[Away Differential]]</f>
        <v>0.37447009422654232</v>
      </c>
      <c r="K704" t="str">
        <f>IF(Table4[[#This Row],[HomeIce Differential]]&gt;0,Table4[[#This Row],[Home]],Table4[[#This Row],[Visitor]])</f>
        <v>Montreal Canadiens</v>
      </c>
      <c r="L7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0.55817972691229012</v>
      </c>
      <c r="M704" t="str">
        <f>IF(OR((NHL2025_26Results[[#This Row],[Winning Team]]="")),"-",IF(Table4[[#This Row],[Predicted Winner]]=NHL2025_26Results[[#This Row],[Winning Team]],"YES","NO"))</f>
        <v>NO</v>
      </c>
      <c r="N704">
        <f>IF(Table4[[#This Row],[Adjusted Correct]]="-", "",IF(Table4[[#This Row],[Adjusted Correct]]="YES",(Table4[[#This Row],[Strength of Win]]-1)^2,(Table4[[#This Row],[Strength of Win]]-0)^2))</f>
        <v>0.31156460753587878</v>
      </c>
      <c r="O704">
        <v>0.38774914706935826</v>
      </c>
      <c r="P704" s="11">
        <v>0.54913423027731123</v>
      </c>
      <c r="Q704" t="s">
        <v>18</v>
      </c>
      <c r="R704" t="s">
        <v>249</v>
      </c>
    </row>
    <row r="705" spans="4:18" x14ac:dyDescent="0.2">
      <c r="D705" s="1">
        <v>46032</v>
      </c>
      <c r="E705" s="2">
        <v>0.83333333333333337</v>
      </c>
      <c r="F705" t="s">
        <v>29</v>
      </c>
      <c r="G705">
        <f>VLOOKUP(Table4[[#This Row],[Home]],'NHL Model'!$A$6:$B$38,2,FALSE)</f>
        <v>-0.82056481120798741</v>
      </c>
      <c r="H705" t="s">
        <v>10</v>
      </c>
      <c r="I705">
        <f>VLOOKUP(Table4[[#This Row],[Visitor]],'NHL Model'!$A$6:$B$38,2,FALSE)</f>
        <v>-0.92658078135875344</v>
      </c>
      <c r="J705">
        <f>($B$1+Table4[[#This Row],[Home Differential]])-Table4[[#This Row],[Away Differential]]</f>
        <v>0.2356229559622901</v>
      </c>
      <c r="K705" t="str">
        <f>IF(Table4[[#This Row],[HomeIce Differential]]&gt;0,Table4[[#This Row],[Home]],Table4[[#This Row],[Visitor]])</f>
        <v>Nashville Predators</v>
      </c>
      <c r="L7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0.56645901268874688</v>
      </c>
      <c r="M705" t="str">
        <f>IF(OR((NHL2025_26Results[[#This Row],[Winning Team]]="")),"-",IF(Table4[[#This Row],[Predicted Winner]]=NHL2025_26Results[[#This Row],[Winning Team]],"YES","NO"))</f>
        <v>NO</v>
      </c>
      <c r="N705">
        <f>IF(Table4[[#This Row],[Adjusted Correct]]="-", "",IF(Table4[[#This Row],[Adjusted Correct]]="YES",(Table4[[#This Row],[Strength of Win]]-1)^2,(Table4[[#This Row],[Strength of Win]]-0)^2))</f>
        <v>0.32087581305630991</v>
      </c>
      <c r="O705">
        <v>0.12917799449905126</v>
      </c>
      <c r="P705" s="11">
        <v>0.55299704148060003</v>
      </c>
      <c r="Q705" t="s">
        <v>29</v>
      </c>
      <c r="R705" t="s">
        <v>249</v>
      </c>
    </row>
    <row r="706" spans="4:18" x14ac:dyDescent="0.2">
      <c r="D706" s="1">
        <v>46032</v>
      </c>
      <c r="E706" s="2">
        <v>0.79166666666666663</v>
      </c>
      <c r="F706" t="s">
        <v>36</v>
      </c>
      <c r="G706">
        <f>VLOOKUP(Table4[[#This Row],[Home]],'NHL Model'!$A$6:$B$38,2,FALSE)</f>
        <v>-0.19010748264223354</v>
      </c>
      <c r="H706" t="s">
        <v>11</v>
      </c>
      <c r="I706">
        <f>VLOOKUP(Table4[[#This Row],[Visitor]],'NHL Model'!$A$6:$B$38,2,FALSE)</f>
        <v>-0.55695213126481558</v>
      </c>
      <c r="J706">
        <f>($B$1+Table4[[#This Row],[Home Differential]])-Table4[[#This Row],[Away Differential]]</f>
        <v>0.49645163443410611</v>
      </c>
      <c r="K706" t="str">
        <f>IF(Table4[[#This Row],[HomeIce Differential]]&gt;0,Table4[[#This Row],[Home]],Table4[[#This Row],[Visitor]])</f>
        <v>Ottawa Senators</v>
      </c>
      <c r="L7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0.55646174017003658</v>
      </c>
      <c r="M706" t="str">
        <f>IF(OR((NHL2025_26Results[[#This Row],[Winning Team]]="")),"-",IF(Table4[[#This Row],[Predicted Winner]]=NHL2025_26Results[[#This Row],[Winning Team]],"YES","NO"))</f>
        <v>NO</v>
      </c>
      <c r="N706">
        <f>IF(Table4[[#This Row],[Adjusted Correct]]="-", "",IF(Table4[[#This Row],[Adjusted Correct]]="YES",(Table4[[#This Row],[Strength of Win]]-1)^2,(Table4[[#This Row],[Strength of Win]]-0)^2))</f>
        <v>0.30964966827306528</v>
      </c>
      <c r="O706">
        <v>0.11058671687547555</v>
      </c>
      <c r="P706" s="11">
        <v>0.54546876765709806</v>
      </c>
      <c r="Q706" t="s">
        <v>36</v>
      </c>
      <c r="R706" t="s">
        <v>249</v>
      </c>
    </row>
    <row r="707" spans="4:18" x14ac:dyDescent="0.2">
      <c r="D707" s="1">
        <v>46032</v>
      </c>
      <c r="E707" s="2">
        <v>0.79166666666666663</v>
      </c>
      <c r="F707" t="s">
        <v>27</v>
      </c>
      <c r="G707">
        <f>VLOOKUP(Table4[[#This Row],[Home]],'NHL Model'!$A$6:$B$38,2,FALSE)</f>
        <v>-0.55097933929175691</v>
      </c>
      <c r="H707" t="s">
        <v>37</v>
      </c>
      <c r="I707">
        <f>VLOOKUP(Table4[[#This Row],[Visitor]],'NHL Model'!$A$6:$B$38,2,FALSE)</f>
        <v>0.72108184732572844</v>
      </c>
      <c r="J707">
        <f>($B$1+Table4[[#This Row],[Home Differential]])-Table4[[#This Row],[Away Differential]]</f>
        <v>-1.1424542008059613</v>
      </c>
      <c r="K707" t="str">
        <f>IF(Table4[[#This Row],[HomeIce Differential]]&gt;0,Table4[[#This Row],[Home]],Table4[[#This Row],[Visitor]])</f>
        <v>Tampa Bay Lightning</v>
      </c>
      <c r="L7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0.68514874687048999</v>
      </c>
      <c r="M707" t="str">
        <f>IF(OR((NHL2025_26Results[[#This Row],[Winning Team]]="")),"-",IF(Table4[[#This Row],[Predicted Winner]]=NHL2025_26Results[[#This Row],[Winning Team]],"YES","NO"))</f>
        <v>YES</v>
      </c>
      <c r="N707">
        <f>IF(Table4[[#This Row],[Adjusted Correct]]="-", "",IF(Table4[[#This Row],[Adjusted Correct]]="YES",(Table4[[#This Row],[Strength of Win]]-1)^2,(Table4[[#This Row],[Strength of Win]]-0)^2))</f>
        <v>9.9131311597222785E-2</v>
      </c>
      <c r="O707">
        <v>-0.50876318724816472</v>
      </c>
      <c r="P707" s="11">
        <v>0.60118841079790286</v>
      </c>
      <c r="Q707" t="s">
        <v>37</v>
      </c>
      <c r="R707" t="s">
        <v>248</v>
      </c>
    </row>
    <row r="708" spans="4:18" x14ac:dyDescent="0.2">
      <c r="D708" s="1">
        <v>46032</v>
      </c>
      <c r="E708" s="2">
        <v>0.64583333333333337</v>
      </c>
      <c r="F708" t="s">
        <v>14</v>
      </c>
      <c r="G708">
        <f>VLOOKUP(Table4[[#This Row],[Home]],'NHL Model'!$A$6:$B$38,2,FALSE)</f>
        <v>3.6349513460996066E-5</v>
      </c>
      <c r="H708" t="s">
        <v>16</v>
      </c>
      <c r="I708">
        <f>VLOOKUP(Table4[[#This Row],[Visitor]],'NHL Model'!$A$6:$B$38,2,FALSE)</f>
        <v>-0.89031221864884547</v>
      </c>
      <c r="J708">
        <f>($B$1+Table4[[#This Row],[Home Differential]])-Table4[[#This Row],[Away Differential]]</f>
        <v>1.0199555539738305</v>
      </c>
      <c r="K708" t="str">
        <f>IF(Table4[[#This Row],[HomeIce Differential]]&gt;0,Table4[[#This Row],[Home]],Table4[[#This Row],[Visitor]])</f>
        <v>Pittsburgh Penguins</v>
      </c>
      <c r="L7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0.65453475250039095</v>
      </c>
      <c r="M708" t="str">
        <f>IF(OR((NHL2025_26Results[[#This Row],[Winning Team]]="")),"-",IF(Table4[[#This Row],[Predicted Winner]]=NHL2025_26Results[[#This Row],[Winning Team]],"YES","NO"))</f>
        <v>NO</v>
      </c>
      <c r="N708">
        <f>IF(Table4[[#This Row],[Adjusted Correct]]="-", "",IF(Table4[[#This Row],[Adjusted Correct]]="YES",(Table4[[#This Row],[Strength of Win]]-1)^2,(Table4[[#This Row],[Strength of Win]]-0)^2))</f>
        <v>0.42841574223074802</v>
      </c>
      <c r="O708">
        <v>0.78333122972771418</v>
      </c>
      <c r="P708" s="11">
        <v>0.61881364411409323</v>
      </c>
      <c r="Q708" t="s">
        <v>14</v>
      </c>
      <c r="R708" t="s">
        <v>249</v>
      </c>
    </row>
    <row r="709" spans="4:18" x14ac:dyDescent="0.2">
      <c r="D709" s="1">
        <v>46032</v>
      </c>
      <c r="E709" s="2">
        <v>0.66666666666666663</v>
      </c>
      <c r="F709" t="s">
        <v>33</v>
      </c>
      <c r="G709">
        <f>VLOOKUP(Table4[[#This Row],[Home]],'NHL Model'!$A$6:$B$38,2,FALSE)</f>
        <v>-0.65236582493376272</v>
      </c>
      <c r="H709" t="s">
        <v>39</v>
      </c>
      <c r="I709">
        <f>VLOOKUP(Table4[[#This Row],[Visitor]],'NHL Model'!$A$6:$B$38,2,FALSE)</f>
        <v>0.21708030788125537</v>
      </c>
      <c r="J709">
        <f>($B$1+Table4[[#This Row],[Home Differential]])-Table4[[#This Row],[Away Differential]]</f>
        <v>-0.73983914700349396</v>
      </c>
      <c r="K709" t="str">
        <f>IF(Table4[[#This Row],[HomeIce Differential]]&gt;0,Table4[[#This Row],[Home]],Table4[[#This Row],[Visitor]])</f>
        <v>Dallas Stars</v>
      </c>
      <c r="L7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0.60121411320360396</v>
      </c>
      <c r="M709" t="str">
        <f>IF(OR((NHL2025_26Results[[#This Row],[Winning Team]]="")),"-",IF(Table4[[#This Row],[Predicted Winner]]=NHL2025_26Results[[#This Row],[Winning Team]],"YES","NO"))</f>
        <v>NO</v>
      </c>
      <c r="N709">
        <f>IF(Table4[[#This Row],[Adjusted Correct]]="-", "",IF(Table4[[#This Row],[Adjusted Correct]]="YES",(Table4[[#This Row],[Strength of Win]]-1)^2,(Table4[[#This Row],[Strength of Win]]-0)^2))</f>
        <v>0.3614584099151959</v>
      </c>
      <c r="O709">
        <v>-0.7552017595702788</v>
      </c>
      <c r="P709" s="11">
        <v>0.60588503126090121</v>
      </c>
      <c r="Q709" t="s">
        <v>39</v>
      </c>
      <c r="R709" t="s">
        <v>249</v>
      </c>
    </row>
    <row r="710" spans="4:18" x14ac:dyDescent="0.2">
      <c r="D710" s="1">
        <v>46032</v>
      </c>
      <c r="E710" s="2">
        <v>0.79166666666666663</v>
      </c>
      <c r="F710" t="s">
        <v>19</v>
      </c>
      <c r="G710">
        <f>VLOOKUP(Table4[[#This Row],[Home]],'NHL Model'!$A$6:$B$38,2,FALSE)</f>
        <v>-0.44228056828684137</v>
      </c>
      <c r="H710" t="s">
        <v>38</v>
      </c>
      <c r="I710">
        <f>VLOOKUP(Table4[[#This Row],[Visitor]],'NHL Model'!$A$6:$B$38,2,FALSE)</f>
        <v>-1.3920033028857945</v>
      </c>
      <c r="J710">
        <f>($B$1+Table4[[#This Row],[Home Differential]])-Table4[[#This Row],[Away Differential]]</f>
        <v>1.0793297204104773</v>
      </c>
      <c r="K710" t="str">
        <f>IF(Table4[[#This Row],[HomeIce Differential]]&gt;0,Table4[[#This Row],[Home]],Table4[[#This Row],[Visitor]])</f>
        <v>Toronto Maple Leafs</v>
      </c>
      <c r="L7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0.66120210720152806</v>
      </c>
      <c r="M710" t="str">
        <f>IF(OR((NHL2025_26Results[[#This Row],[Winning Team]]="")),"-",IF(Table4[[#This Row],[Predicted Winner]]=NHL2025_26Results[[#This Row],[Winning Team]],"YES","NO"))</f>
        <v>YES</v>
      </c>
      <c r="N710">
        <f>IF(Table4[[#This Row],[Adjusted Correct]]="-", "",IF(Table4[[#This Row],[Adjusted Correct]]="YES",(Table4[[#This Row],[Strength of Win]]-1)^2,(Table4[[#This Row],[Strength of Win]]-0)^2))</f>
        <v>0.11478401216468488</v>
      </c>
      <c r="O710">
        <v>0.85274424756893841</v>
      </c>
      <c r="P710" s="11">
        <v>0.63125207158100904</v>
      </c>
      <c r="Q710" t="s">
        <v>19</v>
      </c>
      <c r="R710" t="s">
        <v>248</v>
      </c>
    </row>
    <row r="711" spans="4:18" x14ac:dyDescent="0.2">
      <c r="D711" s="1">
        <v>46032</v>
      </c>
      <c r="E711" s="2">
        <v>0.91666666666666663</v>
      </c>
      <c r="F711" t="s">
        <v>20</v>
      </c>
      <c r="G711">
        <f>VLOOKUP(Table4[[#This Row],[Home]],'NHL Model'!$A$6:$B$38,2,FALSE)</f>
        <v>-0.16296463421387539</v>
      </c>
      <c r="H711" t="s">
        <v>35</v>
      </c>
      <c r="I711">
        <f>VLOOKUP(Table4[[#This Row],[Visitor]],'NHL Model'!$A$6:$B$38,2,FALSE)</f>
        <v>-1.3128572733047907</v>
      </c>
      <c r="J711">
        <f>($B$1+Table4[[#This Row],[Home Differential]])-Table4[[#This Row],[Away Differential]]</f>
        <v>1.2794996249024395</v>
      </c>
      <c r="K711" t="str">
        <f>IF(Table4[[#This Row],[HomeIce Differential]]&gt;0,Table4[[#This Row],[Home]],Table4[[#This Row],[Visitor]])</f>
        <v>Vegas Golden Knights</v>
      </c>
      <c r="L7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0.68367995967234474</v>
      </c>
      <c r="M711" t="str">
        <f>IF(OR((NHL2025_26Results[[#This Row],[Winning Team]]="")),"-",IF(Table4[[#This Row],[Predicted Winner]]=NHL2025_26Results[[#This Row],[Winning Team]],"YES","NO"))</f>
        <v>YES</v>
      </c>
      <c r="N711">
        <f>IF(Table4[[#This Row],[Adjusted Correct]]="-", "",IF(Table4[[#This Row],[Adjusted Correct]]="YES",(Table4[[#This Row],[Strength of Win]]-1)^2,(Table4[[#This Row],[Strength of Win]]-0)^2))</f>
        <v>0.10005836791288945</v>
      </c>
      <c r="O711">
        <v>1.1891359002397888</v>
      </c>
      <c r="P711" s="11">
        <v>0.65964304509775207</v>
      </c>
      <c r="Q711" t="s">
        <v>20</v>
      </c>
      <c r="R711" t="s">
        <v>248</v>
      </c>
    </row>
    <row r="712" spans="4:18" x14ac:dyDescent="0.2">
      <c r="D712" s="1">
        <v>46033</v>
      </c>
      <c r="E712" s="2">
        <v>0.70833333333333337</v>
      </c>
      <c r="F712" t="s">
        <v>21</v>
      </c>
      <c r="G712">
        <f>VLOOKUP(Table4[[#This Row],[Home]],'NHL Model'!$A$6:$B$38,2,FALSE)</f>
        <v>-0.10253061303059285</v>
      </c>
      <c r="H712" t="s">
        <v>14</v>
      </c>
      <c r="I712">
        <f>VLOOKUP(Table4[[#This Row],[Visitor]],'NHL Model'!$A$6:$B$38,2,FALSE)</f>
        <v>3.6349513460996066E-5</v>
      </c>
      <c r="J712">
        <f>($B$1+Table4[[#This Row],[Home Differential]])-Table4[[#This Row],[Away Differential]]</f>
        <v>2.7040023267470254E-2</v>
      </c>
      <c r="K712" t="str">
        <f>IF(Table4[[#This Row],[HomeIce Differential]]&gt;0,Table4[[#This Row],[Home]],Table4[[#This Row],[Visitor]])</f>
        <v>Boston Bruins</v>
      </c>
      <c r="L7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0.54149796721618193</v>
      </c>
      <c r="M712" t="str">
        <f>IF(OR((NHL2025_26Results[[#This Row],[Winning Team]]="")),"-",IF(Table4[[#This Row],[Predicted Winner]]=NHL2025_26Results[[#This Row],[Winning Team]],"YES","NO"))</f>
        <v>YES</v>
      </c>
      <c r="N712">
        <f>IF(Table4[[#This Row],[Adjusted Correct]]="-", "",IF(Table4[[#This Row],[Adjusted Correct]]="YES",(Table4[[#This Row],[Strength of Win]]-1)^2,(Table4[[#This Row],[Strength of Win]]-0)^2))</f>
        <v>0.21022411406689337</v>
      </c>
      <c r="O712">
        <v>0.19233779933227024</v>
      </c>
      <c r="P712" s="11">
        <v>0.53821865705869887</v>
      </c>
      <c r="Q712" t="s">
        <v>21</v>
      </c>
      <c r="R712" t="s">
        <v>248</v>
      </c>
    </row>
    <row r="713" spans="4:18" x14ac:dyDescent="0.2">
      <c r="D713" s="1">
        <v>46033</v>
      </c>
      <c r="E713" s="2">
        <v>0.79166666666666663</v>
      </c>
      <c r="F713" t="s">
        <v>29</v>
      </c>
      <c r="G713">
        <f>VLOOKUP(Table4[[#This Row],[Home]],'NHL Model'!$A$6:$B$38,2,FALSE)</f>
        <v>-0.82056481120798741</v>
      </c>
      <c r="H713" t="s">
        <v>22</v>
      </c>
      <c r="I713">
        <f>VLOOKUP(Table4[[#This Row],[Visitor]],'NHL Model'!$A$6:$B$38,2,FALSE)</f>
        <v>-0.11977593183651415</v>
      </c>
      <c r="J713">
        <f>($B$1+Table4[[#This Row],[Home Differential]])-Table4[[#This Row],[Away Differential]]</f>
        <v>-0.57118189355994919</v>
      </c>
      <c r="K713" t="str">
        <f>IF(Table4[[#This Row],[HomeIce Differential]]&gt;0,Table4[[#This Row],[Home]],Table4[[#This Row],[Visitor]])</f>
        <v>Washington Capitals</v>
      </c>
      <c r="L7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0.5241402231270873</v>
      </c>
      <c r="M713" t="str">
        <f>IF(OR((NHL2025_26Results[[#This Row],[Winning Team]]="")),"-",IF(Table4[[#This Row],[Predicted Winner]]=NHL2025_26Results[[#This Row],[Winning Team]],"YES","NO"))</f>
        <v>NO</v>
      </c>
      <c r="N713">
        <f>IF(Table4[[#This Row],[Adjusted Correct]]="-", "",IF(Table4[[#This Row],[Adjusted Correct]]="YES",(Table4[[#This Row],[Strength of Win]]-1)^2,(Table4[[#This Row],[Strength of Win]]-0)^2))</f>
        <v>0.27472297349971286</v>
      </c>
      <c r="O713">
        <v>-0.77867379141149162</v>
      </c>
      <c r="P713" s="11">
        <v>0.54636353576084273</v>
      </c>
      <c r="Q713" t="s">
        <v>22</v>
      </c>
      <c r="R713" t="s">
        <v>249</v>
      </c>
    </row>
    <row r="714" spans="4:18" x14ac:dyDescent="0.2">
      <c r="D714" s="1">
        <v>46033</v>
      </c>
      <c r="E714" s="2">
        <v>0.83333333333333337</v>
      </c>
      <c r="F714" t="s">
        <v>33</v>
      </c>
      <c r="G714">
        <f>VLOOKUP(Table4[[#This Row],[Home]],'NHL Model'!$A$6:$B$38,2,FALSE)</f>
        <v>-0.65236582493376272</v>
      </c>
      <c r="H714" t="s">
        <v>20</v>
      </c>
      <c r="I714">
        <f>VLOOKUP(Table4[[#This Row],[Visitor]],'NHL Model'!$A$6:$B$38,2,FALSE)</f>
        <v>-0.16296463421387539</v>
      </c>
      <c r="J714">
        <f>($B$1+Table4[[#This Row],[Home Differential]])-Table4[[#This Row],[Away Differential]]</f>
        <v>-0.35979420490836322</v>
      </c>
      <c r="K714" t="str">
        <f>IF(Table4[[#This Row],[HomeIce Differential]]&gt;0,Table4[[#This Row],[Home]],Table4[[#This Row],[Visitor]])</f>
        <v>Vegas Golden Knights</v>
      </c>
      <c r="L7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0.51241886571487449</v>
      </c>
      <c r="M714" t="str">
        <f>IF(OR((NHL2025_26Results[[#This Row],[Winning Team]]="")),"-",IF(Table4[[#This Row],[Predicted Winner]]=NHL2025_26Results[[#This Row],[Winning Team]],"YES","NO"))</f>
        <v>YES</v>
      </c>
      <c r="N714">
        <f>IF(Table4[[#This Row],[Adjusted Correct]]="-", "",IF(Table4[[#This Row],[Adjusted Correct]]="YES",(Table4[[#This Row],[Strength of Win]]-1)^2,(Table4[[#This Row],[Strength of Win]]-0)^2))</f>
        <v>0.2377353625107696</v>
      </c>
      <c r="O714">
        <v>-0.12719426391699862</v>
      </c>
      <c r="P714" s="11">
        <v>0.48053813942253781</v>
      </c>
      <c r="Q714" t="s">
        <v>20</v>
      </c>
      <c r="R714" t="s">
        <v>248</v>
      </c>
    </row>
    <row r="715" spans="4:18" x14ac:dyDescent="0.2">
      <c r="D715" s="1">
        <v>46033</v>
      </c>
      <c r="E715" s="2">
        <v>0.79166666666666663</v>
      </c>
      <c r="F715" t="s">
        <v>55</v>
      </c>
      <c r="G715">
        <f>VLOOKUP(Table4[[#This Row],[Home]],'NHL Model'!$A$6:$B$38,2,FALSE)</f>
        <v>8.4094725828611647E-2</v>
      </c>
      <c r="H715" t="s">
        <v>28</v>
      </c>
      <c r="I715">
        <f>VLOOKUP(Table4[[#This Row],[Visitor]],'NHL Model'!$A$6:$B$38,2,FALSE)</f>
        <v>-0.28156479873410767</v>
      </c>
      <c r="J715">
        <f>($B$1+Table4[[#This Row],[Home Differential]])-Table4[[#This Row],[Away Differential]]</f>
        <v>0.49526651037424341</v>
      </c>
      <c r="K715" t="str">
        <f>IF(Table4[[#This Row],[HomeIce Differential]]&gt;0,Table4[[#This Row],[Home]],Table4[[#This Row],[Visitor]])</f>
        <v>Utah Mammoth</v>
      </c>
      <c r="L7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0.61267753813832293</v>
      </c>
      <c r="M715" t="str">
        <f>IF(OR((NHL2025_26Results[[#This Row],[Winning Team]]="")),"-",IF(Table4[[#This Row],[Predicted Winner]]=NHL2025_26Results[[#This Row],[Winning Team]],"YES","NO"))</f>
        <v>NO</v>
      </c>
      <c r="N715">
        <f>IF(Table4[[#This Row],[Adjusted Correct]]="-", "",IF(Table4[[#This Row],[Adjusted Correct]]="YES",(Table4[[#This Row],[Strength of Win]]-1)^2,(Table4[[#This Row],[Strength of Win]]-0)^2))</f>
        <v>0.37537376573923614</v>
      </c>
      <c r="O715">
        <v>0.69819665125504082</v>
      </c>
      <c r="P715" s="11">
        <v>0.62696753507233571</v>
      </c>
      <c r="Q715" t="s">
        <v>55</v>
      </c>
      <c r="R715" t="s">
        <v>249</v>
      </c>
    </row>
    <row r="716" spans="4:18" x14ac:dyDescent="0.2">
      <c r="D716" s="1">
        <v>46033</v>
      </c>
      <c r="E716" s="2">
        <v>0.58333333333333337</v>
      </c>
      <c r="F716" t="s">
        <v>40</v>
      </c>
      <c r="G716">
        <f>VLOOKUP(Table4[[#This Row],[Home]],'NHL Model'!$A$6:$B$38,2,FALSE)</f>
        <v>-0.58845147248022256</v>
      </c>
      <c r="H716" t="s">
        <v>24</v>
      </c>
      <c r="I716">
        <f>VLOOKUP(Table4[[#This Row],[Visitor]],'NHL Model'!$A$6:$B$38,2,FALSE)</f>
        <v>-0.74510803532792402</v>
      </c>
      <c r="J716">
        <f>($B$1+Table4[[#This Row],[Home Differential]])-Table4[[#This Row],[Away Differential]]</f>
        <v>0.28626354865922554</v>
      </c>
      <c r="K716" t="str">
        <f>IF(Table4[[#This Row],[HomeIce Differential]]&gt;0,Table4[[#This Row],[Home]],Table4[[#This Row],[Visitor]])</f>
        <v>Winnipeg Jets</v>
      </c>
      <c r="L7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0.55137640985974246</v>
      </c>
      <c r="M716" t="str">
        <f>IF(OR((NHL2025_26Results[[#This Row],[Winning Team]]="")),"-",IF(Table4[[#This Row],[Predicted Winner]]=NHL2025_26Results[[#This Row],[Winning Team]],"YES","NO"))</f>
        <v>YES</v>
      </c>
      <c r="N716">
        <f>IF(Table4[[#This Row],[Adjusted Correct]]="-", "",IF(Table4[[#This Row],[Adjusted Correct]]="YES",(Table4[[#This Row],[Strength of Win]]-1)^2,(Table4[[#This Row],[Strength of Win]]-0)^2))</f>
        <v>0.20126312563033377</v>
      </c>
      <c r="O716">
        <v>0.28960386634653146</v>
      </c>
      <c r="P716" s="11">
        <v>0.55923640997822566</v>
      </c>
      <c r="Q716" t="s">
        <v>40</v>
      </c>
      <c r="R716" t="s">
        <v>248</v>
      </c>
    </row>
    <row r="717" spans="4:18" x14ac:dyDescent="0.2">
      <c r="D717" s="1">
        <v>46034</v>
      </c>
      <c r="E717" s="2">
        <v>0.79166666666666663</v>
      </c>
      <c r="F717" t="s">
        <v>23</v>
      </c>
      <c r="G717">
        <f>VLOOKUP(Table4[[#This Row],[Home]],'NHL Model'!$A$6:$B$38,2,FALSE)</f>
        <v>8.1543966060426461E-3</v>
      </c>
      <c r="H717" t="s">
        <v>11</v>
      </c>
      <c r="I717">
        <f>VLOOKUP(Table4[[#This Row],[Visitor]],'NHL Model'!$A$6:$B$38,2,FALSE)</f>
        <v>-0.55695213126481558</v>
      </c>
      <c r="J717">
        <f>($B$1+Table4[[#This Row],[Home Differential]])-Table4[[#This Row],[Away Differential]]</f>
        <v>0.69471351368238232</v>
      </c>
      <c r="K717" t="str">
        <f>IF(Table4[[#This Row],[HomeIce Differential]]&gt;0,Table4[[#This Row],[Home]],Table4[[#This Row],[Visitor]])</f>
        <v>Buffalo Sabres</v>
      </c>
      <c r="L7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0.60798808553232975</v>
      </c>
      <c r="M717" t="str">
        <f>IF(OR((NHL2025_26Results[[#This Row],[Winning Team]]="")),"-",IF(Table4[[#This Row],[Predicted Winner]]=NHL2025_26Results[[#This Row],[Winning Team]],"YES","NO"))</f>
        <v>NO</v>
      </c>
      <c r="N717">
        <f>IF(Table4[[#This Row],[Adjusted Correct]]="-", "",IF(Table4[[#This Row],[Adjusted Correct]]="YES",(Table4[[#This Row],[Strength of Win]]-1)^2,(Table4[[#This Row],[Strength of Win]]-0)^2))</f>
        <v>0.3696495121492675</v>
      </c>
      <c r="O717">
        <v>0.33868445578041373</v>
      </c>
      <c r="P717" s="11">
        <v>0.60451678477901716</v>
      </c>
      <c r="Q717" t="s">
        <v>23</v>
      </c>
      <c r="R717" t="s">
        <v>249</v>
      </c>
    </row>
    <row r="718" spans="4:18" x14ac:dyDescent="0.2">
      <c r="D718" s="1">
        <v>46034</v>
      </c>
      <c r="E718" s="2">
        <v>0.85416666666666663</v>
      </c>
      <c r="F718" t="s">
        <v>10</v>
      </c>
      <c r="G718">
        <f>VLOOKUP(Table4[[#This Row],[Home]],'NHL Model'!$A$6:$B$38,2,FALSE)</f>
        <v>-0.92658078135875344</v>
      </c>
      <c r="H718" t="s">
        <v>17</v>
      </c>
      <c r="I718">
        <f>VLOOKUP(Table4[[#This Row],[Visitor]],'NHL Model'!$A$6:$B$38,2,FALSE)</f>
        <v>-0.36462594951491906</v>
      </c>
      <c r="J718">
        <f>($B$1+Table4[[#This Row],[Home Differential]])-Table4[[#This Row],[Away Differential]]</f>
        <v>-0.4323478460323103</v>
      </c>
      <c r="K718" t="str">
        <f>IF(Table4[[#This Row],[HomeIce Differential]]&gt;0,Table4[[#This Row],[Home]],Table4[[#This Row],[Visitor]])</f>
        <v>Edmonton Oilers</v>
      </c>
      <c r="L7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0.50855001117103416</v>
      </c>
      <c r="M718" t="str">
        <f>IF(OR((NHL2025_26Results[[#This Row],[Winning Team]]="")),"-",IF(Table4[[#This Row],[Predicted Winner]]=NHL2025_26Results[[#This Row],[Winning Team]],"YES","NO"))</f>
        <v>YES</v>
      </c>
      <c r="N718">
        <f>IF(Table4[[#This Row],[Adjusted Correct]]="-", "",IF(Table4[[#This Row],[Adjusted Correct]]="YES",(Table4[[#This Row],[Strength of Win]]-1)^2,(Table4[[#This Row],[Strength of Win]]-0)^2))</f>
        <v>0.24152309151999066</v>
      </c>
      <c r="O718">
        <v>-0.22655626064424392</v>
      </c>
      <c r="P718" s="11">
        <v>0.48213370516459769</v>
      </c>
      <c r="Q718" t="s">
        <v>17</v>
      </c>
      <c r="R718" t="s">
        <v>248</v>
      </c>
    </row>
    <row r="719" spans="4:18" x14ac:dyDescent="0.2">
      <c r="D719" s="1">
        <v>46034</v>
      </c>
      <c r="E719" s="2">
        <v>0.91666666666666663</v>
      </c>
      <c r="F719" t="s">
        <v>12</v>
      </c>
      <c r="G719">
        <f>VLOOKUP(Table4[[#This Row],[Home]],'NHL Model'!$A$6:$B$38,2,FALSE)</f>
        <v>0.99866683349964291</v>
      </c>
      <c r="H719" t="s">
        <v>19</v>
      </c>
      <c r="I719">
        <f>VLOOKUP(Table4[[#This Row],[Visitor]],'NHL Model'!$A$6:$B$38,2,FALSE)</f>
        <v>-0.44228056828684137</v>
      </c>
      <c r="J719">
        <f>($B$1+Table4[[#This Row],[Home Differential]])-Table4[[#This Row],[Away Differential]]</f>
        <v>1.5705543875980084</v>
      </c>
      <c r="K719" t="str">
        <f>IF(Table4[[#This Row],[HomeIce Differential]]&gt;0,Table4[[#This Row],[Home]],Table4[[#This Row],[Visitor]])</f>
        <v>Colorado Avalanche</v>
      </c>
      <c r="L7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0.79619833499301707</v>
      </c>
      <c r="M719" t="str">
        <f>IF(OR((NHL2025_26Results[[#This Row],[Winning Team]]="")),"-",IF(Table4[[#This Row],[Predicted Winner]]=NHL2025_26Results[[#This Row],[Winning Team]],"YES","NO"))</f>
        <v>NO</v>
      </c>
      <c r="N719">
        <f>IF(Table4[[#This Row],[Adjusted Correct]]="-", "",IF(Table4[[#This Row],[Adjusted Correct]]="YES",(Table4[[#This Row],[Strength of Win]]-1)^2,(Table4[[#This Row],[Strength of Win]]-0)^2))</f>
        <v>0.63393178864565258</v>
      </c>
      <c r="O719">
        <v>1.8102399566324268</v>
      </c>
      <c r="P719" s="11">
        <v>0.83979859086954201</v>
      </c>
      <c r="Q719" t="s">
        <v>12</v>
      </c>
      <c r="R719" t="s">
        <v>249</v>
      </c>
    </row>
    <row r="720" spans="4:18" x14ac:dyDescent="0.2">
      <c r="D720" s="1">
        <v>46034</v>
      </c>
      <c r="E720" s="2">
        <v>0.79166666666666663</v>
      </c>
      <c r="F720" t="s">
        <v>26</v>
      </c>
      <c r="G720">
        <f>VLOOKUP(Table4[[#This Row],[Home]],'NHL Model'!$A$6:$B$38,2,FALSE)</f>
        <v>-0.33113778518110382</v>
      </c>
      <c r="H720" t="s">
        <v>25</v>
      </c>
      <c r="I720">
        <f>VLOOKUP(Table4[[#This Row],[Visitor]],'NHL Model'!$A$6:$B$38,2,FALSE)</f>
        <v>0.2324942014830165</v>
      </c>
      <c r="J720">
        <f>($B$1+Table4[[#This Row],[Home Differential]])-Table4[[#This Row],[Away Differential]]</f>
        <v>-0.43402500085259621</v>
      </c>
      <c r="K720" t="str">
        <f>IF(Table4[[#This Row],[HomeIce Differential]]&gt;0,Table4[[#This Row],[Home]],Table4[[#This Row],[Visitor]])</f>
        <v>Carolina Hurricanes</v>
      </c>
      <c r="L7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0.53893442380138024</v>
      </c>
      <c r="M720" t="str">
        <f>IF(OR((NHL2025_26Results[[#This Row],[Winning Team]]="")),"-",IF(Table4[[#This Row],[Predicted Winner]]=NHL2025_26Results[[#This Row],[Winning Team]],"YES","NO"))</f>
        <v>NO</v>
      </c>
      <c r="N720">
        <f>IF(Table4[[#This Row],[Adjusted Correct]]="-", "",IF(Table4[[#This Row],[Adjusted Correct]]="YES",(Table4[[#This Row],[Strength of Win]]-1)^2,(Table4[[#This Row],[Strength of Win]]-0)^2))</f>
        <v>0.29045031315812569</v>
      </c>
      <c r="O720">
        <v>-0.3625125466038488</v>
      </c>
      <c r="P720" s="11">
        <v>0.52521204768630914</v>
      </c>
      <c r="Q720" t="s">
        <v>25</v>
      </c>
      <c r="R720" t="s">
        <v>249</v>
      </c>
    </row>
    <row r="721" spans="4:18" x14ac:dyDescent="0.2">
      <c r="D721" s="1">
        <v>46034</v>
      </c>
      <c r="E721" s="2">
        <v>0.91666666666666663</v>
      </c>
      <c r="F721" t="s">
        <v>13</v>
      </c>
      <c r="G721">
        <f>VLOOKUP(Table4[[#This Row],[Home]],'NHL Model'!$A$6:$B$38,2,FALSE)</f>
        <v>-0.59069689888466137</v>
      </c>
      <c r="H721" t="s">
        <v>39</v>
      </c>
      <c r="I721">
        <f>VLOOKUP(Table4[[#This Row],[Visitor]],'NHL Model'!$A$6:$B$38,2,FALSE)</f>
        <v>0.21708030788125537</v>
      </c>
      <c r="J721">
        <f>($B$1+Table4[[#This Row],[Home Differential]])-Table4[[#This Row],[Away Differential]]</f>
        <v>-0.67817022095439272</v>
      </c>
      <c r="K721" t="str">
        <f>IF(Table4[[#This Row],[HomeIce Differential]]&gt;0,Table4[[#This Row],[Home]],Table4[[#This Row],[Visitor]])</f>
        <v>Dallas Stars</v>
      </c>
      <c r="L7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0.59428907107360152</v>
      </c>
      <c r="M721" t="str">
        <f>IF(OR((NHL2025_26Results[[#This Row],[Winning Team]]="")),"-",IF(Table4[[#This Row],[Predicted Winner]]=NHL2025_26Results[[#This Row],[Winning Team]],"YES","NO"))</f>
        <v>YES</v>
      </c>
      <c r="N721">
        <f>IF(Table4[[#This Row],[Adjusted Correct]]="-", "",IF(Table4[[#This Row],[Adjusted Correct]]="YES",(Table4[[#This Row],[Strength of Win]]-1)^2,(Table4[[#This Row],[Strength of Win]]-0)^2))</f>
        <v>0.16460135785032115</v>
      </c>
      <c r="O721">
        <v>-0.52614364272417502</v>
      </c>
      <c r="P721" s="11">
        <v>0.57069011346107879</v>
      </c>
      <c r="Q721" t="s">
        <v>39</v>
      </c>
      <c r="R721" t="s">
        <v>248</v>
      </c>
    </row>
    <row r="722" spans="4:18" x14ac:dyDescent="0.2">
      <c r="D722" s="1">
        <v>46034</v>
      </c>
      <c r="E722" s="2">
        <v>0.83333333333333337</v>
      </c>
      <c r="F722" t="s">
        <v>34</v>
      </c>
      <c r="G722">
        <f>VLOOKUP(Table4[[#This Row],[Home]],'NHL Model'!$A$6:$B$38,2,FALSE)</f>
        <v>6.0485283743665949E-2</v>
      </c>
      <c r="H722" t="s">
        <v>24</v>
      </c>
      <c r="I722">
        <f>VLOOKUP(Table4[[#This Row],[Visitor]],'NHL Model'!$A$6:$B$38,2,FALSE)</f>
        <v>-0.74510803532792402</v>
      </c>
      <c r="J722">
        <f>($B$1+Table4[[#This Row],[Home Differential]])-Table4[[#This Row],[Away Differential]]</f>
        <v>0.93520030488311412</v>
      </c>
      <c r="K722" t="str">
        <f>IF(Table4[[#This Row],[HomeIce Differential]]&gt;0,Table4[[#This Row],[Home]],Table4[[#This Row],[Visitor]])</f>
        <v>Minnesota Wild</v>
      </c>
      <c r="L7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0.63626725789987304</v>
      </c>
      <c r="M722" t="str">
        <f>IF(OR((NHL2025_26Results[[#This Row],[Winning Team]]="")),"-",IF(Table4[[#This Row],[Predicted Winner]]=NHL2025_26Results[[#This Row],[Winning Team]],"YES","NO"))</f>
        <v>NO</v>
      </c>
      <c r="N722">
        <f>IF(Table4[[#This Row],[Adjusted Correct]]="-", "",IF(Table4[[#This Row],[Adjusted Correct]]="YES",(Table4[[#This Row],[Strength of Win]]-1)^2,(Table4[[#This Row],[Strength of Win]]-0)^2))</f>
        <v>0.40483602347542358</v>
      </c>
      <c r="O722">
        <v>0.91831159626243974</v>
      </c>
      <c r="P722" s="11">
        <v>0.64103030551232276</v>
      </c>
      <c r="Q722" t="s">
        <v>34</v>
      </c>
      <c r="R722" t="s">
        <v>249</v>
      </c>
    </row>
    <row r="723" spans="4:18" x14ac:dyDescent="0.2">
      <c r="D723" s="1">
        <v>46034</v>
      </c>
      <c r="E723" s="2">
        <v>0.8125</v>
      </c>
      <c r="F723" t="s">
        <v>18</v>
      </c>
      <c r="G723">
        <f>VLOOKUP(Table4[[#This Row],[Home]],'NHL Model'!$A$6:$B$38,2,FALSE)</f>
        <v>-8.6274676766085606E-2</v>
      </c>
      <c r="H723" t="s">
        <v>38</v>
      </c>
      <c r="I723">
        <f>VLOOKUP(Table4[[#This Row],[Visitor]],'NHL Model'!$A$6:$B$38,2,FALSE)</f>
        <v>-1.3920033028857945</v>
      </c>
      <c r="J723">
        <f>($B$1+Table4[[#This Row],[Home Differential]])-Table4[[#This Row],[Away Differential]]</f>
        <v>1.435335611931233</v>
      </c>
      <c r="K723" t="str">
        <f>IF(Table4[[#This Row],[HomeIce Differential]]&gt;0,Table4[[#This Row],[Home]],Table4[[#This Row],[Visitor]])</f>
        <v>Montreal Canadiens</v>
      </c>
      <c r="L7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0.71519600564637109</v>
      </c>
      <c r="M723" t="str">
        <f>IF(OR((NHL2025_26Results[[#This Row],[Winning Team]]="")),"-",IF(Table4[[#This Row],[Predicted Winner]]=NHL2025_26Results[[#This Row],[Winning Team]],"YES","NO"))</f>
        <v>YES</v>
      </c>
      <c r="N723">
        <f>IF(Table4[[#This Row],[Adjusted Correct]]="-", "",IF(Table4[[#This Row],[Adjusted Correct]]="YES",(Table4[[#This Row],[Strength of Win]]-1)^2,(Table4[[#This Row],[Strength of Win]]-0)^2))</f>
        <v>8.1113315199781891E-2</v>
      </c>
      <c r="O723">
        <v>0.98792559369139321</v>
      </c>
      <c r="P723" s="11">
        <v>0.62592842574691987</v>
      </c>
      <c r="Q723" t="s">
        <v>18</v>
      </c>
      <c r="R723" t="s">
        <v>248</v>
      </c>
    </row>
    <row r="724" spans="4:18" x14ac:dyDescent="0.2">
      <c r="D724" s="1">
        <v>46034</v>
      </c>
      <c r="E724" s="2">
        <v>0.79166666666666663</v>
      </c>
      <c r="F724" t="s">
        <v>15</v>
      </c>
      <c r="G724">
        <f>VLOOKUP(Table4[[#This Row],[Home]],'NHL Model'!$A$6:$B$38,2,FALSE)</f>
        <v>-0.73651915476403329</v>
      </c>
      <c r="H724" t="s">
        <v>32</v>
      </c>
      <c r="I724">
        <f>VLOOKUP(Table4[[#This Row],[Visitor]],'NHL Model'!$A$6:$B$38,2,FALSE)</f>
        <v>-0.48236715437805205</v>
      </c>
      <c r="J724">
        <f>($B$1+Table4[[#This Row],[Home Differential]])-Table4[[#This Row],[Away Differential]]</f>
        <v>-0.12454501457445716</v>
      </c>
      <c r="K724" t="str">
        <f>IF(Table4[[#This Row],[HomeIce Differential]]&gt;0,Table4[[#This Row],[Home]],Table4[[#This Row],[Visitor]])</f>
        <v>Seattle Kraken</v>
      </c>
      <c r="L7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0.47398564120158615</v>
      </c>
      <c r="M724" t="str">
        <f>IF(OR((NHL2025_26Results[[#This Row],[Winning Team]]="")),"-",IF(Table4[[#This Row],[Predicted Winner]]=NHL2025_26Results[[#This Row],[Winning Team]],"YES","NO"))</f>
        <v>YES</v>
      </c>
      <c r="N724">
        <f>IF(Table4[[#This Row],[Adjusted Correct]]="-", "",IF(Table4[[#This Row],[Adjusted Correct]]="YES",(Table4[[#This Row],[Strength of Win]]-1)^2,(Table4[[#This Row],[Strength of Win]]-0)^2))</f>
        <v>0.27669110566210647</v>
      </c>
      <c r="O724">
        <v>0.11879654447698801</v>
      </c>
      <c r="P724" s="11">
        <v>0.5430024197610579</v>
      </c>
      <c r="Q724" t="s">
        <v>15</v>
      </c>
      <c r="R724" t="s">
        <v>249</v>
      </c>
    </row>
    <row r="725" spans="4:18" x14ac:dyDescent="0.2">
      <c r="D725" s="1">
        <v>46034</v>
      </c>
      <c r="E725" s="2">
        <v>0.79166666666666663</v>
      </c>
      <c r="F725" t="s">
        <v>27</v>
      </c>
      <c r="G725">
        <f>VLOOKUP(Table4[[#This Row],[Home]],'NHL Model'!$A$6:$B$38,2,FALSE)</f>
        <v>-0.55097933929175691</v>
      </c>
      <c r="H725" t="s">
        <v>37</v>
      </c>
      <c r="I725">
        <f>VLOOKUP(Table4[[#This Row],[Visitor]],'NHL Model'!$A$6:$B$38,2,FALSE)</f>
        <v>0.72108184732572844</v>
      </c>
      <c r="J725">
        <f>($B$1+Table4[[#This Row],[Home Differential]])-Table4[[#This Row],[Away Differential]]</f>
        <v>-1.1424542008059613</v>
      </c>
      <c r="K725" t="str">
        <f>IF(Table4[[#This Row],[HomeIce Differential]]&gt;0,Table4[[#This Row],[Home]],Table4[[#This Row],[Visitor]])</f>
        <v>Tampa Bay Lightning</v>
      </c>
      <c r="L7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0.68514874687048999</v>
      </c>
      <c r="M725" t="str">
        <f>IF(OR((NHL2025_26Results[[#This Row],[Winning Team]]="")),"-",IF(Table4[[#This Row],[Predicted Winner]]=NHL2025_26Results[[#This Row],[Winning Team]],"YES","NO"))</f>
        <v>YES</v>
      </c>
      <c r="N725">
        <f>IF(Table4[[#This Row],[Adjusted Correct]]="-", "",IF(Table4[[#This Row],[Adjusted Correct]]="YES",(Table4[[#This Row],[Strength of Win]]-1)^2,(Table4[[#This Row],[Strength of Win]]-0)^2))</f>
        <v>9.9131311597222785E-2</v>
      </c>
      <c r="O725">
        <v>-0.72537314197084657</v>
      </c>
      <c r="P725" s="11">
        <v>0.62890197599503728</v>
      </c>
      <c r="Q725" t="s">
        <v>37</v>
      </c>
      <c r="R725" t="s">
        <v>248</v>
      </c>
    </row>
    <row r="726" spans="4:18" x14ac:dyDescent="0.2">
      <c r="D726" s="1">
        <v>46035</v>
      </c>
      <c r="E726" s="2">
        <v>0.91666666666666663</v>
      </c>
      <c r="F726" t="s">
        <v>31</v>
      </c>
      <c r="G726">
        <f>VLOOKUP(Table4[[#This Row],[Home]],'NHL Model'!$A$6:$B$38,2,FALSE)</f>
        <v>-0.46360583111358089</v>
      </c>
      <c r="H726" t="s">
        <v>39</v>
      </c>
      <c r="I726">
        <f>VLOOKUP(Table4[[#This Row],[Visitor]],'NHL Model'!$A$6:$B$38,2,FALSE)</f>
        <v>0.21708030788125537</v>
      </c>
      <c r="J726">
        <f>($B$1+Table4[[#This Row],[Home Differential]])-Table4[[#This Row],[Away Differential]]</f>
        <v>-0.55107915318331213</v>
      </c>
      <c r="K726" t="str">
        <f>IF(Table4[[#This Row],[HomeIce Differential]]&gt;0,Table4[[#This Row],[Home]],Table4[[#This Row],[Visitor]])</f>
        <v>Dallas Stars</v>
      </c>
      <c r="L7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0.52740005006843793</v>
      </c>
      <c r="M726" t="str">
        <f>IF(OR((NHL2025_26Results[[#This Row],[Winning Team]]="")),"-",IF(Table4[[#This Row],[Predicted Winner]]=NHL2025_26Results[[#This Row],[Winning Team]],"YES","NO"))</f>
        <v>NO</v>
      </c>
      <c r="N726">
        <f>IF(Table4[[#This Row],[Adjusted Correct]]="-", "",IF(Table4[[#This Row],[Adjusted Correct]]="YES",(Table4[[#This Row],[Strength of Win]]-1)^2,(Table4[[#This Row],[Strength of Win]]-0)^2))</f>
        <v>0.27815081281219084</v>
      </c>
      <c r="O726">
        <v>-0.83828140327645184</v>
      </c>
      <c r="P726" s="11">
        <v>0.59165089520984382</v>
      </c>
      <c r="Q726" t="s">
        <v>39</v>
      </c>
      <c r="R726" t="s">
        <v>249</v>
      </c>
    </row>
    <row r="727" spans="4:18" x14ac:dyDescent="0.2">
      <c r="D727" s="1">
        <v>46035</v>
      </c>
      <c r="E727" s="2">
        <v>0.8125</v>
      </c>
      <c r="F727" t="s">
        <v>21</v>
      </c>
      <c r="G727">
        <f>VLOOKUP(Table4[[#This Row],[Home]],'NHL Model'!$A$6:$B$38,2,FALSE)</f>
        <v>-0.10253061303059285</v>
      </c>
      <c r="H727" t="s">
        <v>26</v>
      </c>
      <c r="I727">
        <f>VLOOKUP(Table4[[#This Row],[Visitor]],'NHL Model'!$A$6:$B$38,2,FALSE)</f>
        <v>-0.33113778518110382</v>
      </c>
      <c r="J727">
        <f>($B$1+Table4[[#This Row],[Home Differential]])-Table4[[#This Row],[Away Differential]]</f>
        <v>0.35821415796203504</v>
      </c>
      <c r="K727" t="str">
        <f>IF(Table4[[#This Row],[HomeIce Differential]]&gt;0,Table4[[#This Row],[Home]],Table4[[#This Row],[Visitor]])</f>
        <v>Boston Bruins</v>
      </c>
      <c r="L7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0.59468069826705727</v>
      </c>
      <c r="M727" t="str">
        <f>IF(OR((NHL2025_26Results[[#This Row],[Winning Team]]="")),"-",IF(Table4[[#This Row],[Predicted Winner]]=NHL2025_26Results[[#This Row],[Winning Team]],"YES","NO"))</f>
        <v>YES</v>
      </c>
      <c r="N727">
        <f>IF(Table4[[#This Row],[Adjusted Correct]]="-", "",IF(Table4[[#This Row],[Adjusted Correct]]="YES",(Table4[[#This Row],[Strength of Win]]-1)^2,(Table4[[#This Row],[Strength of Win]]-0)^2))</f>
        <v>0.16428373635728027</v>
      </c>
      <c r="O727">
        <v>0.19862068081448292</v>
      </c>
      <c r="P727" s="11">
        <v>0.53560461186262776</v>
      </c>
      <c r="Q727" t="s">
        <v>21</v>
      </c>
      <c r="R727" t="s">
        <v>248</v>
      </c>
    </row>
    <row r="728" spans="4:18" x14ac:dyDescent="0.2">
      <c r="D728" s="1">
        <v>46035</v>
      </c>
      <c r="E728" s="2">
        <v>0.79166666666666663</v>
      </c>
      <c r="F728" t="s">
        <v>28</v>
      </c>
      <c r="G728">
        <f>VLOOKUP(Table4[[#This Row],[Home]],'NHL Model'!$A$6:$B$38,2,FALSE)</f>
        <v>-0.28156479873410767</v>
      </c>
      <c r="H728" t="s">
        <v>16</v>
      </c>
      <c r="I728">
        <f>VLOOKUP(Table4[[#This Row],[Visitor]],'NHL Model'!$A$6:$B$38,2,FALSE)</f>
        <v>-0.89031221864884547</v>
      </c>
      <c r="J728">
        <f>($B$1+Table4[[#This Row],[Home Differential]])-Table4[[#This Row],[Away Differential]]</f>
        <v>0.73835440572626188</v>
      </c>
      <c r="K728" t="str">
        <f>IF(Table4[[#This Row],[HomeIce Differential]]&gt;0,Table4[[#This Row],[Home]],Table4[[#This Row],[Visitor]])</f>
        <v>Columbus Blue Jackets</v>
      </c>
      <c r="L7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0.62995862269933722</v>
      </c>
      <c r="M728" t="str">
        <f>IF(OR((NHL2025_26Results[[#This Row],[Winning Team]]="")),"-",IF(Table4[[#This Row],[Predicted Winner]]=NHL2025_26Results[[#This Row],[Winning Team]],"YES","NO"))</f>
        <v>YES</v>
      </c>
      <c r="N728">
        <f>IF(Table4[[#This Row],[Adjusted Correct]]="-", "",IF(Table4[[#This Row],[Adjusted Correct]]="YES",(Table4[[#This Row],[Strength of Win]]-1)^2,(Table4[[#This Row],[Strength of Win]]-0)^2))</f>
        <v>0.13693062091457148</v>
      </c>
      <c r="O728">
        <v>0.30440062137377499</v>
      </c>
      <c r="P728" s="11">
        <v>0.56885234797900286</v>
      </c>
      <c r="Q728" t="s">
        <v>28</v>
      </c>
      <c r="R728" t="s">
        <v>248</v>
      </c>
    </row>
    <row r="729" spans="4:18" x14ac:dyDescent="0.2">
      <c r="D729" s="1">
        <v>46035</v>
      </c>
      <c r="E729" s="2">
        <v>0.83333333333333337</v>
      </c>
      <c r="F729" t="s">
        <v>29</v>
      </c>
      <c r="G729">
        <f>VLOOKUP(Table4[[#This Row],[Home]],'NHL Model'!$A$6:$B$38,2,FALSE)</f>
        <v>-0.82056481120798741</v>
      </c>
      <c r="H729" t="s">
        <v>17</v>
      </c>
      <c r="I729">
        <f>VLOOKUP(Table4[[#This Row],[Visitor]],'NHL Model'!$A$6:$B$38,2,FALSE)</f>
        <v>-0.36462594951491906</v>
      </c>
      <c r="J729">
        <f>($B$1+Table4[[#This Row],[Home Differential]])-Table4[[#This Row],[Away Differential]]</f>
        <v>-0.32633187588154428</v>
      </c>
      <c r="K729" t="str">
        <f>IF(Table4[[#This Row],[HomeIce Differential]]&gt;0,Table4[[#This Row],[Home]],Table4[[#This Row],[Visitor]])</f>
        <v>Edmonton Oilers</v>
      </c>
      <c r="L7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0.4966450680046397</v>
      </c>
      <c r="M729" t="str">
        <f>IF(OR((NHL2025_26Results[[#This Row],[Winning Team]]="")),"-",IF(Table4[[#This Row],[Predicted Winner]]=NHL2025_26Results[[#This Row],[Winning Team]],"YES","NO"))</f>
        <v>NO</v>
      </c>
      <c r="N729">
        <f>IF(Table4[[#This Row],[Adjusted Correct]]="-", "",IF(Table4[[#This Row],[Adjusted Correct]]="YES",(Table4[[#This Row],[Strength of Win]]-1)^2,(Table4[[#This Row],[Strength of Win]]-0)^2))</f>
        <v>0.2466563235733332</v>
      </c>
      <c r="O729">
        <v>-0.41702182286404366</v>
      </c>
      <c r="P729" s="11">
        <v>0.50035654363630544</v>
      </c>
      <c r="Q729" t="s">
        <v>17</v>
      </c>
      <c r="R729" t="s">
        <v>249</v>
      </c>
    </row>
    <row r="730" spans="4:18" x14ac:dyDescent="0.2">
      <c r="D730" s="1">
        <v>46035</v>
      </c>
      <c r="E730" s="2">
        <v>0.79166666666666663</v>
      </c>
      <c r="F730" t="s">
        <v>36</v>
      </c>
      <c r="G730">
        <f>VLOOKUP(Table4[[#This Row],[Home]],'NHL Model'!$A$6:$B$38,2,FALSE)</f>
        <v>-0.19010748264223354</v>
      </c>
      <c r="H730" t="s">
        <v>38</v>
      </c>
      <c r="I730">
        <f>VLOOKUP(Table4[[#This Row],[Visitor]],'NHL Model'!$A$6:$B$38,2,FALSE)</f>
        <v>-1.3920033028857945</v>
      </c>
      <c r="J730">
        <f>($B$1+Table4[[#This Row],[Home Differential]])-Table4[[#This Row],[Away Differential]]</f>
        <v>1.3315028060550851</v>
      </c>
      <c r="K730" t="str">
        <f>IF(Table4[[#This Row],[HomeIce Differential]]&gt;0,Table4[[#This Row],[Home]],Table4[[#This Row],[Visitor]])</f>
        <v>Ottawa Senators</v>
      </c>
      <c r="L7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0.68951959793829221</v>
      </c>
      <c r="M730" t="str">
        <f>IF(OR((NHL2025_26Results[[#This Row],[Winning Team]]="")),"-",IF(Table4[[#This Row],[Predicted Winner]]=NHL2025_26Results[[#This Row],[Winning Team]],"YES","NO"))</f>
        <v>YES</v>
      </c>
      <c r="N730">
        <f>IF(Table4[[#This Row],[Adjusted Correct]]="-", "",IF(Table4[[#This Row],[Adjusted Correct]]="YES",(Table4[[#This Row],[Strength of Win]]-1)^2,(Table4[[#This Row],[Strength of Win]]-0)^2))</f>
        <v>9.6398080064399719E-2</v>
      </c>
      <c r="O730">
        <v>0.80995505016960889</v>
      </c>
      <c r="P730" s="11">
        <v>0.61594139144407811</v>
      </c>
      <c r="Q730" t="s">
        <v>36</v>
      </c>
      <c r="R730" t="s">
        <v>248</v>
      </c>
    </row>
    <row r="731" spans="4:18" x14ac:dyDescent="0.2">
      <c r="D731" s="1">
        <v>46035</v>
      </c>
      <c r="E731" s="2">
        <v>0.79166666666666663</v>
      </c>
      <c r="F731" t="s">
        <v>14</v>
      </c>
      <c r="G731">
        <f>VLOOKUP(Table4[[#This Row],[Home]],'NHL Model'!$A$6:$B$38,2,FALSE)</f>
        <v>3.6349513460996066E-5</v>
      </c>
      <c r="H731" t="s">
        <v>37</v>
      </c>
      <c r="I731">
        <f>VLOOKUP(Table4[[#This Row],[Visitor]],'NHL Model'!$A$6:$B$38,2,FALSE)</f>
        <v>0.72108184732572844</v>
      </c>
      <c r="J731">
        <f>($B$1+Table4[[#This Row],[Home Differential]])-Table4[[#This Row],[Away Differential]]</f>
        <v>-0.59143851200074338</v>
      </c>
      <c r="K731" t="str">
        <f>IF(Table4[[#This Row],[HomeIce Differential]]&gt;0,Table4[[#This Row],[Home]],Table4[[#This Row],[Visitor]])</f>
        <v>Tampa Bay Lightning</v>
      </c>
      <c r="L7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0.62327306484174416</v>
      </c>
      <c r="M731" t="str">
        <f>IF(OR((NHL2025_26Results[[#This Row],[Winning Team]]="")),"-",IF(Table4[[#This Row],[Predicted Winner]]=NHL2025_26Results[[#This Row],[Winning Team]],"YES","NO"))</f>
        <v>YES</v>
      </c>
      <c r="N731">
        <f>IF(Table4[[#This Row],[Adjusted Correct]]="-", "",IF(Table4[[#This Row],[Adjusted Correct]]="YES",(Table4[[#This Row],[Strength of Win]]-1)^2,(Table4[[#This Row],[Strength of Win]]-0)^2))</f>
        <v>0.14192318367373269</v>
      </c>
      <c r="O731">
        <v>-0.85462809516494664</v>
      </c>
      <c r="P731" s="11">
        <v>0.64398899443819524</v>
      </c>
      <c r="Q731" t="s">
        <v>37</v>
      </c>
      <c r="R731" t="s">
        <v>248</v>
      </c>
    </row>
    <row r="732" spans="4:18" x14ac:dyDescent="0.2">
      <c r="D732" s="1">
        <v>46035</v>
      </c>
      <c r="E732" s="2">
        <v>0.8125</v>
      </c>
      <c r="F732" t="s">
        <v>35</v>
      </c>
      <c r="G732">
        <f>VLOOKUP(Table4[[#This Row],[Home]],'NHL Model'!$A$6:$B$38,2,FALSE)</f>
        <v>-1.3128572733047907</v>
      </c>
      <c r="H732" t="s">
        <v>25</v>
      </c>
      <c r="I732">
        <f>VLOOKUP(Table4[[#This Row],[Visitor]],'NHL Model'!$A$6:$B$38,2,FALSE)</f>
        <v>0.2324942014830165</v>
      </c>
      <c r="J732">
        <f>($B$1+Table4[[#This Row],[Home Differential]])-Table4[[#This Row],[Away Differential]]</f>
        <v>-1.4157444889762831</v>
      </c>
      <c r="K732" t="str">
        <f>IF(Table4[[#This Row],[HomeIce Differential]]&gt;0,Table4[[#This Row],[Home]],Table4[[#This Row],[Visitor]])</f>
        <v>Carolina Hurricanes</v>
      </c>
      <c r="L7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0.67550834782792379</v>
      </c>
      <c r="M732" t="str">
        <f>IF(OR((NHL2025_26Results[[#This Row],[Winning Team]]="")),"-",IF(Table4[[#This Row],[Predicted Winner]]=NHL2025_26Results[[#This Row],[Winning Team]],"YES","NO"))</f>
        <v>NO</v>
      </c>
      <c r="N732">
        <f>IF(Table4[[#This Row],[Adjusted Correct]]="-", "",IF(Table4[[#This Row],[Adjusted Correct]]="YES",(Table4[[#This Row],[Strength of Win]]-1)^2,(Table4[[#This Row],[Strength of Win]]-0)^2))</f>
        <v>0.4563115279852113</v>
      </c>
      <c r="O732">
        <v>-1.4080075974347577</v>
      </c>
      <c r="P732" s="11">
        <v>0.64759559222358254</v>
      </c>
      <c r="Q732" t="s">
        <v>25</v>
      </c>
      <c r="R732" t="s">
        <v>249</v>
      </c>
    </row>
    <row r="733" spans="4:18" x14ac:dyDescent="0.2">
      <c r="D733" s="1">
        <v>46035</v>
      </c>
      <c r="E733" s="2">
        <v>0.91666666666666663</v>
      </c>
      <c r="F733" t="s">
        <v>55</v>
      </c>
      <c r="G733">
        <f>VLOOKUP(Table4[[#This Row],[Home]],'NHL Model'!$A$6:$B$38,2,FALSE)</f>
        <v>8.4094725828611647E-2</v>
      </c>
      <c r="H733" t="s">
        <v>19</v>
      </c>
      <c r="I733">
        <f>VLOOKUP(Table4[[#This Row],[Visitor]],'NHL Model'!$A$6:$B$38,2,FALSE)</f>
        <v>-0.44228056828684137</v>
      </c>
      <c r="J733">
        <f>($B$1+Table4[[#This Row],[Home Differential]])-Table4[[#This Row],[Away Differential]]</f>
        <v>0.65598227992697711</v>
      </c>
      <c r="K733" t="str">
        <f>IF(Table4[[#This Row],[HomeIce Differential]]&gt;0,Table4[[#This Row],[Home]],Table4[[#This Row],[Visitor]])</f>
        <v>Utah Mammoth</v>
      </c>
      <c r="L7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0.64260522277918752</v>
      </c>
      <c r="M733" t="str">
        <f>IF(OR((NHL2025_26Results[[#This Row],[Winning Team]]="")),"-",IF(Table4[[#This Row],[Predicted Winner]]=NHL2025_26Results[[#This Row],[Winning Team]],"YES","NO"))</f>
        <v>YES</v>
      </c>
      <c r="N733">
        <f>IF(Table4[[#This Row],[Adjusted Correct]]="-", "",IF(Table4[[#This Row],[Adjusted Correct]]="YES",(Table4[[#This Row],[Strength of Win]]-1)^2,(Table4[[#This Row],[Strength of Win]]-0)^2))</f>
        <v>0.12773102678471418</v>
      </c>
      <c r="O733">
        <v>0.11320947584245544</v>
      </c>
      <c r="P733" s="11">
        <v>0.55528491708779026</v>
      </c>
      <c r="Q733" t="s">
        <v>55</v>
      </c>
      <c r="R733" t="s">
        <v>248</v>
      </c>
    </row>
    <row r="734" spans="4:18" x14ac:dyDescent="0.2">
      <c r="D734" s="1">
        <v>46035</v>
      </c>
      <c r="E734" s="2">
        <v>0.83333333333333337</v>
      </c>
      <c r="F734" t="s">
        <v>40</v>
      </c>
      <c r="G734">
        <f>VLOOKUP(Table4[[#This Row],[Home]],'NHL Model'!$A$6:$B$38,2,FALSE)</f>
        <v>-0.58845147248022256</v>
      </c>
      <c r="H734" t="s">
        <v>30</v>
      </c>
      <c r="I734">
        <f>VLOOKUP(Table4[[#This Row],[Visitor]],'NHL Model'!$A$6:$B$38,2,FALSE)</f>
        <v>-0.18630462558229716</v>
      </c>
      <c r="J734">
        <f>($B$1+Table4[[#This Row],[Home Differential]])-Table4[[#This Row],[Away Differential]]</f>
        <v>-0.27253986108640132</v>
      </c>
      <c r="K734" t="str">
        <f>IF(Table4[[#This Row],[HomeIce Differential]]&gt;0,Table4[[#This Row],[Home]],Table4[[#This Row],[Visitor]])</f>
        <v>New York Islanders</v>
      </c>
      <c r="L7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0.52749896463088897</v>
      </c>
      <c r="M734" t="str">
        <f>IF(OR((NHL2025_26Results[[#This Row],[Winning Team]]="")),"-",IF(Table4[[#This Row],[Predicted Winner]]=NHL2025_26Results[[#This Row],[Winning Team]],"YES","NO"))</f>
        <v>NO</v>
      </c>
      <c r="N734">
        <f>IF(Table4[[#This Row],[Adjusted Correct]]="-", "",IF(Table4[[#This Row],[Adjusted Correct]]="YES",(Table4[[#This Row],[Strength of Win]]-1)^2,(Table4[[#This Row],[Strength of Win]]-0)^2))</f>
        <v>0.27825515768665987</v>
      </c>
      <c r="O734">
        <v>-0.3683241528307305</v>
      </c>
      <c r="P734" s="11">
        <v>0.52730161552031518</v>
      </c>
      <c r="Q734" t="s">
        <v>30</v>
      </c>
      <c r="R734" t="s">
        <v>249</v>
      </c>
    </row>
    <row r="735" spans="4:18" x14ac:dyDescent="0.2">
      <c r="D735" s="1">
        <v>46035</v>
      </c>
      <c r="E735" s="2">
        <v>0.79166666666666663</v>
      </c>
      <c r="F735" t="s">
        <v>22</v>
      </c>
      <c r="G735">
        <f>VLOOKUP(Table4[[#This Row],[Home]],'NHL Model'!$A$6:$B$38,2,FALSE)</f>
        <v>-0.11977593183651415</v>
      </c>
      <c r="H735" t="s">
        <v>18</v>
      </c>
      <c r="I735">
        <f>VLOOKUP(Table4[[#This Row],[Visitor]],'NHL Model'!$A$6:$B$38,2,FALSE)</f>
        <v>-8.6274676766085606E-2</v>
      </c>
      <c r="J735">
        <f>($B$1+Table4[[#This Row],[Home Differential]])-Table4[[#This Row],[Away Differential]]</f>
        <v>9.610573074109556E-2</v>
      </c>
      <c r="K735" t="str">
        <f>IF(Table4[[#This Row],[HomeIce Differential]]&gt;0,Table4[[#This Row],[Home]],Table4[[#This Row],[Visitor]])</f>
        <v>Washington Capitals</v>
      </c>
      <c r="L7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0.52356222159274568</v>
      </c>
      <c r="M735" t="str">
        <f>IF(OR((NHL2025_26Results[[#This Row],[Winning Team]]="")),"-",IF(Table4[[#This Row],[Predicted Winner]]=NHL2025_26Results[[#This Row],[Winning Team]],"YES","NO"))</f>
        <v>YES</v>
      </c>
      <c r="N735">
        <f>IF(Table4[[#This Row],[Adjusted Correct]]="-", "",IF(Table4[[#This Row],[Adjusted Correct]]="YES",(Table4[[#This Row],[Strength of Win]]-1)^2,(Table4[[#This Row],[Strength of Win]]-0)^2))</f>
        <v>0.22699295669363997</v>
      </c>
      <c r="O735">
        <v>0.36544014570903349</v>
      </c>
      <c r="P735" s="11">
        <v>0.5128987957360307</v>
      </c>
      <c r="Q735" t="s">
        <v>22</v>
      </c>
      <c r="R735" t="s">
        <v>248</v>
      </c>
    </row>
    <row r="736" spans="4:18" x14ac:dyDescent="0.2">
      <c r="D736" s="1">
        <v>46036</v>
      </c>
      <c r="E736" s="2">
        <v>0.8125</v>
      </c>
      <c r="F736" t="s">
        <v>23</v>
      </c>
      <c r="G736">
        <f>VLOOKUP(Table4[[#This Row],[Home]],'NHL Model'!$A$6:$B$38,2,FALSE)</f>
        <v>8.1543966060426461E-3</v>
      </c>
      <c r="H736" t="s">
        <v>27</v>
      </c>
      <c r="I736">
        <f>VLOOKUP(Table4[[#This Row],[Visitor]],'NHL Model'!$A$6:$B$38,2,FALSE)</f>
        <v>-0.55097933929175691</v>
      </c>
      <c r="J736">
        <f>($B$1+Table4[[#This Row],[Home Differential]])-Table4[[#This Row],[Away Differential]]</f>
        <v>0.68874072170932366</v>
      </c>
      <c r="K736" t="str">
        <f>IF(Table4[[#This Row],[HomeIce Differential]]&gt;0,Table4[[#This Row],[Home]],Table4[[#This Row],[Visitor]])</f>
        <v>Buffalo Sabres</v>
      </c>
      <c r="L7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0.64628379485737419</v>
      </c>
      <c r="M736" t="str">
        <f>IF(OR((NHL2025_26Results[[#This Row],[Winning Team]]="")),"-",IF(Table4[[#This Row],[Predicted Winner]]=NHL2025_26Results[[#This Row],[Winning Team]],"YES","NO"))</f>
        <v>YES</v>
      </c>
      <c r="N736">
        <f>IF(Table4[[#This Row],[Adjusted Correct]]="-", "",IF(Table4[[#This Row],[Adjusted Correct]]="YES",(Table4[[#This Row],[Strength of Win]]-1)^2,(Table4[[#This Row],[Strength of Win]]-0)^2))</f>
        <v>0.12511515378050014</v>
      </c>
      <c r="O736">
        <v>0.23223651227145758</v>
      </c>
      <c r="P736" s="11">
        <v>0.58245032898968285</v>
      </c>
      <c r="Q736" t="s">
        <v>23</v>
      </c>
      <c r="R736" t="s">
        <v>248</v>
      </c>
    </row>
    <row r="737" spans="4:18" x14ac:dyDescent="0.2">
      <c r="D737" s="1">
        <v>46036</v>
      </c>
      <c r="E737" s="2">
        <v>0.91666666666666663</v>
      </c>
      <c r="F737" t="s">
        <v>13</v>
      </c>
      <c r="G737">
        <f>VLOOKUP(Table4[[#This Row],[Home]],'NHL Model'!$A$6:$B$38,2,FALSE)</f>
        <v>-0.59069689888466137</v>
      </c>
      <c r="H737" t="s">
        <v>20</v>
      </c>
      <c r="I737">
        <f>VLOOKUP(Table4[[#This Row],[Visitor]],'NHL Model'!$A$6:$B$38,2,FALSE)</f>
        <v>-0.16296463421387539</v>
      </c>
      <c r="J737">
        <f>($B$1+Table4[[#This Row],[Home Differential]])-Table4[[#This Row],[Away Differential]]</f>
        <v>-0.29812527885926188</v>
      </c>
      <c r="K737" t="str">
        <f>IF(Table4[[#This Row],[HomeIce Differential]]&gt;0,Table4[[#This Row],[Home]],Table4[[#This Row],[Visitor]])</f>
        <v>Vegas Golden Knights</v>
      </c>
      <c r="L7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0.50549382358487205</v>
      </c>
      <c r="M737" t="str">
        <f>IF(OR((NHL2025_26Results[[#This Row],[Winning Team]]="")),"-",IF(Table4[[#This Row],[Predicted Winner]]=NHL2025_26Results[[#This Row],[Winning Team]],"YES","NO"))</f>
        <v>YES</v>
      </c>
      <c r="N737">
        <f>IF(Table4[[#This Row],[Adjusted Correct]]="-", "",IF(Table4[[#This Row],[Adjusted Correct]]="YES",(Table4[[#This Row],[Strength of Win]]-1)^2,(Table4[[#This Row],[Strength of Win]]-0)^2))</f>
        <v>0.24453635851270966</v>
      </c>
      <c r="O737">
        <v>-0.11872405584082479</v>
      </c>
      <c r="P737" s="11">
        <v>0.49224629820598437</v>
      </c>
      <c r="Q737" t="s">
        <v>20</v>
      </c>
      <c r="R737" t="s">
        <v>248</v>
      </c>
    </row>
    <row r="738" spans="4:18" x14ac:dyDescent="0.2">
      <c r="D738" s="1">
        <v>46036</v>
      </c>
      <c r="E738" s="2">
        <v>0.79166666666666663</v>
      </c>
      <c r="F738" t="s">
        <v>24</v>
      </c>
      <c r="G738">
        <f>VLOOKUP(Table4[[#This Row],[Home]],'NHL Model'!$A$6:$B$38,2,FALSE)</f>
        <v>-0.74510803532792402</v>
      </c>
      <c r="H738" t="s">
        <v>32</v>
      </c>
      <c r="I738">
        <f>VLOOKUP(Table4[[#This Row],[Visitor]],'NHL Model'!$A$6:$B$38,2,FALSE)</f>
        <v>-0.48236715437805205</v>
      </c>
      <c r="J738">
        <f>($B$1+Table4[[#This Row],[Home Differential]])-Table4[[#This Row],[Away Differential]]</f>
        <v>-0.13313389513834789</v>
      </c>
      <c r="K738" t="str">
        <f>IF(Table4[[#This Row],[HomeIce Differential]]&gt;0,Table4[[#This Row],[Home]],Table4[[#This Row],[Visitor]])</f>
        <v>Seattle Kraken</v>
      </c>
      <c r="L7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0.47495011980637242</v>
      </c>
      <c r="M738" t="str">
        <f>IF(OR((NHL2025_26Results[[#This Row],[Winning Team]]="")),"-",IF(Table4[[#This Row],[Predicted Winner]]=NHL2025_26Results[[#This Row],[Winning Team]],"YES","NO"))</f>
        <v>NO</v>
      </c>
      <c r="N738">
        <f>IF(Table4[[#This Row],[Adjusted Correct]]="-", "",IF(Table4[[#This Row],[Adjusted Correct]]="YES",(Table4[[#This Row],[Strength of Win]]-1)^2,(Table4[[#This Row],[Strength of Win]]-0)^2))</f>
        <v>0.22557761630408751</v>
      </c>
      <c r="O738">
        <v>3.3438403300943831E-2</v>
      </c>
      <c r="P738" s="11">
        <v>0.52246326332764237</v>
      </c>
      <c r="Q738" t="s">
        <v>24</v>
      </c>
      <c r="R738" t="s">
        <v>248</v>
      </c>
    </row>
    <row r="739" spans="4:18" x14ac:dyDescent="0.2">
      <c r="D739" s="1">
        <v>46036</v>
      </c>
      <c r="E739" s="2">
        <v>0.8125</v>
      </c>
      <c r="F739" t="s">
        <v>15</v>
      </c>
      <c r="G739">
        <f>VLOOKUP(Table4[[#This Row],[Home]],'NHL Model'!$A$6:$B$38,2,FALSE)</f>
        <v>-0.73651915476403329</v>
      </c>
      <c r="H739" t="s">
        <v>36</v>
      </c>
      <c r="I739">
        <f>VLOOKUP(Table4[[#This Row],[Visitor]],'NHL Model'!$A$6:$B$38,2,FALSE)</f>
        <v>-0.19010748264223354</v>
      </c>
      <c r="J739">
        <f>($B$1+Table4[[#This Row],[Home Differential]])-Table4[[#This Row],[Away Differential]]</f>
        <v>-0.41680468631027567</v>
      </c>
      <c r="K739" t="str">
        <f>IF(Table4[[#This Row],[HomeIce Differential]]&gt;0,Table4[[#This Row],[Home]],Table4[[#This Row],[Visitor]])</f>
        <v>Ottawa Senators</v>
      </c>
      <c r="L7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0.51882079308499962</v>
      </c>
      <c r="M739" t="str">
        <f>IF(OR((NHL2025_26Results[[#This Row],[Winning Team]]="")),"-",IF(Table4[[#This Row],[Predicted Winner]]=NHL2025_26Results[[#This Row],[Winning Team]],"YES","NO"))</f>
        <v>YES</v>
      </c>
      <c r="N739">
        <f>IF(Table4[[#This Row],[Adjusted Correct]]="-", "",IF(Table4[[#This Row],[Adjusted Correct]]="YES",(Table4[[#This Row],[Strength of Win]]-1)^2,(Table4[[#This Row],[Strength of Win]]-0)^2))</f>
        <v>0.23153342916734876</v>
      </c>
      <c r="O739">
        <v>1.1558257819686585E-2</v>
      </c>
      <c r="P739" s="11">
        <v>0.54111733804500228</v>
      </c>
      <c r="Q739" t="s">
        <v>15</v>
      </c>
      <c r="R739" t="s">
        <v>249</v>
      </c>
    </row>
    <row r="740" spans="4:18" x14ac:dyDescent="0.2">
      <c r="D740" s="1">
        <v>46037</v>
      </c>
      <c r="E740" s="2">
        <v>0.79166666666666663</v>
      </c>
      <c r="F740" t="s">
        <v>21</v>
      </c>
      <c r="G740">
        <f>VLOOKUP(Table4[[#This Row],[Home]],'NHL Model'!$A$6:$B$38,2,FALSE)</f>
        <v>-0.10253061303059285</v>
      </c>
      <c r="H740" t="s">
        <v>32</v>
      </c>
      <c r="I740">
        <f>VLOOKUP(Table4[[#This Row],[Visitor]],'NHL Model'!$A$6:$B$38,2,FALSE)</f>
        <v>-0.48236715437805205</v>
      </c>
      <c r="J740">
        <f>($B$1+Table4[[#This Row],[Home Differential]])-Table4[[#This Row],[Away Differential]]</f>
        <v>0.50944352715898333</v>
      </c>
      <c r="K740" t="str">
        <f>IF(Table4[[#This Row],[HomeIce Differential]]&gt;0,Table4[[#This Row],[Home]],Table4[[#This Row],[Visitor]])</f>
        <v>Boston Bruins</v>
      </c>
      <c r="L7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0.64892335960286507</v>
      </c>
      <c r="M740" t="str">
        <f>IF(OR((NHL2025_26Results[[#This Row],[Winning Team]]="")),"-",IF(Table4[[#This Row],[Predicted Winner]]=NHL2025_26Results[[#This Row],[Winning Team]],"YES","NO"))</f>
        <v>YES</v>
      </c>
      <c r="N740">
        <f>IF(Table4[[#This Row],[Adjusted Correct]]="-", "",IF(Table4[[#This Row],[Adjusted Correct]]="YES",(Table4[[#This Row],[Strength of Win]]-1)^2,(Table4[[#This Row],[Strength of Win]]-0)^2))</f>
        <v>0.12325480743253919</v>
      </c>
      <c r="O740">
        <v>0.52653326727620886</v>
      </c>
      <c r="P740" s="11">
        <v>0.60723678196158626</v>
      </c>
      <c r="Q740" t="s">
        <v>21</v>
      </c>
      <c r="R740" t="s">
        <v>248</v>
      </c>
    </row>
    <row r="741" spans="4:18" x14ac:dyDescent="0.2">
      <c r="D741" s="1">
        <v>46037</v>
      </c>
      <c r="E741" s="2">
        <v>0.79166666666666663</v>
      </c>
      <c r="F741" t="s">
        <v>23</v>
      </c>
      <c r="G741">
        <f>VLOOKUP(Table4[[#This Row],[Home]],'NHL Model'!$A$6:$B$38,2,FALSE)</f>
        <v>8.1543966060426461E-3</v>
      </c>
      <c r="H741" t="s">
        <v>18</v>
      </c>
      <c r="I741">
        <f>VLOOKUP(Table4[[#This Row],[Visitor]],'NHL Model'!$A$6:$B$38,2,FALSE)</f>
        <v>-8.6274676766085606E-2</v>
      </c>
      <c r="J741">
        <f>($B$1+Table4[[#This Row],[Home Differential]])-Table4[[#This Row],[Away Differential]]</f>
        <v>0.22403605918365235</v>
      </c>
      <c r="K741" t="str">
        <f>IF(Table4[[#This Row],[HomeIce Differential]]&gt;0,Table4[[#This Row],[Home]],Table4[[#This Row],[Visitor]])</f>
        <v>Buffalo Sabres</v>
      </c>
      <c r="L7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0.54906860851478512</v>
      </c>
      <c r="M741" t="str">
        <f>IF(OR((NHL2025_26Results[[#This Row],[Winning Team]]="")),"-",IF(Table4[[#This Row],[Predicted Winner]]=NHL2025_26Results[[#This Row],[Winning Team]],"YES","NO"))</f>
        <v>YES</v>
      </c>
      <c r="N741">
        <f>IF(Table4[[#This Row],[Adjusted Correct]]="-", "",IF(Table4[[#This Row],[Adjusted Correct]]="YES",(Table4[[#This Row],[Strength of Win]]-1)^2,(Table4[[#This Row],[Strength of Win]]-0)^2))</f>
        <v>0.20333911982679212</v>
      </c>
      <c r="O741">
        <v>0.20321306282380863</v>
      </c>
      <c r="P741" s="11">
        <v>0.55531458524286337</v>
      </c>
      <c r="Q741" t="s">
        <v>23</v>
      </c>
      <c r="R741" t="s">
        <v>248</v>
      </c>
    </row>
    <row r="742" spans="4:18" x14ac:dyDescent="0.2">
      <c r="D742" s="1">
        <v>46037</v>
      </c>
      <c r="E742" s="2">
        <v>0.79166666666666663</v>
      </c>
      <c r="F742" t="s">
        <v>28</v>
      </c>
      <c r="G742">
        <f>VLOOKUP(Table4[[#This Row],[Home]],'NHL Model'!$A$6:$B$38,2,FALSE)</f>
        <v>-0.28156479873410767</v>
      </c>
      <c r="H742" t="s">
        <v>38</v>
      </c>
      <c r="I742">
        <f>VLOOKUP(Table4[[#This Row],[Visitor]],'NHL Model'!$A$6:$B$38,2,FALSE)</f>
        <v>-1.3920033028857945</v>
      </c>
      <c r="J742">
        <f>($B$1+Table4[[#This Row],[Home Differential]])-Table4[[#This Row],[Away Differential]]</f>
        <v>1.240045489963211</v>
      </c>
      <c r="K742" t="str">
        <f>IF(Table4[[#This Row],[HomeIce Differential]]&gt;0,Table4[[#This Row],[Home]],Table4[[#This Row],[Visitor]])</f>
        <v>Columbus Blue Jackets</v>
      </c>
      <c r="L7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0.68629545418268834</v>
      </c>
      <c r="M742" t="str">
        <f>IF(OR((NHL2025_26Results[[#This Row],[Winning Team]]="")),"-",IF(Table4[[#This Row],[Predicted Winner]]=NHL2025_26Results[[#This Row],[Winning Team]],"YES","NO"))</f>
        <v>YES</v>
      </c>
      <c r="N742">
        <f>IF(Table4[[#This Row],[Adjusted Correct]]="-", "",IF(Table4[[#This Row],[Adjusted Correct]]="YES",(Table4[[#This Row],[Strength of Win]]-1)^2,(Table4[[#This Row],[Strength of Win]]-0)^2))</f>
        <v>9.8410542066445797E-2</v>
      </c>
      <c r="O742">
        <v>0.71844950513796979</v>
      </c>
      <c r="P742" s="11">
        <v>0.6092958676041017</v>
      </c>
      <c r="Q742" t="s">
        <v>28</v>
      </c>
      <c r="R742" t="s">
        <v>248</v>
      </c>
    </row>
    <row r="743" spans="4:18" x14ac:dyDescent="0.2">
      <c r="D743" s="1">
        <v>46037</v>
      </c>
      <c r="E743" s="2">
        <v>0.85416666666666663</v>
      </c>
      <c r="F743" t="s">
        <v>10</v>
      </c>
      <c r="G743">
        <f>VLOOKUP(Table4[[#This Row],[Home]],'NHL Model'!$A$6:$B$38,2,FALSE)</f>
        <v>-0.92658078135875344</v>
      </c>
      <c r="H743" t="s">
        <v>16</v>
      </c>
      <c r="I743">
        <f>VLOOKUP(Table4[[#This Row],[Visitor]],'NHL Model'!$A$6:$B$38,2,FALSE)</f>
        <v>-0.89031221864884547</v>
      </c>
      <c r="J743">
        <f>($B$1+Table4[[#This Row],[Home Differential]])-Table4[[#This Row],[Away Differential]]</f>
        <v>9.3338423101616108E-2</v>
      </c>
      <c r="K743" t="str">
        <f>IF(Table4[[#This Row],[HomeIce Differential]]&gt;0,Table4[[#This Row],[Home]],Table4[[#This Row],[Visitor]])</f>
        <v>Chicago Blackhawks</v>
      </c>
      <c r="L7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0.55048133239440622</v>
      </c>
      <c r="M743" t="str">
        <f>IF(OR((NHL2025_26Results[[#This Row],[Winning Team]]="")),"-",IF(Table4[[#This Row],[Predicted Winner]]=NHL2025_26Results[[#This Row],[Winning Team]],"YES","NO"))</f>
        <v>NO</v>
      </c>
      <c r="N743">
        <f>IF(Table4[[#This Row],[Adjusted Correct]]="-", "",IF(Table4[[#This Row],[Adjusted Correct]]="YES",(Table4[[#This Row],[Strength of Win]]-1)^2,(Table4[[#This Row],[Strength of Win]]-0)^2))</f>
        <v>0.30302969731472074</v>
      </c>
      <c r="O743">
        <v>0.25394038220108173</v>
      </c>
      <c r="P743" s="11">
        <v>0.56449304923797239</v>
      </c>
      <c r="Q743" t="s">
        <v>10</v>
      </c>
      <c r="R743" t="s">
        <v>249</v>
      </c>
    </row>
    <row r="744" spans="4:18" x14ac:dyDescent="0.2">
      <c r="D744" s="1">
        <v>46037</v>
      </c>
      <c r="E744" s="2">
        <v>0.875</v>
      </c>
      <c r="F744" t="s">
        <v>17</v>
      </c>
      <c r="G744">
        <f>VLOOKUP(Table4[[#This Row],[Home]],'NHL Model'!$A$6:$B$38,2,FALSE)</f>
        <v>-0.36462594951491906</v>
      </c>
      <c r="H744" t="s">
        <v>30</v>
      </c>
      <c r="I744">
        <f>VLOOKUP(Table4[[#This Row],[Visitor]],'NHL Model'!$A$6:$B$38,2,FALSE)</f>
        <v>-0.18630462558229716</v>
      </c>
      <c r="J744">
        <f>($B$1+Table4[[#This Row],[Home Differential]])-Table4[[#This Row],[Away Differential]]</f>
        <v>-4.8714338121097794E-2</v>
      </c>
      <c r="K744" t="str">
        <f>IF(Table4[[#This Row],[HomeIce Differential]]&gt;0,Table4[[#This Row],[Home]],Table4[[#This Row],[Visitor]])</f>
        <v>New York Islanders</v>
      </c>
      <c r="L7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0.50236473130452253</v>
      </c>
      <c r="M744" t="str">
        <f>IF(OR((NHL2025_26Results[[#This Row],[Winning Team]]="")),"-",IF(Table4[[#This Row],[Predicted Winner]]=NHL2025_26Results[[#This Row],[Winning Team]],"YES","NO"))</f>
        <v>YES</v>
      </c>
      <c r="N744">
        <f>IF(Table4[[#This Row],[Adjusted Correct]]="-", "",IF(Table4[[#This Row],[Adjusted Correct]]="YES",(Table4[[#This Row],[Strength of Win]]-1)^2,(Table4[[#This Row],[Strength of Win]]-0)^2))</f>
        <v>0.24764086064962007</v>
      </c>
      <c r="O744">
        <v>-0.11556413087186637</v>
      </c>
      <c r="P744" s="11">
        <v>0.48733686387034808</v>
      </c>
      <c r="Q744" t="s">
        <v>30</v>
      </c>
      <c r="R744" t="s">
        <v>248</v>
      </c>
    </row>
    <row r="745" spans="4:18" x14ac:dyDescent="0.2">
      <c r="D745" s="1">
        <v>46037</v>
      </c>
      <c r="E745" s="2">
        <v>0.83333333333333337</v>
      </c>
      <c r="F745" t="s">
        <v>34</v>
      </c>
      <c r="G745">
        <f>VLOOKUP(Table4[[#This Row],[Home]],'NHL Model'!$A$6:$B$38,2,FALSE)</f>
        <v>6.0485283743665949E-2</v>
      </c>
      <c r="H745" t="s">
        <v>40</v>
      </c>
      <c r="I745">
        <f>VLOOKUP(Table4[[#This Row],[Visitor]],'NHL Model'!$A$6:$B$38,2,FALSE)</f>
        <v>-0.58845147248022256</v>
      </c>
      <c r="J745">
        <f>($B$1+Table4[[#This Row],[Home Differential]])-Table4[[#This Row],[Away Differential]]</f>
        <v>0.77854374203541266</v>
      </c>
      <c r="K745" t="str">
        <f>IF(Table4[[#This Row],[HomeIce Differential]]&gt;0,Table4[[#This Row],[Home]],Table4[[#This Row],[Visitor]])</f>
        <v>Minnesota Wild</v>
      </c>
      <c r="L7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0.63937373874130421</v>
      </c>
      <c r="M745" t="str">
        <f>IF(OR((NHL2025_26Results[[#This Row],[Winning Team]]="")),"-",IF(Table4[[#This Row],[Predicted Winner]]=NHL2025_26Results[[#This Row],[Winning Team]],"YES","NO"))</f>
        <v>NO</v>
      </c>
      <c r="N745">
        <f>IF(Table4[[#This Row],[Adjusted Correct]]="-", "",IF(Table4[[#This Row],[Adjusted Correct]]="YES",(Table4[[#This Row],[Strength of Win]]-1)^2,(Table4[[#This Row],[Strength of Win]]-0)^2))</f>
        <v>0.40879877779203355</v>
      </c>
      <c r="O745">
        <v>0.62732595628950993</v>
      </c>
      <c r="P745" s="11">
        <v>0.60127221313785506</v>
      </c>
      <c r="Q745" t="s">
        <v>34</v>
      </c>
      <c r="R745" t="s">
        <v>249</v>
      </c>
    </row>
    <row r="746" spans="4:18" x14ac:dyDescent="0.2">
      <c r="D746" s="1">
        <v>46037</v>
      </c>
      <c r="E746" s="2">
        <v>0.79166666666666663</v>
      </c>
      <c r="F746" t="s">
        <v>14</v>
      </c>
      <c r="G746">
        <f>VLOOKUP(Table4[[#This Row],[Home]],'NHL Model'!$A$6:$B$38,2,FALSE)</f>
        <v>3.6349513460996066E-5</v>
      </c>
      <c r="H746" t="s">
        <v>27</v>
      </c>
      <c r="I746">
        <f>VLOOKUP(Table4[[#This Row],[Visitor]],'NHL Model'!$A$6:$B$38,2,FALSE)</f>
        <v>-0.55097933929175691</v>
      </c>
      <c r="J746">
        <f>($B$1+Table4[[#This Row],[Home Differential]])-Table4[[#This Row],[Away Differential]]</f>
        <v>0.68062267461674197</v>
      </c>
      <c r="K746" t="str">
        <f>IF(Table4[[#This Row],[HomeIce Differential]]&gt;0,Table4[[#This Row],[Home]],Table4[[#This Row],[Visitor]])</f>
        <v>Pittsburgh Penguins</v>
      </c>
      <c r="L7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0.61642975155109825</v>
      </c>
      <c r="M746" t="str">
        <f>IF(OR((NHL2025_26Results[[#This Row],[Winning Team]]="")),"-",IF(Table4[[#This Row],[Predicted Winner]]=NHL2025_26Results[[#This Row],[Winning Team]],"YES","NO"))</f>
        <v>YES</v>
      </c>
      <c r="N746">
        <f>IF(Table4[[#This Row],[Adjusted Correct]]="-", "",IF(Table4[[#This Row],[Adjusted Correct]]="YES",(Table4[[#This Row],[Strength of Win]]-1)^2,(Table4[[#This Row],[Strength of Win]]-0)^2))</f>
        <v>0.14712613549515222</v>
      </c>
      <c r="O746">
        <v>0.22235185295224125</v>
      </c>
      <c r="P746" s="11">
        <v>0.5528427120858983</v>
      </c>
      <c r="Q746" t="s">
        <v>14</v>
      </c>
      <c r="R746" t="s">
        <v>248</v>
      </c>
    </row>
    <row r="747" spans="4:18" x14ac:dyDescent="0.2">
      <c r="D747" s="1">
        <v>46037</v>
      </c>
      <c r="E747" s="2">
        <v>0.875</v>
      </c>
      <c r="F747" t="s">
        <v>55</v>
      </c>
      <c r="G747">
        <f>VLOOKUP(Table4[[#This Row],[Home]],'NHL Model'!$A$6:$B$38,2,FALSE)</f>
        <v>8.4094725828611647E-2</v>
      </c>
      <c r="H747" t="s">
        <v>39</v>
      </c>
      <c r="I747">
        <f>VLOOKUP(Table4[[#This Row],[Visitor]],'NHL Model'!$A$6:$B$38,2,FALSE)</f>
        <v>0.21708030788125537</v>
      </c>
      <c r="J747">
        <f>($B$1+Table4[[#This Row],[Home Differential]])-Table4[[#This Row],[Away Differential]]</f>
        <v>-3.3785962411196357E-3</v>
      </c>
      <c r="K747" t="str">
        <f>IF(Table4[[#This Row],[HomeIce Differential]]&gt;0,Table4[[#This Row],[Home]],Table4[[#This Row],[Visitor]])</f>
        <v>Dallas Stars</v>
      </c>
      <c r="L7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0.48922517642956365</v>
      </c>
      <c r="M747" t="str">
        <f>IF(OR((NHL2025_26Results[[#This Row],[Winning Team]]="")),"-",IF(Table4[[#This Row],[Predicted Winner]]=NHL2025_26Results[[#This Row],[Winning Team]],"YES","NO"))</f>
        <v>NO</v>
      </c>
      <c r="N747">
        <f>IF(Table4[[#This Row],[Adjusted Correct]]="-", "",IF(Table4[[#This Row],[Adjusted Correct]]="YES",(Table4[[#This Row],[Strength of Win]]-1)^2,(Table4[[#This Row],[Strength of Win]]-0)^2))</f>
        <v>0.23934127325253768</v>
      </c>
      <c r="O747">
        <v>-0.11514779253896568</v>
      </c>
      <c r="P747" s="11">
        <v>0.51349857552654044</v>
      </c>
      <c r="Q747" t="s">
        <v>39</v>
      </c>
      <c r="R747" t="s">
        <v>249</v>
      </c>
    </row>
    <row r="748" spans="4:18" x14ac:dyDescent="0.2">
      <c r="D748" s="1">
        <v>46037</v>
      </c>
      <c r="E748" s="2">
        <v>0.89583333333333337</v>
      </c>
      <c r="F748" t="s">
        <v>20</v>
      </c>
      <c r="G748">
        <f>VLOOKUP(Table4[[#This Row],[Home]],'NHL Model'!$A$6:$B$38,2,FALSE)</f>
        <v>-0.16296463421387539</v>
      </c>
      <c r="H748" t="s">
        <v>19</v>
      </c>
      <c r="I748">
        <f>VLOOKUP(Table4[[#This Row],[Visitor]],'NHL Model'!$A$6:$B$38,2,FALSE)</f>
        <v>-0.44228056828684137</v>
      </c>
      <c r="J748">
        <f>($B$1+Table4[[#This Row],[Home Differential]])-Table4[[#This Row],[Away Differential]]</f>
        <v>0.40892291988449009</v>
      </c>
      <c r="K748" t="str">
        <f>IF(Table4[[#This Row],[HomeIce Differential]]&gt;0,Table4[[#This Row],[Home]],Table4[[#This Row],[Visitor]])</f>
        <v>Vegas Golden Knights</v>
      </c>
      <c r="L7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0.5859195356486181</v>
      </c>
      <c r="M748" t="str">
        <f>IF(OR((NHL2025_26Results[[#This Row],[Winning Team]]="")),"-",IF(Table4[[#This Row],[Predicted Winner]]=NHL2025_26Results[[#This Row],[Winning Team]],"YES","NO"))</f>
        <v>YES</v>
      </c>
      <c r="N748">
        <f>IF(Table4[[#This Row],[Adjusted Correct]]="-", "",IF(Table4[[#This Row],[Adjusted Correct]]="YES",(Table4[[#This Row],[Strength of Win]]-1)^2,(Table4[[#This Row],[Strength of Win]]-0)^2))</f>
        <v>0.17146263095745606</v>
      </c>
      <c r="O748">
        <v>0.2328497352810196</v>
      </c>
      <c r="P748" s="11">
        <v>0.56245881486769911</v>
      </c>
      <c r="Q748" t="s">
        <v>20</v>
      </c>
      <c r="R748" t="s">
        <v>248</v>
      </c>
    </row>
    <row r="749" spans="4:18" x14ac:dyDescent="0.2">
      <c r="D749" s="1">
        <v>46037</v>
      </c>
      <c r="E749" s="2">
        <v>0.79166666666666663</v>
      </c>
      <c r="F749" t="s">
        <v>22</v>
      </c>
      <c r="G749">
        <f>VLOOKUP(Table4[[#This Row],[Home]],'NHL Model'!$A$6:$B$38,2,FALSE)</f>
        <v>-0.11977593183651415</v>
      </c>
      <c r="H749" t="s">
        <v>33</v>
      </c>
      <c r="I749">
        <f>VLOOKUP(Table4[[#This Row],[Visitor]],'NHL Model'!$A$6:$B$38,2,FALSE)</f>
        <v>-0.65236582493376272</v>
      </c>
      <c r="J749">
        <f>($B$1+Table4[[#This Row],[Home Differential]])-Table4[[#This Row],[Away Differential]]</f>
        <v>0.66219687890877266</v>
      </c>
      <c r="K749" t="str">
        <f>IF(Table4[[#This Row],[HomeIce Differential]]&gt;0,Table4[[#This Row],[Home]],Table4[[#This Row],[Visitor]])</f>
        <v>Washington Capitals</v>
      </c>
      <c r="L7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0.63232716972205383</v>
      </c>
      <c r="M749" t="str">
        <f>IF(OR((NHL2025_26Results[[#This Row],[Winning Team]]="")),"-",IF(Table4[[#This Row],[Predicted Winner]]=NHL2025_26Results[[#This Row],[Winning Team]],"YES","NO"))</f>
        <v>NO</v>
      </c>
      <c r="N749">
        <f>IF(Table4[[#This Row],[Adjusted Correct]]="-", "",IF(Table4[[#This Row],[Adjusted Correct]]="YES",(Table4[[#This Row],[Strength of Win]]-1)^2,(Table4[[#This Row],[Strength of Win]]-0)^2))</f>
        <v>0.39983764956870305</v>
      </c>
      <c r="O749">
        <v>0.84030009514520687</v>
      </c>
      <c r="P749" s="11">
        <v>0.60935048342237752</v>
      </c>
      <c r="Q749" t="s">
        <v>22</v>
      </c>
      <c r="R749" t="s">
        <v>249</v>
      </c>
    </row>
    <row r="750" spans="4:18" x14ac:dyDescent="0.2">
      <c r="D750" s="1">
        <v>46038</v>
      </c>
      <c r="E750" s="2">
        <v>0.79166666666666663</v>
      </c>
      <c r="F750" t="s">
        <v>25</v>
      </c>
      <c r="G750">
        <f>VLOOKUP(Table4[[#This Row],[Home]],'NHL Model'!$A$6:$B$38,2,FALSE)</f>
        <v>0.2324942014830165</v>
      </c>
      <c r="H750" t="s">
        <v>11</v>
      </c>
      <c r="I750">
        <f>VLOOKUP(Table4[[#This Row],[Visitor]],'NHL Model'!$A$6:$B$38,2,FALSE)</f>
        <v>-0.55695213126481558</v>
      </c>
      <c r="J750">
        <f>($B$1+Table4[[#This Row],[Home Differential]])-Table4[[#This Row],[Away Differential]]</f>
        <v>0.91905331855935612</v>
      </c>
      <c r="K750" t="str">
        <f>IF(Table4[[#This Row],[HomeIce Differential]]&gt;0,Table4[[#This Row],[Home]],Table4[[#This Row],[Visitor]])</f>
        <v>Carolina Hurricanes</v>
      </c>
      <c r="L7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0.6603469075210755</v>
      </c>
      <c r="M750" t="str">
        <f>IF(OR((NHL2025_26Results[[#This Row],[Winning Team]]="")),"-",IF(Table4[[#This Row],[Predicted Winner]]=NHL2025_26Results[[#This Row],[Winning Team]],"YES","NO"))</f>
        <v>YES</v>
      </c>
      <c r="N750">
        <f>IF(Table4[[#This Row],[Adjusted Correct]]="-", "",IF(Table4[[#This Row],[Adjusted Correct]]="YES",(Table4[[#This Row],[Strength of Win]]-1)^2,(Table4[[#This Row],[Strength of Win]]-0)^2))</f>
        <v>0.11536422323049685</v>
      </c>
      <c r="O750">
        <v>0.55328189122811589</v>
      </c>
      <c r="P750" s="11">
        <v>0.6022374824639154</v>
      </c>
      <c r="Q750" t="s">
        <v>25</v>
      </c>
      <c r="R750" t="s">
        <v>248</v>
      </c>
    </row>
    <row r="751" spans="4:18" x14ac:dyDescent="0.2">
      <c r="D751" s="1">
        <v>46038</v>
      </c>
      <c r="E751" s="2">
        <v>0.875</v>
      </c>
      <c r="F751" t="s">
        <v>12</v>
      </c>
      <c r="G751">
        <f>VLOOKUP(Table4[[#This Row],[Home]],'NHL Model'!$A$6:$B$38,2,FALSE)</f>
        <v>0.99866683349964291</v>
      </c>
      <c r="H751" t="s">
        <v>29</v>
      </c>
      <c r="I751">
        <f>VLOOKUP(Table4[[#This Row],[Visitor]],'NHL Model'!$A$6:$B$38,2,FALSE)</f>
        <v>-0.82056481120798741</v>
      </c>
      <c r="J751">
        <f>($B$1+Table4[[#This Row],[Home Differential]])-Table4[[#This Row],[Away Differential]]</f>
        <v>1.9488386305191545</v>
      </c>
      <c r="K751" t="str">
        <f>IF(Table4[[#This Row],[HomeIce Differential]]&gt;0,Table4[[#This Row],[Home]],Table4[[#This Row],[Visitor]])</f>
        <v>Colorado Avalanche</v>
      </c>
      <c r="L7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0.83867733515039333</v>
      </c>
      <c r="M751" t="str">
        <f>IF(OR((NHL2025_26Results[[#This Row],[Winning Team]]="")),"-",IF(Table4[[#This Row],[Predicted Winner]]=NHL2025_26Results[[#This Row],[Winning Team]],"YES","NO"))</f>
        <v>NO</v>
      </c>
      <c r="N751">
        <f>IF(Table4[[#This Row],[Adjusted Correct]]="-", "",IF(Table4[[#This Row],[Adjusted Correct]]="YES",(Table4[[#This Row],[Strength of Win]]-1)^2,(Table4[[#This Row],[Strength of Win]]-0)^2))</f>
        <v>0.70337967249496514</v>
      </c>
      <c r="O751">
        <v>2.3322918946726583</v>
      </c>
      <c r="P751" s="11">
        <v>0.87799951135558396</v>
      </c>
      <c r="Q751" t="s">
        <v>12</v>
      </c>
      <c r="R751" t="s">
        <v>249</v>
      </c>
    </row>
    <row r="752" spans="4:18" x14ac:dyDescent="0.2">
      <c r="D752" s="1">
        <v>46038</v>
      </c>
      <c r="E752" s="2">
        <v>0.79166666666666663</v>
      </c>
      <c r="F752" t="s">
        <v>26</v>
      </c>
      <c r="G752">
        <f>VLOOKUP(Table4[[#This Row],[Home]],'NHL Model'!$A$6:$B$38,2,FALSE)</f>
        <v>-0.33113778518110382</v>
      </c>
      <c r="H752" t="s">
        <v>33</v>
      </c>
      <c r="I752">
        <f>VLOOKUP(Table4[[#This Row],[Visitor]],'NHL Model'!$A$6:$B$38,2,FALSE)</f>
        <v>-0.65236582493376272</v>
      </c>
      <c r="J752">
        <f>($B$1+Table4[[#This Row],[Home Differential]])-Table4[[#This Row],[Away Differential]]</f>
        <v>0.45083502556418298</v>
      </c>
      <c r="K752" t="str">
        <f>IF(Table4[[#This Row],[HomeIce Differential]]&gt;0,Table4[[#This Row],[Home]],Table4[[#This Row],[Visitor]])</f>
        <v>Detroit Red Wings</v>
      </c>
      <c r="L7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0.61666374388472245</v>
      </c>
      <c r="M752" t="str">
        <f>IF(OR((NHL2025_26Results[[#This Row],[Winning Team]]="")),"-",IF(Table4[[#This Row],[Predicted Winner]]=NHL2025_26Results[[#This Row],[Winning Team]],"YES","NO"))</f>
        <v>YES</v>
      </c>
      <c r="N752">
        <f>IF(Table4[[#This Row],[Adjusted Correct]]="-", "",IF(Table4[[#This Row],[Adjusted Correct]]="YES",(Table4[[#This Row],[Strength of Win]]-1)^2,(Table4[[#This Row],[Strength of Win]]-0)^2))</f>
        <v>0.14694668525247767</v>
      </c>
      <c r="O752">
        <v>0.41348007179325569</v>
      </c>
      <c r="P752" s="11">
        <v>0.58990068958177788</v>
      </c>
      <c r="Q752" t="s">
        <v>26</v>
      </c>
      <c r="R752" t="s">
        <v>248</v>
      </c>
    </row>
    <row r="753" spans="4:18" x14ac:dyDescent="0.2">
      <c r="D753" s="1">
        <v>46038</v>
      </c>
      <c r="E753" s="2">
        <v>0.9375</v>
      </c>
      <c r="F753" t="s">
        <v>13</v>
      </c>
      <c r="G753">
        <f>VLOOKUP(Table4[[#This Row],[Home]],'NHL Model'!$A$6:$B$38,2,FALSE)</f>
        <v>-0.59069689888466137</v>
      </c>
      <c r="H753" t="s">
        <v>31</v>
      </c>
      <c r="I753">
        <f>VLOOKUP(Table4[[#This Row],[Visitor]],'NHL Model'!$A$6:$B$38,2,FALSE)</f>
        <v>-0.46360583111358089</v>
      </c>
      <c r="J753">
        <f>($B$1+Table4[[#This Row],[Home Differential]])-Table4[[#This Row],[Away Differential]]</f>
        <v>2.5159180404435988E-3</v>
      </c>
      <c r="K753" t="str">
        <f>IF(Table4[[#This Row],[HomeIce Differential]]&gt;0,Table4[[#This Row],[Home]],Table4[[#This Row],[Visitor]])</f>
        <v>Los Angeles Kings</v>
      </c>
      <c r="L7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0.54028252216378525</v>
      </c>
      <c r="M753" t="str">
        <f>IF(OR((NHL2025_26Results[[#This Row],[Winning Team]]="")),"-",IF(Table4[[#This Row],[Predicted Winner]]=NHL2025_26Results[[#This Row],[Winning Team]],"YES","NO"))</f>
        <v>NO</v>
      </c>
      <c r="N753">
        <f>IF(Table4[[#This Row],[Adjusted Correct]]="-", "",IF(Table4[[#This Row],[Adjusted Correct]]="YES",(Table4[[#This Row],[Strength of Win]]-1)^2,(Table4[[#This Row],[Strength of Win]]-0)^2))</f>
        <v>0.29190520375566109</v>
      </c>
      <c r="O753">
        <v>0.29260242826826166</v>
      </c>
      <c r="P753" s="11">
        <v>0.56829394694331836</v>
      </c>
      <c r="Q753" t="s">
        <v>13</v>
      </c>
      <c r="R753" t="s">
        <v>249</v>
      </c>
    </row>
    <row r="754" spans="4:18" x14ac:dyDescent="0.2">
      <c r="D754" s="1">
        <v>46038</v>
      </c>
      <c r="E754" s="2">
        <v>0.83333333333333337</v>
      </c>
      <c r="F754" t="s">
        <v>35</v>
      </c>
      <c r="G754">
        <f>VLOOKUP(Table4[[#This Row],[Home]],'NHL Model'!$A$6:$B$38,2,FALSE)</f>
        <v>-1.3128572733047907</v>
      </c>
      <c r="H754" t="s">
        <v>37</v>
      </c>
      <c r="I754">
        <f>VLOOKUP(Table4[[#This Row],[Visitor]],'NHL Model'!$A$6:$B$38,2,FALSE)</f>
        <v>0.72108184732572844</v>
      </c>
      <c r="J754">
        <f>($B$1+Table4[[#This Row],[Home Differential]])-Table4[[#This Row],[Away Differential]]</f>
        <v>-1.9043321348189952</v>
      </c>
      <c r="K754" t="str">
        <f>IF(Table4[[#This Row],[HomeIce Differential]]&gt;0,Table4[[#This Row],[Home]],Table4[[#This Row],[Visitor]])</f>
        <v>Tampa Bay Lightning</v>
      </c>
      <c r="L7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0.77070296564768481</v>
      </c>
      <c r="M754" t="str">
        <f>IF(OR((NHL2025_26Results[[#This Row],[Winning Team]]="")),"-",IF(Table4[[#This Row],[Predicted Winner]]=NHL2025_26Results[[#This Row],[Winning Team]],"YES","NO"))</f>
        <v>NO</v>
      </c>
      <c r="N754">
        <f>IF(Table4[[#This Row],[Adjusted Correct]]="-", "",IF(Table4[[#This Row],[Adjusted Correct]]="YES",(Table4[[#This Row],[Strength of Win]]-1)^2,(Table4[[#This Row],[Strength of Win]]-0)^2))</f>
        <v>0.59398306125813649</v>
      </c>
      <c r="O754">
        <v>-1.8275541753079891</v>
      </c>
      <c r="P754" s="11">
        <v>0.74414329846770499</v>
      </c>
      <c r="Q754" t="s">
        <v>37</v>
      </c>
      <c r="R754" t="s">
        <v>249</v>
      </c>
    </row>
    <row r="755" spans="4:18" x14ac:dyDescent="0.2">
      <c r="D755" s="1">
        <v>46039</v>
      </c>
      <c r="E755" s="2">
        <v>0.91666666666666663</v>
      </c>
      <c r="F755" t="s">
        <v>31</v>
      </c>
      <c r="G755">
        <f>VLOOKUP(Table4[[#This Row],[Home]],'NHL Model'!$A$6:$B$38,2,FALSE)</f>
        <v>-0.46360583111358089</v>
      </c>
      <c r="H755" t="s">
        <v>13</v>
      </c>
      <c r="I755">
        <f>VLOOKUP(Table4[[#This Row],[Visitor]],'NHL Model'!$A$6:$B$38,2,FALSE)</f>
        <v>-0.59069689888466137</v>
      </c>
      <c r="J755">
        <f>($B$1+Table4[[#This Row],[Home Differential]])-Table4[[#This Row],[Away Differential]]</f>
        <v>0.25669805358260456</v>
      </c>
      <c r="K755" t="str">
        <f>IF(Table4[[#This Row],[HomeIce Differential]]&gt;0,Table4[[#This Row],[Home]],Table4[[#This Row],[Visitor]])</f>
        <v>Anaheim Ducks</v>
      </c>
      <c r="L7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0.60025418830949107</v>
      </c>
      <c r="M755" t="str">
        <f>IF(OR((NHL2025_26Results[[#This Row],[Winning Team]]="")),"-",IF(Table4[[#This Row],[Predicted Winner]]=NHL2025_26Results[[#This Row],[Winning Team]],"YES","NO"))</f>
        <v>YES</v>
      </c>
      <c r="N755">
        <f>IF(Table4[[#This Row],[Adjusted Correct]]="-", "",IF(Table4[[#This Row],[Adjusted Correct]]="YES",(Table4[[#This Row],[Strength of Win]]-1)^2,(Table4[[#This Row],[Strength of Win]]-0)^2))</f>
        <v>0.15979671396410383</v>
      </c>
      <c r="O755">
        <v>4.605769836706064E-2</v>
      </c>
      <c r="P755" s="11">
        <v>0.53521327506224403</v>
      </c>
      <c r="Q755" t="s">
        <v>31</v>
      </c>
      <c r="R755" t="s">
        <v>248</v>
      </c>
    </row>
    <row r="756" spans="4:18" x14ac:dyDescent="0.2">
      <c r="D756" s="1">
        <v>46039</v>
      </c>
      <c r="E756" s="2">
        <v>0.52083333333333337</v>
      </c>
      <c r="F756" t="s">
        <v>23</v>
      </c>
      <c r="G756">
        <f>VLOOKUP(Table4[[#This Row],[Home]],'NHL Model'!$A$6:$B$38,2,FALSE)</f>
        <v>8.1543966060426461E-3</v>
      </c>
      <c r="H756" t="s">
        <v>34</v>
      </c>
      <c r="I756">
        <f>VLOOKUP(Table4[[#This Row],[Visitor]],'NHL Model'!$A$6:$B$38,2,FALSE)</f>
        <v>6.0485283743665949E-2</v>
      </c>
      <c r="J756">
        <f>($B$1+Table4[[#This Row],[Home Differential]])-Table4[[#This Row],[Away Differential]]</f>
        <v>7.7276098673900798E-2</v>
      </c>
      <c r="K756" t="str">
        <f>IF(Table4[[#This Row],[HomeIce Differential]]&gt;0,Table4[[#This Row],[Home]],Table4[[#This Row],[Visitor]])</f>
        <v>Buffalo Sabres</v>
      </c>
      <c r="L7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0.50867763188437731</v>
      </c>
      <c r="M756" t="str">
        <f>IF(OR((NHL2025_26Results[[#This Row],[Winning Team]]="")),"-",IF(Table4[[#This Row],[Predicted Winner]]=NHL2025_26Results[[#This Row],[Winning Team]],"YES","NO"))</f>
        <v>NO</v>
      </c>
      <c r="N756">
        <f>IF(Table4[[#This Row],[Adjusted Correct]]="-", "",IF(Table4[[#This Row],[Adjusted Correct]]="YES",(Table4[[#This Row],[Strength of Win]]-1)^2,(Table4[[#This Row],[Strength of Win]]-0)^2))</f>
        <v>0.2587529331794981</v>
      </c>
      <c r="O756">
        <v>7.3785796204350773E-2</v>
      </c>
      <c r="P756" s="11">
        <v>0.54779252236736897</v>
      </c>
      <c r="Q756" t="s">
        <v>23</v>
      </c>
      <c r="R756" t="s">
        <v>249</v>
      </c>
    </row>
    <row r="757" spans="4:18" x14ac:dyDescent="0.2">
      <c r="D757" s="1">
        <v>46039</v>
      </c>
      <c r="E757" s="2">
        <v>0.625</v>
      </c>
      <c r="F757" t="s">
        <v>16</v>
      </c>
      <c r="G757">
        <f>VLOOKUP(Table4[[#This Row],[Home]],'NHL Model'!$A$6:$B$38,2,FALSE)</f>
        <v>-0.89031221864884547</v>
      </c>
      <c r="H757" t="s">
        <v>30</v>
      </c>
      <c r="I757">
        <f>VLOOKUP(Table4[[#This Row],[Visitor]],'NHL Model'!$A$6:$B$38,2,FALSE)</f>
        <v>-0.18630462558229716</v>
      </c>
      <c r="J757">
        <f>($B$1+Table4[[#This Row],[Home Differential]])-Table4[[#This Row],[Away Differential]]</f>
        <v>-0.57440060725502429</v>
      </c>
      <c r="K757" t="str">
        <f>IF(Table4[[#This Row],[HomeIce Differential]]&gt;0,Table4[[#This Row],[Home]],Table4[[#This Row],[Visitor]])</f>
        <v>New York Islanders</v>
      </c>
      <c r="L7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0.56139607486996279</v>
      </c>
      <c r="M757" t="str">
        <f>IF(OR((NHL2025_26Results[[#This Row],[Winning Team]]="")),"-",IF(Table4[[#This Row],[Predicted Winner]]=NHL2025_26Results[[#This Row],[Winning Team]],"YES","NO"))</f>
        <v>NO</v>
      </c>
      <c r="N757">
        <f>IF(Table4[[#This Row],[Adjusted Correct]]="-", "",IF(Table4[[#This Row],[Adjusted Correct]]="YES",(Table4[[#This Row],[Strength of Win]]-1)^2,(Table4[[#This Row],[Strength of Win]]-0)^2))</f>
        <v>0.31516555287940085</v>
      </c>
      <c r="O757">
        <v>-0.61790509035672425</v>
      </c>
      <c r="P757" s="11">
        <v>0.53267759220185773</v>
      </c>
      <c r="Q757" t="s">
        <v>30</v>
      </c>
      <c r="R757" t="s">
        <v>249</v>
      </c>
    </row>
    <row r="758" spans="4:18" x14ac:dyDescent="0.2">
      <c r="D758" s="1">
        <v>46039</v>
      </c>
      <c r="E758" s="2">
        <v>0.83333333333333337</v>
      </c>
      <c r="F758" t="s">
        <v>10</v>
      </c>
      <c r="G758">
        <f>VLOOKUP(Table4[[#This Row],[Home]],'NHL Model'!$A$6:$B$38,2,FALSE)</f>
        <v>-0.92658078135875344</v>
      </c>
      <c r="H758" t="s">
        <v>21</v>
      </c>
      <c r="I758">
        <f>VLOOKUP(Table4[[#This Row],[Visitor]],'NHL Model'!$A$6:$B$38,2,FALSE)</f>
        <v>-0.10253061303059285</v>
      </c>
      <c r="J758">
        <f>($B$1+Table4[[#This Row],[Home Differential]])-Table4[[#This Row],[Away Differential]]</f>
        <v>-0.6944431825166365</v>
      </c>
      <c r="K758" t="str">
        <f>IF(Table4[[#This Row],[HomeIce Differential]]&gt;0,Table4[[#This Row],[Home]],Table4[[#This Row],[Visitor]])</f>
        <v>Boston Bruins</v>
      </c>
      <c r="L7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0.53798170981592353</v>
      </c>
      <c r="M758" t="str">
        <f>IF(OR((NHL2025_26Results[[#This Row],[Winning Team]]="")),"-",IF(Table4[[#This Row],[Predicted Winner]]=NHL2025_26Results[[#This Row],[Winning Team]],"YES","NO"))</f>
        <v>YES</v>
      </c>
      <c r="N758">
        <f>IF(Table4[[#This Row],[Adjusted Correct]]="-", "",IF(Table4[[#This Row],[Adjusted Correct]]="YES",(Table4[[#This Row],[Strength of Win]]-1)^2,(Table4[[#This Row],[Strength of Win]]-0)^2))</f>
        <v>0.21346090046461749</v>
      </c>
      <c r="O758">
        <v>-0.54367342814702191</v>
      </c>
      <c r="P758" s="11">
        <v>0.5087488342823866</v>
      </c>
      <c r="Q758" t="s">
        <v>21</v>
      </c>
      <c r="R758" t="s">
        <v>248</v>
      </c>
    </row>
    <row r="759" spans="4:18" x14ac:dyDescent="0.2">
      <c r="D759" s="1">
        <v>46039</v>
      </c>
      <c r="E759" s="2">
        <v>0.79166666666666663</v>
      </c>
      <c r="F759" t="s">
        <v>24</v>
      </c>
      <c r="G759">
        <f>VLOOKUP(Table4[[#This Row],[Home]],'NHL Model'!$A$6:$B$38,2,FALSE)</f>
        <v>-0.74510803532792402</v>
      </c>
      <c r="H759" t="s">
        <v>25</v>
      </c>
      <c r="I759">
        <f>VLOOKUP(Table4[[#This Row],[Visitor]],'NHL Model'!$A$6:$B$38,2,FALSE)</f>
        <v>0.2324942014830165</v>
      </c>
      <c r="J759">
        <f>($B$1+Table4[[#This Row],[Home Differential]])-Table4[[#This Row],[Away Differential]]</f>
        <v>-0.84799525099941642</v>
      </c>
      <c r="K759" t="str">
        <f>IF(Table4[[#This Row],[HomeIce Differential]]&gt;0,Table4[[#This Row],[Home]],Table4[[#This Row],[Visitor]])</f>
        <v>Carolina Hurricanes</v>
      </c>
      <c r="L7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0.61175359086756864</v>
      </c>
      <c r="M759" t="str">
        <f>IF(OR((NHL2025_26Results[[#This Row],[Winning Team]]="")),"-",IF(Table4[[#This Row],[Predicted Winner]]=NHL2025_26Results[[#This Row],[Winning Team]],"YES","NO"))</f>
        <v>YES</v>
      </c>
      <c r="N759">
        <f>IF(Table4[[#This Row],[Adjusted Correct]]="-", "",IF(Table4[[#This Row],[Adjusted Correct]]="YES",(Table4[[#This Row],[Strength of Win]]-1)^2,(Table4[[#This Row],[Strength of Win]]-0)^2))</f>
        <v>0.15073527420422728</v>
      </c>
      <c r="O759">
        <v>-0.62267411496365654</v>
      </c>
      <c r="P759" s="11">
        <v>0.55583248264634044</v>
      </c>
      <c r="Q759" t="s">
        <v>25</v>
      </c>
      <c r="R759" t="s">
        <v>248</v>
      </c>
    </row>
    <row r="760" spans="4:18" x14ac:dyDescent="0.2">
      <c r="D760" s="1">
        <v>46039</v>
      </c>
      <c r="E760" s="2">
        <v>0.79166666666666663</v>
      </c>
      <c r="F760" t="s">
        <v>36</v>
      </c>
      <c r="G760">
        <f>VLOOKUP(Table4[[#This Row],[Home]],'NHL Model'!$A$6:$B$38,2,FALSE)</f>
        <v>-0.19010748264223354</v>
      </c>
      <c r="H760" t="s">
        <v>18</v>
      </c>
      <c r="I760">
        <f>VLOOKUP(Table4[[#This Row],[Visitor]],'NHL Model'!$A$6:$B$38,2,FALSE)</f>
        <v>-8.6274676766085606E-2</v>
      </c>
      <c r="J760">
        <f>($B$1+Table4[[#This Row],[Home Differential]])-Table4[[#This Row],[Away Differential]]</f>
        <v>2.5774179935376174E-2</v>
      </c>
      <c r="K760" t="str">
        <f>IF(Table4[[#This Row],[HomeIce Differential]]&gt;0,Table4[[#This Row],[Home]],Table4[[#This Row],[Visitor]])</f>
        <v>Ottawa Senators</v>
      </c>
      <c r="L7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0.49752473082836546</v>
      </c>
      <c r="M760" t="str">
        <f>IF(OR((NHL2025_26Results[[#This Row],[Winning Team]]="")),"-",IF(Table4[[#This Row],[Predicted Winner]]=NHL2025_26Results[[#This Row],[Winning Team]],"YES","NO"))</f>
        <v>NO</v>
      </c>
      <c r="N760">
        <f>IF(Table4[[#This Row],[Adjusted Correct]]="-", "",IF(Table4[[#This Row],[Adjusted Correct]]="YES",(Table4[[#This Row],[Strength of Win]]-1)^2,(Table4[[#This Row],[Strength of Win]]-0)^2))</f>
        <v>0.2475308577858375</v>
      </c>
      <c r="O760">
        <v>3.5837573517154275E-2</v>
      </c>
      <c r="P760" s="11">
        <v>0.5024429834942914</v>
      </c>
      <c r="Q760" t="s">
        <v>36</v>
      </c>
      <c r="R760" t="s">
        <v>249</v>
      </c>
    </row>
    <row r="761" spans="4:18" x14ac:dyDescent="0.2">
      <c r="D761" s="1">
        <v>46039</v>
      </c>
      <c r="E761" s="2">
        <v>0.54166666666666663</v>
      </c>
      <c r="F761" t="s">
        <v>27</v>
      </c>
      <c r="G761">
        <f>VLOOKUP(Table4[[#This Row],[Home]],'NHL Model'!$A$6:$B$38,2,FALSE)</f>
        <v>-0.55097933929175691</v>
      </c>
      <c r="H761" t="s">
        <v>15</v>
      </c>
      <c r="I761">
        <f>VLOOKUP(Table4[[#This Row],[Visitor]],'NHL Model'!$A$6:$B$38,2,FALSE)</f>
        <v>-0.73651915476403329</v>
      </c>
      <c r="J761">
        <f>($B$1+Table4[[#This Row],[Home Differential]])-Table4[[#This Row],[Away Differential]]</f>
        <v>0.31514680128380046</v>
      </c>
      <c r="K761" t="str">
        <f>IF(Table4[[#This Row],[HomeIce Differential]]&gt;0,Table4[[#This Row],[Home]],Table4[[#This Row],[Visitor]])</f>
        <v>Philadelphia Flyers</v>
      </c>
      <c r="L7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0.53947306673673956</v>
      </c>
      <c r="M761" t="str">
        <f>IF(OR((NHL2025_26Results[[#This Row],[Winning Team]]="")),"-",IF(Table4[[#This Row],[Predicted Winner]]=NHL2025_26Results[[#This Row],[Winning Team]],"YES","NO"))</f>
        <v>NO</v>
      </c>
      <c r="N761">
        <f>IF(Table4[[#This Row],[Adjusted Correct]]="-", "",IF(Table4[[#This Row],[Adjusted Correct]]="YES",(Table4[[#This Row],[Strength of Win]]-1)^2,(Table4[[#This Row],[Strength of Win]]-0)^2))</f>
        <v>0.29103118973434267</v>
      </c>
      <c r="O761">
        <v>0.36857647634550472</v>
      </c>
      <c r="P761" s="11">
        <v>0.50042548222496952</v>
      </c>
      <c r="Q761" t="s">
        <v>27</v>
      </c>
      <c r="R761" t="s">
        <v>249</v>
      </c>
    </row>
    <row r="762" spans="4:18" x14ac:dyDescent="0.2">
      <c r="D762" s="1">
        <v>46039</v>
      </c>
      <c r="E762" s="2">
        <v>0.79166666666666663</v>
      </c>
      <c r="F762" t="s">
        <v>14</v>
      </c>
      <c r="G762">
        <f>VLOOKUP(Table4[[#This Row],[Home]],'NHL Model'!$A$6:$B$38,2,FALSE)</f>
        <v>3.6349513460996066E-5</v>
      </c>
      <c r="H762" t="s">
        <v>28</v>
      </c>
      <c r="I762">
        <f>VLOOKUP(Table4[[#This Row],[Visitor]],'NHL Model'!$A$6:$B$38,2,FALSE)</f>
        <v>-0.28156479873410767</v>
      </c>
      <c r="J762">
        <f>($B$1+Table4[[#This Row],[Home Differential]])-Table4[[#This Row],[Away Differential]]</f>
        <v>0.41120813405909273</v>
      </c>
      <c r="K762" t="str">
        <f>IF(Table4[[#This Row],[HomeIce Differential]]&gt;0,Table4[[#This Row],[Home]],Table4[[#This Row],[Visitor]])</f>
        <v>Pittsburgh Penguins</v>
      </c>
      <c r="L7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0.57415996777135969</v>
      </c>
      <c r="M762" t="str">
        <f>IF(OR((NHL2025_26Results[[#This Row],[Winning Team]]="")),"-",IF(Table4[[#This Row],[Predicted Winner]]=NHL2025_26Results[[#This Row],[Winning Team]],"YES","NO"))</f>
        <v>NO</v>
      </c>
      <c r="N762">
        <f>IF(Table4[[#This Row],[Adjusted Correct]]="-", "",IF(Table4[[#This Row],[Adjusted Correct]]="YES",(Table4[[#This Row],[Strength of Win]]-1)^2,(Table4[[#This Row],[Strength of Win]]-0)^2))</f>
        <v>0.32965966859120882</v>
      </c>
      <c r="O762">
        <v>0.45584509082406843</v>
      </c>
      <c r="P762" s="11">
        <v>0.58087364884975146</v>
      </c>
      <c r="Q762" t="s">
        <v>14</v>
      </c>
      <c r="R762" t="s">
        <v>249</v>
      </c>
    </row>
    <row r="763" spans="4:18" x14ac:dyDescent="0.2">
      <c r="D763" s="1">
        <v>46039</v>
      </c>
      <c r="E763" s="2">
        <v>0.70833333333333337</v>
      </c>
      <c r="F763" t="s">
        <v>55</v>
      </c>
      <c r="G763">
        <f>VLOOKUP(Table4[[#This Row],[Home]],'NHL Model'!$A$6:$B$38,2,FALSE)</f>
        <v>8.4094725828611647E-2</v>
      </c>
      <c r="H763" t="s">
        <v>32</v>
      </c>
      <c r="I763">
        <f>VLOOKUP(Table4[[#This Row],[Visitor]],'NHL Model'!$A$6:$B$38,2,FALSE)</f>
        <v>-0.48236715437805205</v>
      </c>
      <c r="J763">
        <f>($B$1+Table4[[#This Row],[Home Differential]])-Table4[[#This Row],[Away Differential]]</f>
        <v>0.69606886601818774</v>
      </c>
      <c r="K763" t="str">
        <f>IF(Table4[[#This Row],[HomeIce Differential]]&gt;0,Table4[[#This Row],[Home]],Table4[[#This Row],[Visitor]])</f>
        <v>Utah Mammoth</v>
      </c>
      <c r="L7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0.64710670051383423</v>
      </c>
      <c r="M763" t="str">
        <f>IF(OR((NHL2025_26Results[[#This Row],[Winning Team]]="")),"-",IF(Table4[[#This Row],[Predicted Winner]]=NHL2025_26Results[[#This Row],[Winning Team]],"YES","NO"))</f>
        <v>YES</v>
      </c>
      <c r="N763">
        <f>IF(Table4[[#This Row],[Adjusted Correct]]="-", "",IF(Table4[[#This Row],[Adjusted Correct]]="YES",(Table4[[#This Row],[Strength of Win]]-1)^2,(Table4[[#This Row],[Strength of Win]]-0)^2))</f>
        <v>0.12453368082223268</v>
      </c>
      <c r="O763">
        <v>0.68429871882904858</v>
      </c>
      <c r="P763" s="11">
        <v>0.62364183016764008</v>
      </c>
      <c r="Q763" t="s">
        <v>55</v>
      </c>
      <c r="R763" t="s">
        <v>248</v>
      </c>
    </row>
    <row r="764" spans="4:18" x14ac:dyDescent="0.2">
      <c r="D764" s="1">
        <v>46039</v>
      </c>
      <c r="E764" s="2">
        <v>0.91666666666666663</v>
      </c>
      <c r="F764" t="s">
        <v>38</v>
      </c>
      <c r="G764">
        <f>VLOOKUP(Table4[[#This Row],[Home]],'NHL Model'!$A$6:$B$38,2,FALSE)</f>
        <v>-1.3920033028857945</v>
      </c>
      <c r="H764" t="s">
        <v>17</v>
      </c>
      <c r="I764">
        <f>VLOOKUP(Table4[[#This Row],[Visitor]],'NHL Model'!$A$6:$B$38,2,FALSE)</f>
        <v>-0.36462594951491906</v>
      </c>
      <c r="J764">
        <f>($B$1+Table4[[#This Row],[Home Differential]])-Table4[[#This Row],[Away Differential]]</f>
        <v>-0.89777036755935136</v>
      </c>
      <c r="K764" t="str">
        <f>IF(Table4[[#This Row],[HomeIce Differential]]&gt;0,Table4[[#This Row],[Home]],Table4[[#This Row],[Visitor]])</f>
        <v>Edmonton Oilers</v>
      </c>
      <c r="L7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0.56081410552643907</v>
      </c>
      <c r="M764" t="str">
        <f>IF(OR((NHL2025_26Results[[#This Row],[Winning Team]]="")),"-",IF(Table4[[#This Row],[Predicted Winner]]=NHL2025_26Results[[#This Row],[Winning Team]],"YES","NO"))</f>
        <v>YES</v>
      </c>
      <c r="N764">
        <f>IF(Table4[[#This Row],[Adjusted Correct]]="-", "",IF(Table4[[#This Row],[Adjusted Correct]]="YES",(Table4[[#This Row],[Strength of Win]]-1)^2,(Table4[[#This Row],[Strength of Win]]-0)^2))</f>
        <v>0.19288424990454181</v>
      </c>
      <c r="O764">
        <v>-0.76633896041391392</v>
      </c>
      <c r="P764" s="11">
        <v>0.5287142851779244</v>
      </c>
      <c r="Q764" t="s">
        <v>17</v>
      </c>
      <c r="R764" t="s">
        <v>248</v>
      </c>
    </row>
    <row r="765" spans="4:18" x14ac:dyDescent="0.2">
      <c r="D765" s="1">
        <v>46039</v>
      </c>
      <c r="E765" s="2">
        <v>0.91666666666666663</v>
      </c>
      <c r="F765" t="s">
        <v>20</v>
      </c>
      <c r="G765">
        <f>VLOOKUP(Table4[[#This Row],[Home]],'NHL Model'!$A$6:$B$38,2,FALSE)</f>
        <v>-0.16296463421387539</v>
      </c>
      <c r="H765" t="s">
        <v>29</v>
      </c>
      <c r="I765">
        <f>VLOOKUP(Table4[[#This Row],[Visitor]],'NHL Model'!$A$6:$B$38,2,FALSE)</f>
        <v>-0.82056481120798741</v>
      </c>
      <c r="J765">
        <f>($B$1+Table4[[#This Row],[Home Differential]])-Table4[[#This Row],[Away Differential]]</f>
        <v>0.78720716280563607</v>
      </c>
      <c r="K765" t="str">
        <f>IF(Table4[[#This Row],[HomeIce Differential]]&gt;0,Table4[[#This Row],[Home]],Table4[[#This Row],[Visitor]])</f>
        <v>Vegas Golden Knights</v>
      </c>
      <c r="L7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0.62839853580599436</v>
      </c>
      <c r="M765" t="str">
        <f>IF(OR((NHL2025_26Results[[#This Row],[Winning Team]]="")),"-",IF(Table4[[#This Row],[Predicted Winner]]=NHL2025_26Results[[#This Row],[Winning Team]],"YES","NO"))</f>
        <v>YES</v>
      </c>
      <c r="N765">
        <f>IF(Table4[[#This Row],[Adjusted Correct]]="-", "",IF(Table4[[#This Row],[Adjusted Correct]]="YES",(Table4[[#This Row],[Strength of Win]]-1)^2,(Table4[[#This Row],[Strength of Win]]-0)^2))</f>
        <v>0.13808764819112884</v>
      </c>
      <c r="O765">
        <v>0.6568615969419076</v>
      </c>
      <c r="P765" s="11">
        <v>0.59889792562590638</v>
      </c>
      <c r="Q765" t="s">
        <v>20</v>
      </c>
      <c r="R765" t="s">
        <v>248</v>
      </c>
    </row>
    <row r="766" spans="4:18" x14ac:dyDescent="0.2">
      <c r="D766" s="1">
        <v>46039</v>
      </c>
      <c r="E766" s="2">
        <v>0.79166666666666663</v>
      </c>
      <c r="F766" t="s">
        <v>40</v>
      </c>
      <c r="G766">
        <f>VLOOKUP(Table4[[#This Row],[Home]],'NHL Model'!$A$6:$B$38,2,FALSE)</f>
        <v>-0.58845147248022256</v>
      </c>
      <c r="H766" t="s">
        <v>19</v>
      </c>
      <c r="I766">
        <f>VLOOKUP(Table4[[#This Row],[Visitor]],'NHL Model'!$A$6:$B$38,2,FALSE)</f>
        <v>-0.44228056828684137</v>
      </c>
      <c r="J766">
        <f>($B$1+Table4[[#This Row],[Home Differential]])-Table4[[#This Row],[Away Differential]]</f>
        <v>-1.6563918381857112E-2</v>
      </c>
      <c r="K766" t="str">
        <f>IF(Table4[[#This Row],[HomeIce Differential]]&gt;0,Table4[[#This Row],[Home]],Table4[[#This Row],[Visitor]])</f>
        <v>Toronto Maple Leafs</v>
      </c>
      <c r="L7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0.46186002643439833</v>
      </c>
      <c r="M766" t="str">
        <f>IF(OR((NHL2025_26Results[[#This Row],[Winning Team]]="")),"-",IF(Table4[[#This Row],[Predicted Winner]]=NHL2025_26Results[[#This Row],[Winning Team]],"YES","NO"))</f>
        <v>YES</v>
      </c>
      <c r="N766">
        <f>IF(Table4[[#This Row],[Adjusted Correct]]="-", "",IF(Table4[[#This Row],[Adjusted Correct]]="YES",(Table4[[#This Row],[Strength of Win]]-1)^2,(Table4[[#This Row],[Strength of Win]]-0)^2))</f>
        <v>0.28959463114918643</v>
      </c>
      <c r="O766">
        <v>4.4207906972503368E-2</v>
      </c>
      <c r="P766" s="11">
        <v>0.54396393095450479</v>
      </c>
      <c r="Q766" t="s">
        <v>40</v>
      </c>
      <c r="R766" t="s">
        <v>249</v>
      </c>
    </row>
    <row r="767" spans="4:18" x14ac:dyDescent="0.2">
      <c r="D767" s="1">
        <v>46039</v>
      </c>
      <c r="E767" s="2">
        <v>0.79166666666666663</v>
      </c>
      <c r="F767" t="s">
        <v>22</v>
      </c>
      <c r="G767">
        <f>VLOOKUP(Table4[[#This Row],[Home]],'NHL Model'!$A$6:$B$38,2,FALSE)</f>
        <v>-0.11977593183651415</v>
      </c>
      <c r="H767" t="s">
        <v>11</v>
      </c>
      <c r="I767">
        <f>VLOOKUP(Table4[[#This Row],[Visitor]],'NHL Model'!$A$6:$B$38,2,FALSE)</f>
        <v>-0.55695213126481558</v>
      </c>
      <c r="J767">
        <f>($B$1+Table4[[#This Row],[Home Differential]])-Table4[[#This Row],[Away Differential]]</f>
        <v>0.56678318523982552</v>
      </c>
      <c r="K767" t="str">
        <f>IF(Table4[[#This Row],[HomeIce Differential]]&gt;0,Table4[[#This Row],[Home]],Table4[[#This Row],[Visitor]])</f>
        <v>Washington Capitals</v>
      </c>
      <c r="L7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0.58249328181545157</v>
      </c>
      <c r="M767" t="str">
        <f>IF(OR((NHL2025_26Results[[#This Row],[Winning Team]]="")),"-",IF(Table4[[#This Row],[Predicted Winner]]=NHL2025_26Results[[#This Row],[Winning Team]],"YES","NO"))</f>
        <v>NO</v>
      </c>
      <c r="N767">
        <f>IF(Table4[[#This Row],[Adjusted Correct]]="-", "",IF(Table4[[#This Row],[Adjusted Correct]]="YES",(Table4[[#This Row],[Strength of Win]]-1)^2,(Table4[[#This Row],[Strength of Win]]-0)^2))</f>
        <v>0.3392984233601351</v>
      </c>
      <c r="O767">
        <v>0.6865232416438013</v>
      </c>
      <c r="P767" s="11">
        <v>0.58078832567042327</v>
      </c>
      <c r="Q767" t="s">
        <v>22</v>
      </c>
      <c r="R767" t="s">
        <v>249</v>
      </c>
    </row>
    <row r="768" spans="4:18" x14ac:dyDescent="0.2">
      <c r="D768" s="1">
        <v>46040</v>
      </c>
      <c r="E768" s="2">
        <v>0.58333333333333337</v>
      </c>
      <c r="F768" t="s">
        <v>39</v>
      </c>
      <c r="G768">
        <f>VLOOKUP(Table4[[#This Row],[Home]],'NHL Model'!$A$6:$B$38,2,FALSE)</f>
        <v>0.21708030788125537</v>
      </c>
      <c r="H768" t="s">
        <v>37</v>
      </c>
      <c r="I768">
        <f>VLOOKUP(Table4[[#This Row],[Visitor]],'NHL Model'!$A$6:$B$38,2,FALSE)</f>
        <v>0.72108184732572844</v>
      </c>
      <c r="J768">
        <f>($B$1+Table4[[#This Row],[Home Differential]])-Table4[[#This Row],[Away Differential]]</f>
        <v>-0.37439455363294893</v>
      </c>
      <c r="K768" t="str">
        <f>IF(Table4[[#This Row],[HomeIce Differential]]&gt;0,Table4[[#This Row],[Home]],Table4[[#This Row],[Visitor]])</f>
        <v>Tampa Bay Lightning</v>
      </c>
      <c r="L7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0.56074797530628773</v>
      </c>
      <c r="M768" t="str">
        <f>IF(OR((NHL2025_26Results[[#This Row],[Winning Team]]="")),"-",IF(Table4[[#This Row],[Predicted Winner]]=NHL2025_26Results[[#This Row],[Winning Team]],"YES","NO"))</f>
        <v>YES</v>
      </c>
      <c r="N768">
        <f>IF(Table4[[#This Row],[Adjusted Correct]]="-", "",IF(Table4[[#This Row],[Adjusted Correct]]="YES",(Table4[[#This Row],[Strength of Win]]-1)^2,(Table4[[#This Row],[Strength of Win]]-0)^2))</f>
        <v>0.19294234119752562</v>
      </c>
      <c r="O768">
        <v>-0.29412868340858278</v>
      </c>
      <c r="P768" s="11">
        <v>0.58703530289398709</v>
      </c>
      <c r="Q768" t="s">
        <v>37</v>
      </c>
      <c r="R768" t="s">
        <v>248</v>
      </c>
    </row>
    <row r="769" spans="4:18" x14ac:dyDescent="0.2">
      <c r="D769" s="1">
        <v>46040</v>
      </c>
      <c r="E769" s="2">
        <v>0.70833333333333337</v>
      </c>
      <c r="F769" t="s">
        <v>26</v>
      </c>
      <c r="G769">
        <f>VLOOKUP(Table4[[#This Row],[Home]],'NHL Model'!$A$6:$B$38,2,FALSE)</f>
        <v>-0.33113778518110382</v>
      </c>
      <c r="H769" t="s">
        <v>36</v>
      </c>
      <c r="I769">
        <f>VLOOKUP(Table4[[#This Row],[Visitor]],'NHL Model'!$A$6:$B$38,2,FALSE)</f>
        <v>-0.19010748264223354</v>
      </c>
      <c r="J769">
        <f>($B$1+Table4[[#This Row],[Home Differential]])-Table4[[#This Row],[Away Differential]]</f>
        <v>-1.1423316727346172E-2</v>
      </c>
      <c r="K769" t="str">
        <f>IF(Table4[[#This Row],[HomeIce Differential]]&gt;0,Table4[[#This Row],[Home]],Table4[[#This Row],[Visitor]])</f>
        <v>Ottawa Senators</v>
      </c>
      <c r="L7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0.44714264101152196</v>
      </c>
      <c r="M769" t="str">
        <f>IF(OR((NHL2025_26Results[[#This Row],[Winning Team]]="")),"-",IF(Table4[[#This Row],[Predicted Winner]]=NHL2025_26Results[[#This Row],[Winning Team]],"YES","NO"))</f>
        <v>NO</v>
      </c>
      <c r="N769">
        <f>IF(Table4[[#This Row],[Adjusted Correct]]="-", "",IF(Table4[[#This Row],[Adjusted Correct]]="YES",(Table4[[#This Row],[Strength of Win]]-1)^2,(Table4[[#This Row],[Strength of Win]]-0)^2))</f>
        <v>0.19993654141075881</v>
      </c>
      <c r="O769">
        <v>0.26616784679399291</v>
      </c>
      <c r="P769" s="11">
        <v>0.61679473114955941</v>
      </c>
      <c r="Q769" t="s">
        <v>26</v>
      </c>
      <c r="R769" t="s">
        <v>248</v>
      </c>
    </row>
    <row r="770" spans="4:18" x14ac:dyDescent="0.2">
      <c r="D770" s="1">
        <v>46040</v>
      </c>
      <c r="E770" s="2">
        <v>0.83333333333333337</v>
      </c>
      <c r="F770" t="s">
        <v>17</v>
      </c>
      <c r="G770">
        <f>VLOOKUP(Table4[[#This Row],[Home]],'NHL Model'!$A$6:$B$38,2,FALSE)</f>
        <v>-0.36462594951491906</v>
      </c>
      <c r="H770" t="s">
        <v>35</v>
      </c>
      <c r="I770">
        <f>VLOOKUP(Table4[[#This Row],[Visitor]],'NHL Model'!$A$6:$B$38,2,FALSE)</f>
        <v>-1.3128572733047907</v>
      </c>
      <c r="J770">
        <f>($B$1+Table4[[#This Row],[Home Differential]])-Table4[[#This Row],[Away Differential]]</f>
        <v>1.0778383096013957</v>
      </c>
      <c r="K770" t="str">
        <f>IF(Table4[[#This Row],[HomeIce Differential]]&gt;0,Table4[[#This Row],[Home]],Table4[[#This Row],[Visitor]])</f>
        <v>Edmonton Oilers</v>
      </c>
      <c r="L7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0.66103463091569481</v>
      </c>
      <c r="M770" t="str">
        <f>IF(OR((NHL2025_26Results[[#This Row],[Winning Team]]="")),"-",IF(Table4[[#This Row],[Predicted Winner]]=NHL2025_26Results[[#This Row],[Winning Team]],"YES","NO"))</f>
        <v>YES</v>
      </c>
      <c r="N770">
        <f>IF(Table4[[#This Row],[Adjusted Correct]]="-", "",IF(Table4[[#This Row],[Adjusted Correct]]="YES",(Table4[[#This Row],[Strength of Win]]-1)^2,(Table4[[#This Row],[Strength of Win]]-0)^2))</f>
        <v>0.11489752143845924</v>
      </c>
      <c r="O770">
        <v>1.0846777967928403</v>
      </c>
      <c r="P770" s="11">
        <v>0.64469553398242641</v>
      </c>
      <c r="Q770" t="s">
        <v>17</v>
      </c>
      <c r="R770" t="s">
        <v>248</v>
      </c>
    </row>
    <row r="771" spans="4:18" x14ac:dyDescent="0.2">
      <c r="D771" s="1">
        <v>46041</v>
      </c>
      <c r="E771" s="2">
        <v>0.91666666666666663</v>
      </c>
      <c r="F771" t="s">
        <v>31</v>
      </c>
      <c r="G771">
        <f>VLOOKUP(Table4[[#This Row],[Home]],'NHL Model'!$A$6:$B$38,2,FALSE)</f>
        <v>-0.46360583111358089</v>
      </c>
      <c r="H771" t="s">
        <v>15</v>
      </c>
      <c r="I771">
        <f>VLOOKUP(Table4[[#This Row],[Visitor]],'NHL Model'!$A$6:$B$38,2,FALSE)</f>
        <v>-0.73651915476403329</v>
      </c>
      <c r="J771">
        <f>($B$1+Table4[[#This Row],[Home Differential]])-Table4[[#This Row],[Away Differential]]</f>
        <v>0.40252030946197648</v>
      </c>
      <c r="K771" t="str">
        <f>IF(Table4[[#This Row],[HomeIce Differential]]&gt;0,Table4[[#This Row],[Home]],Table4[[#This Row],[Visitor]])</f>
        <v>Anaheim Ducks</v>
      </c>
      <c r="L7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0.60172230090098333</v>
      </c>
      <c r="M771" t="str">
        <f>IF(OR((NHL2025_26Results[[#This Row],[Winning Team]]="")),"-",IF(Table4[[#This Row],[Predicted Winner]]=NHL2025_26Results[[#This Row],[Winning Team]],"YES","NO"))</f>
        <v>YES</v>
      </c>
      <c r="N771">
        <f>IF(Table4[[#This Row],[Adjusted Correct]]="-", "",IF(Table4[[#This Row],[Adjusted Correct]]="YES",(Table4[[#This Row],[Strength of Win]]-1)^2,(Table4[[#This Row],[Strength of Win]]-0)^2))</f>
        <v>0.15862512559960687</v>
      </c>
      <c r="O771">
        <v>0.15600931375598995</v>
      </c>
      <c r="P771" s="11">
        <v>0.52232575029758954</v>
      </c>
      <c r="Q771" t="s">
        <v>31</v>
      </c>
      <c r="R771" t="s">
        <v>248</v>
      </c>
    </row>
    <row r="772" spans="4:18" x14ac:dyDescent="0.2">
      <c r="D772" s="1">
        <v>46041</v>
      </c>
      <c r="E772" s="2">
        <v>0.5625</v>
      </c>
      <c r="F772" t="s">
        <v>25</v>
      </c>
      <c r="G772">
        <f>VLOOKUP(Table4[[#This Row],[Home]],'NHL Model'!$A$6:$B$38,2,FALSE)</f>
        <v>0.2324942014830165</v>
      </c>
      <c r="H772" t="s">
        <v>23</v>
      </c>
      <c r="I772">
        <f>VLOOKUP(Table4[[#This Row],[Visitor]],'NHL Model'!$A$6:$B$38,2,FALSE)</f>
        <v>8.1543966060426461E-3</v>
      </c>
      <c r="J772">
        <f>($B$1+Table4[[#This Row],[Home Differential]])-Table4[[#This Row],[Away Differential]]</f>
        <v>0.35394679068849794</v>
      </c>
      <c r="K772" t="str">
        <f>IF(Table4[[#This Row],[HomeIce Differential]]&gt;0,Table4[[#This Row],[Home]],Table4[[#This Row],[Visitor]])</f>
        <v>Carolina Hurricanes</v>
      </c>
      <c r="L7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0.59924871785129474</v>
      </c>
      <c r="M772" t="str">
        <f>IF(OR((NHL2025_26Results[[#This Row],[Winning Team]]="")),"-",IF(Table4[[#This Row],[Predicted Winner]]=NHL2025_26Results[[#This Row],[Winning Team]],"YES","NO"))</f>
        <v>YES</v>
      </c>
      <c r="N772">
        <f>IF(Table4[[#This Row],[Adjusted Correct]]="-", "",IF(Table4[[#This Row],[Adjusted Correct]]="YES",(Table4[[#This Row],[Strength of Win]]-1)^2,(Table4[[#This Row],[Strength of Win]]-0)^2))</f>
        <v>0.16060159014383116</v>
      </c>
      <c r="O772">
        <v>0.51033582732723048</v>
      </c>
      <c r="P772" s="11">
        <v>0.64104344504638999</v>
      </c>
      <c r="Q772" t="s">
        <v>25</v>
      </c>
      <c r="R772" t="s">
        <v>248</v>
      </c>
    </row>
    <row r="773" spans="4:18" x14ac:dyDescent="0.2">
      <c r="D773" s="1">
        <v>46041</v>
      </c>
      <c r="E773" s="2">
        <v>0.875</v>
      </c>
      <c r="F773" t="s">
        <v>16</v>
      </c>
      <c r="G773">
        <f>VLOOKUP(Table4[[#This Row],[Home]],'NHL Model'!$A$6:$B$38,2,FALSE)</f>
        <v>-0.89031221864884547</v>
      </c>
      <c r="H773" t="s">
        <v>24</v>
      </c>
      <c r="I773">
        <f>VLOOKUP(Table4[[#This Row],[Visitor]],'NHL Model'!$A$6:$B$38,2,FALSE)</f>
        <v>-0.74510803532792402</v>
      </c>
      <c r="J773">
        <f>($B$1+Table4[[#This Row],[Home Differential]])-Table4[[#This Row],[Away Differential]]</f>
        <v>-1.5597197509397365E-2</v>
      </c>
      <c r="K773" t="str">
        <f>IF(Table4[[#This Row],[HomeIce Differential]]&gt;0,Table4[[#This Row],[Home]],Table4[[#This Row],[Visitor]])</f>
        <v>New Jersey Devils</v>
      </c>
      <c r="L7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0.48252070037933137</v>
      </c>
      <c r="M773" t="str">
        <f>IF(OR((NHL2025_26Results[[#This Row],[Winning Team]]="")),"-",IF(Table4[[#This Row],[Predicted Winner]]=NHL2025_26Results[[#This Row],[Winning Team]],"YES","NO"))</f>
        <v>YES</v>
      </c>
      <c r="N773">
        <f>IF(Table4[[#This Row],[Adjusted Correct]]="-", "",IF(Table4[[#This Row],[Adjusted Correct]]="YES",(Table4[[#This Row],[Strength of Win]]-1)^2,(Table4[[#This Row],[Strength of Win]]-0)^2))</f>
        <v>0.26778482553589772</v>
      </c>
      <c r="O773">
        <v>1.7272952021299803E-2</v>
      </c>
      <c r="P773" s="11">
        <v>0.53228179454511837</v>
      </c>
      <c r="Q773" t="s">
        <v>16</v>
      </c>
      <c r="R773" t="s">
        <v>249</v>
      </c>
    </row>
    <row r="774" spans="4:18" x14ac:dyDescent="0.2">
      <c r="D774" s="1">
        <v>46041</v>
      </c>
      <c r="E774" s="2">
        <v>0.85416666666666663</v>
      </c>
      <c r="F774" t="s">
        <v>10</v>
      </c>
      <c r="G774">
        <f>VLOOKUP(Table4[[#This Row],[Home]],'NHL Model'!$A$6:$B$38,2,FALSE)</f>
        <v>-0.92658078135875344</v>
      </c>
      <c r="H774" t="s">
        <v>40</v>
      </c>
      <c r="I774">
        <f>VLOOKUP(Table4[[#This Row],[Visitor]],'NHL Model'!$A$6:$B$38,2,FALSE)</f>
        <v>-0.58845147248022256</v>
      </c>
      <c r="J774">
        <f>($B$1+Table4[[#This Row],[Home Differential]])-Table4[[#This Row],[Away Differential]]</f>
        <v>-0.2085223230670068</v>
      </c>
      <c r="K774" t="str">
        <f>IF(Table4[[#This Row],[HomeIce Differential]]&gt;0,Table4[[#This Row],[Home]],Table4[[#This Row],[Visitor]])</f>
        <v>Winnipeg Jets</v>
      </c>
      <c r="L7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0.48341577784466772</v>
      </c>
      <c r="M774" t="str">
        <f>IF(OR((NHL2025_26Results[[#This Row],[Winning Team]]="")),"-",IF(Table4[[#This Row],[Predicted Winner]]=NHL2025_26Results[[#This Row],[Winning Team]],"YES","NO"))</f>
        <v>NO</v>
      </c>
      <c r="N774">
        <f>IF(Table4[[#This Row],[Adjusted Correct]]="-", "",IF(Table4[[#This Row],[Adjusted Correct]]="YES",(Table4[[#This Row],[Strength of Win]]-1)^2,(Table4[[#This Row],[Strength of Win]]-0)^2))</f>
        <v>0.23369081426916513</v>
      </c>
      <c r="O774">
        <v>-0.31508257834163494</v>
      </c>
      <c r="P774" s="11">
        <v>0.49045489889901844</v>
      </c>
      <c r="Q774" t="s">
        <v>40</v>
      </c>
      <c r="R774" t="s">
        <v>249</v>
      </c>
    </row>
    <row r="775" spans="4:18" x14ac:dyDescent="0.2">
      <c r="D775" s="1">
        <v>46041</v>
      </c>
      <c r="E775" s="2">
        <v>0.66666666666666663</v>
      </c>
      <c r="F775" t="s">
        <v>12</v>
      </c>
      <c r="G775">
        <f>VLOOKUP(Table4[[#This Row],[Home]],'NHL Model'!$A$6:$B$38,2,FALSE)</f>
        <v>0.99866683349964291</v>
      </c>
      <c r="H775" t="s">
        <v>22</v>
      </c>
      <c r="I775">
        <f>VLOOKUP(Table4[[#This Row],[Visitor]],'NHL Model'!$A$6:$B$38,2,FALSE)</f>
        <v>-0.11977593183651415</v>
      </c>
      <c r="J775">
        <f>($B$1+Table4[[#This Row],[Home Differential]])-Table4[[#This Row],[Away Differential]]</f>
        <v>1.2480497511476811</v>
      </c>
      <c r="K775" t="str">
        <f>IF(Table4[[#This Row],[HomeIce Differential]]&gt;0,Table4[[#This Row],[Home]],Table4[[#This Row],[Visitor]])</f>
        <v>Colorado Avalanche</v>
      </c>
      <c r="L7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0.75998304250095372</v>
      </c>
      <c r="M775" t="str">
        <f>IF(OR((NHL2025_26Results[[#This Row],[Winning Team]]="")),"-",IF(Table4[[#This Row],[Predicted Winner]]=NHL2025_26Results[[#This Row],[Winning Team]],"YES","NO"))</f>
        <v>YES</v>
      </c>
      <c r="N775">
        <f>IF(Table4[[#This Row],[Adjusted Correct]]="-", "",IF(Table4[[#This Row],[Adjusted Correct]]="YES",(Table4[[#This Row],[Strength of Win]]-1)^2,(Table4[[#This Row],[Strength of Win]]-0)^2))</f>
        <v>5.7608139887098987E-2</v>
      </c>
      <c r="O775">
        <v>1.4696959340473015</v>
      </c>
      <c r="P775" s="11">
        <v>0.78638612013380693</v>
      </c>
      <c r="Q775" t="s">
        <v>12</v>
      </c>
      <c r="R775" t="s">
        <v>248</v>
      </c>
    </row>
    <row r="776" spans="4:18" x14ac:dyDescent="0.2">
      <c r="D776" s="1">
        <v>46041</v>
      </c>
      <c r="E776" s="2">
        <v>0.79166666666666663</v>
      </c>
      <c r="F776" t="s">
        <v>11</v>
      </c>
      <c r="G776">
        <f>VLOOKUP(Table4[[#This Row],[Home]],'NHL Model'!$A$6:$B$38,2,FALSE)</f>
        <v>-0.55695213126481558</v>
      </c>
      <c r="H776" t="s">
        <v>33</v>
      </c>
      <c r="I776">
        <f>VLOOKUP(Table4[[#This Row],[Visitor]],'NHL Model'!$A$6:$B$38,2,FALSE)</f>
        <v>-0.65236582493376272</v>
      </c>
      <c r="J776">
        <f>($B$1+Table4[[#This Row],[Home Differential]])-Table4[[#This Row],[Away Differential]]</f>
        <v>0.22502067948047122</v>
      </c>
      <c r="K776" t="str">
        <f>IF(Table4[[#This Row],[HomeIce Differential]]&gt;0,Table4[[#This Row],[Home]],Table4[[#This Row],[Visitor]])</f>
        <v>Florida Panthers</v>
      </c>
      <c r="L7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0.56526844207215998</v>
      </c>
      <c r="M776" t="str">
        <f>IF(OR((NHL2025_26Results[[#This Row],[Winning Team]]="")),"-",IF(Table4[[#This Row],[Predicted Winner]]=NHL2025_26Results[[#This Row],[Winning Team]],"YES","NO"))</f>
        <v>NO</v>
      </c>
      <c r="N776">
        <f>IF(Table4[[#This Row],[Adjusted Correct]]="-", "",IF(Table4[[#This Row],[Adjusted Correct]]="YES",(Table4[[#This Row],[Strength of Win]]-1)^2,(Table4[[#This Row],[Strength of Win]]-0)^2))</f>
        <v>0.31952841160268691</v>
      </c>
      <c r="O776">
        <v>0.32341357715179564</v>
      </c>
      <c r="P776" s="11">
        <v>0.53985965584905993</v>
      </c>
      <c r="Q776" t="s">
        <v>11</v>
      </c>
      <c r="R776" t="s">
        <v>249</v>
      </c>
    </row>
    <row r="777" spans="4:18" x14ac:dyDescent="0.2">
      <c r="D777" s="1">
        <v>46041</v>
      </c>
      <c r="E777" s="2">
        <v>0.70833333333333337</v>
      </c>
      <c r="F777" t="s">
        <v>32</v>
      </c>
      <c r="G777">
        <f>VLOOKUP(Table4[[#This Row],[Home]],'NHL Model'!$A$6:$B$38,2,FALSE)</f>
        <v>-0.48236715437805205</v>
      </c>
      <c r="H777" t="s">
        <v>14</v>
      </c>
      <c r="I777">
        <f>VLOOKUP(Table4[[#This Row],[Visitor]],'NHL Model'!$A$6:$B$38,2,FALSE)</f>
        <v>3.6349513460996066E-5</v>
      </c>
      <c r="J777">
        <f>($B$1+Table4[[#This Row],[Home Differential]])-Table4[[#This Row],[Away Differential]]</f>
        <v>-0.35279651807998891</v>
      </c>
      <c r="K777" t="str">
        <f>IF(Table4[[#This Row],[HomeIce Differential]]&gt;0,Table4[[#This Row],[Home]],Table4[[#This Row],[Visitor]])</f>
        <v>Pittsburgh Penguins</v>
      </c>
      <c r="L7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0.55375570247522798</v>
      </c>
      <c r="M777" t="str">
        <f>IF(OR((NHL2025_26Results[[#This Row],[Winning Team]]="")),"-",IF(Table4[[#This Row],[Predicted Winner]]=NHL2025_26Results[[#This Row],[Winning Team]],"YES","NO"))</f>
        <v>YES</v>
      </c>
      <c r="N777">
        <f>IF(Table4[[#This Row],[Adjusted Correct]]="-", "",IF(Table4[[#This Row],[Adjusted Correct]]="YES",(Table4[[#This Row],[Strength of Win]]-1)^2,(Table4[[#This Row],[Strength of Win]]-0)^2))</f>
        <v>0.19913397307337724</v>
      </c>
      <c r="O777">
        <v>-0.25853789066106547</v>
      </c>
      <c r="P777" s="11">
        <v>0.51638995721954695</v>
      </c>
      <c r="Q777" t="s">
        <v>14</v>
      </c>
      <c r="R777" t="s">
        <v>248</v>
      </c>
    </row>
    <row r="778" spans="4:18" x14ac:dyDescent="0.2">
      <c r="D778" s="1">
        <v>46041</v>
      </c>
      <c r="E778" s="2">
        <v>0.8125</v>
      </c>
      <c r="F778" t="s">
        <v>19</v>
      </c>
      <c r="G778">
        <f>VLOOKUP(Table4[[#This Row],[Home]],'NHL Model'!$A$6:$B$38,2,FALSE)</f>
        <v>-0.44228056828684137</v>
      </c>
      <c r="H778" t="s">
        <v>34</v>
      </c>
      <c r="I778">
        <f>VLOOKUP(Table4[[#This Row],[Visitor]],'NHL Model'!$A$6:$B$38,2,FALSE)</f>
        <v>6.0485283743665949E-2</v>
      </c>
      <c r="J778">
        <f>($B$1+Table4[[#This Row],[Home Differential]])-Table4[[#This Row],[Away Differential]]</f>
        <v>-0.37315886621898325</v>
      </c>
      <c r="K778" t="str">
        <f>IF(Table4[[#This Row],[HomeIce Differential]]&gt;0,Table4[[#This Row],[Home]],Table4[[#This Row],[Visitor]])</f>
        <v>Minnesota Wild</v>
      </c>
      <c r="L7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0.57116870708444922</v>
      </c>
      <c r="M778" t="str">
        <f>IF(OR((NHL2025_26Results[[#This Row],[Winning Team]]="")),"-",IF(Table4[[#This Row],[Predicted Winner]]=NHL2025_26Results[[#This Row],[Winning Team]],"YES","NO"))</f>
        <v>YES</v>
      </c>
      <c r="N778">
        <f>IF(Table4[[#This Row],[Adjusted Correct]]="-", "",IF(Table4[[#This Row],[Adjusted Correct]]="YES",(Table4[[#This Row],[Strength of Win]]-1)^2,(Table4[[#This Row],[Strength of Win]]-0)^2))</f>
        <v>0.18389627778362291</v>
      </c>
      <c r="O778">
        <v>-6.8310578131052541E-2</v>
      </c>
      <c r="P778" s="11">
        <v>0.50970827740098135</v>
      </c>
      <c r="Q778" t="s">
        <v>34</v>
      </c>
      <c r="R778" t="s">
        <v>248</v>
      </c>
    </row>
    <row r="779" spans="4:18" x14ac:dyDescent="0.2">
      <c r="D779" s="1">
        <v>46041</v>
      </c>
      <c r="E779" s="2">
        <v>0.91666666666666663</v>
      </c>
      <c r="F779" t="s">
        <v>38</v>
      </c>
      <c r="G779">
        <f>VLOOKUP(Table4[[#This Row],[Home]],'NHL Model'!$A$6:$B$38,2,FALSE)</f>
        <v>-1.3920033028857945</v>
      </c>
      <c r="H779" t="s">
        <v>30</v>
      </c>
      <c r="I779">
        <f>VLOOKUP(Table4[[#This Row],[Visitor]],'NHL Model'!$A$6:$B$38,2,FALSE)</f>
        <v>-0.18630462558229716</v>
      </c>
      <c r="J779">
        <f>($B$1+Table4[[#This Row],[Home Differential]])-Table4[[#This Row],[Away Differential]]</f>
        <v>-1.0760916914919734</v>
      </c>
      <c r="K779" t="str">
        <f>IF(Table4[[#This Row],[HomeIce Differential]]&gt;0,Table4[[#This Row],[Home]],Table4[[#This Row],[Visitor]])</f>
        <v>New York Islanders</v>
      </c>
      <c r="L7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0.6177329063533139</v>
      </c>
      <c r="M779" t="str">
        <f>IF(OR((NHL2025_26Results[[#This Row],[Winning Team]]="")),"-",IF(Table4[[#This Row],[Predicted Winner]]=NHL2025_26Results[[#This Row],[Winning Team]],"YES","NO"))</f>
        <v>YES</v>
      </c>
      <c r="N779">
        <f>IF(Table4[[#This Row],[Adjusted Correct]]="-", "",IF(Table4[[#This Row],[Adjusted Correct]]="YES",(Table4[[#This Row],[Strength of Win]]-1)^2,(Table4[[#This Row],[Strength of Win]]-0)^2))</f>
        <v>0.14612813088508428</v>
      </c>
      <c r="O779">
        <v>-1.1177245722900115</v>
      </c>
      <c r="P779" s="11">
        <v>0.59860180735917656</v>
      </c>
      <c r="Q779" t="s">
        <v>30</v>
      </c>
      <c r="R779" t="s">
        <v>248</v>
      </c>
    </row>
    <row r="780" spans="4:18" x14ac:dyDescent="0.2">
      <c r="D780" s="1">
        <v>46041</v>
      </c>
      <c r="E780" s="2">
        <v>0.83333333333333337</v>
      </c>
      <c r="F780" t="s">
        <v>20</v>
      </c>
      <c r="G780">
        <f>VLOOKUP(Table4[[#This Row],[Home]],'NHL Model'!$A$6:$B$38,2,FALSE)</f>
        <v>-0.16296463421387539</v>
      </c>
      <c r="H780" t="s">
        <v>27</v>
      </c>
      <c r="I780">
        <f>VLOOKUP(Table4[[#This Row],[Visitor]],'NHL Model'!$A$6:$B$38,2,FALSE)</f>
        <v>-0.55097933929175691</v>
      </c>
      <c r="J780">
        <f>($B$1+Table4[[#This Row],[Home Differential]])-Table4[[#This Row],[Away Differential]]</f>
        <v>0.51762169088940557</v>
      </c>
      <c r="K780" t="str">
        <f>IF(Table4[[#This Row],[HomeIce Differential]]&gt;0,Table4[[#This Row],[Home]],Table4[[#This Row],[Visitor]])</f>
        <v>Vegas Golden Knights</v>
      </c>
      <c r="L7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0.59812574089514992</v>
      </c>
      <c r="M780" t="str">
        <f>IF(OR((NHL2025_26Results[[#This Row],[Winning Team]]="")),"-",IF(Table4[[#This Row],[Predicted Winner]]=NHL2025_26Results[[#This Row],[Winning Team]],"YES","NO"))</f>
        <v>NO</v>
      </c>
      <c r="N780">
        <f>IF(Table4[[#This Row],[Adjusted Correct]]="-", "",IF(Table4[[#This Row],[Adjusted Correct]]="YES",(Table4[[#This Row],[Strength of Win]]-1)^2,(Table4[[#This Row],[Strength of Win]]-0)^2))</f>
        <v>0.35775440192137203</v>
      </c>
      <c r="O780">
        <v>0.58169956272478196</v>
      </c>
      <c r="P780" s="11">
        <v>0.58654123396583513</v>
      </c>
      <c r="Q780" t="s">
        <v>20</v>
      </c>
      <c r="R780" t="s">
        <v>249</v>
      </c>
    </row>
    <row r="781" spans="4:18" x14ac:dyDescent="0.2">
      <c r="D781" s="1">
        <v>46042</v>
      </c>
      <c r="E781" s="2">
        <v>0.79166666666666663</v>
      </c>
      <c r="F781" t="s">
        <v>28</v>
      </c>
      <c r="G781">
        <f>VLOOKUP(Table4[[#This Row],[Home]],'NHL Model'!$A$6:$B$38,2,FALSE)</f>
        <v>-0.28156479873410767</v>
      </c>
      <c r="H781" t="s">
        <v>36</v>
      </c>
      <c r="I781">
        <f>VLOOKUP(Table4[[#This Row],[Visitor]],'NHL Model'!$A$6:$B$38,2,FALSE)</f>
        <v>-0.19010748264223354</v>
      </c>
      <c r="J781">
        <f>($B$1+Table4[[#This Row],[Home Differential]])-Table4[[#This Row],[Away Differential]]</f>
        <v>3.8149669719649976E-2</v>
      </c>
      <c r="K781" t="str">
        <f>IF(Table4[[#This Row],[HomeIce Differential]]&gt;0,Table4[[#This Row],[Home]],Table4[[#This Row],[Visitor]])</f>
        <v>Columbus Blue Jackets</v>
      </c>
      <c r="L7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0.53933932446029775</v>
      </c>
      <c r="M781" t="str">
        <f>IF(OR((NHL2025_26Results[[#This Row],[Winning Team]]="")),"-",IF(Table4[[#This Row],[Predicted Winner]]=NHL2025_26Results[[#This Row],[Winning Team]],"YES","NO"))</f>
        <v>NO</v>
      </c>
      <c r="N781">
        <f>IF(Table4[[#This Row],[Adjusted Correct]]="-", "",IF(Table4[[#This Row],[Adjusted Correct]]="YES",(Table4[[#This Row],[Strength of Win]]-1)^2,(Table4[[#This Row],[Strength of Win]]-0)^2))</f>
        <v>0.29088690690929031</v>
      </c>
      <c r="O781">
        <v>2.5798362011819786E-2</v>
      </c>
      <c r="P781" s="11">
        <v>0.54247927475412627</v>
      </c>
      <c r="Q781" t="s">
        <v>28</v>
      </c>
      <c r="R781" t="s">
        <v>249</v>
      </c>
    </row>
    <row r="782" spans="4:18" x14ac:dyDescent="0.2">
      <c r="D782" s="1">
        <v>46042</v>
      </c>
      <c r="E782" s="2">
        <v>0.8125</v>
      </c>
      <c r="F782" t="s">
        <v>39</v>
      </c>
      <c r="G782">
        <f>VLOOKUP(Table4[[#This Row],[Home]],'NHL Model'!$A$6:$B$38,2,FALSE)</f>
        <v>0.21708030788125537</v>
      </c>
      <c r="H782" t="s">
        <v>21</v>
      </c>
      <c r="I782">
        <f>VLOOKUP(Table4[[#This Row],[Visitor]],'NHL Model'!$A$6:$B$38,2,FALSE)</f>
        <v>-0.10253061303059285</v>
      </c>
      <c r="J782">
        <f>($B$1+Table4[[#This Row],[Home Differential]])-Table4[[#This Row],[Away Differential]]</f>
        <v>0.44921790672337236</v>
      </c>
      <c r="K782" t="str">
        <f>IF(Table4[[#This Row],[HomeIce Differential]]&gt;0,Table4[[#This Row],[Home]],Table4[[#This Row],[Visitor]])</f>
        <v>Dallas Stars</v>
      </c>
      <c r="L7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0.62828262081145347</v>
      </c>
      <c r="M782" t="str">
        <f>IF(OR((NHL2025_26Results[[#This Row],[Winning Team]]="")),"-",IF(Table4[[#This Row],[Predicted Winner]]=NHL2025_26Results[[#This Row],[Winning Team]],"YES","NO"))</f>
        <v>YES</v>
      </c>
      <c r="N782">
        <f>IF(Table4[[#This Row],[Adjusted Correct]]="-", "",IF(Table4[[#This Row],[Adjusted Correct]]="YES",(Table4[[#This Row],[Strength of Win]]-1)^2,(Table4[[#This Row],[Strength of Win]]-0)^2))</f>
        <v>0.13817380999080167</v>
      </c>
      <c r="O782">
        <v>0.31058868985297045</v>
      </c>
      <c r="P782" s="11">
        <v>0.56266673392978206</v>
      </c>
      <c r="Q782" t="s">
        <v>39</v>
      </c>
      <c r="R782" t="s">
        <v>248</v>
      </c>
    </row>
    <row r="783" spans="4:18" x14ac:dyDescent="0.2">
      <c r="D783" s="1">
        <v>46042</v>
      </c>
      <c r="E783" s="2">
        <v>0.91666666666666663</v>
      </c>
      <c r="F783" t="s">
        <v>17</v>
      </c>
      <c r="G783">
        <f>VLOOKUP(Table4[[#This Row],[Home]],'NHL Model'!$A$6:$B$38,2,FALSE)</f>
        <v>-0.36462594951491906</v>
      </c>
      <c r="H783" t="s">
        <v>24</v>
      </c>
      <c r="I783">
        <f>VLOOKUP(Table4[[#This Row],[Visitor]],'NHL Model'!$A$6:$B$38,2,FALSE)</f>
        <v>-0.74510803532792402</v>
      </c>
      <c r="J783">
        <f>($B$1+Table4[[#This Row],[Home Differential]])-Table4[[#This Row],[Away Differential]]</f>
        <v>0.5100890716245291</v>
      </c>
      <c r="K783" t="str">
        <f>IF(Table4[[#This Row],[HomeIce Differential]]&gt;0,Table4[[#This Row],[Home]],Table4[[#This Row],[Visitor]])</f>
        <v>Edmonton Oilers</v>
      </c>
      <c r="L7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0.5765106431861089</v>
      </c>
      <c r="M783" t="str">
        <f>IF(OR((NHL2025_26Results[[#This Row],[Winning Team]]="")),"-",IF(Table4[[#This Row],[Predicted Winner]]=NHL2025_26Results[[#This Row],[Winning Team]],"YES","NO"))</f>
        <v>NO</v>
      </c>
      <c r="N783">
        <f>IF(Table4[[#This Row],[Adjusted Correct]]="-", "",IF(Table4[[#This Row],[Adjusted Correct]]="YES",(Table4[[#This Row],[Strength of Win]]-1)^2,(Table4[[#This Row],[Strength of Win]]-0)^2))</f>
        <v>0.33236452170686098</v>
      </c>
      <c r="O783">
        <v>0.58088534694463267</v>
      </c>
      <c r="P783" s="11">
        <v>0.57756338683764441</v>
      </c>
      <c r="Q783" t="s">
        <v>17</v>
      </c>
      <c r="R783" t="s">
        <v>249</v>
      </c>
    </row>
    <row r="784" spans="4:18" x14ac:dyDescent="0.2">
      <c r="D784" s="1">
        <v>46042</v>
      </c>
      <c r="E784" s="2">
        <v>0.91666666666666663</v>
      </c>
      <c r="F784" t="s">
        <v>13</v>
      </c>
      <c r="G784">
        <f>VLOOKUP(Table4[[#This Row],[Home]],'NHL Model'!$A$6:$B$38,2,FALSE)</f>
        <v>-0.59069689888466137</v>
      </c>
      <c r="H784" t="s">
        <v>15</v>
      </c>
      <c r="I784">
        <f>VLOOKUP(Table4[[#This Row],[Visitor]],'NHL Model'!$A$6:$B$38,2,FALSE)</f>
        <v>-0.73651915476403329</v>
      </c>
      <c r="J784">
        <f>($B$1+Table4[[#This Row],[Home Differential]])-Table4[[#This Row],[Away Differential]]</f>
        <v>0.275429241690896</v>
      </c>
      <c r="K784" t="str">
        <f>IF(Table4[[#This Row],[HomeIce Differential]]&gt;0,Table4[[#This Row],[Home]],Table4[[#This Row],[Visitor]])</f>
        <v>Los Angeles Kings</v>
      </c>
      <c r="L7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0.53501302841431519</v>
      </c>
      <c r="M784" t="str">
        <f>IF(OR((NHL2025_26Results[[#This Row],[Winning Team]]="")),"-",IF(Table4[[#This Row],[Predicted Winner]]=NHL2025_26Results[[#This Row],[Winning Team]],"YES","NO"))</f>
        <v>YES</v>
      </c>
      <c r="N784">
        <f>IF(Table4[[#This Row],[Adjusted Correct]]="-", "",IF(Table4[[#This Row],[Adjusted Correct]]="YES",(Table4[[#This Row],[Strength of Win]]-1)^2,(Table4[[#This Row],[Strength of Win]]-0)^2))</f>
        <v>0.21621288374442646</v>
      </c>
      <c r="O784">
        <v>0.25340499399294708</v>
      </c>
      <c r="P784" s="11">
        <v>0.49508747701990186</v>
      </c>
      <c r="Q784" t="s">
        <v>13</v>
      </c>
      <c r="R784" t="s">
        <v>248</v>
      </c>
    </row>
    <row r="785" spans="4:18" x14ac:dyDescent="0.2">
      <c r="D785" s="1">
        <v>46042</v>
      </c>
      <c r="E785" s="2">
        <v>0.79166666666666663</v>
      </c>
      <c r="F785" t="s">
        <v>18</v>
      </c>
      <c r="G785">
        <f>VLOOKUP(Table4[[#This Row],[Home]],'NHL Model'!$A$6:$B$38,2,FALSE)</f>
        <v>-8.6274676766085606E-2</v>
      </c>
      <c r="H785" t="s">
        <v>34</v>
      </c>
      <c r="I785">
        <f>VLOOKUP(Table4[[#This Row],[Visitor]],'NHL Model'!$A$6:$B$38,2,FALSE)</f>
        <v>6.0485283743665949E-2</v>
      </c>
      <c r="J785">
        <f>($B$1+Table4[[#This Row],[Home Differential]])-Table4[[#This Row],[Away Differential]]</f>
        <v>-1.7152974698227449E-2</v>
      </c>
      <c r="K785" t="str">
        <f>IF(Table4[[#This Row],[HomeIce Differential]]&gt;0,Table4[[#This Row],[Home]],Table4[[#This Row],[Visitor]])</f>
        <v>Minnesota Wild</v>
      </c>
      <c r="L7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0.51707768899708395</v>
      </c>
      <c r="M785" t="str">
        <f>IF(OR((NHL2025_26Results[[#This Row],[Winning Team]]="")),"-",IF(Table4[[#This Row],[Predicted Winner]]=NHL2025_26Results[[#This Row],[Winning Team]],"YES","NO"))</f>
        <v>NO</v>
      </c>
      <c r="N785">
        <f>IF(Table4[[#This Row],[Adjusted Correct]]="-", "",IF(Table4[[#This Row],[Adjusted Correct]]="YES",(Table4[[#This Row],[Strength of Win]]-1)^2,(Table4[[#This Row],[Strength of Win]]-0)^2))</f>
        <v>0.26736933645856509</v>
      </c>
      <c r="O785">
        <v>-0.14721138846894286</v>
      </c>
      <c r="P785" s="11">
        <v>0.53969475735163386</v>
      </c>
      <c r="Q785" t="s">
        <v>34</v>
      </c>
      <c r="R785" t="s">
        <v>249</v>
      </c>
    </row>
    <row r="786" spans="4:18" x14ac:dyDescent="0.2">
      <c r="D786" s="1">
        <v>46042</v>
      </c>
      <c r="E786" s="2">
        <v>0.83333333333333337</v>
      </c>
      <c r="F786" t="s">
        <v>29</v>
      </c>
      <c r="G786">
        <f>VLOOKUP(Table4[[#This Row],[Home]],'NHL Model'!$A$6:$B$38,2,FALSE)</f>
        <v>-0.82056481120798741</v>
      </c>
      <c r="H786" t="s">
        <v>23</v>
      </c>
      <c r="I786">
        <f>VLOOKUP(Table4[[#This Row],[Visitor]],'NHL Model'!$A$6:$B$38,2,FALSE)</f>
        <v>8.1543966060426461E-3</v>
      </c>
      <c r="J786">
        <f>($B$1+Table4[[#This Row],[Home Differential]])-Table4[[#This Row],[Away Differential]]</f>
        <v>-0.699112222002506</v>
      </c>
      <c r="K786" t="str">
        <f>IF(Table4[[#This Row],[HomeIce Differential]]&gt;0,Table4[[#This Row],[Home]],Table4[[#This Row],[Visitor]])</f>
        <v>Buffalo Sabres</v>
      </c>
      <c r="L7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0.57540042424908622</v>
      </c>
      <c r="M786" t="str">
        <f>IF(OR((NHL2025_26Results[[#This Row],[Winning Team]]="")),"-",IF(Table4[[#This Row],[Predicted Winner]]=NHL2025_26Results[[#This Row],[Winning Team]],"YES","NO"))</f>
        <v>YES</v>
      </c>
      <c r="N786">
        <f>IF(Table4[[#This Row],[Adjusted Correct]]="-", "",IF(Table4[[#This Row],[Adjusted Correct]]="YES",(Table4[[#This Row],[Strength of Win]]-1)^2,(Table4[[#This Row],[Strength of Win]]-0)^2))</f>
        <v>0.18028479972785597</v>
      </c>
      <c r="O786">
        <v>-0.4629384947376054</v>
      </c>
      <c r="P786" s="11">
        <v>0.50448932541493463</v>
      </c>
      <c r="Q786" t="s">
        <v>23</v>
      </c>
      <c r="R786" t="s">
        <v>248</v>
      </c>
    </row>
    <row r="787" spans="4:18" x14ac:dyDescent="0.2">
      <c r="D787" s="1">
        <v>46042</v>
      </c>
      <c r="E787" s="2">
        <v>0.79166666666666663</v>
      </c>
      <c r="F787" t="s">
        <v>37</v>
      </c>
      <c r="G787">
        <f>VLOOKUP(Table4[[#This Row],[Home]],'NHL Model'!$A$6:$B$38,2,FALSE)</f>
        <v>0.72108184732572844</v>
      </c>
      <c r="H787" t="s">
        <v>33</v>
      </c>
      <c r="I787">
        <f>VLOOKUP(Table4[[#This Row],[Visitor]],'NHL Model'!$A$6:$B$38,2,FALSE)</f>
        <v>-0.65236582493376272</v>
      </c>
      <c r="J787">
        <f>($B$1+Table4[[#This Row],[Home Differential]])-Table4[[#This Row],[Away Differential]]</f>
        <v>1.5030546580710151</v>
      </c>
      <c r="K787" t="str">
        <f>IF(Table4[[#This Row],[HomeIce Differential]]&gt;0,Table4[[#This Row],[Home]],Table4[[#This Row],[Visitor]])</f>
        <v>Tampa Bay Lightning</v>
      </c>
      <c r="L7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0.76476876219193946</v>
      </c>
      <c r="M787" t="str">
        <f>IF(OR((NHL2025_26Results[[#This Row],[Winning Team]]="")),"-",IF(Table4[[#This Row],[Predicted Winner]]=NHL2025_26Results[[#This Row],[Winning Team]],"YES","NO"))</f>
        <v>YES</v>
      </c>
      <c r="N787">
        <f>IF(Table4[[#This Row],[Adjusted Correct]]="-", "",IF(Table4[[#This Row],[Adjusted Correct]]="YES",(Table4[[#This Row],[Strength of Win]]-1)^2,(Table4[[#This Row],[Strength of Win]]-0)^2))</f>
        <v>5.5333735240712334E-2</v>
      </c>
      <c r="O787">
        <v>1.377346562711087</v>
      </c>
      <c r="P787" s="11">
        <v>0.6550930624253779</v>
      </c>
      <c r="Q787" t="s">
        <v>37</v>
      </c>
      <c r="R787" t="s">
        <v>248</v>
      </c>
    </row>
    <row r="788" spans="4:18" x14ac:dyDescent="0.2">
      <c r="D788" s="1">
        <v>46042</v>
      </c>
      <c r="E788" s="2">
        <v>0.83333333333333337</v>
      </c>
      <c r="F788" t="s">
        <v>40</v>
      </c>
      <c r="G788">
        <f>VLOOKUP(Table4[[#This Row],[Home]],'NHL Model'!$A$6:$B$38,2,FALSE)</f>
        <v>-0.58845147248022256</v>
      </c>
      <c r="H788" t="s">
        <v>35</v>
      </c>
      <c r="I788">
        <f>VLOOKUP(Table4[[#This Row],[Visitor]],'NHL Model'!$A$6:$B$38,2,FALSE)</f>
        <v>-1.3128572733047907</v>
      </c>
      <c r="J788">
        <f>($B$1+Table4[[#This Row],[Home Differential]])-Table4[[#This Row],[Away Differential]]</f>
        <v>0.85401278663609226</v>
      </c>
      <c r="K788" t="str">
        <f>IF(Table4[[#This Row],[HomeIce Differential]]&gt;0,Table4[[#This Row],[Home]],Table4[[#This Row],[Visitor]])</f>
        <v>Winnipeg Jets</v>
      </c>
      <c r="L7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0.63590039758932837</v>
      </c>
      <c r="M788" t="str">
        <f>IF(OR((NHL2025_26Results[[#This Row],[Winning Team]]="")),"-",IF(Table4[[#This Row],[Predicted Winner]]=NHL2025_26Results[[#This Row],[Winning Team]],"YES","NO"))</f>
        <v>YES</v>
      </c>
      <c r="N788">
        <f>IF(Table4[[#This Row],[Adjusted Correct]]="-", "",IF(Table4[[#This Row],[Adjusted Correct]]="YES",(Table4[[#This Row],[Strength of Win]]-1)^2,(Table4[[#This Row],[Strength of Win]]-0)^2))</f>
        <v>0.13256852047560916</v>
      </c>
      <c r="O788">
        <v>0.98971533268220646</v>
      </c>
      <c r="P788" s="11">
        <v>0.63511364469443465</v>
      </c>
      <c r="Q788" t="s">
        <v>40</v>
      </c>
      <c r="R788" t="s">
        <v>248</v>
      </c>
    </row>
    <row r="789" spans="4:18" x14ac:dyDescent="0.2">
      <c r="D789" s="1">
        <v>46043</v>
      </c>
      <c r="E789" s="2">
        <v>0.89583333333333337</v>
      </c>
      <c r="F789" t="s">
        <v>16</v>
      </c>
      <c r="G789">
        <f>VLOOKUP(Table4[[#This Row],[Home]],'NHL Model'!$A$6:$B$38,2,FALSE)</f>
        <v>-0.89031221864884547</v>
      </c>
      <c r="H789" t="s">
        <v>14</v>
      </c>
      <c r="I789">
        <f>VLOOKUP(Table4[[#This Row],[Visitor]],'NHL Model'!$A$6:$B$38,2,FALSE)</f>
        <v>3.6349513460996066E-5</v>
      </c>
      <c r="J789">
        <f>($B$1+Table4[[#This Row],[Home Differential]])-Table4[[#This Row],[Away Differential]]</f>
        <v>-0.76074158235078237</v>
      </c>
      <c r="K789" t="str">
        <f>IF(Table4[[#This Row],[HomeIce Differential]]&gt;0,Table4[[#This Row],[Home]],Table4[[#This Row],[Visitor]])</f>
        <v>Pittsburgh Penguins</v>
      </c>
      <c r="L7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0.59956543093640591</v>
      </c>
      <c r="M789" t="str">
        <f>IF(OR((NHL2025_26Results[[#This Row],[Winning Team]]="")),"-",IF(Table4[[#This Row],[Predicted Winner]]=NHL2025_26Results[[#This Row],[Winning Team]],"YES","NO"))</f>
        <v>YES</v>
      </c>
      <c r="N789">
        <f>IF(Table4[[#This Row],[Adjusted Correct]]="-", "",IF(Table4[[#This Row],[Adjusted Correct]]="YES",(Table4[[#This Row],[Strength of Win]]-1)^2,(Table4[[#This Row],[Strength of Win]]-0)^2))</f>
        <v>0.1603478441011463</v>
      </c>
      <c r="O789">
        <v>-0.42940603244314635</v>
      </c>
      <c r="P789" s="11">
        <v>0.52236270348476255</v>
      </c>
      <c r="Q789" t="s">
        <v>14</v>
      </c>
      <c r="R789" t="s">
        <v>248</v>
      </c>
    </row>
    <row r="790" spans="4:18" x14ac:dyDescent="0.2">
      <c r="D790" s="1">
        <v>46043</v>
      </c>
      <c r="E790" s="2">
        <v>0.875</v>
      </c>
      <c r="F790" t="s">
        <v>12</v>
      </c>
      <c r="G790">
        <f>VLOOKUP(Table4[[#This Row],[Home]],'NHL Model'!$A$6:$B$38,2,FALSE)</f>
        <v>0.99866683349964291</v>
      </c>
      <c r="H790" t="s">
        <v>31</v>
      </c>
      <c r="I790">
        <f>VLOOKUP(Table4[[#This Row],[Visitor]],'NHL Model'!$A$6:$B$38,2,FALSE)</f>
        <v>-0.46360583111358089</v>
      </c>
      <c r="J790">
        <f>($B$1+Table4[[#This Row],[Home Differential]])-Table4[[#This Row],[Away Differential]]</f>
        <v>1.5918796504247479</v>
      </c>
      <c r="K790" t="str">
        <f>IF(Table4[[#This Row],[HomeIce Differential]]&gt;0,Table4[[#This Row],[Home]],Table4[[#This Row],[Visitor]])</f>
        <v>Colorado Avalanche</v>
      </c>
      <c r="L7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0.79859303120340608</v>
      </c>
      <c r="M790" t="str">
        <f>IF(OR((NHL2025_26Results[[#This Row],[Winning Team]]="")),"-",IF(Table4[[#This Row],[Predicted Winner]]=NHL2025_26Results[[#This Row],[Winning Team]],"YES","NO"))</f>
        <v>NO</v>
      </c>
      <c r="N790">
        <f>IF(Table4[[#This Row],[Adjusted Correct]]="-", "",IF(Table4[[#This Row],[Adjusted Correct]]="YES",(Table4[[#This Row],[Strength of Win]]-1)^2,(Table4[[#This Row],[Strength of Win]]-0)^2))</f>
        <v>0.6377508294866443</v>
      </c>
      <c r="O790">
        <v>1.9612148112066277</v>
      </c>
      <c r="P790" s="11">
        <v>0.8378119517455378</v>
      </c>
      <c r="Q790" t="s">
        <v>12</v>
      </c>
      <c r="R790" t="s">
        <v>249</v>
      </c>
    </row>
    <row r="791" spans="4:18" x14ac:dyDescent="0.2">
      <c r="D791" s="1">
        <v>46043</v>
      </c>
      <c r="E791" s="2">
        <v>0.89583333333333337</v>
      </c>
      <c r="F791" t="s">
        <v>32</v>
      </c>
      <c r="G791">
        <f>VLOOKUP(Table4[[#This Row],[Home]],'NHL Model'!$A$6:$B$38,2,FALSE)</f>
        <v>-0.48236715437805205</v>
      </c>
      <c r="H791" t="s">
        <v>30</v>
      </c>
      <c r="I791">
        <f>VLOOKUP(Table4[[#This Row],[Visitor]],'NHL Model'!$A$6:$B$38,2,FALSE)</f>
        <v>-0.18630462558229716</v>
      </c>
      <c r="J791">
        <f>($B$1+Table4[[#This Row],[Home Differential]])-Table4[[#This Row],[Away Differential]]</f>
        <v>-0.16645554298423076</v>
      </c>
      <c r="K791" t="str">
        <f>IF(Table4[[#This Row],[HomeIce Differential]]&gt;0,Table4[[#This Row],[Home]],Table4[[#This Row],[Visitor]])</f>
        <v>New York Islanders</v>
      </c>
      <c r="L7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0.51558634640878487</v>
      </c>
      <c r="M791" t="str">
        <f>IF(OR((NHL2025_26Results[[#This Row],[Winning Team]]="")),"-",IF(Table4[[#This Row],[Predicted Winner]]=NHL2025_26Results[[#This Row],[Winning Team]],"YES","NO"))</f>
        <v>NO</v>
      </c>
      <c r="N791">
        <f>IF(Table4[[#This Row],[Adjusted Correct]]="-", "",IF(Table4[[#This Row],[Adjusted Correct]]="YES",(Table4[[#This Row],[Strength of Win]]-1)^2,(Table4[[#This Row],[Strength of Win]]-0)^2))</f>
        <v>0.26582928060315952</v>
      </c>
      <c r="O791">
        <v>-0.43049364268996737</v>
      </c>
      <c r="P791" s="11">
        <v>0.53303603852645265</v>
      </c>
      <c r="Q791" t="s">
        <v>30</v>
      </c>
      <c r="R791" t="s">
        <v>249</v>
      </c>
    </row>
    <row r="792" spans="4:18" x14ac:dyDescent="0.2">
      <c r="D792" s="1">
        <v>46043</v>
      </c>
      <c r="E792" s="2">
        <v>0.79166666666666663</v>
      </c>
      <c r="F792" t="s">
        <v>19</v>
      </c>
      <c r="G792">
        <f>VLOOKUP(Table4[[#This Row],[Home]],'NHL Model'!$A$6:$B$38,2,FALSE)</f>
        <v>-0.44228056828684137</v>
      </c>
      <c r="H792" t="s">
        <v>26</v>
      </c>
      <c r="I792">
        <f>VLOOKUP(Table4[[#This Row],[Visitor]],'NHL Model'!$A$6:$B$38,2,FALSE)</f>
        <v>-0.33113778518110382</v>
      </c>
      <c r="J792">
        <f>($B$1+Table4[[#This Row],[Home Differential]])-Table4[[#This Row],[Away Differential]]</f>
        <v>1.8464202705786525E-2</v>
      </c>
      <c r="K792" t="str">
        <f>IF(Table4[[#This Row],[HomeIce Differential]]&gt;0,Table4[[#This Row],[Home]],Table4[[#This Row],[Visitor]])</f>
        <v>Toronto Maple Leafs</v>
      </c>
      <c r="L7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0.50406544858050772</v>
      </c>
      <c r="M792" t="str">
        <f>IF(OR((NHL2025_26Results[[#This Row],[Winning Team]]="")),"-",IF(Table4[[#This Row],[Predicted Winner]]=NHL2025_26Results[[#This Row],[Winning Team]],"YES","NO"))</f>
        <v>NO</v>
      </c>
      <c r="N792">
        <f>IF(Table4[[#This Row],[Adjusted Correct]]="-", "",IF(Table4[[#This Row],[Adjusted Correct]]="YES",(Table4[[#This Row],[Strength of Win]]-1)^2,(Table4[[#This Row],[Strength of Win]]-0)^2))</f>
        <v>0.2540819764526685</v>
      </c>
      <c r="O792">
        <v>0.11662124721034395</v>
      </c>
      <c r="P792" s="11">
        <v>0.54329708197016624</v>
      </c>
      <c r="Q792" t="s">
        <v>19</v>
      </c>
      <c r="R792" t="s">
        <v>249</v>
      </c>
    </row>
    <row r="793" spans="4:18" x14ac:dyDescent="0.2">
      <c r="D793" s="1">
        <v>46043</v>
      </c>
      <c r="E793" s="2">
        <v>0.875</v>
      </c>
      <c r="F793" t="s">
        <v>55</v>
      </c>
      <c r="G793">
        <f>VLOOKUP(Table4[[#This Row],[Home]],'NHL Model'!$A$6:$B$38,2,FALSE)</f>
        <v>8.4094725828611647E-2</v>
      </c>
      <c r="H793" t="s">
        <v>27</v>
      </c>
      <c r="I793">
        <f>VLOOKUP(Table4[[#This Row],[Visitor]],'NHL Model'!$A$6:$B$38,2,FALSE)</f>
        <v>-0.55097933929175691</v>
      </c>
      <c r="J793">
        <f>($B$1+Table4[[#This Row],[Home Differential]])-Table4[[#This Row],[Away Differential]]</f>
        <v>0.76468105093189265</v>
      </c>
      <c r="K793" t="str">
        <f>IF(Table4[[#This Row],[HomeIce Differential]]&gt;0,Table4[[#This Row],[Home]],Table4[[#This Row],[Visitor]])</f>
        <v>Utah Mammoth</v>
      </c>
      <c r="L7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0.65481142802571934</v>
      </c>
      <c r="M793" t="str">
        <f>IF(OR((NHL2025_26Results[[#This Row],[Winning Team]]="")),"-",IF(Table4[[#This Row],[Predicted Winner]]=NHL2025_26Results[[#This Row],[Winning Team]],"YES","NO"))</f>
        <v>YES</v>
      </c>
      <c r="N793">
        <f>IF(Table4[[#This Row],[Adjusted Correct]]="-", "",IF(Table4[[#This Row],[Adjusted Correct]]="YES",(Table4[[#This Row],[Strength of Win]]-1)^2,(Table4[[#This Row],[Strength of Win]]-0)^2))</f>
        <v>0.11915515022164314</v>
      </c>
      <c r="O793">
        <v>0.6349938498477794</v>
      </c>
      <c r="P793" s="11">
        <v>0.62264480268872535</v>
      </c>
      <c r="Q793" t="s">
        <v>55</v>
      </c>
      <c r="R793" t="s">
        <v>248</v>
      </c>
    </row>
    <row r="794" spans="4:18" x14ac:dyDescent="0.2">
      <c r="D794" s="1">
        <v>46043</v>
      </c>
      <c r="E794" s="2">
        <v>0.91666666666666663</v>
      </c>
      <c r="F794" t="s">
        <v>38</v>
      </c>
      <c r="G794">
        <f>VLOOKUP(Table4[[#This Row],[Home]],'NHL Model'!$A$6:$B$38,2,FALSE)</f>
        <v>-1.3920033028857945</v>
      </c>
      <c r="H794" t="s">
        <v>22</v>
      </c>
      <c r="I794">
        <f>VLOOKUP(Table4[[#This Row],[Visitor]],'NHL Model'!$A$6:$B$38,2,FALSE)</f>
        <v>-0.11977593183651415</v>
      </c>
      <c r="J794">
        <f>($B$1+Table4[[#This Row],[Home Differential]])-Table4[[#This Row],[Away Differential]]</f>
        <v>-1.1426203852377563</v>
      </c>
      <c r="K794" t="str">
        <f>IF(Table4[[#This Row],[HomeIce Differential]]&gt;0,Table4[[#This Row],[Home]],Table4[[#This Row],[Visitor]])</f>
        <v>Washington Capitals</v>
      </c>
      <c r="L7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0.58830926064888667</v>
      </c>
      <c r="M794" t="str">
        <f>IF(OR((NHL2025_26Results[[#This Row],[Winning Team]]="")),"-",IF(Table4[[#This Row],[Predicted Winner]]=NHL2025_26Results[[#This Row],[Winning Team]],"YES","NO"))</f>
        <v>NO</v>
      </c>
      <c r="N794">
        <f>IF(Table4[[#This Row],[Adjusted Correct]]="-", "",IF(Table4[[#This Row],[Adjusted Correct]]="YES",(Table4[[#This Row],[Strength of Win]]-1)^2,(Table4[[#This Row],[Strength of Win]]-0)^2))</f>
        <v>0.34610778616523968</v>
      </c>
      <c r="O794">
        <v>-1.1073416058512011</v>
      </c>
      <c r="P794" s="11">
        <v>0.56924388704582551</v>
      </c>
      <c r="Q794" t="s">
        <v>22</v>
      </c>
      <c r="R794" t="s">
        <v>249</v>
      </c>
    </row>
    <row r="795" spans="4:18" x14ac:dyDescent="0.2">
      <c r="D795" s="1">
        <v>46044</v>
      </c>
      <c r="E795" s="2">
        <v>0.79166666666666663</v>
      </c>
      <c r="F795" t="s">
        <v>21</v>
      </c>
      <c r="G795">
        <f>VLOOKUP(Table4[[#This Row],[Home]],'NHL Model'!$A$6:$B$38,2,FALSE)</f>
        <v>-0.10253061303059285</v>
      </c>
      <c r="H795" t="s">
        <v>20</v>
      </c>
      <c r="I795">
        <f>VLOOKUP(Table4[[#This Row],[Visitor]],'NHL Model'!$A$6:$B$38,2,FALSE)</f>
        <v>-0.16296463421387539</v>
      </c>
      <c r="J795">
        <f>($B$1+Table4[[#This Row],[Home Differential]])-Table4[[#This Row],[Away Differential]]</f>
        <v>0.19004100699480664</v>
      </c>
      <c r="K795" t="str">
        <f>IF(Table4[[#This Row],[HomeIce Differential]]&gt;0,Table4[[#This Row],[Home]],Table4[[#This Row],[Visitor]])</f>
        <v>Boston Bruins</v>
      </c>
      <c r="L7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0.6013404394105919</v>
      </c>
      <c r="M795" t="str">
        <f>IF(OR((NHL2025_26Results[[#This Row],[Winning Team]]="")),"-",IF(Table4[[#This Row],[Predicted Winner]]=NHL2025_26Results[[#This Row],[Winning Team]],"YES","NO"))</f>
        <v>YES</v>
      </c>
      <c r="N795">
        <f>IF(Table4[[#This Row],[Adjusted Correct]]="-", "",IF(Table4[[#This Row],[Adjusted Correct]]="YES",(Table4[[#This Row],[Strength of Win]]-1)^2,(Table4[[#This Row],[Strength of Win]]-0)^2))</f>
        <v>0.15892944524933994</v>
      </c>
      <c r="O795">
        <v>9.9324880327453943E-2</v>
      </c>
      <c r="P795" s="11">
        <v>0.55058800659035245</v>
      </c>
      <c r="Q795" t="s">
        <v>21</v>
      </c>
      <c r="R795" t="s">
        <v>248</v>
      </c>
    </row>
    <row r="796" spans="4:18" x14ac:dyDescent="0.2">
      <c r="D796" s="1">
        <v>46044</v>
      </c>
      <c r="E796" s="2">
        <v>0.79166666666666663</v>
      </c>
      <c r="F796" t="s">
        <v>25</v>
      </c>
      <c r="G796">
        <f>VLOOKUP(Table4[[#This Row],[Home]],'NHL Model'!$A$6:$B$38,2,FALSE)</f>
        <v>0.2324942014830165</v>
      </c>
      <c r="H796" t="s">
        <v>10</v>
      </c>
      <c r="I796">
        <f>VLOOKUP(Table4[[#This Row],[Visitor]],'NHL Model'!$A$6:$B$38,2,FALSE)</f>
        <v>-0.92658078135875344</v>
      </c>
      <c r="J796">
        <f>($B$1+Table4[[#This Row],[Home Differential]])-Table4[[#This Row],[Away Differential]]</f>
        <v>1.288681968653294</v>
      </c>
      <c r="K796" t="str">
        <f>IF(Table4[[#This Row],[HomeIce Differential]]&gt;0,Table4[[#This Row],[Home]],Table4[[#This Row],[Visitor]])</f>
        <v>Carolina Hurricanes</v>
      </c>
      <c r="L7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0.74028680375193046</v>
      </c>
      <c r="M796" t="str">
        <f>IF(OR((NHL2025_26Results[[#This Row],[Winning Team]]="")),"-",IF(Table4[[#This Row],[Predicted Winner]]=NHL2025_26Results[[#This Row],[Winning Team]],"YES","NO"))</f>
        <v>NO</v>
      </c>
      <c r="N796">
        <f>IF(Table4[[#This Row],[Adjusted Correct]]="-", "",IF(Table4[[#This Row],[Adjusted Correct]]="YES",(Table4[[#This Row],[Strength of Win]]-1)^2,(Table4[[#This Row],[Strength of Win]]-0)^2))</f>
        <v>0.54802455180924925</v>
      </c>
      <c r="O796">
        <v>1.1532065255808752</v>
      </c>
      <c r="P796" s="11">
        <v>0.70098814154917199</v>
      </c>
      <c r="Q796" t="s">
        <v>25</v>
      </c>
      <c r="R796" t="s">
        <v>249</v>
      </c>
    </row>
    <row r="797" spans="4:18" x14ac:dyDescent="0.2">
      <c r="D797" s="1">
        <v>46044</v>
      </c>
      <c r="E797" s="2">
        <v>0.79166666666666663</v>
      </c>
      <c r="F797" t="s">
        <v>28</v>
      </c>
      <c r="G797">
        <f>VLOOKUP(Table4[[#This Row],[Home]],'NHL Model'!$A$6:$B$38,2,FALSE)</f>
        <v>-0.28156479873410767</v>
      </c>
      <c r="H797" t="s">
        <v>39</v>
      </c>
      <c r="I797">
        <f>VLOOKUP(Table4[[#This Row],[Visitor]],'NHL Model'!$A$6:$B$38,2,FALSE)</f>
        <v>0.21708030788125537</v>
      </c>
      <c r="J797">
        <f>($B$1+Table4[[#This Row],[Home Differential]])-Table4[[#This Row],[Away Differential]]</f>
        <v>-0.36903812080383891</v>
      </c>
      <c r="K797" t="str">
        <f>IF(Table4[[#This Row],[HomeIce Differential]]&gt;0,Table4[[#This Row],[Home]],Table4[[#This Row],[Visitor]])</f>
        <v>Dallas Stars</v>
      </c>
      <c r="L7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0.55248172682125685</v>
      </c>
      <c r="M797" t="str">
        <f>IF(OR((NHL2025_26Results[[#This Row],[Winning Team]]="")),"-",IF(Table4[[#This Row],[Predicted Winner]]=NHL2025_26Results[[#This Row],[Winning Team]],"YES","NO"))</f>
        <v>NO</v>
      </c>
      <c r="N797">
        <f>IF(Table4[[#This Row],[Adjusted Correct]]="-", "",IF(Table4[[#This Row],[Adjusted Correct]]="YES",(Table4[[#This Row],[Strength of Win]]-1)^2,(Table4[[#This Row],[Strength of Win]]-0)^2))</f>
        <v>0.3052360584713979</v>
      </c>
      <c r="O797">
        <v>-0.66414734210036086</v>
      </c>
      <c r="P797" s="11">
        <v>0.57003071946502648</v>
      </c>
      <c r="Q797" t="s">
        <v>39</v>
      </c>
      <c r="R797" t="s">
        <v>249</v>
      </c>
    </row>
    <row r="798" spans="4:18" x14ac:dyDescent="0.2">
      <c r="D798" s="1">
        <v>46044</v>
      </c>
      <c r="E798" s="2">
        <v>0.875</v>
      </c>
      <c r="F798" t="s">
        <v>17</v>
      </c>
      <c r="G798">
        <f>VLOOKUP(Table4[[#This Row],[Home]],'NHL Model'!$A$6:$B$38,2,FALSE)</f>
        <v>-0.36462594951491906</v>
      </c>
      <c r="H798" t="s">
        <v>14</v>
      </c>
      <c r="I798">
        <f>VLOOKUP(Table4[[#This Row],[Visitor]],'NHL Model'!$A$6:$B$38,2,FALSE)</f>
        <v>3.6349513460996066E-5</v>
      </c>
      <c r="J798">
        <f>($B$1+Table4[[#This Row],[Home Differential]])-Table4[[#This Row],[Away Differential]]</f>
        <v>-0.23505531321685594</v>
      </c>
      <c r="K798" t="str">
        <f>IF(Table4[[#This Row],[HomeIce Differential]]&gt;0,Table4[[#This Row],[Home]],Table4[[#This Row],[Visitor]])</f>
        <v>Pittsburgh Penguins</v>
      </c>
      <c r="L7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0.54053408737096564</v>
      </c>
      <c r="M798" t="str">
        <f>IF(OR((NHL2025_26Results[[#This Row],[Winning Team]]="")),"-",IF(Table4[[#This Row],[Predicted Winner]]=NHL2025_26Results[[#This Row],[Winning Team]],"YES","NO"))</f>
        <v>YES</v>
      </c>
      <c r="N798">
        <f>IF(Table4[[#This Row],[Adjusted Correct]]="-", "",IF(Table4[[#This Row],[Adjusted Correct]]="YES",(Table4[[#This Row],[Strength of Win]]-1)^2,(Table4[[#This Row],[Strength of Win]]-0)^2))</f>
        <v>0.21110892486803143</v>
      </c>
      <c r="O798">
        <v>9.9354988229942764E-2</v>
      </c>
      <c r="P798" s="11">
        <v>0.50864397285387608</v>
      </c>
      <c r="Q798" t="s">
        <v>17</v>
      </c>
      <c r="R798" t="s">
        <v>249</v>
      </c>
    </row>
    <row r="799" spans="4:18" x14ac:dyDescent="0.2">
      <c r="D799" s="1">
        <v>46044</v>
      </c>
      <c r="E799" s="2">
        <v>0.89583333333333337</v>
      </c>
      <c r="F799" t="s">
        <v>34</v>
      </c>
      <c r="G799">
        <f>VLOOKUP(Table4[[#This Row],[Home]],'NHL Model'!$A$6:$B$38,2,FALSE)</f>
        <v>6.0485283743665949E-2</v>
      </c>
      <c r="H799" t="s">
        <v>26</v>
      </c>
      <c r="I799">
        <f>VLOOKUP(Table4[[#This Row],[Visitor]],'NHL Model'!$A$6:$B$38,2,FALSE)</f>
        <v>-0.33113778518110382</v>
      </c>
      <c r="J799">
        <f>($B$1+Table4[[#This Row],[Home Differential]])-Table4[[#This Row],[Away Differential]]</f>
        <v>0.5212300547362938</v>
      </c>
      <c r="K799" t="str">
        <f>IF(Table4[[#This Row],[HomeIce Differential]]&gt;0,Table4[[#This Row],[Home]],Table4[[#This Row],[Visitor]])</f>
        <v>Minnesota Wild</v>
      </c>
      <c r="L7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0.57256981491199543</v>
      </c>
      <c r="M799" t="str">
        <f>IF(OR((NHL2025_26Results[[#This Row],[Winning Team]]="")),"-",IF(Table4[[#This Row],[Predicted Winner]]=NHL2025_26Results[[#This Row],[Winning Team]],"YES","NO"))</f>
        <v>YES</v>
      </c>
      <c r="N799">
        <f>IF(Table4[[#This Row],[Adjusted Correct]]="-", "",IF(Table4[[#This Row],[Adjusted Correct]]="YES",(Table4[[#This Row],[Strength of Win]]-1)^2,(Table4[[#This Row],[Strength of Win]]-0)^2))</f>
        <v>0.18269656312436583</v>
      </c>
      <c r="O799">
        <v>0.39288612470320161</v>
      </c>
      <c r="P799" s="11">
        <v>0.53645753627879822</v>
      </c>
      <c r="Q799" t="s">
        <v>34</v>
      </c>
      <c r="R799" t="s">
        <v>248</v>
      </c>
    </row>
    <row r="800" spans="4:18" x14ac:dyDescent="0.2">
      <c r="D800" s="1">
        <v>46044</v>
      </c>
      <c r="E800" s="2">
        <v>0.79166666666666663</v>
      </c>
      <c r="F800" t="s">
        <v>18</v>
      </c>
      <c r="G800">
        <f>VLOOKUP(Table4[[#This Row],[Home]],'NHL Model'!$A$6:$B$38,2,FALSE)</f>
        <v>-8.6274676766085606E-2</v>
      </c>
      <c r="H800" t="s">
        <v>23</v>
      </c>
      <c r="I800">
        <f>VLOOKUP(Table4[[#This Row],[Visitor]],'NHL Model'!$A$6:$B$38,2,FALSE)</f>
        <v>8.1543966060426461E-3</v>
      </c>
      <c r="J800">
        <f>($B$1+Table4[[#This Row],[Home Differential]])-Table4[[#This Row],[Away Differential]]</f>
        <v>3.5177912439395852E-2</v>
      </c>
      <c r="K800" t="str">
        <f>IF(Table4[[#This Row],[HomeIce Differential]]&gt;0,Table4[[#This Row],[Home]],Table4[[#This Row],[Visitor]])</f>
        <v>Montreal Canadiens</v>
      </c>
      <c r="L8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0.52119164310275112</v>
      </c>
      <c r="M800" t="str">
        <f>IF(OR((NHL2025_26Results[[#This Row],[Winning Team]]="")),"-",IF(Table4[[#This Row],[Predicted Winner]]=NHL2025_26Results[[#This Row],[Winning Team]],"YES","NO"))</f>
        <v>NO</v>
      </c>
      <c r="N800">
        <f>IF(Table4[[#This Row],[Adjusted Correct]]="-", "",IF(Table4[[#This Row],[Adjusted Correct]]="YES",(Table4[[#This Row],[Strength of Win]]-1)^2,(Table4[[#This Row],[Strength of Win]]-0)^2))</f>
        <v>0.27164072884014551</v>
      </c>
      <c r="O800">
        <v>3.0154661826642691E-2</v>
      </c>
      <c r="P800" s="11">
        <v>0.55187691493958158</v>
      </c>
      <c r="Q800" t="s">
        <v>18</v>
      </c>
      <c r="R800" t="s">
        <v>249</v>
      </c>
    </row>
    <row r="801" spans="4:18" x14ac:dyDescent="0.2">
      <c r="D801" s="1">
        <v>46044</v>
      </c>
      <c r="E801" s="2">
        <v>0.83333333333333337</v>
      </c>
      <c r="F801" t="s">
        <v>29</v>
      </c>
      <c r="G801">
        <f>VLOOKUP(Table4[[#This Row],[Home]],'NHL Model'!$A$6:$B$38,2,FALSE)</f>
        <v>-0.82056481120798741</v>
      </c>
      <c r="H801" t="s">
        <v>36</v>
      </c>
      <c r="I801">
        <f>VLOOKUP(Table4[[#This Row],[Visitor]],'NHL Model'!$A$6:$B$38,2,FALSE)</f>
        <v>-0.19010748264223354</v>
      </c>
      <c r="J801">
        <f>($B$1+Table4[[#This Row],[Home Differential]])-Table4[[#This Row],[Away Differential]]</f>
        <v>-0.50085034275422979</v>
      </c>
      <c r="K801" t="str">
        <f>IF(Table4[[#This Row],[HomeIce Differential]]&gt;0,Table4[[#This Row],[Home]],Table4[[#This Row],[Visitor]])</f>
        <v>Ottawa Senators</v>
      </c>
      <c r="L8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0.52825860478379072</v>
      </c>
      <c r="M801" t="str">
        <f>IF(OR((NHL2025_26Results[[#This Row],[Winning Team]]="")),"-",IF(Table4[[#This Row],[Predicted Winner]]=NHL2025_26Results[[#This Row],[Winning Team]],"YES","NO"))</f>
        <v>NO</v>
      </c>
      <c r="N801">
        <f>IF(Table4[[#This Row],[Adjusted Correct]]="-", "",IF(Table4[[#This Row],[Adjusted Correct]]="YES",(Table4[[#This Row],[Strength of Win]]-1)^2,(Table4[[#This Row],[Strength of Win]]-0)^2))</f>
        <v>0.27905715352811722</v>
      </c>
      <c r="O801">
        <v>-0.29227395047383109</v>
      </c>
      <c r="P801" s="11">
        <v>0.49828267397148446</v>
      </c>
      <c r="Q801" t="s">
        <v>36</v>
      </c>
      <c r="R801" t="s">
        <v>249</v>
      </c>
    </row>
    <row r="802" spans="4:18" x14ac:dyDescent="0.2">
      <c r="D802" s="1">
        <v>46044</v>
      </c>
      <c r="E802" s="2">
        <v>0.83333333333333337</v>
      </c>
      <c r="F802" t="s">
        <v>40</v>
      </c>
      <c r="G802">
        <f>VLOOKUP(Table4[[#This Row],[Home]],'NHL Model'!$A$6:$B$38,2,FALSE)</f>
        <v>-0.58845147248022256</v>
      </c>
      <c r="H802" t="s">
        <v>11</v>
      </c>
      <c r="I802">
        <f>VLOOKUP(Table4[[#This Row],[Visitor]],'NHL Model'!$A$6:$B$38,2,FALSE)</f>
        <v>-0.55695213126481558</v>
      </c>
      <c r="J802">
        <f>($B$1+Table4[[#This Row],[Home Differential]])-Table4[[#This Row],[Away Differential]]</f>
        <v>9.8107644596117094E-2</v>
      </c>
      <c r="K802" t="str">
        <f>IF(Table4[[#This Row],[HomeIce Differential]]&gt;0,Table4[[#This Row],[Home]],Table4[[#This Row],[Visitor]])</f>
        <v>Winnipeg Jets</v>
      </c>
      <c r="L8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0.51173015347652173</v>
      </c>
      <c r="M802" t="str">
        <f>IF(OR((NHL2025_26Results[[#This Row],[Winning Team]]="")),"-",IF(Table4[[#This Row],[Predicted Winner]]=NHL2025_26Results[[#This Row],[Winning Team]],"YES","NO"))</f>
        <v>NO</v>
      </c>
      <c r="N802">
        <f>IF(Table4[[#This Row],[Adjusted Correct]]="-", "",IF(Table4[[#This Row],[Adjusted Correct]]="YES",(Table4[[#This Row],[Strength of Win]]-1)^2,(Table4[[#This Row],[Strength of Win]]-0)^2))</f>
        <v>0.26186774997710449</v>
      </c>
      <c r="O802">
        <v>0.2384993482041538</v>
      </c>
      <c r="P802" s="11">
        <v>0.53020869122312553</v>
      </c>
      <c r="Q802" t="s">
        <v>40</v>
      </c>
      <c r="R802" t="s">
        <v>249</v>
      </c>
    </row>
    <row r="803" spans="4:18" x14ac:dyDescent="0.2">
      <c r="D803" s="1">
        <v>46045</v>
      </c>
      <c r="E803" s="2">
        <v>0.875</v>
      </c>
      <c r="F803" t="s">
        <v>16</v>
      </c>
      <c r="G803">
        <f>VLOOKUP(Table4[[#This Row],[Home]],'NHL Model'!$A$6:$B$38,2,FALSE)</f>
        <v>-0.89031221864884547</v>
      </c>
      <c r="H803" t="s">
        <v>22</v>
      </c>
      <c r="I803">
        <f>VLOOKUP(Table4[[#This Row],[Visitor]],'NHL Model'!$A$6:$B$38,2,FALSE)</f>
        <v>-0.11977593183651415</v>
      </c>
      <c r="J803">
        <f>($B$1+Table4[[#This Row],[Home Differential]])-Table4[[#This Row],[Away Differential]]</f>
        <v>-0.64092930100080725</v>
      </c>
      <c r="K803" t="str">
        <f>IF(Table4[[#This Row],[HomeIce Differential]]&gt;0,Table4[[#This Row],[Home]],Table4[[#This Row],[Visitor]])</f>
        <v>Washington Capitals</v>
      </c>
      <c r="L8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0.53197242916553544</v>
      </c>
      <c r="M803" t="str">
        <f>IF(OR((NHL2025_26Results[[#This Row],[Winning Team]]="")),"-",IF(Table4[[#This Row],[Predicted Winner]]=NHL2025_26Results[[#This Row],[Winning Team]],"YES","NO"))</f>
        <v>YES</v>
      </c>
      <c r="N803">
        <f>IF(Table4[[#This Row],[Adjusted Correct]]="-", "",IF(Table4[[#This Row],[Adjusted Correct]]="YES",(Table4[[#This Row],[Strength of Win]]-1)^2,(Table4[[#This Row],[Strength of Win]]-0)^2))</f>
        <v>0.21904980706120974</v>
      </c>
      <c r="O803">
        <v>-0.55851665500788217</v>
      </c>
      <c r="P803" s="11">
        <v>0.51169437036962195</v>
      </c>
      <c r="Q803" t="s">
        <v>22</v>
      </c>
      <c r="R803" t="s">
        <v>248</v>
      </c>
    </row>
    <row r="804" spans="4:18" x14ac:dyDescent="0.2">
      <c r="D804" s="1">
        <v>46045</v>
      </c>
      <c r="E804" s="2">
        <v>0.79166666666666663</v>
      </c>
      <c r="F804" t="s">
        <v>10</v>
      </c>
      <c r="G804">
        <f>VLOOKUP(Table4[[#This Row],[Home]],'NHL Model'!$A$6:$B$38,2,FALSE)</f>
        <v>-0.92658078135875344</v>
      </c>
      <c r="H804" t="s">
        <v>37</v>
      </c>
      <c r="I804">
        <f>VLOOKUP(Table4[[#This Row],[Visitor]],'NHL Model'!$A$6:$B$38,2,FALSE)</f>
        <v>0.72108184732572844</v>
      </c>
      <c r="J804">
        <f>($B$1+Table4[[#This Row],[Home Differential]])-Table4[[#This Row],[Away Differential]]</f>
        <v>-1.5180556428729579</v>
      </c>
      <c r="K804" t="str">
        <f>IF(Table4[[#This Row],[HomeIce Differential]]&gt;0,Table4[[#This Row],[Home]],Table4[[#This Row],[Visitor]])</f>
        <v>Tampa Bay Lightning</v>
      </c>
      <c r="L8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0.727326484947729</v>
      </c>
      <c r="M804" t="str">
        <f>IF(OR((NHL2025_26Results[[#This Row],[Winning Team]]="")),"-",IF(Table4[[#This Row],[Predicted Winner]]=NHL2025_26Results[[#This Row],[Winning Team]],"YES","NO"))</f>
        <v>YES</v>
      </c>
      <c r="N804">
        <f>IF(Table4[[#This Row],[Adjusted Correct]]="-", "",IF(Table4[[#This Row],[Adjusted Correct]]="YES",(Table4[[#This Row],[Strength of Win]]-1)^2,(Table4[[#This Row],[Strength of Win]]-0)^2))</f>
        <v>7.4350845810961061E-2</v>
      </c>
      <c r="O804">
        <v>-1.3240673206821527</v>
      </c>
      <c r="P804" s="11">
        <v>0.68836407681109968</v>
      </c>
      <c r="Q804" t="s">
        <v>37</v>
      </c>
      <c r="R804" t="s">
        <v>248</v>
      </c>
    </row>
    <row r="805" spans="4:18" x14ac:dyDescent="0.2">
      <c r="D805" s="1">
        <v>46045</v>
      </c>
      <c r="E805" s="2">
        <v>0.875</v>
      </c>
      <c r="F805" t="s">
        <v>12</v>
      </c>
      <c r="G805">
        <f>VLOOKUP(Table4[[#This Row],[Home]],'NHL Model'!$A$6:$B$38,2,FALSE)</f>
        <v>0.99866683349964291</v>
      </c>
      <c r="H805" t="s">
        <v>27</v>
      </c>
      <c r="I805">
        <f>VLOOKUP(Table4[[#This Row],[Visitor]],'NHL Model'!$A$6:$B$38,2,FALSE)</f>
        <v>-0.55097933929175691</v>
      </c>
      <c r="J805">
        <f>($B$1+Table4[[#This Row],[Home Differential]])-Table4[[#This Row],[Away Differential]]</f>
        <v>1.6792531586029238</v>
      </c>
      <c r="K805" t="str">
        <f>IF(Table4[[#This Row],[HomeIce Differential]]&gt;0,Table4[[#This Row],[Home]],Table4[[#This Row],[Visitor]])</f>
        <v>Colorado Avalanche</v>
      </c>
      <c r="L8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0.80840454023954889</v>
      </c>
      <c r="M805" t="str">
        <f>IF(OR((NHL2025_26Results[[#This Row],[Winning Team]]="")),"-",IF(Table4[[#This Row],[Predicted Winner]]=NHL2025_26Results[[#This Row],[Winning Team]],"YES","NO"))</f>
        <v>NO</v>
      </c>
      <c r="N805">
        <f>IF(Table4[[#This Row],[Adjusted Correct]]="-", "",IF(Table4[[#This Row],[Adjusted Correct]]="YES",(Table4[[#This Row],[Strength of Win]]-1)^2,(Table4[[#This Row],[Strength of Win]]-0)^2))</f>
        <v>0.65351790067991644</v>
      </c>
      <c r="O805">
        <v>1.8438471539416217</v>
      </c>
      <c r="P805" s="11">
        <v>0.78642366378144568</v>
      </c>
      <c r="Q805" t="s">
        <v>12</v>
      </c>
      <c r="R805" t="s">
        <v>249</v>
      </c>
    </row>
    <row r="806" spans="4:18" x14ac:dyDescent="0.2">
      <c r="D806" s="1">
        <v>46045</v>
      </c>
      <c r="E806" s="2">
        <v>0.83333333333333337</v>
      </c>
      <c r="F806" t="s">
        <v>39</v>
      </c>
      <c r="G806">
        <f>VLOOKUP(Table4[[#This Row],[Home]],'NHL Model'!$A$6:$B$38,2,FALSE)</f>
        <v>0.21708030788125537</v>
      </c>
      <c r="H806" t="s">
        <v>35</v>
      </c>
      <c r="I806">
        <f>VLOOKUP(Table4[[#This Row],[Visitor]],'NHL Model'!$A$6:$B$38,2,FALSE)</f>
        <v>-1.3128572733047907</v>
      </c>
      <c r="J806">
        <f>($B$1+Table4[[#This Row],[Home Differential]])-Table4[[#This Row],[Away Differential]]</f>
        <v>1.6595445669975701</v>
      </c>
      <c r="K806" t="str">
        <f>IF(Table4[[#This Row],[HomeIce Differential]]&gt;0,Table4[[#This Row],[Home]],Table4[[#This Row],[Visitor]])</f>
        <v>Dallas Stars</v>
      </c>
      <c r="L8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0.76419488084968523</v>
      </c>
      <c r="M806" t="str">
        <f>IF(OR((NHL2025_26Results[[#This Row],[Winning Team]]="")),"-",IF(Table4[[#This Row],[Predicted Winner]]=NHL2025_26Results[[#This Row],[Winning Team]],"YES","NO"))</f>
        <v>YES</v>
      </c>
      <c r="N806">
        <f>IF(Table4[[#This Row],[Adjusted Correct]]="-", "",IF(Table4[[#This Row],[Adjusted Correct]]="YES",(Table4[[#This Row],[Strength of Win]]-1)^2,(Table4[[#This Row],[Strength of Win]]-0)^2))</f>
        <v>5.5604054217494148E-2</v>
      </c>
      <c r="O806">
        <v>1.622586698628373</v>
      </c>
      <c r="P806" s="11">
        <v>0.70928644561561605</v>
      </c>
      <c r="Q806" t="s">
        <v>39</v>
      </c>
      <c r="R806" t="s">
        <v>248</v>
      </c>
    </row>
    <row r="807" spans="4:18" x14ac:dyDescent="0.2">
      <c r="D807" s="1">
        <v>46045</v>
      </c>
      <c r="E807" s="2">
        <v>0.91666666666666663</v>
      </c>
      <c r="F807" t="s">
        <v>32</v>
      </c>
      <c r="G807">
        <f>VLOOKUP(Table4[[#This Row],[Home]],'NHL Model'!$A$6:$B$38,2,FALSE)</f>
        <v>-0.48236715437805205</v>
      </c>
      <c r="H807" t="s">
        <v>31</v>
      </c>
      <c r="I807">
        <f>VLOOKUP(Table4[[#This Row],[Visitor]],'NHL Model'!$A$6:$B$38,2,FALSE)</f>
        <v>-0.46360583111358089</v>
      </c>
      <c r="J807">
        <f>($B$1+Table4[[#This Row],[Home Differential]])-Table4[[#This Row],[Away Differential]]</f>
        <v>0.11084566254705297</v>
      </c>
      <c r="K807" t="str">
        <f>IF(Table4[[#This Row],[HomeIce Differential]]&gt;0,Table4[[#This Row],[Home]],Table4[[#This Row],[Visitor]])</f>
        <v>Seattle Kraken</v>
      </c>
      <c r="L8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0.55244728799809484</v>
      </c>
      <c r="M807" t="str">
        <f>IF(OR((NHL2025_26Results[[#This Row],[Winning Team]]="")),"-",IF(Table4[[#This Row],[Predicted Winner]]=NHL2025_26Results[[#This Row],[Winning Team]],"YES","NO"))</f>
        <v>NO</v>
      </c>
      <c r="N807">
        <f>IF(Table4[[#This Row],[Adjusted Correct]]="-", "",IF(Table4[[#This Row],[Adjusted Correct]]="YES",(Table4[[#This Row],[Strength of Win]]-1)^2,(Table4[[#This Row],[Strength of Win]]-0)^2))</f>
        <v>0.30519800601644992</v>
      </c>
      <c r="O807">
        <v>9.4667981365432752E-3</v>
      </c>
      <c r="P807" s="11">
        <v>0.54087621410157949</v>
      </c>
      <c r="Q807" t="s">
        <v>32</v>
      </c>
      <c r="R807" t="s">
        <v>249</v>
      </c>
    </row>
    <row r="808" spans="4:18" x14ac:dyDescent="0.2">
      <c r="D808" s="1">
        <v>46045</v>
      </c>
      <c r="E808" s="2">
        <v>0.91666666666666663</v>
      </c>
      <c r="F808" t="s">
        <v>33</v>
      </c>
      <c r="G808">
        <f>VLOOKUP(Table4[[#This Row],[Home]],'NHL Model'!$A$6:$B$38,2,FALSE)</f>
        <v>-0.65236582493376272</v>
      </c>
      <c r="H808" t="s">
        <v>15</v>
      </c>
      <c r="I808">
        <f>VLOOKUP(Table4[[#This Row],[Visitor]],'NHL Model'!$A$6:$B$38,2,FALSE)</f>
        <v>-0.73651915476403329</v>
      </c>
      <c r="J808">
        <f>($B$1+Table4[[#This Row],[Home Differential]])-Table4[[#This Row],[Away Differential]]</f>
        <v>0.21376031564179465</v>
      </c>
      <c r="K808" t="str">
        <f>IF(Table4[[#This Row],[HomeIce Differential]]&gt;0,Table4[[#This Row],[Home]],Table4[[#This Row],[Visitor]])</f>
        <v>San Jose Sharks</v>
      </c>
      <c r="L8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0.52808798628431275</v>
      </c>
      <c r="M808" t="str">
        <f>IF(OR((NHL2025_26Results[[#This Row],[Winning Team]]="")),"-",IF(Table4[[#This Row],[Predicted Winner]]=NHL2025_26Results[[#This Row],[Winning Team]],"YES","NO"))</f>
        <v>YES</v>
      </c>
      <c r="N808">
        <f>IF(Table4[[#This Row],[Adjusted Correct]]="-", "",IF(Table4[[#This Row],[Adjusted Correct]]="YES",(Table4[[#This Row],[Strength of Win]]-1)^2,(Table4[[#This Row],[Strength of Win]]-0)^2))</f>
        <v>0.22270094868919499</v>
      </c>
      <c r="O808">
        <v>0.15435977719586258</v>
      </c>
      <c r="P808" s="11">
        <v>0.50223881446672602</v>
      </c>
      <c r="Q808" t="s">
        <v>33</v>
      </c>
      <c r="R808" t="s">
        <v>248</v>
      </c>
    </row>
    <row r="809" spans="4:18" x14ac:dyDescent="0.2">
      <c r="D809" s="1">
        <v>46045</v>
      </c>
      <c r="E809" s="2">
        <v>0.79166666666666663</v>
      </c>
      <c r="F809" t="s">
        <v>19</v>
      </c>
      <c r="G809">
        <f>VLOOKUP(Table4[[#This Row],[Home]],'NHL Model'!$A$6:$B$38,2,FALSE)</f>
        <v>-0.44228056828684137</v>
      </c>
      <c r="H809" t="s">
        <v>20</v>
      </c>
      <c r="I809">
        <f>VLOOKUP(Table4[[#This Row],[Visitor]],'NHL Model'!$A$6:$B$38,2,FALSE)</f>
        <v>-0.16296463421387539</v>
      </c>
      <c r="J809">
        <f>($B$1+Table4[[#This Row],[Home Differential]])-Table4[[#This Row],[Away Differential]]</f>
        <v>-0.1497089482614419</v>
      </c>
      <c r="K809" t="str">
        <f>IF(Table4[[#This Row],[HomeIce Differential]]&gt;0,Table4[[#This Row],[Home]],Table4[[#This Row],[Visitor]])</f>
        <v>Vegas Golden Knights</v>
      </c>
      <c r="L8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0.48882758001591592</v>
      </c>
      <c r="M809" t="str">
        <f>IF(OR((NHL2025_26Results[[#This Row],[Winning Team]]="")),"-",IF(Table4[[#This Row],[Predicted Winner]]=NHL2025_26Results[[#This Row],[Winning Team]],"YES","NO"))</f>
        <v>YES</v>
      </c>
      <c r="N809">
        <f>IF(Table4[[#This Row],[Adjusted Correct]]="-", "",IF(Table4[[#This Row],[Adjusted Correct]]="YES",(Table4[[#This Row],[Strength of Win]]-1)^2,(Table4[[#This Row],[Strength of Win]]-0)^2))</f>
        <v>0.26129724295238488</v>
      </c>
      <c r="O809">
        <v>-0.1028612695162565</v>
      </c>
      <c r="P809" s="11">
        <v>0.49471996863607637</v>
      </c>
      <c r="Q809" t="s">
        <v>20</v>
      </c>
      <c r="R809" t="s">
        <v>248</v>
      </c>
    </row>
    <row r="810" spans="4:18" x14ac:dyDescent="0.2">
      <c r="D810" s="1">
        <v>46045</v>
      </c>
      <c r="E810" s="2">
        <v>0.91666666666666663</v>
      </c>
      <c r="F810" t="s">
        <v>38</v>
      </c>
      <c r="G810">
        <f>VLOOKUP(Table4[[#This Row],[Home]],'NHL Model'!$A$6:$B$38,2,FALSE)</f>
        <v>-1.3920033028857945</v>
      </c>
      <c r="H810" t="s">
        <v>24</v>
      </c>
      <c r="I810">
        <f>VLOOKUP(Table4[[#This Row],[Visitor]],'NHL Model'!$A$6:$B$38,2,FALSE)</f>
        <v>-0.74510803532792402</v>
      </c>
      <c r="J810">
        <f>($B$1+Table4[[#This Row],[Home Differential]])-Table4[[#This Row],[Away Differential]]</f>
        <v>-0.51728828174634645</v>
      </c>
      <c r="K810" t="str">
        <f>IF(Table4[[#This Row],[HomeIce Differential]]&gt;0,Table4[[#This Row],[Home]],Table4[[#This Row],[Visitor]])</f>
        <v>New Jersey Devils</v>
      </c>
      <c r="L8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0.53885753186268248</v>
      </c>
      <c r="M810" t="str">
        <f>IF(OR((NHL2025_26Results[[#This Row],[Winning Team]]="")),"-",IF(Table4[[#This Row],[Predicted Winner]]=NHL2025_26Results[[#This Row],[Winning Team]],"YES","NO"))</f>
        <v>YES</v>
      </c>
      <c r="N810">
        <f>IF(Table4[[#This Row],[Adjusted Correct]]="-", "",IF(Table4[[#This Row],[Adjusted Correct]]="YES",(Table4[[#This Row],[Strength of Win]]-1)^2,(Table4[[#This Row],[Strength of Win]]-0)^2))</f>
        <v>0.2126523759197769</v>
      </c>
      <c r="O810">
        <v>-0.58949808893179056</v>
      </c>
      <c r="P810" s="11">
        <v>0.55256987289467052</v>
      </c>
      <c r="Q810" t="s">
        <v>24</v>
      </c>
      <c r="R810" t="s">
        <v>248</v>
      </c>
    </row>
    <row r="811" spans="4:18" x14ac:dyDescent="0.2">
      <c r="D811" s="1">
        <v>46046</v>
      </c>
      <c r="E811" s="2">
        <v>0.79166666666666663</v>
      </c>
      <c r="F811" t="s">
        <v>21</v>
      </c>
      <c r="G811">
        <f>VLOOKUP(Table4[[#This Row],[Home]],'NHL Model'!$A$6:$B$38,2,FALSE)</f>
        <v>-0.10253061303059285</v>
      </c>
      <c r="H811" t="s">
        <v>18</v>
      </c>
      <c r="I811">
        <f>VLOOKUP(Table4[[#This Row],[Visitor]],'NHL Model'!$A$6:$B$38,2,FALSE)</f>
        <v>-8.6274676766085606E-2</v>
      </c>
      <c r="J811">
        <f>($B$1+Table4[[#This Row],[Home Differential]])-Table4[[#This Row],[Away Differential]]</f>
        <v>0.11335104954701686</v>
      </c>
      <c r="K811" t="str">
        <f>IF(Table4[[#This Row],[HomeIce Differential]]&gt;0,Table4[[#This Row],[Home]],Table4[[#This Row],[Visitor]])</f>
        <v>Boston Bruins</v>
      </c>
      <c r="L8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0.55989843891138424</v>
      </c>
      <c r="M811" t="str">
        <f>IF(OR((NHL2025_26Results[[#This Row],[Winning Team]]="")),"-",IF(Table4[[#This Row],[Predicted Winner]]=NHL2025_26Results[[#This Row],[Winning Team]],"YES","NO"))</f>
        <v>YES</v>
      </c>
      <c r="N811">
        <f>IF(Table4[[#This Row],[Adjusted Correct]]="-", "",IF(Table4[[#This Row],[Adjusted Correct]]="YES",(Table4[[#This Row],[Strength of Win]]-1)^2,(Table4[[#This Row],[Strength of Win]]-0)^2))</f>
        <v>0.19368938407263658</v>
      </c>
      <c r="O811">
        <v>0.28971319127978878</v>
      </c>
      <c r="P811" s="11">
        <v>0.55688251695954605</v>
      </c>
      <c r="Q811" t="s">
        <v>21</v>
      </c>
      <c r="R811" t="s">
        <v>248</v>
      </c>
    </row>
    <row r="812" spans="4:18" x14ac:dyDescent="0.2">
      <c r="D812" s="1">
        <v>46046</v>
      </c>
      <c r="E812" s="2">
        <v>0.79166666666666663</v>
      </c>
      <c r="F812" t="s">
        <v>28</v>
      </c>
      <c r="G812">
        <f>VLOOKUP(Table4[[#This Row],[Home]],'NHL Model'!$A$6:$B$38,2,FALSE)</f>
        <v>-0.28156479873410767</v>
      </c>
      <c r="H812" t="s">
        <v>37</v>
      </c>
      <c r="I812">
        <f>VLOOKUP(Table4[[#This Row],[Visitor]],'NHL Model'!$A$6:$B$38,2,FALSE)</f>
        <v>0.72108184732572844</v>
      </c>
      <c r="J812">
        <f>($B$1+Table4[[#This Row],[Home Differential]])-Table4[[#This Row],[Away Differential]]</f>
        <v>-0.87303966024831203</v>
      </c>
      <c r="K812" t="str">
        <f>IF(Table4[[#This Row],[HomeIce Differential]]&gt;0,Table4[[#This Row],[Home]],Table4[[#This Row],[Visitor]])</f>
        <v>Tampa Bay Lightning</v>
      </c>
      <c r="L8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0.64787622708462334</v>
      </c>
      <c r="M812" t="str">
        <f>IF(OR((NHL2025_26Results[[#This Row],[Winning Team]]="")),"-",IF(Table4[[#This Row],[Predicted Winner]]=NHL2025_26Results[[#This Row],[Winning Team]],"YES","NO"))</f>
        <v>NO</v>
      </c>
      <c r="N812">
        <f>IF(Table4[[#This Row],[Adjusted Correct]]="-", "",IF(Table4[[#This Row],[Adjusted Correct]]="YES",(Table4[[#This Row],[Strength of Win]]-1)^2,(Table4[[#This Row],[Strength of Win]]-0)^2))</f>
        <v>0.41974360562140645</v>
      </c>
      <c r="O812">
        <v>-1.132143048165877</v>
      </c>
      <c r="P812" s="11">
        <v>0.67373589439274417</v>
      </c>
      <c r="Q812" t="s">
        <v>37</v>
      </c>
      <c r="R812" t="s">
        <v>249</v>
      </c>
    </row>
    <row r="813" spans="4:18" x14ac:dyDescent="0.2">
      <c r="D813" s="1">
        <v>46046</v>
      </c>
      <c r="E813" s="2">
        <v>0.91666666666666663</v>
      </c>
      <c r="F813" t="s">
        <v>17</v>
      </c>
      <c r="G813">
        <f>VLOOKUP(Table4[[#This Row],[Home]],'NHL Model'!$A$6:$B$38,2,FALSE)</f>
        <v>-0.36462594951491906</v>
      </c>
      <c r="H813" t="s">
        <v>22</v>
      </c>
      <c r="I813">
        <f>VLOOKUP(Table4[[#This Row],[Visitor]],'NHL Model'!$A$6:$B$38,2,FALSE)</f>
        <v>-0.11977593183651415</v>
      </c>
      <c r="J813">
        <f>($B$1+Table4[[#This Row],[Home Differential]])-Table4[[#This Row],[Away Differential]]</f>
        <v>-0.1152430318668808</v>
      </c>
      <c r="K813" t="str">
        <f>IF(Table4[[#This Row],[HomeIce Differential]]&gt;0,Table4[[#This Row],[Home]],Table4[[#This Row],[Visitor]])</f>
        <v>Washington Capitals</v>
      </c>
      <c r="L8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0.47294108560009523</v>
      </c>
      <c r="M813" t="str">
        <f>IF(OR((NHL2025_26Results[[#This Row],[Winning Team]]="")),"-",IF(Table4[[#This Row],[Predicted Winner]]=NHL2025_26Results[[#This Row],[Winning Team]],"YES","NO"))</f>
        <v>NO</v>
      </c>
      <c r="N813">
        <f>IF(Table4[[#This Row],[Adjusted Correct]]="-", "",IF(Table4[[#This Row],[Adjusted Correct]]="YES",(Table4[[#This Row],[Strength of Win]]-1)^2,(Table4[[#This Row],[Strength of Win]]-0)^2))</f>
        <v>0.22367327044859661</v>
      </c>
      <c r="O813">
        <v>-3.9623684797399535E-2</v>
      </c>
      <c r="P813" s="11">
        <v>0.46377717585596401</v>
      </c>
      <c r="Q813" t="s">
        <v>22</v>
      </c>
      <c r="R813" t="s">
        <v>249</v>
      </c>
    </row>
    <row r="814" spans="4:18" x14ac:dyDescent="0.2">
      <c r="D814" s="1">
        <v>46046</v>
      </c>
      <c r="E814" s="2">
        <v>0.875</v>
      </c>
      <c r="F814" t="s">
        <v>34</v>
      </c>
      <c r="G814">
        <f>VLOOKUP(Table4[[#This Row],[Home]],'NHL Model'!$A$6:$B$38,2,FALSE)</f>
        <v>6.0485283743665949E-2</v>
      </c>
      <c r="H814" t="s">
        <v>11</v>
      </c>
      <c r="I814">
        <f>VLOOKUP(Table4[[#This Row],[Visitor]],'NHL Model'!$A$6:$B$38,2,FALSE)</f>
        <v>-0.55695213126481558</v>
      </c>
      <c r="J814">
        <f>($B$1+Table4[[#This Row],[Home Differential]])-Table4[[#This Row],[Away Differential]]</f>
        <v>0.74704440082000567</v>
      </c>
      <c r="K814" t="str">
        <f>IF(Table4[[#This Row],[HomeIce Differential]]&gt;0,Table4[[#This Row],[Home]],Table4[[#This Row],[Visitor]])</f>
        <v>Minnesota Wild</v>
      </c>
      <c r="L8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0.59664952486732314</v>
      </c>
      <c r="M814" t="str">
        <f>IF(OR((NHL2025_26Results[[#This Row],[Winning Team]]="")),"-",IF(Table4[[#This Row],[Predicted Winner]]=NHL2025_26Results[[#This Row],[Winning Team]],"YES","NO"))</f>
        <v>NO</v>
      </c>
      <c r="N814">
        <f>IF(Table4[[#This Row],[Adjusted Correct]]="-", "",IF(Table4[[#This Row],[Adjusted Correct]]="YES",(Table4[[#This Row],[Strength of Win]]-1)^2,(Table4[[#This Row],[Strength of Win]]-0)^2))</f>
        <v>0.35599065552440246</v>
      </c>
      <c r="O814">
        <v>0.60511488462578689</v>
      </c>
      <c r="P814" s="11">
        <v>0.55517074816469469</v>
      </c>
      <c r="Q814" t="s">
        <v>34</v>
      </c>
      <c r="R814" t="s">
        <v>249</v>
      </c>
    </row>
    <row r="815" spans="4:18" x14ac:dyDescent="0.2">
      <c r="D815" s="1">
        <v>46046</v>
      </c>
      <c r="E815" s="2">
        <v>0.64583333333333337</v>
      </c>
      <c r="F815" t="s">
        <v>29</v>
      </c>
      <c r="G815">
        <f>VLOOKUP(Table4[[#This Row],[Home]],'NHL Model'!$A$6:$B$38,2,FALSE)</f>
        <v>-0.82056481120798741</v>
      </c>
      <c r="H815" t="s">
        <v>55</v>
      </c>
      <c r="I815">
        <f>VLOOKUP(Table4[[#This Row],[Visitor]],'NHL Model'!$A$6:$B$38,2,FALSE)</f>
        <v>8.4094725828611647E-2</v>
      </c>
      <c r="J815">
        <f>($B$1+Table4[[#This Row],[Home Differential]])-Table4[[#This Row],[Away Differential]]</f>
        <v>-0.77505255122507499</v>
      </c>
      <c r="K815" t="str">
        <f>IF(Table4[[#This Row],[HomeIce Differential]]&gt;0,Table4[[#This Row],[Home]],Table4[[#This Row],[Visitor]])</f>
        <v>Utah Mammoth</v>
      </c>
      <c r="L8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0.54703364747954319</v>
      </c>
      <c r="M815" t="str">
        <f>IF(OR((NHL2025_26Results[[#This Row],[Winning Team]]="")),"-",IF(Table4[[#This Row],[Predicted Winner]]=NHL2025_26Results[[#This Row],[Winning Team]],"YES","NO"))</f>
        <v>YES</v>
      </c>
      <c r="N815">
        <f>IF(Table4[[#This Row],[Adjusted Correct]]="-", "",IF(Table4[[#This Row],[Adjusted Correct]]="YES",(Table4[[#This Row],[Strength of Win]]-1)^2,(Table4[[#This Row],[Strength of Win]]-0)^2))</f>
        <v>0.20517851651568675</v>
      </c>
      <c r="O815">
        <v>-0.67430119684244139</v>
      </c>
      <c r="P815" s="11">
        <v>0.52427858018212503</v>
      </c>
      <c r="Q815" t="s">
        <v>55</v>
      </c>
      <c r="R815" t="s">
        <v>248</v>
      </c>
    </row>
    <row r="816" spans="4:18" x14ac:dyDescent="0.2">
      <c r="D816" s="1">
        <v>46046</v>
      </c>
      <c r="E816" s="2">
        <v>0.54166666666666663</v>
      </c>
      <c r="F816" t="s">
        <v>30</v>
      </c>
      <c r="G816">
        <f>VLOOKUP(Table4[[#This Row],[Home]],'NHL Model'!$A$6:$B$38,2,FALSE)</f>
        <v>-0.18630462558229716</v>
      </c>
      <c r="H816" t="s">
        <v>23</v>
      </c>
      <c r="I816">
        <f>VLOOKUP(Table4[[#This Row],[Visitor]],'NHL Model'!$A$6:$B$38,2,FALSE)</f>
        <v>8.1543966060426461E-3</v>
      </c>
      <c r="J816">
        <f>($B$1+Table4[[#This Row],[Home Differential]])-Table4[[#This Row],[Away Differential]]</f>
        <v>-6.4852036376815692E-2</v>
      </c>
      <c r="K816" t="str">
        <f>IF(Table4[[#This Row],[HomeIce Differential]]&gt;0,Table4[[#This Row],[Home]],Table4[[#This Row],[Visitor]])</f>
        <v>Buffalo Sabres</v>
      </c>
      <c r="L8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0.49004110658487438</v>
      </c>
      <c r="M816" t="str">
        <f>IF(OR((NHL2025_26Results[[#This Row],[Winning Team]]="")),"-",IF(Table4[[#This Row],[Predicted Winner]]=NHL2025_26Results[[#This Row],[Winning Team]],"YES","NO"))</f>
        <v>YES</v>
      </c>
      <c r="N816">
        <f>IF(Table4[[#This Row],[Adjusted Correct]]="-", "",IF(Table4[[#This Row],[Adjusted Correct]]="YES",(Table4[[#This Row],[Strength of Win]]-1)^2,(Table4[[#This Row],[Strength of Win]]-0)^2))</f>
        <v>0.2600580729731794</v>
      </c>
      <c r="O816">
        <v>4.5418386163908246E-2</v>
      </c>
      <c r="P816" s="11">
        <v>0.55291890449121051</v>
      </c>
      <c r="Q816" t="s">
        <v>30</v>
      </c>
      <c r="R816" t="s">
        <v>249</v>
      </c>
    </row>
    <row r="817" spans="4:18" x14ac:dyDescent="0.2">
      <c r="D817" s="1">
        <v>46046</v>
      </c>
      <c r="E817" s="2">
        <v>0.79166666666666663</v>
      </c>
      <c r="F817" t="s">
        <v>36</v>
      </c>
      <c r="G817">
        <f>VLOOKUP(Table4[[#This Row],[Home]],'NHL Model'!$A$6:$B$38,2,FALSE)</f>
        <v>-0.19010748264223354</v>
      </c>
      <c r="H817" t="s">
        <v>25</v>
      </c>
      <c r="I817">
        <f>VLOOKUP(Table4[[#This Row],[Visitor]],'NHL Model'!$A$6:$B$38,2,FALSE)</f>
        <v>0.2324942014830165</v>
      </c>
      <c r="J817">
        <f>($B$1+Table4[[#This Row],[Home Differential]])-Table4[[#This Row],[Away Differential]]</f>
        <v>-0.29299469831372593</v>
      </c>
      <c r="K817" t="str">
        <f>IF(Table4[[#This Row],[HomeIce Differential]]&gt;0,Table4[[#This Row],[Home]],Table4[[#This Row],[Visitor]])</f>
        <v>Carolina Hurricanes</v>
      </c>
      <c r="L8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0.549430433067433</v>
      </c>
      <c r="M817" t="str">
        <f>IF(OR((NHL2025_26Results[[#This Row],[Winning Team]]="")),"-",IF(Table4[[#This Row],[Predicted Winner]]=NHL2025_26Results[[#This Row],[Winning Team]],"YES","NO"))</f>
        <v>YES</v>
      </c>
      <c r="N817">
        <f>IF(Table4[[#This Row],[Adjusted Correct]]="-", "",IF(Table4[[#This Row],[Adjusted Correct]]="YES",(Table4[[#This Row],[Strength of Win]]-1)^2,(Table4[[#This Row],[Strength of Win]]-0)^2))</f>
        <v>0.20301293464580097</v>
      </c>
      <c r="O817">
        <v>-0.49648488414843145</v>
      </c>
      <c r="P817" s="11">
        <v>0.55873636419766592</v>
      </c>
      <c r="Q817" t="s">
        <v>25</v>
      </c>
      <c r="R817" t="s">
        <v>248</v>
      </c>
    </row>
    <row r="818" spans="4:18" x14ac:dyDescent="0.2">
      <c r="D818" s="1">
        <v>46046</v>
      </c>
      <c r="E818" s="2">
        <v>0.83333333333333337</v>
      </c>
      <c r="F818" t="s">
        <v>35</v>
      </c>
      <c r="G818">
        <f>VLOOKUP(Table4[[#This Row],[Home]],'NHL Model'!$A$6:$B$38,2,FALSE)</f>
        <v>-1.3128572733047907</v>
      </c>
      <c r="H818" t="s">
        <v>13</v>
      </c>
      <c r="I818">
        <f>VLOOKUP(Table4[[#This Row],[Visitor]],'NHL Model'!$A$6:$B$38,2,FALSE)</f>
        <v>-0.59069689888466137</v>
      </c>
      <c r="J818">
        <f>($B$1+Table4[[#This Row],[Home Differential]])-Table4[[#This Row],[Away Differential]]</f>
        <v>-0.59255338860860529</v>
      </c>
      <c r="K818" t="str">
        <f>IF(Table4[[#This Row],[HomeIce Differential]]&gt;0,Table4[[#This Row],[Home]],Table4[[#This Row],[Visitor]])</f>
        <v>Los Angeles Kings</v>
      </c>
      <c r="L8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0.5473093417016488</v>
      </c>
      <c r="M818" t="str">
        <f>IF(OR((NHL2025_26Results[[#This Row],[Winning Team]]="")),"-",IF(Table4[[#This Row],[Predicted Winner]]=NHL2025_26Results[[#This Row],[Winning Team]],"YES","NO"))</f>
        <v>YES</v>
      </c>
      <c r="N818">
        <f>IF(Table4[[#This Row],[Adjusted Correct]]="-", "",IF(Table4[[#This Row],[Adjusted Correct]]="YES",(Table4[[#This Row],[Strength of Win]]-1)^2,(Table4[[#This Row],[Strength of Win]]-0)^2))</f>
        <v>0.20492883211059457</v>
      </c>
      <c r="O818">
        <v>-0.71503141186574892</v>
      </c>
      <c r="P818" s="11">
        <v>0.54893046814441815</v>
      </c>
      <c r="Q818" t="s">
        <v>13</v>
      </c>
      <c r="R818" t="s">
        <v>248</v>
      </c>
    </row>
    <row r="819" spans="4:18" x14ac:dyDescent="0.2">
      <c r="D819" s="1">
        <v>46046</v>
      </c>
      <c r="E819" s="2">
        <v>0.79166666666666663</v>
      </c>
      <c r="F819" t="s">
        <v>40</v>
      </c>
      <c r="G819">
        <f>VLOOKUP(Table4[[#This Row],[Home]],'NHL Model'!$A$6:$B$38,2,FALSE)</f>
        <v>-0.58845147248022256</v>
      </c>
      <c r="H819" t="s">
        <v>26</v>
      </c>
      <c r="I819">
        <f>VLOOKUP(Table4[[#This Row],[Visitor]],'NHL Model'!$A$6:$B$38,2,FALSE)</f>
        <v>-0.33113778518110382</v>
      </c>
      <c r="J819">
        <f>($B$1+Table4[[#This Row],[Home Differential]])-Table4[[#This Row],[Away Differential]]</f>
        <v>-0.12770670148759466</v>
      </c>
      <c r="K819" t="str">
        <f>IF(Table4[[#This Row],[HomeIce Differential]]&gt;0,Table4[[#This Row],[Home]],Table4[[#This Row],[Visitor]])</f>
        <v>Detroit Red Wings</v>
      </c>
      <c r="L8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0.51234864737624308</v>
      </c>
      <c r="M819" t="str">
        <f>IF(OR((NHL2025_26Results[[#This Row],[Winning Team]]="")),"-",IF(Table4[[#This Row],[Predicted Winner]]=NHL2025_26Results[[#This Row],[Winning Team]],"YES","NO"))</f>
        <v>YES</v>
      </c>
      <c r="N819">
        <f>IF(Table4[[#This Row],[Adjusted Correct]]="-", "",IF(Table4[[#This Row],[Adjusted Correct]]="YES",(Table4[[#This Row],[Strength of Win]]-1)^2,(Table4[[#This Row],[Strength of Win]]-0)^2))</f>
        <v>0.2378038417157797</v>
      </c>
      <c r="O819">
        <v>-4.730581321234098E-2</v>
      </c>
      <c r="P819" s="11">
        <v>0.49507552180897402</v>
      </c>
      <c r="Q819" t="s">
        <v>26</v>
      </c>
      <c r="R819" t="s">
        <v>248</v>
      </c>
    </row>
    <row r="820" spans="4:18" x14ac:dyDescent="0.2">
      <c r="D820" s="1">
        <v>46047</v>
      </c>
      <c r="E820" s="2">
        <v>0.83333333333333337</v>
      </c>
      <c r="F820" t="s">
        <v>16</v>
      </c>
      <c r="G820">
        <f>VLOOKUP(Table4[[#This Row],[Home]],'NHL Model'!$A$6:$B$38,2,FALSE)</f>
        <v>-0.89031221864884547</v>
      </c>
      <c r="H820" t="s">
        <v>31</v>
      </c>
      <c r="I820">
        <f>VLOOKUP(Table4[[#This Row],[Visitor]],'NHL Model'!$A$6:$B$38,2,FALSE)</f>
        <v>-0.46360583111358089</v>
      </c>
      <c r="J820">
        <f>($B$1+Table4[[#This Row],[Home Differential]])-Table4[[#This Row],[Away Differential]]</f>
        <v>-0.2970994017237405</v>
      </c>
      <c r="K820" t="str">
        <f>IF(Table4[[#This Row],[HomeIce Differential]]&gt;0,Table4[[#This Row],[Home]],Table4[[#This Row],[Visitor]])</f>
        <v>Anaheim Ducks</v>
      </c>
      <c r="L8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0.49336244046308309</v>
      </c>
      <c r="M820" t="str">
        <f>IF(OR((NHL2025_26Results[[#This Row],[Winning Team]]="")),"-",IF(Table4[[#This Row],[Predicted Winner]]=NHL2025_26Results[[#This Row],[Winning Team]],"YES","NO"))</f>
        <v>YES</v>
      </c>
      <c r="N820">
        <f>IF(Table4[[#This Row],[Adjusted Correct]]="-", "",IF(Table4[[#This Row],[Adjusted Correct]]="YES",(Table4[[#This Row],[Strength of Win]]-1)^2,(Table4[[#This Row],[Strength of Win]]-0)^2))</f>
        <v>0.25668161673352302</v>
      </c>
      <c r="O820">
        <v>-0.31262526030502658</v>
      </c>
      <c r="P820" s="11">
        <v>0.49121784224070153</v>
      </c>
      <c r="Q820" t="s">
        <v>31</v>
      </c>
      <c r="R820" t="s">
        <v>248</v>
      </c>
    </row>
    <row r="821" spans="4:18" x14ac:dyDescent="0.2">
      <c r="D821" s="1">
        <v>46047</v>
      </c>
      <c r="E821" s="2">
        <v>0.79166666666666663</v>
      </c>
      <c r="F821" t="s">
        <v>10</v>
      </c>
      <c r="G821">
        <f>VLOOKUP(Table4[[#This Row],[Home]],'NHL Model'!$A$6:$B$38,2,FALSE)</f>
        <v>-0.92658078135875344</v>
      </c>
      <c r="H821" t="s">
        <v>11</v>
      </c>
      <c r="I821">
        <f>VLOOKUP(Table4[[#This Row],[Visitor]],'NHL Model'!$A$6:$B$38,2,FALSE)</f>
        <v>-0.55695213126481558</v>
      </c>
      <c r="J821">
        <f>($B$1+Table4[[#This Row],[Home Differential]])-Table4[[#This Row],[Away Differential]]</f>
        <v>-0.24002166428241378</v>
      </c>
      <c r="K821" t="str">
        <f>IF(Table4[[#This Row],[HomeIce Differential]]&gt;0,Table4[[#This Row],[Home]],Table4[[#This Row],[Visitor]])</f>
        <v>Florida Panthers</v>
      </c>
      <c r="L8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0.52623969389049852</v>
      </c>
      <c r="M821" t="str">
        <f>IF(OR((NHL2025_26Results[[#This Row],[Winning Team]]="")),"-",IF(Table4[[#This Row],[Predicted Winner]]=NHL2025_26Results[[#This Row],[Winning Team]],"YES","NO"))</f>
        <v>YES</v>
      </c>
      <c r="N821">
        <f>IF(Table4[[#This Row],[Adjusted Correct]]="-", "",IF(Table4[[#This Row],[Adjusted Correct]]="YES",(Table4[[#This Row],[Strength of Win]]-1)^2,(Table4[[#This Row],[Strength of Win]]-0)^2))</f>
        <v>0.22444882764496854</v>
      </c>
      <c r="O821">
        <v>-0.18484039202528868</v>
      </c>
      <c r="P821" s="11">
        <v>0.529865959700626</v>
      </c>
      <c r="Q821" t="s">
        <v>11</v>
      </c>
      <c r="R821" t="s">
        <v>248</v>
      </c>
    </row>
    <row r="822" spans="4:18" x14ac:dyDescent="0.2">
      <c r="D822" s="1">
        <v>46047</v>
      </c>
      <c r="E822" s="2">
        <v>0.70833333333333337</v>
      </c>
      <c r="F822" t="s">
        <v>36</v>
      </c>
      <c r="G822">
        <f>VLOOKUP(Table4[[#This Row],[Home]],'NHL Model'!$A$6:$B$38,2,FALSE)</f>
        <v>-0.19010748264223354</v>
      </c>
      <c r="H822" t="s">
        <v>20</v>
      </c>
      <c r="I822">
        <f>VLOOKUP(Table4[[#This Row],[Visitor]],'NHL Model'!$A$6:$B$38,2,FALSE)</f>
        <v>-0.16296463421387539</v>
      </c>
      <c r="J822">
        <f>($B$1+Table4[[#This Row],[Home Differential]])-Table4[[#This Row],[Away Differential]]</f>
        <v>0.10246413738316595</v>
      </c>
      <c r="K822" t="str">
        <f>IF(Table4[[#This Row],[HomeIce Differential]]&gt;0,Table4[[#This Row],[Home]],Table4[[#This Row],[Visitor]])</f>
        <v>Ottawa Senators</v>
      </c>
      <c r="L8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0.53948991072084818</v>
      </c>
      <c r="M822" t="str">
        <f>IF(OR((NHL2025_26Results[[#This Row],[Winning Team]]="")),"-",IF(Table4[[#This Row],[Predicted Winner]]=NHL2025_26Results[[#This Row],[Winning Team]],"YES","NO"))</f>
        <v>YES</v>
      </c>
      <c r="N822">
        <f>IF(Table4[[#This Row],[Adjusted Correct]]="-", "",IF(Table4[[#This Row],[Adjusted Correct]]="YES",(Table4[[#This Row],[Strength of Win]]-1)^2,(Table4[[#This Row],[Strength of Win]]-0)^2))</f>
        <v>0.21206954232789238</v>
      </c>
      <c r="O822">
        <v>-0.30316305877798577</v>
      </c>
      <c r="P822" s="11">
        <v>0.52083901226422091</v>
      </c>
      <c r="Q822" t="s">
        <v>20</v>
      </c>
      <c r="R822" t="s">
        <v>249</v>
      </c>
    </row>
    <row r="823" spans="4:18" x14ac:dyDescent="0.2">
      <c r="D823" s="1">
        <v>46047</v>
      </c>
      <c r="E823" s="2">
        <v>0.66666666666666663</v>
      </c>
      <c r="F823" t="s">
        <v>32</v>
      </c>
      <c r="G823">
        <f>VLOOKUP(Table4[[#This Row],[Home]],'NHL Model'!$A$6:$B$38,2,FALSE)</f>
        <v>-0.48236715437805205</v>
      </c>
      <c r="H823" t="s">
        <v>24</v>
      </c>
      <c r="I823">
        <f>VLOOKUP(Table4[[#This Row],[Visitor]],'NHL Model'!$A$6:$B$38,2,FALSE)</f>
        <v>-0.74510803532792402</v>
      </c>
      <c r="J823">
        <f>($B$1+Table4[[#This Row],[Home Differential]])-Table4[[#This Row],[Away Differential]]</f>
        <v>0.3923478667613961</v>
      </c>
      <c r="K823" t="str">
        <f>IF(Table4[[#This Row],[HomeIce Differential]]&gt;0,Table4[[#This Row],[Home]],Table4[[#This Row],[Visitor]])</f>
        <v>Seattle Kraken</v>
      </c>
      <c r="L8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0.56328902808184644</v>
      </c>
      <c r="M823" t="str">
        <f>IF(OR((NHL2025_26Results[[#This Row],[Winning Team]]="")),"-",IF(Table4[[#This Row],[Predicted Winner]]=NHL2025_26Results[[#This Row],[Winning Team]],"YES","NO"))</f>
        <v>YES</v>
      </c>
      <c r="N823">
        <f>IF(Table4[[#This Row],[Adjusted Correct]]="-", "",IF(Table4[[#This Row],[Adjusted Correct]]="YES",(Table4[[#This Row],[Strength of Win]]-1)^2,(Table4[[#This Row],[Strength of Win]]-0)^2))</f>
        <v>0.19071647299369832</v>
      </c>
      <c r="O823">
        <v>5.214609264583997E-2</v>
      </c>
      <c r="P823" s="11">
        <v>0.50719918785247953</v>
      </c>
      <c r="Q823" t="s">
        <v>32</v>
      </c>
      <c r="R823" t="s">
        <v>248</v>
      </c>
    </row>
    <row r="824" spans="4:18" x14ac:dyDescent="0.2">
      <c r="D824" s="1">
        <v>46047</v>
      </c>
      <c r="E824" s="2">
        <v>0.5625</v>
      </c>
      <c r="F824" t="s">
        <v>19</v>
      </c>
      <c r="G824">
        <f>VLOOKUP(Table4[[#This Row],[Home]],'NHL Model'!$A$6:$B$38,2,FALSE)</f>
        <v>-0.44228056828684137</v>
      </c>
      <c r="H824" t="s">
        <v>12</v>
      </c>
      <c r="I824">
        <f>VLOOKUP(Table4[[#This Row],[Visitor]],'NHL Model'!$A$6:$B$38,2,FALSE)</f>
        <v>0.99866683349964291</v>
      </c>
      <c r="J824">
        <f>($B$1+Table4[[#This Row],[Home Differential]])-Table4[[#This Row],[Away Differential]]</f>
        <v>-1.3113404159749602</v>
      </c>
      <c r="K824" t="str">
        <f>IF(Table4[[#This Row],[HomeIce Differential]]&gt;0,Table4[[#This Row],[Home]],Table4[[#This Row],[Visitor]])</f>
        <v>Colorado Avalanche</v>
      </c>
      <c r="L8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0.67652074049716293</v>
      </c>
      <c r="M824" t="str">
        <f>IF(OR((NHL2025_26Results[[#This Row],[Winning Team]]="")),"-",IF(Table4[[#This Row],[Predicted Winner]]=NHL2025_26Results[[#This Row],[Winning Team]],"YES","NO"))</f>
        <v>YES</v>
      </c>
      <c r="N824">
        <f>IF(Table4[[#This Row],[Adjusted Correct]]="-", "",IF(Table4[[#This Row],[Adjusted Correct]]="YES",(Table4[[#This Row],[Strength of Win]]-1)^2,(Table4[[#This Row],[Strength of Win]]-0)^2))</f>
        <v>0.10463883132850381</v>
      </c>
      <c r="O824">
        <v>-1.400969941198051</v>
      </c>
      <c r="P824" s="11">
        <v>0.66444455593251006</v>
      </c>
      <c r="Q824" t="s">
        <v>12</v>
      </c>
      <c r="R824" t="s">
        <v>248</v>
      </c>
    </row>
    <row r="825" spans="4:18" x14ac:dyDescent="0.2">
      <c r="D825" s="1">
        <v>46047</v>
      </c>
      <c r="E825" s="2">
        <v>0.75</v>
      </c>
      <c r="F825" t="s">
        <v>38</v>
      </c>
      <c r="G825">
        <f>VLOOKUP(Table4[[#This Row],[Home]],'NHL Model'!$A$6:$B$38,2,FALSE)</f>
        <v>-1.3920033028857945</v>
      </c>
      <c r="H825" t="s">
        <v>14</v>
      </c>
      <c r="I825">
        <f>VLOOKUP(Table4[[#This Row],[Visitor]],'NHL Model'!$A$6:$B$38,2,FALSE)</f>
        <v>3.6349513460996066E-5</v>
      </c>
      <c r="J825">
        <f>($B$1+Table4[[#This Row],[Home Differential]])-Table4[[#This Row],[Away Differential]]</f>
        <v>-1.2624326665877315</v>
      </c>
      <c r="K825" t="str">
        <f>IF(Table4[[#This Row],[HomeIce Differential]]&gt;0,Table4[[#This Row],[Home]],Table4[[#This Row],[Visitor]])</f>
        <v>Pittsburgh Penguins</v>
      </c>
      <c r="L8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0.65590226241975702</v>
      </c>
      <c r="M825" t="str">
        <f>IF(OR((NHL2025_26Results[[#This Row],[Winning Team]]="")),"-",IF(Table4[[#This Row],[Predicted Winner]]=NHL2025_26Results[[#This Row],[Winning Team]],"YES","NO"))</f>
        <v>YES</v>
      </c>
      <c r="N825">
        <f>IF(Table4[[#This Row],[Adjusted Correct]]="-", "",IF(Table4[[#This Row],[Adjusted Correct]]="YES",(Table4[[#This Row],[Strength of Win]]-1)^2,(Table4[[#This Row],[Strength of Win]]-0)^2))</f>
        <v>0.11840325300784175</v>
      </c>
      <c r="O825">
        <v>-1.163193519796452</v>
      </c>
      <c r="P825" s="11">
        <v>0.6252440048483735</v>
      </c>
      <c r="Q825" t="s">
        <v>14</v>
      </c>
      <c r="R825" t="s">
        <v>248</v>
      </c>
    </row>
    <row r="826" spans="4:18" x14ac:dyDescent="0.2">
      <c r="D826" s="1">
        <v>46048</v>
      </c>
      <c r="E826" s="2">
        <v>0.85416666666666663</v>
      </c>
      <c r="F826" t="s">
        <v>17</v>
      </c>
      <c r="G826">
        <f>VLOOKUP(Table4[[#This Row],[Home]],'NHL Model'!$A$6:$B$38,2,FALSE)</f>
        <v>-0.36462594951491906</v>
      </c>
      <c r="H826" t="s">
        <v>31</v>
      </c>
      <c r="I826">
        <f>VLOOKUP(Table4[[#This Row],[Visitor]],'NHL Model'!$A$6:$B$38,2,FALSE)</f>
        <v>-0.46360583111358089</v>
      </c>
      <c r="J826">
        <f>($B$1+Table4[[#This Row],[Home Differential]])-Table4[[#This Row],[Away Differential]]</f>
        <v>0.22858686741018594</v>
      </c>
      <c r="K826" t="str">
        <f>IF(Table4[[#This Row],[HomeIce Differential]]&gt;0,Table4[[#This Row],[Home]],Table4[[#This Row],[Visitor]])</f>
        <v>Edmonton Oilers</v>
      </c>
      <c r="L8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0.56566890310235729</v>
      </c>
      <c r="M826" t="str">
        <f>IF(OR((NHL2025_26Results[[#This Row],[Winning Team]]="")),"-",IF(Table4[[#This Row],[Predicted Winner]]=NHL2025_26Results[[#This Row],[Winning Team]],"YES","NO"))</f>
        <v>YES</v>
      </c>
      <c r="N826">
        <f>IF(Table4[[#This Row],[Adjusted Correct]]="-", "",IF(Table4[[#This Row],[Adjusted Correct]]="YES",(Table4[[#This Row],[Strength of Win]]-1)^2,(Table4[[#This Row],[Strength of Win]]-0)^2))</f>
        <v>0.18864350173230951</v>
      </c>
      <c r="O826">
        <v>0.26921712069157122</v>
      </c>
      <c r="P826" s="11">
        <v>0.56580986785483767</v>
      </c>
      <c r="Q826" t="s">
        <v>17</v>
      </c>
      <c r="R826" t="s">
        <v>248</v>
      </c>
    </row>
    <row r="827" spans="4:18" x14ac:dyDescent="0.2">
      <c r="D827" s="1">
        <v>46048</v>
      </c>
      <c r="E827" s="2">
        <v>0.79166666666666663</v>
      </c>
      <c r="F827" t="s">
        <v>15</v>
      </c>
      <c r="G827">
        <f>VLOOKUP(Table4[[#This Row],[Home]],'NHL Model'!$A$6:$B$38,2,FALSE)</f>
        <v>-0.73651915476403329</v>
      </c>
      <c r="H827" t="s">
        <v>21</v>
      </c>
      <c r="I827">
        <f>VLOOKUP(Table4[[#This Row],[Visitor]],'NHL Model'!$A$6:$B$38,2,FALSE)</f>
        <v>-0.10253061303059285</v>
      </c>
      <c r="J827">
        <f>($B$1+Table4[[#This Row],[Home Differential]])-Table4[[#This Row],[Away Differential]]</f>
        <v>-0.50438155592191636</v>
      </c>
      <c r="K827" t="str">
        <f>IF(Table4[[#This Row],[HomeIce Differential]]&gt;0,Table4[[#This Row],[Home]],Table4[[#This Row],[Visitor]])</f>
        <v>Boston Bruins</v>
      </c>
      <c r="L8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0.51663895495073797</v>
      </c>
      <c r="M827" t="str">
        <f>IF(OR((NHL2025_26Results[[#This Row],[Winning Team]]="")),"-",IF(Table4[[#This Row],[Predicted Winner]]=NHL2025_26Results[[#This Row],[Winning Team]],"YES","NO"))</f>
        <v>NO</v>
      </c>
      <c r="N827">
        <f>IF(Table4[[#This Row],[Adjusted Correct]]="-", "",IF(Table4[[#This Row],[Adjusted Correct]]="YES",(Table4[[#This Row],[Strength of Win]]-1)^2,(Table4[[#This Row],[Strength of Win]]-0)^2))</f>
        <v>0.26691580977259066</v>
      </c>
      <c r="O827">
        <v>-0.49433283964371144</v>
      </c>
      <c r="P827" s="11">
        <v>0.51162305654663687</v>
      </c>
      <c r="Q827" t="s">
        <v>21</v>
      </c>
      <c r="R827" t="s">
        <v>249</v>
      </c>
    </row>
    <row r="828" spans="4:18" x14ac:dyDescent="0.2">
      <c r="D828" s="1">
        <v>46048</v>
      </c>
      <c r="E828" s="2">
        <v>0.79166666666666663</v>
      </c>
      <c r="F828" t="s">
        <v>27</v>
      </c>
      <c r="G828">
        <f>VLOOKUP(Table4[[#This Row],[Home]],'NHL Model'!$A$6:$B$38,2,FALSE)</f>
        <v>-0.55097933929175691</v>
      </c>
      <c r="H828" t="s">
        <v>30</v>
      </c>
      <c r="I828">
        <f>VLOOKUP(Table4[[#This Row],[Visitor]],'NHL Model'!$A$6:$B$38,2,FALSE)</f>
        <v>-0.18630462558229716</v>
      </c>
      <c r="J828">
        <f>($B$1+Table4[[#This Row],[Home Differential]])-Table4[[#This Row],[Away Differential]]</f>
        <v>-0.23506772789793567</v>
      </c>
      <c r="K828" t="str">
        <f>IF(Table4[[#This Row],[HomeIce Differential]]&gt;0,Table4[[#This Row],[Home]],Table4[[#This Row],[Visitor]])</f>
        <v>New York Islanders</v>
      </c>
      <c r="L8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0.52329107392067009</v>
      </c>
      <c r="M828" t="str">
        <f>IF(OR((NHL2025_26Results[[#This Row],[Winning Team]]="")),"-",IF(Table4[[#This Row],[Predicted Winner]]=NHL2025_26Results[[#This Row],[Winning Team]],"YES","NO"))</f>
        <v>YES</v>
      </c>
      <c r="N828">
        <f>IF(Table4[[#This Row],[Adjusted Correct]]="-", "",IF(Table4[[#This Row],[Adjusted Correct]]="YES",(Table4[[#This Row],[Strength of Win]]-1)^2,(Table4[[#This Row],[Strength of Win]]-0)^2))</f>
        <v>0.22725140020370801</v>
      </c>
      <c r="O828">
        <v>-1.0661635730219082E-2</v>
      </c>
      <c r="P828" s="11">
        <v>0.48188262275948862</v>
      </c>
      <c r="Q828" t="s">
        <v>30</v>
      </c>
      <c r="R828" t="s">
        <v>248</v>
      </c>
    </row>
    <row r="829" spans="4:18" x14ac:dyDescent="0.2">
      <c r="D829" s="1">
        <v>46048</v>
      </c>
      <c r="E829" s="2">
        <v>0.79166666666666663</v>
      </c>
      <c r="F829" t="s">
        <v>37</v>
      </c>
      <c r="G829">
        <f>VLOOKUP(Table4[[#This Row],[Home]],'NHL Model'!$A$6:$B$38,2,FALSE)</f>
        <v>0.72108184732572844</v>
      </c>
      <c r="H829" t="s">
        <v>55</v>
      </c>
      <c r="I829">
        <f>VLOOKUP(Table4[[#This Row],[Visitor]],'NHL Model'!$A$6:$B$38,2,FALSE)</f>
        <v>8.4094725828611647E-2</v>
      </c>
      <c r="J829">
        <f>($B$1+Table4[[#This Row],[Home Differential]])-Table4[[#This Row],[Away Differential]]</f>
        <v>0.76659410730864086</v>
      </c>
      <c r="K829" t="str">
        <f>IF(Table4[[#This Row],[HomeIce Differential]]&gt;0,Table4[[#This Row],[Home]],Table4[[#This Row],[Visitor]])</f>
        <v>Tampa Bay Lightning</v>
      </c>
      <c r="L8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0.68206875964846159</v>
      </c>
      <c r="M829" t="str">
        <f>IF(OR((NHL2025_26Results[[#This Row],[Winning Team]]="")),"-",IF(Table4[[#This Row],[Predicted Winner]]=NHL2025_26Results[[#This Row],[Winning Team]],"YES","NO"))</f>
        <v>YES</v>
      </c>
      <c r="N829">
        <f>IF(Table4[[#This Row],[Adjusted Correct]]="-", "",IF(Table4[[#This Row],[Adjusted Correct]]="YES",(Table4[[#This Row],[Strength of Win]]-1)^2,(Table4[[#This Row],[Strength of Win]]-0)^2))</f>
        <v>0.10108027359146769</v>
      </c>
      <c r="O829">
        <v>0.62829701208174682</v>
      </c>
      <c r="P829" s="11">
        <v>0.62789663906438553</v>
      </c>
      <c r="Q829" t="s">
        <v>37</v>
      </c>
      <c r="R829" t="s">
        <v>248</v>
      </c>
    </row>
    <row r="830" spans="4:18" x14ac:dyDescent="0.2">
      <c r="D830" s="1">
        <v>46049</v>
      </c>
      <c r="E830" s="2">
        <v>0.79166666666666663</v>
      </c>
      <c r="F830" t="s">
        <v>21</v>
      </c>
      <c r="G830">
        <f>VLOOKUP(Table4[[#This Row],[Home]],'NHL Model'!$A$6:$B$38,2,FALSE)</f>
        <v>-0.10253061303059285</v>
      </c>
      <c r="H830" t="s">
        <v>29</v>
      </c>
      <c r="I830">
        <f>VLOOKUP(Table4[[#This Row],[Visitor]],'NHL Model'!$A$6:$B$38,2,FALSE)</f>
        <v>-0.82056481120798741</v>
      </c>
      <c r="J830">
        <f>($B$1+Table4[[#This Row],[Home Differential]])-Table4[[#This Row],[Away Differential]]</f>
        <v>0.84764118398891863</v>
      </c>
      <c r="K830" t="str">
        <f>IF(Table4[[#This Row],[HomeIce Differential]]&gt;0,Table4[[#This Row],[Home]],Table4[[#This Row],[Visitor]])</f>
        <v>Boston Bruins</v>
      </c>
      <c r="L8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0.68690088202559474</v>
      </c>
      <c r="M830" t="str">
        <f>IF(OR((NHL2025_26Results[[#This Row],[Winning Team]]="")),"-",IF(Table4[[#This Row],[Predicted Winner]]=NHL2025_26Results[[#This Row],[Winning Team]],"YES","NO"))</f>
        <v>YES</v>
      </c>
      <c r="N830">
        <f>IF(Table4[[#This Row],[Adjusted Correct]]="-", "",IF(Table4[[#This Row],[Adjusted Correct]]="YES",(Table4[[#This Row],[Strength of Win]]-1)^2,(Table4[[#This Row],[Strength of Win]]-0)^2))</f>
        <v>9.803105767635055E-2</v>
      </c>
      <c r="O830">
        <v>0.77808184416177506</v>
      </c>
      <c r="P830" s="11">
        <v>0.66376528315505312</v>
      </c>
      <c r="Q830" t="s">
        <v>21</v>
      </c>
      <c r="R830" t="s">
        <v>248</v>
      </c>
    </row>
    <row r="831" spans="4:18" x14ac:dyDescent="0.2">
      <c r="D831" s="1">
        <v>46049</v>
      </c>
      <c r="E831" s="2">
        <v>0.79166666666666663</v>
      </c>
      <c r="F831" t="s">
        <v>26</v>
      </c>
      <c r="G831">
        <f>VLOOKUP(Table4[[#This Row],[Home]],'NHL Model'!$A$6:$B$38,2,FALSE)</f>
        <v>-0.33113778518110382</v>
      </c>
      <c r="H831" t="s">
        <v>13</v>
      </c>
      <c r="I831">
        <f>VLOOKUP(Table4[[#This Row],[Visitor]],'NHL Model'!$A$6:$B$38,2,FALSE)</f>
        <v>-0.59069689888466137</v>
      </c>
      <c r="J831">
        <f>($B$1+Table4[[#This Row],[Home Differential]])-Table4[[#This Row],[Away Differential]]</f>
        <v>0.38916609951508163</v>
      </c>
      <c r="K831" t="str">
        <f>IF(Table4[[#This Row],[HomeIce Differential]]&gt;0,Table4[[#This Row],[Home]],Table4[[#This Row],[Visitor]])</f>
        <v>Detroit Red Wings</v>
      </c>
      <c r="L8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0.58915551136020883</v>
      </c>
      <c r="M831" t="str">
        <f>IF(OR((NHL2025_26Results[[#This Row],[Winning Team]]="")),"-",IF(Table4[[#This Row],[Predicted Winner]]=NHL2025_26Results[[#This Row],[Winning Team]],"YES","NO"))</f>
        <v>NO</v>
      </c>
      <c r="N831">
        <f>IF(Table4[[#This Row],[Adjusted Correct]]="-", "",IF(Table4[[#This Row],[Adjusted Correct]]="YES",(Table4[[#This Row],[Strength of Win]]-1)^2,(Table4[[#This Row],[Strength of Win]]-0)^2))</f>
        <v>0.34710421656610918</v>
      </c>
      <c r="O831">
        <v>0.37119440724254016</v>
      </c>
      <c r="P831" s="11">
        <v>0.60037488204846001</v>
      </c>
      <c r="Q831" t="s">
        <v>26</v>
      </c>
      <c r="R831" t="s">
        <v>249</v>
      </c>
    </row>
    <row r="832" spans="4:18" x14ac:dyDescent="0.2">
      <c r="D832" s="1">
        <v>46049</v>
      </c>
      <c r="E832" s="2">
        <v>0.79166666666666663</v>
      </c>
      <c r="F832" t="s">
        <v>11</v>
      </c>
      <c r="G832">
        <f>VLOOKUP(Table4[[#This Row],[Home]],'NHL Model'!$A$6:$B$38,2,FALSE)</f>
        <v>-0.55695213126481558</v>
      </c>
      <c r="H832" t="s">
        <v>55</v>
      </c>
      <c r="I832">
        <f>VLOOKUP(Table4[[#This Row],[Visitor]],'NHL Model'!$A$6:$B$38,2,FALSE)</f>
        <v>8.4094725828611647E-2</v>
      </c>
      <c r="J832">
        <f>($B$1+Table4[[#This Row],[Home Differential]])-Table4[[#This Row],[Away Differential]]</f>
        <v>-0.51143987128190316</v>
      </c>
      <c r="K832" t="str">
        <f>IF(Table4[[#This Row],[HomeIce Differential]]&gt;0,Table4[[#This Row],[Home]],Table4[[#This Row],[Visitor]])</f>
        <v>Utah Mammoth</v>
      </c>
      <c r="L8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0.51743156047131789</v>
      </c>
      <c r="M832" t="str">
        <f>IF(OR((NHL2025_26Results[[#This Row],[Winning Team]]="")),"-",IF(Table4[[#This Row],[Predicted Winner]]=NHL2025_26Results[[#This Row],[Winning Team]],"YES","NO"))</f>
        <v>YES</v>
      </c>
      <c r="N832">
        <f>IF(Table4[[#This Row],[Adjusted Correct]]="-", "",IF(Table4[[#This Row],[Adjusted Correct]]="YES",(Table4[[#This Row],[Strength of Win]]-1)^2,(Table4[[#This Row],[Strength of Win]]-0)^2))</f>
        <v>0.23287229882914734</v>
      </c>
      <c r="O832">
        <v>-0.35049600692600641</v>
      </c>
      <c r="P832" s="11">
        <v>0.4964260061393338</v>
      </c>
      <c r="Q832" t="s">
        <v>55</v>
      </c>
      <c r="R832" t="s">
        <v>248</v>
      </c>
    </row>
    <row r="833" spans="4:18" x14ac:dyDescent="0.2">
      <c r="D833" s="1">
        <v>46049</v>
      </c>
      <c r="E833" s="2">
        <v>0.83333333333333337</v>
      </c>
      <c r="F833" t="s">
        <v>34</v>
      </c>
      <c r="G833">
        <f>VLOOKUP(Table4[[#This Row],[Home]],'NHL Model'!$A$6:$B$38,2,FALSE)</f>
        <v>6.0485283743665949E-2</v>
      </c>
      <c r="H833" t="s">
        <v>10</v>
      </c>
      <c r="I833">
        <f>VLOOKUP(Table4[[#This Row],[Visitor]],'NHL Model'!$A$6:$B$38,2,FALSE)</f>
        <v>-0.92658078135875344</v>
      </c>
      <c r="J833">
        <f>($B$1+Table4[[#This Row],[Home Differential]])-Table4[[#This Row],[Away Differential]]</f>
        <v>1.1166730509139435</v>
      </c>
      <c r="K833" t="str">
        <f>IF(Table4[[#This Row],[HomeIce Differential]]&gt;0,Table4[[#This Row],[Home]],Table4[[#This Row],[Visitor]])</f>
        <v>Minnesota Wild</v>
      </c>
      <c r="L8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0.67734358610832435</v>
      </c>
      <c r="M833" t="str">
        <f>IF(OR((NHL2025_26Results[[#This Row],[Winning Team]]="")),"-",IF(Table4[[#This Row],[Predicted Winner]]=NHL2025_26Results[[#This Row],[Winning Team]],"YES","NO"))</f>
        <v>YES</v>
      </c>
      <c r="N833">
        <f>IF(Table4[[#This Row],[Adjusted Correct]]="-", "",IF(Table4[[#This Row],[Adjusted Correct]]="YES",(Table4[[#This Row],[Strength of Win]]-1)^2,(Table4[[#This Row],[Strength of Win]]-0)^2))</f>
        <v>0.1041071614254363</v>
      </c>
      <c r="O833">
        <v>0.89000378529960589</v>
      </c>
      <c r="P833" s="11">
        <v>0.63249544276319769</v>
      </c>
      <c r="Q833" t="s">
        <v>34</v>
      </c>
      <c r="R833" t="s">
        <v>248</v>
      </c>
    </row>
    <row r="834" spans="4:18" x14ac:dyDescent="0.2">
      <c r="D834" s="1">
        <v>46049</v>
      </c>
      <c r="E834" s="2">
        <v>0.79166666666666663</v>
      </c>
      <c r="F834" t="s">
        <v>18</v>
      </c>
      <c r="G834">
        <f>VLOOKUP(Table4[[#This Row],[Home]],'NHL Model'!$A$6:$B$38,2,FALSE)</f>
        <v>-8.6274676766085606E-2</v>
      </c>
      <c r="H834" t="s">
        <v>20</v>
      </c>
      <c r="I834">
        <f>VLOOKUP(Table4[[#This Row],[Visitor]],'NHL Model'!$A$6:$B$38,2,FALSE)</f>
        <v>-0.16296463421387539</v>
      </c>
      <c r="J834">
        <f>($B$1+Table4[[#This Row],[Home Differential]])-Table4[[#This Row],[Away Differential]]</f>
        <v>0.20629694325931389</v>
      </c>
      <c r="K834" t="str">
        <f>IF(Table4[[#This Row],[HomeIce Differential]]&gt;0,Table4[[#This Row],[Home]],Table4[[#This Row],[Visitor]])</f>
        <v>Montreal Canadiens</v>
      </c>
      <c r="L8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0.56522195610866988</v>
      </c>
      <c r="M834" t="str">
        <f>IF(OR((NHL2025_26Results[[#This Row],[Winning Team]]="")),"-",IF(Table4[[#This Row],[Predicted Winner]]=NHL2025_26Results[[#This Row],[Winning Team]],"YES","NO"))</f>
        <v>YES</v>
      </c>
      <c r="N834">
        <f>IF(Table4[[#This Row],[Adjusted Correct]]="-", "",IF(Table4[[#This Row],[Adjusted Correct]]="YES",(Table4[[#This Row],[Strength of Win]]-1)^2,(Table4[[#This Row],[Strength of Win]]-0)^2))</f>
        <v>0.18903194744997137</v>
      </c>
      <c r="O834">
        <v>-6.0423521591575213E-3</v>
      </c>
      <c r="P834" s="11">
        <v>0.48139719443356987</v>
      </c>
      <c r="Q834" t="s">
        <v>20</v>
      </c>
      <c r="R834" t="s">
        <v>249</v>
      </c>
    </row>
    <row r="835" spans="4:18" x14ac:dyDescent="0.2">
      <c r="D835" s="1">
        <v>46049</v>
      </c>
      <c r="E835" s="2">
        <v>0.79166666666666663</v>
      </c>
      <c r="F835" t="s">
        <v>24</v>
      </c>
      <c r="G835">
        <f>VLOOKUP(Table4[[#This Row],[Home]],'NHL Model'!$A$6:$B$38,2,FALSE)</f>
        <v>-0.74510803532792402</v>
      </c>
      <c r="H835" t="s">
        <v>40</v>
      </c>
      <c r="I835">
        <f>VLOOKUP(Table4[[#This Row],[Visitor]],'NHL Model'!$A$6:$B$38,2,FALSE)</f>
        <v>-0.58845147248022256</v>
      </c>
      <c r="J835">
        <f>($B$1+Table4[[#This Row],[Home Differential]])-Table4[[#This Row],[Away Differential]]</f>
        <v>-2.7049577036177386E-2</v>
      </c>
      <c r="K835" t="str">
        <f>IF(Table4[[#This Row],[HomeIce Differential]]&gt;0,Table4[[#This Row],[Home]],Table4[[#This Row],[Visitor]])</f>
        <v>Winnipeg Jets</v>
      </c>
      <c r="L8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0.46303750158426837</v>
      </c>
      <c r="M835" t="str">
        <f>IF(OR((NHL2025_26Results[[#This Row],[Winning Team]]="")),"-",IF(Table4[[#This Row],[Predicted Winner]]=NHL2025_26Results[[#This Row],[Winning Team]],"YES","NO"))</f>
        <v>YES</v>
      </c>
      <c r="N835">
        <f>IF(Table4[[#This Row],[Adjusted Correct]]="-", "",IF(Table4[[#This Row],[Adjusted Correct]]="YES",(Table4[[#This Row],[Strength of Win]]-1)^2,(Table4[[#This Row],[Strength of Win]]-0)^2))</f>
        <v>0.28832872470486459</v>
      </c>
      <c r="O835">
        <v>1.1184829019938392E-2</v>
      </c>
      <c r="P835" s="11">
        <v>0.5411624059689607</v>
      </c>
      <c r="Q835" t="s">
        <v>24</v>
      </c>
      <c r="R835" t="s">
        <v>249</v>
      </c>
    </row>
    <row r="836" spans="4:18" x14ac:dyDescent="0.2">
      <c r="D836" s="1">
        <v>46049</v>
      </c>
      <c r="E836" s="2">
        <v>0.91666666666666663</v>
      </c>
      <c r="F836" t="s">
        <v>32</v>
      </c>
      <c r="G836">
        <f>VLOOKUP(Table4[[#This Row],[Home]],'NHL Model'!$A$6:$B$38,2,FALSE)</f>
        <v>-0.48236715437805205</v>
      </c>
      <c r="H836" t="s">
        <v>22</v>
      </c>
      <c r="I836">
        <f>VLOOKUP(Table4[[#This Row],[Visitor]],'NHL Model'!$A$6:$B$38,2,FALSE)</f>
        <v>-0.11977593183651415</v>
      </c>
      <c r="J836">
        <f>($B$1+Table4[[#This Row],[Home Differential]])-Table4[[#This Row],[Away Differential]]</f>
        <v>-0.23298423673001378</v>
      </c>
      <c r="K836" t="str">
        <f>IF(Table4[[#This Row],[HomeIce Differential]]&gt;0,Table4[[#This Row],[Home]],Table4[[#This Row],[Visitor]])</f>
        <v>Washington Capitals</v>
      </c>
      <c r="L8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0.48616270070435763</v>
      </c>
      <c r="M836" t="str">
        <f>IF(OR((NHL2025_26Results[[#This Row],[Winning Team]]="")),"-",IF(Table4[[#This Row],[Predicted Winner]]=NHL2025_26Results[[#This Row],[Winning Team]],"YES","NO"))</f>
        <v>NO</v>
      </c>
      <c r="N836">
        <f>IF(Table4[[#This Row],[Adjusted Correct]]="-", "",IF(Table4[[#This Row],[Adjusted Correct]]="YES",(Table4[[#This Row],[Strength of Win]]-1)^2,(Table4[[#This Row],[Strength of Win]]-0)^2))</f>
        <v>0.23635417155615482</v>
      </c>
      <c r="O836">
        <v>-0.35860393353944703</v>
      </c>
      <c r="P836" s="11">
        <v>0.49726863880493449</v>
      </c>
      <c r="Q836" t="s">
        <v>22</v>
      </c>
      <c r="R836" t="s">
        <v>249</v>
      </c>
    </row>
    <row r="837" spans="4:18" x14ac:dyDescent="0.2">
      <c r="D837" s="1">
        <v>46049</v>
      </c>
      <c r="E837" s="2">
        <v>0.83333333333333337</v>
      </c>
      <c r="F837" t="s">
        <v>35</v>
      </c>
      <c r="G837">
        <f>VLOOKUP(Table4[[#This Row],[Home]],'NHL Model'!$A$6:$B$38,2,FALSE)</f>
        <v>-1.3128572733047907</v>
      </c>
      <c r="H837" t="s">
        <v>39</v>
      </c>
      <c r="I837">
        <f>VLOOKUP(Table4[[#This Row],[Visitor]],'NHL Model'!$A$6:$B$38,2,FALSE)</f>
        <v>0.21708030788125537</v>
      </c>
      <c r="J837">
        <f>($B$1+Table4[[#This Row],[Home Differential]])-Table4[[#This Row],[Away Differential]]</f>
        <v>-1.400330595374522</v>
      </c>
      <c r="K837" t="str">
        <f>IF(Table4[[#This Row],[HomeIce Differential]]&gt;0,Table4[[#This Row],[Home]],Table4[[#This Row],[Visitor]])</f>
        <v>Dallas Stars</v>
      </c>
      <c r="L8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0.67538325152837198</v>
      </c>
      <c r="M837" t="str">
        <f>IF(OR((NHL2025_26Results[[#This Row],[Winning Team]]="")),"-",IF(Table4[[#This Row],[Predicted Winner]]=NHL2025_26Results[[#This Row],[Winning Team]],"YES","NO"))</f>
        <v>YES</v>
      </c>
      <c r="N837">
        <f>IF(Table4[[#This Row],[Adjusted Correct]]="-", "",IF(Table4[[#This Row],[Adjusted Correct]]="YES",(Table4[[#This Row],[Strength of Win]]-1)^2,(Table4[[#This Row],[Strength of Win]]-0)^2))</f>
        <v>0.10537603338829221</v>
      </c>
      <c r="O837">
        <v>-1.3879413342554652</v>
      </c>
      <c r="P837" s="11">
        <v>0.64225257737719788</v>
      </c>
      <c r="Q837" t="s">
        <v>39</v>
      </c>
      <c r="R837" t="s">
        <v>248</v>
      </c>
    </row>
    <row r="838" spans="4:18" x14ac:dyDescent="0.2">
      <c r="D838" s="1">
        <v>46049</v>
      </c>
      <c r="E838" s="2">
        <v>0.79166666666666663</v>
      </c>
      <c r="F838" t="s">
        <v>19</v>
      </c>
      <c r="G838">
        <f>VLOOKUP(Table4[[#This Row],[Home]],'NHL Model'!$A$6:$B$38,2,FALSE)</f>
        <v>-0.44228056828684137</v>
      </c>
      <c r="H838" t="s">
        <v>23</v>
      </c>
      <c r="I838">
        <f>VLOOKUP(Table4[[#This Row],[Visitor]],'NHL Model'!$A$6:$B$38,2,FALSE)</f>
        <v>8.1543966060426461E-3</v>
      </c>
      <c r="J838">
        <f>($B$1+Table4[[#This Row],[Home Differential]])-Table4[[#This Row],[Away Differential]]</f>
        <v>-0.32082797908135996</v>
      </c>
      <c r="K838" t="str">
        <f>IF(Table4[[#This Row],[HomeIce Differential]]&gt;0,Table4[[#This Row],[Home]],Table4[[#This Row],[Visitor]])</f>
        <v>Buffalo Sabres</v>
      </c>
      <c r="L8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0.53292142409170984</v>
      </c>
      <c r="M838" t="str">
        <f>IF(OR((NHL2025_26Results[[#This Row],[Winning Team]]="")),"-",IF(Table4[[#This Row],[Predicted Winner]]=NHL2025_26Results[[#This Row],[Winning Team]],"YES","NO"))</f>
        <v>YES</v>
      </c>
      <c r="N838">
        <f>IF(Table4[[#This Row],[Adjusted Correct]]="-", "",IF(Table4[[#This Row],[Adjusted Correct]]="YES",(Table4[[#This Row],[Strength of Win]]-1)^2,(Table4[[#This Row],[Strength of Win]]-0)^2))</f>
        <v>0.21816239607251636</v>
      </c>
      <c r="O838">
        <v>-0.30299841707667902</v>
      </c>
      <c r="P838" s="11">
        <v>0.51225895385464537</v>
      </c>
      <c r="Q838" t="s">
        <v>23</v>
      </c>
      <c r="R838" t="s">
        <v>248</v>
      </c>
    </row>
    <row r="839" spans="4:18" x14ac:dyDescent="0.2">
      <c r="D839" s="1">
        <v>46049</v>
      </c>
      <c r="E839" s="2">
        <v>0.91666666666666663</v>
      </c>
      <c r="F839" t="s">
        <v>38</v>
      </c>
      <c r="G839">
        <f>VLOOKUP(Table4[[#This Row],[Home]],'NHL Model'!$A$6:$B$38,2,FALSE)</f>
        <v>-1.3920033028857945</v>
      </c>
      <c r="H839" t="s">
        <v>33</v>
      </c>
      <c r="I839">
        <f>VLOOKUP(Table4[[#This Row],[Visitor]],'NHL Model'!$A$6:$B$38,2,FALSE)</f>
        <v>-0.65236582493376272</v>
      </c>
      <c r="J839">
        <f>($B$1+Table4[[#This Row],[Home Differential]])-Table4[[#This Row],[Away Differential]]</f>
        <v>-0.61003049214050775</v>
      </c>
      <c r="K839" t="str">
        <f>IF(Table4[[#This Row],[HomeIce Differential]]&gt;0,Table4[[#This Row],[Home]],Table4[[#This Row],[Visitor]])</f>
        <v>San Jose Sharks</v>
      </c>
      <c r="L8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0.52850268245786469</v>
      </c>
      <c r="M839" t="str">
        <f>IF(OR((NHL2025_26Results[[#This Row],[Winning Team]]="")),"-",IF(Table4[[#This Row],[Predicted Winner]]=NHL2025_26Results[[#This Row],[Winning Team]],"YES","NO"))</f>
        <v>YES</v>
      </c>
      <c r="N839">
        <f>IF(Table4[[#This Row],[Adjusted Correct]]="-", "",IF(Table4[[#This Row],[Adjusted Correct]]="YES",(Table4[[#This Row],[Strength of Win]]-1)^2,(Table4[[#This Row],[Strength of Win]]-0)^2))</f>
        <v>0.22230972044942918</v>
      </c>
      <c r="O839">
        <v>-0.61032563689964092</v>
      </c>
      <c r="P839" s="11">
        <v>0.54419855651727689</v>
      </c>
      <c r="Q839" t="s">
        <v>33</v>
      </c>
      <c r="R839" t="s">
        <v>248</v>
      </c>
    </row>
    <row r="840" spans="4:18" x14ac:dyDescent="0.2">
      <c r="D840" s="1">
        <v>46050</v>
      </c>
      <c r="E840" s="2">
        <v>0.79166666666666663</v>
      </c>
      <c r="F840" t="s">
        <v>28</v>
      </c>
      <c r="G840">
        <f>VLOOKUP(Table4[[#This Row],[Home]],'NHL Model'!$A$6:$B$38,2,FALSE)</f>
        <v>-0.28156479873410767</v>
      </c>
      <c r="H840" t="s">
        <v>27</v>
      </c>
      <c r="I840">
        <f>VLOOKUP(Table4[[#This Row],[Visitor]],'NHL Model'!$A$6:$B$38,2,FALSE)</f>
        <v>-0.55097933929175691</v>
      </c>
      <c r="J840">
        <f>($B$1+Table4[[#This Row],[Home Differential]])-Table4[[#This Row],[Away Differential]]</f>
        <v>0.39902152636917332</v>
      </c>
      <c r="K840" t="str">
        <f>IF(Table4[[#This Row],[HomeIce Differential]]&gt;0,Table4[[#This Row],[Home]],Table4[[#This Row],[Visitor]])</f>
        <v>Columbus Blue Jackets</v>
      </c>
      <c r="L8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0.59185362175004452</v>
      </c>
      <c r="M840" t="str">
        <f>IF(OR((NHL2025_26Results[[#This Row],[Winning Team]]="")),"-",IF(Table4[[#This Row],[Predicted Winner]]=NHL2025_26Results[[#This Row],[Winning Team]],"YES","NO"))</f>
        <v>YES</v>
      </c>
      <c r="N840">
        <f>IF(Table4[[#This Row],[Adjusted Correct]]="-", "",IF(Table4[[#This Row],[Adjusted Correct]]="YES",(Table4[[#This Row],[Strength of Win]]-1)^2,(Table4[[#This Row],[Strength of Win]]-0)^2))</f>
        <v>0.16658346607855573</v>
      </c>
      <c r="O840">
        <v>5.921995487882542E-2</v>
      </c>
      <c r="P840" s="11">
        <v>0.53575740381370451</v>
      </c>
      <c r="Q840" t="s">
        <v>28</v>
      </c>
      <c r="R840" t="s">
        <v>248</v>
      </c>
    </row>
    <row r="841" spans="4:18" x14ac:dyDescent="0.2">
      <c r="D841" s="1">
        <v>46050</v>
      </c>
      <c r="E841" s="2">
        <v>0.8125</v>
      </c>
      <c r="F841" t="s">
        <v>30</v>
      </c>
      <c r="G841">
        <f>VLOOKUP(Table4[[#This Row],[Home]],'NHL Model'!$A$6:$B$38,2,FALSE)</f>
        <v>-0.18630462558229716</v>
      </c>
      <c r="H841" t="s">
        <v>15</v>
      </c>
      <c r="I841">
        <f>VLOOKUP(Table4[[#This Row],[Visitor]],'NHL Model'!$A$6:$B$38,2,FALSE)</f>
        <v>-0.73651915476403329</v>
      </c>
      <c r="J841">
        <f>($B$1+Table4[[#This Row],[Home Differential]])-Table4[[#This Row],[Away Differential]]</f>
        <v>0.67982151499326027</v>
      </c>
      <c r="K841" t="str">
        <f>IF(Table4[[#This Row],[HomeIce Differential]]&gt;0,Table4[[#This Row],[Home]],Table4[[#This Row],[Visitor]])</f>
        <v>New York Islanders</v>
      </c>
      <c r="L8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0.59455840972132146</v>
      </c>
      <c r="M841" t="str">
        <f>IF(OR((NHL2025_26Results[[#This Row],[Winning Team]]="")),"-",IF(Table4[[#This Row],[Predicted Winner]]=NHL2025_26Results[[#This Row],[Winning Team]],"YES","NO"))</f>
        <v>YES</v>
      </c>
      <c r="N841">
        <f>IF(Table4[[#This Row],[Adjusted Correct]]="-", "",IF(Table4[[#This Row],[Adjusted Correct]]="YES",(Table4[[#This Row],[Strength of Win]]-1)^2,(Table4[[#This Row],[Strength of Win]]-0)^2))</f>
        <v>0.16438288312770385</v>
      </c>
      <c r="O841">
        <v>0.56871805696700317</v>
      </c>
      <c r="P841" s="11">
        <v>0.55798168174128493</v>
      </c>
      <c r="Q841" t="s">
        <v>30</v>
      </c>
      <c r="R841" t="s">
        <v>248</v>
      </c>
    </row>
    <row r="842" spans="4:18" x14ac:dyDescent="0.2">
      <c r="D842" s="1">
        <v>46050</v>
      </c>
      <c r="E842" s="2">
        <v>0.8125</v>
      </c>
      <c r="F842" t="s">
        <v>36</v>
      </c>
      <c r="G842">
        <f>VLOOKUP(Table4[[#This Row],[Home]],'NHL Model'!$A$6:$B$38,2,FALSE)</f>
        <v>-0.19010748264223354</v>
      </c>
      <c r="H842" t="s">
        <v>12</v>
      </c>
      <c r="I842">
        <f>VLOOKUP(Table4[[#This Row],[Visitor]],'NHL Model'!$A$6:$B$38,2,FALSE)</f>
        <v>0.99866683349964291</v>
      </c>
      <c r="J842">
        <f>($B$1+Table4[[#This Row],[Home Differential]])-Table4[[#This Row],[Away Differential]]</f>
        <v>-1.0591673303303524</v>
      </c>
      <c r="K842" t="str">
        <f>IF(Table4[[#This Row],[HomeIce Differential]]&gt;0,Table4[[#This Row],[Home]],Table4[[#This Row],[Visitor]])</f>
        <v>Colorado Avalanche</v>
      </c>
      <c r="L8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0.64820324976039889</v>
      </c>
      <c r="M842" t="str">
        <f>IF(OR((NHL2025_26Results[[#This Row],[Winning Team]]="")),"-",IF(Table4[[#This Row],[Predicted Winner]]=NHL2025_26Results[[#This Row],[Winning Team]],"YES","NO"))</f>
        <v>NO</v>
      </c>
      <c r="N842">
        <f>IF(Table4[[#This Row],[Adjusted Correct]]="-", "",IF(Table4[[#This Row],[Adjusted Correct]]="YES",(Table4[[#This Row],[Strength of Win]]-1)^2,(Table4[[#This Row],[Strength of Win]]-0)^2))</f>
        <v>0.42016745299994207</v>
      </c>
      <c r="O842">
        <v>-1.3956054316338331</v>
      </c>
      <c r="P842" s="11">
        <v>0.68602501553148953</v>
      </c>
      <c r="Q842" t="s">
        <v>12</v>
      </c>
      <c r="R842" t="s">
        <v>249</v>
      </c>
    </row>
    <row r="843" spans="4:18" x14ac:dyDescent="0.2">
      <c r="D843" s="1">
        <v>46051</v>
      </c>
      <c r="E843" s="2">
        <v>0.79166666666666663</v>
      </c>
      <c r="F843" t="s">
        <v>21</v>
      </c>
      <c r="G843">
        <f>VLOOKUP(Table4[[#This Row],[Home]],'NHL Model'!$A$6:$B$38,2,FALSE)</f>
        <v>-0.10253061303059285</v>
      </c>
      <c r="H843" t="s">
        <v>27</v>
      </c>
      <c r="I843">
        <f>VLOOKUP(Table4[[#This Row],[Visitor]],'NHL Model'!$A$6:$B$38,2,FALSE)</f>
        <v>-0.55097933929175691</v>
      </c>
      <c r="J843">
        <f>($B$1+Table4[[#This Row],[Home Differential]])-Table4[[#This Row],[Away Differential]]</f>
        <v>0.57805571207268813</v>
      </c>
      <c r="K843" t="str">
        <f>IF(Table4[[#This Row],[HomeIce Differential]]&gt;0,Table4[[#This Row],[Home]],Table4[[#This Row],[Visitor]])</f>
        <v>Boston Bruins</v>
      </c>
      <c r="L8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0.65662808711475029</v>
      </c>
      <c r="M843" t="str">
        <f>IF(OR((NHL2025_26Results[[#This Row],[Winning Team]]="")),"-",IF(Table4[[#This Row],[Predicted Winner]]=NHL2025_26Results[[#This Row],[Winning Team]],"YES","NO"))</f>
        <v>YES</v>
      </c>
      <c r="N843">
        <f>IF(Table4[[#This Row],[Adjusted Correct]]="-", "",IF(Table4[[#This Row],[Adjusted Correct]]="YES",(Table4[[#This Row],[Strength of Win]]-1)^2,(Table4[[#This Row],[Strength of Win]]-0)^2))</f>
        <v>0.11790427055847552</v>
      </c>
      <c r="O843">
        <v>0.47574539268187271</v>
      </c>
      <c r="P843" s="11">
        <v>0.63777165208915521</v>
      </c>
      <c r="Q843" t="s">
        <v>21</v>
      </c>
      <c r="R843" t="s">
        <v>248</v>
      </c>
    </row>
    <row r="844" spans="4:18" x14ac:dyDescent="0.2">
      <c r="D844" s="1">
        <v>46051</v>
      </c>
      <c r="E844" s="2">
        <v>0.79166666666666663</v>
      </c>
      <c r="F844" t="s">
        <v>23</v>
      </c>
      <c r="G844">
        <f>VLOOKUP(Table4[[#This Row],[Home]],'NHL Model'!$A$6:$B$38,2,FALSE)</f>
        <v>8.1543966060426461E-3</v>
      </c>
      <c r="H844" t="s">
        <v>13</v>
      </c>
      <c r="I844">
        <f>VLOOKUP(Table4[[#This Row],[Visitor]],'NHL Model'!$A$6:$B$38,2,FALSE)</f>
        <v>-0.59069689888466137</v>
      </c>
      <c r="J844">
        <f>($B$1+Table4[[#This Row],[Home Differential]])-Table4[[#This Row],[Away Differential]]</f>
        <v>0.72845828130222812</v>
      </c>
      <c r="K844" t="str">
        <f>IF(Table4[[#This Row],[HomeIce Differential]]&gt;0,Table4[[#This Row],[Home]],Table4[[#This Row],[Visitor]])</f>
        <v>Buffalo Sabres</v>
      </c>
      <c r="L8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0.63018849354167616</v>
      </c>
      <c r="M844" t="str">
        <f>IF(OR((NHL2025_26Results[[#This Row],[Winning Team]]="")),"-",IF(Table4[[#This Row],[Predicted Winner]]=NHL2025_26Results[[#This Row],[Winning Team]],"YES","NO"))</f>
        <v>YES</v>
      </c>
      <c r="N844">
        <f>IF(Table4[[#This Row],[Adjusted Correct]]="-", "",IF(Table4[[#This Row],[Adjusted Correct]]="YES",(Table4[[#This Row],[Strength of Win]]-1)^2,(Table4[[#This Row],[Strength of Win]]-0)^2))</f>
        <v>0.13676055030897488</v>
      </c>
      <c r="O844">
        <v>0.59569540999798498</v>
      </c>
      <c r="P844" s="11">
        <v>0.60703140518811505</v>
      </c>
      <c r="Q844" t="s">
        <v>23</v>
      </c>
      <c r="R844" t="s">
        <v>248</v>
      </c>
    </row>
    <row r="845" spans="4:18" x14ac:dyDescent="0.2">
      <c r="D845" s="1">
        <v>46051</v>
      </c>
      <c r="E845" s="2">
        <v>0.79166666666666663</v>
      </c>
      <c r="F845" t="s">
        <v>25</v>
      </c>
      <c r="G845">
        <f>VLOOKUP(Table4[[#This Row],[Home]],'NHL Model'!$A$6:$B$38,2,FALSE)</f>
        <v>0.2324942014830165</v>
      </c>
      <c r="H845" t="s">
        <v>55</v>
      </c>
      <c r="I845">
        <f>VLOOKUP(Table4[[#This Row],[Visitor]],'NHL Model'!$A$6:$B$38,2,FALSE)</f>
        <v>8.4094725828611647E-2</v>
      </c>
      <c r="J845">
        <f>($B$1+Table4[[#This Row],[Home Differential]])-Table4[[#This Row],[Away Differential]]</f>
        <v>0.27800646146592894</v>
      </c>
      <c r="K845" t="str">
        <f>IF(Table4[[#This Row],[HomeIce Differential]]&gt;0,Table4[[#This Row],[Home]],Table4[[#This Row],[Visitor]])</f>
        <v>Carolina Hurricanes</v>
      </c>
      <c r="L8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0.62679414358364038</v>
      </c>
      <c r="M845" t="str">
        <f>IF(OR((NHL2025_26Results[[#This Row],[Winning Team]]="")),"-",IF(Table4[[#This Row],[Predicted Winner]]=NHL2025_26Results[[#This Row],[Winning Team]],"YES","NO"))</f>
        <v>YES</v>
      </c>
      <c r="N845">
        <f>IF(Table4[[#This Row],[Adjusted Correct]]="-", "",IF(Table4[[#This Row],[Adjusted Correct]]="YES",(Table4[[#This Row],[Strength of Win]]-1)^2,(Table4[[#This Row],[Strength of Win]]-0)^2))</f>
        <v>0.13928261126346844</v>
      </c>
      <c r="O845">
        <v>0.28216539329881551</v>
      </c>
      <c r="P845" s="11">
        <v>0.61319322339021665</v>
      </c>
      <c r="Q845" t="s">
        <v>25</v>
      </c>
      <c r="R845" t="s">
        <v>248</v>
      </c>
    </row>
    <row r="846" spans="4:18" x14ac:dyDescent="0.2">
      <c r="D846" s="1">
        <v>46051</v>
      </c>
      <c r="E846" s="2">
        <v>0.8125</v>
      </c>
      <c r="F846" t="s">
        <v>26</v>
      </c>
      <c r="G846">
        <f>VLOOKUP(Table4[[#This Row],[Home]],'NHL Model'!$A$6:$B$38,2,FALSE)</f>
        <v>-0.33113778518110382</v>
      </c>
      <c r="H846" t="s">
        <v>22</v>
      </c>
      <c r="I846">
        <f>VLOOKUP(Table4[[#This Row],[Visitor]],'NHL Model'!$A$6:$B$38,2,FALSE)</f>
        <v>-0.11977593183651415</v>
      </c>
      <c r="J846">
        <f>($B$1+Table4[[#This Row],[Home Differential]])-Table4[[#This Row],[Away Differential]]</f>
        <v>-8.1754867533065559E-2</v>
      </c>
      <c r="K846" t="str">
        <f>IF(Table4[[#This Row],[HomeIce Differential]]&gt;0,Table4[[#This Row],[Home]],Table4[[#This Row],[Visitor]])</f>
        <v>Washington Capitals</v>
      </c>
      <c r="L8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0.44314283430629958</v>
      </c>
      <c r="M846" t="str">
        <f>IF(OR((NHL2025_26Results[[#This Row],[Winning Team]]="")),"-",IF(Table4[[#This Row],[Predicted Winner]]=NHL2025_26Results[[#This Row],[Winning Team]],"YES","NO"))</f>
        <v>YES</v>
      </c>
      <c r="N846">
        <f>IF(Table4[[#This Row],[Adjusted Correct]]="-", "",IF(Table4[[#This Row],[Adjusted Correct]]="YES",(Table4[[#This Row],[Strength of Win]]-1)^2,(Table4[[#This Row],[Strength of Win]]-0)^2))</f>
        <v>0.31008990298442141</v>
      </c>
      <c r="O846">
        <v>5.3888895340633555E-2</v>
      </c>
      <c r="P846" s="11">
        <v>0.58868675917571256</v>
      </c>
      <c r="Q846" t="s">
        <v>26</v>
      </c>
      <c r="R846" t="s">
        <v>249</v>
      </c>
    </row>
    <row r="847" spans="4:18" x14ac:dyDescent="0.2">
      <c r="D847" s="1">
        <v>46051</v>
      </c>
      <c r="E847" s="2">
        <v>0.875</v>
      </c>
      <c r="F847" t="s">
        <v>17</v>
      </c>
      <c r="G847">
        <f>VLOOKUP(Table4[[#This Row],[Home]],'NHL Model'!$A$6:$B$38,2,FALSE)</f>
        <v>-0.36462594951491906</v>
      </c>
      <c r="H847" t="s">
        <v>33</v>
      </c>
      <c r="I847">
        <f>VLOOKUP(Table4[[#This Row],[Visitor]],'NHL Model'!$A$6:$B$38,2,FALSE)</f>
        <v>-0.65236582493376272</v>
      </c>
      <c r="J847">
        <f>($B$1+Table4[[#This Row],[Home Differential]])-Table4[[#This Row],[Away Differential]]</f>
        <v>0.41734686123036779</v>
      </c>
      <c r="K847" t="str">
        <f>IF(Table4[[#This Row],[HomeIce Differential]]&gt;0,Table4[[#This Row],[Home]],Table4[[#This Row],[Visitor]])</f>
        <v>Edmonton Oilers</v>
      </c>
      <c r="L8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0.5868654925909268</v>
      </c>
      <c r="M847" t="str">
        <f>IF(OR((NHL2025_26Results[[#This Row],[Winning Team]]="")),"-",IF(Table4[[#This Row],[Predicted Winner]]=NHL2025_26Results[[#This Row],[Winning Team]],"YES","NO"))</f>
        <v>YES</v>
      </c>
      <c r="N847">
        <f>IF(Table4[[#This Row],[Adjusted Correct]]="-", "",IF(Table4[[#This Row],[Adjusted Correct]]="YES",(Table4[[#This Row],[Strength of Win]]-1)^2,(Table4[[#This Row],[Strength of Win]]-0)^2))</f>
        <v>0.17068012121213758</v>
      </c>
      <c r="O847">
        <v>0.45566582326693678</v>
      </c>
      <c r="P847" s="11">
        <v>0.55835164889218647</v>
      </c>
      <c r="Q847" t="s">
        <v>17</v>
      </c>
      <c r="R847" t="s">
        <v>248</v>
      </c>
    </row>
    <row r="848" spans="4:18" x14ac:dyDescent="0.2">
      <c r="D848" s="1">
        <v>46051</v>
      </c>
      <c r="E848" s="2">
        <v>0.83333333333333337</v>
      </c>
      <c r="F848" t="s">
        <v>34</v>
      </c>
      <c r="G848">
        <f>VLOOKUP(Table4[[#This Row],[Home]],'NHL Model'!$A$6:$B$38,2,FALSE)</f>
        <v>6.0485283743665949E-2</v>
      </c>
      <c r="H848" t="s">
        <v>16</v>
      </c>
      <c r="I848">
        <f>VLOOKUP(Table4[[#This Row],[Visitor]],'NHL Model'!$A$6:$B$38,2,FALSE)</f>
        <v>-0.89031221864884547</v>
      </c>
      <c r="J848">
        <f>($B$1+Table4[[#This Row],[Home Differential]])-Table4[[#This Row],[Away Differential]]</f>
        <v>1.0804044882040356</v>
      </c>
      <c r="K848" t="str">
        <f>IF(Table4[[#This Row],[HomeIce Differential]]&gt;0,Table4[[#This Row],[Home]],Table4[[#This Row],[Visitor]])</f>
        <v>Minnesota Wild</v>
      </c>
      <c r="L8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0.67327084898037803</v>
      </c>
      <c r="M848" t="str">
        <f>IF(OR((NHL2025_26Results[[#This Row],[Winning Team]]="")),"-",IF(Table4[[#This Row],[Predicted Winner]]=NHL2025_26Results[[#This Row],[Winning Team]],"YES","NO"))</f>
        <v>YES</v>
      </c>
      <c r="N848">
        <f>IF(Table4[[#This Row],[Adjusted Correct]]="-", "",IF(Table4[[#This Row],[Adjusted Correct]]="YES",(Table4[[#This Row],[Strength of Win]]-1)^2,(Table4[[#This Row],[Strength of Win]]-0)^2))</f>
        <v>0.10675193812600293</v>
      </c>
      <c r="O848">
        <v>0.93307131634407414</v>
      </c>
      <c r="P848" s="11">
        <v>0.64016922034503598</v>
      </c>
      <c r="Q848" t="s">
        <v>34</v>
      </c>
      <c r="R848" t="s">
        <v>248</v>
      </c>
    </row>
    <row r="849" spans="4:18" x14ac:dyDescent="0.2">
      <c r="D849" s="1">
        <v>46051</v>
      </c>
      <c r="E849" s="2">
        <v>0.79166666666666663</v>
      </c>
      <c r="F849" t="s">
        <v>18</v>
      </c>
      <c r="G849">
        <f>VLOOKUP(Table4[[#This Row],[Home]],'NHL Model'!$A$6:$B$38,2,FALSE)</f>
        <v>-8.6274676766085606E-2</v>
      </c>
      <c r="H849" t="s">
        <v>12</v>
      </c>
      <c r="I849">
        <f>VLOOKUP(Table4[[#This Row],[Visitor]],'NHL Model'!$A$6:$B$38,2,FALSE)</f>
        <v>0.99866683349964291</v>
      </c>
      <c r="J849">
        <f>($B$1+Table4[[#This Row],[Home Differential]])-Table4[[#This Row],[Away Differential]]</f>
        <v>-0.95533452445420441</v>
      </c>
      <c r="K849" t="str">
        <f>IF(Table4[[#This Row],[HomeIce Differential]]&gt;0,Table4[[#This Row],[Home]],Table4[[#This Row],[Visitor]])</f>
        <v>Colorado Avalanche</v>
      </c>
      <c r="L8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0.62242972240979777</v>
      </c>
      <c r="M849" t="str">
        <f>IF(OR((NHL2025_26Results[[#This Row],[Winning Team]]="")),"-",IF(Table4[[#This Row],[Predicted Winner]]=NHL2025_26Results[[#This Row],[Winning Team]],"YES","NO"))</f>
        <v>NO</v>
      </c>
      <c r="N849">
        <f>IF(Table4[[#This Row],[Adjusted Correct]]="-", "",IF(Table4[[#This Row],[Adjusted Correct]]="YES",(Table4[[#This Row],[Strength of Win]]-1)^2,(Table4[[#This Row],[Strength of Win]]-0)^2))</f>
        <v>0.38741875933913789</v>
      </c>
      <c r="O849">
        <v>-1.2302349702894677</v>
      </c>
      <c r="P849" s="11">
        <v>0.65130178637224168</v>
      </c>
      <c r="Q849" t="s">
        <v>12</v>
      </c>
      <c r="R849" t="s">
        <v>249</v>
      </c>
    </row>
    <row r="850" spans="4:18" x14ac:dyDescent="0.2">
      <c r="D850" s="1">
        <v>46051</v>
      </c>
      <c r="E850" s="2">
        <v>0.79166666666666663</v>
      </c>
      <c r="F850" t="s">
        <v>24</v>
      </c>
      <c r="G850">
        <f>VLOOKUP(Table4[[#This Row],[Home]],'NHL Model'!$A$6:$B$38,2,FALSE)</f>
        <v>-0.74510803532792402</v>
      </c>
      <c r="H850" t="s">
        <v>29</v>
      </c>
      <c r="I850">
        <f>VLOOKUP(Table4[[#This Row],[Visitor]],'NHL Model'!$A$6:$B$38,2,FALSE)</f>
        <v>-0.82056481120798741</v>
      </c>
      <c r="J850">
        <f>($B$1+Table4[[#This Row],[Home Differential]])-Table4[[#This Row],[Away Differential]]</f>
        <v>0.20506376169158747</v>
      </c>
      <c r="K850" t="str">
        <f>IF(Table4[[#This Row],[HomeIce Differential]]&gt;0,Table4[[#This Row],[Home]],Table4[[#This Row],[Visitor]])</f>
        <v>New Jersey Devils</v>
      </c>
      <c r="L8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0.56302740261635731</v>
      </c>
      <c r="M850" t="str">
        <f>IF(OR((NHL2025_26Results[[#This Row],[Winning Team]]="")),"-",IF(Table4[[#This Row],[Predicted Winner]]=NHL2025_26Results[[#This Row],[Winning Team]],"YES","NO"))</f>
        <v>YES</v>
      </c>
      <c r="N850">
        <f>IF(Table4[[#This Row],[Adjusted Correct]]="-", "",IF(Table4[[#This Row],[Adjusted Correct]]="YES",(Table4[[#This Row],[Strength of Win]]-1)^2,(Table4[[#This Row],[Strength of Win]]-0)^2))</f>
        <v>0.1909450508642071</v>
      </c>
      <c r="O850">
        <v>0.28383724076882433</v>
      </c>
      <c r="P850" s="11">
        <v>0.57047114900509388</v>
      </c>
      <c r="Q850" t="s">
        <v>24</v>
      </c>
      <c r="R850" t="s">
        <v>248</v>
      </c>
    </row>
    <row r="851" spans="4:18" x14ac:dyDescent="0.2">
      <c r="D851" s="1">
        <v>46051</v>
      </c>
      <c r="E851" s="2">
        <v>0.79166666666666663</v>
      </c>
      <c r="F851" t="s">
        <v>15</v>
      </c>
      <c r="G851">
        <f>VLOOKUP(Table4[[#This Row],[Home]],'NHL Model'!$A$6:$B$38,2,FALSE)</f>
        <v>-0.73651915476403329</v>
      </c>
      <c r="H851" t="s">
        <v>30</v>
      </c>
      <c r="I851">
        <f>VLOOKUP(Table4[[#This Row],[Visitor]],'NHL Model'!$A$6:$B$38,2,FALSE)</f>
        <v>-0.18630462558229716</v>
      </c>
      <c r="J851">
        <f>($B$1+Table4[[#This Row],[Home Differential]])-Table4[[#This Row],[Away Differential]]</f>
        <v>-0.42060754337021206</v>
      </c>
      <c r="K851" t="str">
        <f>IF(Table4[[#This Row],[HomeIce Differential]]&gt;0,Table4[[#This Row],[Home]],Table4[[#This Row],[Visitor]])</f>
        <v>New York Islanders</v>
      </c>
      <c r="L8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0.54412605713272344</v>
      </c>
      <c r="M851" t="str">
        <f>IF(OR((NHL2025_26Results[[#This Row],[Winning Team]]="")),"-",IF(Table4[[#This Row],[Predicted Winner]]=NHL2025_26Results[[#This Row],[Winning Team]],"YES","NO"))</f>
        <v>YES</v>
      </c>
      <c r="N851">
        <f>IF(Table4[[#This Row],[Adjusted Correct]]="-", "",IF(Table4[[#This Row],[Adjusted Correct]]="YES",(Table4[[#This Row],[Strength of Win]]-1)^2,(Table4[[#This Row],[Strength of Win]]-0)^2))</f>
        <v>0.20782105178535693</v>
      </c>
      <c r="O851">
        <v>-0.44623757206372849</v>
      </c>
      <c r="P851" s="11">
        <v>0.53775856738313299</v>
      </c>
      <c r="Q851" t="s">
        <v>30</v>
      </c>
      <c r="R851" t="s">
        <v>248</v>
      </c>
    </row>
    <row r="852" spans="4:18" x14ac:dyDescent="0.2">
      <c r="D852" s="1">
        <v>46051</v>
      </c>
      <c r="E852" s="2">
        <v>0.79166666666666663</v>
      </c>
      <c r="F852" t="s">
        <v>14</v>
      </c>
      <c r="G852">
        <f>VLOOKUP(Table4[[#This Row],[Home]],'NHL Model'!$A$6:$B$38,2,FALSE)</f>
        <v>3.6349513460996066E-5</v>
      </c>
      <c r="H852" t="s">
        <v>10</v>
      </c>
      <c r="I852">
        <f>VLOOKUP(Table4[[#This Row],[Visitor]],'NHL Model'!$A$6:$B$38,2,FALSE)</f>
        <v>-0.92658078135875344</v>
      </c>
      <c r="J852">
        <f>($B$1+Table4[[#This Row],[Home Differential]])-Table4[[#This Row],[Away Differential]]</f>
        <v>1.0562241166837385</v>
      </c>
      <c r="K852" t="str">
        <f>IF(Table4[[#This Row],[HomeIce Differential]]&gt;0,Table4[[#This Row],[Home]],Table4[[#This Row],[Visitor]])</f>
        <v>Pittsburgh Penguins</v>
      </c>
      <c r="L8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0.65860748962833726</v>
      </c>
      <c r="M852" t="str">
        <f>IF(OR((NHL2025_26Results[[#This Row],[Winning Team]]="")),"-",IF(Table4[[#This Row],[Predicted Winner]]=NHL2025_26Results[[#This Row],[Winning Team]],"YES","NO"))</f>
        <v>YES</v>
      </c>
      <c r="N852">
        <f>IF(Table4[[#This Row],[Adjusted Correct]]="-", "",IF(Table4[[#This Row],[Adjusted Correct]]="YES",(Table4[[#This Row],[Strength of Win]]-1)^2,(Table4[[#This Row],[Strength of Win]]-0)^2))</f>
        <v>0.11654884613786586</v>
      </c>
      <c r="O852">
        <v>0.85867471947848828</v>
      </c>
      <c r="P852" s="11">
        <v>0.63218242558046345</v>
      </c>
      <c r="Q852" t="s">
        <v>14</v>
      </c>
      <c r="R852" t="s">
        <v>248</v>
      </c>
    </row>
    <row r="853" spans="4:18" x14ac:dyDescent="0.2">
      <c r="D853" s="1">
        <v>46051</v>
      </c>
      <c r="E853" s="2">
        <v>0.91666666666666663</v>
      </c>
      <c r="F853" t="s">
        <v>32</v>
      </c>
      <c r="G853">
        <f>VLOOKUP(Table4[[#This Row],[Home]],'NHL Model'!$A$6:$B$38,2,FALSE)</f>
        <v>-0.48236715437805205</v>
      </c>
      <c r="H853" t="s">
        <v>19</v>
      </c>
      <c r="I853">
        <f>VLOOKUP(Table4[[#This Row],[Visitor]],'NHL Model'!$A$6:$B$38,2,FALSE)</f>
        <v>-0.44228056828684137</v>
      </c>
      <c r="J853">
        <f>($B$1+Table4[[#This Row],[Home Differential]])-Table4[[#This Row],[Away Differential]]</f>
        <v>8.9520399720313448E-2</v>
      </c>
      <c r="K853" t="str">
        <f>IF(Table4[[#This Row],[HomeIce Differential]]&gt;0,Table4[[#This Row],[Home]],Table4[[#This Row],[Visitor]])</f>
        <v>Seattle Kraken</v>
      </c>
      <c r="L8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0.55005259178770571</v>
      </c>
      <c r="M853" t="str">
        <f>IF(OR((NHL2025_26Results[[#This Row],[Winning Team]]="")),"-",IF(Table4[[#This Row],[Predicted Winner]]=NHL2025_26Results[[#This Row],[Winning Team]],"YES","NO"))</f>
        <v>YES</v>
      </c>
      <c r="N853">
        <f>IF(Table4[[#This Row],[Adjusted Correct]]="-", "",IF(Table4[[#This Row],[Adjusted Correct]]="YES",(Table4[[#This Row],[Strength of Win]]-1)^2,(Table4[[#This Row],[Strength of Win]]-0)^2))</f>
        <v>0.202452670156961</v>
      </c>
      <c r="O853">
        <v>6.2810403161519313E-2</v>
      </c>
      <c r="P853" s="11">
        <v>0.54674296702089031</v>
      </c>
      <c r="Q853" t="s">
        <v>32</v>
      </c>
      <c r="R853" t="s">
        <v>248</v>
      </c>
    </row>
    <row r="854" spans="4:18" x14ac:dyDescent="0.2">
      <c r="D854" s="1">
        <v>46051</v>
      </c>
      <c r="E854" s="2">
        <v>0.83333333333333337</v>
      </c>
      <c r="F854" t="s">
        <v>35</v>
      </c>
      <c r="G854">
        <f>VLOOKUP(Table4[[#This Row],[Home]],'NHL Model'!$A$6:$B$38,2,FALSE)</f>
        <v>-1.3128572733047907</v>
      </c>
      <c r="H854" t="s">
        <v>11</v>
      </c>
      <c r="I854">
        <f>VLOOKUP(Table4[[#This Row],[Visitor]],'NHL Model'!$A$6:$B$38,2,FALSE)</f>
        <v>-0.55695213126481558</v>
      </c>
      <c r="J854">
        <f>($B$1+Table4[[#This Row],[Home Differential]])-Table4[[#This Row],[Away Differential]]</f>
        <v>-0.62629815622845109</v>
      </c>
      <c r="K854" t="str">
        <f>IF(Table4[[#This Row],[HomeIce Differential]]&gt;0,Table4[[#This Row],[Home]],Table4[[#This Row],[Visitor]])</f>
        <v>Florida Panthers</v>
      </c>
      <c r="L8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0.56961617459045433</v>
      </c>
      <c r="M854" t="str">
        <f>IF(OR((NHL2025_26Results[[#This Row],[Winning Team]]="")),"-",IF(Table4[[#This Row],[Predicted Winner]]=NHL2025_26Results[[#This Row],[Winning Team]],"YES","NO"))</f>
        <v>NO</v>
      </c>
      <c r="N854">
        <f>IF(Table4[[#This Row],[Adjusted Correct]]="-", "",IF(Table4[[#This Row],[Adjusted Correct]]="YES",(Table4[[#This Row],[Strength of Win]]-1)^2,(Table4[[#This Row],[Strength of Win]]-0)^2))</f>
        <v>0.32446258635506292</v>
      </c>
      <c r="O854">
        <v>-0.78397659291342092</v>
      </c>
      <c r="P854" s="11">
        <v>0.60345109413321429</v>
      </c>
      <c r="Q854" t="s">
        <v>11</v>
      </c>
      <c r="R854" t="s">
        <v>249</v>
      </c>
    </row>
    <row r="855" spans="4:18" x14ac:dyDescent="0.2">
      <c r="D855" s="1">
        <v>46051</v>
      </c>
      <c r="E855" s="2">
        <v>0.79166666666666663</v>
      </c>
      <c r="F855" t="s">
        <v>37</v>
      </c>
      <c r="G855">
        <f>VLOOKUP(Table4[[#This Row],[Home]],'NHL Model'!$A$6:$B$38,2,FALSE)</f>
        <v>0.72108184732572844</v>
      </c>
      <c r="H855" t="s">
        <v>40</v>
      </c>
      <c r="I855">
        <f>VLOOKUP(Table4[[#This Row],[Visitor]],'NHL Model'!$A$6:$B$38,2,FALSE)</f>
        <v>-0.58845147248022256</v>
      </c>
      <c r="J855">
        <f>($B$1+Table4[[#This Row],[Home Differential]])-Table4[[#This Row],[Away Differential]]</f>
        <v>1.439140305617475</v>
      </c>
      <c r="K855" t="str">
        <f>IF(Table4[[#This Row],[HomeIce Differential]]&gt;0,Table4[[#This Row],[Home]],Table4[[#This Row],[Visitor]])</f>
        <v>Tampa Bay Lightning</v>
      </c>
      <c r="L8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0.75759157244973152</v>
      </c>
      <c r="M855" t="str">
        <f>IF(OR((NHL2025_26Results[[#This Row],[Winning Team]]="")),"-",IF(Table4[[#This Row],[Predicted Winner]]=NHL2025_26Results[[#This Row],[Winning Team]],"YES","NO"))</f>
        <v>YES</v>
      </c>
      <c r="N855">
        <f>IF(Table4[[#This Row],[Adjusted Correct]]="-", "",IF(Table4[[#This Row],[Adjusted Correct]]="YES",(Table4[[#This Row],[Strength of Win]]-1)^2,(Table4[[#This Row],[Strength of Win]]-0)^2))</f>
        <v>5.8761845747393765E-2</v>
      </c>
      <c r="O855">
        <v>1.2267248347385142</v>
      </c>
      <c r="P855" s="11">
        <v>0.70126294407316914</v>
      </c>
      <c r="Q855" t="s">
        <v>37</v>
      </c>
      <c r="R855" t="s">
        <v>248</v>
      </c>
    </row>
    <row r="856" spans="4:18" x14ac:dyDescent="0.2">
      <c r="D856" s="1">
        <v>46051</v>
      </c>
      <c r="E856" s="2">
        <v>0.91666666666666663</v>
      </c>
      <c r="F856" t="s">
        <v>38</v>
      </c>
      <c r="G856">
        <f>VLOOKUP(Table4[[#This Row],[Home]],'NHL Model'!$A$6:$B$38,2,FALSE)</f>
        <v>-1.3920033028857945</v>
      </c>
      <c r="H856" t="s">
        <v>31</v>
      </c>
      <c r="I856">
        <f>VLOOKUP(Table4[[#This Row],[Visitor]],'NHL Model'!$A$6:$B$38,2,FALSE)</f>
        <v>-0.46360583111358089</v>
      </c>
      <c r="J856">
        <f>($B$1+Table4[[#This Row],[Home Differential]])-Table4[[#This Row],[Away Differential]]</f>
        <v>-0.79879048596068958</v>
      </c>
      <c r="K856" t="str">
        <f>IF(Table4[[#This Row],[HomeIce Differential]]&gt;0,Table4[[#This Row],[Home]],Table4[[#This Row],[Visitor]])</f>
        <v>Anaheim Ducks</v>
      </c>
      <c r="L8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0.5496992719464342</v>
      </c>
      <c r="M856" t="str">
        <f>IF(OR((NHL2025_26Results[[#This Row],[Winning Team]]="")),"-",IF(Table4[[#This Row],[Predicted Winner]]=NHL2025_26Results[[#This Row],[Winning Team]],"YES","NO"))</f>
        <v>NO</v>
      </c>
      <c r="N856">
        <f>IF(Table4[[#This Row],[Adjusted Correct]]="-", "",IF(Table4[[#This Row],[Adjusted Correct]]="YES",(Table4[[#This Row],[Strength of Win]]-1)^2,(Table4[[#This Row],[Strength of Win]]-0)^2))</f>
        <v>0.3021692895784398</v>
      </c>
      <c r="O856">
        <v>-0.76830252328050119</v>
      </c>
      <c r="P856" s="11">
        <v>0.54248058149260714</v>
      </c>
      <c r="Q856" t="s">
        <v>31</v>
      </c>
      <c r="R856" t="s">
        <v>249</v>
      </c>
    </row>
    <row r="857" spans="4:18" x14ac:dyDescent="0.2">
      <c r="D857" s="1">
        <v>46051</v>
      </c>
      <c r="E857" s="2">
        <v>0.91666666666666663</v>
      </c>
      <c r="F857" t="s">
        <v>20</v>
      </c>
      <c r="G857">
        <f>VLOOKUP(Table4[[#This Row],[Home]],'NHL Model'!$A$6:$B$38,2,FALSE)</f>
        <v>-0.16296463421387539</v>
      </c>
      <c r="H857" t="s">
        <v>39</v>
      </c>
      <c r="I857">
        <f>VLOOKUP(Table4[[#This Row],[Visitor]],'NHL Model'!$A$6:$B$38,2,FALSE)</f>
        <v>0.21708030788125537</v>
      </c>
      <c r="J857">
        <f>($B$1+Table4[[#This Row],[Home Differential]])-Table4[[#This Row],[Away Differential]]</f>
        <v>-0.25043795628360666</v>
      </c>
      <c r="K857" t="str">
        <f>IF(Table4[[#This Row],[HomeIce Differential]]&gt;0,Table4[[#This Row],[Home]],Table4[[#This Row],[Visitor]])</f>
        <v>Dallas Stars</v>
      </c>
      <c r="L8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0.54625736137837966</v>
      </c>
      <c r="M857" t="str">
        <f>IF(OR((NHL2025_26Results[[#This Row],[Winning Team]]="")),"-",IF(Table4[[#This Row],[Predicted Winner]]=NHL2025_26Results[[#This Row],[Winning Team]],"YES","NO"))</f>
        <v>YES</v>
      </c>
      <c r="N857">
        <f>IF(Table4[[#This Row],[Adjusted Correct]]="-", "",IF(Table4[[#This Row],[Adjusted Correct]]="YES",(Table4[[#This Row],[Strength of Win]]-1)^2,(Table4[[#This Row],[Strength of Win]]-0)^2))</f>
        <v>0.20588238210331036</v>
      </c>
      <c r="O857">
        <v>-0.25025672160912155</v>
      </c>
      <c r="P857" s="11">
        <v>0.53223568727777726</v>
      </c>
      <c r="Q857" t="s">
        <v>39</v>
      </c>
      <c r="R857" t="s">
        <v>248</v>
      </c>
    </row>
    <row r="858" spans="4:18" x14ac:dyDescent="0.2">
      <c r="D858" s="1">
        <v>46052</v>
      </c>
      <c r="E858" s="2">
        <v>0.85416666666666663</v>
      </c>
      <c r="F858" t="s">
        <v>10</v>
      </c>
      <c r="G858">
        <f>VLOOKUP(Table4[[#This Row],[Home]],'NHL Model'!$A$6:$B$38,2,FALSE)</f>
        <v>-0.92658078135875344</v>
      </c>
      <c r="H858" t="s">
        <v>28</v>
      </c>
      <c r="I858">
        <f>VLOOKUP(Table4[[#This Row],[Visitor]],'NHL Model'!$A$6:$B$38,2,FALSE)</f>
        <v>-0.28156479873410767</v>
      </c>
      <c r="J858">
        <f>($B$1+Table4[[#This Row],[Home Differential]])-Table4[[#This Row],[Away Differential]]</f>
        <v>-0.51540899681312169</v>
      </c>
      <c r="K858" t="str">
        <f>IF(Table4[[#This Row],[HomeIce Differential]]&gt;0,Table4[[#This Row],[Home]],Table4[[#This Row],[Visitor]])</f>
        <v>Columbus Blue Jackets</v>
      </c>
      <c r="L8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0.52989345233462504</v>
      </c>
      <c r="M858" t="str">
        <f>IF(OR((NHL2025_26Results[[#This Row],[Winning Team]]="")),"-",IF(Table4[[#This Row],[Predicted Winner]]=NHL2025_26Results[[#This Row],[Winning Team]],"YES","NO"))</f>
        <v>YES</v>
      </c>
      <c r="N858">
        <f>IF(Table4[[#This Row],[Adjusted Correct]]="-", "",IF(Table4[[#This Row],[Adjusted Correct]]="YES",(Table4[[#This Row],[Strength of Win]]-1)^2,(Table4[[#This Row],[Strength of Win]]-0)^2))</f>
        <v>0.22100016615785747</v>
      </c>
      <c r="O858">
        <v>-0.31472126482713264</v>
      </c>
      <c r="P858" s="11">
        <v>0.49377257675712116</v>
      </c>
      <c r="Q858" t="s">
        <v>28</v>
      </c>
      <c r="R858" t="s">
        <v>248</v>
      </c>
    </row>
    <row r="859" spans="4:18" x14ac:dyDescent="0.2">
      <c r="D859" s="1">
        <v>46053</v>
      </c>
      <c r="E859" s="2">
        <v>0.79166666666666663</v>
      </c>
      <c r="F859" t="s">
        <v>23</v>
      </c>
      <c r="G859">
        <f>VLOOKUP(Table4[[#This Row],[Home]],'NHL Model'!$A$6:$B$38,2,FALSE)</f>
        <v>8.1543966060426461E-3</v>
      </c>
      <c r="H859" t="s">
        <v>18</v>
      </c>
      <c r="I859">
        <f>VLOOKUP(Table4[[#This Row],[Visitor]],'NHL Model'!$A$6:$B$38,2,FALSE)</f>
        <v>-8.6274676766085606E-2</v>
      </c>
      <c r="J859">
        <f>($B$1+Table4[[#This Row],[Home Differential]])-Table4[[#This Row],[Away Differential]]</f>
        <v>0.22403605918365235</v>
      </c>
      <c r="K859" t="str">
        <f>IF(Table4[[#This Row],[HomeIce Differential]]&gt;0,Table4[[#This Row],[Home]],Table4[[#This Row],[Visitor]])</f>
        <v>Buffalo Sabres</v>
      </c>
      <c r="L8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0.54906860851478512</v>
      </c>
      <c r="M859" t="str">
        <f>IF(OR((NHL2025_26Results[[#This Row],[Winning Team]]="")),"-",IF(Table4[[#This Row],[Predicted Winner]]=NHL2025_26Results[[#This Row],[Winning Team]],"YES","NO"))</f>
        <v>NO</v>
      </c>
      <c r="N859">
        <f>IF(Table4[[#This Row],[Adjusted Correct]]="-", "",IF(Table4[[#This Row],[Adjusted Correct]]="YES",(Table4[[#This Row],[Strength of Win]]-1)^2,(Table4[[#This Row],[Strength of Win]]-0)^2))</f>
        <v>0.30147633685636238</v>
      </c>
      <c r="O859">
        <v>0.39643809212612741</v>
      </c>
      <c r="P859" s="11">
        <v>0.59078782874991764</v>
      </c>
      <c r="Q859" t="s">
        <v>23</v>
      </c>
      <c r="R859" t="s">
        <v>249</v>
      </c>
    </row>
    <row r="860" spans="4:18" x14ac:dyDescent="0.2">
      <c r="D860" s="1">
        <v>46053</v>
      </c>
      <c r="E860" s="2">
        <v>0.66666666666666663</v>
      </c>
      <c r="F860" t="s">
        <v>16</v>
      </c>
      <c r="G860">
        <f>VLOOKUP(Table4[[#This Row],[Home]],'NHL Model'!$A$6:$B$38,2,FALSE)</f>
        <v>-0.89031221864884547</v>
      </c>
      <c r="H860" t="s">
        <v>33</v>
      </c>
      <c r="I860">
        <f>VLOOKUP(Table4[[#This Row],[Visitor]],'NHL Model'!$A$6:$B$38,2,FALSE)</f>
        <v>-0.65236582493376272</v>
      </c>
      <c r="J860">
        <f>($B$1+Table4[[#This Row],[Home Differential]])-Table4[[#This Row],[Away Differential]]</f>
        <v>-0.10833940790355867</v>
      </c>
      <c r="K860" t="str">
        <f>IF(Table4[[#This Row],[HomeIce Differential]]&gt;0,Table4[[#This Row],[Home]],Table4[[#This Row],[Visitor]])</f>
        <v>San Jose Sharks</v>
      </c>
      <c r="L8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0.47216585097451352</v>
      </c>
      <c r="M860" t="str">
        <f>IF(OR((NHL2025_26Results[[#This Row],[Winning Team]]="")),"-",IF(Table4[[#This Row],[Predicted Winner]]=NHL2025_26Results[[#This Row],[Winning Team]],"YES","NO"))</f>
        <v>NO</v>
      </c>
      <c r="N860">
        <f>IF(Table4[[#This Row],[Adjusted Correct]]="-", "",IF(Table4[[#This Row],[Adjusted Correct]]="YES",(Table4[[#This Row],[Strength of Win]]-1)^2,(Table4[[#This Row],[Strength of Win]]-0)^2))</f>
        <v>0.22294059082648651</v>
      </c>
      <c r="O860">
        <v>-0.19721581187560544</v>
      </c>
      <c r="P860" s="11">
        <v>0.50186229661430581</v>
      </c>
      <c r="Q860" t="s">
        <v>33</v>
      </c>
      <c r="R860" t="s">
        <v>249</v>
      </c>
    </row>
    <row r="861" spans="4:18" x14ac:dyDescent="0.2">
      <c r="D861" s="1">
        <v>46053</v>
      </c>
      <c r="E861" s="2">
        <v>0.54166666666666663</v>
      </c>
      <c r="F861" t="s">
        <v>26</v>
      </c>
      <c r="G861">
        <f>VLOOKUP(Table4[[#This Row],[Home]],'NHL Model'!$A$6:$B$38,2,FALSE)</f>
        <v>-0.33113778518110382</v>
      </c>
      <c r="H861" t="s">
        <v>12</v>
      </c>
      <c r="I861">
        <f>VLOOKUP(Table4[[#This Row],[Visitor]],'NHL Model'!$A$6:$B$38,2,FALSE)</f>
        <v>0.99866683349964291</v>
      </c>
      <c r="J861">
        <f>($B$1+Table4[[#This Row],[Home Differential]])-Table4[[#This Row],[Away Differential]]</f>
        <v>-1.2001976328692225</v>
      </c>
      <c r="K861" t="str">
        <f>IF(Table4[[#This Row],[HomeIce Differential]]&gt;0,Table4[[#This Row],[Home]],Table4[[#This Row],[Visitor]])</f>
        <v>Colorado Avalanche</v>
      </c>
      <c r="L8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0.63773341227181257</v>
      </c>
      <c r="M861" t="str">
        <f>IF(OR((NHL2025_26Results[[#This Row],[Winning Team]]="")),"-",IF(Table4[[#This Row],[Predicted Winner]]=NHL2025_26Results[[#This Row],[Winning Team]],"YES","NO"))</f>
        <v>YES</v>
      </c>
      <c r="N861">
        <f>IF(Table4[[#This Row],[Adjusted Correct]]="-", "",IF(Table4[[#This Row],[Adjusted Correct]]="YES",(Table4[[#This Row],[Strength of Win]]-1)^2,(Table4[[#This Row],[Strength of Win]]-0)^2))</f>
        <v>0.13123708058422451</v>
      </c>
      <c r="O861">
        <v>-1.1108388884145681</v>
      </c>
      <c r="P861" s="11">
        <v>0.60053649576867307</v>
      </c>
      <c r="Q861" t="s">
        <v>12</v>
      </c>
      <c r="R861" t="s">
        <v>248</v>
      </c>
    </row>
    <row r="862" spans="4:18" x14ac:dyDescent="0.2">
      <c r="D862" s="1">
        <v>46053</v>
      </c>
      <c r="E862" s="2">
        <v>0.91666666666666663</v>
      </c>
      <c r="F862" t="s">
        <v>17</v>
      </c>
      <c r="G862">
        <f>VLOOKUP(Table4[[#This Row],[Home]],'NHL Model'!$A$6:$B$38,2,FALSE)</f>
        <v>-0.36462594951491906</v>
      </c>
      <c r="H862" t="s">
        <v>34</v>
      </c>
      <c r="I862">
        <f>VLOOKUP(Table4[[#This Row],[Visitor]],'NHL Model'!$A$6:$B$38,2,FALSE)</f>
        <v>6.0485283743665949E-2</v>
      </c>
      <c r="J862">
        <f>($B$1+Table4[[#This Row],[Home Differential]])-Table4[[#This Row],[Away Differential]]</f>
        <v>-0.29550424744706089</v>
      </c>
      <c r="K862" t="str">
        <f>IF(Table4[[#This Row],[HomeIce Differential]]&gt;0,Table4[[#This Row],[Home]],Table4[[#This Row],[Visitor]])</f>
        <v>Minnesota Wild</v>
      </c>
      <c r="L8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0.56244856971483337</v>
      </c>
      <c r="M862" t="str">
        <f>IF(OR((NHL2025_26Results[[#This Row],[Winning Team]]="")),"-",IF(Table4[[#This Row],[Predicted Winner]]=NHL2025_26Results[[#This Row],[Winning Team]],"YES","NO"))</f>
        <v>YES</v>
      </c>
      <c r="N862">
        <f>IF(Table4[[#This Row],[Adjusted Correct]]="-", "",IF(Table4[[#This Row],[Adjusted Correct]]="YES",(Table4[[#This Row],[Strength of Win]]-1)^2,(Table4[[#This Row],[Strength of Win]]-0)^2))</f>
        <v>0.19145125414459505</v>
      </c>
      <c r="O862">
        <v>-4.8198327312512973E-2</v>
      </c>
      <c r="P862" s="11">
        <v>0.51458897738163334</v>
      </c>
      <c r="Q862" t="s">
        <v>34</v>
      </c>
      <c r="R862" t="s">
        <v>248</v>
      </c>
    </row>
    <row r="863" spans="4:18" x14ac:dyDescent="0.2">
      <c r="D863" s="1">
        <v>46053</v>
      </c>
      <c r="E863" s="2">
        <v>0.66666666666666663</v>
      </c>
      <c r="F863" t="s">
        <v>11</v>
      </c>
      <c r="G863">
        <f>VLOOKUP(Table4[[#This Row],[Home]],'NHL Model'!$A$6:$B$38,2,FALSE)</f>
        <v>-0.55695213126481558</v>
      </c>
      <c r="H863" t="s">
        <v>40</v>
      </c>
      <c r="I863">
        <f>VLOOKUP(Table4[[#This Row],[Visitor]],'NHL Model'!$A$6:$B$38,2,FALSE)</f>
        <v>-0.58845147248022256</v>
      </c>
      <c r="J863">
        <f>($B$1+Table4[[#This Row],[Home Differential]])-Table4[[#This Row],[Away Differential]]</f>
        <v>0.16110632702693106</v>
      </c>
      <c r="K863" t="str">
        <f>IF(Table4[[#This Row],[HomeIce Differential]]&gt;0,Table4[[#This Row],[Home]],Table4[[#This Row],[Visitor]])</f>
        <v>Florida Panthers</v>
      </c>
      <c r="L8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0.55809125232995205</v>
      </c>
      <c r="M863" t="str">
        <f>IF(OR((NHL2025_26Results[[#This Row],[Winning Team]]="")),"-",IF(Table4[[#This Row],[Predicted Winner]]=NHL2025_26Results[[#This Row],[Winning Team]],"YES","NO"))</f>
        <v>NO</v>
      </c>
      <c r="N863">
        <f>IF(Table4[[#This Row],[Adjusted Correct]]="-", "",IF(Table4[[#This Row],[Adjusted Correct]]="YES",(Table4[[#This Row],[Strength of Win]]-1)^2,(Table4[[#This Row],[Strength of Win]]-0)^2))</f>
        <v>0.31146584592721421</v>
      </c>
      <c r="O863">
        <v>0.20567431182323798</v>
      </c>
      <c r="P863" s="11">
        <v>0.56199773821717947</v>
      </c>
      <c r="Q863" t="s">
        <v>11</v>
      </c>
      <c r="R863" t="s">
        <v>249</v>
      </c>
    </row>
    <row r="864" spans="4:18" x14ac:dyDescent="0.2">
      <c r="D864" s="1">
        <v>46053</v>
      </c>
      <c r="E864" s="2">
        <v>0.79166666666666663</v>
      </c>
      <c r="F864" t="s">
        <v>30</v>
      </c>
      <c r="G864">
        <f>VLOOKUP(Table4[[#This Row],[Home]],'NHL Model'!$A$6:$B$38,2,FALSE)</f>
        <v>-0.18630462558229716</v>
      </c>
      <c r="H864" t="s">
        <v>29</v>
      </c>
      <c r="I864">
        <f>VLOOKUP(Table4[[#This Row],[Visitor]],'NHL Model'!$A$6:$B$38,2,FALSE)</f>
        <v>-0.82056481120798741</v>
      </c>
      <c r="J864">
        <f>($B$1+Table4[[#This Row],[Home Differential]])-Table4[[#This Row],[Away Differential]]</f>
        <v>0.76386717143721439</v>
      </c>
      <c r="K864" t="str">
        <f>IF(Table4[[#This Row],[HomeIce Differential]]&gt;0,Table4[[#This Row],[Home]],Table4[[#This Row],[Visitor]])</f>
        <v>New York Islanders</v>
      </c>
      <c r="L8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0.63979421843694617</v>
      </c>
      <c r="M864" t="str">
        <f>IF(OR((NHL2025_26Results[[#This Row],[Winning Team]]="")),"-",IF(Table4[[#This Row],[Predicted Winner]]=NHL2025_26Results[[#This Row],[Winning Team]],"YES","NO"))</f>
        <v>NO</v>
      </c>
      <c r="N864">
        <f>IF(Table4[[#This Row],[Adjusted Correct]]="-", "",IF(Table4[[#This Row],[Adjusted Correct]]="YES",(Table4[[#This Row],[Strength of Win]]-1)^2,(Table4[[#This Row],[Strength of Win]]-0)^2))</f>
        <v>0.40933664194534281</v>
      </c>
      <c r="O864">
        <v>0.82658241147137945</v>
      </c>
      <c r="P864" s="11">
        <v>0.64478630958098104</v>
      </c>
      <c r="Q864" t="s">
        <v>30</v>
      </c>
      <c r="R864" t="s">
        <v>249</v>
      </c>
    </row>
    <row r="865" spans="4:18" x14ac:dyDescent="0.2">
      <c r="D865" s="1">
        <v>46053</v>
      </c>
      <c r="E865" s="2">
        <v>0.79166666666666663</v>
      </c>
      <c r="F865" t="s">
        <v>36</v>
      </c>
      <c r="G865">
        <f>VLOOKUP(Table4[[#This Row],[Home]],'NHL Model'!$A$6:$B$38,2,FALSE)</f>
        <v>-0.19010748264223354</v>
      </c>
      <c r="H865" t="s">
        <v>24</v>
      </c>
      <c r="I865">
        <f>VLOOKUP(Table4[[#This Row],[Visitor]],'NHL Model'!$A$6:$B$38,2,FALSE)</f>
        <v>-0.74510803532792402</v>
      </c>
      <c r="J865">
        <f>($B$1+Table4[[#This Row],[Home Differential]])-Table4[[#This Row],[Away Differential]]</f>
        <v>0.68460753849721456</v>
      </c>
      <c r="K865" t="str">
        <f>IF(Table4[[#This Row],[HomeIce Differential]]&gt;0,Table4[[#This Row],[Home]],Table4[[#This Row],[Visitor]])</f>
        <v>Ottawa Senators</v>
      </c>
      <c r="L8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0.59610799655325719</v>
      </c>
      <c r="M865" t="str">
        <f>IF(OR((NHL2025_26Results[[#This Row],[Winning Team]]="")),"-",IF(Table4[[#This Row],[Predicted Winner]]=NHL2025_26Results[[#This Row],[Winning Team]],"YES","NO"))</f>
        <v>YES</v>
      </c>
      <c r="N865">
        <f>IF(Table4[[#This Row],[Adjusted Correct]]="-", "",IF(Table4[[#This Row],[Adjusted Correct]]="YES",(Table4[[#This Row],[Strength of Win]]-1)^2,(Table4[[#This Row],[Strength of Win]]-0)^2))</f>
        <v>0.1631287504482237</v>
      </c>
      <c r="O865">
        <v>0.48976413824573189</v>
      </c>
      <c r="P865" s="11">
        <v>0.5631455570272661</v>
      </c>
      <c r="Q865" t="s">
        <v>36</v>
      </c>
      <c r="R865" t="s">
        <v>248</v>
      </c>
    </row>
    <row r="866" spans="4:18" x14ac:dyDescent="0.2">
      <c r="D866" s="1">
        <v>46053</v>
      </c>
      <c r="E866" s="2">
        <v>0.52083333333333337</v>
      </c>
      <c r="F866" t="s">
        <v>27</v>
      </c>
      <c r="G866">
        <f>VLOOKUP(Table4[[#This Row],[Home]],'NHL Model'!$A$6:$B$38,2,FALSE)</f>
        <v>-0.55097933929175691</v>
      </c>
      <c r="H866" t="s">
        <v>13</v>
      </c>
      <c r="I866">
        <f>VLOOKUP(Table4[[#This Row],[Visitor]],'NHL Model'!$A$6:$B$38,2,FALSE)</f>
        <v>-0.59069689888466137</v>
      </c>
      <c r="J866">
        <f>($B$1+Table4[[#This Row],[Home Differential]])-Table4[[#This Row],[Away Differential]]</f>
        <v>0.16932454540442854</v>
      </c>
      <c r="K866" t="str">
        <f>IF(Table4[[#This Row],[HomeIce Differential]]&gt;0,Table4[[#This Row],[Home]],Table4[[#This Row],[Visitor]])</f>
        <v>Philadelphia Flyers</v>
      </c>
      <c r="L8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0.53824487707554602</v>
      </c>
      <c r="M866" t="str">
        <f>IF(OR((NHL2025_26Results[[#This Row],[Winning Team]]="")),"-",IF(Table4[[#This Row],[Predicted Winner]]=NHL2025_26Results[[#This Row],[Winning Team]],"YES","NO"))</f>
        <v>NO</v>
      </c>
      <c r="N866">
        <f>IF(Table4[[#This Row],[Adjusted Correct]]="-", "",IF(Table4[[#This Row],[Adjusted Correct]]="YES",(Table4[[#This Row],[Strength of Win]]-1)^2,(Table4[[#This Row],[Strength of Win]]-0)^2))</f>
        <v>0.28970754769806967</v>
      </c>
      <c r="O866">
        <v>0.11059034227703812</v>
      </c>
      <c r="P866" s="11">
        <v>0.5219750611208871</v>
      </c>
      <c r="Q866" t="s">
        <v>27</v>
      </c>
      <c r="R866" t="s">
        <v>249</v>
      </c>
    </row>
    <row r="867" spans="4:18" x14ac:dyDescent="0.2">
      <c r="D867" s="1">
        <v>46053</v>
      </c>
      <c r="E867" s="2">
        <v>0.64583333333333337</v>
      </c>
      <c r="F867" t="s">
        <v>14</v>
      </c>
      <c r="G867">
        <f>VLOOKUP(Table4[[#This Row],[Home]],'NHL Model'!$A$6:$B$38,2,FALSE)</f>
        <v>3.6349513460996066E-5</v>
      </c>
      <c r="H867" t="s">
        <v>15</v>
      </c>
      <c r="I867">
        <f>VLOOKUP(Table4[[#This Row],[Visitor]],'NHL Model'!$A$6:$B$38,2,FALSE)</f>
        <v>-0.73651915476403329</v>
      </c>
      <c r="J867">
        <f>($B$1+Table4[[#This Row],[Home Differential]])-Table4[[#This Row],[Away Differential]]</f>
        <v>0.86616249008901836</v>
      </c>
      <c r="K867" t="str">
        <f>IF(Table4[[#This Row],[HomeIce Differential]]&gt;0,Table4[[#This Row],[Home]],Table4[[#This Row],[Visitor]])</f>
        <v>Pittsburgh Penguins</v>
      </c>
      <c r="L8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0.60134874876548539</v>
      </c>
      <c r="M867" t="str">
        <f>IF(OR((NHL2025_26Results[[#This Row],[Winning Team]]="")),"-",IF(Table4[[#This Row],[Predicted Winner]]=NHL2025_26Results[[#This Row],[Winning Team]],"YES","NO"))</f>
        <v>YES</v>
      </c>
      <c r="N867">
        <f>IF(Table4[[#This Row],[Adjusted Correct]]="-", "",IF(Table4[[#This Row],[Adjusted Correct]]="YES",(Table4[[#This Row],[Strength of Win]]-1)^2,(Table4[[#This Row],[Strength of Win]]-0)^2))</f>
        <v>0.15892282011084408</v>
      </c>
      <c r="O867">
        <v>0.82374777725605952</v>
      </c>
      <c r="P867" s="11">
        <v>0.58425031801535177</v>
      </c>
      <c r="Q867" t="s">
        <v>14</v>
      </c>
      <c r="R867" t="s">
        <v>248</v>
      </c>
    </row>
    <row r="868" spans="4:18" x14ac:dyDescent="0.2">
      <c r="D868" s="1">
        <v>46053</v>
      </c>
      <c r="E868" s="2">
        <v>0.79166666666666663</v>
      </c>
      <c r="F868" t="s">
        <v>35</v>
      </c>
      <c r="G868">
        <f>VLOOKUP(Table4[[#This Row],[Home]],'NHL Model'!$A$6:$B$38,2,FALSE)</f>
        <v>-1.3128572733047907</v>
      </c>
      <c r="H868" t="s">
        <v>28</v>
      </c>
      <c r="I868">
        <f>VLOOKUP(Table4[[#This Row],[Visitor]],'NHL Model'!$A$6:$B$38,2,FALSE)</f>
        <v>-0.28156479873410767</v>
      </c>
      <c r="J868">
        <f>($B$1+Table4[[#This Row],[Home Differential]])-Table4[[#This Row],[Away Differential]]</f>
        <v>-0.90168548875915899</v>
      </c>
      <c r="K868" t="str">
        <f>IF(Table4[[#This Row],[HomeIce Differential]]&gt;0,Table4[[#This Row],[Home]],Table4[[#This Row],[Visitor]])</f>
        <v>Columbus Blue Jackets</v>
      </c>
      <c r="L8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0.57326993303458096</v>
      </c>
      <c r="M868" t="str">
        <f>IF(OR((NHL2025_26Results[[#This Row],[Winning Team]]="")),"-",IF(Table4[[#This Row],[Predicted Winner]]=NHL2025_26Results[[#This Row],[Winning Team]],"YES","NO"))</f>
        <v>YES</v>
      </c>
      <c r="N868">
        <f>IF(Table4[[#This Row],[Adjusted Correct]]="-", "",IF(Table4[[#This Row],[Adjusted Correct]]="YES",(Table4[[#This Row],[Strength of Win]]-1)^2,(Table4[[#This Row],[Strength of Win]]-0)^2))</f>
        <v>0.18209855005231101</v>
      </c>
      <c r="O868">
        <v>-0.74782783593934987</v>
      </c>
      <c r="P868" s="11">
        <v>0.53998335242104334</v>
      </c>
      <c r="Q868" t="s">
        <v>28</v>
      </c>
      <c r="R868" t="s">
        <v>248</v>
      </c>
    </row>
    <row r="869" spans="4:18" x14ac:dyDescent="0.2">
      <c r="D869" s="1">
        <v>46053</v>
      </c>
      <c r="E869" s="2">
        <v>0.875</v>
      </c>
      <c r="F869" t="s">
        <v>55</v>
      </c>
      <c r="G869">
        <f>VLOOKUP(Table4[[#This Row],[Home]],'NHL Model'!$A$6:$B$38,2,FALSE)</f>
        <v>8.4094725828611647E-2</v>
      </c>
      <c r="H869" t="s">
        <v>39</v>
      </c>
      <c r="I869">
        <f>VLOOKUP(Table4[[#This Row],[Visitor]],'NHL Model'!$A$6:$B$38,2,FALSE)</f>
        <v>0.21708030788125537</v>
      </c>
      <c r="J869">
        <f>($B$1+Table4[[#This Row],[Home Differential]])-Table4[[#This Row],[Away Differential]]</f>
        <v>-3.3785962411196357E-3</v>
      </c>
      <c r="K869" t="str">
        <f>IF(Table4[[#This Row],[HomeIce Differential]]&gt;0,Table4[[#This Row],[Home]],Table4[[#This Row],[Visitor]])</f>
        <v>Dallas Stars</v>
      </c>
      <c r="L8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0.48922517642956365</v>
      </c>
      <c r="M869" t="str">
        <f>IF(OR((NHL2025_26Results[[#This Row],[Winning Team]]="")),"-",IF(Table4[[#This Row],[Predicted Winner]]=NHL2025_26Results[[#This Row],[Winning Team]],"YES","NO"))</f>
        <v>YES</v>
      </c>
      <c r="N869">
        <f>IF(Table4[[#This Row],[Adjusted Correct]]="-", "",IF(Table4[[#This Row],[Adjusted Correct]]="YES",(Table4[[#This Row],[Strength of Win]]-1)^2,(Table4[[#This Row],[Strength of Win]]-0)^2))</f>
        <v>0.26089092039341039</v>
      </c>
      <c r="O869">
        <v>1.0011577676830308E-3</v>
      </c>
      <c r="P869" s="11">
        <v>0.52458260253642741</v>
      </c>
      <c r="Q869" t="s">
        <v>55</v>
      </c>
      <c r="R869" t="s">
        <v>249</v>
      </c>
    </row>
    <row r="870" spans="4:18" x14ac:dyDescent="0.2">
      <c r="D870" s="1">
        <v>46053</v>
      </c>
      <c r="E870" s="2">
        <v>0.79166666666666663</v>
      </c>
      <c r="F870" t="s">
        <v>38</v>
      </c>
      <c r="G870">
        <f>VLOOKUP(Table4[[#This Row],[Home]],'NHL Model'!$A$6:$B$38,2,FALSE)</f>
        <v>-1.3920033028857945</v>
      </c>
      <c r="H870" t="s">
        <v>19</v>
      </c>
      <c r="I870">
        <f>VLOOKUP(Table4[[#This Row],[Visitor]],'NHL Model'!$A$6:$B$38,2,FALSE)</f>
        <v>-0.44228056828684137</v>
      </c>
      <c r="J870">
        <f>($B$1+Table4[[#This Row],[Home Differential]])-Table4[[#This Row],[Away Differential]]</f>
        <v>-0.8201157487874291</v>
      </c>
      <c r="K870" t="str">
        <f>IF(Table4[[#This Row],[HomeIce Differential]]&gt;0,Table4[[#This Row],[Home]],Table4[[#This Row],[Visitor]])</f>
        <v>Toronto Maple Leafs</v>
      </c>
      <c r="L8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0.55209396815682332</v>
      </c>
      <c r="M870" t="str">
        <f>IF(OR((NHL2025_26Results[[#This Row],[Winning Team]]="")),"-",IF(Table4[[#This Row],[Predicted Winner]]=NHL2025_26Results[[#This Row],[Winning Team]],"YES","NO"))</f>
        <v>YES</v>
      </c>
      <c r="N870">
        <f>IF(Table4[[#This Row],[Adjusted Correct]]="-", "",IF(Table4[[#This Row],[Adjusted Correct]]="YES",(Table4[[#This Row],[Strength of Win]]-1)^2,(Table4[[#This Row],[Strength of Win]]-0)^2))</f>
        <v>0.20061981336150081</v>
      </c>
      <c r="O870">
        <v>-0.64413381532164515</v>
      </c>
      <c r="P870" s="11">
        <v>0.52889283800524467</v>
      </c>
      <c r="Q870" t="s">
        <v>19</v>
      </c>
      <c r="R870" t="s">
        <v>248</v>
      </c>
    </row>
    <row r="871" spans="4:18" x14ac:dyDescent="0.2">
      <c r="D871" s="1">
        <v>46053</v>
      </c>
      <c r="E871" s="2">
        <v>0.91666666666666663</v>
      </c>
      <c r="F871" t="s">
        <v>20</v>
      </c>
      <c r="G871">
        <f>VLOOKUP(Table4[[#This Row],[Home]],'NHL Model'!$A$6:$B$38,2,FALSE)</f>
        <v>-0.16296463421387539</v>
      </c>
      <c r="H871" t="s">
        <v>32</v>
      </c>
      <c r="I871">
        <f>VLOOKUP(Table4[[#This Row],[Visitor]],'NHL Model'!$A$6:$B$38,2,FALSE)</f>
        <v>-0.48236715437805205</v>
      </c>
      <c r="J871">
        <f>($B$1+Table4[[#This Row],[Home Differential]])-Table4[[#This Row],[Away Differential]]</f>
        <v>0.44900950597570077</v>
      </c>
      <c r="K871" t="str">
        <f>IF(Table4[[#This Row],[HomeIce Differential]]&gt;0,Table4[[#This Row],[Home]],Table4[[#This Row],[Visitor]])</f>
        <v>Vegas Golden Knights</v>
      </c>
      <c r="L8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0.5904210133832648</v>
      </c>
      <c r="M871" t="str">
        <f>IF(OR((NHL2025_26Results[[#This Row],[Winning Team]]="")),"-",IF(Table4[[#This Row],[Predicted Winner]]=NHL2025_26Results[[#This Row],[Winning Team]],"YES","NO"))</f>
        <v>NO</v>
      </c>
      <c r="N871">
        <f>IF(Table4[[#This Row],[Adjusted Correct]]="-", "",IF(Table4[[#This Row],[Adjusted Correct]]="YES",(Table4[[#This Row],[Strength of Win]]-1)^2,(Table4[[#This Row],[Strength of Win]]-0)^2))</f>
        <v>0.34859697304452136</v>
      </c>
      <c r="O871">
        <v>0.37582647322686386</v>
      </c>
      <c r="P871" s="11">
        <v>0.58019623209064386</v>
      </c>
      <c r="Q871" t="s">
        <v>20</v>
      </c>
      <c r="R871" t="s">
        <v>249</v>
      </c>
    </row>
    <row r="872" spans="4:18" x14ac:dyDescent="0.2">
      <c r="D872" s="1">
        <v>46053</v>
      </c>
      <c r="E872" s="2">
        <v>0.70833333333333337</v>
      </c>
      <c r="F872" t="s">
        <v>22</v>
      </c>
      <c r="G872">
        <f>VLOOKUP(Table4[[#This Row],[Home]],'NHL Model'!$A$6:$B$38,2,FALSE)</f>
        <v>-0.11977593183651415</v>
      </c>
      <c r="H872" t="s">
        <v>25</v>
      </c>
      <c r="I872">
        <f>VLOOKUP(Table4[[#This Row],[Visitor]],'NHL Model'!$A$6:$B$38,2,FALSE)</f>
        <v>0.2324942014830165</v>
      </c>
      <c r="J872">
        <f>($B$1+Table4[[#This Row],[Home Differential]])-Table4[[#This Row],[Away Differential]]</f>
        <v>-0.22266314750800653</v>
      </c>
      <c r="K872" t="str">
        <f>IF(Table4[[#This Row],[HomeIce Differential]]&gt;0,Table4[[#This Row],[Home]],Table4[[#This Row],[Visitor]])</f>
        <v>Carolina Hurricanes</v>
      </c>
      <c r="L8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0.52339598865049841</v>
      </c>
      <c r="M872" t="str">
        <f>IF(OR((NHL2025_26Results[[#This Row],[Winning Team]]="")),"-",IF(Table4[[#This Row],[Predicted Winner]]=NHL2025_26Results[[#This Row],[Winning Team]],"YES","NO"))</f>
        <v>NO</v>
      </c>
      <c r="N872">
        <f>IF(Table4[[#This Row],[Adjusted Correct]]="-", "",IF(Table4[[#This Row],[Adjusted Correct]]="YES",(Table4[[#This Row],[Strength of Win]]-1)^2,(Table4[[#This Row],[Strength of Win]]-0)^2))</f>
        <v>0.27394336093543264</v>
      </c>
      <c r="O872">
        <v>-0.2899868035645744</v>
      </c>
      <c r="P872" s="11">
        <v>0.55030314991040152</v>
      </c>
      <c r="Q872" t="s">
        <v>25</v>
      </c>
      <c r="R872" t="s">
        <v>249</v>
      </c>
    </row>
    <row r="873" spans="4:18" x14ac:dyDescent="0.2">
      <c r="D873" s="1">
        <v>46054</v>
      </c>
      <c r="E873" s="2">
        <v>0.89583333333333337</v>
      </c>
      <c r="F873" t="s">
        <v>31</v>
      </c>
      <c r="G873">
        <f>VLOOKUP(Table4[[#This Row],[Home]],'NHL Model'!$A$6:$B$38,2,FALSE)</f>
        <v>-0.46360583111358089</v>
      </c>
      <c r="H873" t="s">
        <v>20</v>
      </c>
      <c r="I873">
        <f>VLOOKUP(Table4[[#This Row],[Visitor]],'NHL Model'!$A$6:$B$38,2,FALSE)</f>
        <v>-0.16296463421387539</v>
      </c>
      <c r="J873">
        <f>($B$1+Table4[[#This Row],[Home Differential]])-Table4[[#This Row],[Away Differential]]</f>
        <v>-0.17103421108818143</v>
      </c>
      <c r="K873" t="str">
        <f>IF(Table4[[#This Row],[HomeIce Differential]]&gt;0,Table4[[#This Row],[Home]],Table4[[#This Row],[Visitor]])</f>
        <v>Vegas Golden Knights</v>
      </c>
      <c r="L8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0.43920609281430228</v>
      </c>
      <c r="M873" t="str">
        <f>IF(OR((NHL2025_26Results[[#This Row],[Winning Team]]="")),"-",IF(Table4[[#This Row],[Predicted Winner]]=NHL2025_26Results[[#This Row],[Winning Team]],"YES","NO"))</f>
        <v>NO</v>
      </c>
      <c r="N873">
        <f>IF(Table4[[#This Row],[Adjusted Correct]]="-", "",IF(Table4[[#This Row],[Adjusted Correct]]="YES",(Table4[[#This Row],[Strength of Win]]-1)^2,(Table4[[#This Row],[Strength of Win]]-0)^2))</f>
        <v>0.19290199196520552</v>
      </c>
      <c r="O873">
        <v>-0.16430219998109594</v>
      </c>
      <c r="P873" s="11">
        <v>0.43812560581720961</v>
      </c>
      <c r="Q873" t="s">
        <v>20</v>
      </c>
      <c r="R873" t="s">
        <v>249</v>
      </c>
    </row>
    <row r="874" spans="4:18" x14ac:dyDescent="0.2">
      <c r="D874" s="1">
        <v>46054</v>
      </c>
      <c r="E874" s="2">
        <v>0.625</v>
      </c>
      <c r="F874" t="s">
        <v>25</v>
      </c>
      <c r="G874">
        <f>VLOOKUP(Table4[[#This Row],[Home]],'NHL Model'!$A$6:$B$38,2,FALSE)</f>
        <v>0.2324942014830165</v>
      </c>
      <c r="H874" t="s">
        <v>13</v>
      </c>
      <c r="I874">
        <f>VLOOKUP(Table4[[#This Row],[Visitor]],'NHL Model'!$A$6:$B$38,2,FALSE)</f>
        <v>-0.59069689888466137</v>
      </c>
      <c r="J874">
        <f>($B$1+Table4[[#This Row],[Home Differential]])-Table4[[#This Row],[Away Differential]]</f>
        <v>0.95279808617920203</v>
      </c>
      <c r="K874" t="str">
        <f>IF(Table4[[#This Row],[HomeIce Differential]]&gt;0,Table4[[#This Row],[Home]],Table4[[#This Row],[Visitor]])</f>
        <v>Carolina Hurricanes</v>
      </c>
      <c r="L8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0.68233584655144819</v>
      </c>
      <c r="M874" t="str">
        <f>IF(OR((NHL2025_26Results[[#This Row],[Winning Team]]="")),"-",IF(Table4[[#This Row],[Predicted Winner]]=NHL2025_26Results[[#This Row],[Winning Team]],"YES","NO"))</f>
        <v>YES</v>
      </c>
      <c r="N874">
        <f>IF(Table4[[#This Row],[Adjusted Correct]]="-", "",IF(Table4[[#This Row],[Adjusted Correct]]="YES",(Table4[[#This Row],[Strength of Win]]-1)^2,(Table4[[#This Row],[Strength of Win]]-0)^2))</f>
        <v>0.10091051438618508</v>
      </c>
      <c r="O874">
        <v>0.80549100813190866</v>
      </c>
      <c r="P874" s="11">
        <v>0.64981118293937767</v>
      </c>
      <c r="Q874" t="s">
        <v>25</v>
      </c>
      <c r="R874" t="s">
        <v>248</v>
      </c>
    </row>
    <row r="875" spans="4:18" x14ac:dyDescent="0.2">
      <c r="D875" s="1">
        <v>46054</v>
      </c>
      <c r="E875" s="2">
        <v>0.54166666666666663</v>
      </c>
      <c r="F875" t="s">
        <v>37</v>
      </c>
      <c r="G875">
        <f>VLOOKUP(Table4[[#This Row],[Home]],'NHL Model'!$A$6:$B$38,2,FALSE)</f>
        <v>0.72108184732572844</v>
      </c>
      <c r="H875" t="s">
        <v>21</v>
      </c>
      <c r="I875">
        <f>VLOOKUP(Table4[[#This Row],[Visitor]],'NHL Model'!$A$6:$B$38,2,FALSE)</f>
        <v>-0.10253061303059285</v>
      </c>
      <c r="J875">
        <f>($B$1+Table4[[#This Row],[Home Differential]])-Table4[[#This Row],[Away Differential]]</f>
        <v>0.95321944616784537</v>
      </c>
      <c r="K875" t="str">
        <f>IF(Table4[[#This Row],[HomeIce Differential]]&gt;0,Table4[[#This Row],[Home]],Table4[[#This Row],[Visitor]])</f>
        <v>Tampa Bay Lightning</v>
      </c>
      <c r="L8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0.70302564047847571</v>
      </c>
      <c r="M875" t="str">
        <f>IF(OR((NHL2025_26Results[[#This Row],[Winning Team]]="")),"-",IF(Table4[[#This Row],[Predicted Winner]]=NHL2025_26Results[[#This Row],[Winning Team]],"YES","NO"))</f>
        <v>YES</v>
      </c>
      <c r="N875">
        <f>IF(Table4[[#This Row],[Adjusted Correct]]="-", "",IF(Table4[[#This Row],[Adjusted Correct]]="YES",(Table4[[#This Row],[Strength of Win]]-1)^2,(Table4[[#This Row],[Strength of Win]]-0)^2))</f>
        <v>8.8193770213219558E-2</v>
      </c>
      <c r="O875">
        <v>0.83149575431043043</v>
      </c>
      <c r="P875" s="11">
        <v>0.6713217626098642</v>
      </c>
      <c r="Q875" t="s">
        <v>37</v>
      </c>
      <c r="R875" t="s">
        <v>248</v>
      </c>
    </row>
    <row r="876" spans="4:18" x14ac:dyDescent="0.2">
      <c r="D876" s="1">
        <v>46055</v>
      </c>
      <c r="E876" s="2">
        <v>0.91666666666666663</v>
      </c>
      <c r="F876" t="s">
        <v>16</v>
      </c>
      <c r="G876">
        <f>VLOOKUP(Table4[[#This Row],[Home]],'NHL Model'!$A$6:$B$38,2,FALSE)</f>
        <v>-0.89031221864884547</v>
      </c>
      <c r="H876" t="s">
        <v>19</v>
      </c>
      <c r="I876">
        <f>VLOOKUP(Table4[[#This Row],[Visitor]],'NHL Model'!$A$6:$B$38,2,FALSE)</f>
        <v>-0.44228056828684137</v>
      </c>
      <c r="J876">
        <f>($B$1+Table4[[#This Row],[Home Differential]])-Table4[[#This Row],[Away Differential]]</f>
        <v>-0.31842466455048002</v>
      </c>
      <c r="K876" t="str">
        <f>IF(Table4[[#This Row],[HomeIce Differential]]&gt;0,Table4[[#This Row],[Home]],Table4[[#This Row],[Visitor]])</f>
        <v>Toronto Maple Leafs</v>
      </c>
      <c r="L8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0.49575713667347215</v>
      </c>
      <c r="M876" t="str">
        <f>IF(OR((NHL2025_26Results[[#This Row],[Winning Team]]="")),"-",IF(Table4[[#This Row],[Predicted Winner]]=NHL2025_26Results[[#This Row],[Winning Team]],"YES","NO"))</f>
        <v>YES</v>
      </c>
      <c r="N876">
        <f>IF(Table4[[#This Row],[Adjusted Correct]]="-", "",IF(Table4[[#This Row],[Adjusted Correct]]="YES",(Table4[[#This Row],[Strength of Win]]-1)^2,(Table4[[#This Row],[Strength of Win]]-0)^2))</f>
        <v>0.25426086521573549</v>
      </c>
      <c r="O876">
        <v>-0.24178544191188978</v>
      </c>
      <c r="P876" s="11">
        <v>0.48578135825395341</v>
      </c>
      <c r="Q876" t="s">
        <v>19</v>
      </c>
      <c r="R876" t="s">
        <v>248</v>
      </c>
    </row>
    <row r="877" spans="4:18" x14ac:dyDescent="0.2">
      <c r="D877" s="1">
        <v>46055</v>
      </c>
      <c r="E877" s="2">
        <v>0.85416666666666663</v>
      </c>
      <c r="F877" t="s">
        <v>10</v>
      </c>
      <c r="G877">
        <f>VLOOKUP(Table4[[#This Row],[Home]],'NHL Model'!$A$6:$B$38,2,FALSE)</f>
        <v>-0.92658078135875344</v>
      </c>
      <c r="H877" t="s">
        <v>33</v>
      </c>
      <c r="I877">
        <f>VLOOKUP(Table4[[#This Row],[Visitor]],'NHL Model'!$A$6:$B$38,2,FALSE)</f>
        <v>-0.65236582493376272</v>
      </c>
      <c r="J877">
        <f>($B$1+Table4[[#This Row],[Home Differential]])-Table4[[#This Row],[Away Differential]]</f>
        <v>-0.14460797061346664</v>
      </c>
      <c r="K877" t="str">
        <f>IF(Table4[[#This Row],[HomeIce Differential]]&gt;0,Table4[[#This Row],[Home]],Table4[[#This Row],[Visitor]])</f>
        <v>San Jose Sharks</v>
      </c>
      <c r="L8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0.47623858810245978</v>
      </c>
      <c r="M877" t="str">
        <f>IF(OR((NHL2025_26Results[[#This Row],[Winning Team]]="")),"-",IF(Table4[[#This Row],[Predicted Winner]]=NHL2025_26Results[[#This Row],[Winning Team]],"YES","NO"))</f>
        <v>NO</v>
      </c>
      <c r="N877">
        <f>IF(Table4[[#This Row],[Adjusted Correct]]="-", "",IF(Table4[[#This Row],[Adjusted Correct]]="YES",(Table4[[#This Row],[Strength of Win]]-1)^2,(Table4[[#This Row],[Strength of Win]]-0)^2))</f>
        <v>0.22680319279782435</v>
      </c>
      <c r="O877">
        <v>-0.2118027511515973</v>
      </c>
      <c r="P877" s="11">
        <v>0.493940386755503</v>
      </c>
      <c r="Q877" t="s">
        <v>33</v>
      </c>
      <c r="R877" t="s">
        <v>249</v>
      </c>
    </row>
    <row r="878" spans="4:18" x14ac:dyDescent="0.2">
      <c r="D878" s="1">
        <v>46055</v>
      </c>
      <c r="E878" s="2">
        <v>0.875</v>
      </c>
      <c r="F878" t="s">
        <v>12</v>
      </c>
      <c r="G878">
        <f>VLOOKUP(Table4[[#This Row],[Home]],'NHL Model'!$A$6:$B$38,2,FALSE)</f>
        <v>0.99866683349964291</v>
      </c>
      <c r="H878" t="s">
        <v>26</v>
      </c>
      <c r="I878">
        <f>VLOOKUP(Table4[[#This Row],[Visitor]],'NHL Model'!$A$6:$B$38,2,FALSE)</f>
        <v>-0.33113778518110382</v>
      </c>
      <c r="J878">
        <f>($B$1+Table4[[#This Row],[Home Differential]])-Table4[[#This Row],[Away Differential]]</f>
        <v>1.4594116044922707</v>
      </c>
      <c r="K878" t="str">
        <f>IF(Table4[[#This Row],[HomeIce Differential]]&gt;0,Table4[[#This Row],[Home]],Table4[[#This Row],[Visitor]])</f>
        <v>Colorado Avalanche</v>
      </c>
      <c r="L8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0.7472163047681939</v>
      </c>
      <c r="M878" t="str">
        <f>IF(OR((NHL2025_26Results[[#This Row],[Winning Team]]="")),"-",IF(Table4[[#This Row],[Predicted Winner]]=NHL2025_26Results[[#This Row],[Winning Team]],"YES","NO"))</f>
        <v>NO</v>
      </c>
      <c r="N878">
        <f>IF(Table4[[#This Row],[Adjusted Correct]]="-", "",IF(Table4[[#This Row],[Adjusted Correct]]="YES",(Table4[[#This Row],[Strength of Win]]-1)^2,(Table4[[#This Row],[Strength of Win]]-0)^2))</f>
        <v>0.55833220611143441</v>
      </c>
      <c r="O878">
        <v>1.5058575798987723</v>
      </c>
      <c r="P878" s="11">
        <v>0.74880349640399135</v>
      </c>
      <c r="Q878" t="s">
        <v>12</v>
      </c>
      <c r="R878" t="s">
        <v>249</v>
      </c>
    </row>
    <row r="879" spans="4:18" x14ac:dyDescent="0.2">
      <c r="D879" s="1">
        <v>46055</v>
      </c>
      <c r="E879" s="2">
        <v>0.85416666666666663</v>
      </c>
      <c r="F879" t="s">
        <v>39</v>
      </c>
      <c r="G879">
        <f>VLOOKUP(Table4[[#This Row],[Home]],'NHL Model'!$A$6:$B$38,2,FALSE)</f>
        <v>0.21708030788125537</v>
      </c>
      <c r="H879" t="s">
        <v>40</v>
      </c>
      <c r="I879">
        <f>VLOOKUP(Table4[[#This Row],[Visitor]],'NHL Model'!$A$6:$B$38,2,FALSE)</f>
        <v>-0.58845147248022256</v>
      </c>
      <c r="J879">
        <f>($B$1+Table4[[#This Row],[Home Differential]])-Table4[[#This Row],[Away Differential]]</f>
        <v>0.93513876617300207</v>
      </c>
      <c r="K879" t="str">
        <f>IF(Table4[[#This Row],[HomeIce Differential]]&gt;0,Table4[[#This Row],[Home]],Table4[[#This Row],[Visitor]])</f>
        <v>Dallas Stars</v>
      </c>
      <c r="L8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0.68284855278270928</v>
      </c>
      <c r="M879" t="str">
        <f>IF(OR((NHL2025_26Results[[#This Row],[Winning Team]]="")),"-",IF(Table4[[#This Row],[Predicted Winner]]=NHL2025_26Results[[#This Row],[Winning Team]],"YES","NO"))</f>
        <v>YES</v>
      </c>
      <c r="N879">
        <f>IF(Table4[[#This Row],[Adjusted Correct]]="-", "",IF(Table4[[#This Row],[Adjusted Correct]]="YES",(Table4[[#This Row],[Strength of Win]]-1)^2,(Table4[[#This Row],[Strength of Win]]-0)^2))</f>
        <v>0.10058504047202194</v>
      </c>
      <c r="O879">
        <v>0.83263423956633353</v>
      </c>
      <c r="P879" s="11">
        <v>0.64788845089546854</v>
      </c>
      <c r="Q879" t="s">
        <v>39</v>
      </c>
      <c r="R879" t="s">
        <v>248</v>
      </c>
    </row>
    <row r="880" spans="4:18" x14ac:dyDescent="0.2">
      <c r="D880" s="1">
        <v>46055</v>
      </c>
      <c r="E880" s="2">
        <v>0.79166666666666663</v>
      </c>
      <c r="F880" t="s">
        <v>11</v>
      </c>
      <c r="G880">
        <f>VLOOKUP(Table4[[#This Row],[Home]],'NHL Model'!$A$6:$B$38,2,FALSE)</f>
        <v>-0.55695213126481558</v>
      </c>
      <c r="H880" t="s">
        <v>23</v>
      </c>
      <c r="I880">
        <f>VLOOKUP(Table4[[#This Row],[Visitor]],'NHL Model'!$A$6:$B$38,2,FALSE)</f>
        <v>8.1543966060426461E-3</v>
      </c>
      <c r="J880">
        <f>($B$1+Table4[[#This Row],[Home Differential]])-Table4[[#This Row],[Away Differential]]</f>
        <v>-0.43549954205933417</v>
      </c>
      <c r="K880" t="str">
        <f>IF(Table4[[#This Row],[HomeIce Differential]]&gt;0,Table4[[#This Row],[Home]],Table4[[#This Row],[Visitor]])</f>
        <v>Buffalo Sabres</v>
      </c>
      <c r="L8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0.54579833724086091</v>
      </c>
      <c r="M880" t="str">
        <f>IF(OR((NHL2025_26Results[[#This Row],[Winning Team]]="")),"-",IF(Table4[[#This Row],[Predicted Winner]]=NHL2025_26Results[[#This Row],[Winning Team]],"YES","NO"))</f>
        <v>YES</v>
      </c>
      <c r="N880">
        <f>IF(Table4[[#This Row],[Adjusted Correct]]="-", "",IF(Table4[[#This Row],[Adjusted Correct]]="YES",(Table4[[#This Row],[Strength of Win]]-1)^2,(Table4[[#This Row],[Strength of Win]]-0)^2))</f>
        <v>0.20629915045316671</v>
      </c>
      <c r="O880">
        <v>-0.40947317737259104</v>
      </c>
      <c r="P880" s="11">
        <v>0.53351479062432761</v>
      </c>
      <c r="Q880" t="s">
        <v>23</v>
      </c>
      <c r="R880" t="s">
        <v>248</v>
      </c>
    </row>
    <row r="881" spans="4:18" x14ac:dyDescent="0.2">
      <c r="D881" s="1">
        <v>46055</v>
      </c>
      <c r="E881" s="2">
        <v>0.8125</v>
      </c>
      <c r="F881" t="s">
        <v>34</v>
      </c>
      <c r="G881">
        <f>VLOOKUP(Table4[[#This Row],[Home]],'NHL Model'!$A$6:$B$38,2,FALSE)</f>
        <v>6.0485283743665949E-2</v>
      </c>
      <c r="H881" t="s">
        <v>18</v>
      </c>
      <c r="I881">
        <f>VLOOKUP(Table4[[#This Row],[Visitor]],'NHL Model'!$A$6:$B$38,2,FALSE)</f>
        <v>-8.6274676766085606E-2</v>
      </c>
      <c r="J881">
        <f>($B$1+Table4[[#This Row],[Home Differential]])-Table4[[#This Row],[Away Differential]]</f>
        <v>0.27636694632127567</v>
      </c>
      <c r="K881" t="str">
        <f>IF(Table4[[#This Row],[HomeIce Differential]]&gt;0,Table4[[#This Row],[Home]],Table4[[#This Row],[Visitor]])</f>
        <v>Minnesota Wild</v>
      </c>
      <c r="L8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0.53771468287999613</v>
      </c>
      <c r="M881" t="str">
        <f>IF(OR((NHL2025_26Results[[#This Row],[Winning Team]]="")),"-",IF(Table4[[#This Row],[Predicted Winner]]=NHL2025_26Results[[#This Row],[Winning Team]],"YES","NO"))</f>
        <v>YES</v>
      </c>
      <c r="N881">
        <f>IF(Table4[[#This Row],[Adjusted Correct]]="-", "",IF(Table4[[#This Row],[Adjusted Correct]]="YES",(Table4[[#This Row],[Strength of Win]]-1)^2,(Table4[[#This Row],[Strength of Win]]-0)^2))</f>
        <v>0.21370771442474254</v>
      </c>
      <c r="O881">
        <v>0.31951716910038963</v>
      </c>
      <c r="P881" s="11">
        <v>0.53233971669135161</v>
      </c>
      <c r="Q881" t="s">
        <v>34</v>
      </c>
      <c r="R881" t="s">
        <v>248</v>
      </c>
    </row>
    <row r="882" spans="4:18" x14ac:dyDescent="0.2">
      <c r="D882" s="1">
        <v>46055</v>
      </c>
      <c r="E882" s="2">
        <v>0.83333333333333337</v>
      </c>
      <c r="F882" t="s">
        <v>29</v>
      </c>
      <c r="G882">
        <f>VLOOKUP(Table4[[#This Row],[Home]],'NHL Model'!$A$6:$B$38,2,FALSE)</f>
        <v>-0.82056481120798741</v>
      </c>
      <c r="H882" t="s">
        <v>35</v>
      </c>
      <c r="I882">
        <f>VLOOKUP(Table4[[#This Row],[Visitor]],'NHL Model'!$A$6:$B$38,2,FALSE)</f>
        <v>-1.3128572733047907</v>
      </c>
      <c r="J882">
        <f>($B$1+Table4[[#This Row],[Home Differential]])-Table4[[#This Row],[Away Differential]]</f>
        <v>0.62189944790832741</v>
      </c>
      <c r="K882" t="str">
        <f>IF(Table4[[#This Row],[HomeIce Differential]]&gt;0,Table4[[#This Row],[Home]],Table4[[#This Row],[Visitor]])</f>
        <v>Nashville Predators</v>
      </c>
      <c r="L8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0.60983549338870269</v>
      </c>
      <c r="M882" t="str">
        <f>IF(OR((NHL2025_26Results[[#This Row],[Winning Team]]="")),"-",IF(Table4[[#This Row],[Predicted Winner]]=NHL2025_26Results[[#This Row],[Winning Team]],"YES","NO"))</f>
        <v>YES</v>
      </c>
      <c r="N882">
        <f>IF(Table4[[#This Row],[Adjusted Correct]]="-", "",IF(Table4[[#This Row],[Adjusted Correct]]="YES",(Table4[[#This Row],[Strength of Win]]-1)^2,(Table4[[#This Row],[Strength of Win]]-0)^2))</f>
        <v>0.15222834221923706</v>
      </c>
      <c r="O882">
        <v>0.64039063808569563</v>
      </c>
      <c r="P882" s="11">
        <v>0.60828426199862629</v>
      </c>
      <c r="Q882" t="s">
        <v>29</v>
      </c>
      <c r="R882" t="s">
        <v>248</v>
      </c>
    </row>
    <row r="883" spans="4:18" x14ac:dyDescent="0.2">
      <c r="D883" s="1">
        <v>46055</v>
      </c>
      <c r="E883" s="2">
        <v>0.79166666666666663</v>
      </c>
      <c r="F883" t="s">
        <v>14</v>
      </c>
      <c r="G883">
        <f>VLOOKUP(Table4[[#This Row],[Home]],'NHL Model'!$A$6:$B$38,2,FALSE)</f>
        <v>3.6349513460996066E-5</v>
      </c>
      <c r="H883" t="s">
        <v>36</v>
      </c>
      <c r="I883">
        <f>VLOOKUP(Table4[[#This Row],[Visitor]],'NHL Model'!$A$6:$B$38,2,FALSE)</f>
        <v>-0.19010748264223354</v>
      </c>
      <c r="J883">
        <f>($B$1+Table4[[#This Row],[Home Differential]])-Table4[[#This Row],[Away Differential]]</f>
        <v>0.3197508179672186</v>
      </c>
      <c r="K883" t="str">
        <f>IF(Table4[[#This Row],[HomeIce Differential]]&gt;0,Table4[[#This Row],[Home]],Table4[[#This Row],[Visitor]])</f>
        <v>Pittsburgh Penguins</v>
      </c>
      <c r="L8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0.56388987215579967</v>
      </c>
      <c r="M883" t="str">
        <f>IF(OR((NHL2025_26Results[[#This Row],[Winning Team]]="")),"-",IF(Table4[[#This Row],[Predicted Winner]]=NHL2025_26Results[[#This Row],[Winning Team]],"YES","NO"))</f>
        <v>NO</v>
      </c>
      <c r="N883">
        <f>IF(Table4[[#This Row],[Adjusted Correct]]="-", "",IF(Table4[[#This Row],[Adjusted Correct]]="YES",(Table4[[#This Row],[Strength of Win]]-1)^2,(Table4[[#This Row],[Strength of Win]]-0)^2))</f>
        <v>0.31797178791988406</v>
      </c>
      <c r="O883">
        <v>0.32155942335985166</v>
      </c>
      <c r="P883" s="11">
        <v>0.57345809109460366</v>
      </c>
      <c r="Q883" t="s">
        <v>14</v>
      </c>
      <c r="R883" t="s">
        <v>249</v>
      </c>
    </row>
    <row r="884" spans="4:18" x14ac:dyDescent="0.2">
      <c r="D884" s="1">
        <v>46055</v>
      </c>
      <c r="E884" s="2">
        <v>0.89583333333333337</v>
      </c>
      <c r="F884" t="s">
        <v>55</v>
      </c>
      <c r="G884">
        <f>VLOOKUP(Table4[[#This Row],[Home]],'NHL Model'!$A$6:$B$38,2,FALSE)</f>
        <v>8.4094725828611647E-2</v>
      </c>
      <c r="H884" t="s">
        <v>38</v>
      </c>
      <c r="I884">
        <f>VLOOKUP(Table4[[#This Row],[Visitor]],'NHL Model'!$A$6:$B$38,2,FALSE)</f>
        <v>-1.3920033028857945</v>
      </c>
      <c r="J884">
        <f>($B$1+Table4[[#This Row],[Home Differential]])-Table4[[#This Row],[Away Differential]]</f>
        <v>1.6057050145259302</v>
      </c>
      <c r="K884" t="str">
        <f>IF(Table4[[#This Row],[HomeIce Differential]]&gt;0,Table4[[#This Row],[Home]],Table4[[#This Row],[Visitor]])</f>
        <v>Utah Mammoth</v>
      </c>
      <c r="L8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0.74925326045836316</v>
      </c>
      <c r="M884" t="str">
        <f>IF(OR((NHL2025_26Results[[#This Row],[Winning Team]]="")),"-",IF(Table4[[#This Row],[Predicted Winner]]=NHL2025_26Results[[#This Row],[Winning Team]],"YES","NO"))</f>
        <v>YES</v>
      </c>
      <c r="N884">
        <f>IF(Table4[[#This Row],[Adjusted Correct]]="-", "",IF(Table4[[#This Row],[Adjusted Correct]]="YES",(Table4[[#This Row],[Strength of Win]]-1)^2,(Table4[[#This Row],[Strength of Win]]-0)^2))</f>
        <v>6.2873927390761461E-2</v>
      </c>
      <c r="O884">
        <v>1.4519758942807122</v>
      </c>
      <c r="P884" s="11">
        <v>0.72086058378626539</v>
      </c>
      <c r="Q884" t="s">
        <v>55</v>
      </c>
      <c r="R884" t="s">
        <v>248</v>
      </c>
    </row>
    <row r="885" spans="4:18" x14ac:dyDescent="0.2">
      <c r="D885" s="1">
        <v>46055</v>
      </c>
      <c r="E885" s="2">
        <v>0.79166666666666663</v>
      </c>
      <c r="F885" t="s">
        <v>22</v>
      </c>
      <c r="G885">
        <f>VLOOKUP(Table4[[#This Row],[Home]],'NHL Model'!$A$6:$B$38,2,FALSE)</f>
        <v>-0.11977593183651415</v>
      </c>
      <c r="H885" t="s">
        <v>30</v>
      </c>
      <c r="I885">
        <f>VLOOKUP(Table4[[#This Row],[Visitor]],'NHL Model'!$A$6:$B$38,2,FALSE)</f>
        <v>-0.18630462558229716</v>
      </c>
      <c r="J885">
        <f>($B$1+Table4[[#This Row],[Home Differential]])-Table4[[#This Row],[Away Differential]]</f>
        <v>0.1961356795573071</v>
      </c>
      <c r="K885" t="str">
        <f>IF(Table4[[#This Row],[HomeIce Differential]]&gt;0,Table4[[#This Row],[Home]],Table4[[#This Row],[Visitor]])</f>
        <v>Washington Capitals</v>
      </c>
      <c r="L8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0.54326035499133463</v>
      </c>
      <c r="M885" t="str">
        <f>IF(OR((NHL2025_26Results[[#This Row],[Winning Team]]="")),"-",IF(Table4[[#This Row],[Predicted Winner]]=NHL2025_26Results[[#This Row],[Winning Team]],"YES","NO"))</f>
        <v>YES</v>
      </c>
      <c r="N885">
        <f>IF(Table4[[#This Row],[Adjusted Correct]]="-", "",IF(Table4[[#This Row],[Adjusted Correct]]="YES",(Table4[[#This Row],[Strength of Win]]-1)^2,(Table4[[#This Row],[Strength of Win]]-0)^2))</f>
        <v>0.20861110332264166</v>
      </c>
      <c r="O885">
        <v>0.13348406723721806</v>
      </c>
      <c r="P885" s="11">
        <v>0.51622531461867149</v>
      </c>
      <c r="Q885" t="s">
        <v>22</v>
      </c>
      <c r="R885" t="s">
        <v>248</v>
      </c>
    </row>
    <row r="886" spans="4:18" x14ac:dyDescent="0.2">
      <c r="D886" s="1">
        <v>46056</v>
      </c>
      <c r="E886" s="2">
        <v>0.91666666666666663</v>
      </c>
      <c r="F886" t="s">
        <v>31</v>
      </c>
      <c r="G886">
        <f>VLOOKUP(Table4[[#This Row],[Home]],'NHL Model'!$A$6:$B$38,2,FALSE)</f>
        <v>-0.46360583111358089</v>
      </c>
      <c r="H886" t="s">
        <v>32</v>
      </c>
      <c r="I886">
        <f>VLOOKUP(Table4[[#This Row],[Visitor]],'NHL Model'!$A$6:$B$38,2,FALSE)</f>
        <v>-0.48236715437805205</v>
      </c>
      <c r="J886">
        <f>($B$1+Table4[[#This Row],[Home Differential]])-Table4[[#This Row],[Away Differential]]</f>
        <v>0.14836830907599524</v>
      </c>
      <c r="K886" t="str">
        <f>IF(Table4[[#This Row],[HomeIce Differential]]&gt;0,Table4[[#This Row],[Home]],Table4[[#This Row],[Visitor]])</f>
        <v>Anaheim Ducks</v>
      </c>
      <c r="L8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0.60837682737797094</v>
      </c>
      <c r="M886" t="str">
        <f>IF(OR((NHL2025_26Results[[#This Row],[Winning Team]]="")),"-",IF(Table4[[#This Row],[Predicted Winner]]=NHL2025_26Results[[#This Row],[Winning Team]],"YES","NO"))</f>
        <v>YES</v>
      </c>
      <c r="N886">
        <f>IF(Table4[[#This Row],[Adjusted Correct]]="-", "",IF(Table4[[#This Row],[Adjusted Correct]]="YES",(Table4[[#This Row],[Strength of Win]]-1)^2,(Table4[[#This Row],[Strength of Win]]-0)^2))</f>
        <v>0.15336870933454358</v>
      </c>
      <c r="O886">
        <v>5.4753600905111999E-2</v>
      </c>
      <c r="P886" s="11">
        <v>0.58684974727514694</v>
      </c>
      <c r="Q886" t="s">
        <v>31</v>
      </c>
      <c r="R886" t="s">
        <v>248</v>
      </c>
    </row>
    <row r="887" spans="4:18" x14ac:dyDescent="0.2">
      <c r="D887" s="1">
        <v>46056</v>
      </c>
      <c r="E887" s="2">
        <v>0.79166666666666663</v>
      </c>
      <c r="F887" t="s">
        <v>25</v>
      </c>
      <c r="G887">
        <f>VLOOKUP(Table4[[#This Row],[Home]],'NHL Model'!$A$6:$B$38,2,FALSE)</f>
        <v>0.2324942014830165</v>
      </c>
      <c r="H887" t="s">
        <v>36</v>
      </c>
      <c r="I887">
        <f>VLOOKUP(Table4[[#This Row],[Visitor]],'NHL Model'!$A$6:$B$38,2,FALSE)</f>
        <v>-0.19010748264223354</v>
      </c>
      <c r="J887">
        <f>($B$1+Table4[[#This Row],[Home Differential]])-Table4[[#This Row],[Away Differential]]</f>
        <v>0.55220866993677409</v>
      </c>
      <c r="K887" t="str">
        <f>IF(Table4[[#This Row],[HomeIce Differential]]&gt;0,Table4[[#This Row],[Home]],Table4[[#This Row],[Visitor]])</f>
        <v>Carolina Hurricanes</v>
      </c>
      <c r="L8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0.6459022639419677</v>
      </c>
      <c r="M887" t="str">
        <f>IF(OR((NHL2025_26Results[[#This Row],[Winning Team]]="")),"-",IF(Table4[[#This Row],[Predicted Winner]]=NHL2025_26Results[[#This Row],[Winning Team]],"YES","NO"))</f>
        <v>YES</v>
      </c>
      <c r="N887">
        <f>IF(Table4[[#This Row],[Adjusted Correct]]="-", "",IF(Table4[[#This Row],[Adjusted Correct]]="YES",(Table4[[#This Row],[Strength of Win]]-1)^2,(Table4[[#This Row],[Strength of Win]]-0)^2))</f>
        <v>0.12538520668142392</v>
      </c>
      <c r="O887">
        <v>0.52979599357613427</v>
      </c>
      <c r="P887" s="11">
        <v>0.63719327619910193</v>
      </c>
      <c r="Q887" t="s">
        <v>25</v>
      </c>
      <c r="R887" t="s">
        <v>248</v>
      </c>
    </row>
    <row r="888" spans="4:18" x14ac:dyDescent="0.2">
      <c r="D888" s="1">
        <v>46056</v>
      </c>
      <c r="E888" s="2">
        <v>0.85416666666666663</v>
      </c>
      <c r="F888" t="s">
        <v>17</v>
      </c>
      <c r="G888">
        <f>VLOOKUP(Table4[[#This Row],[Home]],'NHL Model'!$A$6:$B$38,2,FALSE)</f>
        <v>-0.36462594951491906</v>
      </c>
      <c r="H888" t="s">
        <v>19</v>
      </c>
      <c r="I888">
        <f>VLOOKUP(Table4[[#This Row],[Visitor]],'NHL Model'!$A$6:$B$38,2,FALSE)</f>
        <v>-0.44228056828684137</v>
      </c>
      <c r="J888">
        <f>($B$1+Table4[[#This Row],[Home Differential]])-Table4[[#This Row],[Away Differential]]</f>
        <v>0.20726160458344642</v>
      </c>
      <c r="K888" t="str">
        <f>IF(Table4[[#This Row],[HomeIce Differential]]&gt;0,Table4[[#This Row],[Home]],Table4[[#This Row],[Visitor]])</f>
        <v>Edmonton Oilers</v>
      </c>
      <c r="L8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0.56327420689196817</v>
      </c>
      <c r="M888" t="str">
        <f>IF(OR((NHL2025_26Results[[#This Row],[Winning Team]]="")),"-",IF(Table4[[#This Row],[Predicted Winner]]=NHL2025_26Results[[#This Row],[Winning Team]],"YES","NO"))</f>
        <v>NO</v>
      </c>
      <c r="N888">
        <f>IF(Table4[[#This Row],[Adjusted Correct]]="-", "",IF(Table4[[#This Row],[Adjusted Correct]]="YES",(Table4[[#This Row],[Strength of Win]]-1)^2,(Table4[[#This Row],[Strength of Win]]-0)^2))</f>
        <v>0.31727783214977578</v>
      </c>
      <c r="O888">
        <v>0.34501710982656764</v>
      </c>
      <c r="P888" s="11">
        <v>0.5768256223311059</v>
      </c>
      <c r="Q888" t="s">
        <v>17</v>
      </c>
      <c r="R888" t="s">
        <v>249</v>
      </c>
    </row>
    <row r="889" spans="4:18" x14ac:dyDescent="0.2">
      <c r="D889" s="1">
        <v>46056</v>
      </c>
      <c r="E889" s="2">
        <v>0.79166666666666663</v>
      </c>
      <c r="F889" t="s">
        <v>24</v>
      </c>
      <c r="G889">
        <f>VLOOKUP(Table4[[#This Row],[Home]],'NHL Model'!$A$6:$B$38,2,FALSE)</f>
        <v>-0.74510803532792402</v>
      </c>
      <c r="H889" t="s">
        <v>28</v>
      </c>
      <c r="I889">
        <f>VLOOKUP(Table4[[#This Row],[Visitor]],'NHL Model'!$A$6:$B$38,2,FALSE)</f>
        <v>-0.28156479873410767</v>
      </c>
      <c r="J889">
        <f>($B$1+Table4[[#This Row],[Home Differential]])-Table4[[#This Row],[Away Differential]]</f>
        <v>-0.33393625078229228</v>
      </c>
      <c r="K889" t="str">
        <f>IF(Table4[[#This Row],[HomeIce Differential]]&gt;0,Table4[[#This Row],[Home]],Table4[[#This Row],[Visitor]])</f>
        <v>Columbus Blue Jackets</v>
      </c>
      <c r="L8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0.5095151760742257</v>
      </c>
      <c r="M889" t="str">
        <f>IF(OR((NHL2025_26Results[[#This Row],[Winning Team]]="")),"-",IF(Table4[[#This Row],[Predicted Winner]]=NHL2025_26Results[[#This Row],[Winning Team]],"YES","NO"))</f>
        <v>YES</v>
      </c>
      <c r="N889">
        <f>IF(Table4[[#This Row],[Adjusted Correct]]="-", "",IF(Table4[[#This Row],[Adjusted Correct]]="YES",(Table4[[#This Row],[Strength of Win]]-1)^2,(Table4[[#This Row],[Strength of Win]]-0)^2))</f>
        <v>0.24057536250149783</v>
      </c>
      <c r="O889">
        <v>-0.15647251938198398</v>
      </c>
      <c r="P889" s="11">
        <v>0.47900560430881295</v>
      </c>
      <c r="Q889" t="s">
        <v>28</v>
      </c>
      <c r="R889" t="s">
        <v>248</v>
      </c>
    </row>
    <row r="890" spans="4:18" x14ac:dyDescent="0.2">
      <c r="D890" s="1">
        <v>46056</v>
      </c>
      <c r="E890" s="2">
        <v>0.8125</v>
      </c>
      <c r="F890" t="s">
        <v>30</v>
      </c>
      <c r="G890">
        <f>VLOOKUP(Table4[[#This Row],[Home]],'NHL Model'!$A$6:$B$38,2,FALSE)</f>
        <v>-0.18630462558229716</v>
      </c>
      <c r="H890" t="s">
        <v>14</v>
      </c>
      <c r="I890">
        <f>VLOOKUP(Table4[[#This Row],[Visitor]],'NHL Model'!$A$6:$B$38,2,FALSE)</f>
        <v>3.6349513460996066E-5</v>
      </c>
      <c r="J890">
        <f>($B$1+Table4[[#This Row],[Home Differential]])-Table4[[#This Row],[Away Differential]]</f>
        <v>-5.6733989284234045E-2</v>
      </c>
      <c r="K890" t="str">
        <f>IF(Table4[[#This Row],[HomeIce Differential]]&gt;0,Table4[[#This Row],[Home]],Table4[[#This Row],[Visitor]])</f>
        <v>Pittsburgh Penguins</v>
      </c>
      <c r="L8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0.50637087900125921</v>
      </c>
      <c r="M890" t="str">
        <f>IF(OR((NHL2025_26Results[[#This Row],[Winning Team]]="")),"-",IF(Table4[[#This Row],[Predicted Winner]]=NHL2025_26Results[[#This Row],[Winning Team]],"YES","NO"))</f>
        <v>NO</v>
      </c>
      <c r="N890">
        <f>IF(Table4[[#This Row],[Adjusted Correct]]="-", "",IF(Table4[[#This Row],[Adjusted Correct]]="YES",(Table4[[#This Row],[Strength of Win]]-1)^2,(Table4[[#This Row],[Strength of Win]]-0)^2))</f>
        <v>0.25641146710050788</v>
      </c>
      <c r="O890">
        <v>-6.5410736043494982E-2</v>
      </c>
      <c r="P890" s="11">
        <v>0.51641561909603462</v>
      </c>
      <c r="Q890" t="s">
        <v>14</v>
      </c>
      <c r="R890" t="s">
        <v>249</v>
      </c>
    </row>
    <row r="891" spans="4:18" x14ac:dyDescent="0.2">
      <c r="D891" s="1">
        <v>46056</v>
      </c>
      <c r="E891" s="2">
        <v>0.79166666666666663</v>
      </c>
      <c r="F891" t="s">
        <v>27</v>
      </c>
      <c r="G891">
        <f>VLOOKUP(Table4[[#This Row],[Home]],'NHL Model'!$A$6:$B$38,2,FALSE)</f>
        <v>-0.55097933929175691</v>
      </c>
      <c r="H891" t="s">
        <v>22</v>
      </c>
      <c r="I891">
        <f>VLOOKUP(Table4[[#This Row],[Visitor]],'NHL Model'!$A$6:$B$38,2,FALSE)</f>
        <v>-0.11977593183651415</v>
      </c>
      <c r="J891">
        <f>($B$1+Table4[[#This Row],[Home Differential]])-Table4[[#This Row],[Away Differential]]</f>
        <v>-0.30159642164371869</v>
      </c>
      <c r="K891" t="str">
        <f>IF(Table4[[#This Row],[HomeIce Differential]]&gt;0,Table4[[#This Row],[Home]],Table4[[#This Row],[Visitor]])</f>
        <v>Washington Capitals</v>
      </c>
      <c r="L8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0.4938674282162428</v>
      </c>
      <c r="M891" t="str">
        <f>IF(OR((NHL2025_26Results[[#This Row],[Winning Team]]="")),"-",IF(Table4[[#This Row],[Predicted Winner]]=NHL2025_26Results[[#This Row],[Winning Team]],"YES","NO"))</f>
        <v>NO</v>
      </c>
      <c r="N891">
        <f>IF(Table4[[#This Row],[Adjusted Correct]]="-", "",IF(Table4[[#This Row],[Adjusted Correct]]="YES",(Table4[[#This Row],[Strength of Win]]-1)^2,(Table4[[#This Row],[Strength of Win]]-0)^2))</f>
        <v>0.24390503665292573</v>
      </c>
      <c r="O891">
        <v>-0.31023399812762498</v>
      </c>
      <c r="P891" s="11">
        <v>0.49311302461219914</v>
      </c>
      <c r="Q891" t="s">
        <v>22</v>
      </c>
      <c r="R891" t="s">
        <v>249</v>
      </c>
    </row>
    <row r="892" spans="4:18" x14ac:dyDescent="0.2">
      <c r="D892" s="1">
        <v>46056</v>
      </c>
      <c r="E892" s="2">
        <v>0.8125</v>
      </c>
      <c r="F892" t="s">
        <v>37</v>
      </c>
      <c r="G892">
        <f>VLOOKUP(Table4[[#This Row],[Home]],'NHL Model'!$A$6:$B$38,2,FALSE)</f>
        <v>0.72108184732572844</v>
      </c>
      <c r="H892" t="s">
        <v>23</v>
      </c>
      <c r="I892">
        <f>VLOOKUP(Table4[[#This Row],[Visitor]],'NHL Model'!$A$6:$B$38,2,FALSE)</f>
        <v>8.1543966060426461E-3</v>
      </c>
      <c r="J892">
        <f>($B$1+Table4[[#This Row],[Home Differential]])-Table4[[#This Row],[Away Differential]]</f>
        <v>0.84253443653120985</v>
      </c>
      <c r="K892" t="str">
        <f>IF(Table4[[#This Row],[HomeIce Differential]]&gt;0,Table4[[#This Row],[Home]],Table4[[#This Row],[Visitor]])</f>
        <v>Tampa Bay Lightning</v>
      </c>
      <c r="L8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0.65453286381684861</v>
      </c>
      <c r="M892" t="str">
        <f>IF(OR((NHL2025_26Results[[#This Row],[Winning Team]]="")),"-",IF(Table4[[#This Row],[Predicted Winner]]=NHL2025_26Results[[#This Row],[Winning Team]],"YES","NO"))</f>
        <v>YES</v>
      </c>
      <c r="N892">
        <f>IF(Table4[[#This Row],[Adjusted Correct]]="-", "",IF(Table4[[#This Row],[Adjusted Correct]]="YES",(Table4[[#This Row],[Strength of Win]]-1)^2,(Table4[[#This Row],[Strength of Win]]-0)^2))</f>
        <v>0.11934754218258807</v>
      </c>
      <c r="O892">
        <v>0.69138413668359255</v>
      </c>
      <c r="P892" s="11">
        <v>0.61814526816824789</v>
      </c>
      <c r="Q892" t="s">
        <v>37</v>
      </c>
      <c r="R892" t="s">
        <v>248</v>
      </c>
    </row>
    <row r="893" spans="4:18" x14ac:dyDescent="0.2">
      <c r="D893" s="1">
        <v>46057</v>
      </c>
      <c r="E893" s="2">
        <v>0.79166666666666663</v>
      </c>
      <c r="F893" t="s">
        <v>28</v>
      </c>
      <c r="G893">
        <f>VLOOKUP(Table4[[#This Row],[Home]],'NHL Model'!$A$6:$B$38,2,FALSE)</f>
        <v>-0.28156479873410767</v>
      </c>
      <c r="H893" t="s">
        <v>10</v>
      </c>
      <c r="I893">
        <f>VLOOKUP(Table4[[#This Row],[Visitor]],'NHL Model'!$A$6:$B$38,2,FALSE)</f>
        <v>-0.92658078135875344</v>
      </c>
      <c r="J893">
        <f>($B$1+Table4[[#This Row],[Home Differential]])-Table4[[#This Row],[Away Differential]]</f>
        <v>0.77462296843616985</v>
      </c>
      <c r="K893" t="str">
        <f>IF(Table4[[#This Row],[HomeIce Differential]]&gt;0,Table4[[#This Row],[Home]],Table4[[#This Row],[Visitor]])</f>
        <v>Columbus Blue Jackets</v>
      </c>
      <c r="L8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0.63403135982728354</v>
      </c>
      <c r="M893" t="str">
        <f>IF(OR((NHL2025_26Results[[#This Row],[Winning Team]]="")),"-",IF(Table4[[#This Row],[Predicted Winner]]=NHL2025_26Results[[#This Row],[Winning Team]],"YES","NO"))</f>
        <v>YES</v>
      </c>
      <c r="N893">
        <f>IF(Table4[[#This Row],[Adjusted Correct]]="-", "",IF(Table4[[#This Row],[Adjusted Correct]]="YES",(Table4[[#This Row],[Strength of Win]]-1)^2,(Table4[[#This Row],[Strength of Win]]-0)^2))</f>
        <v>0.13393304558986721</v>
      </c>
      <c r="O893">
        <v>0.64507779791820208</v>
      </c>
      <c r="P893" s="11">
        <v>0.60904140994366907</v>
      </c>
      <c r="Q893" t="s">
        <v>28</v>
      </c>
      <c r="R893" t="s">
        <v>248</v>
      </c>
    </row>
    <row r="894" spans="4:18" x14ac:dyDescent="0.2">
      <c r="D894" s="1">
        <v>46057</v>
      </c>
      <c r="E894" s="2">
        <v>0.91666666666666663</v>
      </c>
      <c r="F894" t="s">
        <v>16</v>
      </c>
      <c r="G894">
        <f>VLOOKUP(Table4[[#This Row],[Home]],'NHL Model'!$A$6:$B$38,2,FALSE)</f>
        <v>-0.89031221864884547</v>
      </c>
      <c r="H894" t="s">
        <v>17</v>
      </c>
      <c r="I894">
        <f>VLOOKUP(Table4[[#This Row],[Visitor]],'NHL Model'!$A$6:$B$38,2,FALSE)</f>
        <v>-0.36462594951491906</v>
      </c>
      <c r="J894">
        <f>($B$1+Table4[[#This Row],[Home Differential]])-Table4[[#This Row],[Away Differential]]</f>
        <v>-0.39607928332240233</v>
      </c>
      <c r="K894" t="str">
        <f>IF(Table4[[#This Row],[HomeIce Differential]]&gt;0,Table4[[#This Row],[Home]],Table4[[#This Row],[Visitor]])</f>
        <v>Edmonton Oilers</v>
      </c>
      <c r="L8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0.50447727404308784</v>
      </c>
      <c r="M894" t="str">
        <f>IF(OR((NHL2025_26Results[[#This Row],[Winning Team]]="")),"-",IF(Table4[[#This Row],[Predicted Winner]]=NHL2025_26Results[[#This Row],[Winning Team]],"YES","NO"))</f>
        <v>NO</v>
      </c>
      <c r="N894">
        <f>IF(Table4[[#This Row],[Adjusted Correct]]="-", "",IF(Table4[[#This Row],[Adjusted Correct]]="YES",(Table4[[#This Row],[Strength of Win]]-1)^2,(Table4[[#This Row],[Strength of Win]]-0)^2))</f>
        <v>0.25449732002594477</v>
      </c>
      <c r="O894">
        <v>-0.46947738013683848</v>
      </c>
      <c r="P894" s="11">
        <v>0.51255165173558925</v>
      </c>
      <c r="Q894" t="s">
        <v>17</v>
      </c>
      <c r="R894" t="s">
        <v>249</v>
      </c>
    </row>
    <row r="895" spans="4:18" x14ac:dyDescent="0.2">
      <c r="D895" s="1">
        <v>46057</v>
      </c>
      <c r="E895" s="2">
        <v>0.875</v>
      </c>
      <c r="F895" t="s">
        <v>12</v>
      </c>
      <c r="G895">
        <f>VLOOKUP(Table4[[#This Row],[Home]],'NHL Model'!$A$6:$B$38,2,FALSE)</f>
        <v>0.99866683349964291</v>
      </c>
      <c r="H895" t="s">
        <v>33</v>
      </c>
      <c r="I895">
        <f>VLOOKUP(Table4[[#This Row],[Visitor]],'NHL Model'!$A$6:$B$38,2,FALSE)</f>
        <v>-0.65236582493376272</v>
      </c>
      <c r="J895">
        <f>($B$1+Table4[[#This Row],[Home Differential]])-Table4[[#This Row],[Away Differential]]</f>
        <v>1.7806396442449297</v>
      </c>
      <c r="K895" t="str">
        <f>IF(Table4[[#This Row],[HomeIce Differential]]&gt;0,Table4[[#This Row],[Home]],Table4[[#This Row],[Visitor]])</f>
        <v>Colorado Avalanche</v>
      </c>
      <c r="L8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0.8197896206919757</v>
      </c>
      <c r="M895" t="str">
        <f>IF(OR((NHL2025_26Results[[#This Row],[Winning Team]]="")),"-",IF(Table4[[#This Row],[Predicted Winner]]=NHL2025_26Results[[#This Row],[Winning Team]],"YES","NO"))</f>
        <v>YES</v>
      </c>
      <c r="N895">
        <f>IF(Table4[[#This Row],[Adjusted Correct]]="-", "",IF(Table4[[#This Row],[Adjusted Correct]]="YES",(Table4[[#This Row],[Strength of Win]]-1)^2,(Table4[[#This Row],[Strength of Win]]-0)^2))</f>
        <v>3.2475780810341998E-2</v>
      </c>
      <c r="O895">
        <v>1.750262920229426</v>
      </c>
      <c r="P895" s="11">
        <v>0.80203631415140364</v>
      </c>
      <c r="Q895" t="s">
        <v>12</v>
      </c>
      <c r="R895" t="s">
        <v>248</v>
      </c>
    </row>
    <row r="896" spans="4:18" x14ac:dyDescent="0.2">
      <c r="D896" s="1">
        <v>46057</v>
      </c>
      <c r="E896" s="2">
        <v>0.89583333333333337</v>
      </c>
      <c r="F896" t="s">
        <v>39</v>
      </c>
      <c r="G896">
        <f>VLOOKUP(Table4[[#This Row],[Home]],'NHL Model'!$A$6:$B$38,2,FALSE)</f>
        <v>0.21708030788125537</v>
      </c>
      <c r="H896" t="s">
        <v>35</v>
      </c>
      <c r="I896">
        <f>VLOOKUP(Table4[[#This Row],[Visitor]],'NHL Model'!$A$6:$B$38,2,FALSE)</f>
        <v>-1.3128572733047907</v>
      </c>
      <c r="J896">
        <f>($B$1+Table4[[#This Row],[Home Differential]])-Table4[[#This Row],[Away Differential]]</f>
        <v>1.6595445669975701</v>
      </c>
      <c r="K896" t="str">
        <f>IF(Table4[[#This Row],[HomeIce Differential]]&gt;0,Table4[[#This Row],[Home]],Table4[[#This Row],[Visitor]])</f>
        <v>Dallas Stars</v>
      </c>
      <c r="L8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0.76419488084968523</v>
      </c>
      <c r="M896" t="str">
        <f>IF(OR((NHL2025_26Results[[#This Row],[Winning Team]]="")),"-",IF(Table4[[#This Row],[Predicted Winner]]=NHL2025_26Results[[#This Row],[Winning Team]],"YES","NO"))</f>
        <v>YES</v>
      </c>
      <c r="N896">
        <f>IF(Table4[[#This Row],[Adjusted Correct]]="-", "",IF(Table4[[#This Row],[Adjusted Correct]]="YES",(Table4[[#This Row],[Strength of Win]]-1)^2,(Table4[[#This Row],[Strength of Win]]-0)^2))</f>
        <v>5.5604054217494148E-2</v>
      </c>
      <c r="O896">
        <v>1.6373894553368227</v>
      </c>
      <c r="P896" s="11">
        <v>0.74128431384039106</v>
      </c>
      <c r="Q896" t="s">
        <v>39</v>
      </c>
      <c r="R896" t="s">
        <v>248</v>
      </c>
    </row>
    <row r="897" spans="4:18" x14ac:dyDescent="0.2">
      <c r="D897" s="1">
        <v>46057</v>
      </c>
      <c r="E897" s="2">
        <v>0.79166666666666663</v>
      </c>
      <c r="F897" t="s">
        <v>11</v>
      </c>
      <c r="G897">
        <f>VLOOKUP(Table4[[#This Row],[Home]],'NHL Model'!$A$6:$B$38,2,FALSE)</f>
        <v>-0.55695213126481558</v>
      </c>
      <c r="H897" t="s">
        <v>21</v>
      </c>
      <c r="I897">
        <f>VLOOKUP(Table4[[#This Row],[Visitor]],'NHL Model'!$A$6:$B$38,2,FALSE)</f>
        <v>-0.10253061303059285</v>
      </c>
      <c r="J897">
        <f>($B$1+Table4[[#This Row],[Home Differential]])-Table4[[#This Row],[Away Differential]]</f>
        <v>-0.32481453242269864</v>
      </c>
      <c r="K897" t="str">
        <f>IF(Table4[[#This Row],[HomeIce Differential]]&gt;0,Table4[[#This Row],[Home]],Table4[[#This Row],[Visitor]])</f>
        <v>Boston Bruins</v>
      </c>
      <c r="L8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0.49647467964130382</v>
      </c>
      <c r="M897" t="str">
        <f>IF(OR((NHL2025_26Results[[#This Row],[Winning Team]]="")),"-",IF(Table4[[#This Row],[Predicted Winner]]=NHL2025_26Results[[#This Row],[Winning Team]],"YES","NO"))</f>
        <v>NO</v>
      </c>
      <c r="N897">
        <f>IF(Table4[[#This Row],[Adjusted Correct]]="-", "",IF(Table4[[#This Row],[Adjusted Correct]]="YES",(Table4[[#This Row],[Strength of Win]]-1)^2,(Table4[[#This Row],[Strength of Win]]-0)^2))</f>
        <v>0.24648710752493525</v>
      </c>
      <c r="O897">
        <v>-0.31476053563178863</v>
      </c>
      <c r="P897" s="11">
        <v>0.49368820201962493</v>
      </c>
      <c r="Q897" t="s">
        <v>21</v>
      </c>
      <c r="R897" t="s">
        <v>249</v>
      </c>
    </row>
    <row r="898" spans="4:18" x14ac:dyDescent="0.2">
      <c r="D898" s="1">
        <v>46057</v>
      </c>
      <c r="E898" s="2">
        <v>0.91666666666666663</v>
      </c>
      <c r="F898" t="s">
        <v>13</v>
      </c>
      <c r="G898">
        <f>VLOOKUP(Table4[[#This Row],[Home]],'NHL Model'!$A$6:$B$38,2,FALSE)</f>
        <v>-0.59069689888466137</v>
      </c>
      <c r="H898" t="s">
        <v>32</v>
      </c>
      <c r="I898">
        <f>VLOOKUP(Table4[[#This Row],[Visitor]],'NHL Model'!$A$6:$B$38,2,FALSE)</f>
        <v>-0.48236715437805205</v>
      </c>
      <c r="J898">
        <f>($B$1+Table4[[#This Row],[Home Differential]])-Table4[[#This Row],[Away Differential]]</f>
        <v>2.1277241304914762E-2</v>
      </c>
      <c r="K898" t="str">
        <f>IF(Table4[[#This Row],[HomeIce Differential]]&gt;0,Table4[[#This Row],[Home]],Table4[[#This Row],[Visitor]])</f>
        <v>Los Angeles Kings</v>
      </c>
      <c r="L8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0.54238930368804295</v>
      </c>
      <c r="M898" t="str">
        <f>IF(OR((NHL2025_26Results[[#This Row],[Winning Team]]="")),"-",IF(Table4[[#This Row],[Predicted Winner]]=NHL2025_26Results[[#This Row],[Winning Team]],"YES","NO"))</f>
        <v>NO</v>
      </c>
      <c r="N898">
        <f>IF(Table4[[#This Row],[Adjusted Correct]]="-", "",IF(Table4[[#This Row],[Adjusted Correct]]="YES",(Table4[[#This Row],[Strength of Win]]-1)^2,(Table4[[#This Row],[Strength of Win]]-0)^2))</f>
        <v>0.2941861567552001</v>
      </c>
      <c r="O898">
        <v>0.11875768745264886</v>
      </c>
      <c r="P898" s="11">
        <v>0.5527104020783864</v>
      </c>
      <c r="Q898" t="s">
        <v>13</v>
      </c>
      <c r="R898" t="s">
        <v>249</v>
      </c>
    </row>
    <row r="899" spans="4:18" x14ac:dyDescent="0.2">
      <c r="D899" s="1">
        <v>46057</v>
      </c>
      <c r="E899" s="2">
        <v>0.83333333333333337</v>
      </c>
      <c r="F899" t="s">
        <v>29</v>
      </c>
      <c r="G899">
        <f>VLOOKUP(Table4[[#This Row],[Home]],'NHL Model'!$A$6:$B$38,2,FALSE)</f>
        <v>-0.82056481120798741</v>
      </c>
      <c r="H899" t="s">
        <v>34</v>
      </c>
      <c r="I899">
        <f>VLOOKUP(Table4[[#This Row],[Visitor]],'NHL Model'!$A$6:$B$38,2,FALSE)</f>
        <v>6.0485283743665949E-2</v>
      </c>
      <c r="J899">
        <f>($B$1+Table4[[#This Row],[Home Differential]])-Table4[[#This Row],[Away Differential]]</f>
        <v>-0.75144310914012924</v>
      </c>
      <c r="K899" t="str">
        <f>IF(Table4[[#This Row],[HomeIce Differential]]&gt;0,Table4[[#This Row],[Home]],Table4[[#This Row],[Visitor]])</f>
        <v>Minnesota Wild</v>
      </c>
      <c r="L8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0.61364770724182549</v>
      </c>
      <c r="M899" t="str">
        <f>IF(OR((NHL2025_26Results[[#This Row],[Winning Team]]="")),"-",IF(Table4[[#This Row],[Predicted Winner]]=NHL2025_26Results[[#This Row],[Winning Team]],"YES","NO"))</f>
        <v>YES</v>
      </c>
      <c r="N899">
        <f>IF(Table4[[#This Row],[Adjusted Correct]]="-", "",IF(Table4[[#This Row],[Adjusted Correct]]="YES",(Table4[[#This Row],[Strength of Win]]-1)^2,(Table4[[#This Row],[Strength of Win]]-0)^2))</f>
        <v>0.14926809411949818</v>
      </c>
      <c r="O899">
        <v>-0.73691677025170388</v>
      </c>
      <c r="P899" s="11">
        <v>0.60208854420915237</v>
      </c>
      <c r="Q899" t="s">
        <v>34</v>
      </c>
      <c r="R899" t="s">
        <v>248</v>
      </c>
    </row>
    <row r="900" spans="4:18" x14ac:dyDescent="0.2">
      <c r="D900" s="1">
        <v>46057</v>
      </c>
      <c r="E900" s="2">
        <v>0.875</v>
      </c>
      <c r="F900" t="s">
        <v>55</v>
      </c>
      <c r="G900">
        <f>VLOOKUP(Table4[[#This Row],[Home]],'NHL Model'!$A$6:$B$38,2,FALSE)</f>
        <v>8.4094725828611647E-2</v>
      </c>
      <c r="H900" t="s">
        <v>26</v>
      </c>
      <c r="I900">
        <f>VLOOKUP(Table4[[#This Row],[Visitor]],'NHL Model'!$A$6:$B$38,2,FALSE)</f>
        <v>-0.33113778518110382</v>
      </c>
      <c r="J900">
        <f>($B$1+Table4[[#This Row],[Home Differential]])-Table4[[#This Row],[Away Differential]]</f>
        <v>0.54483949682123956</v>
      </c>
      <c r="K900" t="str">
        <f>IF(Table4[[#This Row],[HomeIce Differential]]&gt;0,Table4[[#This Row],[Home]],Table4[[#This Row],[Visitor]])</f>
        <v>Utah Mammoth</v>
      </c>
      <c r="L9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0.59243213355251689</v>
      </c>
      <c r="M900" t="str">
        <f>IF(OR((NHL2025_26Results[[#This Row],[Winning Team]]="")),"-",IF(Table4[[#This Row],[Predicted Winner]]=NHL2025_26Results[[#This Row],[Winning Team]],"YES","NO"))</f>
        <v>YES</v>
      </c>
      <c r="N900">
        <f>IF(Table4[[#This Row],[Adjusted Correct]]="-", "",IF(Table4[[#This Row],[Adjusted Correct]]="YES",(Table4[[#This Row],[Strength of Win]]-1)^2,(Table4[[#This Row],[Strength of Win]]-0)^2))</f>
        <v>0.16611156576055341</v>
      </c>
      <c r="O900">
        <v>0.4714874283208188</v>
      </c>
      <c r="P900" s="11">
        <v>0.57600981882814484</v>
      </c>
      <c r="Q900" t="s">
        <v>55</v>
      </c>
      <c r="R900" t="s">
        <v>248</v>
      </c>
    </row>
    <row r="901" spans="4:18" x14ac:dyDescent="0.2">
      <c r="D901" s="1">
        <v>46057</v>
      </c>
      <c r="E901" s="2">
        <v>0.91666666666666663</v>
      </c>
      <c r="F901" t="s">
        <v>20</v>
      </c>
      <c r="G901">
        <f>VLOOKUP(Table4[[#This Row],[Home]],'NHL Model'!$A$6:$B$38,2,FALSE)</f>
        <v>-0.16296463421387539</v>
      </c>
      <c r="H901" t="s">
        <v>38</v>
      </c>
      <c r="I901">
        <f>VLOOKUP(Table4[[#This Row],[Visitor]],'NHL Model'!$A$6:$B$38,2,FALSE)</f>
        <v>-1.3920033028857945</v>
      </c>
      <c r="J901">
        <f>($B$1+Table4[[#This Row],[Home Differential]])-Table4[[#This Row],[Away Differential]]</f>
        <v>1.3586456544834433</v>
      </c>
      <c r="K901" t="str">
        <f>IF(Table4[[#This Row],[HomeIce Differential]]&gt;0,Table4[[#This Row],[Home]],Table4[[#This Row],[Visitor]])</f>
        <v>Vegas Golden Knights</v>
      </c>
      <c r="L9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0.69256757332779373</v>
      </c>
      <c r="M901" t="str">
        <f>IF(OR((NHL2025_26Results[[#This Row],[Winning Team]]="")),"-",IF(Table4[[#This Row],[Predicted Winner]]=NHL2025_26Results[[#This Row],[Winning Team]],"YES","NO"))</f>
        <v>YES</v>
      </c>
      <c r="N901">
        <f>IF(Table4[[#This Row],[Adjusted Correct]]="-", "",IF(Table4[[#This Row],[Adjusted Correct]]="YES",(Table4[[#This Row],[Strength of Win]]-1)^2,(Table4[[#This Row],[Strength of Win]]-0)^2))</f>
        <v>9.4514696969561482E-2</v>
      </c>
      <c r="O901">
        <v>1.2105737491702915</v>
      </c>
      <c r="P901" s="11">
        <v>0.66956533111702077</v>
      </c>
      <c r="Q901" t="s">
        <v>20</v>
      </c>
      <c r="R901" t="s">
        <v>248</v>
      </c>
    </row>
    <row r="902" spans="4:18" x14ac:dyDescent="0.2">
      <c r="D902" s="1">
        <v>46057</v>
      </c>
      <c r="E902" s="2">
        <v>0.79166666666666663</v>
      </c>
      <c r="F902" t="s">
        <v>40</v>
      </c>
      <c r="G902">
        <f>VLOOKUP(Table4[[#This Row],[Home]],'NHL Model'!$A$6:$B$38,2,FALSE)</f>
        <v>-0.58845147248022256</v>
      </c>
      <c r="H902" t="s">
        <v>18</v>
      </c>
      <c r="I902">
        <f>VLOOKUP(Table4[[#This Row],[Visitor]],'NHL Model'!$A$6:$B$38,2,FALSE)</f>
        <v>-8.6274676766085606E-2</v>
      </c>
      <c r="J902">
        <f>($B$1+Table4[[#This Row],[Home Differential]])-Table4[[#This Row],[Away Differential]]</f>
        <v>-0.3725698099026129</v>
      </c>
      <c r="K902" t="str">
        <f>IF(Table4[[#This Row],[HomeIce Differential]]&gt;0,Table4[[#This Row],[Home]],Table4[[#This Row],[Visitor]])</f>
        <v>Montreal Canadiens</v>
      </c>
      <c r="L9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0.54720685586514928</v>
      </c>
      <c r="M902" t="str">
        <f>IF(OR((NHL2025_26Results[[#This Row],[Winning Team]]="")),"-",IF(Table4[[#This Row],[Predicted Winner]]=NHL2025_26Results[[#This Row],[Winning Team]],"YES","NO"))</f>
        <v>YES</v>
      </c>
      <c r="N902">
        <f>IF(Table4[[#This Row],[Adjusted Correct]]="-", "",IF(Table4[[#This Row],[Adjusted Correct]]="YES",(Table4[[#This Row],[Strength of Win]]-1)^2,(Table4[[#This Row],[Strength of Win]]-0)^2))</f>
        <v>0.20502163137552371</v>
      </c>
      <c r="O902">
        <v>-0.25297979833063816</v>
      </c>
      <c r="P902" s="11">
        <v>0.52508389915531173</v>
      </c>
      <c r="Q902" t="s">
        <v>18</v>
      </c>
      <c r="R902" t="s">
        <v>248</v>
      </c>
    </row>
    <row r="903" spans="4:18" x14ac:dyDescent="0.2">
      <c r="D903" s="1">
        <v>46058</v>
      </c>
      <c r="E903" s="2">
        <v>0.79166666666666663</v>
      </c>
      <c r="F903" t="s">
        <v>23</v>
      </c>
      <c r="G903">
        <f>VLOOKUP(Table4[[#This Row],[Home]],'NHL Model'!$A$6:$B$38,2,FALSE)</f>
        <v>8.1543966060426461E-3</v>
      </c>
      <c r="H903" t="s">
        <v>14</v>
      </c>
      <c r="I903">
        <f>VLOOKUP(Table4[[#This Row],[Visitor]],'NHL Model'!$A$6:$B$38,2,FALSE)</f>
        <v>3.6349513460996066E-5</v>
      </c>
      <c r="J903">
        <f>($B$1+Table4[[#This Row],[Home Differential]])-Table4[[#This Row],[Away Differential]]</f>
        <v>0.13772503290410576</v>
      </c>
      <c r="K903" t="str">
        <f>IF(Table4[[#This Row],[HomeIce Differential]]&gt;0,Table4[[#This Row],[Home]],Table4[[#This Row],[Visitor]])</f>
        <v>Buffalo Sabres</v>
      </c>
      <c r="L9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0.53061719156782772</v>
      </c>
      <c r="M903" t="str">
        <f>IF(OR((NHL2025_26Results[[#This Row],[Winning Team]]="")),"-",IF(Table4[[#This Row],[Predicted Winner]]=NHL2025_26Results[[#This Row],[Winning Team]],"YES","NO"))</f>
        <v>NO</v>
      </c>
      <c r="N903">
        <f>IF(Table4[[#This Row],[Adjusted Correct]]="-", "",IF(Table4[[#This Row],[Adjusted Correct]]="YES",(Table4[[#This Row],[Strength of Win]]-1)^2,(Table4[[#This Row],[Strength of Win]]-0)^2))</f>
        <v>0.28155460398732879</v>
      </c>
      <c r="O903">
        <v>0.24779913054306291</v>
      </c>
      <c r="P903" s="11">
        <v>0.5585508992433631</v>
      </c>
      <c r="Q903" t="s">
        <v>23</v>
      </c>
      <c r="R903" t="s">
        <v>249</v>
      </c>
    </row>
    <row r="904" spans="4:18" x14ac:dyDescent="0.2">
      <c r="D904" s="1">
        <v>46058</v>
      </c>
      <c r="E904" s="2">
        <v>0.79166666666666663</v>
      </c>
      <c r="F904" t="s">
        <v>24</v>
      </c>
      <c r="G904">
        <f>VLOOKUP(Table4[[#This Row],[Home]],'NHL Model'!$A$6:$B$38,2,FALSE)</f>
        <v>-0.74510803532792402</v>
      </c>
      <c r="H904" t="s">
        <v>30</v>
      </c>
      <c r="I904">
        <f>VLOOKUP(Table4[[#This Row],[Visitor]],'NHL Model'!$A$6:$B$38,2,FALSE)</f>
        <v>-0.18630462558229716</v>
      </c>
      <c r="J904">
        <f>($B$1+Table4[[#This Row],[Home Differential]])-Table4[[#This Row],[Away Differential]]</f>
        <v>-0.42919642393410279</v>
      </c>
      <c r="K904" t="str">
        <f>IF(Table4[[#This Row],[HomeIce Differential]]&gt;0,Table4[[#This Row],[Home]],Table4[[#This Row],[Visitor]])</f>
        <v>New York Islanders</v>
      </c>
      <c r="L9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0.54509053573750965</v>
      </c>
      <c r="M904" t="str">
        <f>IF(OR((NHL2025_26Results[[#This Row],[Winning Team]]="")),"-",IF(Table4[[#This Row],[Predicted Winner]]=NHL2025_26Results[[#This Row],[Winning Team]],"YES","NO"))</f>
        <v>YES</v>
      </c>
      <c r="N904">
        <f>IF(Table4[[#This Row],[Adjusted Correct]]="-", "",IF(Table4[[#This Row],[Adjusted Correct]]="YES",(Table4[[#This Row],[Strength of Win]]-1)^2,(Table4[[#This Row],[Strength of Win]]-0)^2))</f>
        <v>0.20694262067558597</v>
      </c>
      <c r="O904">
        <v>-0.37217995834057416</v>
      </c>
      <c r="P904" s="11">
        <v>0.53024116185197301</v>
      </c>
      <c r="Q904" t="s">
        <v>30</v>
      </c>
      <c r="R904" t="s">
        <v>248</v>
      </c>
    </row>
    <row r="905" spans="4:18" x14ac:dyDescent="0.2">
      <c r="D905" s="1">
        <v>46058</v>
      </c>
      <c r="E905" s="2">
        <v>0.79166666666666663</v>
      </c>
      <c r="F905" t="s">
        <v>15</v>
      </c>
      <c r="G905">
        <f>VLOOKUP(Table4[[#This Row],[Home]],'NHL Model'!$A$6:$B$38,2,FALSE)</f>
        <v>-0.73651915476403329</v>
      </c>
      <c r="H905" t="s">
        <v>25</v>
      </c>
      <c r="I905">
        <f>VLOOKUP(Table4[[#This Row],[Visitor]],'NHL Model'!$A$6:$B$38,2,FALSE)</f>
        <v>0.2324942014830165</v>
      </c>
      <c r="J905">
        <f>($B$1+Table4[[#This Row],[Home Differential]])-Table4[[#This Row],[Away Differential]]</f>
        <v>-0.83940637043552568</v>
      </c>
      <c r="K905" t="str">
        <f>IF(Table4[[#This Row],[HomeIce Differential]]&gt;0,Table4[[#This Row],[Home]],Table4[[#This Row],[Visitor]])</f>
        <v>Carolina Hurricanes</v>
      </c>
      <c r="L9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0.61078911226278243</v>
      </c>
      <c r="M905" t="str">
        <f>IF(OR((NHL2025_26Results[[#This Row],[Winning Team]]="")),"-",IF(Table4[[#This Row],[Predicted Winner]]=NHL2025_26Results[[#This Row],[Winning Team]],"YES","NO"))</f>
        <v>YES</v>
      </c>
      <c r="N905">
        <f>IF(Table4[[#This Row],[Adjusted Correct]]="-", "",IF(Table4[[#This Row],[Adjusted Correct]]="YES",(Table4[[#This Row],[Strength of Win]]-1)^2,(Table4[[#This Row],[Strength of Win]]-0)^2))</f>
        <v>0.15148511513319299</v>
      </c>
      <c r="O905">
        <v>-0.81283548180559784</v>
      </c>
      <c r="P905" s="11">
        <v>0.59864384473508303</v>
      </c>
      <c r="Q905" t="s">
        <v>25</v>
      </c>
      <c r="R905" t="s">
        <v>248</v>
      </c>
    </row>
    <row r="906" spans="4:18" x14ac:dyDescent="0.2">
      <c r="D906" s="1">
        <v>46058</v>
      </c>
      <c r="E906" s="2">
        <v>0.79166666666666663</v>
      </c>
      <c r="F906" t="s">
        <v>27</v>
      </c>
      <c r="G906">
        <f>VLOOKUP(Table4[[#This Row],[Home]],'NHL Model'!$A$6:$B$38,2,FALSE)</f>
        <v>-0.55097933929175691</v>
      </c>
      <c r="H906" t="s">
        <v>36</v>
      </c>
      <c r="I906">
        <f>VLOOKUP(Table4[[#This Row],[Visitor]],'NHL Model'!$A$6:$B$38,2,FALSE)</f>
        <v>-0.19010748264223354</v>
      </c>
      <c r="J906">
        <f>($B$1+Table4[[#This Row],[Home Differential]])-Table4[[#This Row],[Away Differential]]</f>
        <v>-0.23126487083799929</v>
      </c>
      <c r="K906" t="str">
        <f>IF(Table4[[#This Row],[HomeIce Differential]]&gt;0,Table4[[#This Row],[Home]],Table4[[#This Row],[Visitor]])</f>
        <v>Ottawa Senators</v>
      </c>
      <c r="L9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0.49798580987294622</v>
      </c>
      <c r="M906" t="str">
        <f>IF(OR((NHL2025_26Results[[#This Row],[Winning Team]]="")),"-",IF(Table4[[#This Row],[Predicted Winner]]=NHL2025_26Results[[#This Row],[Winning Team]],"YES","NO"))</f>
        <v>YES</v>
      </c>
      <c r="N906">
        <f>IF(Table4[[#This Row],[Adjusted Correct]]="-", "",IF(Table4[[#This Row],[Adjusted Correct]]="YES",(Table4[[#This Row],[Strength of Win]]-1)^2,(Table4[[#This Row],[Strength of Win]]-0)^2))</f>
        <v>0.25201824708892179</v>
      </c>
      <c r="O906">
        <v>-0.18348676753766646</v>
      </c>
      <c r="P906" s="11">
        <v>0.48251979034046255</v>
      </c>
      <c r="Q906" t="s">
        <v>36</v>
      </c>
      <c r="R906" t="s">
        <v>248</v>
      </c>
    </row>
    <row r="907" spans="4:18" x14ac:dyDescent="0.2">
      <c r="D907" s="1">
        <v>46058</v>
      </c>
      <c r="E907" s="2">
        <v>0.8125</v>
      </c>
      <c r="F907" t="s">
        <v>37</v>
      </c>
      <c r="G907">
        <f>VLOOKUP(Table4[[#This Row],[Home]],'NHL Model'!$A$6:$B$38,2,FALSE)</f>
        <v>0.72108184732572844</v>
      </c>
      <c r="H907" t="s">
        <v>11</v>
      </c>
      <c r="I907">
        <f>VLOOKUP(Table4[[#This Row],[Visitor]],'NHL Model'!$A$6:$B$38,2,FALSE)</f>
        <v>-0.55695213126481558</v>
      </c>
      <c r="J907">
        <f>($B$1+Table4[[#This Row],[Home Differential]])-Table4[[#This Row],[Away Differential]]</f>
        <v>1.4076409644020682</v>
      </c>
      <c r="K907" t="str">
        <f>IF(Table4[[#This Row],[HomeIce Differential]]&gt;0,Table4[[#This Row],[Home]],Table4[[#This Row],[Visitor]])</f>
        <v>Tampa Bay Lightning</v>
      </c>
      <c r="L9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0.7156315228532989</v>
      </c>
      <c r="M907" t="str">
        <f>IF(OR((NHL2025_26Results[[#This Row],[Winning Team]]="")),"-",IF(Table4[[#This Row],[Predicted Winner]]=NHL2025_26Results[[#This Row],[Winning Team]],"YES","NO"))</f>
        <v>YES</v>
      </c>
      <c r="N907">
        <f>IF(Table4[[#This Row],[Adjusted Correct]]="-", "",IF(Table4[[#This Row],[Adjusted Correct]]="YES",(Table4[[#This Row],[Strength of Win]]-1)^2,(Table4[[#This Row],[Strength of Win]]-0)^2))</f>
        <v>8.0865430794733864E-2</v>
      </c>
      <c r="O907">
        <v>1.2649370268349793</v>
      </c>
      <c r="P907" s="11">
        <v>0.67801907562964914</v>
      </c>
      <c r="Q907" t="s">
        <v>37</v>
      </c>
      <c r="R907" t="s">
        <v>248</v>
      </c>
    </row>
    <row r="908" spans="4:18" x14ac:dyDescent="0.2">
      <c r="D908" s="1">
        <v>46058</v>
      </c>
      <c r="E908" s="2">
        <v>0.91666666666666663</v>
      </c>
      <c r="F908" t="s">
        <v>20</v>
      </c>
      <c r="G908">
        <f>VLOOKUP(Table4[[#This Row],[Home]],'NHL Model'!$A$6:$B$38,2,FALSE)</f>
        <v>-0.16296463421387539</v>
      </c>
      <c r="H908" t="s">
        <v>13</v>
      </c>
      <c r="I908">
        <f>VLOOKUP(Table4[[#This Row],[Visitor]],'NHL Model'!$A$6:$B$38,2,FALSE)</f>
        <v>-0.59069689888466137</v>
      </c>
      <c r="J908">
        <f>($B$1+Table4[[#This Row],[Home Differential]])-Table4[[#This Row],[Away Differential]]</f>
        <v>0.55733925048231003</v>
      </c>
      <c r="K908" t="str">
        <f>IF(Table4[[#This Row],[HomeIce Differential]]&gt;0,Table4[[#This Row],[Home]],Table4[[#This Row],[Visitor]])</f>
        <v>Vegas Golden Knights</v>
      </c>
      <c r="L9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0.58181654844834352</v>
      </c>
      <c r="M908" t="str">
        <f>IF(OR((NHL2025_26Results[[#This Row],[Winning Team]]="")),"-",IF(Table4[[#This Row],[Predicted Winner]]=NHL2025_26Results[[#This Row],[Winning Team]],"YES","NO"))</f>
        <v>YES</v>
      </c>
      <c r="N908">
        <f>IF(Table4[[#This Row],[Adjusted Correct]]="-", "",IF(Table4[[#This Row],[Adjusted Correct]]="YES",(Table4[[#This Row],[Strength of Win]]-1)^2,(Table4[[#This Row],[Strength of Win]]-0)^2))</f>
        <v>0.17487739915165662</v>
      </c>
      <c r="O908">
        <v>0.4151850227855437</v>
      </c>
      <c r="P908" s="11">
        <v>0.55650559940730882</v>
      </c>
      <c r="Q908" t="s">
        <v>20</v>
      </c>
      <c r="R908" t="s">
        <v>248</v>
      </c>
    </row>
    <row r="909" spans="4:18" x14ac:dyDescent="0.2">
      <c r="D909" s="1">
        <v>46058</v>
      </c>
      <c r="E909" s="2">
        <v>0.79166666666666663</v>
      </c>
      <c r="F909" t="s">
        <v>22</v>
      </c>
      <c r="G909">
        <f>VLOOKUP(Table4[[#This Row],[Home]],'NHL Model'!$A$6:$B$38,2,FALSE)</f>
        <v>-0.11977593183651415</v>
      </c>
      <c r="H909" t="s">
        <v>29</v>
      </c>
      <c r="I909">
        <f>VLOOKUP(Table4[[#This Row],[Visitor]],'NHL Model'!$A$6:$B$38,2,FALSE)</f>
        <v>-0.82056481120798741</v>
      </c>
      <c r="J909">
        <f>($B$1+Table4[[#This Row],[Home Differential]])-Table4[[#This Row],[Away Differential]]</f>
        <v>0.83039586518299735</v>
      </c>
      <c r="K909" t="str">
        <f>IF(Table4[[#This Row],[HomeIce Differential]]&gt;0,Table4[[#This Row],[Home]],Table4[[#This Row],[Visitor]])</f>
        <v>Washington Capitals</v>
      </c>
      <c r="L9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0.65121488418047158</v>
      </c>
      <c r="M909" t="str">
        <f>IF(OR((NHL2025_26Results[[#This Row],[Winning Team]]="")),"-",IF(Table4[[#This Row],[Predicted Winner]]=NHL2025_26Results[[#This Row],[Winning Team]],"YES","NO"))</f>
        <v>YES</v>
      </c>
      <c r="N909">
        <f>IF(Table4[[#This Row],[Adjusted Correct]]="-", "",IF(Table4[[#This Row],[Adjusted Correct]]="YES",(Table4[[#This Row],[Strength of Win]]-1)^2,(Table4[[#This Row],[Strength of Win]]-0)^2))</f>
        <v>0.12165105701724185</v>
      </c>
      <c r="O909">
        <v>0.76396352273112489</v>
      </c>
      <c r="P909" s="11">
        <v>0.62949914719930178</v>
      </c>
      <c r="Q909" t="s">
        <v>22</v>
      </c>
      <c r="R909" t="s">
        <v>248</v>
      </c>
    </row>
    <row r="910" spans="4:18" x14ac:dyDescent="0.2">
      <c r="D910" s="1">
        <v>46078</v>
      </c>
      <c r="E910" s="2">
        <v>0.9375</v>
      </c>
      <c r="F910" t="s">
        <v>31</v>
      </c>
      <c r="G910">
        <f>VLOOKUP(Table4[[#This Row],[Home]],'NHL Model'!$A$6:$B$38,2,FALSE)</f>
        <v>-0.46360583111358089</v>
      </c>
      <c r="H910" t="s">
        <v>17</v>
      </c>
      <c r="I910">
        <f>VLOOKUP(Table4[[#This Row],[Visitor]],'NHL Model'!$A$6:$B$38,2,FALSE)</f>
        <v>-0.36462594951491906</v>
      </c>
      <c r="J910">
        <f>($B$1+Table4[[#This Row],[Home Differential]])-Table4[[#This Row],[Away Differential]]</f>
        <v>3.0627104212862244E-2</v>
      </c>
      <c r="K910" t="str">
        <f>IF(Table4[[#This Row],[HomeIce Differential]]&gt;0,Table4[[#This Row],[Home]],Table4[[#This Row],[Visitor]])</f>
        <v>Anaheim Ducks</v>
      </c>
      <c r="L9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0.59515521227370849</v>
      </c>
      <c r="M910" t="str">
        <f>IF(OR((NHL2025_26Results[[#This Row],[Winning Team]]="")),"-",IF(Table4[[#This Row],[Predicted Winner]]=NHL2025_26Results[[#This Row],[Winning Team]],"YES","NO"))</f>
        <v>YES</v>
      </c>
      <c r="N910">
        <f>IF(Table4[[#This Row],[Adjusted Correct]]="-", "",IF(Table4[[#This Row],[Adjusted Correct]]="YES",(Table4[[#This Row],[Strength of Win]]-1)^2,(Table4[[#This Row],[Strength of Win]]-0)^2))</f>
        <v>0.16389930214914603</v>
      </c>
      <c r="O910">
        <v>-5.5818257428936202E-3</v>
      </c>
      <c r="P910" s="11">
        <v>0.41359405508758107</v>
      </c>
      <c r="Q910" t="s">
        <v>17</v>
      </c>
      <c r="R910" t="s">
        <v>249</v>
      </c>
    </row>
    <row r="911" spans="4:18" x14ac:dyDescent="0.2">
      <c r="D911" s="1">
        <v>46078</v>
      </c>
      <c r="E911" s="2">
        <v>0.83333333333333337</v>
      </c>
      <c r="F911" t="s">
        <v>39</v>
      </c>
      <c r="G911">
        <f>VLOOKUP(Table4[[#This Row],[Home]],'NHL Model'!$A$6:$B$38,2,FALSE)</f>
        <v>0.21708030788125537</v>
      </c>
      <c r="H911" t="s">
        <v>32</v>
      </c>
      <c r="I911">
        <f>VLOOKUP(Table4[[#This Row],[Visitor]],'NHL Model'!$A$6:$B$38,2,FALSE)</f>
        <v>-0.48236715437805205</v>
      </c>
      <c r="J911">
        <f>($B$1+Table4[[#This Row],[Home Differential]])-Table4[[#This Row],[Away Differential]]</f>
        <v>0.82905444807083151</v>
      </c>
      <c r="K911" t="str">
        <f>IF(Table4[[#This Row],[HomeIce Differential]]&gt;0,Table4[[#This Row],[Home]],Table4[[#This Row],[Visitor]])</f>
        <v>Dallas Stars</v>
      </c>
      <c r="L9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0.6709359345606053</v>
      </c>
      <c r="M911" t="str">
        <f>IF(OR((NHL2025_26Results[[#This Row],[Winning Team]]="")),"-",IF(Table4[[#This Row],[Predicted Winner]]=NHL2025_26Results[[#This Row],[Winning Team]],"YES","NO"))</f>
        <v>YES</v>
      </c>
      <c r="N911">
        <f>IF(Table4[[#This Row],[Adjusted Correct]]="-", "",IF(Table4[[#This Row],[Adjusted Correct]]="YES",(Table4[[#This Row],[Strength of Win]]-1)^2,(Table4[[#This Row],[Strength of Win]]-0)^2))</f>
        <v>0.10828315916350224</v>
      </c>
      <c r="O911">
        <v>0.75204068749857478</v>
      </c>
      <c r="P911" s="11">
        <v>0.65224483335901284</v>
      </c>
      <c r="Q911" t="s">
        <v>39</v>
      </c>
      <c r="R911" t="s">
        <v>248</v>
      </c>
    </row>
    <row r="912" spans="4:18" x14ac:dyDescent="0.2">
      <c r="D912" s="1">
        <v>46078</v>
      </c>
      <c r="E912" s="2">
        <v>0.91666666666666663</v>
      </c>
      <c r="F912" t="s">
        <v>13</v>
      </c>
      <c r="G912">
        <f>VLOOKUP(Table4[[#This Row],[Home]],'NHL Model'!$A$6:$B$38,2,FALSE)</f>
        <v>-0.59069689888466137</v>
      </c>
      <c r="H912" t="s">
        <v>20</v>
      </c>
      <c r="I912">
        <f>VLOOKUP(Table4[[#This Row],[Visitor]],'NHL Model'!$A$6:$B$38,2,FALSE)</f>
        <v>-0.16296463421387539</v>
      </c>
      <c r="J912">
        <f>($B$1+Table4[[#This Row],[Home Differential]])-Table4[[#This Row],[Away Differential]]</f>
        <v>-0.29812527885926188</v>
      </c>
      <c r="K912" t="str">
        <f>IF(Table4[[#This Row],[HomeIce Differential]]&gt;0,Table4[[#This Row],[Home]],Table4[[#This Row],[Visitor]])</f>
        <v>Vegas Golden Knights</v>
      </c>
      <c r="L9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0.50549382358487205</v>
      </c>
      <c r="M912" t="str">
        <f>IF(OR((NHL2025_26Results[[#This Row],[Winning Team]]="")),"-",IF(Table4[[#This Row],[Predicted Winner]]=NHL2025_26Results[[#This Row],[Winning Team]],"YES","NO"))</f>
        <v>YES</v>
      </c>
      <c r="N912">
        <f>IF(Table4[[#This Row],[Adjusted Correct]]="-", "",IF(Table4[[#This Row],[Adjusted Correct]]="YES",(Table4[[#This Row],[Strength of Win]]-1)^2,(Table4[[#This Row],[Strength of Win]]-0)^2))</f>
        <v>0.24453635851270966</v>
      </c>
      <c r="O912">
        <v>-0.24591775195140045</v>
      </c>
      <c r="P912" s="11">
        <v>0.48920683970719414</v>
      </c>
      <c r="Q912" t="s">
        <v>20</v>
      </c>
      <c r="R912" t="s">
        <v>248</v>
      </c>
    </row>
    <row r="913" spans="4:18" x14ac:dyDescent="0.2">
      <c r="D913" s="1">
        <v>46078</v>
      </c>
      <c r="E913" s="2">
        <v>0.79166666666666663</v>
      </c>
      <c r="F913" t="s">
        <v>24</v>
      </c>
      <c r="G913">
        <f>VLOOKUP(Table4[[#This Row],[Home]],'NHL Model'!$A$6:$B$38,2,FALSE)</f>
        <v>-0.74510803532792402</v>
      </c>
      <c r="H913" t="s">
        <v>23</v>
      </c>
      <c r="I913">
        <f>VLOOKUP(Table4[[#This Row],[Visitor]],'NHL Model'!$A$6:$B$38,2,FALSE)</f>
        <v>8.1543966060426461E-3</v>
      </c>
      <c r="J913">
        <f>($B$1+Table4[[#This Row],[Home Differential]])-Table4[[#This Row],[Away Differential]]</f>
        <v>-0.62365544612244261</v>
      </c>
      <c r="K913" t="str">
        <f>IF(Table4[[#This Row],[HomeIce Differential]]&gt;0,Table4[[#This Row],[Home]],Table4[[#This Row],[Visitor]])</f>
        <v>Buffalo Sabres</v>
      </c>
      <c r="L9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0.56692709115508133</v>
      </c>
      <c r="M913" t="str">
        <f>IF(OR((NHL2025_26Results[[#This Row],[Winning Team]]="")),"-",IF(Table4[[#This Row],[Predicted Winner]]=NHL2025_26Results[[#This Row],[Winning Team]],"YES","NO"))</f>
        <v>YES</v>
      </c>
      <c r="N913">
        <f>IF(Table4[[#This Row],[Adjusted Correct]]="-", "",IF(Table4[[#This Row],[Adjusted Correct]]="YES",(Table4[[#This Row],[Strength of Win]]-1)^2,(Table4[[#This Row],[Strength of Win]]-0)^2))</f>
        <v>0.18755214437539924</v>
      </c>
      <c r="O913">
        <v>-0.61888280019643094</v>
      </c>
      <c r="P913" s="11">
        <v>0.55694012271521087</v>
      </c>
      <c r="Q913" t="s">
        <v>23</v>
      </c>
      <c r="R913" t="s">
        <v>248</v>
      </c>
    </row>
    <row r="914" spans="4:18" x14ac:dyDescent="0.2">
      <c r="D914" s="1">
        <v>46078</v>
      </c>
      <c r="E914" s="2">
        <v>0.8125</v>
      </c>
      <c r="F914" t="s">
        <v>37</v>
      </c>
      <c r="G914">
        <f>VLOOKUP(Table4[[#This Row],[Home]],'NHL Model'!$A$6:$B$38,2,FALSE)</f>
        <v>0.72108184732572844</v>
      </c>
      <c r="H914" t="s">
        <v>19</v>
      </c>
      <c r="I914">
        <f>VLOOKUP(Table4[[#This Row],[Visitor]],'NHL Model'!$A$6:$B$38,2,FALSE)</f>
        <v>-0.44228056828684137</v>
      </c>
      <c r="J914">
        <f>($B$1+Table4[[#This Row],[Home Differential]])-Table4[[#This Row],[Away Differential]]</f>
        <v>1.2929694014240938</v>
      </c>
      <c r="K914" t="str">
        <f>IF(Table4[[#This Row],[HomeIce Differential]]&gt;0,Table4[[#This Row],[Home]],Table4[[#This Row],[Visitor]])</f>
        <v>Tampa Bay Lightning</v>
      </c>
      <c r="L9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0.74117747649298082</v>
      </c>
      <c r="M914" t="str">
        <f>IF(OR((NHL2025_26Results[[#This Row],[Winning Team]]="")),"-",IF(Table4[[#This Row],[Predicted Winner]]=NHL2025_26Results[[#This Row],[Winning Team]],"YES","NO"))</f>
        <v>YES</v>
      </c>
      <c r="N914">
        <f>IF(Table4[[#This Row],[Adjusted Correct]]="-", "",IF(Table4[[#This Row],[Adjusted Correct]]="YES",(Table4[[#This Row],[Strength of Win]]-1)^2,(Table4[[#This Row],[Strength of Win]]-0)^2))</f>
        <v>6.6989098674541489E-2</v>
      </c>
      <c r="O914">
        <v>1.2634518160648289</v>
      </c>
      <c r="P914" s="11">
        <v>0.72993261101412599</v>
      </c>
      <c r="Q914" t="s">
        <v>37</v>
      </c>
      <c r="R914" t="s">
        <v>248</v>
      </c>
    </row>
    <row r="915" spans="4:18" x14ac:dyDescent="0.2">
      <c r="D915" s="1">
        <v>46078</v>
      </c>
      <c r="E915" s="2">
        <v>0.875</v>
      </c>
      <c r="F915" t="s">
        <v>55</v>
      </c>
      <c r="G915">
        <f>VLOOKUP(Table4[[#This Row],[Home]],'NHL Model'!$A$6:$B$38,2,FALSE)</f>
        <v>8.4094725828611647E-2</v>
      </c>
      <c r="H915" t="s">
        <v>12</v>
      </c>
      <c r="I915">
        <f>VLOOKUP(Table4[[#This Row],[Visitor]],'NHL Model'!$A$6:$B$38,2,FALSE)</f>
        <v>0.99866683349964291</v>
      </c>
      <c r="J915">
        <f>($B$1+Table4[[#This Row],[Home Differential]])-Table4[[#This Row],[Away Differential]]</f>
        <v>-0.78496512185950718</v>
      </c>
      <c r="K915" t="str">
        <f>IF(Table4[[#This Row],[HomeIce Differential]]&gt;0,Table4[[#This Row],[Home]],Table4[[#This Row],[Visitor]])</f>
        <v>Colorado Avalanche</v>
      </c>
      <c r="L9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0.58814676835999136</v>
      </c>
      <c r="M915" t="str">
        <f>IF(OR((NHL2025_26Results[[#This Row],[Winning Team]]="")),"-",IF(Table4[[#This Row],[Predicted Winner]]=NHL2025_26Results[[#This Row],[Winning Team]],"YES","NO"))</f>
        <v>YES</v>
      </c>
      <c r="N915">
        <f>IF(Table4[[#This Row],[Adjusted Correct]]="-", "",IF(Table4[[#This Row],[Adjusted Correct]]="YES",(Table4[[#This Row],[Strength of Win]]-1)^2,(Table4[[#This Row],[Strength of Win]]-0)^2))</f>
        <v>0.1696230844123186</v>
      </c>
      <c r="O915">
        <v>-0.74703613707118643</v>
      </c>
      <c r="P915" s="11">
        <v>0.56657128546464564</v>
      </c>
      <c r="Q915" t="s">
        <v>12</v>
      </c>
      <c r="R915" t="s">
        <v>248</v>
      </c>
    </row>
    <row r="916" spans="4:18" x14ac:dyDescent="0.2">
      <c r="D916" s="1">
        <v>46078</v>
      </c>
      <c r="E916" s="2">
        <v>0.91666666666666663</v>
      </c>
      <c r="F916" t="s">
        <v>38</v>
      </c>
      <c r="G916">
        <f>VLOOKUP(Table4[[#This Row],[Home]],'NHL Model'!$A$6:$B$38,2,FALSE)</f>
        <v>-1.3920033028857945</v>
      </c>
      <c r="H916" t="s">
        <v>40</v>
      </c>
      <c r="I916">
        <f>VLOOKUP(Table4[[#This Row],[Visitor]],'NHL Model'!$A$6:$B$38,2,FALSE)</f>
        <v>-0.58845147248022256</v>
      </c>
      <c r="J916">
        <f>($B$1+Table4[[#This Row],[Home Differential]])-Table4[[#This Row],[Away Differential]]</f>
        <v>-0.67394484459404791</v>
      </c>
      <c r="K916" t="str">
        <f>IF(Table4[[#This Row],[HomeIce Differential]]&gt;0,Table4[[#This Row],[Home]],Table4[[#This Row],[Visitor]])</f>
        <v>Winnipeg Jets</v>
      </c>
      <c r="L9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0.53567987220007263</v>
      </c>
      <c r="M916" t="str">
        <f>IF(OR((NHL2025_26Results[[#This Row],[Winning Team]]="")),"-",IF(Table4[[#This Row],[Predicted Winner]]=NHL2025_26Results[[#This Row],[Winning Team]],"YES","NO"))</f>
        <v>YES</v>
      </c>
      <c r="N916">
        <f>IF(Table4[[#This Row],[Adjusted Correct]]="-", "",IF(Table4[[#This Row],[Adjusted Correct]]="YES",(Table4[[#This Row],[Strength of Win]]-1)^2,(Table4[[#This Row],[Strength of Win]]-0)^2))</f>
        <v>0.21559318108014089</v>
      </c>
      <c r="O916">
        <v>-0.6652775507896298</v>
      </c>
      <c r="P916" s="11">
        <v>0.53277873444080504</v>
      </c>
      <c r="Q916" t="s">
        <v>40</v>
      </c>
      <c r="R916" t="s">
        <v>248</v>
      </c>
    </row>
    <row r="917" spans="4:18" x14ac:dyDescent="0.2">
      <c r="D917" s="1">
        <v>46078</v>
      </c>
      <c r="E917" s="2">
        <v>0.79166666666666663</v>
      </c>
      <c r="F917" t="s">
        <v>22</v>
      </c>
      <c r="G917">
        <f>VLOOKUP(Table4[[#This Row],[Home]],'NHL Model'!$A$6:$B$38,2,FALSE)</f>
        <v>-0.11977593183651415</v>
      </c>
      <c r="H917" t="s">
        <v>27</v>
      </c>
      <c r="I917">
        <f>VLOOKUP(Table4[[#This Row],[Visitor]],'NHL Model'!$A$6:$B$38,2,FALSE)</f>
        <v>-0.55097933929175691</v>
      </c>
      <c r="J917">
        <f>($B$1+Table4[[#This Row],[Home Differential]])-Table4[[#This Row],[Away Differential]]</f>
        <v>0.56081039326676685</v>
      </c>
      <c r="K917" t="str">
        <f>IF(Table4[[#This Row],[HomeIce Differential]]&gt;0,Table4[[#This Row],[Home]],Table4[[#This Row],[Visitor]])</f>
        <v>Washington Capitals</v>
      </c>
      <c r="L9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0.62094208926962713</v>
      </c>
      <c r="M917" t="str">
        <f>IF(OR((NHL2025_26Results[[#This Row],[Winning Team]]="")),"-",IF(Table4[[#This Row],[Predicted Winner]]=NHL2025_26Results[[#This Row],[Winning Team]],"YES","NO"))</f>
        <v>YES</v>
      </c>
      <c r="N917">
        <f>IF(Table4[[#This Row],[Adjusted Correct]]="-", "",IF(Table4[[#This Row],[Adjusted Correct]]="YES",(Table4[[#This Row],[Strength of Win]]-1)^2,(Table4[[#This Row],[Strength of Win]]-0)^2))</f>
        <v>0.14368489968727532</v>
      </c>
      <c r="O917">
        <v>0.50969643413334431</v>
      </c>
      <c r="P917" s="11">
        <v>0.60770682718582625</v>
      </c>
      <c r="Q917" t="s">
        <v>22</v>
      </c>
      <c r="R917" t="s">
        <v>248</v>
      </c>
    </row>
    <row r="918" spans="4:18" x14ac:dyDescent="0.2">
      <c r="D918" s="1">
        <v>46079</v>
      </c>
      <c r="E918" s="2">
        <v>0.79166666666666663</v>
      </c>
      <c r="F918" t="s">
        <v>21</v>
      </c>
      <c r="G918">
        <f>VLOOKUP(Table4[[#This Row],[Home]],'NHL Model'!$A$6:$B$38,2,FALSE)</f>
        <v>-0.10253061303059285</v>
      </c>
      <c r="H918" t="s">
        <v>28</v>
      </c>
      <c r="I918">
        <f>VLOOKUP(Table4[[#This Row],[Visitor]],'NHL Model'!$A$6:$B$38,2,FALSE)</f>
        <v>-0.28156479873410767</v>
      </c>
      <c r="J918">
        <f>($B$1+Table4[[#This Row],[Home Differential]])-Table4[[#This Row],[Away Differential]]</f>
        <v>0.30864117151503889</v>
      </c>
      <c r="K918" t="str">
        <f>IF(Table4[[#This Row],[HomeIce Differential]]&gt;0,Table4[[#This Row],[Home]],Table4[[#This Row],[Visitor]])</f>
        <v>Boston Bruins</v>
      </c>
      <c r="L9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0.61465851041565345</v>
      </c>
      <c r="M918" t="str">
        <f>IF(OR((NHL2025_26Results[[#This Row],[Winning Team]]="")),"-",IF(Table4[[#This Row],[Predicted Winner]]=NHL2025_26Results[[#This Row],[Winning Team]],"YES","NO"))</f>
        <v>-</v>
      </c>
      <c r="N918" t="str">
        <f>IF(Table4[[#This Row],[Adjusted Correct]]="-", "",IF(Table4[[#This Row],[Adjusted Correct]]="YES",(Table4[[#This Row],[Strength of Win]]-1)^2,(Table4[[#This Row],[Strength of Win]]-0)^2))</f>
        <v/>
      </c>
      <c r="O918">
        <v>0.30864117151503889</v>
      </c>
      <c r="P918" s="11">
        <v>0.61465851041565345</v>
      </c>
      <c r="Q918" t="s">
        <v>21</v>
      </c>
    </row>
    <row r="919" spans="4:18" x14ac:dyDescent="0.2">
      <c r="D919" s="1">
        <v>46079</v>
      </c>
      <c r="E919" s="2">
        <v>0.79166666666666663</v>
      </c>
      <c r="F919" t="s">
        <v>25</v>
      </c>
      <c r="G919">
        <f>VLOOKUP(Table4[[#This Row],[Home]],'NHL Model'!$A$6:$B$38,2,FALSE)</f>
        <v>0.2324942014830165</v>
      </c>
      <c r="H919" t="s">
        <v>37</v>
      </c>
      <c r="I919">
        <f>VLOOKUP(Table4[[#This Row],[Visitor]],'NHL Model'!$A$6:$B$38,2,FALSE)</f>
        <v>0.72108184732572844</v>
      </c>
      <c r="J919">
        <f>($B$1+Table4[[#This Row],[Home Differential]])-Table4[[#This Row],[Away Differential]]</f>
        <v>-0.35898066003118784</v>
      </c>
      <c r="K919" t="str">
        <f>IF(Table4[[#This Row],[HomeIce Differential]]&gt;0,Table4[[#This Row],[Home]],Table4[[#This Row],[Visitor]])</f>
        <v>Tampa Bay Lightning</v>
      </c>
      <c r="L9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0.54073613503931639</v>
      </c>
      <c r="M919" t="str">
        <f>IF(OR((NHL2025_26Results[[#This Row],[Winning Team]]="")),"-",IF(Table4[[#This Row],[Predicted Winner]]=NHL2025_26Results[[#This Row],[Winning Team]],"YES","NO"))</f>
        <v>-</v>
      </c>
      <c r="N919" t="str">
        <f>IF(Table4[[#This Row],[Adjusted Correct]]="-", "",IF(Table4[[#This Row],[Adjusted Correct]]="YES",(Table4[[#This Row],[Strength of Win]]-1)^2,(Table4[[#This Row],[Strength of Win]]-0)^2))</f>
        <v/>
      </c>
      <c r="O919">
        <v>-0.35898066003118784</v>
      </c>
      <c r="P919" s="11">
        <v>0.54073613503931639</v>
      </c>
      <c r="Q919" t="s">
        <v>37</v>
      </c>
    </row>
    <row r="920" spans="4:18" x14ac:dyDescent="0.2">
      <c r="D920" s="1">
        <v>46079</v>
      </c>
      <c r="E920" s="2">
        <v>0.875</v>
      </c>
      <c r="F920" t="s">
        <v>12</v>
      </c>
      <c r="G920">
        <f>VLOOKUP(Table4[[#This Row],[Home]],'NHL Model'!$A$6:$B$38,2,FALSE)</f>
        <v>0.99866683349964291</v>
      </c>
      <c r="H920" t="s">
        <v>34</v>
      </c>
      <c r="I920">
        <f>VLOOKUP(Table4[[#This Row],[Visitor]],'NHL Model'!$A$6:$B$38,2,FALSE)</f>
        <v>6.0485283743665949E-2</v>
      </c>
      <c r="J920">
        <f>($B$1+Table4[[#This Row],[Home Differential]])-Table4[[#This Row],[Away Differential]]</f>
        <v>1.067788535567501</v>
      </c>
      <c r="K920" t="str">
        <f>IF(Table4[[#This Row],[HomeIce Differential]]&gt;0,Table4[[#This Row],[Home]],Table4[[#This Row],[Visitor]])</f>
        <v>Colorado Avalanche</v>
      </c>
      <c r="L9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0.67253768188243457</v>
      </c>
      <c r="M920" t="str">
        <f>IF(OR((NHL2025_26Results[[#This Row],[Winning Team]]="")),"-",IF(Table4[[#This Row],[Predicted Winner]]=NHL2025_26Results[[#This Row],[Winning Team]],"YES","NO"))</f>
        <v>-</v>
      </c>
      <c r="N920" t="str">
        <f>IF(Table4[[#This Row],[Adjusted Correct]]="-", "",IF(Table4[[#This Row],[Adjusted Correct]]="YES",(Table4[[#This Row],[Strength of Win]]-1)^2,(Table4[[#This Row],[Strength of Win]]-0)^2))</f>
        <v/>
      </c>
      <c r="O920">
        <v>1.067788535567501</v>
      </c>
      <c r="P920" s="11">
        <v>0.67253768188243457</v>
      </c>
      <c r="Q920" t="s">
        <v>12</v>
      </c>
    </row>
    <row r="921" spans="4:18" x14ac:dyDescent="0.2">
      <c r="D921" s="1">
        <v>46079</v>
      </c>
      <c r="E921" s="2">
        <v>0.79166666666666663</v>
      </c>
      <c r="F921" t="s">
        <v>11</v>
      </c>
      <c r="G921">
        <f>VLOOKUP(Table4[[#This Row],[Home]],'NHL Model'!$A$6:$B$38,2,FALSE)</f>
        <v>-0.55695213126481558</v>
      </c>
      <c r="H921" t="s">
        <v>19</v>
      </c>
      <c r="I921">
        <f>VLOOKUP(Table4[[#This Row],[Visitor]],'NHL Model'!$A$6:$B$38,2,FALSE)</f>
        <v>-0.44228056828684137</v>
      </c>
      <c r="J921">
        <f>($B$1+Table4[[#This Row],[Home Differential]])-Table4[[#This Row],[Away Differential]]</f>
        <v>1.4935422833549872E-2</v>
      </c>
      <c r="K921" t="str">
        <f>IF(Table4[[#This Row],[HomeIce Differential]]&gt;0,Table4[[#This Row],[Home]],Table4[[#This Row],[Visitor]])</f>
        <v>Florida Panthers</v>
      </c>
      <c r="L9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0.54167715637320135</v>
      </c>
      <c r="M921" t="str">
        <f>IF(OR((NHL2025_26Results[[#This Row],[Winning Team]]="")),"-",IF(Table4[[#This Row],[Predicted Winner]]=NHL2025_26Results[[#This Row],[Winning Team]],"YES","NO"))</f>
        <v>-</v>
      </c>
      <c r="N921" t="str">
        <f>IF(Table4[[#This Row],[Adjusted Correct]]="-", "",IF(Table4[[#This Row],[Adjusted Correct]]="YES",(Table4[[#This Row],[Strength of Win]]-1)^2,(Table4[[#This Row],[Strength of Win]]-0)^2))</f>
        <v/>
      </c>
      <c r="O921">
        <v>1.4935422833549872E-2</v>
      </c>
      <c r="P921" s="11">
        <v>0.54167715637320135</v>
      </c>
      <c r="Q921" t="s">
        <v>11</v>
      </c>
    </row>
    <row r="922" spans="4:18" x14ac:dyDescent="0.2">
      <c r="D922" s="1">
        <v>46079</v>
      </c>
      <c r="E922" s="2">
        <v>0.9375</v>
      </c>
      <c r="F922" t="s">
        <v>13</v>
      </c>
      <c r="G922">
        <f>VLOOKUP(Table4[[#This Row],[Home]],'NHL Model'!$A$6:$B$38,2,FALSE)</f>
        <v>-0.59069689888466137</v>
      </c>
      <c r="H922" t="s">
        <v>17</v>
      </c>
      <c r="I922">
        <f>VLOOKUP(Table4[[#This Row],[Visitor]],'NHL Model'!$A$6:$B$38,2,FALSE)</f>
        <v>-0.36462594951491906</v>
      </c>
      <c r="J922">
        <f>($B$1+Table4[[#This Row],[Home Differential]])-Table4[[#This Row],[Away Differential]]</f>
        <v>-9.6463963558218235E-2</v>
      </c>
      <c r="K922" t="str">
        <f>IF(Table4[[#This Row],[HomeIce Differential]]&gt;0,Table4[[#This Row],[Home]],Table4[[#This Row],[Visitor]])</f>
        <v>Edmonton Oilers</v>
      </c>
      <c r="L9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0.47083231141621956</v>
      </c>
      <c r="M922" t="str">
        <f>IF(OR((NHL2025_26Results[[#This Row],[Winning Team]]="")),"-",IF(Table4[[#This Row],[Predicted Winner]]=NHL2025_26Results[[#This Row],[Winning Team]],"YES","NO"))</f>
        <v>-</v>
      </c>
      <c r="N922" t="str">
        <f>IF(Table4[[#This Row],[Adjusted Correct]]="-", "",IF(Table4[[#This Row],[Adjusted Correct]]="YES",(Table4[[#This Row],[Strength of Win]]-1)^2,(Table4[[#This Row],[Strength of Win]]-0)^2))</f>
        <v/>
      </c>
      <c r="O922">
        <v>-9.6463963558218235E-2</v>
      </c>
      <c r="P922" s="11">
        <v>0.47083231141621956</v>
      </c>
      <c r="Q922" t="s">
        <v>17</v>
      </c>
    </row>
    <row r="923" spans="4:18" x14ac:dyDescent="0.2">
      <c r="D923" s="1">
        <v>46079</v>
      </c>
      <c r="E923" s="2">
        <v>0.79166666666666663</v>
      </c>
      <c r="F923" t="s">
        <v>18</v>
      </c>
      <c r="G923">
        <f>VLOOKUP(Table4[[#This Row],[Home]],'NHL Model'!$A$6:$B$38,2,FALSE)</f>
        <v>-8.6274676766085606E-2</v>
      </c>
      <c r="H923" t="s">
        <v>30</v>
      </c>
      <c r="I923">
        <f>VLOOKUP(Table4[[#This Row],[Visitor]],'NHL Model'!$A$6:$B$38,2,FALSE)</f>
        <v>-0.18630462558229716</v>
      </c>
      <c r="J923">
        <f>($B$1+Table4[[#This Row],[Home Differential]])-Table4[[#This Row],[Away Differential]]</f>
        <v>0.22963693462773566</v>
      </c>
      <c r="K923" t="str">
        <f>IF(Table4[[#This Row],[HomeIce Differential]]&gt;0,Table4[[#This Row],[Home]],Table4[[#This Row],[Visitor]])</f>
        <v>Montreal Canadiens</v>
      </c>
      <c r="L9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0.5430281985203228</v>
      </c>
      <c r="M923" t="str">
        <f>IF(OR((NHL2025_26Results[[#This Row],[Winning Team]]="")),"-",IF(Table4[[#This Row],[Predicted Winner]]=NHL2025_26Results[[#This Row],[Winning Team]],"YES","NO"))</f>
        <v>-</v>
      </c>
      <c r="N923" t="str">
        <f>IF(Table4[[#This Row],[Adjusted Correct]]="-", "",IF(Table4[[#This Row],[Adjusted Correct]]="YES",(Table4[[#This Row],[Strength of Win]]-1)^2,(Table4[[#This Row],[Strength of Win]]-0)^2))</f>
        <v/>
      </c>
      <c r="O923">
        <v>0.22963693462773566</v>
      </c>
      <c r="P923" s="11">
        <v>0.5430281985203228</v>
      </c>
      <c r="Q923" t="s">
        <v>18</v>
      </c>
    </row>
    <row r="924" spans="4:18" x14ac:dyDescent="0.2">
      <c r="D924" s="1">
        <v>46079</v>
      </c>
      <c r="E924" s="2">
        <v>0.83333333333333337</v>
      </c>
      <c r="F924" t="s">
        <v>29</v>
      </c>
      <c r="G924">
        <f>VLOOKUP(Table4[[#This Row],[Home]],'NHL Model'!$A$6:$B$38,2,FALSE)</f>
        <v>-0.82056481120798741</v>
      </c>
      <c r="H924" t="s">
        <v>10</v>
      </c>
      <c r="I924">
        <f>VLOOKUP(Table4[[#This Row],[Visitor]],'NHL Model'!$A$6:$B$38,2,FALSE)</f>
        <v>-0.92658078135875344</v>
      </c>
      <c r="J924">
        <f>($B$1+Table4[[#This Row],[Home Differential]])-Table4[[#This Row],[Away Differential]]</f>
        <v>0.2356229559622901</v>
      </c>
      <c r="K924" t="str">
        <f>IF(Table4[[#This Row],[HomeIce Differential]]&gt;0,Table4[[#This Row],[Home]],Table4[[#This Row],[Visitor]])</f>
        <v>Nashville Predators</v>
      </c>
      <c r="L9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0.56645901268874688</v>
      </c>
      <c r="M924" t="str">
        <f>IF(OR((NHL2025_26Results[[#This Row],[Winning Team]]="")),"-",IF(Table4[[#This Row],[Predicted Winner]]=NHL2025_26Results[[#This Row],[Winning Team]],"YES","NO"))</f>
        <v>-</v>
      </c>
      <c r="N924" t="str">
        <f>IF(Table4[[#This Row],[Adjusted Correct]]="-", "",IF(Table4[[#This Row],[Adjusted Correct]]="YES",(Table4[[#This Row],[Strength of Win]]-1)^2,(Table4[[#This Row],[Strength of Win]]-0)^2))</f>
        <v/>
      </c>
      <c r="O924">
        <v>0.2356229559622901</v>
      </c>
      <c r="P924" s="11">
        <v>0.56645901268874688</v>
      </c>
      <c r="Q924" t="s">
        <v>29</v>
      </c>
    </row>
    <row r="925" spans="4:18" x14ac:dyDescent="0.2">
      <c r="D925" s="1">
        <v>46079</v>
      </c>
      <c r="E925" s="2">
        <v>0.83333333333333337</v>
      </c>
      <c r="F925" t="s">
        <v>15</v>
      </c>
      <c r="G925">
        <f>VLOOKUP(Table4[[#This Row],[Home]],'NHL Model'!$A$6:$B$38,2,FALSE)</f>
        <v>-0.73651915476403329</v>
      </c>
      <c r="H925" t="s">
        <v>27</v>
      </c>
      <c r="I925">
        <f>VLOOKUP(Table4[[#This Row],[Visitor]],'NHL Model'!$A$6:$B$38,2,FALSE)</f>
        <v>-0.55097933929175691</v>
      </c>
      <c r="J925">
        <f>($B$1+Table4[[#This Row],[Home Differential]])-Table4[[#This Row],[Away Differential]]</f>
        <v>-5.5932829660752303E-2</v>
      </c>
      <c r="K925" t="str">
        <f>IF(Table4[[#This Row],[HomeIce Differential]]&gt;0,Table4[[#This Row],[Home]],Table4[[#This Row],[Visitor]])</f>
        <v>Philadelphia Flyers</v>
      </c>
      <c r="L9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0.46628091368970104</v>
      </c>
      <c r="M925" t="str">
        <f>IF(OR((NHL2025_26Results[[#This Row],[Winning Team]]="")),"-",IF(Table4[[#This Row],[Predicted Winner]]=NHL2025_26Results[[#This Row],[Winning Team]],"YES","NO"))</f>
        <v>-</v>
      </c>
      <c r="N925" t="str">
        <f>IF(Table4[[#This Row],[Adjusted Correct]]="-", "",IF(Table4[[#This Row],[Adjusted Correct]]="YES",(Table4[[#This Row],[Strength of Win]]-1)^2,(Table4[[#This Row],[Strength of Win]]-0)^2))</f>
        <v/>
      </c>
      <c r="O925">
        <v>-5.5932829660752303E-2</v>
      </c>
      <c r="P925" s="11">
        <v>0.46628091368970104</v>
      </c>
      <c r="Q925" t="s">
        <v>27</v>
      </c>
    </row>
    <row r="926" spans="4:18" x14ac:dyDescent="0.2">
      <c r="D926" s="1">
        <v>46079</v>
      </c>
      <c r="E926" s="2">
        <v>0.79166666666666663</v>
      </c>
      <c r="F926" t="s">
        <v>36</v>
      </c>
      <c r="G926">
        <f>VLOOKUP(Table4[[#This Row],[Home]],'NHL Model'!$A$6:$B$38,2,FALSE)</f>
        <v>-0.19010748264223354</v>
      </c>
      <c r="H926" t="s">
        <v>26</v>
      </c>
      <c r="I926">
        <f>VLOOKUP(Table4[[#This Row],[Visitor]],'NHL Model'!$A$6:$B$38,2,FALSE)</f>
        <v>-0.33113778518110382</v>
      </c>
      <c r="J926">
        <f>($B$1+Table4[[#This Row],[Home Differential]])-Table4[[#This Row],[Away Differential]]</f>
        <v>0.27063728835039436</v>
      </c>
      <c r="K926" t="str">
        <f>IF(Table4[[#This Row],[HomeIce Differential]]&gt;0,Table4[[#This Row],[Home]],Table4[[#This Row],[Visitor]])</f>
        <v>Ottawa Senators</v>
      </c>
      <c r="L9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0.53238293931727176</v>
      </c>
      <c r="M926" t="str">
        <f>IF(OR((NHL2025_26Results[[#This Row],[Winning Team]]="")),"-",IF(Table4[[#This Row],[Predicted Winner]]=NHL2025_26Results[[#This Row],[Winning Team]],"YES","NO"))</f>
        <v>-</v>
      </c>
      <c r="N926" t="str">
        <f>IF(Table4[[#This Row],[Adjusted Correct]]="-", "",IF(Table4[[#This Row],[Adjusted Correct]]="YES",(Table4[[#This Row],[Strength of Win]]-1)^2,(Table4[[#This Row],[Strength of Win]]-0)^2))</f>
        <v/>
      </c>
      <c r="O926">
        <v>0.27063728835039436</v>
      </c>
      <c r="P926" s="11">
        <v>0.53238293931727176</v>
      </c>
      <c r="Q926" t="s">
        <v>36</v>
      </c>
    </row>
    <row r="927" spans="4:18" x14ac:dyDescent="0.2">
      <c r="D927" s="1">
        <v>46079</v>
      </c>
      <c r="E927" s="2">
        <v>0.79166666666666663</v>
      </c>
      <c r="F927" t="s">
        <v>14</v>
      </c>
      <c r="G927">
        <f>VLOOKUP(Table4[[#This Row],[Home]],'NHL Model'!$A$6:$B$38,2,FALSE)</f>
        <v>3.6349513460996066E-5</v>
      </c>
      <c r="H927" t="s">
        <v>24</v>
      </c>
      <c r="I927">
        <f>VLOOKUP(Table4[[#This Row],[Visitor]],'NHL Model'!$A$6:$B$38,2,FALSE)</f>
        <v>-0.74510803532792402</v>
      </c>
      <c r="J927">
        <f>($B$1+Table4[[#This Row],[Home Differential]])-Table4[[#This Row],[Away Differential]]</f>
        <v>0.87475137065290909</v>
      </c>
      <c r="K927" t="str">
        <f>IF(Table4[[#This Row],[HomeIce Differential]]&gt;0,Table4[[#This Row],[Home]],Table4[[#This Row],[Visitor]])</f>
        <v>Pittsburgh Penguins</v>
      </c>
      <c r="L9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0.61745998259870716</v>
      </c>
      <c r="M927" t="str">
        <f>IF(OR((NHL2025_26Results[[#This Row],[Winning Team]]="")),"-",IF(Table4[[#This Row],[Predicted Winner]]=NHL2025_26Results[[#This Row],[Winning Team]],"YES","NO"))</f>
        <v>-</v>
      </c>
      <c r="N927" t="str">
        <f>IF(Table4[[#This Row],[Adjusted Correct]]="-", "",IF(Table4[[#This Row],[Adjusted Correct]]="YES",(Table4[[#This Row],[Strength of Win]]-1)^2,(Table4[[#This Row],[Strength of Win]]-0)^2))</f>
        <v/>
      </c>
      <c r="O927">
        <v>0.87475137065290909</v>
      </c>
      <c r="P927" s="11">
        <v>0.61745998259870716</v>
      </c>
      <c r="Q927" t="s">
        <v>14</v>
      </c>
    </row>
    <row r="928" spans="4:18" x14ac:dyDescent="0.2">
      <c r="D928" s="1">
        <v>46079</v>
      </c>
      <c r="E928" s="2">
        <v>0.91666666666666663</v>
      </c>
      <c r="F928" t="s">
        <v>33</v>
      </c>
      <c r="G928">
        <f>VLOOKUP(Table4[[#This Row],[Home]],'NHL Model'!$A$6:$B$38,2,FALSE)</f>
        <v>-0.65236582493376272</v>
      </c>
      <c r="H928" t="s">
        <v>16</v>
      </c>
      <c r="I928">
        <f>VLOOKUP(Table4[[#This Row],[Visitor]],'NHL Model'!$A$6:$B$38,2,FALSE)</f>
        <v>-0.89031221864884547</v>
      </c>
      <c r="J928">
        <f>($B$1+Table4[[#This Row],[Home Differential]])-Table4[[#This Row],[Away Differential]]</f>
        <v>0.36755337952660683</v>
      </c>
      <c r="K928" t="str">
        <f>IF(Table4[[#This Row],[HomeIce Differential]]&gt;0,Table4[[#This Row],[Home]],Table4[[#This Row],[Visitor]])</f>
        <v>San Jose Sharks</v>
      </c>
      <c r="L9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0.58127399001921831</v>
      </c>
      <c r="M928" t="str">
        <f>IF(OR((NHL2025_26Results[[#This Row],[Winning Team]]="")),"-",IF(Table4[[#This Row],[Predicted Winner]]=NHL2025_26Results[[#This Row],[Winning Team]],"YES","NO"))</f>
        <v>-</v>
      </c>
      <c r="N928" t="str">
        <f>IF(Table4[[#This Row],[Adjusted Correct]]="-", "",IF(Table4[[#This Row],[Adjusted Correct]]="YES",(Table4[[#This Row],[Strength of Win]]-1)^2,(Table4[[#This Row],[Strength of Win]]-0)^2))</f>
        <v/>
      </c>
      <c r="O928">
        <v>0.36755337952660683</v>
      </c>
      <c r="P928" s="11">
        <v>0.58127399001921831</v>
      </c>
      <c r="Q928" t="s">
        <v>33</v>
      </c>
    </row>
    <row r="929" spans="4:17" x14ac:dyDescent="0.2">
      <c r="D929" s="1">
        <v>46079</v>
      </c>
      <c r="E929" s="2">
        <v>0.83333333333333337</v>
      </c>
      <c r="F929" t="s">
        <v>35</v>
      </c>
      <c r="G929">
        <f>VLOOKUP(Table4[[#This Row],[Home]],'NHL Model'!$A$6:$B$38,2,FALSE)</f>
        <v>-1.3128572733047907</v>
      </c>
      <c r="H929" t="s">
        <v>32</v>
      </c>
      <c r="I929">
        <f>VLOOKUP(Table4[[#This Row],[Visitor]],'NHL Model'!$A$6:$B$38,2,FALSE)</f>
        <v>-0.48236715437805205</v>
      </c>
      <c r="J929">
        <f>($B$1+Table4[[#This Row],[Home Differential]])-Table4[[#This Row],[Away Differential]]</f>
        <v>-0.70088313311521455</v>
      </c>
      <c r="K929" t="str">
        <f>IF(Table4[[#This Row],[HomeIce Differential]]&gt;0,Table4[[#This Row],[Home]],Table4[[#This Row],[Visitor]])</f>
        <v>Seattle Kraken</v>
      </c>
      <c r="L9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0.53870487676672751</v>
      </c>
      <c r="M929" t="str">
        <f>IF(OR((NHL2025_26Results[[#This Row],[Winning Team]]="")),"-",IF(Table4[[#This Row],[Predicted Winner]]=NHL2025_26Results[[#This Row],[Winning Team]],"YES","NO"))</f>
        <v>-</v>
      </c>
      <c r="N929" t="str">
        <f>IF(Table4[[#This Row],[Adjusted Correct]]="-", "",IF(Table4[[#This Row],[Adjusted Correct]]="YES",(Table4[[#This Row],[Strength of Win]]-1)^2,(Table4[[#This Row],[Strength of Win]]-0)^2))</f>
        <v/>
      </c>
      <c r="O929">
        <v>-0.70088313311521455</v>
      </c>
      <c r="P929" s="11">
        <v>0.53870487676672751</v>
      </c>
      <c r="Q929" t="s">
        <v>32</v>
      </c>
    </row>
    <row r="930" spans="4:17" x14ac:dyDescent="0.2">
      <c r="D930" s="1">
        <v>46080</v>
      </c>
      <c r="E930" s="2">
        <v>0.91666666666666663</v>
      </c>
      <c r="F930" t="s">
        <v>31</v>
      </c>
      <c r="G930">
        <f>VLOOKUP(Table4[[#This Row],[Home]],'NHL Model'!$A$6:$B$38,2,FALSE)</f>
        <v>-0.46360583111358089</v>
      </c>
      <c r="H930" t="s">
        <v>40</v>
      </c>
      <c r="I930">
        <f>VLOOKUP(Table4[[#This Row],[Visitor]],'NHL Model'!$A$6:$B$38,2,FALSE)</f>
        <v>-0.58845147248022256</v>
      </c>
      <c r="J930">
        <f>($B$1+Table4[[#This Row],[Home Differential]])-Table4[[#This Row],[Away Differential]]</f>
        <v>0.25445262717816575</v>
      </c>
      <c r="K930" t="str">
        <f>IF(Table4[[#This Row],[HomeIce Differential]]&gt;0,Table4[[#This Row],[Home]],Table4[[#This Row],[Visitor]])</f>
        <v>Anaheim Ducks</v>
      </c>
      <c r="L9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0.62028944560007493</v>
      </c>
      <c r="M930" t="str">
        <f>IF(OR((NHL2025_26Results[[#This Row],[Winning Team]]="")),"-",IF(Table4[[#This Row],[Predicted Winner]]=NHL2025_26Results[[#This Row],[Winning Team]],"YES","NO"))</f>
        <v>-</v>
      </c>
      <c r="N930" t="str">
        <f>IF(Table4[[#This Row],[Adjusted Correct]]="-", "",IF(Table4[[#This Row],[Adjusted Correct]]="YES",(Table4[[#This Row],[Strength of Win]]-1)^2,(Table4[[#This Row],[Strength of Win]]-0)^2))</f>
        <v/>
      </c>
      <c r="P930" s="11"/>
    </row>
    <row r="931" spans="4:17" x14ac:dyDescent="0.2">
      <c r="D931" s="1">
        <v>46080</v>
      </c>
      <c r="E931" s="2">
        <v>0.79166666666666663</v>
      </c>
      <c r="F931" t="s">
        <v>11</v>
      </c>
      <c r="G931">
        <f>VLOOKUP(Table4[[#This Row],[Home]],'NHL Model'!$A$6:$B$38,2,FALSE)</f>
        <v>-0.55695213126481558</v>
      </c>
      <c r="H931" t="s">
        <v>23</v>
      </c>
      <c r="I931">
        <f>VLOOKUP(Table4[[#This Row],[Visitor]],'NHL Model'!$A$6:$B$38,2,FALSE)</f>
        <v>8.1543966060426461E-3</v>
      </c>
      <c r="J931">
        <f>($B$1+Table4[[#This Row],[Home Differential]])-Table4[[#This Row],[Away Differential]]</f>
        <v>-0.43549954205933417</v>
      </c>
      <c r="K931" t="str">
        <f>IF(Table4[[#This Row],[HomeIce Differential]]&gt;0,Table4[[#This Row],[Home]],Table4[[#This Row],[Visitor]])</f>
        <v>Buffalo Sabres</v>
      </c>
      <c r="L9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0.54579833724086091</v>
      </c>
      <c r="M931" t="str">
        <f>IF(OR((NHL2025_26Results[[#This Row],[Winning Team]]="")),"-",IF(Table4[[#This Row],[Predicted Winner]]=NHL2025_26Results[[#This Row],[Winning Team]],"YES","NO"))</f>
        <v>-</v>
      </c>
      <c r="N931" t="str">
        <f>IF(Table4[[#This Row],[Adjusted Correct]]="-", "",IF(Table4[[#This Row],[Adjusted Correct]]="YES",(Table4[[#This Row],[Strength of Win]]-1)^2,(Table4[[#This Row],[Strength of Win]]-0)^2))</f>
        <v/>
      </c>
      <c r="P931" s="11"/>
    </row>
    <row r="932" spans="4:17" x14ac:dyDescent="0.2">
      <c r="D932" s="1">
        <v>46080</v>
      </c>
      <c r="E932" s="2">
        <v>0.875</v>
      </c>
      <c r="F932" t="s">
        <v>55</v>
      </c>
      <c r="G932">
        <f>VLOOKUP(Table4[[#This Row],[Home]],'NHL Model'!$A$6:$B$38,2,FALSE)</f>
        <v>8.4094725828611647E-2</v>
      </c>
      <c r="H932" t="s">
        <v>34</v>
      </c>
      <c r="I932">
        <f>VLOOKUP(Table4[[#This Row],[Visitor]],'NHL Model'!$A$6:$B$38,2,FALSE)</f>
        <v>6.0485283743665949E-2</v>
      </c>
      <c r="J932">
        <f>($B$1+Table4[[#This Row],[Home Differential]])-Table4[[#This Row],[Away Differential]]</f>
        <v>0.15321642789646978</v>
      </c>
      <c r="K932" t="str">
        <f>IF(Table4[[#This Row],[HomeIce Differential]]&gt;0,Table4[[#This Row],[Home]],Table4[[#This Row],[Visitor]])</f>
        <v>Utah Mammoth</v>
      </c>
      <c r="L9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0.51720526505272246</v>
      </c>
      <c r="M932" t="str">
        <f>IF(OR((NHL2025_26Results[[#This Row],[Winning Team]]="")),"-",IF(Table4[[#This Row],[Predicted Winner]]=NHL2025_26Results[[#This Row],[Winning Team]],"YES","NO"))</f>
        <v>-</v>
      </c>
      <c r="N932" t="str">
        <f>IF(Table4[[#This Row],[Adjusted Correct]]="-", "",IF(Table4[[#This Row],[Adjusted Correct]]="YES",(Table4[[#This Row],[Strength of Win]]-1)^2,(Table4[[#This Row],[Strength of Win]]-0)^2))</f>
        <v/>
      </c>
      <c r="P932" s="11"/>
    </row>
    <row r="933" spans="4:17" x14ac:dyDescent="0.2">
      <c r="D933" s="1">
        <v>46080</v>
      </c>
      <c r="E933" s="2">
        <v>0.79166666666666663</v>
      </c>
      <c r="F933" t="s">
        <v>22</v>
      </c>
      <c r="G933">
        <f>VLOOKUP(Table4[[#This Row],[Home]],'NHL Model'!$A$6:$B$38,2,FALSE)</f>
        <v>-0.11977593183651415</v>
      </c>
      <c r="H933" t="s">
        <v>20</v>
      </c>
      <c r="I933">
        <f>VLOOKUP(Table4[[#This Row],[Visitor]],'NHL Model'!$A$6:$B$38,2,FALSE)</f>
        <v>-0.16296463421387539</v>
      </c>
      <c r="J933">
        <f>($B$1+Table4[[#This Row],[Home Differential]])-Table4[[#This Row],[Away Differential]]</f>
        <v>0.17279568818888535</v>
      </c>
      <c r="K933" t="str">
        <f>IF(Table4[[#This Row],[HomeIce Differential]]&gt;0,Table4[[#This Row],[Home]],Table4[[#This Row],[Visitor]])</f>
        <v>Washington Capitals</v>
      </c>
      <c r="L9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0.56542900049066069</v>
      </c>
      <c r="M933" t="str">
        <f>IF(OR((NHL2025_26Results[[#This Row],[Winning Team]]="")),"-",IF(Table4[[#This Row],[Predicted Winner]]=NHL2025_26Results[[#This Row],[Winning Team]],"YES","NO"))</f>
        <v>-</v>
      </c>
      <c r="N933" t="str">
        <f>IF(Table4[[#This Row],[Adjusted Correct]]="-", "",IF(Table4[[#This Row],[Adjusted Correct]]="YES",(Table4[[#This Row],[Strength of Win]]-1)^2,(Table4[[#This Row],[Strength of Win]]-0)^2))</f>
        <v/>
      </c>
      <c r="P933" s="11"/>
    </row>
    <row r="934" spans="4:17" x14ac:dyDescent="0.2">
      <c r="D934" s="1">
        <v>46081</v>
      </c>
      <c r="E934" s="2">
        <v>0.79166666666666663</v>
      </c>
      <c r="F934" t="s">
        <v>25</v>
      </c>
      <c r="G934">
        <f>VLOOKUP(Table4[[#This Row],[Home]],'NHL Model'!$A$6:$B$38,2,FALSE)</f>
        <v>0.2324942014830165</v>
      </c>
      <c r="H934" t="s">
        <v>26</v>
      </c>
      <c r="I934">
        <f>VLOOKUP(Table4[[#This Row],[Visitor]],'NHL Model'!$A$6:$B$38,2,FALSE)</f>
        <v>-0.33113778518110382</v>
      </c>
      <c r="J934">
        <f>($B$1+Table4[[#This Row],[Home Differential]])-Table4[[#This Row],[Away Differential]]</f>
        <v>0.69323897247564448</v>
      </c>
      <c r="K934" t="str">
        <f>IF(Table4[[#This Row],[HomeIce Differential]]&gt;0,Table4[[#This Row],[Home]],Table4[[#This Row],[Visitor]])</f>
        <v>Carolina Hurricanes</v>
      </c>
      <c r="L9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0.63625104281927092</v>
      </c>
      <c r="M934" t="str">
        <f>IF(OR((NHL2025_26Results[[#This Row],[Winning Team]]="")),"-",IF(Table4[[#This Row],[Predicted Winner]]=NHL2025_26Results[[#This Row],[Winning Team]],"YES","NO"))</f>
        <v>-</v>
      </c>
      <c r="N934" t="str">
        <f>IF(Table4[[#This Row],[Adjusted Correct]]="-", "",IF(Table4[[#This Row],[Adjusted Correct]]="YES",(Table4[[#This Row],[Strength of Win]]-1)^2,(Table4[[#This Row],[Strength of Win]]-0)^2))</f>
        <v/>
      </c>
      <c r="P934" s="11"/>
    </row>
    <row r="935" spans="4:17" x14ac:dyDescent="0.2">
      <c r="D935" s="1">
        <v>46081</v>
      </c>
      <c r="E935" s="2">
        <v>0.75</v>
      </c>
      <c r="F935" t="s">
        <v>28</v>
      </c>
      <c r="G935">
        <f>VLOOKUP(Table4[[#This Row],[Home]],'NHL Model'!$A$6:$B$38,2,FALSE)</f>
        <v>-0.28156479873410767</v>
      </c>
      <c r="H935" t="s">
        <v>30</v>
      </c>
      <c r="I935">
        <f>VLOOKUP(Table4[[#This Row],[Visitor]],'NHL Model'!$A$6:$B$38,2,FALSE)</f>
        <v>-0.18630462558229716</v>
      </c>
      <c r="J935">
        <f>($B$1+Table4[[#This Row],[Home Differential]])-Table4[[#This Row],[Away Differential]]</f>
        <v>3.4346812659713594E-2</v>
      </c>
      <c r="K935" t="str">
        <f>IF(Table4[[#This Row],[HomeIce Differential]]&gt;0,Table4[[#This Row],[Home]],Table4[[#This Row],[Visitor]])</f>
        <v>Columbus Blue Jackets</v>
      </c>
      <c r="L9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0.51406101801760706</v>
      </c>
      <c r="M935" t="str">
        <f>IF(OR((NHL2025_26Results[[#This Row],[Winning Team]]="")),"-",IF(Table4[[#This Row],[Predicted Winner]]=NHL2025_26Results[[#This Row],[Winning Team]],"YES","NO"))</f>
        <v>-</v>
      </c>
      <c r="N935" t="str">
        <f>IF(Table4[[#This Row],[Adjusted Correct]]="-", "",IF(Table4[[#This Row],[Adjusted Correct]]="YES",(Table4[[#This Row],[Strength of Win]]-1)^2,(Table4[[#This Row],[Strength of Win]]-0)^2))</f>
        <v/>
      </c>
      <c r="P935" s="11"/>
    </row>
    <row r="936" spans="4:17" x14ac:dyDescent="0.2">
      <c r="D936" s="1">
        <v>46081</v>
      </c>
      <c r="E936" s="2">
        <v>0.75</v>
      </c>
      <c r="F936" t="s">
        <v>12</v>
      </c>
      <c r="G936">
        <f>VLOOKUP(Table4[[#This Row],[Home]],'NHL Model'!$A$6:$B$38,2,FALSE)</f>
        <v>0.99866683349964291</v>
      </c>
      <c r="H936" t="s">
        <v>10</v>
      </c>
      <c r="I936">
        <f>VLOOKUP(Table4[[#This Row],[Visitor]],'NHL Model'!$A$6:$B$38,2,FALSE)</f>
        <v>-0.92658078135875344</v>
      </c>
      <c r="J936">
        <f>($B$1+Table4[[#This Row],[Home Differential]])-Table4[[#This Row],[Away Differential]]</f>
        <v>2.0548546006699207</v>
      </c>
      <c r="K936" t="str">
        <f>IF(Table4[[#This Row],[HomeIce Differential]]&gt;0,Table4[[#This Row],[Home]],Table4[[#This Row],[Visitor]])</f>
        <v>Colorado Avalanche</v>
      </c>
      <c r="L9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0.8505822783167879</v>
      </c>
      <c r="M936" t="str">
        <f>IF(OR((NHL2025_26Results[[#This Row],[Winning Team]]="")),"-",IF(Table4[[#This Row],[Predicted Winner]]=NHL2025_26Results[[#This Row],[Winning Team]],"YES","NO"))</f>
        <v>-</v>
      </c>
      <c r="N936" t="str">
        <f>IF(Table4[[#This Row],[Adjusted Correct]]="-", "",IF(Table4[[#This Row],[Adjusted Correct]]="YES",(Table4[[#This Row],[Strength of Win]]-1)^2,(Table4[[#This Row],[Strength of Win]]-0)^2))</f>
        <v/>
      </c>
      <c r="P936" s="11"/>
    </row>
    <row r="937" spans="4:17" x14ac:dyDescent="0.2">
      <c r="D937" s="1">
        <v>46081</v>
      </c>
      <c r="E937" s="2">
        <v>0.83333333333333337</v>
      </c>
      <c r="F937" t="s">
        <v>39</v>
      </c>
      <c r="G937">
        <f>VLOOKUP(Table4[[#This Row],[Home]],'NHL Model'!$A$6:$B$38,2,FALSE)</f>
        <v>0.21708030788125537</v>
      </c>
      <c r="H937" t="s">
        <v>29</v>
      </c>
      <c r="I937">
        <f>VLOOKUP(Table4[[#This Row],[Visitor]],'NHL Model'!$A$6:$B$38,2,FALSE)</f>
        <v>-0.82056481120798741</v>
      </c>
      <c r="J937">
        <f>($B$1+Table4[[#This Row],[Home Differential]])-Table4[[#This Row],[Away Differential]]</f>
        <v>1.1672521049007669</v>
      </c>
      <c r="K937" t="str">
        <f>IF(Table4[[#This Row],[HomeIce Differential]]&gt;0,Table4[[#This Row],[Home]],Table4[[#This Row],[Visitor]])</f>
        <v>Dallas Stars</v>
      </c>
      <c r="L9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0.70891345698333497</v>
      </c>
      <c r="M937" t="str">
        <f>IF(OR((NHL2025_26Results[[#This Row],[Winning Team]]="")),"-",IF(Table4[[#This Row],[Predicted Winner]]=NHL2025_26Results[[#This Row],[Winning Team]],"YES","NO"))</f>
        <v>-</v>
      </c>
      <c r="N937" t="str">
        <f>IF(Table4[[#This Row],[Adjusted Correct]]="-", "",IF(Table4[[#This Row],[Adjusted Correct]]="YES",(Table4[[#This Row],[Strength of Win]]-1)^2,(Table4[[#This Row],[Strength of Win]]-0)^2))</f>
        <v/>
      </c>
      <c r="P937" s="11"/>
    </row>
    <row r="938" spans="4:17" x14ac:dyDescent="0.2">
      <c r="D938" s="1">
        <v>46081</v>
      </c>
      <c r="E938" s="2">
        <v>0.79166666666666663</v>
      </c>
      <c r="F938" t="s">
        <v>13</v>
      </c>
      <c r="G938">
        <f>VLOOKUP(Table4[[#This Row],[Home]],'NHL Model'!$A$6:$B$38,2,FALSE)</f>
        <v>-0.59069689888466137</v>
      </c>
      <c r="H938" t="s">
        <v>16</v>
      </c>
      <c r="I938">
        <f>VLOOKUP(Table4[[#This Row],[Visitor]],'NHL Model'!$A$6:$B$38,2,FALSE)</f>
        <v>-0.89031221864884547</v>
      </c>
      <c r="J938">
        <f>($B$1+Table4[[#This Row],[Home Differential]])-Table4[[#This Row],[Away Differential]]</f>
        <v>0.42922230557570817</v>
      </c>
      <c r="K938" t="str">
        <f>IF(Table4[[#This Row],[HomeIce Differential]]&gt;0,Table4[[#This Row],[Home]],Table4[[#This Row],[Visitor]])</f>
        <v>Los Angeles Kings</v>
      </c>
      <c r="L9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0.58819903214922076</v>
      </c>
      <c r="M938" t="str">
        <f>IF(OR((NHL2025_26Results[[#This Row],[Winning Team]]="")),"-",IF(Table4[[#This Row],[Predicted Winner]]=NHL2025_26Results[[#This Row],[Winning Team]],"YES","NO"))</f>
        <v>-</v>
      </c>
      <c r="N938" t="str">
        <f>IF(Table4[[#This Row],[Adjusted Correct]]="-", "",IF(Table4[[#This Row],[Adjusted Correct]]="YES",(Table4[[#This Row],[Strength of Win]]-1)^2,(Table4[[#This Row],[Strength of Win]]-0)^2))</f>
        <v/>
      </c>
      <c r="P938" s="11"/>
    </row>
    <row r="939" spans="4:17" x14ac:dyDescent="0.2">
      <c r="D939" s="1">
        <v>46081</v>
      </c>
      <c r="E939" s="2">
        <v>0.79166666666666663</v>
      </c>
      <c r="F939" t="s">
        <v>18</v>
      </c>
      <c r="G939">
        <f>VLOOKUP(Table4[[#This Row],[Home]],'NHL Model'!$A$6:$B$38,2,FALSE)</f>
        <v>-8.6274676766085606E-2</v>
      </c>
      <c r="H939" t="s">
        <v>22</v>
      </c>
      <c r="I939">
        <f>VLOOKUP(Table4[[#This Row],[Visitor]],'NHL Model'!$A$6:$B$38,2,FALSE)</f>
        <v>-0.11977593183651415</v>
      </c>
      <c r="J939">
        <f>($B$1+Table4[[#This Row],[Home Differential]])-Table4[[#This Row],[Away Differential]]</f>
        <v>0.16310824088195264</v>
      </c>
      <c r="K939" t="str">
        <f>IF(Table4[[#This Row],[HomeIce Differential]]&gt;0,Table4[[#This Row],[Home]],Table4[[#This Row],[Visitor]])</f>
        <v>Montreal Canadiens</v>
      </c>
      <c r="L9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0.572332675475132</v>
      </c>
      <c r="M939" t="str">
        <f>IF(OR((NHL2025_26Results[[#This Row],[Winning Team]]="")),"-",IF(Table4[[#This Row],[Predicted Winner]]=NHL2025_26Results[[#This Row],[Winning Team]],"YES","NO"))</f>
        <v>-</v>
      </c>
      <c r="N939" t="str">
        <f>IF(Table4[[#This Row],[Adjusted Correct]]="-", "",IF(Table4[[#This Row],[Adjusted Correct]]="YES",(Table4[[#This Row],[Strength of Win]]-1)^2,(Table4[[#This Row],[Strength of Win]]-0)^2))</f>
        <v/>
      </c>
      <c r="P939" s="11"/>
    </row>
    <row r="940" spans="4:17" x14ac:dyDescent="0.2">
      <c r="D940" s="1">
        <v>46081</v>
      </c>
      <c r="E940" s="2">
        <v>0.52083333333333337</v>
      </c>
      <c r="F940" t="s">
        <v>15</v>
      </c>
      <c r="G940">
        <f>VLOOKUP(Table4[[#This Row],[Home]],'NHL Model'!$A$6:$B$38,2,FALSE)</f>
        <v>-0.73651915476403329</v>
      </c>
      <c r="H940" t="s">
        <v>14</v>
      </c>
      <c r="I940">
        <f>VLOOKUP(Table4[[#This Row],[Visitor]],'NHL Model'!$A$6:$B$38,2,FALSE)</f>
        <v>3.6349513460996066E-5</v>
      </c>
      <c r="J940">
        <f>($B$1+Table4[[#This Row],[Home Differential]])-Table4[[#This Row],[Away Differential]]</f>
        <v>-0.6069485184659702</v>
      </c>
      <c r="K940" t="str">
        <f>IF(Table4[[#This Row],[HomeIce Differential]]&gt;0,Table4[[#This Row],[Home]],Table4[[#This Row],[Visitor]])</f>
        <v>Pittsburgh Penguins</v>
      </c>
      <c r="L9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0.58229541319916656</v>
      </c>
      <c r="M940" t="str">
        <f>IF(OR((NHL2025_26Results[[#This Row],[Winning Team]]="")),"-",IF(Table4[[#This Row],[Predicted Winner]]=NHL2025_26Results[[#This Row],[Winning Team]],"YES","NO"))</f>
        <v>-</v>
      </c>
      <c r="N940" t="str">
        <f>IF(Table4[[#This Row],[Adjusted Correct]]="-", "",IF(Table4[[#This Row],[Adjusted Correct]]="YES",(Table4[[#This Row],[Strength of Win]]-1)^2,(Table4[[#This Row],[Strength of Win]]-0)^2))</f>
        <v/>
      </c>
      <c r="P940" s="11"/>
    </row>
    <row r="941" spans="4:17" x14ac:dyDescent="0.2">
      <c r="D941" s="1">
        <v>46081</v>
      </c>
      <c r="E941" s="2">
        <v>0.625</v>
      </c>
      <c r="F941" t="s">
        <v>27</v>
      </c>
      <c r="G941">
        <f>VLOOKUP(Table4[[#This Row],[Home]],'NHL Model'!$A$6:$B$38,2,FALSE)</f>
        <v>-0.55097933929175691</v>
      </c>
      <c r="H941" t="s">
        <v>21</v>
      </c>
      <c r="I941">
        <f>VLOOKUP(Table4[[#This Row],[Visitor]],'NHL Model'!$A$6:$B$38,2,FALSE)</f>
        <v>-0.10253061303059285</v>
      </c>
      <c r="J941">
        <f>($B$1+Table4[[#This Row],[Home Differential]])-Table4[[#This Row],[Away Differential]]</f>
        <v>-0.31884174044963998</v>
      </c>
      <c r="K941" t="str">
        <f>IF(Table4[[#This Row],[HomeIce Differential]]&gt;0,Table4[[#This Row],[Home]],Table4[[#This Row],[Visitor]])</f>
        <v>Boston Bruins</v>
      </c>
      <c r="L9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0.49580397173868462</v>
      </c>
      <c r="M941" t="str">
        <f>IF(OR((NHL2025_26Results[[#This Row],[Winning Team]]="")),"-",IF(Table4[[#This Row],[Predicted Winner]]=NHL2025_26Results[[#This Row],[Winning Team]],"YES","NO"))</f>
        <v>-</v>
      </c>
      <c r="N941" t="str">
        <f>IF(Table4[[#This Row],[Adjusted Correct]]="-", "",IF(Table4[[#This Row],[Adjusted Correct]]="YES",(Table4[[#This Row],[Strength of Win]]-1)^2,(Table4[[#This Row],[Strength of Win]]-0)^2))</f>
        <v/>
      </c>
      <c r="P941" s="11"/>
    </row>
    <row r="942" spans="4:17" x14ac:dyDescent="0.2">
      <c r="D942" s="1">
        <v>46081</v>
      </c>
      <c r="E942" s="2">
        <v>0.91666666666666663</v>
      </c>
      <c r="F942" t="s">
        <v>32</v>
      </c>
      <c r="G942">
        <f>VLOOKUP(Table4[[#This Row],[Home]],'NHL Model'!$A$6:$B$38,2,FALSE)</f>
        <v>-0.48236715437805205</v>
      </c>
      <c r="H942" t="s">
        <v>38</v>
      </c>
      <c r="I942">
        <f>VLOOKUP(Table4[[#This Row],[Visitor]],'NHL Model'!$A$6:$B$38,2,FALSE)</f>
        <v>-1.3920033028857945</v>
      </c>
      <c r="J942">
        <f>($B$1+Table4[[#This Row],[Home Differential]])-Table4[[#This Row],[Away Differential]]</f>
        <v>1.0392431343192667</v>
      </c>
      <c r="K942" t="str">
        <f>IF(Table4[[#This Row],[HomeIce Differential]]&gt;0,Table4[[#This Row],[Home]],Table4[[#This Row],[Visitor]])</f>
        <v>Seattle Kraken</v>
      </c>
      <c r="L9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0.65670062946688146</v>
      </c>
      <c r="M942" t="str">
        <f>IF(OR((NHL2025_26Results[[#This Row],[Winning Team]]="")),"-",IF(Table4[[#This Row],[Predicted Winner]]=NHL2025_26Results[[#This Row],[Winning Team]],"YES","NO"))</f>
        <v>-</v>
      </c>
      <c r="N942" t="str">
        <f>IF(Table4[[#This Row],[Adjusted Correct]]="-", "",IF(Table4[[#This Row],[Adjusted Correct]]="YES",(Table4[[#This Row],[Strength of Win]]-1)^2,(Table4[[#This Row],[Strength of Win]]-0)^2))</f>
        <v/>
      </c>
      <c r="P942" s="11"/>
    </row>
    <row r="943" spans="4:17" x14ac:dyDescent="0.2">
      <c r="D943" s="1">
        <v>46081</v>
      </c>
      <c r="E943" s="2">
        <v>0.66666666666666663</v>
      </c>
      <c r="F943" t="s">
        <v>33</v>
      </c>
      <c r="G943">
        <f>VLOOKUP(Table4[[#This Row],[Home]],'NHL Model'!$A$6:$B$38,2,FALSE)</f>
        <v>-0.65236582493376272</v>
      </c>
      <c r="H943" t="s">
        <v>17</v>
      </c>
      <c r="I943">
        <f>VLOOKUP(Table4[[#This Row],[Visitor]],'NHL Model'!$A$6:$B$38,2,FALSE)</f>
        <v>-0.36462594951491906</v>
      </c>
      <c r="J943">
        <f>($B$1+Table4[[#This Row],[Home Differential]])-Table4[[#This Row],[Away Differential]]</f>
        <v>-0.15813288960731958</v>
      </c>
      <c r="K943" t="str">
        <f>IF(Table4[[#This Row],[HomeIce Differential]]&gt;0,Table4[[#This Row],[Home]],Table4[[#This Row],[Visitor]])</f>
        <v>Edmonton Oilers</v>
      </c>
      <c r="L9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0.47775735354622201</v>
      </c>
      <c r="M943" t="str">
        <f>IF(OR((NHL2025_26Results[[#This Row],[Winning Team]]="")),"-",IF(Table4[[#This Row],[Predicted Winner]]=NHL2025_26Results[[#This Row],[Winning Team]],"YES","NO"))</f>
        <v>-</v>
      </c>
      <c r="N943" t="str">
        <f>IF(Table4[[#This Row],[Adjusted Correct]]="-", "",IF(Table4[[#This Row],[Adjusted Correct]]="YES",(Table4[[#This Row],[Strength of Win]]-1)^2,(Table4[[#This Row],[Strength of Win]]-0)^2))</f>
        <v/>
      </c>
      <c r="P943" s="11"/>
    </row>
    <row r="944" spans="4:17" x14ac:dyDescent="0.2">
      <c r="D944" s="1">
        <v>46081</v>
      </c>
      <c r="E944" s="2">
        <v>0.70833333333333337</v>
      </c>
      <c r="F944" t="s">
        <v>35</v>
      </c>
      <c r="G944">
        <f>VLOOKUP(Table4[[#This Row],[Home]],'NHL Model'!$A$6:$B$38,2,FALSE)</f>
        <v>-1.3128572733047907</v>
      </c>
      <c r="H944" t="s">
        <v>24</v>
      </c>
      <c r="I944">
        <f>VLOOKUP(Table4[[#This Row],[Visitor]],'NHL Model'!$A$6:$B$38,2,FALSE)</f>
        <v>-0.74510803532792402</v>
      </c>
      <c r="J944">
        <f>($B$1+Table4[[#This Row],[Home Differential]])-Table4[[#This Row],[Away Differential]]</f>
        <v>-0.43814225216534264</v>
      </c>
      <c r="K944" t="str">
        <f>IF(Table4[[#This Row],[HomeIce Differential]]&gt;0,Table4[[#This Row],[Home]],Table4[[#This Row],[Visitor]])</f>
        <v>New Jersey Devils</v>
      </c>
      <c r="L9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0.52996991820723349</v>
      </c>
      <c r="M944" t="str">
        <f>IF(OR((NHL2025_26Results[[#This Row],[Winning Team]]="")),"-",IF(Table4[[#This Row],[Predicted Winner]]=NHL2025_26Results[[#This Row],[Winning Team]],"YES","NO"))</f>
        <v>-</v>
      </c>
      <c r="N944" t="str">
        <f>IF(Table4[[#This Row],[Adjusted Correct]]="-", "",IF(Table4[[#This Row],[Adjusted Correct]]="YES",(Table4[[#This Row],[Strength of Win]]-1)^2,(Table4[[#This Row],[Strength of Win]]-0)^2))</f>
        <v/>
      </c>
      <c r="P944" s="11"/>
    </row>
    <row r="945" spans="4:16" x14ac:dyDescent="0.2">
      <c r="D945" s="1">
        <v>46081</v>
      </c>
      <c r="E945" s="2">
        <v>0.79166666666666663</v>
      </c>
      <c r="F945" t="s">
        <v>37</v>
      </c>
      <c r="G945">
        <f>VLOOKUP(Table4[[#This Row],[Home]],'NHL Model'!$A$6:$B$38,2,FALSE)</f>
        <v>0.72108184732572844</v>
      </c>
      <c r="H945" t="s">
        <v>23</v>
      </c>
      <c r="I945">
        <f>VLOOKUP(Table4[[#This Row],[Visitor]],'NHL Model'!$A$6:$B$38,2,FALSE)</f>
        <v>8.1543966060426461E-3</v>
      </c>
      <c r="J945">
        <f>($B$1+Table4[[#This Row],[Home Differential]])-Table4[[#This Row],[Away Differential]]</f>
        <v>0.84253443653120985</v>
      </c>
      <c r="K945" t="str">
        <f>IF(Table4[[#This Row],[HomeIce Differential]]&gt;0,Table4[[#This Row],[Home]],Table4[[#This Row],[Visitor]])</f>
        <v>Tampa Bay Lightning</v>
      </c>
      <c r="L9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0.65453286381684861</v>
      </c>
      <c r="M945" t="str">
        <f>IF(OR((NHL2025_26Results[[#This Row],[Winning Team]]="")),"-",IF(Table4[[#This Row],[Predicted Winner]]=NHL2025_26Results[[#This Row],[Winning Team]],"YES","NO"))</f>
        <v>-</v>
      </c>
      <c r="N945" t="str">
        <f>IF(Table4[[#This Row],[Adjusted Correct]]="-", "",IF(Table4[[#This Row],[Adjusted Correct]]="YES",(Table4[[#This Row],[Strength of Win]]-1)^2,(Table4[[#This Row],[Strength of Win]]-0)^2))</f>
        <v/>
      </c>
      <c r="P945" s="11"/>
    </row>
    <row r="946" spans="4:16" x14ac:dyDescent="0.2">
      <c r="D946" s="1">
        <v>46081</v>
      </c>
      <c r="E946" s="2">
        <v>0.79166666666666663</v>
      </c>
      <c r="F946" t="s">
        <v>19</v>
      </c>
      <c r="G946">
        <f>VLOOKUP(Table4[[#This Row],[Home]],'NHL Model'!$A$6:$B$38,2,FALSE)</f>
        <v>-0.44228056828684137</v>
      </c>
      <c r="H946" t="s">
        <v>36</v>
      </c>
      <c r="I946">
        <f>VLOOKUP(Table4[[#This Row],[Visitor]],'NHL Model'!$A$6:$B$38,2,FALSE)</f>
        <v>-0.19010748264223354</v>
      </c>
      <c r="J946">
        <f>($B$1+Table4[[#This Row],[Home Differential]])-Table4[[#This Row],[Away Differential]]</f>
        <v>-0.12256609983308375</v>
      </c>
      <c r="K946" t="str">
        <f>IF(Table4[[#This Row],[HomeIce Differential]]&gt;0,Table4[[#This Row],[Home]],Table4[[#This Row],[Visitor]])</f>
        <v>Ottawa Senators</v>
      </c>
      <c r="L9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0.4857796046264144</v>
      </c>
      <c r="M946" t="str">
        <f>IF(OR((NHL2025_26Results[[#This Row],[Winning Team]]="")),"-",IF(Table4[[#This Row],[Predicted Winner]]=NHL2025_26Results[[#This Row],[Winning Team]],"YES","NO"))</f>
        <v>-</v>
      </c>
      <c r="N946" t="str">
        <f>IF(Table4[[#This Row],[Adjusted Correct]]="-", "",IF(Table4[[#This Row],[Adjusted Correct]]="YES",(Table4[[#This Row],[Strength of Win]]-1)^2,(Table4[[#This Row],[Strength of Win]]-0)^2))</f>
        <v/>
      </c>
      <c r="P946" s="11"/>
    </row>
    <row r="947" spans="4:16" x14ac:dyDescent="0.2">
      <c r="D947" s="1">
        <v>46082</v>
      </c>
      <c r="E947" s="2">
        <v>0.83333333333333337</v>
      </c>
      <c r="F947" t="s">
        <v>31</v>
      </c>
      <c r="G947">
        <f>VLOOKUP(Table4[[#This Row],[Home]],'NHL Model'!$A$6:$B$38,2,FALSE)</f>
        <v>-0.46360583111358089</v>
      </c>
      <c r="H947" t="s">
        <v>16</v>
      </c>
      <c r="I947">
        <f>VLOOKUP(Table4[[#This Row],[Visitor]],'NHL Model'!$A$6:$B$38,2,FALSE)</f>
        <v>-0.89031221864884547</v>
      </c>
      <c r="J947">
        <f>($B$1+Table4[[#This Row],[Home Differential]])-Table4[[#This Row],[Away Differential]]</f>
        <v>0.55631337334678865</v>
      </c>
      <c r="K947" t="str">
        <f>IF(Table4[[#This Row],[HomeIce Differential]]&gt;0,Table4[[#This Row],[Home]],Table4[[#This Row],[Visitor]])</f>
        <v>Anaheim Ducks</v>
      </c>
      <c r="L9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0.65418655583914875</v>
      </c>
      <c r="M947" t="str">
        <f>IF(OR((NHL2025_26Results[[#This Row],[Winning Team]]="")),"-",IF(Table4[[#This Row],[Predicted Winner]]=NHL2025_26Results[[#This Row],[Winning Team]],"YES","NO"))</f>
        <v>-</v>
      </c>
      <c r="N947" t="str">
        <f>IF(Table4[[#This Row],[Adjusted Correct]]="-", "",IF(Table4[[#This Row],[Adjusted Correct]]="YES",(Table4[[#This Row],[Strength of Win]]-1)^2,(Table4[[#This Row],[Strength of Win]]-0)^2))</f>
        <v/>
      </c>
      <c r="P947" s="11"/>
    </row>
    <row r="948" spans="4:16" x14ac:dyDescent="0.2">
      <c r="D948" s="1">
        <v>46082</v>
      </c>
      <c r="E948" s="2">
        <v>0.70833333333333337</v>
      </c>
      <c r="F948" t="s">
        <v>34</v>
      </c>
      <c r="G948">
        <f>VLOOKUP(Table4[[#This Row],[Home]],'NHL Model'!$A$6:$B$38,2,FALSE)</f>
        <v>6.0485283743665949E-2</v>
      </c>
      <c r="H948" t="s">
        <v>35</v>
      </c>
      <c r="I948">
        <f>VLOOKUP(Table4[[#This Row],[Visitor]],'NHL Model'!$A$6:$B$38,2,FALSE)</f>
        <v>-1.3128572733047907</v>
      </c>
      <c r="J948">
        <f>($B$1+Table4[[#This Row],[Home Differential]])-Table4[[#This Row],[Away Differential]]</f>
        <v>1.5029495428599808</v>
      </c>
      <c r="K948" t="str">
        <f>IF(Table4[[#This Row],[HomeIce Differential]]&gt;0,Table4[[#This Row],[Home]],Table4[[#This Row],[Visitor]])</f>
        <v>Minnesota Wild</v>
      </c>
      <c r="L9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0.72072006680828016</v>
      </c>
      <c r="M948" t="str">
        <f>IF(OR((NHL2025_26Results[[#This Row],[Winning Team]]="")),"-",IF(Table4[[#This Row],[Predicted Winner]]=NHL2025_26Results[[#This Row],[Winning Team]],"YES","NO"))</f>
        <v>-</v>
      </c>
      <c r="N948" t="str">
        <f>IF(Table4[[#This Row],[Adjusted Correct]]="-", "",IF(Table4[[#This Row],[Adjusted Correct]]="YES",(Table4[[#This Row],[Strength of Win]]-1)^2,(Table4[[#This Row],[Strength of Win]]-0)^2))</f>
        <v/>
      </c>
      <c r="P948" s="11"/>
    </row>
    <row r="949" spans="4:16" x14ac:dyDescent="0.2">
      <c r="D949" s="1">
        <v>46082</v>
      </c>
      <c r="E949" s="2">
        <v>0.77083333333333337</v>
      </c>
      <c r="F949" t="s">
        <v>30</v>
      </c>
      <c r="G949">
        <f>VLOOKUP(Table4[[#This Row],[Home]],'NHL Model'!$A$6:$B$38,2,FALSE)</f>
        <v>-0.18630462558229716</v>
      </c>
      <c r="H949" t="s">
        <v>11</v>
      </c>
      <c r="I949">
        <f>VLOOKUP(Table4[[#This Row],[Visitor]],'NHL Model'!$A$6:$B$38,2,FALSE)</f>
        <v>-0.55695213126481558</v>
      </c>
      <c r="J949">
        <f>($B$1+Table4[[#This Row],[Home Differential]])-Table4[[#This Row],[Away Differential]]</f>
        <v>0.50025449149404255</v>
      </c>
      <c r="K949" t="str">
        <f>IF(Table4[[#This Row],[HomeIce Differential]]&gt;0,Table4[[#This Row],[Home]],Table4[[#This Row],[Visitor]])</f>
        <v>New York Islanders</v>
      </c>
      <c r="L9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0.57102699607862062</v>
      </c>
      <c r="M949" t="str">
        <f>IF(OR((NHL2025_26Results[[#This Row],[Winning Team]]="")),"-",IF(Table4[[#This Row],[Predicted Winner]]=NHL2025_26Results[[#This Row],[Winning Team]],"YES","NO"))</f>
        <v>-</v>
      </c>
      <c r="N949" t="str">
        <f>IF(Table4[[#This Row],[Adjusted Correct]]="-", "",IF(Table4[[#This Row],[Adjusted Correct]]="YES",(Table4[[#This Row],[Strength of Win]]-1)^2,(Table4[[#This Row],[Strength of Win]]-0)^2))</f>
        <v/>
      </c>
      <c r="P949" s="11"/>
    </row>
    <row r="950" spans="4:16" x14ac:dyDescent="0.2">
      <c r="D950" s="1">
        <v>46082</v>
      </c>
      <c r="E950" s="2">
        <v>0.54166666666666663</v>
      </c>
      <c r="F950" t="s">
        <v>14</v>
      </c>
      <c r="G950">
        <f>VLOOKUP(Table4[[#This Row],[Home]],'NHL Model'!$A$6:$B$38,2,FALSE)</f>
        <v>3.6349513460996066E-5</v>
      </c>
      <c r="H950" t="s">
        <v>20</v>
      </c>
      <c r="I950">
        <f>VLOOKUP(Table4[[#This Row],[Visitor]],'NHL Model'!$A$6:$B$38,2,FALSE)</f>
        <v>-0.16296463421387539</v>
      </c>
      <c r="J950">
        <f>($B$1+Table4[[#This Row],[Home Differential]])-Table4[[#This Row],[Away Differential]]</f>
        <v>0.29260796953886048</v>
      </c>
      <c r="K950" t="str">
        <f>IF(Table4[[#This Row],[HomeIce Differential]]&gt;0,Table4[[#This Row],[Home]],Table4[[#This Row],[Visitor]])</f>
        <v>Pittsburgh Penguins</v>
      </c>
      <c r="L9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0.56084189676629814</v>
      </c>
      <c r="M950" t="str">
        <f>IF(OR((NHL2025_26Results[[#This Row],[Winning Team]]="")),"-",IF(Table4[[#This Row],[Predicted Winner]]=NHL2025_26Results[[#This Row],[Winning Team]],"YES","NO"))</f>
        <v>-</v>
      </c>
      <c r="N950" t="str">
        <f>IF(Table4[[#This Row],[Adjusted Correct]]="-", "",IF(Table4[[#This Row],[Adjusted Correct]]="YES",(Table4[[#This Row],[Strength of Win]]-1)^2,(Table4[[#This Row],[Strength of Win]]-0)^2))</f>
        <v/>
      </c>
      <c r="P950" s="11"/>
    </row>
    <row r="951" spans="4:16" x14ac:dyDescent="0.2">
      <c r="D951" s="1">
        <v>46082</v>
      </c>
      <c r="E951" s="2">
        <v>0.66666666666666663</v>
      </c>
      <c r="F951" t="s">
        <v>33</v>
      </c>
      <c r="G951">
        <f>VLOOKUP(Table4[[#This Row],[Home]],'NHL Model'!$A$6:$B$38,2,FALSE)</f>
        <v>-0.65236582493376272</v>
      </c>
      <c r="H951" t="s">
        <v>40</v>
      </c>
      <c r="I951">
        <f>VLOOKUP(Table4[[#This Row],[Visitor]],'NHL Model'!$A$6:$B$38,2,FALSE)</f>
        <v>-0.58845147248022256</v>
      </c>
      <c r="J951">
        <f>($B$1+Table4[[#This Row],[Home Differential]])-Table4[[#This Row],[Away Differential]]</f>
        <v>6.5692633357983921E-2</v>
      </c>
      <c r="K951" t="str">
        <f>IF(Table4[[#This Row],[HomeIce Differential]]&gt;0,Table4[[#This Row],[Home]],Table4[[#This Row],[Visitor]])</f>
        <v>San Jose Sharks</v>
      </c>
      <c r="L9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0.54737687978014449</v>
      </c>
      <c r="M951" t="str">
        <f>IF(OR((NHL2025_26Results[[#This Row],[Winning Team]]="")),"-",IF(Table4[[#This Row],[Predicted Winner]]=NHL2025_26Results[[#This Row],[Winning Team]],"YES","NO"))</f>
        <v>-</v>
      </c>
      <c r="N951" t="str">
        <f>IF(Table4[[#This Row],[Adjusted Correct]]="-", "",IF(Table4[[#This Row],[Adjusted Correct]]="YES",(Table4[[#This Row],[Strength of Win]]-1)^2,(Table4[[#This Row],[Strength of Win]]-0)^2))</f>
        <v/>
      </c>
      <c r="P951" s="11"/>
    </row>
    <row r="952" spans="4:16" x14ac:dyDescent="0.2">
      <c r="D952" s="1">
        <v>46082</v>
      </c>
      <c r="E952" s="2">
        <v>0.66666666666666663</v>
      </c>
      <c r="F952" t="s">
        <v>55</v>
      </c>
      <c r="G952">
        <f>VLOOKUP(Table4[[#This Row],[Home]],'NHL Model'!$A$6:$B$38,2,FALSE)</f>
        <v>8.4094725828611647E-2</v>
      </c>
      <c r="H952" t="s">
        <v>10</v>
      </c>
      <c r="I952">
        <f>VLOOKUP(Table4[[#This Row],[Visitor]],'NHL Model'!$A$6:$B$38,2,FALSE)</f>
        <v>-0.92658078135875344</v>
      </c>
      <c r="J952">
        <f>($B$1+Table4[[#This Row],[Home Differential]])-Table4[[#This Row],[Away Differential]]</f>
        <v>1.1402824929988893</v>
      </c>
      <c r="K952" t="str">
        <f>IF(Table4[[#This Row],[HomeIce Differential]]&gt;0,Table4[[#This Row],[Home]],Table4[[#This Row],[Visitor]])</f>
        <v>Utah Mammoth</v>
      </c>
      <c r="L9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0.69698916610295836</v>
      </c>
      <c r="M952" t="str">
        <f>IF(OR((NHL2025_26Results[[#This Row],[Winning Team]]="")),"-",IF(Table4[[#This Row],[Predicted Winner]]=NHL2025_26Results[[#This Row],[Winning Team]],"YES","NO"))</f>
        <v>-</v>
      </c>
      <c r="N952" t="str">
        <f>IF(Table4[[#This Row],[Adjusted Correct]]="-", "",IF(Table4[[#This Row],[Adjusted Correct]]="YES",(Table4[[#This Row],[Strength of Win]]-1)^2,(Table4[[#This Row],[Strength of Win]]-0)^2))</f>
        <v/>
      </c>
      <c r="P952" s="11"/>
    </row>
    <row r="953" spans="4:16" x14ac:dyDescent="0.2">
      <c r="D953" s="1">
        <v>46083</v>
      </c>
      <c r="E953" s="2">
        <v>0.9375</v>
      </c>
      <c r="F953" t="s">
        <v>13</v>
      </c>
      <c r="G953">
        <f>VLOOKUP(Table4[[#This Row],[Home]],'NHL Model'!$A$6:$B$38,2,FALSE)</f>
        <v>-0.59069689888466137</v>
      </c>
      <c r="H953" t="s">
        <v>12</v>
      </c>
      <c r="I953">
        <f>VLOOKUP(Table4[[#This Row],[Visitor]],'NHL Model'!$A$6:$B$38,2,FALSE)</f>
        <v>0.99866683349964291</v>
      </c>
      <c r="J953">
        <f>($B$1+Table4[[#This Row],[Home Differential]])-Table4[[#This Row],[Away Differential]]</f>
        <v>-1.4597567465727801</v>
      </c>
      <c r="K953" t="str">
        <f>IF(Table4[[#This Row],[HomeIce Differential]]&gt;0,Table4[[#This Row],[Home]],Table4[[#This Row],[Visitor]])</f>
        <v>Colorado Avalanche</v>
      </c>
      <c r="L9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0.69318698406611912</v>
      </c>
      <c r="M953" t="str">
        <f>IF(OR((NHL2025_26Results[[#This Row],[Winning Team]]="")),"-",IF(Table4[[#This Row],[Predicted Winner]]=NHL2025_26Results[[#This Row],[Winning Team]],"YES","NO"))</f>
        <v>-</v>
      </c>
      <c r="N953" t="str">
        <f>IF(Table4[[#This Row],[Adjusted Correct]]="-", "",IF(Table4[[#This Row],[Adjusted Correct]]="YES",(Table4[[#This Row],[Strength of Win]]-1)^2,(Table4[[#This Row],[Strength of Win]]-0)^2))</f>
        <v/>
      </c>
      <c r="P953" s="11"/>
    </row>
    <row r="954" spans="4:16" x14ac:dyDescent="0.2">
      <c r="D954" s="1">
        <v>46083</v>
      </c>
      <c r="E954" s="2">
        <v>0.83333333333333337</v>
      </c>
      <c r="F954" t="s">
        <v>29</v>
      </c>
      <c r="G954">
        <f>VLOOKUP(Table4[[#This Row],[Home]],'NHL Model'!$A$6:$B$38,2,FALSE)</f>
        <v>-0.82056481120798741</v>
      </c>
      <c r="H954" t="s">
        <v>26</v>
      </c>
      <c r="I954">
        <f>VLOOKUP(Table4[[#This Row],[Visitor]],'NHL Model'!$A$6:$B$38,2,FALSE)</f>
        <v>-0.33113778518110382</v>
      </c>
      <c r="J954">
        <f>($B$1+Table4[[#This Row],[Home Differential]])-Table4[[#This Row],[Away Differential]]</f>
        <v>-0.35982004021535952</v>
      </c>
      <c r="K954" t="str">
        <f>IF(Table4[[#This Row],[HomeIce Differential]]&gt;0,Table4[[#This Row],[Home]],Table4[[#This Row],[Visitor]])</f>
        <v>Detroit Red Wings</v>
      </c>
      <c r="L9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0.53841355157686877</v>
      </c>
      <c r="M954" t="str">
        <f>IF(OR((NHL2025_26Results[[#This Row],[Winning Team]]="")),"-",IF(Table4[[#This Row],[Predicted Winner]]=NHL2025_26Results[[#This Row],[Winning Team]],"YES","NO"))</f>
        <v>-</v>
      </c>
      <c r="N954" t="str">
        <f>IF(Table4[[#This Row],[Adjusted Correct]]="-", "",IF(Table4[[#This Row],[Adjusted Correct]]="YES",(Table4[[#This Row],[Strength of Win]]-1)^2,(Table4[[#This Row],[Strength of Win]]-0)^2))</f>
        <v/>
      </c>
      <c r="P954" s="11"/>
    </row>
    <row r="955" spans="4:16" x14ac:dyDescent="0.2">
      <c r="D955" s="1">
        <v>46083</v>
      </c>
      <c r="E955" s="2">
        <v>0.79166666666666663</v>
      </c>
      <c r="F955" t="s">
        <v>15</v>
      </c>
      <c r="G955">
        <f>VLOOKUP(Table4[[#This Row],[Home]],'NHL Model'!$A$6:$B$38,2,FALSE)</f>
        <v>-0.73651915476403329</v>
      </c>
      <c r="H955" t="s">
        <v>28</v>
      </c>
      <c r="I955">
        <f>VLOOKUP(Table4[[#This Row],[Visitor]],'NHL Model'!$A$6:$B$38,2,FALSE)</f>
        <v>-0.28156479873410767</v>
      </c>
      <c r="J955">
        <f>($B$1+Table4[[#This Row],[Home Differential]])-Table4[[#This Row],[Away Differential]]</f>
        <v>-0.32534737021840154</v>
      </c>
      <c r="K955" t="str">
        <f>IF(Table4[[#This Row],[HomeIce Differential]]&gt;0,Table4[[#This Row],[Home]],Table4[[#This Row],[Visitor]])</f>
        <v>Columbus Blue Jackets</v>
      </c>
      <c r="L9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0.50855069746943948</v>
      </c>
      <c r="M955" t="str">
        <f>IF(OR((NHL2025_26Results[[#This Row],[Winning Team]]="")),"-",IF(Table4[[#This Row],[Predicted Winner]]=NHL2025_26Results[[#This Row],[Winning Team]],"YES","NO"))</f>
        <v>-</v>
      </c>
      <c r="N955" t="str">
        <f>IF(Table4[[#This Row],[Adjusted Correct]]="-", "",IF(Table4[[#This Row],[Adjusted Correct]]="YES",(Table4[[#This Row],[Strength of Win]]-1)^2,(Table4[[#This Row],[Strength of Win]]-0)^2))</f>
        <v/>
      </c>
      <c r="P955" s="11"/>
    </row>
    <row r="956" spans="4:16" x14ac:dyDescent="0.2">
      <c r="D956" s="1">
        <v>46083</v>
      </c>
      <c r="E956" s="2">
        <v>0.91666666666666663</v>
      </c>
      <c r="F956" t="s">
        <v>32</v>
      </c>
      <c r="G956">
        <f>VLOOKUP(Table4[[#This Row],[Home]],'NHL Model'!$A$6:$B$38,2,FALSE)</f>
        <v>-0.48236715437805205</v>
      </c>
      <c r="H956" t="s">
        <v>25</v>
      </c>
      <c r="I956">
        <f>VLOOKUP(Table4[[#This Row],[Visitor]],'NHL Model'!$A$6:$B$38,2,FALSE)</f>
        <v>0.2324942014830165</v>
      </c>
      <c r="J956">
        <f>($B$1+Table4[[#This Row],[Home Differential]])-Table4[[#This Row],[Away Differential]]</f>
        <v>-0.58525437004954439</v>
      </c>
      <c r="K956" t="str">
        <f>IF(Table4[[#This Row],[HomeIce Differential]]&gt;0,Table4[[#This Row],[Home]],Table4[[#This Row],[Visitor]])</f>
        <v>Carolina Hurricanes</v>
      </c>
      <c r="L9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0.58224940153884386</v>
      </c>
      <c r="M956" t="str">
        <f>IF(OR((NHL2025_26Results[[#This Row],[Winning Team]]="")),"-",IF(Table4[[#This Row],[Predicted Winner]]=NHL2025_26Results[[#This Row],[Winning Team]],"YES","NO"))</f>
        <v>-</v>
      </c>
      <c r="N956" t="str">
        <f>IF(Table4[[#This Row],[Adjusted Correct]]="-", "",IF(Table4[[#This Row],[Adjusted Correct]]="YES",(Table4[[#This Row],[Strength of Win]]-1)^2,(Table4[[#This Row],[Strength of Win]]-0)^2))</f>
        <v/>
      </c>
      <c r="P956" s="11"/>
    </row>
    <row r="957" spans="4:16" x14ac:dyDescent="0.2">
      <c r="D957" s="1">
        <v>46083</v>
      </c>
      <c r="E957" s="2">
        <v>0.8125</v>
      </c>
      <c r="F957" t="s">
        <v>19</v>
      </c>
      <c r="G957">
        <f>VLOOKUP(Table4[[#This Row],[Home]],'NHL Model'!$A$6:$B$38,2,FALSE)</f>
        <v>-0.44228056828684137</v>
      </c>
      <c r="H957" t="s">
        <v>27</v>
      </c>
      <c r="I957">
        <f>VLOOKUP(Table4[[#This Row],[Visitor]],'NHL Model'!$A$6:$B$38,2,FALSE)</f>
        <v>-0.55097933929175691</v>
      </c>
      <c r="J957">
        <f>($B$1+Table4[[#This Row],[Home Differential]])-Table4[[#This Row],[Away Differential]]</f>
        <v>0.23830575681643962</v>
      </c>
      <c r="K957" t="str">
        <f>IF(Table4[[#This Row],[HomeIce Differential]]&gt;0,Table4[[#This Row],[Home]],Table4[[#This Row],[Visitor]])</f>
        <v>Toronto Maple Leafs</v>
      </c>
      <c r="L9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0.56676027476888424</v>
      </c>
      <c r="M957" t="str">
        <f>IF(OR((NHL2025_26Results[[#This Row],[Winning Team]]="")),"-",IF(Table4[[#This Row],[Predicted Winner]]=NHL2025_26Results[[#This Row],[Winning Team]],"YES","NO"))</f>
        <v>-</v>
      </c>
      <c r="N957" t="str">
        <f>IF(Table4[[#This Row],[Adjusted Correct]]="-", "",IF(Table4[[#This Row],[Adjusted Correct]]="YES",(Table4[[#This Row],[Strength of Win]]-1)^2,(Table4[[#This Row],[Strength of Win]]-0)^2))</f>
        <v/>
      </c>
      <c r="P957" s="11"/>
    </row>
    <row r="958" spans="4:16" x14ac:dyDescent="0.2">
      <c r="D958" s="1">
        <v>46083</v>
      </c>
      <c r="E958" s="2">
        <v>0.91666666666666663</v>
      </c>
      <c r="F958" t="s">
        <v>38</v>
      </c>
      <c r="G958">
        <f>VLOOKUP(Table4[[#This Row],[Home]],'NHL Model'!$A$6:$B$38,2,FALSE)</f>
        <v>-1.3920033028857945</v>
      </c>
      <c r="H958" t="s">
        <v>39</v>
      </c>
      <c r="I958">
        <f>VLOOKUP(Table4[[#This Row],[Visitor]],'NHL Model'!$A$6:$B$38,2,FALSE)</f>
        <v>0.21708030788125537</v>
      </c>
      <c r="J958">
        <f>($B$1+Table4[[#This Row],[Home Differential]])-Table4[[#This Row],[Away Differential]]</f>
        <v>-1.4794766249555258</v>
      </c>
      <c r="K958" t="str">
        <f>IF(Table4[[#This Row],[HomeIce Differential]]&gt;0,Table4[[#This Row],[Home]],Table4[[#This Row],[Visitor]])</f>
        <v>Dallas Stars</v>
      </c>
      <c r="L9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0.68427086518382096</v>
      </c>
      <c r="M958" t="str">
        <f>IF(OR((NHL2025_26Results[[#This Row],[Winning Team]]="")),"-",IF(Table4[[#This Row],[Predicted Winner]]=NHL2025_26Results[[#This Row],[Winning Team]],"YES","NO"))</f>
        <v>-</v>
      </c>
      <c r="N958" t="str">
        <f>IF(Table4[[#This Row],[Adjusted Correct]]="-", "",IF(Table4[[#This Row],[Adjusted Correct]]="YES",(Table4[[#This Row],[Strength of Win]]-1)^2,(Table4[[#This Row],[Strength of Win]]-0)^2))</f>
        <v/>
      </c>
      <c r="P958" s="11"/>
    </row>
    <row r="959" spans="4:16" x14ac:dyDescent="0.2">
      <c r="D959" s="1">
        <v>46084</v>
      </c>
      <c r="E959" s="2">
        <v>0.91666666666666663</v>
      </c>
      <c r="F959" t="s">
        <v>31</v>
      </c>
      <c r="G959">
        <f>VLOOKUP(Table4[[#This Row],[Home]],'NHL Model'!$A$6:$B$38,2,FALSE)</f>
        <v>-0.46360583111358089</v>
      </c>
      <c r="H959" t="s">
        <v>12</v>
      </c>
      <c r="I959">
        <f>VLOOKUP(Table4[[#This Row],[Visitor]],'NHL Model'!$A$6:$B$38,2,FALSE)</f>
        <v>0.99866683349964291</v>
      </c>
      <c r="J959">
        <f>($B$1+Table4[[#This Row],[Home Differential]])-Table4[[#This Row],[Away Differential]]</f>
        <v>-1.3326656788016997</v>
      </c>
      <c r="K959" t="str">
        <f>IF(Table4[[#This Row],[HomeIce Differential]]&gt;0,Table4[[#This Row],[Home]],Table4[[#This Row],[Visitor]])</f>
        <v>Colorado Avalanche</v>
      </c>
      <c r="L9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0.62628569543359114</v>
      </c>
      <c r="M959" t="str">
        <f>IF(OR((NHL2025_26Results[[#This Row],[Winning Team]]="")),"-",IF(Table4[[#This Row],[Predicted Winner]]=NHL2025_26Results[[#This Row],[Winning Team]],"YES","NO"))</f>
        <v>-</v>
      </c>
      <c r="N959" t="str">
        <f>IF(Table4[[#This Row],[Adjusted Correct]]="-", "",IF(Table4[[#This Row],[Adjusted Correct]]="YES",(Table4[[#This Row],[Strength of Win]]-1)^2,(Table4[[#This Row],[Strength of Win]]-0)^2))</f>
        <v/>
      </c>
      <c r="P959" s="11"/>
    </row>
    <row r="960" spans="4:16" x14ac:dyDescent="0.2">
      <c r="D960" s="1">
        <v>46084</v>
      </c>
      <c r="E960" s="2">
        <v>0.79166666666666663</v>
      </c>
      <c r="F960" t="s">
        <v>21</v>
      </c>
      <c r="G960">
        <f>VLOOKUP(Table4[[#This Row],[Home]],'NHL Model'!$A$6:$B$38,2,FALSE)</f>
        <v>-0.10253061303059285</v>
      </c>
      <c r="H960" t="s">
        <v>14</v>
      </c>
      <c r="I960">
        <f>VLOOKUP(Table4[[#This Row],[Visitor]],'NHL Model'!$A$6:$B$38,2,FALSE)</f>
        <v>3.6349513460996066E-5</v>
      </c>
      <c r="J960">
        <f>($B$1+Table4[[#This Row],[Home Differential]])-Table4[[#This Row],[Away Differential]]</f>
        <v>2.7040023267470254E-2</v>
      </c>
      <c r="K960" t="str">
        <f>IF(Table4[[#This Row],[HomeIce Differential]]&gt;0,Table4[[#This Row],[Home]],Table4[[#This Row],[Visitor]])</f>
        <v>Boston Bruins</v>
      </c>
      <c r="L9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0.54149796721618193</v>
      </c>
      <c r="M960" t="str">
        <f>IF(OR((NHL2025_26Results[[#This Row],[Winning Team]]="")),"-",IF(Table4[[#This Row],[Predicted Winner]]=NHL2025_26Results[[#This Row],[Winning Team]],"YES","NO"))</f>
        <v>-</v>
      </c>
      <c r="N960" t="str">
        <f>IF(Table4[[#This Row],[Adjusted Correct]]="-", "",IF(Table4[[#This Row],[Adjusted Correct]]="YES",(Table4[[#This Row],[Strength of Win]]-1)^2,(Table4[[#This Row],[Strength of Win]]-0)^2))</f>
        <v/>
      </c>
      <c r="P960" s="11"/>
    </row>
    <row r="961" spans="4:16" x14ac:dyDescent="0.2">
      <c r="D961" s="1">
        <v>46084</v>
      </c>
      <c r="E961" s="2">
        <v>0.79166666666666663</v>
      </c>
      <c r="F961" t="s">
        <v>23</v>
      </c>
      <c r="G961">
        <f>VLOOKUP(Table4[[#This Row],[Home]],'NHL Model'!$A$6:$B$38,2,FALSE)</f>
        <v>8.1543966060426461E-3</v>
      </c>
      <c r="H961" t="s">
        <v>20</v>
      </c>
      <c r="I961">
        <f>VLOOKUP(Table4[[#This Row],[Visitor]],'NHL Model'!$A$6:$B$38,2,FALSE)</f>
        <v>-0.16296463421387539</v>
      </c>
      <c r="J961">
        <f>($B$1+Table4[[#This Row],[Home Differential]])-Table4[[#This Row],[Away Differential]]</f>
        <v>0.30072601663144216</v>
      </c>
      <c r="K961" t="str">
        <f>IF(Table4[[#This Row],[HomeIce Differential]]&gt;0,Table4[[#This Row],[Home]],Table4[[#This Row],[Visitor]])</f>
        <v>Buffalo Sabres</v>
      </c>
      <c r="L9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0.59083183396491612</v>
      </c>
      <c r="M961" t="str">
        <f>IF(OR((NHL2025_26Results[[#This Row],[Winning Team]]="")),"-",IF(Table4[[#This Row],[Predicted Winner]]=NHL2025_26Results[[#This Row],[Winning Team]],"YES","NO"))</f>
        <v>-</v>
      </c>
      <c r="N961" t="str">
        <f>IF(Table4[[#This Row],[Adjusted Correct]]="-", "",IF(Table4[[#This Row],[Adjusted Correct]]="YES",(Table4[[#This Row],[Strength of Win]]-1)^2,(Table4[[#This Row],[Strength of Win]]-0)^2))</f>
        <v/>
      </c>
      <c r="P961" s="11"/>
    </row>
    <row r="962" spans="4:16" x14ac:dyDescent="0.2">
      <c r="D962" s="1">
        <v>46084</v>
      </c>
      <c r="E962" s="2">
        <v>0.79166666666666663</v>
      </c>
      <c r="F962" t="s">
        <v>28</v>
      </c>
      <c r="G962">
        <f>VLOOKUP(Table4[[#This Row],[Home]],'NHL Model'!$A$6:$B$38,2,FALSE)</f>
        <v>-0.28156479873410767</v>
      </c>
      <c r="H962" t="s">
        <v>29</v>
      </c>
      <c r="I962">
        <f>VLOOKUP(Table4[[#This Row],[Visitor]],'NHL Model'!$A$6:$B$38,2,FALSE)</f>
        <v>-0.82056481120798741</v>
      </c>
      <c r="J962">
        <f>($B$1+Table4[[#This Row],[Home Differential]])-Table4[[#This Row],[Away Differential]]</f>
        <v>0.66860699828540382</v>
      </c>
      <c r="K962" t="str">
        <f>IF(Table4[[#This Row],[HomeIce Differential]]&gt;0,Table4[[#This Row],[Home]],Table4[[#This Row],[Visitor]])</f>
        <v>Columbus Blue Jackets</v>
      </c>
      <c r="L9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0.62212641666088908</v>
      </c>
      <c r="M962" t="str">
        <f>IF(OR((NHL2025_26Results[[#This Row],[Winning Team]]="")),"-",IF(Table4[[#This Row],[Predicted Winner]]=NHL2025_26Results[[#This Row],[Winning Team]],"YES","NO"))</f>
        <v>-</v>
      </c>
      <c r="N962" t="str">
        <f>IF(Table4[[#This Row],[Adjusted Correct]]="-", "",IF(Table4[[#This Row],[Adjusted Correct]]="YES",(Table4[[#This Row],[Strength of Win]]-1)^2,(Table4[[#This Row],[Strength of Win]]-0)^2))</f>
        <v/>
      </c>
      <c r="P962" s="11"/>
    </row>
    <row r="963" spans="4:16" x14ac:dyDescent="0.2">
      <c r="D963" s="1">
        <v>46084</v>
      </c>
      <c r="E963" s="2">
        <v>0.875</v>
      </c>
      <c r="F963" t="s">
        <v>16</v>
      </c>
      <c r="G963">
        <f>VLOOKUP(Table4[[#This Row],[Home]],'NHL Model'!$A$6:$B$38,2,FALSE)</f>
        <v>-0.89031221864884547</v>
      </c>
      <c r="H963" t="s">
        <v>39</v>
      </c>
      <c r="I963">
        <f>VLOOKUP(Table4[[#This Row],[Visitor]],'NHL Model'!$A$6:$B$38,2,FALSE)</f>
        <v>0.21708030788125537</v>
      </c>
      <c r="J963">
        <f>($B$1+Table4[[#This Row],[Home Differential]])-Table4[[#This Row],[Away Differential]]</f>
        <v>-0.97778554071857671</v>
      </c>
      <c r="K963" t="str">
        <f>IF(Table4[[#This Row],[HomeIce Differential]]&gt;0,Table4[[#This Row],[Home]],Table4[[#This Row],[Visitor]])</f>
        <v>Dallas Stars</v>
      </c>
      <c r="L9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0.62793403370046985</v>
      </c>
      <c r="M963" t="str">
        <f>IF(OR((NHL2025_26Results[[#This Row],[Winning Team]]="")),"-",IF(Table4[[#This Row],[Predicted Winner]]=NHL2025_26Results[[#This Row],[Winning Team]],"YES","NO"))</f>
        <v>-</v>
      </c>
      <c r="N963" t="str">
        <f>IF(Table4[[#This Row],[Adjusted Correct]]="-", "",IF(Table4[[#This Row],[Adjusted Correct]]="YES",(Table4[[#This Row],[Strength of Win]]-1)^2,(Table4[[#This Row],[Strength of Win]]-0)^2))</f>
        <v/>
      </c>
      <c r="P963" s="11"/>
    </row>
    <row r="964" spans="4:16" x14ac:dyDescent="0.2">
      <c r="D964" s="1">
        <v>46084</v>
      </c>
      <c r="E964" s="2">
        <v>0.875</v>
      </c>
      <c r="F964" t="s">
        <v>17</v>
      </c>
      <c r="G964">
        <f>VLOOKUP(Table4[[#This Row],[Home]],'NHL Model'!$A$6:$B$38,2,FALSE)</f>
        <v>-0.36462594951491906</v>
      </c>
      <c r="H964" t="s">
        <v>36</v>
      </c>
      <c r="I964">
        <f>VLOOKUP(Table4[[#This Row],[Visitor]],'NHL Model'!$A$6:$B$38,2,FALSE)</f>
        <v>-0.19010748264223354</v>
      </c>
      <c r="J964">
        <f>($B$1+Table4[[#This Row],[Home Differential]])-Table4[[#This Row],[Away Differential]]</f>
        <v>-4.4911481061161412E-2</v>
      </c>
      <c r="K964" t="str">
        <f>IF(Table4[[#This Row],[HomeIce Differential]]&gt;0,Table4[[#This Row],[Home]],Table4[[#This Row],[Visitor]])</f>
        <v>Ottawa Senators</v>
      </c>
      <c r="L9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0.47705946725679865</v>
      </c>
      <c r="M964" t="str">
        <f>IF(OR((NHL2025_26Results[[#This Row],[Winning Team]]="")),"-",IF(Table4[[#This Row],[Predicted Winner]]=NHL2025_26Results[[#This Row],[Winning Team]],"YES","NO"))</f>
        <v>-</v>
      </c>
      <c r="N964" t="str">
        <f>IF(Table4[[#This Row],[Adjusted Correct]]="-", "",IF(Table4[[#This Row],[Adjusted Correct]]="YES",(Table4[[#This Row],[Strength of Win]]-1)^2,(Table4[[#This Row],[Strength of Win]]-0)^2))</f>
        <v/>
      </c>
      <c r="P964" s="11"/>
    </row>
    <row r="965" spans="4:16" x14ac:dyDescent="0.2">
      <c r="D965" s="1">
        <v>46084</v>
      </c>
      <c r="E965" s="2">
        <v>0.89583333333333337</v>
      </c>
      <c r="F965" t="s">
        <v>34</v>
      </c>
      <c r="G965">
        <f>VLOOKUP(Table4[[#This Row],[Home]],'NHL Model'!$A$6:$B$38,2,FALSE)</f>
        <v>6.0485283743665949E-2</v>
      </c>
      <c r="H965" t="s">
        <v>37</v>
      </c>
      <c r="I965">
        <f>VLOOKUP(Table4[[#This Row],[Visitor]],'NHL Model'!$A$6:$B$38,2,FALSE)</f>
        <v>0.72108184732572844</v>
      </c>
      <c r="J965">
        <f>($B$1+Table4[[#This Row],[Home Differential]])-Table4[[#This Row],[Away Differential]]</f>
        <v>-0.53098957777053846</v>
      </c>
      <c r="K965" t="str">
        <f>IF(Table4[[#This Row],[HomeIce Differential]]&gt;0,Table4[[#This Row],[Home]],Table4[[#This Row],[Visitor]])</f>
        <v>Tampa Bay Lightning</v>
      </c>
      <c r="L9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0.6045599509897398</v>
      </c>
      <c r="M965" t="str">
        <f>IF(OR((NHL2025_26Results[[#This Row],[Winning Team]]="")),"-",IF(Table4[[#This Row],[Predicted Winner]]=NHL2025_26Results[[#This Row],[Winning Team]],"YES","NO"))</f>
        <v>-</v>
      </c>
      <c r="N965" t="str">
        <f>IF(Table4[[#This Row],[Adjusted Correct]]="-", "",IF(Table4[[#This Row],[Adjusted Correct]]="YES",(Table4[[#This Row],[Strength of Win]]-1)^2,(Table4[[#This Row],[Strength of Win]]-0)^2))</f>
        <v/>
      </c>
      <c r="P965" s="11"/>
    </row>
    <row r="966" spans="4:16" x14ac:dyDescent="0.2">
      <c r="D966" s="1">
        <v>46084</v>
      </c>
      <c r="E966" s="2">
        <v>0.79166666666666663</v>
      </c>
      <c r="F966" t="s">
        <v>24</v>
      </c>
      <c r="G966">
        <f>VLOOKUP(Table4[[#This Row],[Home]],'NHL Model'!$A$6:$B$38,2,FALSE)</f>
        <v>-0.74510803532792402</v>
      </c>
      <c r="H966" t="s">
        <v>11</v>
      </c>
      <c r="I966">
        <f>VLOOKUP(Table4[[#This Row],[Visitor]],'NHL Model'!$A$6:$B$38,2,FALSE)</f>
        <v>-0.55695213126481558</v>
      </c>
      <c r="J966">
        <f>($B$1+Table4[[#This Row],[Home Differential]])-Table4[[#This Row],[Away Differential]]</f>
        <v>-5.854891825158437E-2</v>
      </c>
      <c r="K966" t="str">
        <f>IF(Table4[[#This Row],[HomeIce Differential]]&gt;0,Table4[[#This Row],[Home]],Table4[[#This Row],[Visitor]])</f>
        <v>Florida Panthers</v>
      </c>
      <c r="L9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0.50586141763009917</v>
      </c>
      <c r="M966" t="str">
        <f>IF(OR((NHL2025_26Results[[#This Row],[Winning Team]]="")),"-",IF(Table4[[#This Row],[Predicted Winner]]=NHL2025_26Results[[#This Row],[Winning Team]],"YES","NO"))</f>
        <v>-</v>
      </c>
      <c r="N966" t="str">
        <f>IF(Table4[[#This Row],[Adjusted Correct]]="-", "",IF(Table4[[#This Row],[Adjusted Correct]]="YES",(Table4[[#This Row],[Strength of Win]]-1)^2,(Table4[[#This Row],[Strength of Win]]-0)^2))</f>
        <v/>
      </c>
      <c r="P966" s="11"/>
    </row>
    <row r="967" spans="4:16" x14ac:dyDescent="0.2">
      <c r="D967" s="1">
        <v>46084</v>
      </c>
      <c r="E967" s="2">
        <v>0.91666666666666663</v>
      </c>
      <c r="F967" t="s">
        <v>33</v>
      </c>
      <c r="G967">
        <f>VLOOKUP(Table4[[#This Row],[Home]],'NHL Model'!$A$6:$B$38,2,FALSE)</f>
        <v>-0.65236582493376272</v>
      </c>
      <c r="H967" t="s">
        <v>18</v>
      </c>
      <c r="I967">
        <f>VLOOKUP(Table4[[#This Row],[Visitor]],'NHL Model'!$A$6:$B$38,2,FALSE)</f>
        <v>-8.6274676766085606E-2</v>
      </c>
      <c r="J967">
        <f>($B$1+Table4[[#This Row],[Home Differential]])-Table4[[#This Row],[Away Differential]]</f>
        <v>-0.43648416235615306</v>
      </c>
      <c r="K967" t="str">
        <f>IF(Table4[[#This Row],[HomeIce Differential]]&gt;0,Table4[[#This Row],[Home]],Table4[[#This Row],[Visitor]])</f>
        <v>Montreal Canadiens</v>
      </c>
      <c r="L9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0.55438404560735721</v>
      </c>
      <c r="M967" t="str">
        <f>IF(OR((NHL2025_26Results[[#This Row],[Winning Team]]="")),"-",IF(Table4[[#This Row],[Predicted Winner]]=NHL2025_26Results[[#This Row],[Winning Team]],"YES","NO"))</f>
        <v>-</v>
      </c>
      <c r="N967" t="str">
        <f>IF(Table4[[#This Row],[Adjusted Correct]]="-", "",IF(Table4[[#This Row],[Adjusted Correct]]="YES",(Table4[[#This Row],[Strength of Win]]-1)^2,(Table4[[#This Row],[Strength of Win]]-0)^2))</f>
        <v/>
      </c>
      <c r="P967" s="11"/>
    </row>
    <row r="968" spans="4:16" x14ac:dyDescent="0.2">
      <c r="D968" s="1">
        <v>46084</v>
      </c>
      <c r="E968" s="2">
        <v>0.83333333333333337</v>
      </c>
      <c r="F968" t="s">
        <v>40</v>
      </c>
      <c r="G968">
        <f>VLOOKUP(Table4[[#This Row],[Home]],'NHL Model'!$A$6:$B$38,2,FALSE)</f>
        <v>-0.58845147248022256</v>
      </c>
      <c r="H968" t="s">
        <v>10</v>
      </c>
      <c r="I968">
        <f>VLOOKUP(Table4[[#This Row],[Visitor]],'NHL Model'!$A$6:$B$38,2,FALSE)</f>
        <v>-0.92658078135875344</v>
      </c>
      <c r="J968">
        <f>($B$1+Table4[[#This Row],[Home Differential]])-Table4[[#This Row],[Away Differential]]</f>
        <v>0.46773629469005495</v>
      </c>
      <c r="K968" t="str">
        <f>IF(Table4[[#This Row],[HomeIce Differential]]&gt;0,Table4[[#This Row],[Home]],Table4[[#This Row],[Visitor]])</f>
        <v>Winnipeg Jets</v>
      </c>
      <c r="L9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0.59252391688937256</v>
      </c>
      <c r="M968" t="str">
        <f>IF(OR((NHL2025_26Results[[#This Row],[Winning Team]]="")),"-",IF(Table4[[#This Row],[Predicted Winner]]=NHL2025_26Results[[#This Row],[Winning Team]],"YES","NO"))</f>
        <v>-</v>
      </c>
      <c r="N968" t="str">
        <f>IF(Table4[[#This Row],[Adjusted Correct]]="-", "",IF(Table4[[#This Row],[Adjusted Correct]]="YES",(Table4[[#This Row],[Strength of Win]]-1)^2,(Table4[[#This Row],[Strength of Win]]-0)^2))</f>
        <v/>
      </c>
      <c r="P968" s="11"/>
    </row>
    <row r="969" spans="4:16" x14ac:dyDescent="0.2">
      <c r="D969" s="1">
        <v>46084</v>
      </c>
      <c r="E969" s="2">
        <v>0.79166666666666663</v>
      </c>
      <c r="F969" t="s">
        <v>22</v>
      </c>
      <c r="G969">
        <f>VLOOKUP(Table4[[#This Row],[Home]],'NHL Model'!$A$6:$B$38,2,FALSE)</f>
        <v>-0.11977593183651415</v>
      </c>
      <c r="H969" t="s">
        <v>55</v>
      </c>
      <c r="I969">
        <f>VLOOKUP(Table4[[#This Row],[Visitor]],'NHL Model'!$A$6:$B$38,2,FALSE)</f>
        <v>8.4094725828611647E-2</v>
      </c>
      <c r="J969">
        <f>($B$1+Table4[[#This Row],[Home Differential]])-Table4[[#This Row],[Away Differential]]</f>
        <v>-7.4263671853601693E-2</v>
      </c>
      <c r="K969" t="str">
        <f>IF(Table4[[#This Row],[HomeIce Differential]]&gt;0,Table4[[#This Row],[Home]],Table4[[#This Row],[Visitor]])</f>
        <v>Utah Mammoth</v>
      </c>
      <c r="L9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0.45037283282142393</v>
      </c>
      <c r="M969" t="str">
        <f>IF(OR((NHL2025_26Results[[#This Row],[Winning Team]]="")),"-",IF(Table4[[#This Row],[Predicted Winner]]=NHL2025_26Results[[#This Row],[Winning Team]],"YES","NO"))</f>
        <v>-</v>
      </c>
      <c r="N969" t="str">
        <f>IF(Table4[[#This Row],[Adjusted Correct]]="-", "",IF(Table4[[#This Row],[Adjusted Correct]]="YES",(Table4[[#This Row],[Strength of Win]]-1)^2,(Table4[[#This Row],[Strength of Win]]-0)^2))</f>
        <v/>
      </c>
      <c r="P969" s="11"/>
    </row>
    <row r="970" spans="4:16" x14ac:dyDescent="0.2">
      <c r="D970" s="1">
        <v>46085</v>
      </c>
      <c r="E970" s="2">
        <v>0.91666666666666663</v>
      </c>
      <c r="F970" t="s">
        <v>31</v>
      </c>
      <c r="G970">
        <f>VLOOKUP(Table4[[#This Row],[Home]],'NHL Model'!$A$6:$B$38,2,FALSE)</f>
        <v>-0.46360583111358089</v>
      </c>
      <c r="H970" t="s">
        <v>30</v>
      </c>
      <c r="I970">
        <f>VLOOKUP(Table4[[#This Row],[Visitor]],'NHL Model'!$A$6:$B$38,2,FALSE)</f>
        <v>-0.18630462558229716</v>
      </c>
      <c r="J970">
        <f>($B$1+Table4[[#This Row],[Home Differential]])-Table4[[#This Row],[Away Differential]]</f>
        <v>-0.14769421971975966</v>
      </c>
      <c r="K970" t="str">
        <f>IF(Table4[[#This Row],[HomeIce Differential]]&gt;0,Table4[[#This Row],[Home]],Table4[[#This Row],[Visitor]])</f>
        <v>New York Islanders</v>
      </c>
      <c r="L9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0.46102959939108351</v>
      </c>
      <c r="M970" t="str">
        <f>IF(OR((NHL2025_26Results[[#This Row],[Winning Team]]="")),"-",IF(Table4[[#This Row],[Predicted Winner]]=NHL2025_26Results[[#This Row],[Winning Team]],"YES","NO"))</f>
        <v>-</v>
      </c>
      <c r="N970" t="str">
        <f>IF(Table4[[#This Row],[Adjusted Correct]]="-", "",IF(Table4[[#This Row],[Adjusted Correct]]="YES",(Table4[[#This Row],[Strength of Win]]-1)^2,(Table4[[#This Row],[Strength of Win]]-0)^2))</f>
        <v/>
      </c>
      <c r="P970" s="11"/>
    </row>
    <row r="971" spans="4:16" x14ac:dyDescent="0.2">
      <c r="D971" s="1">
        <v>46085</v>
      </c>
      <c r="E971" s="2">
        <v>0.79166666666666663</v>
      </c>
      <c r="F971" t="s">
        <v>26</v>
      </c>
      <c r="G971">
        <f>VLOOKUP(Table4[[#This Row],[Home]],'NHL Model'!$A$6:$B$38,2,FALSE)</f>
        <v>-0.33113778518110382</v>
      </c>
      <c r="H971" t="s">
        <v>20</v>
      </c>
      <c r="I971">
        <f>VLOOKUP(Table4[[#This Row],[Visitor]],'NHL Model'!$A$6:$B$38,2,FALSE)</f>
        <v>-0.16296463421387539</v>
      </c>
      <c r="J971">
        <f>($B$1+Table4[[#This Row],[Home Differential]])-Table4[[#This Row],[Away Differential]]</f>
        <v>-3.8566165155704324E-2</v>
      </c>
      <c r="K971" t="str">
        <f>IF(Table4[[#This Row],[HomeIce Differential]]&gt;0,Table4[[#This Row],[Home]],Table4[[#This Row],[Visitor]])</f>
        <v>Vegas Golden Knights</v>
      </c>
      <c r="L9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0.45019061640102348</v>
      </c>
      <c r="M971" t="str">
        <f>IF(OR((NHL2025_26Results[[#This Row],[Winning Team]]="")),"-",IF(Table4[[#This Row],[Predicted Winner]]=NHL2025_26Results[[#This Row],[Winning Team]],"YES","NO"))</f>
        <v>-</v>
      </c>
      <c r="N971" t="str">
        <f>IF(Table4[[#This Row],[Adjusted Correct]]="-", "",IF(Table4[[#This Row],[Adjusted Correct]]="YES",(Table4[[#This Row],[Strength of Win]]-1)^2,(Table4[[#This Row],[Strength of Win]]-0)^2))</f>
        <v/>
      </c>
      <c r="P971" s="11"/>
    </row>
    <row r="972" spans="4:16" x14ac:dyDescent="0.2">
      <c r="D972" s="1">
        <v>46085</v>
      </c>
      <c r="E972" s="2">
        <v>0.79166666666666663</v>
      </c>
      <c r="F972" t="s">
        <v>24</v>
      </c>
      <c r="G972">
        <f>VLOOKUP(Table4[[#This Row],[Home]],'NHL Model'!$A$6:$B$38,2,FALSE)</f>
        <v>-0.74510803532792402</v>
      </c>
      <c r="H972" t="s">
        <v>19</v>
      </c>
      <c r="I972">
        <f>VLOOKUP(Table4[[#This Row],[Visitor]],'NHL Model'!$A$6:$B$38,2,FALSE)</f>
        <v>-0.44228056828684137</v>
      </c>
      <c r="J972">
        <f>($B$1+Table4[[#This Row],[Home Differential]])-Table4[[#This Row],[Away Differential]]</f>
        <v>-0.17322048122955858</v>
      </c>
      <c r="K972" t="str">
        <f>IF(Table4[[#This Row],[HomeIce Differential]]&gt;0,Table4[[#This Row],[Home]],Table4[[#This Row],[Visitor]])</f>
        <v>Toronto Maple Leafs</v>
      </c>
      <c r="L9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0.47945159754101907</v>
      </c>
      <c r="M972" t="str">
        <f>IF(OR((NHL2025_26Results[[#This Row],[Winning Team]]="")),"-",IF(Table4[[#This Row],[Predicted Winner]]=NHL2025_26Results[[#This Row],[Winning Team]],"YES","NO"))</f>
        <v>-</v>
      </c>
      <c r="N972" t="str">
        <f>IF(Table4[[#This Row],[Adjusted Correct]]="-", "",IF(Table4[[#This Row],[Adjusted Correct]]="YES",(Table4[[#This Row],[Strength of Win]]-1)^2,(Table4[[#This Row],[Strength of Win]]-0)^2))</f>
        <v/>
      </c>
      <c r="P972" s="11"/>
    </row>
    <row r="973" spans="4:16" x14ac:dyDescent="0.2">
      <c r="D973" s="1">
        <v>46085</v>
      </c>
      <c r="E973" s="2">
        <v>0.91666666666666663</v>
      </c>
      <c r="F973" t="s">
        <v>32</v>
      </c>
      <c r="G973">
        <f>VLOOKUP(Table4[[#This Row],[Home]],'NHL Model'!$A$6:$B$38,2,FALSE)</f>
        <v>-0.48236715437805205</v>
      </c>
      <c r="H973" t="s">
        <v>35</v>
      </c>
      <c r="I973">
        <f>VLOOKUP(Table4[[#This Row],[Visitor]],'NHL Model'!$A$6:$B$38,2,FALSE)</f>
        <v>-1.3128572733047907</v>
      </c>
      <c r="J973">
        <f>($B$1+Table4[[#This Row],[Home Differential]])-Table4[[#This Row],[Away Differential]]</f>
        <v>0.96009710473826282</v>
      </c>
      <c r="K973" t="str">
        <f>IF(Table4[[#This Row],[HomeIce Differential]]&gt;0,Table4[[#This Row],[Home]],Table4[[#This Row],[Visitor]])</f>
        <v>Seattle Kraken</v>
      </c>
      <c r="L9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0.64781301581143236</v>
      </c>
      <c r="M973" t="str">
        <f>IF(OR((NHL2025_26Results[[#This Row],[Winning Team]]="")),"-",IF(Table4[[#This Row],[Predicted Winner]]=NHL2025_26Results[[#This Row],[Winning Team]],"YES","NO"))</f>
        <v>-</v>
      </c>
      <c r="N973" t="str">
        <f>IF(Table4[[#This Row],[Adjusted Correct]]="-", "",IF(Table4[[#This Row],[Adjusted Correct]]="YES",(Table4[[#This Row],[Strength of Win]]-1)^2,(Table4[[#This Row],[Strength of Win]]-0)^2))</f>
        <v/>
      </c>
      <c r="P973" s="11"/>
    </row>
    <row r="974" spans="4:16" x14ac:dyDescent="0.2">
      <c r="D974" s="1">
        <v>46085</v>
      </c>
      <c r="E974" s="2">
        <v>0.91666666666666663</v>
      </c>
      <c r="F974" t="s">
        <v>38</v>
      </c>
      <c r="G974">
        <f>VLOOKUP(Table4[[#This Row],[Home]],'NHL Model'!$A$6:$B$38,2,FALSE)</f>
        <v>-1.3920033028857945</v>
      </c>
      <c r="H974" t="s">
        <v>25</v>
      </c>
      <c r="I974">
        <f>VLOOKUP(Table4[[#This Row],[Visitor]],'NHL Model'!$A$6:$B$38,2,FALSE)</f>
        <v>0.2324942014830165</v>
      </c>
      <c r="J974">
        <f>($B$1+Table4[[#This Row],[Home Differential]])-Table4[[#This Row],[Away Differential]]</f>
        <v>-1.4948905185572869</v>
      </c>
      <c r="K974" t="str">
        <f>IF(Table4[[#This Row],[HomeIce Differential]]&gt;0,Table4[[#This Row],[Home]],Table4[[#This Row],[Visitor]])</f>
        <v>Carolina Hurricanes</v>
      </c>
      <c r="L9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0.68439596148337278</v>
      </c>
      <c r="M974" t="str">
        <f>IF(OR((NHL2025_26Results[[#This Row],[Winning Team]]="")),"-",IF(Table4[[#This Row],[Predicted Winner]]=NHL2025_26Results[[#This Row],[Winning Team]],"YES","NO"))</f>
        <v>-</v>
      </c>
      <c r="N974" t="str">
        <f>IF(Table4[[#This Row],[Adjusted Correct]]="-", "",IF(Table4[[#This Row],[Adjusted Correct]]="YES",(Table4[[#This Row],[Strength of Win]]-1)^2,(Table4[[#This Row],[Strength of Win]]-0)^2))</f>
        <v/>
      </c>
      <c r="P974" s="11"/>
    </row>
    <row r="975" spans="4:16" x14ac:dyDescent="0.2">
      <c r="D975" s="1">
        <v>46086</v>
      </c>
      <c r="E975" s="2">
        <v>0.79166666666666663</v>
      </c>
      <c r="F975" t="s">
        <v>28</v>
      </c>
      <c r="G975">
        <f>VLOOKUP(Table4[[#This Row],[Home]],'NHL Model'!$A$6:$B$38,2,FALSE)</f>
        <v>-0.28156479873410767</v>
      </c>
      <c r="H975" t="s">
        <v>11</v>
      </c>
      <c r="I975">
        <f>VLOOKUP(Table4[[#This Row],[Visitor]],'NHL Model'!$A$6:$B$38,2,FALSE)</f>
        <v>-0.55695213126481558</v>
      </c>
      <c r="J975">
        <f>($B$1+Table4[[#This Row],[Home Differential]])-Table4[[#This Row],[Away Differential]]</f>
        <v>0.40499431834223198</v>
      </c>
      <c r="K975" t="str">
        <f>IF(Table4[[#This Row],[HomeIce Differential]]&gt;0,Table4[[#This Row],[Home]],Table4[[#This Row],[Visitor]])</f>
        <v>Columbus Blue Jackets</v>
      </c>
      <c r="L9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0.55329087779270747</v>
      </c>
      <c r="M975" t="str">
        <f>IF(OR((NHL2025_26Results[[#This Row],[Winning Team]]="")),"-",IF(Table4[[#This Row],[Predicted Winner]]=NHL2025_26Results[[#This Row],[Winning Team]],"YES","NO"))</f>
        <v>-</v>
      </c>
      <c r="N975" t="str">
        <f>IF(Table4[[#This Row],[Adjusted Correct]]="-", "",IF(Table4[[#This Row],[Adjusted Correct]]="YES",(Table4[[#This Row],[Strength of Win]]-1)^2,(Table4[[#This Row],[Strength of Win]]-0)^2))</f>
        <v/>
      </c>
      <c r="P975" s="11"/>
    </row>
    <row r="976" spans="4:16" x14ac:dyDescent="0.2">
      <c r="D976" s="1">
        <v>46086</v>
      </c>
      <c r="E976" s="2">
        <v>0.875</v>
      </c>
      <c r="F976" t="s">
        <v>16</v>
      </c>
      <c r="G976">
        <f>VLOOKUP(Table4[[#This Row],[Home]],'NHL Model'!$A$6:$B$38,2,FALSE)</f>
        <v>-0.89031221864884547</v>
      </c>
      <c r="H976" t="s">
        <v>36</v>
      </c>
      <c r="I976">
        <f>VLOOKUP(Table4[[#This Row],[Visitor]],'NHL Model'!$A$6:$B$38,2,FALSE)</f>
        <v>-0.19010748264223354</v>
      </c>
      <c r="J976">
        <f>($B$1+Table4[[#This Row],[Home Differential]])-Table4[[#This Row],[Away Differential]]</f>
        <v>-0.57059775019508785</v>
      </c>
      <c r="K976" t="str">
        <f>IF(Table4[[#This Row],[HomeIce Differential]]&gt;0,Table4[[#This Row],[Home]],Table4[[#This Row],[Visitor]])</f>
        <v>Ottawa Senators</v>
      </c>
      <c r="L9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0.53609081082223886</v>
      </c>
      <c r="M976" t="str">
        <f>IF(OR((NHL2025_26Results[[#This Row],[Winning Team]]="")),"-",IF(Table4[[#This Row],[Predicted Winner]]=NHL2025_26Results[[#This Row],[Winning Team]],"YES","NO"))</f>
        <v>-</v>
      </c>
      <c r="N976" t="str">
        <f>IF(Table4[[#This Row],[Adjusted Correct]]="-", "",IF(Table4[[#This Row],[Adjusted Correct]]="YES",(Table4[[#This Row],[Strength of Win]]-1)^2,(Table4[[#This Row],[Strength of Win]]-0)^2))</f>
        <v/>
      </c>
      <c r="P976" s="11"/>
    </row>
    <row r="977" spans="4:16" x14ac:dyDescent="0.2">
      <c r="D977" s="1">
        <v>46086</v>
      </c>
      <c r="E977" s="2">
        <v>0.89583333333333337</v>
      </c>
      <c r="F977" t="s">
        <v>13</v>
      </c>
      <c r="G977">
        <f>VLOOKUP(Table4[[#This Row],[Home]],'NHL Model'!$A$6:$B$38,2,FALSE)</f>
        <v>-0.59069689888466137</v>
      </c>
      <c r="H977" t="s">
        <v>30</v>
      </c>
      <c r="I977">
        <f>VLOOKUP(Table4[[#This Row],[Visitor]],'NHL Model'!$A$6:$B$38,2,FALSE)</f>
        <v>-0.18630462558229716</v>
      </c>
      <c r="J977">
        <f>($B$1+Table4[[#This Row],[Home Differential]])-Table4[[#This Row],[Away Differential]]</f>
        <v>-0.27478528749084014</v>
      </c>
      <c r="K977" t="str">
        <f>IF(Table4[[#This Row],[HomeIce Differential]]&gt;0,Table4[[#This Row],[Home]],Table4[[#This Row],[Visitor]])</f>
        <v>New York Islanders</v>
      </c>
      <c r="L9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0.52775111224309446</v>
      </c>
      <c r="M977" t="str">
        <f>IF(OR((NHL2025_26Results[[#This Row],[Winning Team]]="")),"-",IF(Table4[[#This Row],[Predicted Winner]]=NHL2025_26Results[[#This Row],[Winning Team]],"YES","NO"))</f>
        <v>-</v>
      </c>
      <c r="N977" t="str">
        <f>IF(Table4[[#This Row],[Adjusted Correct]]="-", "",IF(Table4[[#This Row],[Adjusted Correct]]="YES",(Table4[[#This Row],[Strength of Win]]-1)^2,(Table4[[#This Row],[Strength of Win]]-0)^2))</f>
        <v/>
      </c>
      <c r="P977" s="11"/>
    </row>
    <row r="978" spans="4:16" x14ac:dyDescent="0.2">
      <c r="D978" s="1">
        <v>46086</v>
      </c>
      <c r="E978" s="2">
        <v>0.83333333333333337</v>
      </c>
      <c r="F978" t="s">
        <v>29</v>
      </c>
      <c r="G978">
        <f>VLOOKUP(Table4[[#This Row],[Home]],'NHL Model'!$A$6:$B$38,2,FALSE)</f>
        <v>-0.82056481120798741</v>
      </c>
      <c r="H978" t="s">
        <v>21</v>
      </c>
      <c r="I978">
        <f>VLOOKUP(Table4[[#This Row],[Visitor]],'NHL Model'!$A$6:$B$38,2,FALSE)</f>
        <v>-0.10253061303059285</v>
      </c>
      <c r="J978">
        <f>($B$1+Table4[[#This Row],[Home Differential]])-Table4[[#This Row],[Away Differential]]</f>
        <v>-0.58842721236587048</v>
      </c>
      <c r="K978" t="str">
        <f>IF(Table4[[#This Row],[HomeIce Differential]]&gt;0,Table4[[#This Row],[Home]],Table4[[#This Row],[Visitor]])</f>
        <v>Boston Bruins</v>
      </c>
      <c r="L9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0.52607676664952907</v>
      </c>
      <c r="M978" t="str">
        <f>IF(OR((NHL2025_26Results[[#This Row],[Winning Team]]="")),"-",IF(Table4[[#This Row],[Predicted Winner]]=NHL2025_26Results[[#This Row],[Winning Team]],"YES","NO"))</f>
        <v>-</v>
      </c>
      <c r="N978" t="str">
        <f>IF(Table4[[#This Row],[Adjusted Correct]]="-", "",IF(Table4[[#This Row],[Adjusted Correct]]="YES",(Table4[[#This Row],[Strength of Win]]-1)^2,(Table4[[#This Row],[Strength of Win]]-0)^2))</f>
        <v/>
      </c>
      <c r="P978" s="11"/>
    </row>
    <row r="979" spans="4:16" x14ac:dyDescent="0.2">
      <c r="D979" s="1">
        <v>46086</v>
      </c>
      <c r="E979" s="2">
        <v>0.79166666666666663</v>
      </c>
      <c r="F979" t="s">
        <v>15</v>
      </c>
      <c r="G979">
        <f>VLOOKUP(Table4[[#This Row],[Home]],'NHL Model'!$A$6:$B$38,2,FALSE)</f>
        <v>-0.73651915476403329</v>
      </c>
      <c r="H979" t="s">
        <v>19</v>
      </c>
      <c r="I979">
        <f>VLOOKUP(Table4[[#This Row],[Visitor]],'NHL Model'!$A$6:$B$38,2,FALSE)</f>
        <v>-0.44228056828684137</v>
      </c>
      <c r="J979">
        <f>($B$1+Table4[[#This Row],[Home Differential]])-Table4[[#This Row],[Away Differential]]</f>
        <v>-0.16463160066566784</v>
      </c>
      <c r="K979" t="str">
        <f>IF(Table4[[#This Row],[HomeIce Differential]]&gt;0,Table4[[#This Row],[Home]],Table4[[#This Row],[Visitor]])</f>
        <v>Toronto Maple Leafs</v>
      </c>
      <c r="L9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0.47848711893623286</v>
      </c>
      <c r="M979" t="str">
        <f>IF(OR((NHL2025_26Results[[#This Row],[Winning Team]]="")),"-",IF(Table4[[#This Row],[Predicted Winner]]=NHL2025_26Results[[#This Row],[Winning Team]],"YES","NO"))</f>
        <v>-</v>
      </c>
      <c r="N979" t="str">
        <f>IF(Table4[[#This Row],[Adjusted Correct]]="-", "",IF(Table4[[#This Row],[Adjusted Correct]]="YES",(Table4[[#This Row],[Strength of Win]]-1)^2,(Table4[[#This Row],[Strength of Win]]-0)^2))</f>
        <v/>
      </c>
      <c r="P979" s="11"/>
    </row>
    <row r="980" spans="4:16" x14ac:dyDescent="0.2">
      <c r="D980" s="1">
        <v>46086</v>
      </c>
      <c r="E980" s="2">
        <v>0.79166666666666663</v>
      </c>
      <c r="F980" t="s">
        <v>27</v>
      </c>
      <c r="G980">
        <f>VLOOKUP(Table4[[#This Row],[Home]],'NHL Model'!$A$6:$B$38,2,FALSE)</f>
        <v>-0.55097933929175691</v>
      </c>
      <c r="H980" t="s">
        <v>55</v>
      </c>
      <c r="I980">
        <f>VLOOKUP(Table4[[#This Row],[Visitor]],'NHL Model'!$A$6:$B$38,2,FALSE)</f>
        <v>8.4094725828611647E-2</v>
      </c>
      <c r="J980">
        <f>($B$1+Table4[[#This Row],[Home Differential]])-Table4[[#This Row],[Away Differential]]</f>
        <v>-0.50546707930884449</v>
      </c>
      <c r="K980" t="str">
        <f>IF(Table4[[#This Row],[HomeIce Differential]]&gt;0,Table4[[#This Row],[Home]],Table4[[#This Row],[Visitor]])</f>
        <v>Utah Mammoth</v>
      </c>
      <c r="L9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0.51676085256869864</v>
      </c>
      <c r="M980" t="str">
        <f>IF(OR((NHL2025_26Results[[#This Row],[Winning Team]]="")),"-",IF(Table4[[#This Row],[Predicted Winner]]=NHL2025_26Results[[#This Row],[Winning Team]],"YES","NO"))</f>
        <v>-</v>
      </c>
      <c r="N980" t="str">
        <f>IF(Table4[[#This Row],[Adjusted Correct]]="-", "",IF(Table4[[#This Row],[Adjusted Correct]]="YES",(Table4[[#This Row],[Strength of Win]]-1)^2,(Table4[[#This Row],[Strength of Win]]-0)^2))</f>
        <v/>
      </c>
      <c r="P980" s="11"/>
    </row>
    <row r="981" spans="4:16" x14ac:dyDescent="0.2">
      <c r="D981" s="1">
        <v>46086</v>
      </c>
      <c r="E981" s="2">
        <v>0.79166666666666663</v>
      </c>
      <c r="F981" t="s">
        <v>14</v>
      </c>
      <c r="G981">
        <f>VLOOKUP(Table4[[#This Row],[Home]],'NHL Model'!$A$6:$B$38,2,FALSE)</f>
        <v>3.6349513460996066E-5</v>
      </c>
      <c r="H981" t="s">
        <v>23</v>
      </c>
      <c r="I981">
        <f>VLOOKUP(Table4[[#This Row],[Visitor]],'NHL Model'!$A$6:$B$38,2,FALSE)</f>
        <v>8.1543966060426461E-3</v>
      </c>
      <c r="J981">
        <f>($B$1+Table4[[#This Row],[Home Differential]])-Table4[[#This Row],[Away Differential]]</f>
        <v>0.12148893871894245</v>
      </c>
      <c r="K981" t="str">
        <f>IF(Table4[[#This Row],[HomeIce Differential]]&gt;0,Table4[[#This Row],[Home]],Table4[[#This Row],[Visitor]])</f>
        <v>Pittsburgh Penguins</v>
      </c>
      <c r="L9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0.51674805269050428</v>
      </c>
      <c r="M981" t="str">
        <f>IF(OR((NHL2025_26Results[[#This Row],[Winning Team]]="")),"-",IF(Table4[[#This Row],[Predicted Winner]]=NHL2025_26Results[[#This Row],[Winning Team]],"YES","NO"))</f>
        <v>-</v>
      </c>
      <c r="N981" t="str">
        <f>IF(Table4[[#This Row],[Adjusted Correct]]="-", "",IF(Table4[[#This Row],[Adjusted Correct]]="YES",(Table4[[#This Row],[Strength of Win]]-1)^2,(Table4[[#This Row],[Strength of Win]]-0)^2))</f>
        <v/>
      </c>
      <c r="P981" s="11"/>
    </row>
    <row r="982" spans="4:16" x14ac:dyDescent="0.2">
      <c r="D982" s="1">
        <v>46086</v>
      </c>
      <c r="E982" s="2">
        <v>0.83333333333333337</v>
      </c>
      <c r="F982" t="s">
        <v>40</v>
      </c>
      <c r="G982">
        <f>VLOOKUP(Table4[[#This Row],[Home]],'NHL Model'!$A$6:$B$38,2,FALSE)</f>
        <v>-0.58845147248022256</v>
      </c>
      <c r="H982" t="s">
        <v>37</v>
      </c>
      <c r="I982">
        <f>VLOOKUP(Table4[[#This Row],[Visitor]],'NHL Model'!$A$6:$B$38,2,FALSE)</f>
        <v>0.72108184732572844</v>
      </c>
      <c r="J982">
        <f>($B$1+Table4[[#This Row],[Home Differential]])-Table4[[#This Row],[Away Differential]]</f>
        <v>-1.1799263339944268</v>
      </c>
      <c r="K982" t="str">
        <f>IF(Table4[[#This Row],[HomeIce Differential]]&gt;0,Table4[[#This Row],[Home]],Table4[[#This Row],[Visitor]])</f>
        <v>Tampa Bay Lightning</v>
      </c>
      <c r="L9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0.68935663758070886</v>
      </c>
      <c r="M982" t="str">
        <f>IF(OR((NHL2025_26Results[[#This Row],[Winning Team]]="")),"-",IF(Table4[[#This Row],[Predicted Winner]]=NHL2025_26Results[[#This Row],[Winning Team]],"YES","NO"))</f>
        <v>-</v>
      </c>
      <c r="N982" t="str">
        <f>IF(Table4[[#This Row],[Adjusted Correct]]="-", "",IF(Table4[[#This Row],[Adjusted Correct]]="YES",(Table4[[#This Row],[Strength of Win]]-1)^2,(Table4[[#This Row],[Strength of Win]]-0)^2))</f>
        <v/>
      </c>
      <c r="P982" s="11"/>
    </row>
    <row r="983" spans="4:16" x14ac:dyDescent="0.2">
      <c r="D983" s="1">
        <v>46087</v>
      </c>
      <c r="E983" s="2">
        <v>0.875</v>
      </c>
      <c r="F983" t="s">
        <v>31</v>
      </c>
      <c r="G983">
        <f>VLOOKUP(Table4[[#This Row],[Home]],'NHL Model'!$A$6:$B$38,2,FALSE)</f>
        <v>-0.46360583111358089</v>
      </c>
      <c r="H983" t="s">
        <v>18</v>
      </c>
      <c r="I983">
        <f>VLOOKUP(Table4[[#This Row],[Visitor]],'NHL Model'!$A$6:$B$38,2,FALSE)</f>
        <v>-8.6274676766085606E-2</v>
      </c>
      <c r="J983">
        <f>($B$1+Table4[[#This Row],[Home Differential]])-Table4[[#This Row],[Away Differential]]</f>
        <v>-0.24772416853597121</v>
      </c>
      <c r="K983" t="str">
        <f>IF(Table4[[#This Row],[HomeIce Differential]]&gt;0,Table4[[#This Row],[Home]],Table4[[#This Row],[Visitor]])</f>
        <v>Montreal Canadiens</v>
      </c>
      <c r="L9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0.48064809331350988</v>
      </c>
      <c r="M983" t="str">
        <f>IF(OR((NHL2025_26Results[[#This Row],[Winning Team]]="")),"-",IF(Table4[[#This Row],[Predicted Winner]]=NHL2025_26Results[[#This Row],[Winning Team]],"YES","NO"))</f>
        <v>-</v>
      </c>
      <c r="N983" t="str">
        <f>IF(Table4[[#This Row],[Adjusted Correct]]="-", "",IF(Table4[[#This Row],[Adjusted Correct]]="YES",(Table4[[#This Row],[Strength of Win]]-1)^2,(Table4[[#This Row],[Strength of Win]]-0)^2))</f>
        <v/>
      </c>
      <c r="P983" s="11"/>
    </row>
    <row r="984" spans="4:16" x14ac:dyDescent="0.2">
      <c r="D984" s="1">
        <v>46087</v>
      </c>
      <c r="E984" s="2">
        <v>0.85416666666666663</v>
      </c>
      <c r="F984" t="s">
        <v>10</v>
      </c>
      <c r="G984">
        <f>VLOOKUP(Table4[[#This Row],[Home]],'NHL Model'!$A$6:$B$38,2,FALSE)</f>
        <v>-0.92658078135875344</v>
      </c>
      <c r="H984" t="s">
        <v>38</v>
      </c>
      <c r="I984">
        <f>VLOOKUP(Table4[[#This Row],[Visitor]],'NHL Model'!$A$6:$B$38,2,FALSE)</f>
        <v>-1.3920033028857945</v>
      </c>
      <c r="J984">
        <f>($B$1+Table4[[#This Row],[Home Differential]])-Table4[[#This Row],[Away Differential]]</f>
        <v>0.59502950733856519</v>
      </c>
      <c r="K984" t="str">
        <f>IF(Table4[[#This Row],[HomeIce Differential]]&gt;0,Table4[[#This Row],[Home]],Table4[[#This Row],[Visitor]])</f>
        <v>Chicago Blackhawks</v>
      </c>
      <c r="L9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0.60681816387775733</v>
      </c>
      <c r="M984" t="str">
        <f>IF(OR((NHL2025_26Results[[#This Row],[Winning Team]]="")),"-",IF(Table4[[#This Row],[Predicted Winner]]=NHL2025_26Results[[#This Row],[Winning Team]],"YES","NO"))</f>
        <v>-</v>
      </c>
      <c r="N984" t="str">
        <f>IF(Table4[[#This Row],[Adjusted Correct]]="-", "",IF(Table4[[#This Row],[Adjusted Correct]]="YES",(Table4[[#This Row],[Strength of Win]]-1)^2,(Table4[[#This Row],[Strength of Win]]-0)^2))</f>
        <v/>
      </c>
      <c r="P984" s="11"/>
    </row>
    <row r="985" spans="4:16" x14ac:dyDescent="0.2">
      <c r="D985" s="1">
        <v>46087</v>
      </c>
      <c r="E985" s="2">
        <v>0.83333333333333337</v>
      </c>
      <c r="F985" t="s">
        <v>39</v>
      </c>
      <c r="G985">
        <f>VLOOKUP(Table4[[#This Row],[Home]],'NHL Model'!$A$6:$B$38,2,FALSE)</f>
        <v>0.21708030788125537</v>
      </c>
      <c r="H985" t="s">
        <v>12</v>
      </c>
      <c r="I985">
        <f>VLOOKUP(Table4[[#This Row],[Visitor]],'NHL Model'!$A$6:$B$38,2,FALSE)</f>
        <v>0.99866683349964291</v>
      </c>
      <c r="J985">
        <f>($B$1+Table4[[#This Row],[Home Differential]])-Table4[[#This Row],[Away Differential]]</f>
        <v>-0.65197953980686341</v>
      </c>
      <c r="K985" t="str">
        <f>IF(Table4[[#This Row],[HomeIce Differential]]&gt;0,Table4[[#This Row],[Home]],Table4[[#This Row],[Visitor]])</f>
        <v>Colorado Avalanche</v>
      </c>
      <c r="L9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0.56412239411251053</v>
      </c>
      <c r="M985" t="str">
        <f>IF(OR((NHL2025_26Results[[#This Row],[Winning Team]]="")),"-",IF(Table4[[#This Row],[Predicted Winner]]=NHL2025_26Results[[#This Row],[Winning Team]],"YES","NO"))</f>
        <v>-</v>
      </c>
      <c r="N985" t="str">
        <f>IF(Table4[[#This Row],[Adjusted Correct]]="-", "",IF(Table4[[#This Row],[Adjusted Correct]]="YES",(Table4[[#This Row],[Strength of Win]]-1)^2,(Table4[[#This Row],[Strength of Win]]-0)^2))</f>
        <v/>
      </c>
      <c r="P985" s="11"/>
    </row>
    <row r="986" spans="4:16" x14ac:dyDescent="0.2">
      <c r="D986" s="1">
        <v>46087</v>
      </c>
      <c r="E986" s="2">
        <v>0.79166666666666663</v>
      </c>
      <c r="F986" t="s">
        <v>26</v>
      </c>
      <c r="G986">
        <f>VLOOKUP(Table4[[#This Row],[Home]],'NHL Model'!$A$6:$B$38,2,FALSE)</f>
        <v>-0.33113778518110382</v>
      </c>
      <c r="H986" t="s">
        <v>11</v>
      </c>
      <c r="I986">
        <f>VLOOKUP(Table4[[#This Row],[Visitor]],'NHL Model'!$A$6:$B$38,2,FALSE)</f>
        <v>-0.55695213126481558</v>
      </c>
      <c r="J986">
        <f>($B$1+Table4[[#This Row],[Home Differential]])-Table4[[#This Row],[Away Differential]]</f>
        <v>0.35542133189523584</v>
      </c>
      <c r="K986" t="str">
        <f>IF(Table4[[#This Row],[HomeIce Differential]]&gt;0,Table4[[#This Row],[Home]],Table4[[#This Row],[Visitor]])</f>
        <v>Detroit Red Wings</v>
      </c>
      <c r="L9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0.56693866251288538</v>
      </c>
      <c r="M986" t="str">
        <f>IF(OR((NHL2025_26Results[[#This Row],[Winning Team]]="")),"-",IF(Table4[[#This Row],[Predicted Winner]]=NHL2025_26Results[[#This Row],[Winning Team]],"YES","NO"))</f>
        <v>-</v>
      </c>
      <c r="N986" t="str">
        <f>IF(Table4[[#This Row],[Adjusted Correct]]="-", "",IF(Table4[[#This Row],[Adjusted Correct]]="YES",(Table4[[#This Row],[Strength of Win]]-1)^2,(Table4[[#This Row],[Strength of Win]]-0)^2))</f>
        <v/>
      </c>
      <c r="P986" s="11"/>
    </row>
    <row r="987" spans="4:16" x14ac:dyDescent="0.2">
      <c r="D987" s="1">
        <v>46087</v>
      </c>
      <c r="E987" s="2">
        <v>0.875</v>
      </c>
      <c r="F987" t="s">
        <v>17</v>
      </c>
      <c r="G987">
        <f>VLOOKUP(Table4[[#This Row],[Home]],'NHL Model'!$A$6:$B$38,2,FALSE)</f>
        <v>-0.36462594951491906</v>
      </c>
      <c r="H987" t="s">
        <v>25</v>
      </c>
      <c r="I987">
        <f>VLOOKUP(Table4[[#This Row],[Visitor]],'NHL Model'!$A$6:$B$38,2,FALSE)</f>
        <v>0.2324942014830165</v>
      </c>
      <c r="J987">
        <f>($B$1+Table4[[#This Row],[Home Differential]])-Table4[[#This Row],[Away Differential]]</f>
        <v>-0.46751316518641145</v>
      </c>
      <c r="K987" t="str">
        <f>IF(Table4[[#This Row],[HomeIce Differential]]&gt;0,Table4[[#This Row],[Home]],Table4[[#This Row],[Visitor]])</f>
        <v>Carolina Hurricanes</v>
      </c>
      <c r="L9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0.56902778643458141</v>
      </c>
      <c r="M987" t="str">
        <f>IF(OR((NHL2025_26Results[[#This Row],[Winning Team]]="")),"-",IF(Table4[[#This Row],[Predicted Winner]]=NHL2025_26Results[[#This Row],[Winning Team]],"YES","NO"))</f>
        <v>-</v>
      </c>
      <c r="N987" t="str">
        <f>IF(Table4[[#This Row],[Adjusted Correct]]="-", "",IF(Table4[[#This Row],[Adjusted Correct]]="YES",(Table4[[#This Row],[Strength of Win]]-1)^2,(Table4[[#This Row],[Strength of Win]]-0)^2))</f>
        <v/>
      </c>
      <c r="P987" s="11"/>
    </row>
    <row r="988" spans="4:16" x14ac:dyDescent="0.2">
      <c r="D988" s="1">
        <v>46087</v>
      </c>
      <c r="E988" s="2">
        <v>0.91666666666666663</v>
      </c>
      <c r="F988" t="s">
        <v>33</v>
      </c>
      <c r="G988">
        <f>VLOOKUP(Table4[[#This Row],[Home]],'NHL Model'!$A$6:$B$38,2,FALSE)</f>
        <v>-0.65236582493376272</v>
      </c>
      <c r="H988" t="s">
        <v>35</v>
      </c>
      <c r="I988">
        <f>VLOOKUP(Table4[[#This Row],[Visitor]],'NHL Model'!$A$6:$B$38,2,FALSE)</f>
        <v>-1.3128572733047907</v>
      </c>
      <c r="J988">
        <f>($B$1+Table4[[#This Row],[Home Differential]])-Table4[[#This Row],[Away Differential]]</f>
        <v>0.7900984341825521</v>
      </c>
      <c r="K988" t="str">
        <f>IF(Table4[[#This Row],[HomeIce Differential]]&gt;0,Table4[[#This Row],[Home]],Table4[[#This Row],[Visitor]])</f>
        <v>San Jose Sharks</v>
      </c>
      <c r="L9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0.62872320784712044</v>
      </c>
      <c r="M988" t="str">
        <f>IF(OR((NHL2025_26Results[[#This Row],[Winning Team]]="")),"-",IF(Table4[[#This Row],[Predicted Winner]]=NHL2025_26Results[[#This Row],[Winning Team]],"YES","NO"))</f>
        <v>-</v>
      </c>
      <c r="N988" t="str">
        <f>IF(Table4[[#This Row],[Adjusted Correct]]="-", "",IF(Table4[[#This Row],[Adjusted Correct]]="YES",(Table4[[#This Row],[Strength of Win]]-1)^2,(Table4[[#This Row],[Strength of Win]]-0)^2))</f>
        <v/>
      </c>
      <c r="P988" s="11"/>
    </row>
    <row r="989" spans="4:16" x14ac:dyDescent="0.2">
      <c r="D989" s="1">
        <v>46087</v>
      </c>
      <c r="E989" s="2">
        <v>0.91666666666666663</v>
      </c>
      <c r="F989" t="s">
        <v>20</v>
      </c>
      <c r="G989">
        <f>VLOOKUP(Table4[[#This Row],[Home]],'NHL Model'!$A$6:$B$38,2,FALSE)</f>
        <v>-0.16296463421387539</v>
      </c>
      <c r="H989" t="s">
        <v>34</v>
      </c>
      <c r="I989">
        <f>VLOOKUP(Table4[[#This Row],[Visitor]],'NHL Model'!$A$6:$B$38,2,FALSE)</f>
        <v>6.0485283743665949E-2</v>
      </c>
      <c r="J989">
        <f>($B$1+Table4[[#This Row],[Home Differential]])-Table4[[#This Row],[Away Differential]]</f>
        <v>-9.384293214601723E-2</v>
      </c>
      <c r="K989" t="str">
        <f>IF(Table4[[#This Row],[HomeIce Differential]]&gt;0,Table4[[#This Row],[Home]],Table4[[#This Row],[Visitor]])</f>
        <v>Minnesota Wild</v>
      </c>
      <c r="L9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0.53980324095818355</v>
      </c>
      <c r="M989" t="str">
        <f>IF(OR((NHL2025_26Results[[#This Row],[Winning Team]]="")),"-",IF(Table4[[#This Row],[Predicted Winner]]=NHL2025_26Results[[#This Row],[Winning Team]],"YES","NO"))</f>
        <v>-</v>
      </c>
      <c r="N989" t="str">
        <f>IF(Table4[[#This Row],[Adjusted Correct]]="-", "",IF(Table4[[#This Row],[Adjusted Correct]]="YES",(Table4[[#This Row],[Strength of Win]]-1)^2,(Table4[[#This Row],[Strength of Win]]-0)^2))</f>
        <v/>
      </c>
      <c r="P989" s="11"/>
    </row>
    <row r="990" spans="4:16" x14ac:dyDescent="0.2">
      <c r="D990" s="1">
        <v>46088</v>
      </c>
      <c r="E990" s="2">
        <v>0.52083333333333337</v>
      </c>
      <c r="F990" t="s">
        <v>21</v>
      </c>
      <c r="G990">
        <f>VLOOKUP(Table4[[#This Row],[Home]],'NHL Model'!$A$6:$B$38,2,FALSE)</f>
        <v>-0.10253061303059285</v>
      </c>
      <c r="H990" t="s">
        <v>22</v>
      </c>
      <c r="I990">
        <f>VLOOKUP(Table4[[#This Row],[Visitor]],'NHL Model'!$A$6:$B$38,2,FALSE)</f>
        <v>-0.11977593183651415</v>
      </c>
      <c r="J990">
        <f>($B$1+Table4[[#This Row],[Home Differential]])-Table4[[#This Row],[Away Differential]]</f>
        <v>0.14685230461744542</v>
      </c>
      <c r="K990" t="str">
        <f>IF(Table4[[#This Row],[HomeIce Differential]]&gt;0,Table4[[#This Row],[Home]],Table4[[#This Row],[Visitor]])</f>
        <v>Boston Bruins</v>
      </c>
      <c r="L9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0.60820658937615502</v>
      </c>
      <c r="M990" t="str">
        <f>IF(OR((NHL2025_26Results[[#This Row],[Winning Team]]="")),"-",IF(Table4[[#This Row],[Predicted Winner]]=NHL2025_26Results[[#This Row],[Winning Team]],"YES","NO"))</f>
        <v>-</v>
      </c>
      <c r="N990" t="str">
        <f>IF(Table4[[#This Row],[Adjusted Correct]]="-", "",IF(Table4[[#This Row],[Adjusted Correct]]="YES",(Table4[[#This Row],[Strength of Win]]-1)^2,(Table4[[#This Row],[Strength of Win]]-0)^2))</f>
        <v/>
      </c>
      <c r="P990" s="11"/>
    </row>
    <row r="991" spans="4:16" x14ac:dyDescent="0.2">
      <c r="D991" s="1">
        <v>46088</v>
      </c>
      <c r="E991" s="2">
        <v>0.72916666666666663</v>
      </c>
      <c r="F991" t="s">
        <v>23</v>
      </c>
      <c r="G991">
        <f>VLOOKUP(Table4[[#This Row],[Home]],'NHL Model'!$A$6:$B$38,2,FALSE)</f>
        <v>8.1543966060426461E-3</v>
      </c>
      <c r="H991" t="s">
        <v>29</v>
      </c>
      <c r="I991">
        <f>VLOOKUP(Table4[[#This Row],[Visitor]],'NHL Model'!$A$6:$B$38,2,FALSE)</f>
        <v>-0.82056481120798741</v>
      </c>
      <c r="J991">
        <f>($B$1+Table4[[#This Row],[Home Differential]])-Table4[[#This Row],[Away Differential]]</f>
        <v>0.95832619362555416</v>
      </c>
      <c r="K991" t="str">
        <f>IF(Table4[[#This Row],[HomeIce Differential]]&gt;0,Table4[[#This Row],[Home]],Table4[[#This Row],[Visitor]])</f>
        <v>Buffalo Sabres</v>
      </c>
      <c r="L9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0.67655658976821864</v>
      </c>
      <c r="M991" t="str">
        <f>IF(OR((NHL2025_26Results[[#This Row],[Winning Team]]="")),"-",IF(Table4[[#This Row],[Predicted Winner]]=NHL2025_26Results[[#This Row],[Winning Team]],"YES","NO"))</f>
        <v>-</v>
      </c>
      <c r="N991" t="str">
        <f>IF(Table4[[#This Row],[Adjusted Correct]]="-", "",IF(Table4[[#This Row],[Adjusted Correct]]="YES",(Table4[[#This Row],[Strength of Win]]-1)^2,(Table4[[#This Row],[Strength of Win]]-0)^2))</f>
        <v/>
      </c>
      <c r="P991" s="11"/>
    </row>
    <row r="992" spans="4:16" x14ac:dyDescent="0.2">
      <c r="D992" s="1">
        <v>46088</v>
      </c>
      <c r="E992" s="2">
        <v>0.79166666666666663</v>
      </c>
      <c r="F992" t="s">
        <v>28</v>
      </c>
      <c r="G992">
        <f>VLOOKUP(Table4[[#This Row],[Home]],'NHL Model'!$A$6:$B$38,2,FALSE)</f>
        <v>-0.28156479873410767</v>
      </c>
      <c r="H992" t="s">
        <v>55</v>
      </c>
      <c r="I992">
        <f>VLOOKUP(Table4[[#This Row],[Visitor]],'NHL Model'!$A$6:$B$38,2,FALSE)</f>
        <v>8.4094725828611647E-2</v>
      </c>
      <c r="J992">
        <f>($B$1+Table4[[#This Row],[Home Differential]])-Table4[[#This Row],[Away Differential]]</f>
        <v>-0.2360525387511952</v>
      </c>
      <c r="K992" t="str">
        <f>IF(Table4[[#This Row],[HomeIce Differential]]&gt;0,Table4[[#This Row],[Home]],Table4[[#This Row],[Visitor]])</f>
        <v>Utah Mammoth</v>
      </c>
      <c r="L9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0.47946130034100665</v>
      </c>
      <c r="M992" t="str">
        <f>IF(OR((NHL2025_26Results[[#This Row],[Winning Team]]="")),"-",IF(Table4[[#This Row],[Predicted Winner]]=NHL2025_26Results[[#This Row],[Winning Team]],"YES","NO"))</f>
        <v>-</v>
      </c>
      <c r="N992" t="str">
        <f>IF(Table4[[#This Row],[Adjusted Correct]]="-", "",IF(Table4[[#This Row],[Adjusted Correct]]="YES",(Table4[[#This Row],[Strength of Win]]-1)^2,(Table4[[#This Row],[Strength of Win]]-0)^2))</f>
        <v/>
      </c>
      <c r="P992" s="11"/>
    </row>
    <row r="993" spans="4:16" x14ac:dyDescent="0.2">
      <c r="D993" s="1">
        <v>46088</v>
      </c>
      <c r="E993" s="2">
        <v>0.91666666666666663</v>
      </c>
      <c r="F993" t="s">
        <v>16</v>
      </c>
      <c r="G993">
        <f>VLOOKUP(Table4[[#This Row],[Home]],'NHL Model'!$A$6:$B$38,2,FALSE)</f>
        <v>-0.89031221864884547</v>
      </c>
      <c r="H993" t="s">
        <v>25</v>
      </c>
      <c r="I993">
        <f>VLOOKUP(Table4[[#This Row],[Visitor]],'NHL Model'!$A$6:$B$38,2,FALSE)</f>
        <v>0.2324942014830165</v>
      </c>
      <c r="J993">
        <f>($B$1+Table4[[#This Row],[Home Differential]])-Table4[[#This Row],[Away Differential]]</f>
        <v>-0.99319943432033786</v>
      </c>
      <c r="K993" t="str">
        <f>IF(Table4[[#This Row],[HomeIce Differential]]&gt;0,Table4[[#This Row],[Home]],Table4[[#This Row],[Visitor]])</f>
        <v>Carolina Hurricanes</v>
      </c>
      <c r="L9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0.62805913000002167</v>
      </c>
      <c r="M993" t="str">
        <f>IF(OR((NHL2025_26Results[[#This Row],[Winning Team]]="")),"-",IF(Table4[[#This Row],[Predicted Winner]]=NHL2025_26Results[[#This Row],[Winning Team]],"YES","NO"))</f>
        <v>-</v>
      </c>
      <c r="N993" t="str">
        <f>IF(Table4[[#This Row],[Adjusted Correct]]="-", "",IF(Table4[[#This Row],[Adjusted Correct]]="YES",(Table4[[#This Row],[Strength of Win]]-1)^2,(Table4[[#This Row],[Strength of Win]]-0)^2))</f>
        <v/>
      </c>
      <c r="P993" s="11"/>
    </row>
    <row r="994" spans="4:16" x14ac:dyDescent="0.2">
      <c r="D994" s="1">
        <v>46088</v>
      </c>
      <c r="E994" s="2">
        <v>0.79166666666666663</v>
      </c>
      <c r="F994" t="s">
        <v>13</v>
      </c>
      <c r="G994">
        <f>VLOOKUP(Table4[[#This Row],[Home]],'NHL Model'!$A$6:$B$38,2,FALSE)</f>
        <v>-0.59069689888466137</v>
      </c>
      <c r="H994" t="s">
        <v>18</v>
      </c>
      <c r="I994">
        <f>VLOOKUP(Table4[[#This Row],[Visitor]],'NHL Model'!$A$6:$B$38,2,FALSE)</f>
        <v>-8.6274676766085606E-2</v>
      </c>
      <c r="J994">
        <f>($B$1+Table4[[#This Row],[Home Differential]])-Table4[[#This Row],[Away Differential]]</f>
        <v>-0.37481523630705171</v>
      </c>
      <c r="K994" t="str">
        <f>IF(Table4[[#This Row],[HomeIce Differential]]&gt;0,Table4[[#This Row],[Home]],Table4[[#This Row],[Visitor]])</f>
        <v>Montreal Canadiens</v>
      </c>
      <c r="L9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0.54745900347735477</v>
      </c>
      <c r="M994" t="str">
        <f>IF(OR((NHL2025_26Results[[#This Row],[Winning Team]]="")),"-",IF(Table4[[#This Row],[Predicted Winner]]=NHL2025_26Results[[#This Row],[Winning Team]],"YES","NO"))</f>
        <v>-</v>
      </c>
      <c r="N994" t="str">
        <f>IF(Table4[[#This Row],[Adjusted Correct]]="-", "",IF(Table4[[#This Row],[Adjusted Correct]]="YES",(Table4[[#This Row],[Strength of Win]]-1)^2,(Table4[[#This Row],[Strength of Win]]-0)^2))</f>
        <v/>
      </c>
      <c r="P994" s="11"/>
    </row>
    <row r="995" spans="4:16" x14ac:dyDescent="0.2">
      <c r="D995" s="1">
        <v>46088</v>
      </c>
      <c r="E995" s="2">
        <v>0.625</v>
      </c>
      <c r="F995" t="s">
        <v>24</v>
      </c>
      <c r="G995">
        <f>VLOOKUP(Table4[[#This Row],[Home]],'NHL Model'!$A$6:$B$38,2,FALSE)</f>
        <v>-0.74510803532792402</v>
      </c>
      <c r="H995" t="s">
        <v>15</v>
      </c>
      <c r="I995">
        <f>VLOOKUP(Table4[[#This Row],[Visitor]],'NHL Model'!$A$6:$B$38,2,FALSE)</f>
        <v>-0.73651915476403329</v>
      </c>
      <c r="J995">
        <f>($B$1+Table4[[#This Row],[Home Differential]])-Table4[[#This Row],[Away Differential]]</f>
        <v>0.12101810524763335</v>
      </c>
      <c r="K995" t="str">
        <f>IF(Table4[[#This Row],[HomeIce Differential]]&gt;0,Table4[[#This Row],[Home]],Table4[[#This Row],[Visitor]])</f>
        <v>New Jersey Devils</v>
      </c>
      <c r="L9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0.51767360491989989</v>
      </c>
      <c r="M995" t="str">
        <f>IF(OR((NHL2025_26Results[[#This Row],[Winning Team]]="")),"-",IF(Table4[[#This Row],[Predicted Winner]]=NHL2025_26Results[[#This Row],[Winning Team]],"YES","NO"))</f>
        <v>-</v>
      </c>
      <c r="N995" t="str">
        <f>IF(Table4[[#This Row],[Adjusted Correct]]="-", "",IF(Table4[[#This Row],[Adjusted Correct]]="YES",(Table4[[#This Row],[Strength of Win]]-1)^2,(Table4[[#This Row],[Strength of Win]]-0)^2))</f>
        <v/>
      </c>
      <c r="P995" s="11"/>
    </row>
    <row r="996" spans="4:16" x14ac:dyDescent="0.2">
      <c r="D996" s="1">
        <v>46088</v>
      </c>
      <c r="E996" s="2">
        <v>0.72916666666666663</v>
      </c>
      <c r="F996" t="s">
        <v>14</v>
      </c>
      <c r="G996">
        <f>VLOOKUP(Table4[[#This Row],[Home]],'NHL Model'!$A$6:$B$38,2,FALSE)</f>
        <v>3.6349513460996066E-5</v>
      </c>
      <c r="H996" t="s">
        <v>27</v>
      </c>
      <c r="I996">
        <f>VLOOKUP(Table4[[#This Row],[Visitor]],'NHL Model'!$A$6:$B$38,2,FALSE)</f>
        <v>-0.55097933929175691</v>
      </c>
      <c r="J996">
        <f>($B$1+Table4[[#This Row],[Home Differential]])-Table4[[#This Row],[Away Differential]]</f>
        <v>0.68062267461674197</v>
      </c>
      <c r="K996" t="str">
        <f>IF(Table4[[#This Row],[HomeIce Differential]]&gt;0,Table4[[#This Row],[Home]],Table4[[#This Row],[Visitor]])</f>
        <v>Pittsburgh Penguins</v>
      </c>
      <c r="L9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0.61642975155109825</v>
      </c>
      <c r="M996" t="str">
        <f>IF(OR((NHL2025_26Results[[#This Row],[Winning Team]]="")),"-",IF(Table4[[#This Row],[Predicted Winner]]=NHL2025_26Results[[#This Row],[Winning Team]],"YES","NO"))</f>
        <v>-</v>
      </c>
      <c r="N996" t="str">
        <f>IF(Table4[[#This Row],[Adjusted Correct]]="-", "",IF(Table4[[#This Row],[Adjusted Correct]]="YES",(Table4[[#This Row],[Strength of Win]]-1)^2,(Table4[[#This Row],[Strength of Win]]-0)^2))</f>
        <v/>
      </c>
      <c r="P996" s="11"/>
    </row>
    <row r="997" spans="4:16" x14ac:dyDescent="0.2">
      <c r="D997" s="1">
        <v>46088</v>
      </c>
      <c r="E997" s="2">
        <v>0.91666666666666663</v>
      </c>
      <c r="F997" t="s">
        <v>32</v>
      </c>
      <c r="G997">
        <f>VLOOKUP(Table4[[#This Row],[Home]],'NHL Model'!$A$6:$B$38,2,FALSE)</f>
        <v>-0.48236715437805205</v>
      </c>
      <c r="H997" t="s">
        <v>36</v>
      </c>
      <c r="I997">
        <f>VLOOKUP(Table4[[#This Row],[Visitor]],'NHL Model'!$A$6:$B$38,2,FALSE)</f>
        <v>-0.19010748264223354</v>
      </c>
      <c r="J997">
        <f>($B$1+Table4[[#This Row],[Home Differential]])-Table4[[#This Row],[Away Differential]]</f>
        <v>-0.16265268592429438</v>
      </c>
      <c r="K997" t="str">
        <f>IF(Table4[[#This Row],[HomeIce Differential]]&gt;0,Table4[[#This Row],[Home]],Table4[[#This Row],[Visitor]])</f>
        <v>Ottawa Senators</v>
      </c>
      <c r="L9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0.49028108236106105</v>
      </c>
      <c r="M997" t="str">
        <f>IF(OR((NHL2025_26Results[[#This Row],[Winning Team]]="")),"-",IF(Table4[[#This Row],[Predicted Winner]]=NHL2025_26Results[[#This Row],[Winning Team]],"YES","NO"))</f>
        <v>-</v>
      </c>
      <c r="N997" t="str">
        <f>IF(Table4[[#This Row],[Adjusted Correct]]="-", "",IF(Table4[[#This Row],[Adjusted Correct]]="YES",(Table4[[#This Row],[Strength of Win]]-1)^2,(Table4[[#This Row],[Strength of Win]]-0)^2))</f>
        <v/>
      </c>
      <c r="P997" s="11"/>
    </row>
    <row r="998" spans="4:16" x14ac:dyDescent="0.2">
      <c r="D998" s="1">
        <v>46088</v>
      </c>
      <c r="E998" s="2">
        <v>0.91666666666666663</v>
      </c>
      <c r="F998" t="s">
        <v>33</v>
      </c>
      <c r="G998">
        <f>VLOOKUP(Table4[[#This Row],[Home]],'NHL Model'!$A$6:$B$38,2,FALSE)</f>
        <v>-0.65236582493376272</v>
      </c>
      <c r="H998" t="s">
        <v>30</v>
      </c>
      <c r="I998">
        <f>VLOOKUP(Table4[[#This Row],[Visitor]],'NHL Model'!$A$6:$B$38,2,FALSE)</f>
        <v>-0.18630462558229716</v>
      </c>
      <c r="J998">
        <f>($B$1+Table4[[#This Row],[Home Differential]])-Table4[[#This Row],[Away Differential]]</f>
        <v>-0.33645421353994148</v>
      </c>
      <c r="K998" t="str">
        <f>IF(Table4[[#This Row],[HomeIce Differential]]&gt;0,Table4[[#This Row],[Home]],Table4[[#This Row],[Visitor]])</f>
        <v>New York Islanders</v>
      </c>
      <c r="L9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0.5346761543730969</v>
      </c>
      <c r="M998" t="str">
        <f>IF(OR((NHL2025_26Results[[#This Row],[Winning Team]]="")),"-",IF(Table4[[#This Row],[Predicted Winner]]=NHL2025_26Results[[#This Row],[Winning Team]],"YES","NO"))</f>
        <v>-</v>
      </c>
      <c r="N998" t="str">
        <f>IF(Table4[[#This Row],[Adjusted Correct]]="-", "",IF(Table4[[#This Row],[Adjusted Correct]]="YES",(Table4[[#This Row],[Strength of Win]]-1)^2,(Table4[[#This Row],[Strength of Win]]-0)^2))</f>
        <v/>
      </c>
      <c r="P998" s="11"/>
    </row>
    <row r="999" spans="4:16" x14ac:dyDescent="0.2">
      <c r="D999" s="1">
        <v>46088</v>
      </c>
      <c r="E999" s="2">
        <v>0.79166666666666663</v>
      </c>
      <c r="F999" t="s">
        <v>19</v>
      </c>
      <c r="G999">
        <f>VLOOKUP(Table4[[#This Row],[Home]],'NHL Model'!$A$6:$B$38,2,FALSE)</f>
        <v>-0.44228056828684137</v>
      </c>
      <c r="H999" t="s">
        <v>37</v>
      </c>
      <c r="I999">
        <f>VLOOKUP(Table4[[#This Row],[Visitor]],'NHL Model'!$A$6:$B$38,2,FALSE)</f>
        <v>0.72108184732572844</v>
      </c>
      <c r="J999">
        <f>($B$1+Table4[[#This Row],[Home Differential]])-Table4[[#This Row],[Away Differential]]</f>
        <v>-1.0337554298010456</v>
      </c>
      <c r="K999" t="str">
        <f>IF(Table4[[#This Row],[HomeIce Differential]]&gt;0,Table4[[#This Row],[Home]],Table4[[#This Row],[Visitor]])</f>
        <v>Tampa Bay Lightning</v>
      </c>
      <c r="L9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0.67294254162395817</v>
      </c>
      <c r="M999" t="str">
        <f>IF(OR((NHL2025_26Results[[#This Row],[Winning Team]]="")),"-",IF(Table4[[#This Row],[Predicted Winner]]=NHL2025_26Results[[#This Row],[Winning Team]],"YES","NO"))</f>
        <v>-</v>
      </c>
      <c r="N999" t="str">
        <f>IF(Table4[[#This Row],[Adjusted Correct]]="-", "",IF(Table4[[#This Row],[Adjusted Correct]]="YES",(Table4[[#This Row],[Strength of Win]]-1)^2,(Table4[[#This Row],[Strength of Win]]-0)^2))</f>
        <v/>
      </c>
      <c r="P999" s="11"/>
    </row>
    <row r="1000" spans="4:16" x14ac:dyDescent="0.2">
      <c r="D1000" s="1">
        <v>46088</v>
      </c>
      <c r="E1000" s="2">
        <v>0.79166666666666663</v>
      </c>
      <c r="F1000" t="s">
        <v>40</v>
      </c>
      <c r="G1000">
        <f>VLOOKUP(Table4[[#This Row],[Home]],'NHL Model'!$A$6:$B$38,2,FALSE)</f>
        <v>-0.58845147248022256</v>
      </c>
      <c r="H1000" t="s">
        <v>38</v>
      </c>
      <c r="I1000">
        <f>VLOOKUP(Table4[[#This Row],[Visitor]],'NHL Model'!$A$6:$B$38,2,FALSE)</f>
        <v>-1.3920033028857945</v>
      </c>
      <c r="J1000">
        <f>($B$1+Table4[[#This Row],[Home Differential]])-Table4[[#This Row],[Away Differential]]</f>
        <v>0.93315881621709607</v>
      </c>
      <c r="K1000" t="str">
        <f>IF(Table4[[#This Row],[HomeIce Differential]]&gt;0,Table4[[#This Row],[Home]],Table4[[#This Row],[Visitor]])</f>
        <v>Winnipeg Jets</v>
      </c>
      <c r="L10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0.64478801124477736</v>
      </c>
      <c r="M1000" t="str">
        <f>IF(OR((NHL2025_26Results[[#This Row],[Winning Team]]="")),"-",IF(Table4[[#This Row],[Predicted Winner]]=NHL2025_26Results[[#This Row],[Winning Team]],"YES","NO"))</f>
        <v>-</v>
      </c>
      <c r="N1000" t="str">
        <f>IF(Table4[[#This Row],[Adjusted Correct]]="-", "",IF(Table4[[#This Row],[Adjusted Correct]]="YES",(Table4[[#This Row],[Strength of Win]]-1)^2,(Table4[[#This Row],[Strength of Win]]-0)^2))</f>
        <v/>
      </c>
      <c r="P1000" s="11"/>
    </row>
    <row r="1001" spans="4:16" x14ac:dyDescent="0.2">
      <c r="D1001" s="1">
        <v>46089</v>
      </c>
      <c r="E1001" s="2">
        <v>0.875</v>
      </c>
      <c r="F1001" t="s">
        <v>31</v>
      </c>
      <c r="G1001">
        <f>VLOOKUP(Table4[[#This Row],[Home]],'NHL Model'!$A$6:$B$38,2,FALSE)</f>
        <v>-0.46360583111358089</v>
      </c>
      <c r="H1001" t="s">
        <v>35</v>
      </c>
      <c r="I1001">
        <f>VLOOKUP(Table4[[#This Row],[Visitor]],'NHL Model'!$A$6:$B$38,2,FALSE)</f>
        <v>-1.3128572733047907</v>
      </c>
      <c r="J1001">
        <f>($B$1+Table4[[#This Row],[Home Differential]])-Table4[[#This Row],[Away Differential]]</f>
        <v>0.97885842800273393</v>
      </c>
      <c r="K1001" t="str">
        <f>IF(Table4[[#This Row],[HomeIce Differential]]&gt;0,Table4[[#This Row],[Home]],Table4[[#This Row],[Visitor]])</f>
        <v>Anaheim Ducks</v>
      </c>
      <c r="L10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0.70163577366705088</v>
      </c>
      <c r="M1001" t="str">
        <f>IF(OR((NHL2025_26Results[[#This Row],[Winning Team]]="")),"-",IF(Table4[[#This Row],[Predicted Winner]]=NHL2025_26Results[[#This Row],[Winning Team]],"YES","NO"))</f>
        <v>-</v>
      </c>
      <c r="N1001" t="str">
        <f>IF(Table4[[#This Row],[Adjusted Correct]]="-", "",IF(Table4[[#This Row],[Adjusted Correct]]="YES",(Table4[[#This Row],[Strength of Win]]-1)^2,(Table4[[#This Row],[Strength of Win]]-0)^2))</f>
        <v/>
      </c>
      <c r="P1001" s="11"/>
    </row>
    <row r="1002" spans="4:16" x14ac:dyDescent="0.2">
      <c r="D1002" s="1">
        <v>46089</v>
      </c>
      <c r="E1002" s="2">
        <v>0.75</v>
      </c>
      <c r="F1002" t="s">
        <v>23</v>
      </c>
      <c r="G1002">
        <f>VLOOKUP(Table4[[#This Row],[Home]],'NHL Model'!$A$6:$B$38,2,FALSE)</f>
        <v>8.1543966060426461E-3</v>
      </c>
      <c r="H1002" t="s">
        <v>37</v>
      </c>
      <c r="I1002">
        <f>VLOOKUP(Table4[[#This Row],[Visitor]],'NHL Model'!$A$6:$B$38,2,FALSE)</f>
        <v>0.72108184732572844</v>
      </c>
      <c r="J1002">
        <f>($B$1+Table4[[#This Row],[Home Differential]])-Table4[[#This Row],[Away Differential]]</f>
        <v>-0.5833204649081617</v>
      </c>
      <c r="K1002" t="str">
        <f>IF(Table4[[#This Row],[HomeIce Differential]]&gt;0,Table4[[#This Row],[Home]],Table4[[#This Row],[Visitor]])</f>
        <v>Tampa Bay Lightning</v>
      </c>
      <c r="L10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0.59328108801161139</v>
      </c>
      <c r="M1002" t="str">
        <f>IF(OR((NHL2025_26Results[[#This Row],[Winning Team]]="")),"-",IF(Table4[[#This Row],[Predicted Winner]]=NHL2025_26Results[[#This Row],[Winning Team]],"YES","NO"))</f>
        <v>-</v>
      </c>
      <c r="N1002" t="str">
        <f>IF(Table4[[#This Row],[Adjusted Correct]]="-", "",IF(Table4[[#This Row],[Adjusted Correct]]="YES",(Table4[[#This Row],[Strength of Win]]-1)^2,(Table4[[#This Row],[Strength of Win]]-0)^2))</f>
        <v/>
      </c>
      <c r="P1002" s="11"/>
    </row>
    <row r="1003" spans="4:16" x14ac:dyDescent="0.2">
      <c r="D1003" s="1">
        <v>46089</v>
      </c>
      <c r="E1003" s="2">
        <v>0.58333333333333337</v>
      </c>
      <c r="F1003" t="s">
        <v>12</v>
      </c>
      <c r="G1003">
        <f>VLOOKUP(Table4[[#This Row],[Home]],'NHL Model'!$A$6:$B$38,2,FALSE)</f>
        <v>0.99866683349964291</v>
      </c>
      <c r="H1003" t="s">
        <v>34</v>
      </c>
      <c r="I1003">
        <f>VLOOKUP(Table4[[#This Row],[Visitor]],'NHL Model'!$A$6:$B$38,2,FALSE)</f>
        <v>6.0485283743665949E-2</v>
      </c>
      <c r="J1003">
        <f>($B$1+Table4[[#This Row],[Home Differential]])-Table4[[#This Row],[Away Differential]]</f>
        <v>1.067788535567501</v>
      </c>
      <c r="K1003" t="str">
        <f>IF(Table4[[#This Row],[HomeIce Differential]]&gt;0,Table4[[#This Row],[Home]],Table4[[#This Row],[Visitor]])</f>
        <v>Colorado Avalanche</v>
      </c>
      <c r="L10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0.67253768188243457</v>
      </c>
      <c r="M1003" t="str">
        <f>IF(OR((NHL2025_26Results[[#This Row],[Winning Team]]="")),"-",IF(Table4[[#This Row],[Predicted Winner]]=NHL2025_26Results[[#This Row],[Winning Team]],"YES","NO"))</f>
        <v>-</v>
      </c>
      <c r="N1003" t="str">
        <f>IF(Table4[[#This Row],[Adjusted Correct]]="-", "",IF(Table4[[#This Row],[Adjusted Correct]]="YES",(Table4[[#This Row],[Strength of Win]]-1)^2,(Table4[[#This Row],[Strength of Win]]-0)^2))</f>
        <v/>
      </c>
      <c r="P1003" s="11"/>
    </row>
    <row r="1004" spans="4:16" x14ac:dyDescent="0.2">
      <c r="D1004" s="1">
        <v>46089</v>
      </c>
      <c r="E1004" s="2">
        <v>0.75</v>
      </c>
      <c r="F1004" t="s">
        <v>39</v>
      </c>
      <c r="G1004">
        <f>VLOOKUP(Table4[[#This Row],[Home]],'NHL Model'!$A$6:$B$38,2,FALSE)</f>
        <v>0.21708030788125537</v>
      </c>
      <c r="H1004" t="s">
        <v>10</v>
      </c>
      <c r="I1004">
        <f>VLOOKUP(Table4[[#This Row],[Visitor]],'NHL Model'!$A$6:$B$38,2,FALSE)</f>
        <v>-0.92658078135875344</v>
      </c>
      <c r="J1004">
        <f>($B$1+Table4[[#This Row],[Home Differential]])-Table4[[#This Row],[Away Differential]]</f>
        <v>1.2732680750515328</v>
      </c>
      <c r="K1004" t="str">
        <f>IF(Table4[[#This Row],[HomeIce Differential]]&gt;0,Table4[[#This Row],[Home]],Table4[[#This Row],[Visitor]])</f>
        <v>Dallas Stars</v>
      </c>
      <c r="L10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0.72081840014972942</v>
      </c>
      <c r="M1004" t="str">
        <f>IF(OR((NHL2025_26Results[[#This Row],[Winning Team]]="")),"-",IF(Table4[[#This Row],[Predicted Winner]]=NHL2025_26Results[[#This Row],[Winning Team]],"YES","NO"))</f>
        <v>-</v>
      </c>
      <c r="N1004" t="str">
        <f>IF(Table4[[#This Row],[Adjusted Correct]]="-", "",IF(Table4[[#This Row],[Adjusted Correct]]="YES",(Table4[[#This Row],[Strength of Win]]-1)^2,(Table4[[#This Row],[Strength of Win]]-0)^2))</f>
        <v/>
      </c>
      <c r="P1004" s="11"/>
    </row>
    <row r="1005" spans="4:16" x14ac:dyDescent="0.2">
      <c r="D1005" s="1">
        <v>46089</v>
      </c>
      <c r="E1005" s="2">
        <v>0.79166666666666663</v>
      </c>
      <c r="F1005" t="s">
        <v>24</v>
      </c>
      <c r="G1005">
        <f>VLOOKUP(Table4[[#This Row],[Home]],'NHL Model'!$A$6:$B$38,2,FALSE)</f>
        <v>-0.74510803532792402</v>
      </c>
      <c r="H1005" t="s">
        <v>26</v>
      </c>
      <c r="I1005">
        <f>VLOOKUP(Table4[[#This Row],[Visitor]],'NHL Model'!$A$6:$B$38,2,FALSE)</f>
        <v>-0.33113778518110382</v>
      </c>
      <c r="J1005">
        <f>($B$1+Table4[[#This Row],[Home Differential]])-Table4[[#This Row],[Away Differential]]</f>
        <v>-0.28436326433529613</v>
      </c>
      <c r="K1005" t="str">
        <f>IF(Table4[[#This Row],[HomeIce Differential]]&gt;0,Table4[[#This Row],[Home]],Table4[[#This Row],[Visitor]])</f>
        <v>Detroit Red Wings</v>
      </c>
      <c r="L10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0.52994021848286388</v>
      </c>
      <c r="M1005" t="str">
        <f>IF(OR((NHL2025_26Results[[#This Row],[Winning Team]]="")),"-",IF(Table4[[#This Row],[Predicted Winner]]=NHL2025_26Results[[#This Row],[Winning Team]],"YES","NO"))</f>
        <v>-</v>
      </c>
      <c r="N1005" t="str">
        <f>IF(Table4[[#This Row],[Adjusted Correct]]="-", "",IF(Table4[[#This Row],[Adjusted Correct]]="YES",(Table4[[#This Row],[Strength of Win]]-1)^2,(Table4[[#This Row],[Strength of Win]]-0)^2))</f>
        <v/>
      </c>
      <c r="P1005" s="11"/>
    </row>
    <row r="1006" spans="4:16" x14ac:dyDescent="0.2">
      <c r="D1006" s="1">
        <v>46089</v>
      </c>
      <c r="E1006" s="2">
        <v>0.6875</v>
      </c>
      <c r="F1006" t="s">
        <v>14</v>
      </c>
      <c r="G1006">
        <f>VLOOKUP(Table4[[#This Row],[Home]],'NHL Model'!$A$6:$B$38,2,FALSE)</f>
        <v>3.6349513460996066E-5</v>
      </c>
      <c r="H1006" t="s">
        <v>21</v>
      </c>
      <c r="I1006">
        <f>VLOOKUP(Table4[[#This Row],[Visitor]],'NHL Model'!$A$6:$B$38,2,FALSE)</f>
        <v>-0.10253061303059285</v>
      </c>
      <c r="J1006">
        <f>($B$1+Table4[[#This Row],[Home Differential]])-Table4[[#This Row],[Away Differential]]</f>
        <v>0.23217394835557795</v>
      </c>
      <c r="K1006" t="str">
        <f>IF(Table4[[#This Row],[HomeIce Differential]]&gt;0,Table4[[#This Row],[Home]],Table4[[#This Row],[Visitor]])</f>
        <v>Pittsburgh Penguins</v>
      </c>
      <c r="L10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0.56607171029006131</v>
      </c>
      <c r="M1006" t="str">
        <f>IF(OR((NHL2025_26Results[[#This Row],[Winning Team]]="")),"-",IF(Table4[[#This Row],[Predicted Winner]]=NHL2025_26Results[[#This Row],[Winning Team]],"YES","NO"))</f>
        <v>-</v>
      </c>
      <c r="N1006" t="str">
        <f>IF(Table4[[#This Row],[Adjusted Correct]]="-", "",IF(Table4[[#This Row],[Adjusted Correct]]="YES",(Table4[[#This Row],[Strength of Win]]-1)^2,(Table4[[#This Row],[Strength of Win]]-0)^2))</f>
        <v/>
      </c>
      <c r="P1006" s="11"/>
    </row>
    <row r="1007" spans="4:16" x14ac:dyDescent="0.2">
      <c r="D1007" s="1">
        <v>46089</v>
      </c>
      <c r="E1007" s="2">
        <v>0.89583333333333337</v>
      </c>
      <c r="F1007" t="s">
        <v>20</v>
      </c>
      <c r="G1007">
        <f>VLOOKUP(Table4[[#This Row],[Home]],'NHL Model'!$A$6:$B$38,2,FALSE)</f>
        <v>-0.16296463421387539</v>
      </c>
      <c r="H1007" t="s">
        <v>17</v>
      </c>
      <c r="I1007">
        <f>VLOOKUP(Table4[[#This Row],[Visitor]],'NHL Model'!$A$6:$B$38,2,FALSE)</f>
        <v>-0.36462594951491906</v>
      </c>
      <c r="J1007">
        <f>($B$1+Table4[[#This Row],[Home Differential]])-Table4[[#This Row],[Away Differential]]</f>
        <v>0.33126830111256778</v>
      </c>
      <c r="K1007" t="str">
        <f>IF(Table4[[#This Row],[HomeIce Differential]]&gt;0,Table4[[#This Row],[Home]],Table4[[#This Row],[Visitor]])</f>
        <v>Vegas Golden Knights</v>
      </c>
      <c r="L10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0.57719939827900235</v>
      </c>
      <c r="M1007" t="str">
        <f>IF(OR((NHL2025_26Results[[#This Row],[Winning Team]]="")),"-",IF(Table4[[#This Row],[Predicted Winner]]=NHL2025_26Results[[#This Row],[Winning Team]],"YES","NO"))</f>
        <v>-</v>
      </c>
      <c r="N1007" t="str">
        <f>IF(Table4[[#This Row],[Adjusted Correct]]="-", "",IF(Table4[[#This Row],[Adjusted Correct]]="YES",(Table4[[#This Row],[Strength of Win]]-1)^2,(Table4[[#This Row],[Strength of Win]]-0)^2))</f>
        <v/>
      </c>
      <c r="P1007" s="11"/>
    </row>
    <row r="1008" spans="4:16" x14ac:dyDescent="0.2">
      <c r="D1008" s="1">
        <v>46090</v>
      </c>
      <c r="E1008" s="2">
        <v>0.54166666666666663</v>
      </c>
      <c r="F1008" t="s">
        <v>28</v>
      </c>
      <c r="G1008">
        <f>VLOOKUP(Table4[[#This Row],[Home]],'NHL Model'!$A$6:$B$38,2,FALSE)</f>
        <v>-0.28156479873410767</v>
      </c>
      <c r="H1008" t="s">
        <v>13</v>
      </c>
      <c r="I1008">
        <f>VLOOKUP(Table4[[#This Row],[Visitor]],'NHL Model'!$A$6:$B$38,2,FALSE)</f>
        <v>-0.59069689888466137</v>
      </c>
      <c r="J1008">
        <f>($B$1+Table4[[#This Row],[Home Differential]])-Table4[[#This Row],[Away Differential]]</f>
        <v>0.43873908596207778</v>
      </c>
      <c r="K1008" t="str">
        <f>IF(Table4[[#This Row],[HomeIce Differential]]&gt;0,Table4[[#This Row],[Home]],Table4[[#This Row],[Visitor]])</f>
        <v>Columbus Blue Jackets</v>
      </c>
      <c r="L10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0.57558349768619677</v>
      </c>
      <c r="M1008" t="str">
        <f>IF(OR((NHL2025_26Results[[#This Row],[Winning Team]]="")),"-",IF(Table4[[#This Row],[Predicted Winner]]=NHL2025_26Results[[#This Row],[Winning Team]],"YES","NO"))</f>
        <v>-</v>
      </c>
      <c r="N1008" t="str">
        <f>IF(Table4[[#This Row],[Adjusted Correct]]="-", "",IF(Table4[[#This Row],[Adjusted Correct]]="YES",(Table4[[#This Row],[Strength of Win]]-1)^2,(Table4[[#This Row],[Strength of Win]]-0)^2))</f>
        <v/>
      </c>
      <c r="P1008" s="11"/>
    </row>
    <row r="1009" spans="4:16" x14ac:dyDescent="0.2">
      <c r="D1009" s="1">
        <v>46090</v>
      </c>
      <c r="E1009" s="2">
        <v>0.85416666666666663</v>
      </c>
      <c r="F1009" t="s">
        <v>10</v>
      </c>
      <c r="G1009">
        <f>VLOOKUP(Table4[[#This Row],[Home]],'NHL Model'!$A$6:$B$38,2,FALSE)</f>
        <v>-0.92658078135875344</v>
      </c>
      <c r="H1009" t="s">
        <v>55</v>
      </c>
      <c r="I1009">
        <f>VLOOKUP(Table4[[#This Row],[Visitor]],'NHL Model'!$A$6:$B$38,2,FALSE)</f>
        <v>8.4094725828611647E-2</v>
      </c>
      <c r="J1009">
        <f>($B$1+Table4[[#This Row],[Home Differential]])-Table4[[#This Row],[Away Differential]]</f>
        <v>-0.88106852137584102</v>
      </c>
      <c r="K1009" t="str">
        <f>IF(Table4[[#This Row],[HomeIce Differential]]&gt;0,Table4[[#This Row],[Home]],Table4[[#This Row],[Visitor]])</f>
        <v>Utah Mammoth</v>
      </c>
      <c r="L10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0.55893859064593765</v>
      </c>
      <c r="M1009" t="str">
        <f>IF(OR((NHL2025_26Results[[#This Row],[Winning Team]]="")),"-",IF(Table4[[#This Row],[Predicted Winner]]=NHL2025_26Results[[#This Row],[Winning Team]],"YES","NO"))</f>
        <v>-</v>
      </c>
      <c r="N1009" t="str">
        <f>IF(Table4[[#This Row],[Adjusted Correct]]="-", "",IF(Table4[[#This Row],[Adjusted Correct]]="YES",(Table4[[#This Row],[Strength of Win]]-1)^2,(Table4[[#This Row],[Strength of Win]]-0)^2))</f>
        <v/>
      </c>
      <c r="P1009" s="11"/>
    </row>
    <row r="1010" spans="4:16" x14ac:dyDescent="0.2">
      <c r="D1010" s="1">
        <v>46090</v>
      </c>
      <c r="E1010" s="2">
        <v>0.79166666666666663</v>
      </c>
      <c r="F1010" t="s">
        <v>27</v>
      </c>
      <c r="G1010">
        <f>VLOOKUP(Table4[[#This Row],[Home]],'NHL Model'!$A$6:$B$38,2,FALSE)</f>
        <v>-0.55097933929175691</v>
      </c>
      <c r="H1010" t="s">
        <v>15</v>
      </c>
      <c r="I1010">
        <f>VLOOKUP(Table4[[#This Row],[Visitor]],'NHL Model'!$A$6:$B$38,2,FALSE)</f>
        <v>-0.73651915476403329</v>
      </c>
      <c r="J1010">
        <f>($B$1+Table4[[#This Row],[Home Differential]])-Table4[[#This Row],[Away Differential]]</f>
        <v>0.31514680128380046</v>
      </c>
      <c r="K1010" t="str">
        <f>IF(Table4[[#This Row],[HomeIce Differential]]&gt;0,Table4[[#This Row],[Home]],Table4[[#This Row],[Visitor]])</f>
        <v>Philadelphia Flyers</v>
      </c>
      <c r="L10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0.53947306673673956</v>
      </c>
      <c r="M1010" t="str">
        <f>IF(OR((NHL2025_26Results[[#This Row],[Winning Team]]="")),"-",IF(Table4[[#This Row],[Predicted Winner]]=NHL2025_26Results[[#This Row],[Winning Team]],"YES","NO"))</f>
        <v>-</v>
      </c>
      <c r="N1010" t="str">
        <f>IF(Table4[[#This Row],[Adjusted Correct]]="-", "",IF(Table4[[#This Row],[Adjusted Correct]]="YES",(Table4[[#This Row],[Strength of Win]]-1)^2,(Table4[[#This Row],[Strength of Win]]-0)^2))</f>
        <v/>
      </c>
      <c r="P1010" s="11"/>
    </row>
    <row r="1011" spans="4:16" x14ac:dyDescent="0.2">
      <c r="D1011" s="1">
        <v>46090</v>
      </c>
      <c r="E1011" s="2">
        <v>0.875</v>
      </c>
      <c r="F1011" t="s">
        <v>38</v>
      </c>
      <c r="G1011">
        <f>VLOOKUP(Table4[[#This Row],[Home]],'NHL Model'!$A$6:$B$38,2,FALSE)</f>
        <v>-1.3920033028857945</v>
      </c>
      <c r="H1011" t="s">
        <v>36</v>
      </c>
      <c r="I1011">
        <f>VLOOKUP(Table4[[#This Row],[Visitor]],'NHL Model'!$A$6:$B$38,2,FALSE)</f>
        <v>-0.19010748264223354</v>
      </c>
      <c r="J1011">
        <f>($B$1+Table4[[#This Row],[Home Differential]])-Table4[[#This Row],[Away Differential]]</f>
        <v>-1.0722888344320369</v>
      </c>
      <c r="K1011" t="str">
        <f>IF(Table4[[#This Row],[HomeIce Differential]]&gt;0,Table4[[#This Row],[Home]],Table4[[#This Row],[Visitor]])</f>
        <v>Ottawa Senators</v>
      </c>
      <c r="L10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0.59242764230559009</v>
      </c>
      <c r="M1011" t="str">
        <f>IF(OR((NHL2025_26Results[[#This Row],[Winning Team]]="")),"-",IF(Table4[[#This Row],[Predicted Winner]]=NHL2025_26Results[[#This Row],[Winning Team]],"YES","NO"))</f>
        <v>-</v>
      </c>
      <c r="N1011" t="str">
        <f>IF(Table4[[#This Row],[Adjusted Correct]]="-", "",IF(Table4[[#This Row],[Adjusted Correct]]="YES",(Table4[[#This Row],[Strength of Win]]-1)^2,(Table4[[#This Row],[Strength of Win]]-0)^2))</f>
        <v/>
      </c>
      <c r="P1011" s="11"/>
    </row>
    <row r="1012" spans="4:16" x14ac:dyDescent="0.2">
      <c r="D1012" s="1">
        <v>46090</v>
      </c>
      <c r="E1012" s="2">
        <v>0.79166666666666663</v>
      </c>
      <c r="F1012" t="s">
        <v>22</v>
      </c>
      <c r="G1012">
        <f>VLOOKUP(Table4[[#This Row],[Home]],'NHL Model'!$A$6:$B$38,2,FALSE)</f>
        <v>-0.11977593183651415</v>
      </c>
      <c r="H1012" t="s">
        <v>16</v>
      </c>
      <c r="I1012">
        <f>VLOOKUP(Table4[[#This Row],[Visitor]],'NHL Model'!$A$6:$B$38,2,FALSE)</f>
        <v>-0.89031221864884547</v>
      </c>
      <c r="J1012">
        <f>($B$1+Table4[[#This Row],[Home Differential]])-Table4[[#This Row],[Away Differential]]</f>
        <v>0.90014327262385541</v>
      </c>
      <c r="K1012" t="str">
        <f>IF(Table4[[#This Row],[HomeIce Differential]]&gt;0,Table4[[#This Row],[Home]],Table4[[#This Row],[Visitor]])</f>
        <v>Washington Capitals</v>
      </c>
      <c r="L10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0.65904709021891972</v>
      </c>
      <c r="M1012" t="str">
        <f>IF(OR((NHL2025_26Results[[#This Row],[Winning Team]]="")),"-",IF(Table4[[#This Row],[Predicted Winner]]=NHL2025_26Results[[#This Row],[Winning Team]],"YES","NO"))</f>
        <v>-</v>
      </c>
      <c r="N1012" t="str">
        <f>IF(Table4[[#This Row],[Adjusted Correct]]="-", "",IF(Table4[[#This Row],[Adjusted Correct]]="YES",(Table4[[#This Row],[Strength of Win]]-1)^2,(Table4[[#This Row],[Strength of Win]]-0)^2))</f>
        <v/>
      </c>
      <c r="P1012" s="11"/>
    </row>
    <row r="1013" spans="4:16" x14ac:dyDescent="0.2">
      <c r="D1013" s="1">
        <v>46091</v>
      </c>
      <c r="E1013" s="2">
        <v>0.79166666666666663</v>
      </c>
      <c r="F1013" t="s">
        <v>21</v>
      </c>
      <c r="G1013">
        <f>VLOOKUP(Table4[[#This Row],[Home]],'NHL Model'!$A$6:$B$38,2,FALSE)</f>
        <v>-0.10253061303059285</v>
      </c>
      <c r="H1013" t="s">
        <v>13</v>
      </c>
      <c r="I1013">
        <f>VLOOKUP(Table4[[#This Row],[Visitor]],'NHL Model'!$A$6:$B$38,2,FALSE)</f>
        <v>-0.59069689888466137</v>
      </c>
      <c r="J1013">
        <f>($B$1+Table4[[#This Row],[Home Differential]])-Table4[[#This Row],[Away Differential]]</f>
        <v>0.61777327166559259</v>
      </c>
      <c r="K1013" t="str">
        <f>IF(Table4[[#This Row],[HomeIce Differential]]&gt;0,Table4[[#This Row],[Home]],Table4[[#This Row],[Visitor]])</f>
        <v>Boston Bruins</v>
      </c>
      <c r="L10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0.64080072053438519</v>
      </c>
      <c r="M1013" t="str">
        <f>IF(OR((NHL2025_26Results[[#This Row],[Winning Team]]="")),"-",IF(Table4[[#This Row],[Predicted Winner]]=NHL2025_26Results[[#This Row],[Winning Team]],"YES","NO"))</f>
        <v>-</v>
      </c>
      <c r="N1013" t="str">
        <f>IF(Table4[[#This Row],[Adjusted Correct]]="-", "",IF(Table4[[#This Row],[Adjusted Correct]]="YES",(Table4[[#This Row],[Strength of Win]]-1)^2,(Table4[[#This Row],[Strength of Win]]-0)^2))</f>
        <v/>
      </c>
      <c r="P1013" s="11"/>
    </row>
    <row r="1014" spans="4:16" x14ac:dyDescent="0.2">
      <c r="D1014" s="1">
        <v>46091</v>
      </c>
      <c r="E1014" s="2">
        <v>0.79166666666666663</v>
      </c>
      <c r="F1014" t="s">
        <v>23</v>
      </c>
      <c r="G1014">
        <f>VLOOKUP(Table4[[#This Row],[Home]],'NHL Model'!$A$6:$B$38,2,FALSE)</f>
        <v>8.1543966060426461E-3</v>
      </c>
      <c r="H1014" t="s">
        <v>33</v>
      </c>
      <c r="I1014">
        <f>VLOOKUP(Table4[[#This Row],[Visitor]],'NHL Model'!$A$6:$B$38,2,FALSE)</f>
        <v>-0.65236582493376272</v>
      </c>
      <c r="J1014">
        <f>($B$1+Table4[[#This Row],[Home Differential]])-Table4[[#This Row],[Away Differential]]</f>
        <v>0.79012720735132946</v>
      </c>
      <c r="K1014" t="str">
        <f>IF(Table4[[#This Row],[HomeIce Differential]]&gt;0,Table4[[#This Row],[Home]],Table4[[#This Row],[Visitor]])</f>
        <v>Buffalo Sabres</v>
      </c>
      <c r="L10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0.657668875309801</v>
      </c>
      <c r="M1014" t="str">
        <f>IF(OR((NHL2025_26Results[[#This Row],[Winning Team]]="")),"-",IF(Table4[[#This Row],[Predicted Winner]]=NHL2025_26Results[[#This Row],[Winning Team]],"YES","NO"))</f>
        <v>-</v>
      </c>
      <c r="N1014" t="str">
        <f>IF(Table4[[#This Row],[Adjusted Correct]]="-", "",IF(Table4[[#This Row],[Adjusted Correct]]="YES",(Table4[[#This Row],[Strength of Win]]-1)^2,(Table4[[#This Row],[Strength of Win]]-0)^2))</f>
        <v/>
      </c>
      <c r="P1014" s="11"/>
    </row>
    <row r="1015" spans="4:16" x14ac:dyDescent="0.2">
      <c r="D1015" s="1">
        <v>46091</v>
      </c>
      <c r="E1015" s="2">
        <v>0.79166666666666663</v>
      </c>
      <c r="F1015" t="s">
        <v>25</v>
      </c>
      <c r="G1015">
        <f>VLOOKUP(Table4[[#This Row],[Home]],'NHL Model'!$A$6:$B$38,2,FALSE)</f>
        <v>0.2324942014830165</v>
      </c>
      <c r="H1015" t="s">
        <v>14</v>
      </c>
      <c r="I1015">
        <f>VLOOKUP(Table4[[#This Row],[Visitor]],'NHL Model'!$A$6:$B$38,2,FALSE)</f>
        <v>3.6349513460996066E-5</v>
      </c>
      <c r="J1015">
        <f>($B$1+Table4[[#This Row],[Home Differential]])-Table4[[#This Row],[Away Differential]]</f>
        <v>0.36206483778107962</v>
      </c>
      <c r="K1015" t="str">
        <f>IF(Table4[[#This Row],[HomeIce Differential]]&gt;0,Table4[[#This Row],[Home]],Table4[[#This Row],[Visitor]])</f>
        <v>Carolina Hurricanes</v>
      </c>
      <c r="L10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0.58309308480109678</v>
      </c>
      <c r="M1015" t="str">
        <f>IF(OR((NHL2025_26Results[[#This Row],[Winning Team]]="")),"-",IF(Table4[[#This Row],[Predicted Winner]]=NHL2025_26Results[[#This Row],[Winning Team]],"YES","NO"))</f>
        <v>-</v>
      </c>
      <c r="N1015" t="str">
        <f>IF(Table4[[#This Row],[Adjusted Correct]]="-", "",IF(Table4[[#This Row],[Adjusted Correct]]="YES",(Table4[[#This Row],[Strength of Win]]-1)^2,(Table4[[#This Row],[Strength of Win]]-0)^2))</f>
        <v/>
      </c>
      <c r="P1015" s="11"/>
    </row>
    <row r="1016" spans="4:16" x14ac:dyDescent="0.2">
      <c r="D1016" s="1">
        <v>46091</v>
      </c>
      <c r="E1016" s="2">
        <v>0.91666666666666663</v>
      </c>
      <c r="F1016" t="s">
        <v>12</v>
      </c>
      <c r="G1016">
        <f>VLOOKUP(Table4[[#This Row],[Home]],'NHL Model'!$A$6:$B$38,2,FALSE)</f>
        <v>0.99866683349964291</v>
      </c>
      <c r="H1016" t="s">
        <v>17</v>
      </c>
      <c r="I1016">
        <f>VLOOKUP(Table4[[#This Row],[Visitor]],'NHL Model'!$A$6:$B$38,2,FALSE)</f>
        <v>-0.36462594951491906</v>
      </c>
      <c r="J1016">
        <f>($B$1+Table4[[#This Row],[Home Differential]])-Table4[[#This Row],[Away Differential]]</f>
        <v>1.4928997688260861</v>
      </c>
      <c r="K1016" t="str">
        <f>IF(Table4[[#This Row],[HomeIce Differential]]&gt;0,Table4[[#This Row],[Home]],Table4[[#This Row],[Visitor]])</f>
        <v>Colorado Avalanche</v>
      </c>
      <c r="L10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0.78747819762340132</v>
      </c>
      <c r="M1016" t="str">
        <f>IF(OR((NHL2025_26Results[[#This Row],[Winning Team]]="")),"-",IF(Table4[[#This Row],[Predicted Winner]]=NHL2025_26Results[[#This Row],[Winning Team]],"YES","NO"))</f>
        <v>-</v>
      </c>
      <c r="N1016" t="str">
        <f>IF(Table4[[#This Row],[Adjusted Correct]]="-", "",IF(Table4[[#This Row],[Adjusted Correct]]="YES",(Table4[[#This Row],[Strength of Win]]-1)^2,(Table4[[#This Row],[Strength of Win]]-0)^2))</f>
        <v/>
      </c>
      <c r="P1016" s="11"/>
    </row>
    <row r="1017" spans="4:16" x14ac:dyDescent="0.2">
      <c r="D1017" s="1">
        <v>46091</v>
      </c>
      <c r="E1017" s="2">
        <v>0.83333333333333337</v>
      </c>
      <c r="F1017" t="s">
        <v>39</v>
      </c>
      <c r="G1017">
        <f>VLOOKUP(Table4[[#This Row],[Home]],'NHL Model'!$A$6:$B$38,2,FALSE)</f>
        <v>0.21708030788125537</v>
      </c>
      <c r="H1017" t="s">
        <v>20</v>
      </c>
      <c r="I1017">
        <f>VLOOKUP(Table4[[#This Row],[Visitor]],'NHL Model'!$A$6:$B$38,2,FALSE)</f>
        <v>-0.16296463421387539</v>
      </c>
      <c r="J1017">
        <f>($B$1+Table4[[#This Row],[Home Differential]])-Table4[[#This Row],[Away Differential]]</f>
        <v>0.50965192790665492</v>
      </c>
      <c r="K1017" t="str">
        <f>IF(Table4[[#This Row],[HomeIce Differential]]&gt;0,Table4[[#This Row],[Home]],Table4[[#This Row],[Visitor]])</f>
        <v>Dallas Stars</v>
      </c>
      <c r="L10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0.62324685887593778</v>
      </c>
      <c r="M1017" t="str">
        <f>IF(OR((NHL2025_26Results[[#This Row],[Winning Team]]="")),"-",IF(Table4[[#This Row],[Predicted Winner]]=NHL2025_26Results[[#This Row],[Winning Team]],"YES","NO"))</f>
        <v>-</v>
      </c>
      <c r="N1017" t="str">
        <f>IF(Table4[[#This Row],[Adjusted Correct]]="-", "",IF(Table4[[#This Row],[Adjusted Correct]]="YES",(Table4[[#This Row],[Strength of Win]]-1)^2,(Table4[[#This Row],[Strength of Win]]-0)^2))</f>
        <v/>
      </c>
      <c r="P1017" s="11"/>
    </row>
    <row r="1018" spans="4:16" x14ac:dyDescent="0.2">
      <c r="D1018" s="1">
        <v>46091</v>
      </c>
      <c r="E1018" s="2">
        <v>0.79166666666666663</v>
      </c>
      <c r="F1018" t="s">
        <v>11</v>
      </c>
      <c r="G1018">
        <f>VLOOKUP(Table4[[#This Row],[Home]],'NHL Model'!$A$6:$B$38,2,FALSE)</f>
        <v>-0.55695213126481558</v>
      </c>
      <c r="H1018" t="s">
        <v>26</v>
      </c>
      <c r="I1018">
        <f>VLOOKUP(Table4[[#This Row],[Visitor]],'NHL Model'!$A$6:$B$38,2,FALSE)</f>
        <v>-0.33113778518110382</v>
      </c>
      <c r="J1018">
        <f>($B$1+Table4[[#This Row],[Home Differential]])-Table4[[#This Row],[Away Differential]]</f>
        <v>-9.6207360272187681E-2</v>
      </c>
      <c r="K1018" t="str">
        <f>IF(Table4[[#This Row],[HomeIce Differential]]&gt;0,Table4[[#This Row],[Home]],Table4[[#This Row],[Visitor]])</f>
        <v>Detroit Red Wings</v>
      </c>
      <c r="L10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0.50881146456864346</v>
      </c>
      <c r="M1018" t="str">
        <f>IF(OR((NHL2025_26Results[[#This Row],[Winning Team]]="")),"-",IF(Table4[[#This Row],[Predicted Winner]]=NHL2025_26Results[[#This Row],[Winning Team]],"YES","NO"))</f>
        <v>-</v>
      </c>
      <c r="N1018" t="str">
        <f>IF(Table4[[#This Row],[Adjusted Correct]]="-", "",IF(Table4[[#This Row],[Adjusted Correct]]="YES",(Table4[[#This Row],[Strength of Win]]-1)^2,(Table4[[#This Row],[Strength of Win]]-0)^2))</f>
        <v/>
      </c>
      <c r="P1018" s="11"/>
    </row>
    <row r="1019" spans="4:16" x14ac:dyDescent="0.2">
      <c r="D1019" s="1">
        <v>46091</v>
      </c>
      <c r="E1019" s="2">
        <v>0.83333333333333337</v>
      </c>
      <c r="F1019" t="s">
        <v>34</v>
      </c>
      <c r="G1019">
        <f>VLOOKUP(Table4[[#This Row],[Home]],'NHL Model'!$A$6:$B$38,2,FALSE)</f>
        <v>6.0485283743665949E-2</v>
      </c>
      <c r="H1019" t="s">
        <v>55</v>
      </c>
      <c r="I1019">
        <f>VLOOKUP(Table4[[#This Row],[Visitor]],'NHL Model'!$A$6:$B$38,2,FALSE)</f>
        <v>8.4094725828611647E-2</v>
      </c>
      <c r="J1019">
        <f>($B$1+Table4[[#This Row],[Home Differential]])-Table4[[#This Row],[Away Differential]]</f>
        <v>0.10599754372657839</v>
      </c>
      <c r="K1019" t="str">
        <f>IF(Table4[[#This Row],[HomeIce Differential]]&gt;0,Table4[[#This Row],[Home]],Table4[[#This Row],[Visitor]])</f>
        <v>Minnesota Wild</v>
      </c>
      <c r="L10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0.56385092594003428</v>
      </c>
      <c r="M1019" t="str">
        <f>IF(OR((NHL2025_26Results[[#This Row],[Winning Team]]="")),"-",IF(Table4[[#This Row],[Predicted Winner]]=NHL2025_26Results[[#This Row],[Winning Team]],"YES","NO"))</f>
        <v>-</v>
      </c>
      <c r="N1019" t="str">
        <f>IF(Table4[[#This Row],[Adjusted Correct]]="-", "",IF(Table4[[#This Row],[Adjusted Correct]]="YES",(Table4[[#This Row],[Strength of Win]]-1)^2,(Table4[[#This Row],[Strength of Win]]-0)^2))</f>
        <v/>
      </c>
      <c r="P1019" s="11"/>
    </row>
    <row r="1020" spans="4:16" x14ac:dyDescent="0.2">
      <c r="D1020" s="1">
        <v>46091</v>
      </c>
      <c r="E1020" s="2">
        <v>0.79166666666666663</v>
      </c>
      <c r="F1020" t="s">
        <v>18</v>
      </c>
      <c r="G1020">
        <f>VLOOKUP(Table4[[#This Row],[Home]],'NHL Model'!$A$6:$B$38,2,FALSE)</f>
        <v>-8.6274676766085606E-2</v>
      </c>
      <c r="H1020" t="s">
        <v>19</v>
      </c>
      <c r="I1020">
        <f>VLOOKUP(Table4[[#This Row],[Visitor]],'NHL Model'!$A$6:$B$38,2,FALSE)</f>
        <v>-0.44228056828684137</v>
      </c>
      <c r="J1020">
        <f>($B$1+Table4[[#This Row],[Home Differential]])-Table4[[#This Row],[Away Differential]]</f>
        <v>0.48561287733227987</v>
      </c>
      <c r="K1020" t="str">
        <f>IF(Table4[[#This Row],[HomeIce Differential]]&gt;0,Table4[[#This Row],[Home]],Table4[[#This Row],[Visitor]])</f>
        <v>Montreal Canadiens</v>
      </c>
      <c r="L10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0.60854796796719546</v>
      </c>
      <c r="M1020" t="str">
        <f>IF(OR((NHL2025_26Results[[#This Row],[Winning Team]]="")),"-",IF(Table4[[#This Row],[Predicted Winner]]=NHL2025_26Results[[#This Row],[Winning Team]],"YES","NO"))</f>
        <v>-</v>
      </c>
      <c r="N1020" t="str">
        <f>IF(Table4[[#This Row],[Adjusted Correct]]="-", "",IF(Table4[[#This Row],[Adjusted Correct]]="YES",(Table4[[#This Row],[Strength of Win]]-1)^2,(Table4[[#This Row],[Strength of Win]]-0)^2))</f>
        <v/>
      </c>
      <c r="P1020" s="11"/>
    </row>
    <row r="1021" spans="4:16" x14ac:dyDescent="0.2">
      <c r="D1021" s="1">
        <v>46091</v>
      </c>
      <c r="E1021" s="2">
        <v>0.79166666666666663</v>
      </c>
      <c r="F1021" t="s">
        <v>15</v>
      </c>
      <c r="G1021">
        <f>VLOOKUP(Table4[[#This Row],[Home]],'NHL Model'!$A$6:$B$38,2,FALSE)</f>
        <v>-0.73651915476403329</v>
      </c>
      <c r="H1021" t="s">
        <v>16</v>
      </c>
      <c r="I1021">
        <f>VLOOKUP(Table4[[#This Row],[Visitor]],'NHL Model'!$A$6:$B$38,2,FALSE)</f>
        <v>-0.89031221864884547</v>
      </c>
      <c r="J1021">
        <f>($B$1+Table4[[#This Row],[Home Differential]])-Table4[[#This Row],[Away Differential]]</f>
        <v>0.28340004969633625</v>
      </c>
      <c r="K1021" t="str">
        <f>IF(Table4[[#This Row],[HomeIce Differential]]&gt;0,Table4[[#This Row],[Home]],Table4[[#This Row],[Visitor]])</f>
        <v>New York Rangers</v>
      </c>
      <c r="L10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0.57182408725959177</v>
      </c>
      <c r="M1021" t="str">
        <f>IF(OR((NHL2025_26Results[[#This Row],[Winning Team]]="")),"-",IF(Table4[[#This Row],[Predicted Winner]]=NHL2025_26Results[[#This Row],[Winning Team]],"YES","NO"))</f>
        <v>-</v>
      </c>
      <c r="N1021" t="str">
        <f>IF(Table4[[#This Row],[Adjusted Correct]]="-", "",IF(Table4[[#This Row],[Adjusted Correct]]="YES",(Table4[[#This Row],[Strength of Win]]-1)^2,(Table4[[#This Row],[Strength of Win]]-0)^2))</f>
        <v/>
      </c>
      <c r="P1021" s="11"/>
    </row>
    <row r="1022" spans="4:16" x14ac:dyDescent="0.2">
      <c r="D1022" s="1">
        <v>46091</v>
      </c>
      <c r="E1022" s="2">
        <v>0.91666666666666663</v>
      </c>
      <c r="F1022" t="s">
        <v>32</v>
      </c>
      <c r="G1022">
        <f>VLOOKUP(Table4[[#This Row],[Home]],'NHL Model'!$A$6:$B$38,2,FALSE)</f>
        <v>-0.48236715437805205</v>
      </c>
      <c r="H1022" t="s">
        <v>29</v>
      </c>
      <c r="I1022">
        <f>VLOOKUP(Table4[[#This Row],[Visitor]],'NHL Model'!$A$6:$B$38,2,FALSE)</f>
        <v>-0.82056481120798741</v>
      </c>
      <c r="J1022">
        <f>($B$1+Table4[[#This Row],[Home Differential]])-Table4[[#This Row],[Away Differential]]</f>
        <v>0.46780464264145949</v>
      </c>
      <c r="K1022" t="str">
        <f>IF(Table4[[#This Row],[HomeIce Differential]]&gt;0,Table4[[#This Row],[Home]],Table4[[#This Row],[Visitor]])</f>
        <v>Seattle Kraken</v>
      </c>
      <c r="L10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0.59253159194508209</v>
      </c>
      <c r="M1022" t="str">
        <f>IF(OR((NHL2025_26Results[[#This Row],[Winning Team]]="")),"-",IF(Table4[[#This Row],[Predicted Winner]]=NHL2025_26Results[[#This Row],[Winning Team]],"YES","NO"))</f>
        <v>-</v>
      </c>
      <c r="N1022" t="str">
        <f>IF(Table4[[#This Row],[Adjusted Correct]]="-", "",IF(Table4[[#This Row],[Adjusted Correct]]="YES",(Table4[[#This Row],[Strength of Win]]-1)^2,(Table4[[#This Row],[Strength of Win]]-0)^2))</f>
        <v/>
      </c>
      <c r="P1022" s="11"/>
    </row>
    <row r="1023" spans="4:16" x14ac:dyDescent="0.2">
      <c r="D1023" s="1">
        <v>46091</v>
      </c>
      <c r="E1023" s="2">
        <v>0.8125</v>
      </c>
      <c r="F1023" t="s">
        <v>35</v>
      </c>
      <c r="G1023">
        <f>VLOOKUP(Table4[[#This Row],[Home]],'NHL Model'!$A$6:$B$38,2,FALSE)</f>
        <v>-1.3128572733047907</v>
      </c>
      <c r="H1023" t="s">
        <v>30</v>
      </c>
      <c r="I1023">
        <f>VLOOKUP(Table4[[#This Row],[Visitor]],'NHL Model'!$A$6:$B$38,2,FALSE)</f>
        <v>-0.18630462558229716</v>
      </c>
      <c r="J1023">
        <f>($B$1+Table4[[#This Row],[Home Differential]])-Table4[[#This Row],[Away Differential]]</f>
        <v>-0.99694566191096956</v>
      </c>
      <c r="K1023" t="str">
        <f>IF(Table4[[#This Row],[HomeIce Differential]]&gt;0,Table4[[#This Row],[Home]],Table4[[#This Row],[Visitor]])</f>
        <v>New York Islanders</v>
      </c>
      <c r="L10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0.60884529269786491</v>
      </c>
      <c r="M1023" t="str">
        <f>IF(OR((NHL2025_26Results[[#This Row],[Winning Team]]="")),"-",IF(Table4[[#This Row],[Predicted Winner]]=NHL2025_26Results[[#This Row],[Winning Team]],"YES","NO"))</f>
        <v>-</v>
      </c>
      <c r="N1023" t="str">
        <f>IF(Table4[[#This Row],[Adjusted Correct]]="-", "",IF(Table4[[#This Row],[Adjusted Correct]]="YES",(Table4[[#This Row],[Strength of Win]]-1)^2,(Table4[[#This Row],[Strength of Win]]-0)^2))</f>
        <v/>
      </c>
      <c r="P1023" s="11"/>
    </row>
    <row r="1024" spans="4:16" x14ac:dyDescent="0.2">
      <c r="D1024" s="1">
        <v>46091</v>
      </c>
      <c r="E1024" s="2">
        <v>0.79166666666666663</v>
      </c>
      <c r="F1024" t="s">
        <v>37</v>
      </c>
      <c r="G1024">
        <f>VLOOKUP(Table4[[#This Row],[Home]],'NHL Model'!$A$6:$B$38,2,FALSE)</f>
        <v>0.72108184732572844</v>
      </c>
      <c r="H1024" t="s">
        <v>28</v>
      </c>
      <c r="I1024">
        <f>VLOOKUP(Table4[[#This Row],[Visitor]],'NHL Model'!$A$6:$B$38,2,FALSE)</f>
        <v>-0.28156479873410767</v>
      </c>
      <c r="J1024">
        <f>($B$1+Table4[[#This Row],[Home Differential]])-Table4[[#This Row],[Away Differential]]</f>
        <v>1.1322536318713601</v>
      </c>
      <c r="K1024" t="str">
        <f>IF(Table4[[#This Row],[HomeIce Differential]]&gt;0,Table4[[#This Row],[Home]],Table4[[#This Row],[Visitor]])</f>
        <v>Tampa Bay Lightning</v>
      </c>
      <c r="L10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0.71145054610498226</v>
      </c>
      <c r="M1024" t="str">
        <f>IF(OR((NHL2025_26Results[[#This Row],[Winning Team]]="")),"-",IF(Table4[[#This Row],[Predicted Winner]]=NHL2025_26Results[[#This Row],[Winning Team]],"YES","NO"))</f>
        <v>-</v>
      </c>
      <c r="N1024" t="str">
        <f>IF(Table4[[#This Row],[Adjusted Correct]]="-", "",IF(Table4[[#This Row],[Adjusted Correct]]="YES",(Table4[[#This Row],[Strength of Win]]-1)^2,(Table4[[#This Row],[Strength of Win]]-0)^2))</f>
        <v/>
      </c>
      <c r="P1024" s="11"/>
    </row>
    <row r="1025" spans="4:16" x14ac:dyDescent="0.2">
      <c r="D1025" s="1">
        <v>46091</v>
      </c>
      <c r="E1025" s="2">
        <v>0.85416666666666663</v>
      </c>
      <c r="F1025" t="s">
        <v>40</v>
      </c>
      <c r="G1025">
        <f>VLOOKUP(Table4[[#This Row],[Home]],'NHL Model'!$A$6:$B$38,2,FALSE)</f>
        <v>-0.58845147248022256</v>
      </c>
      <c r="H1025" t="s">
        <v>31</v>
      </c>
      <c r="I1025">
        <f>VLOOKUP(Table4[[#This Row],[Visitor]],'NHL Model'!$A$6:$B$38,2,FALSE)</f>
        <v>-0.46360583111358089</v>
      </c>
      <c r="J1025">
        <f>($B$1+Table4[[#This Row],[Home Differential]])-Table4[[#This Row],[Away Differential]]</f>
        <v>4.7613444448824094E-3</v>
      </c>
      <c r="K1025" t="str">
        <f>IF(Table4[[#This Row],[HomeIce Differential]]&gt;0,Table4[[#This Row],[Home]],Table4[[#This Row],[Visitor]])</f>
        <v>Winnipeg Jets</v>
      </c>
      <c r="L10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0.54053466977599074</v>
      </c>
      <c r="M1025" t="str">
        <f>IF(OR((NHL2025_26Results[[#This Row],[Winning Team]]="")),"-",IF(Table4[[#This Row],[Predicted Winner]]=NHL2025_26Results[[#This Row],[Winning Team]],"YES","NO"))</f>
        <v>-</v>
      </c>
      <c r="N1025" t="str">
        <f>IF(Table4[[#This Row],[Adjusted Correct]]="-", "",IF(Table4[[#This Row],[Adjusted Correct]]="YES",(Table4[[#This Row],[Strength of Win]]-1)^2,(Table4[[#This Row],[Strength of Win]]-0)^2))</f>
        <v/>
      </c>
      <c r="P1025" s="11"/>
    </row>
    <row r="1026" spans="4:16" x14ac:dyDescent="0.2">
      <c r="D1026" s="1">
        <v>46092</v>
      </c>
      <c r="E1026" s="2">
        <v>0.8125</v>
      </c>
      <c r="F1026" t="s">
        <v>36</v>
      </c>
      <c r="G1026">
        <f>VLOOKUP(Table4[[#This Row],[Home]],'NHL Model'!$A$6:$B$38,2,FALSE)</f>
        <v>-0.19010748264223354</v>
      </c>
      <c r="H1026" t="s">
        <v>18</v>
      </c>
      <c r="I1026">
        <f>VLOOKUP(Table4[[#This Row],[Visitor]],'NHL Model'!$A$6:$B$38,2,FALSE)</f>
        <v>-8.6274676766085606E-2</v>
      </c>
      <c r="J1026">
        <f>($B$1+Table4[[#This Row],[Home Differential]])-Table4[[#This Row],[Away Differential]]</f>
        <v>2.5774179935376174E-2</v>
      </c>
      <c r="K1026" t="str">
        <f>IF(Table4[[#This Row],[HomeIce Differential]]&gt;0,Table4[[#This Row],[Home]],Table4[[#This Row],[Visitor]])</f>
        <v>Ottawa Senators</v>
      </c>
      <c r="L10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0.49752473082836546</v>
      </c>
      <c r="M1026" t="str">
        <f>IF(OR((NHL2025_26Results[[#This Row],[Winning Team]]="")),"-",IF(Table4[[#This Row],[Predicted Winner]]=NHL2025_26Results[[#This Row],[Winning Team]],"YES","NO"))</f>
        <v>-</v>
      </c>
      <c r="N1026" t="str">
        <f>IF(Table4[[#This Row],[Adjusted Correct]]="-", "",IF(Table4[[#This Row],[Adjusted Correct]]="YES",(Table4[[#This Row],[Strength of Win]]-1)^2,(Table4[[#This Row],[Strength of Win]]-0)^2))</f>
        <v/>
      </c>
      <c r="P1026" s="11"/>
    </row>
    <row r="1027" spans="4:16" x14ac:dyDescent="0.2">
      <c r="D1027" s="1">
        <v>46092</v>
      </c>
      <c r="E1027" s="2">
        <v>0.8125</v>
      </c>
      <c r="F1027" t="s">
        <v>27</v>
      </c>
      <c r="G1027">
        <f>VLOOKUP(Table4[[#This Row],[Home]],'NHL Model'!$A$6:$B$38,2,FALSE)</f>
        <v>-0.55097933929175691</v>
      </c>
      <c r="H1027" t="s">
        <v>22</v>
      </c>
      <c r="I1027">
        <f>VLOOKUP(Table4[[#This Row],[Visitor]],'NHL Model'!$A$6:$B$38,2,FALSE)</f>
        <v>-0.11977593183651415</v>
      </c>
      <c r="J1027">
        <f>($B$1+Table4[[#This Row],[Home Differential]])-Table4[[#This Row],[Away Differential]]</f>
        <v>-0.30159642164371869</v>
      </c>
      <c r="K1027" t="str">
        <f>IF(Table4[[#This Row],[HomeIce Differential]]&gt;0,Table4[[#This Row],[Home]],Table4[[#This Row],[Visitor]])</f>
        <v>Washington Capitals</v>
      </c>
      <c r="L10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0.4938674282162428</v>
      </c>
      <c r="M1027" t="str">
        <f>IF(OR((NHL2025_26Results[[#This Row],[Winning Team]]="")),"-",IF(Table4[[#This Row],[Predicted Winner]]=NHL2025_26Results[[#This Row],[Winning Team]],"YES","NO"))</f>
        <v>-</v>
      </c>
      <c r="N1027" t="str">
        <f>IF(Table4[[#This Row],[Adjusted Correct]]="-", "",IF(Table4[[#This Row],[Adjusted Correct]]="YES",(Table4[[#This Row],[Strength of Win]]-1)^2,(Table4[[#This Row],[Strength of Win]]-0)^2))</f>
        <v/>
      </c>
      <c r="P1027" s="11"/>
    </row>
    <row r="1028" spans="4:16" x14ac:dyDescent="0.2">
      <c r="D1028" s="1">
        <v>46093</v>
      </c>
      <c r="E1028" s="2">
        <v>0.79166666666666663</v>
      </c>
      <c r="F1028" t="s">
        <v>21</v>
      </c>
      <c r="G1028">
        <f>VLOOKUP(Table4[[#This Row],[Home]],'NHL Model'!$A$6:$B$38,2,FALSE)</f>
        <v>-0.10253061303059285</v>
      </c>
      <c r="H1028" t="s">
        <v>33</v>
      </c>
      <c r="I1028">
        <f>VLOOKUP(Table4[[#This Row],[Visitor]],'NHL Model'!$A$6:$B$38,2,FALSE)</f>
        <v>-0.65236582493376272</v>
      </c>
      <c r="J1028">
        <f>($B$1+Table4[[#This Row],[Home Differential]])-Table4[[#This Row],[Away Differential]]</f>
        <v>0.67944219771469394</v>
      </c>
      <c r="K1028" t="str">
        <f>IF(Table4[[#This Row],[HomeIce Differential]]&gt;0,Table4[[#This Row],[Home]],Table4[[#This Row],[Visitor]])</f>
        <v>Boston Bruins</v>
      </c>
      <c r="L10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0.66801316756717699</v>
      </c>
      <c r="M1028" t="str">
        <f>IF(OR((NHL2025_26Results[[#This Row],[Winning Team]]="")),"-",IF(Table4[[#This Row],[Predicted Winner]]=NHL2025_26Results[[#This Row],[Winning Team]],"YES","NO"))</f>
        <v>-</v>
      </c>
      <c r="N1028" t="str">
        <f>IF(Table4[[#This Row],[Adjusted Correct]]="-", "",IF(Table4[[#This Row],[Adjusted Correct]]="YES",(Table4[[#This Row],[Strength of Win]]-1)^2,(Table4[[#This Row],[Strength of Win]]-0)^2))</f>
        <v/>
      </c>
      <c r="P1028" s="11"/>
    </row>
    <row r="1029" spans="4:16" x14ac:dyDescent="0.2">
      <c r="D1029" s="1">
        <v>46093</v>
      </c>
      <c r="E1029" s="2">
        <v>0.79166666666666663</v>
      </c>
      <c r="F1029" t="s">
        <v>23</v>
      </c>
      <c r="G1029">
        <f>VLOOKUP(Table4[[#This Row],[Home]],'NHL Model'!$A$6:$B$38,2,FALSE)</f>
        <v>8.1543966060426461E-3</v>
      </c>
      <c r="H1029" t="s">
        <v>22</v>
      </c>
      <c r="I1029">
        <f>VLOOKUP(Table4[[#This Row],[Visitor]],'NHL Model'!$A$6:$B$38,2,FALSE)</f>
        <v>-0.11977593183651415</v>
      </c>
      <c r="J1029">
        <f>($B$1+Table4[[#This Row],[Home Differential]])-Table4[[#This Row],[Away Differential]]</f>
        <v>0.25753731425408088</v>
      </c>
      <c r="K1029" t="str">
        <f>IF(Table4[[#This Row],[HomeIce Differential]]&gt;0,Table4[[#This Row],[Home]],Table4[[#This Row],[Visitor]])</f>
        <v>Buffalo Sabres</v>
      </c>
      <c r="L10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0.59786229711877892</v>
      </c>
      <c r="M1029" t="str">
        <f>IF(OR((NHL2025_26Results[[#This Row],[Winning Team]]="")),"-",IF(Table4[[#This Row],[Predicted Winner]]=NHL2025_26Results[[#This Row],[Winning Team]],"YES","NO"))</f>
        <v>-</v>
      </c>
      <c r="N1029" t="str">
        <f>IF(Table4[[#This Row],[Adjusted Correct]]="-", "",IF(Table4[[#This Row],[Adjusted Correct]]="YES",(Table4[[#This Row],[Strength of Win]]-1)^2,(Table4[[#This Row],[Strength of Win]]-0)^2))</f>
        <v/>
      </c>
      <c r="P1029" s="11"/>
    </row>
    <row r="1030" spans="4:16" x14ac:dyDescent="0.2">
      <c r="D1030" s="1">
        <v>46093</v>
      </c>
      <c r="E1030" s="2">
        <v>0.79166666666666663</v>
      </c>
      <c r="F1030" t="s">
        <v>25</v>
      </c>
      <c r="G1030">
        <f>VLOOKUP(Table4[[#This Row],[Home]],'NHL Model'!$A$6:$B$38,2,FALSE)</f>
        <v>0.2324942014830165</v>
      </c>
      <c r="H1030" t="s">
        <v>35</v>
      </c>
      <c r="I1030">
        <f>VLOOKUP(Table4[[#This Row],[Visitor]],'NHL Model'!$A$6:$B$38,2,FALSE)</f>
        <v>-1.3128572733047907</v>
      </c>
      <c r="J1030">
        <f>($B$1+Table4[[#This Row],[Home Differential]])-Table4[[#This Row],[Away Differential]]</f>
        <v>1.6749584605993313</v>
      </c>
      <c r="K1030" t="str">
        <f>IF(Table4[[#This Row],[HomeIce Differential]]&gt;0,Table4[[#This Row],[Home]],Table4[[#This Row],[Visitor]])</f>
        <v>Carolina Hurricanes</v>
      </c>
      <c r="L10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0.78366328445188627</v>
      </c>
      <c r="M1030" t="str">
        <f>IF(OR((NHL2025_26Results[[#This Row],[Winning Team]]="")),"-",IF(Table4[[#This Row],[Predicted Winner]]=NHL2025_26Results[[#This Row],[Winning Team]],"YES","NO"))</f>
        <v>-</v>
      </c>
      <c r="N1030" t="str">
        <f>IF(Table4[[#This Row],[Adjusted Correct]]="-", "",IF(Table4[[#This Row],[Adjusted Correct]]="YES",(Table4[[#This Row],[Strength of Win]]-1)^2,(Table4[[#This Row],[Strength of Win]]-0)^2))</f>
        <v/>
      </c>
      <c r="P1030" s="11"/>
    </row>
    <row r="1031" spans="4:16" x14ac:dyDescent="0.2">
      <c r="D1031" s="1">
        <v>46093</v>
      </c>
      <c r="E1031" s="2">
        <v>0.83333333333333337</v>
      </c>
      <c r="F1031" t="s">
        <v>39</v>
      </c>
      <c r="G1031">
        <f>VLOOKUP(Table4[[#This Row],[Home]],'NHL Model'!$A$6:$B$38,2,FALSE)</f>
        <v>0.21708030788125537</v>
      </c>
      <c r="H1031" t="s">
        <v>17</v>
      </c>
      <c r="I1031">
        <f>VLOOKUP(Table4[[#This Row],[Visitor]],'NHL Model'!$A$6:$B$38,2,FALSE)</f>
        <v>-0.36462594951491906</v>
      </c>
      <c r="J1031">
        <f>($B$1+Table4[[#This Row],[Home Differential]])-Table4[[#This Row],[Away Differential]]</f>
        <v>0.71131324320769851</v>
      </c>
      <c r="K1031" t="str">
        <f>IF(Table4[[#This Row],[HomeIce Differential]]&gt;0,Table4[[#This Row],[Home]],Table4[[#This Row],[Visitor]])</f>
        <v>Dallas Stars</v>
      </c>
      <c r="L10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0.65771431945634284</v>
      </c>
      <c r="M1031" t="str">
        <f>IF(OR((NHL2025_26Results[[#This Row],[Winning Team]]="")),"-",IF(Table4[[#This Row],[Predicted Winner]]=NHL2025_26Results[[#This Row],[Winning Team]],"YES","NO"))</f>
        <v>-</v>
      </c>
      <c r="N1031" t="str">
        <f>IF(Table4[[#This Row],[Adjusted Correct]]="-", "",IF(Table4[[#This Row],[Adjusted Correct]]="YES",(Table4[[#This Row],[Strength of Win]]-1)^2,(Table4[[#This Row],[Strength of Win]]-0)^2))</f>
        <v/>
      </c>
      <c r="P1031" s="11"/>
    </row>
    <row r="1032" spans="4:16" x14ac:dyDescent="0.2">
      <c r="D1032" s="1">
        <v>46093</v>
      </c>
      <c r="E1032" s="2">
        <v>0.79166666666666663</v>
      </c>
      <c r="F1032" t="s">
        <v>11</v>
      </c>
      <c r="G1032">
        <f>VLOOKUP(Table4[[#This Row],[Home]],'NHL Model'!$A$6:$B$38,2,FALSE)</f>
        <v>-0.55695213126481558</v>
      </c>
      <c r="H1032" t="s">
        <v>28</v>
      </c>
      <c r="I1032">
        <f>VLOOKUP(Table4[[#This Row],[Visitor]],'NHL Model'!$A$6:$B$38,2,FALSE)</f>
        <v>-0.28156479873410767</v>
      </c>
      <c r="J1032">
        <f>($B$1+Table4[[#This Row],[Home Differential]])-Table4[[#This Row],[Away Differential]]</f>
        <v>-0.14578034671918383</v>
      </c>
      <c r="K1032" t="str">
        <f>IF(Table4[[#This Row],[HomeIce Differential]]&gt;0,Table4[[#This Row],[Home]],Table4[[#This Row],[Visitor]])</f>
        <v>Columbus Blue Jackets</v>
      </c>
      <c r="L10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0.48838642216000533</v>
      </c>
      <c r="M1032" t="str">
        <f>IF(OR((NHL2025_26Results[[#This Row],[Winning Team]]="")),"-",IF(Table4[[#This Row],[Predicted Winner]]=NHL2025_26Results[[#This Row],[Winning Team]],"YES","NO"))</f>
        <v>-</v>
      </c>
      <c r="N1032" t="str">
        <f>IF(Table4[[#This Row],[Adjusted Correct]]="-", "",IF(Table4[[#This Row],[Adjusted Correct]]="YES",(Table4[[#This Row],[Strength of Win]]-1)^2,(Table4[[#This Row],[Strength of Win]]-0)^2))</f>
        <v/>
      </c>
      <c r="P1032" s="11"/>
    </row>
    <row r="1033" spans="4:16" x14ac:dyDescent="0.2">
      <c r="D1033" s="1">
        <v>46093</v>
      </c>
      <c r="E1033" s="2">
        <v>0.83333333333333337</v>
      </c>
      <c r="F1033" t="s">
        <v>34</v>
      </c>
      <c r="G1033">
        <f>VLOOKUP(Table4[[#This Row],[Home]],'NHL Model'!$A$6:$B$38,2,FALSE)</f>
        <v>6.0485283743665949E-2</v>
      </c>
      <c r="H1033" t="s">
        <v>27</v>
      </c>
      <c r="I1033">
        <f>VLOOKUP(Table4[[#This Row],[Visitor]],'NHL Model'!$A$6:$B$38,2,FALSE)</f>
        <v>-0.55097933929175691</v>
      </c>
      <c r="J1033">
        <f>($B$1+Table4[[#This Row],[Home Differential]])-Table4[[#This Row],[Away Differential]]</f>
        <v>0.74107160884694689</v>
      </c>
      <c r="K1033" t="str">
        <f>IF(Table4[[#This Row],[HomeIce Differential]]&gt;0,Table4[[#This Row],[Home]],Table4[[#This Row],[Visitor]])</f>
        <v>Minnesota Wild</v>
      </c>
      <c r="L10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0.63516584803108533</v>
      </c>
      <c r="M1033" t="str">
        <f>IF(OR((NHL2025_26Results[[#This Row],[Winning Team]]="")),"-",IF(Table4[[#This Row],[Predicted Winner]]=NHL2025_26Results[[#This Row],[Winning Team]],"YES","NO"))</f>
        <v>-</v>
      </c>
      <c r="N1033" t="str">
        <f>IF(Table4[[#This Row],[Adjusted Correct]]="-", "",IF(Table4[[#This Row],[Adjusted Correct]]="YES",(Table4[[#This Row],[Strength of Win]]-1)^2,(Table4[[#This Row],[Strength of Win]]-0)^2))</f>
        <v/>
      </c>
      <c r="P1033" s="11"/>
    </row>
    <row r="1034" spans="4:16" x14ac:dyDescent="0.2">
      <c r="D1034" s="1">
        <v>46093</v>
      </c>
      <c r="E1034" s="2">
        <v>0.79166666666666663</v>
      </c>
      <c r="F1034" t="s">
        <v>24</v>
      </c>
      <c r="G1034">
        <f>VLOOKUP(Table4[[#This Row],[Home]],'NHL Model'!$A$6:$B$38,2,FALSE)</f>
        <v>-0.74510803532792402</v>
      </c>
      <c r="H1034" t="s">
        <v>16</v>
      </c>
      <c r="I1034">
        <f>VLOOKUP(Table4[[#This Row],[Visitor]],'NHL Model'!$A$6:$B$38,2,FALSE)</f>
        <v>-0.89031221864884547</v>
      </c>
      <c r="J1034">
        <f>($B$1+Table4[[#This Row],[Home Differential]])-Table4[[#This Row],[Away Differential]]</f>
        <v>0.27481116913244552</v>
      </c>
      <c r="K1034" t="str">
        <f>IF(Table4[[#This Row],[HomeIce Differential]]&gt;0,Table4[[#This Row],[Home]],Table4[[#This Row],[Visitor]])</f>
        <v>New Jersey Devils</v>
      </c>
      <c r="L10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0.57085960865480545</v>
      </c>
      <c r="M1034" t="str">
        <f>IF(OR((NHL2025_26Results[[#This Row],[Winning Team]]="")),"-",IF(Table4[[#This Row],[Predicted Winner]]=NHL2025_26Results[[#This Row],[Winning Team]],"YES","NO"))</f>
        <v>-</v>
      </c>
      <c r="N1034" t="str">
        <f>IF(Table4[[#This Row],[Adjusted Correct]]="-", "",IF(Table4[[#This Row],[Adjusted Correct]]="YES",(Table4[[#This Row],[Strength of Win]]-1)^2,(Table4[[#This Row],[Strength of Win]]-0)^2))</f>
        <v/>
      </c>
      <c r="P1034" s="11"/>
    </row>
    <row r="1035" spans="4:16" x14ac:dyDescent="0.2">
      <c r="D1035" s="1">
        <v>46093</v>
      </c>
      <c r="E1035" s="2">
        <v>0.91666666666666663</v>
      </c>
      <c r="F1035" t="s">
        <v>32</v>
      </c>
      <c r="G1035">
        <f>VLOOKUP(Table4[[#This Row],[Home]],'NHL Model'!$A$6:$B$38,2,FALSE)</f>
        <v>-0.48236715437805205</v>
      </c>
      <c r="H1035" t="s">
        <v>12</v>
      </c>
      <c r="I1035">
        <f>VLOOKUP(Table4[[#This Row],[Visitor]],'NHL Model'!$A$6:$B$38,2,FALSE)</f>
        <v>0.99866683349964291</v>
      </c>
      <c r="J1035">
        <f>($B$1+Table4[[#This Row],[Home Differential]])-Table4[[#This Row],[Away Differential]]</f>
        <v>-1.3514270020661709</v>
      </c>
      <c r="K1035" t="str">
        <f>IF(Table4[[#This Row],[HomeIce Differential]]&gt;0,Table4[[#This Row],[Home]],Table4[[#This Row],[Visitor]])</f>
        <v>Colorado Avalanche</v>
      </c>
      <c r="L10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0.68102221823180975</v>
      </c>
      <c r="M1035" t="str">
        <f>IF(OR((NHL2025_26Results[[#This Row],[Winning Team]]="")),"-",IF(Table4[[#This Row],[Predicted Winner]]=NHL2025_26Results[[#This Row],[Winning Team]],"YES","NO"))</f>
        <v>-</v>
      </c>
      <c r="N1035" t="str">
        <f>IF(Table4[[#This Row],[Adjusted Correct]]="-", "",IF(Table4[[#This Row],[Adjusted Correct]]="YES",(Table4[[#This Row],[Strength of Win]]-1)^2,(Table4[[#This Row],[Strength of Win]]-0)^2))</f>
        <v/>
      </c>
      <c r="P1035" s="11"/>
    </row>
    <row r="1036" spans="4:16" x14ac:dyDescent="0.2">
      <c r="D1036" s="1">
        <v>46093</v>
      </c>
      <c r="E1036" s="2">
        <v>0.79166666666666663</v>
      </c>
      <c r="F1036" t="s">
        <v>37</v>
      </c>
      <c r="G1036">
        <f>VLOOKUP(Table4[[#This Row],[Home]],'NHL Model'!$A$6:$B$38,2,FALSE)</f>
        <v>0.72108184732572844</v>
      </c>
      <c r="H1036" t="s">
        <v>26</v>
      </c>
      <c r="I1036">
        <f>VLOOKUP(Table4[[#This Row],[Visitor]],'NHL Model'!$A$6:$B$38,2,FALSE)</f>
        <v>-0.33113778518110382</v>
      </c>
      <c r="J1036">
        <f>($B$1+Table4[[#This Row],[Home Differential]])-Table4[[#This Row],[Away Differential]]</f>
        <v>1.1818266183183563</v>
      </c>
      <c r="K1036" t="str">
        <f>IF(Table4[[#This Row],[HomeIce Differential]]&gt;0,Table4[[#This Row],[Home]],Table4[[#This Row],[Visitor]])</f>
        <v>Tampa Bay Lightning</v>
      </c>
      <c r="L10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0.69153540955212223</v>
      </c>
      <c r="M1036" t="str">
        <f>IF(OR((NHL2025_26Results[[#This Row],[Winning Team]]="")),"-",IF(Table4[[#This Row],[Predicted Winner]]=NHL2025_26Results[[#This Row],[Winning Team]],"YES","NO"))</f>
        <v>-</v>
      </c>
      <c r="N1036" t="str">
        <f>IF(Table4[[#This Row],[Adjusted Correct]]="-", "",IF(Table4[[#This Row],[Adjusted Correct]]="YES",(Table4[[#This Row],[Strength of Win]]-1)^2,(Table4[[#This Row],[Strength of Win]]-0)^2))</f>
        <v/>
      </c>
      <c r="P1036" s="11"/>
    </row>
    <row r="1037" spans="4:16" x14ac:dyDescent="0.2">
      <c r="D1037" s="1">
        <v>46093</v>
      </c>
      <c r="E1037" s="2">
        <v>0.79166666666666663</v>
      </c>
      <c r="F1037" t="s">
        <v>19</v>
      </c>
      <c r="G1037">
        <f>VLOOKUP(Table4[[#This Row],[Home]],'NHL Model'!$A$6:$B$38,2,FALSE)</f>
        <v>-0.44228056828684137</v>
      </c>
      <c r="H1037" t="s">
        <v>31</v>
      </c>
      <c r="I1037">
        <f>VLOOKUP(Table4[[#This Row],[Visitor]],'NHL Model'!$A$6:$B$38,2,FALSE)</f>
        <v>-0.46360583111358089</v>
      </c>
      <c r="J1037">
        <f>($B$1+Table4[[#This Row],[Home Differential]])-Table4[[#This Row],[Away Differential]]</f>
        <v>0.1509322486382636</v>
      </c>
      <c r="K1037" t="str">
        <f>IF(Table4[[#This Row],[HomeIce Differential]]&gt;0,Table4[[#This Row],[Home]],Table4[[#This Row],[Visitor]])</f>
        <v>Toronto Maple Leafs</v>
      </c>
      <c r="L10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0.55694876573274144</v>
      </c>
      <c r="M1037" t="str">
        <f>IF(OR((NHL2025_26Results[[#This Row],[Winning Team]]="")),"-",IF(Table4[[#This Row],[Predicted Winner]]=NHL2025_26Results[[#This Row],[Winning Team]],"YES","NO"))</f>
        <v>-</v>
      </c>
      <c r="N1037" t="str">
        <f>IF(Table4[[#This Row],[Adjusted Correct]]="-", "",IF(Table4[[#This Row],[Adjusted Correct]]="YES",(Table4[[#This Row],[Strength of Win]]-1)^2,(Table4[[#This Row],[Strength of Win]]-0)^2))</f>
        <v/>
      </c>
      <c r="P1037" s="11"/>
    </row>
    <row r="1038" spans="4:16" x14ac:dyDescent="0.2">
      <c r="D1038" s="1">
        <v>46093</v>
      </c>
      <c r="E1038" s="2">
        <v>0.875</v>
      </c>
      <c r="F1038" t="s">
        <v>55</v>
      </c>
      <c r="G1038">
        <f>VLOOKUP(Table4[[#This Row],[Home]],'NHL Model'!$A$6:$B$38,2,FALSE)</f>
        <v>8.4094725828611647E-2</v>
      </c>
      <c r="H1038" t="s">
        <v>10</v>
      </c>
      <c r="I1038">
        <f>VLOOKUP(Table4[[#This Row],[Visitor]],'NHL Model'!$A$6:$B$38,2,FALSE)</f>
        <v>-0.92658078135875344</v>
      </c>
      <c r="J1038">
        <f>($B$1+Table4[[#This Row],[Home Differential]])-Table4[[#This Row],[Away Differential]]</f>
        <v>1.1402824929988893</v>
      </c>
      <c r="K1038" t="str">
        <f>IF(Table4[[#This Row],[HomeIce Differential]]&gt;0,Table4[[#This Row],[Home]],Table4[[#This Row],[Visitor]])</f>
        <v>Utah Mammoth</v>
      </c>
      <c r="L10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0.69698916610295836</v>
      </c>
      <c r="M1038" t="str">
        <f>IF(OR((NHL2025_26Results[[#This Row],[Winning Team]]="")),"-",IF(Table4[[#This Row],[Predicted Winner]]=NHL2025_26Results[[#This Row],[Winning Team]],"YES","NO"))</f>
        <v>-</v>
      </c>
      <c r="N1038" t="str">
        <f>IF(Table4[[#This Row],[Adjusted Correct]]="-", "",IF(Table4[[#This Row],[Adjusted Correct]]="YES",(Table4[[#This Row],[Strength of Win]]-1)^2,(Table4[[#This Row],[Strength of Win]]-0)^2))</f>
        <v/>
      </c>
      <c r="P1038" s="11"/>
    </row>
    <row r="1039" spans="4:16" x14ac:dyDescent="0.2">
      <c r="D1039" s="1">
        <v>46093</v>
      </c>
      <c r="E1039" s="2">
        <v>0.91666666666666663</v>
      </c>
      <c r="F1039" t="s">
        <v>38</v>
      </c>
      <c r="G1039">
        <f>VLOOKUP(Table4[[#This Row],[Home]],'NHL Model'!$A$6:$B$38,2,FALSE)</f>
        <v>-1.3920033028857945</v>
      </c>
      <c r="H1039" t="s">
        <v>29</v>
      </c>
      <c r="I1039">
        <f>VLOOKUP(Table4[[#This Row],[Visitor]],'NHL Model'!$A$6:$B$38,2,FALSE)</f>
        <v>-0.82056481120798741</v>
      </c>
      <c r="J1039">
        <f>($B$1+Table4[[#This Row],[Home Differential]])-Table4[[#This Row],[Away Differential]]</f>
        <v>-0.44183150586628306</v>
      </c>
      <c r="K1039" t="str">
        <f>IF(Table4[[#This Row],[HomeIce Differential]]&gt;0,Table4[[#This Row],[Home]],Table4[[#This Row],[Visitor]])</f>
        <v>Nashville Predators</v>
      </c>
      <c r="L10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0.50961496799944694</v>
      </c>
      <c r="M1039" t="str">
        <f>IF(OR((NHL2025_26Results[[#This Row],[Winning Team]]="")),"-",IF(Table4[[#This Row],[Predicted Winner]]=NHL2025_26Results[[#This Row],[Winning Team]],"YES","NO"))</f>
        <v>-</v>
      </c>
      <c r="N1039" t="str">
        <f>IF(Table4[[#This Row],[Adjusted Correct]]="-", "",IF(Table4[[#This Row],[Adjusted Correct]]="YES",(Table4[[#This Row],[Strength of Win]]-1)^2,(Table4[[#This Row],[Strength of Win]]-0)^2))</f>
        <v/>
      </c>
      <c r="P1039" s="11"/>
    </row>
    <row r="1040" spans="4:16" x14ac:dyDescent="0.2">
      <c r="D1040" s="1">
        <v>46093</v>
      </c>
      <c r="E1040" s="2">
        <v>0.91666666666666663</v>
      </c>
      <c r="F1040" t="s">
        <v>20</v>
      </c>
      <c r="G1040">
        <f>VLOOKUP(Table4[[#This Row],[Home]],'NHL Model'!$A$6:$B$38,2,FALSE)</f>
        <v>-0.16296463421387539</v>
      </c>
      <c r="H1040" t="s">
        <v>14</v>
      </c>
      <c r="I1040">
        <f>VLOOKUP(Table4[[#This Row],[Visitor]],'NHL Model'!$A$6:$B$38,2,FALSE)</f>
        <v>3.6349513460996066E-5</v>
      </c>
      <c r="J1040">
        <f>($B$1+Table4[[#This Row],[Home Differential]])-Table4[[#This Row],[Away Differential]]</f>
        <v>-3.3393997915812275E-2</v>
      </c>
      <c r="K1040" t="str">
        <f>IF(Table4[[#This Row],[HomeIce Differential]]&gt;0,Table4[[#This Row],[Home]],Table4[[#This Row],[Visitor]])</f>
        <v>Pittsburgh Penguins</v>
      </c>
      <c r="L10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0.51788875861431571</v>
      </c>
      <c r="M1040" t="str">
        <f>IF(OR((NHL2025_26Results[[#This Row],[Winning Team]]="")),"-",IF(Table4[[#This Row],[Predicted Winner]]=NHL2025_26Results[[#This Row],[Winning Team]],"YES","NO"))</f>
        <v>-</v>
      </c>
      <c r="N1040" t="str">
        <f>IF(Table4[[#This Row],[Adjusted Correct]]="-", "",IF(Table4[[#This Row],[Adjusted Correct]]="YES",(Table4[[#This Row],[Strength of Win]]-1)^2,(Table4[[#This Row],[Strength of Win]]-0)^2))</f>
        <v/>
      </c>
      <c r="P1040" s="11"/>
    </row>
    <row r="1041" spans="4:16" x14ac:dyDescent="0.2">
      <c r="D1041" s="1">
        <v>46093</v>
      </c>
      <c r="E1041" s="2">
        <v>0.83333333333333337</v>
      </c>
      <c r="F1041" t="s">
        <v>40</v>
      </c>
      <c r="G1041">
        <f>VLOOKUP(Table4[[#This Row],[Home]],'NHL Model'!$A$6:$B$38,2,FALSE)</f>
        <v>-0.58845147248022256</v>
      </c>
      <c r="H1041" t="s">
        <v>15</v>
      </c>
      <c r="I1041">
        <f>VLOOKUP(Table4[[#This Row],[Visitor]],'NHL Model'!$A$6:$B$38,2,FALSE)</f>
        <v>-0.73651915476403329</v>
      </c>
      <c r="J1041">
        <f>($B$1+Table4[[#This Row],[Home Differential]])-Table4[[#This Row],[Away Differential]]</f>
        <v>0.27767466809533481</v>
      </c>
      <c r="K1041" t="str">
        <f>IF(Table4[[#This Row],[HomeIce Differential]]&gt;0,Table4[[#This Row],[Home]],Table4[[#This Row],[Visitor]])</f>
        <v>Winnipeg Jets</v>
      </c>
      <c r="L10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0.53526517602652068</v>
      </c>
      <c r="M1041" t="str">
        <f>IF(OR((NHL2025_26Results[[#This Row],[Winning Team]]="")),"-",IF(Table4[[#This Row],[Predicted Winner]]=NHL2025_26Results[[#This Row],[Winning Team]],"YES","NO"))</f>
        <v>-</v>
      </c>
      <c r="N1041" t="str">
        <f>IF(Table4[[#This Row],[Adjusted Correct]]="-", "",IF(Table4[[#This Row],[Adjusted Correct]]="YES",(Table4[[#This Row],[Strength of Win]]-1)^2,(Table4[[#This Row],[Strength of Win]]-0)^2))</f>
        <v/>
      </c>
      <c r="P1041" s="11"/>
    </row>
    <row r="1042" spans="4:16" x14ac:dyDescent="0.2">
      <c r="D1042" s="1">
        <v>46094</v>
      </c>
      <c r="E1042" s="2">
        <v>0.79166666666666663</v>
      </c>
      <c r="F1042" t="s">
        <v>30</v>
      </c>
      <c r="G1042">
        <f>VLOOKUP(Table4[[#This Row],[Home]],'NHL Model'!$A$6:$B$38,2,FALSE)</f>
        <v>-0.18630462558229716</v>
      </c>
      <c r="H1042" t="s">
        <v>13</v>
      </c>
      <c r="I1042">
        <f>VLOOKUP(Table4[[#This Row],[Visitor]],'NHL Model'!$A$6:$B$38,2,FALSE)</f>
        <v>-0.59069689888466137</v>
      </c>
      <c r="J1042">
        <f>($B$1+Table4[[#This Row],[Home Differential]])-Table4[[#This Row],[Away Differential]]</f>
        <v>0.53399925911388835</v>
      </c>
      <c r="K1042" t="str">
        <f>IF(Table4[[#This Row],[HomeIce Differential]]&gt;0,Table4[[#This Row],[Home]],Table4[[#This Row],[Visitor]])</f>
        <v>New York Islanders</v>
      </c>
      <c r="L10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0.59329817468324431</v>
      </c>
      <c r="M1042" t="str">
        <f>IF(OR((NHL2025_26Results[[#This Row],[Winning Team]]="")),"-",IF(Table4[[#This Row],[Predicted Winner]]=NHL2025_26Results[[#This Row],[Winning Team]],"YES","NO"))</f>
        <v>-</v>
      </c>
      <c r="N1042" t="str">
        <f>IF(Table4[[#This Row],[Adjusted Correct]]="-", "",IF(Table4[[#This Row],[Adjusted Correct]]="YES",(Table4[[#This Row],[Strength of Win]]-1)^2,(Table4[[#This Row],[Strength of Win]]-0)^2))</f>
        <v/>
      </c>
      <c r="P1042" s="11"/>
    </row>
    <row r="1043" spans="4:16" x14ac:dyDescent="0.2">
      <c r="D1043" s="1">
        <v>46094</v>
      </c>
      <c r="E1043" s="2">
        <v>0.83333333333333337</v>
      </c>
      <c r="F1043" t="s">
        <v>35</v>
      </c>
      <c r="G1043">
        <f>VLOOKUP(Table4[[#This Row],[Home]],'NHL Model'!$A$6:$B$38,2,FALSE)</f>
        <v>-1.3128572733047907</v>
      </c>
      <c r="H1043" t="s">
        <v>17</v>
      </c>
      <c r="I1043">
        <f>VLOOKUP(Table4[[#This Row],[Visitor]],'NHL Model'!$A$6:$B$38,2,FALSE)</f>
        <v>-0.36462594951491906</v>
      </c>
      <c r="J1043">
        <f>($B$1+Table4[[#This Row],[Home Differential]])-Table4[[#This Row],[Away Differential]]</f>
        <v>-0.81862433797834755</v>
      </c>
      <c r="K1043" t="str">
        <f>IF(Table4[[#This Row],[HomeIce Differential]]&gt;0,Table4[[#This Row],[Home]],Table4[[#This Row],[Visitor]])</f>
        <v>Edmonton Oilers</v>
      </c>
      <c r="L10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0.55192649187098997</v>
      </c>
      <c r="M1043" t="str">
        <f>IF(OR((NHL2025_26Results[[#This Row],[Winning Team]]="")),"-",IF(Table4[[#This Row],[Predicted Winner]]=NHL2025_26Results[[#This Row],[Winning Team]],"YES","NO"))</f>
        <v>-</v>
      </c>
      <c r="N1043" t="str">
        <f>IF(Table4[[#This Row],[Adjusted Correct]]="-", "",IF(Table4[[#This Row],[Adjusted Correct]]="YES",(Table4[[#This Row],[Strength of Win]]-1)^2,(Table4[[#This Row],[Strength of Win]]-0)^2))</f>
        <v/>
      </c>
      <c r="P1043" s="11"/>
    </row>
    <row r="1044" spans="4:16" x14ac:dyDescent="0.2">
      <c r="D1044" s="1">
        <v>46095</v>
      </c>
      <c r="E1044" s="2">
        <v>0.79166666666666663</v>
      </c>
      <c r="F1044" t="s">
        <v>23</v>
      </c>
      <c r="G1044">
        <f>VLOOKUP(Table4[[#This Row],[Home]],'NHL Model'!$A$6:$B$38,2,FALSE)</f>
        <v>8.1543966060426461E-3</v>
      </c>
      <c r="H1044" t="s">
        <v>19</v>
      </c>
      <c r="I1044">
        <f>VLOOKUP(Table4[[#This Row],[Visitor]],'NHL Model'!$A$6:$B$38,2,FALSE)</f>
        <v>-0.44228056828684137</v>
      </c>
      <c r="J1044">
        <f>($B$1+Table4[[#This Row],[Home Differential]])-Table4[[#This Row],[Away Differential]]</f>
        <v>0.58004195070440812</v>
      </c>
      <c r="K1044" t="str">
        <f>IF(Table4[[#This Row],[HomeIce Differential]]&gt;0,Table4[[#This Row],[Home]],Table4[[#This Row],[Visitor]])</f>
        <v>Buffalo Sabres</v>
      </c>
      <c r="L10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0.63407758961084237</v>
      </c>
      <c r="M1044" t="str">
        <f>IF(OR((NHL2025_26Results[[#This Row],[Winning Team]]="")),"-",IF(Table4[[#This Row],[Predicted Winner]]=NHL2025_26Results[[#This Row],[Winning Team]],"YES","NO"))</f>
        <v>-</v>
      </c>
      <c r="N1044" t="str">
        <f>IF(Table4[[#This Row],[Adjusted Correct]]="-", "",IF(Table4[[#This Row],[Adjusted Correct]]="YES",(Table4[[#This Row],[Strength of Win]]-1)^2,(Table4[[#This Row],[Strength of Win]]-0)^2))</f>
        <v/>
      </c>
      <c r="P1044" s="11"/>
    </row>
    <row r="1045" spans="4:16" x14ac:dyDescent="0.2">
      <c r="D1045" s="1">
        <v>46095</v>
      </c>
      <c r="E1045" s="2">
        <v>0.83333333333333337</v>
      </c>
      <c r="F1045" t="s">
        <v>39</v>
      </c>
      <c r="G1045">
        <f>VLOOKUP(Table4[[#This Row],[Home]],'NHL Model'!$A$6:$B$38,2,FALSE)</f>
        <v>0.21708030788125537</v>
      </c>
      <c r="H1045" t="s">
        <v>26</v>
      </c>
      <c r="I1045">
        <f>VLOOKUP(Table4[[#This Row],[Visitor]],'NHL Model'!$A$6:$B$38,2,FALSE)</f>
        <v>-0.33113778518110382</v>
      </c>
      <c r="J1045">
        <f>($B$1+Table4[[#This Row],[Home Differential]])-Table4[[#This Row],[Away Differential]]</f>
        <v>0.67782507887388332</v>
      </c>
      <c r="K1045" t="str">
        <f>IF(Table4[[#This Row],[HomeIce Differential]]&gt;0,Table4[[#This Row],[Home]],Table4[[#This Row],[Visitor]])</f>
        <v>Dallas Stars</v>
      </c>
      <c r="L10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0.61641071789183544</v>
      </c>
      <c r="M1045" t="str">
        <f>IF(OR((NHL2025_26Results[[#This Row],[Winning Team]]="")),"-",IF(Table4[[#This Row],[Predicted Winner]]=NHL2025_26Results[[#This Row],[Winning Team]],"YES","NO"))</f>
        <v>-</v>
      </c>
      <c r="N1045" t="str">
        <f>IF(Table4[[#This Row],[Adjusted Correct]]="-", "",IF(Table4[[#This Row],[Adjusted Correct]]="YES",(Table4[[#This Row],[Strength of Win]]-1)^2,(Table4[[#This Row],[Strength of Win]]-0)^2))</f>
        <v/>
      </c>
      <c r="P1045" s="11"/>
    </row>
    <row r="1046" spans="4:16" x14ac:dyDescent="0.2">
      <c r="D1046" s="1">
        <v>46095</v>
      </c>
      <c r="E1046" s="2">
        <v>0.75</v>
      </c>
      <c r="F1046" t="s">
        <v>34</v>
      </c>
      <c r="G1046">
        <f>VLOOKUP(Table4[[#This Row],[Home]],'NHL Model'!$A$6:$B$38,2,FALSE)</f>
        <v>6.0485283743665949E-2</v>
      </c>
      <c r="H1046" t="s">
        <v>15</v>
      </c>
      <c r="I1046">
        <f>VLOOKUP(Table4[[#This Row],[Visitor]],'NHL Model'!$A$6:$B$38,2,FALSE)</f>
        <v>-0.73651915476403329</v>
      </c>
      <c r="J1046">
        <f>($B$1+Table4[[#This Row],[Home Differential]])-Table4[[#This Row],[Away Differential]]</f>
        <v>0.92661142431922339</v>
      </c>
      <c r="K1046" t="str">
        <f>IF(Table4[[#This Row],[HomeIce Differential]]&gt;0,Table4[[#This Row],[Home]],Table4[[#This Row],[Visitor]])</f>
        <v>Minnesota Wild</v>
      </c>
      <c r="L10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0.62018181155315133</v>
      </c>
      <c r="M1046" t="str">
        <f>IF(OR((NHL2025_26Results[[#This Row],[Winning Team]]="")),"-",IF(Table4[[#This Row],[Predicted Winner]]=NHL2025_26Results[[#This Row],[Winning Team]],"YES","NO"))</f>
        <v>-</v>
      </c>
      <c r="N1046" t="str">
        <f>IF(Table4[[#This Row],[Adjusted Correct]]="-", "",IF(Table4[[#This Row],[Adjusted Correct]]="YES",(Table4[[#This Row],[Strength of Win]]-1)^2,(Table4[[#This Row],[Strength of Win]]-0)^2))</f>
        <v/>
      </c>
      <c r="P1046" s="11"/>
    </row>
    <row r="1047" spans="4:16" x14ac:dyDescent="0.2">
      <c r="D1047" s="1">
        <v>46095</v>
      </c>
      <c r="E1047" s="2">
        <v>0.79166666666666663</v>
      </c>
      <c r="F1047" t="s">
        <v>18</v>
      </c>
      <c r="G1047">
        <f>VLOOKUP(Table4[[#This Row],[Home]],'NHL Model'!$A$6:$B$38,2,FALSE)</f>
        <v>-8.6274676766085606E-2</v>
      </c>
      <c r="H1047" t="s">
        <v>33</v>
      </c>
      <c r="I1047">
        <f>VLOOKUP(Table4[[#This Row],[Visitor]],'NHL Model'!$A$6:$B$38,2,FALSE)</f>
        <v>-0.65236582493376272</v>
      </c>
      <c r="J1047">
        <f>($B$1+Table4[[#This Row],[Home Differential]])-Table4[[#This Row],[Away Differential]]</f>
        <v>0.69569813397920122</v>
      </c>
      <c r="K1047" t="str">
        <f>IF(Table4[[#This Row],[HomeIce Differential]]&gt;0,Table4[[#This Row],[Home]],Table4[[#This Row],[Visitor]])</f>
        <v>Montreal Canadiens</v>
      </c>
      <c r="L10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0.63213925366615409</v>
      </c>
      <c r="M1047" t="str">
        <f>IF(OR((NHL2025_26Results[[#This Row],[Winning Team]]="")),"-",IF(Table4[[#This Row],[Predicted Winner]]=NHL2025_26Results[[#This Row],[Winning Team]],"YES","NO"))</f>
        <v>-</v>
      </c>
      <c r="N1047" t="str">
        <f>IF(Table4[[#This Row],[Adjusted Correct]]="-", "",IF(Table4[[#This Row],[Adjusted Correct]]="YES",(Table4[[#This Row],[Strength of Win]]-1)^2,(Table4[[#This Row],[Strength of Win]]-0)^2))</f>
        <v/>
      </c>
      <c r="P1047" s="11"/>
    </row>
    <row r="1048" spans="4:16" x14ac:dyDescent="0.2">
      <c r="D1048" s="1">
        <v>46095</v>
      </c>
      <c r="E1048" s="2">
        <v>0.79166666666666663</v>
      </c>
      <c r="F1048" t="s">
        <v>24</v>
      </c>
      <c r="G1048">
        <f>VLOOKUP(Table4[[#This Row],[Home]],'NHL Model'!$A$6:$B$38,2,FALSE)</f>
        <v>-0.74510803532792402</v>
      </c>
      <c r="H1048" t="s">
        <v>13</v>
      </c>
      <c r="I1048">
        <f>VLOOKUP(Table4[[#This Row],[Visitor]],'NHL Model'!$A$6:$B$38,2,FALSE)</f>
        <v>-0.59069689888466137</v>
      </c>
      <c r="J1048">
        <f>($B$1+Table4[[#This Row],[Home Differential]])-Table4[[#This Row],[Away Differential]]</f>
        <v>-2.4804150631738575E-2</v>
      </c>
      <c r="K1048" t="str">
        <f>IF(Table4[[#This Row],[HomeIce Differential]]&gt;0,Table4[[#This Row],[Home]],Table4[[#This Row],[Visitor]])</f>
        <v>Los Angeles Kings</v>
      </c>
      <c r="L10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0.48355458474129359</v>
      </c>
      <c r="M1048" t="str">
        <f>IF(OR((NHL2025_26Results[[#This Row],[Winning Team]]="")),"-",IF(Table4[[#This Row],[Predicted Winner]]=NHL2025_26Results[[#This Row],[Winning Team]],"YES","NO"))</f>
        <v>-</v>
      </c>
      <c r="N1048" t="str">
        <f>IF(Table4[[#This Row],[Adjusted Correct]]="-", "",IF(Table4[[#This Row],[Adjusted Correct]]="YES",(Table4[[#This Row],[Strength of Win]]-1)^2,(Table4[[#This Row],[Strength of Win]]-0)^2))</f>
        <v/>
      </c>
      <c r="P1048" s="11"/>
    </row>
    <row r="1049" spans="4:16" x14ac:dyDescent="0.2">
      <c r="D1049" s="1">
        <v>46095</v>
      </c>
      <c r="E1049" s="2">
        <v>0.79166666666666663</v>
      </c>
      <c r="F1049" t="s">
        <v>30</v>
      </c>
      <c r="G1049">
        <f>VLOOKUP(Table4[[#This Row],[Home]],'NHL Model'!$A$6:$B$38,2,FALSE)</f>
        <v>-0.18630462558229716</v>
      </c>
      <c r="H1049" t="s">
        <v>16</v>
      </c>
      <c r="I1049">
        <f>VLOOKUP(Table4[[#This Row],[Visitor]],'NHL Model'!$A$6:$B$38,2,FALSE)</f>
        <v>-0.89031221864884547</v>
      </c>
      <c r="J1049">
        <f>($B$1+Table4[[#This Row],[Home Differential]])-Table4[[#This Row],[Away Differential]]</f>
        <v>0.83361457887807244</v>
      </c>
      <c r="K1049" t="str">
        <f>IF(Table4[[#This Row],[HomeIce Differential]]&gt;0,Table4[[#This Row],[Home]],Table4[[#This Row],[Visitor]])</f>
        <v>New York Islanders</v>
      </c>
      <c r="L10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0.64762642447539431</v>
      </c>
      <c r="M1049" t="str">
        <f>IF(OR((NHL2025_26Results[[#This Row],[Winning Team]]="")),"-",IF(Table4[[#This Row],[Predicted Winner]]=NHL2025_26Results[[#This Row],[Winning Team]],"YES","NO"))</f>
        <v>-</v>
      </c>
      <c r="N1049" t="str">
        <f>IF(Table4[[#This Row],[Adjusted Correct]]="-", "",IF(Table4[[#This Row],[Adjusted Correct]]="YES",(Table4[[#This Row],[Strength of Win]]-1)^2,(Table4[[#This Row],[Strength of Win]]-0)^2))</f>
        <v/>
      </c>
      <c r="P1049" s="11"/>
    </row>
    <row r="1050" spans="4:16" x14ac:dyDescent="0.2">
      <c r="D1050" s="1">
        <v>46095</v>
      </c>
      <c r="E1050" s="2">
        <v>0.54166666666666663</v>
      </c>
      <c r="F1050" t="s">
        <v>36</v>
      </c>
      <c r="G1050">
        <f>VLOOKUP(Table4[[#This Row],[Home]],'NHL Model'!$A$6:$B$38,2,FALSE)</f>
        <v>-0.19010748264223354</v>
      </c>
      <c r="H1050" t="s">
        <v>31</v>
      </c>
      <c r="I1050">
        <f>VLOOKUP(Table4[[#This Row],[Visitor]],'NHL Model'!$A$6:$B$38,2,FALSE)</f>
        <v>-0.46360583111358089</v>
      </c>
      <c r="J1050">
        <f>($B$1+Table4[[#This Row],[Home Differential]])-Table4[[#This Row],[Away Differential]]</f>
        <v>0.40310533428287143</v>
      </c>
      <c r="K1050" t="str">
        <f>IF(Table4[[#This Row],[HomeIce Differential]]&gt;0,Table4[[#This Row],[Home]],Table4[[#This Row],[Visitor]])</f>
        <v>Ottawa Senators</v>
      </c>
      <c r="L10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0.58526625646950559</v>
      </c>
      <c r="M1050" t="str">
        <f>IF(OR((NHL2025_26Results[[#This Row],[Winning Team]]="")),"-",IF(Table4[[#This Row],[Predicted Winner]]=NHL2025_26Results[[#This Row],[Winning Team]],"YES","NO"))</f>
        <v>-</v>
      </c>
      <c r="N1050" t="str">
        <f>IF(Table4[[#This Row],[Adjusted Correct]]="-", "",IF(Table4[[#This Row],[Adjusted Correct]]="YES",(Table4[[#This Row],[Strength of Win]]-1)^2,(Table4[[#This Row],[Strength of Win]]-0)^2))</f>
        <v/>
      </c>
      <c r="P1050" s="11"/>
    </row>
    <row r="1051" spans="4:16" x14ac:dyDescent="0.2">
      <c r="D1051" s="1">
        <v>46095</v>
      </c>
      <c r="E1051" s="2">
        <v>0.8125</v>
      </c>
      <c r="F1051" t="s">
        <v>27</v>
      </c>
      <c r="G1051">
        <f>VLOOKUP(Table4[[#This Row],[Home]],'NHL Model'!$A$6:$B$38,2,FALSE)</f>
        <v>-0.55097933929175691</v>
      </c>
      <c r="H1051" t="s">
        <v>28</v>
      </c>
      <c r="I1051">
        <f>VLOOKUP(Table4[[#This Row],[Visitor]],'NHL Model'!$A$6:$B$38,2,FALSE)</f>
        <v>-0.28156479873410767</v>
      </c>
      <c r="J1051">
        <f>($B$1+Table4[[#This Row],[Home Differential]])-Table4[[#This Row],[Away Differential]]</f>
        <v>-0.13980755474612516</v>
      </c>
      <c r="K1051" t="str">
        <f>IF(Table4[[#This Row],[HomeIce Differential]]&gt;0,Table4[[#This Row],[Home]],Table4[[#This Row],[Visitor]])</f>
        <v>Columbus Blue Jackets</v>
      </c>
      <c r="L10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0.48771571425738613</v>
      </c>
      <c r="M1051" t="str">
        <f>IF(OR((NHL2025_26Results[[#This Row],[Winning Team]]="")),"-",IF(Table4[[#This Row],[Predicted Winner]]=NHL2025_26Results[[#This Row],[Winning Team]],"YES","NO"))</f>
        <v>-</v>
      </c>
      <c r="N1051" t="str">
        <f>IF(Table4[[#This Row],[Adjusted Correct]]="-", "",IF(Table4[[#This Row],[Adjusted Correct]]="YES",(Table4[[#This Row],[Strength of Win]]-1)^2,(Table4[[#This Row],[Strength of Win]]-0)^2))</f>
        <v/>
      </c>
      <c r="P1051" s="11"/>
    </row>
    <row r="1052" spans="4:16" x14ac:dyDescent="0.2">
      <c r="D1052" s="1">
        <v>46095</v>
      </c>
      <c r="E1052" s="2">
        <v>0.79166666666666663</v>
      </c>
      <c r="F1052" t="s">
        <v>37</v>
      </c>
      <c r="G1052">
        <f>VLOOKUP(Table4[[#This Row],[Home]],'NHL Model'!$A$6:$B$38,2,FALSE)</f>
        <v>0.72108184732572844</v>
      </c>
      <c r="H1052" t="s">
        <v>25</v>
      </c>
      <c r="I1052">
        <f>VLOOKUP(Table4[[#This Row],[Visitor]],'NHL Model'!$A$6:$B$38,2,FALSE)</f>
        <v>0.2324942014830165</v>
      </c>
      <c r="J1052">
        <f>($B$1+Table4[[#This Row],[Home Differential]])-Table4[[#This Row],[Away Differential]]</f>
        <v>0.61819463165423605</v>
      </c>
      <c r="K1052" t="str">
        <f>IF(Table4[[#This Row],[HomeIce Differential]]&gt;0,Table4[[#This Row],[Home]],Table4[[#This Row],[Visitor]])</f>
        <v>Tampa Bay Lightning</v>
      </c>
      <c r="L10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0.60990086568563417</v>
      </c>
      <c r="M1052" t="str">
        <f>IF(OR((NHL2025_26Results[[#This Row],[Winning Team]]="")),"-",IF(Table4[[#This Row],[Predicted Winner]]=NHL2025_26Results[[#This Row],[Winning Team]],"YES","NO"))</f>
        <v>-</v>
      </c>
      <c r="N1052" t="str">
        <f>IF(Table4[[#This Row],[Adjusted Correct]]="-", "",IF(Table4[[#This Row],[Adjusted Correct]]="YES",(Table4[[#This Row],[Strength of Win]]-1)^2,(Table4[[#This Row],[Strength of Win]]-0)^2))</f>
        <v/>
      </c>
      <c r="P1052" s="11"/>
    </row>
    <row r="1053" spans="4:16" x14ac:dyDescent="0.2">
      <c r="D1053" s="1">
        <v>46095</v>
      </c>
      <c r="E1053" s="2">
        <v>0.875</v>
      </c>
      <c r="F1053" t="s">
        <v>55</v>
      </c>
      <c r="G1053">
        <f>VLOOKUP(Table4[[#This Row],[Home]],'NHL Model'!$A$6:$B$38,2,FALSE)</f>
        <v>8.4094725828611647E-2</v>
      </c>
      <c r="H1053" t="s">
        <v>14</v>
      </c>
      <c r="I1053">
        <f>VLOOKUP(Table4[[#This Row],[Visitor]],'NHL Model'!$A$6:$B$38,2,FALSE)</f>
        <v>3.6349513460996066E-5</v>
      </c>
      <c r="J1053">
        <f>($B$1+Table4[[#This Row],[Home Differential]])-Table4[[#This Row],[Away Differential]]</f>
        <v>0.21366536212667475</v>
      </c>
      <c r="K1053" t="str">
        <f>IF(Table4[[#This Row],[HomeIce Differential]]&gt;0,Table4[[#This Row],[Home]],Table4[[#This Row],[Visitor]])</f>
        <v>Utah Mammoth</v>
      </c>
      <c r="L10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0.53914482473617287</v>
      </c>
      <c r="M1053" t="str">
        <f>IF(OR((NHL2025_26Results[[#This Row],[Winning Team]]="")),"-",IF(Table4[[#This Row],[Predicted Winner]]=NHL2025_26Results[[#This Row],[Winning Team]],"YES","NO"))</f>
        <v>-</v>
      </c>
      <c r="N1053" t="str">
        <f>IF(Table4[[#This Row],[Adjusted Correct]]="-", "",IF(Table4[[#This Row],[Adjusted Correct]]="YES",(Table4[[#This Row],[Strength of Win]]-1)^2,(Table4[[#This Row],[Strength of Win]]-0)^2))</f>
        <v/>
      </c>
      <c r="P1053" s="11"/>
    </row>
    <row r="1054" spans="4:16" x14ac:dyDescent="0.2">
      <c r="D1054" s="1">
        <v>46095</v>
      </c>
      <c r="E1054" s="2">
        <v>0.91666666666666663</v>
      </c>
      <c r="F1054" t="s">
        <v>38</v>
      </c>
      <c r="G1054">
        <f>VLOOKUP(Table4[[#This Row],[Home]],'NHL Model'!$A$6:$B$38,2,FALSE)</f>
        <v>-1.3920033028857945</v>
      </c>
      <c r="H1054" t="s">
        <v>32</v>
      </c>
      <c r="I1054">
        <f>VLOOKUP(Table4[[#This Row],[Visitor]],'NHL Model'!$A$6:$B$38,2,FALSE)</f>
        <v>-0.48236715437805205</v>
      </c>
      <c r="J1054">
        <f>($B$1+Table4[[#This Row],[Home Differential]])-Table4[[#This Row],[Away Differential]]</f>
        <v>-0.78002916269621836</v>
      </c>
      <c r="K1054" t="str">
        <f>IF(Table4[[#This Row],[HomeIce Differential]]&gt;0,Table4[[#This Row],[Home]],Table4[[#This Row],[Visitor]])</f>
        <v>Seattle Kraken</v>
      </c>
      <c r="L10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0.54759249042217661</v>
      </c>
      <c r="M1054" t="str">
        <f>IF(OR((NHL2025_26Results[[#This Row],[Winning Team]]="")),"-",IF(Table4[[#This Row],[Predicted Winner]]=NHL2025_26Results[[#This Row],[Winning Team]],"YES","NO"))</f>
        <v>-</v>
      </c>
      <c r="N1054" t="str">
        <f>IF(Table4[[#This Row],[Adjusted Correct]]="-", "",IF(Table4[[#This Row],[Adjusted Correct]]="YES",(Table4[[#This Row],[Strength of Win]]-1)^2,(Table4[[#This Row],[Strength of Win]]-0)^2))</f>
        <v/>
      </c>
      <c r="P1054" s="11"/>
    </row>
    <row r="1055" spans="4:16" x14ac:dyDescent="0.2">
      <c r="D1055" s="1">
        <v>46095</v>
      </c>
      <c r="E1055" s="2">
        <v>0.91666666666666663</v>
      </c>
      <c r="F1055" t="s">
        <v>20</v>
      </c>
      <c r="G1055">
        <f>VLOOKUP(Table4[[#This Row],[Home]],'NHL Model'!$A$6:$B$38,2,FALSE)</f>
        <v>-0.16296463421387539</v>
      </c>
      <c r="H1055" t="s">
        <v>10</v>
      </c>
      <c r="I1055">
        <f>VLOOKUP(Table4[[#This Row],[Visitor]],'NHL Model'!$A$6:$B$38,2,FALSE)</f>
        <v>-0.92658078135875344</v>
      </c>
      <c r="J1055">
        <f>($B$1+Table4[[#This Row],[Home Differential]])-Table4[[#This Row],[Away Differential]]</f>
        <v>0.89322313295640221</v>
      </c>
      <c r="K1055" t="str">
        <f>IF(Table4[[#This Row],[HomeIce Differential]]&gt;0,Table4[[#This Row],[Home]],Table4[[#This Row],[Visitor]])</f>
        <v>Vegas Golden Knights</v>
      </c>
      <c r="L10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0.64030347897238882</v>
      </c>
      <c r="M1055" t="str">
        <f>IF(OR((NHL2025_26Results[[#This Row],[Winning Team]]="")),"-",IF(Table4[[#This Row],[Predicted Winner]]=NHL2025_26Results[[#This Row],[Winning Team]],"YES","NO"))</f>
        <v>-</v>
      </c>
      <c r="N1055" t="str">
        <f>IF(Table4[[#This Row],[Adjusted Correct]]="-", "",IF(Table4[[#This Row],[Adjusted Correct]]="YES",(Table4[[#This Row],[Strength of Win]]-1)^2,(Table4[[#This Row],[Strength of Win]]-0)^2))</f>
        <v/>
      </c>
      <c r="P1055" s="11"/>
    </row>
    <row r="1056" spans="4:16" x14ac:dyDescent="0.2">
      <c r="D1056" s="1">
        <v>46095</v>
      </c>
      <c r="E1056" s="2">
        <v>0.66666666666666663</v>
      </c>
      <c r="F1056" t="s">
        <v>40</v>
      </c>
      <c r="G1056">
        <f>VLOOKUP(Table4[[#This Row],[Home]],'NHL Model'!$A$6:$B$38,2,FALSE)</f>
        <v>-0.58845147248022256</v>
      </c>
      <c r="H1056" t="s">
        <v>12</v>
      </c>
      <c r="I1056">
        <f>VLOOKUP(Table4[[#This Row],[Visitor]],'NHL Model'!$A$6:$B$38,2,FALSE)</f>
        <v>0.99866683349964291</v>
      </c>
      <c r="J1056">
        <f>($B$1+Table4[[#This Row],[Home Differential]])-Table4[[#This Row],[Away Differential]]</f>
        <v>-1.4575113201683414</v>
      </c>
      <c r="K1056" t="str">
        <f>IF(Table4[[#This Row],[HomeIce Differential]]&gt;0,Table4[[#This Row],[Home]],Table4[[#This Row],[Visitor]])</f>
        <v>Colorado Avalanche</v>
      </c>
      <c r="L10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0.69293483645391363</v>
      </c>
      <c r="M1056" t="str">
        <f>IF(OR((NHL2025_26Results[[#This Row],[Winning Team]]="")),"-",IF(Table4[[#This Row],[Predicted Winner]]=NHL2025_26Results[[#This Row],[Winning Team]],"YES","NO"))</f>
        <v>-</v>
      </c>
      <c r="N1056" t="str">
        <f>IF(Table4[[#This Row],[Adjusted Correct]]="-", "",IF(Table4[[#This Row],[Adjusted Correct]]="YES",(Table4[[#This Row],[Strength of Win]]-1)^2,(Table4[[#This Row],[Strength of Win]]-0)^2))</f>
        <v/>
      </c>
      <c r="P1056" s="11"/>
    </row>
    <row r="1057" spans="4:16" x14ac:dyDescent="0.2">
      <c r="D1057" s="1">
        <v>46095</v>
      </c>
      <c r="E1057" s="2">
        <v>0.625</v>
      </c>
      <c r="F1057" t="s">
        <v>22</v>
      </c>
      <c r="G1057">
        <f>VLOOKUP(Table4[[#This Row],[Home]],'NHL Model'!$A$6:$B$38,2,FALSE)</f>
        <v>-0.11977593183651415</v>
      </c>
      <c r="H1057" t="s">
        <v>21</v>
      </c>
      <c r="I1057">
        <f>VLOOKUP(Table4[[#This Row],[Visitor]],'NHL Model'!$A$6:$B$38,2,FALSE)</f>
        <v>-0.10253061303059285</v>
      </c>
      <c r="J1057">
        <f>($B$1+Table4[[#This Row],[Home Differential]])-Table4[[#This Row],[Away Differential]]</f>
        <v>0.11236166700560281</v>
      </c>
      <c r="K1057" t="str">
        <f>IF(Table4[[#This Row],[HomeIce Differential]]&gt;0,Table4[[#This Row],[Home]],Table4[[#This Row],[Visitor]])</f>
        <v>Washington Capitals</v>
      </c>
      <c r="L10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0.57058404800859008</v>
      </c>
      <c r="M1057" t="str">
        <f>IF(OR((NHL2025_26Results[[#This Row],[Winning Team]]="")),"-",IF(Table4[[#This Row],[Predicted Winner]]=NHL2025_26Results[[#This Row],[Winning Team]],"YES","NO"))</f>
        <v>-</v>
      </c>
      <c r="N1057" t="str">
        <f>IF(Table4[[#This Row],[Adjusted Correct]]="-", "",IF(Table4[[#This Row],[Adjusted Correct]]="YES",(Table4[[#This Row],[Strength of Win]]-1)^2,(Table4[[#This Row],[Strength of Win]]-0)^2))</f>
        <v/>
      </c>
      <c r="P1057" s="11"/>
    </row>
    <row r="1058" spans="4:16" x14ac:dyDescent="0.2">
      <c r="D1058" s="1">
        <v>46096</v>
      </c>
      <c r="E1058" s="2">
        <v>0.83333333333333337</v>
      </c>
      <c r="F1058" t="s">
        <v>17</v>
      </c>
      <c r="G1058">
        <f>VLOOKUP(Table4[[#This Row],[Home]],'NHL Model'!$A$6:$B$38,2,FALSE)</f>
        <v>-0.36462594951491906</v>
      </c>
      <c r="H1058" t="s">
        <v>29</v>
      </c>
      <c r="I1058">
        <f>VLOOKUP(Table4[[#This Row],[Visitor]],'NHL Model'!$A$6:$B$38,2,FALSE)</f>
        <v>-0.82056481120798741</v>
      </c>
      <c r="J1058">
        <f>($B$1+Table4[[#This Row],[Home Differential]])-Table4[[#This Row],[Away Differential]]</f>
        <v>0.58554584750459249</v>
      </c>
      <c r="K1058" t="str">
        <f>IF(Table4[[#This Row],[HomeIce Differential]]&gt;0,Table4[[#This Row],[Home]],Table4[[#This Row],[Visitor]])</f>
        <v>Edmonton Oilers</v>
      </c>
      <c r="L10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0.60575320704934454</v>
      </c>
      <c r="M1058" t="str">
        <f>IF(OR((NHL2025_26Results[[#This Row],[Winning Team]]="")),"-",IF(Table4[[#This Row],[Predicted Winner]]=NHL2025_26Results[[#This Row],[Winning Team]],"YES","NO"))</f>
        <v>-</v>
      </c>
      <c r="N1058" t="str">
        <f>IF(Table4[[#This Row],[Adjusted Correct]]="-", "",IF(Table4[[#This Row],[Adjusted Correct]]="YES",(Table4[[#This Row],[Strength of Win]]-1)^2,(Table4[[#This Row],[Strength of Win]]-0)^2))</f>
        <v/>
      </c>
      <c r="P1058" s="11"/>
    </row>
    <row r="1059" spans="4:16" x14ac:dyDescent="0.2">
      <c r="D1059" s="1">
        <v>46096</v>
      </c>
      <c r="E1059" s="2">
        <v>0.8125</v>
      </c>
      <c r="F1059" t="s">
        <v>34</v>
      </c>
      <c r="G1059">
        <f>VLOOKUP(Table4[[#This Row],[Home]],'NHL Model'!$A$6:$B$38,2,FALSE)</f>
        <v>6.0485283743665949E-2</v>
      </c>
      <c r="H1059" t="s">
        <v>19</v>
      </c>
      <c r="I1059">
        <f>VLOOKUP(Table4[[#This Row],[Visitor]],'NHL Model'!$A$6:$B$38,2,FALSE)</f>
        <v>-0.44228056828684137</v>
      </c>
      <c r="J1059">
        <f>($B$1+Table4[[#This Row],[Home Differential]])-Table4[[#This Row],[Away Differential]]</f>
        <v>0.63237283784203147</v>
      </c>
      <c r="K1059" t="str">
        <f>IF(Table4[[#This Row],[HomeIce Differential]]&gt;0,Table4[[#This Row],[Home]],Table4[[#This Row],[Visitor]])</f>
        <v>Minnesota Wild</v>
      </c>
      <c r="L10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0.62295964278455351</v>
      </c>
      <c r="M1059" t="str">
        <f>IF(OR((NHL2025_26Results[[#This Row],[Winning Team]]="")),"-",IF(Table4[[#This Row],[Predicted Winner]]=NHL2025_26Results[[#This Row],[Winning Team]],"YES","NO"))</f>
        <v>-</v>
      </c>
      <c r="N1059" t="str">
        <f>IF(Table4[[#This Row],[Adjusted Correct]]="-", "",IF(Table4[[#This Row],[Adjusted Correct]]="YES",(Table4[[#This Row],[Strength of Win]]-1)^2,(Table4[[#This Row],[Strength of Win]]-0)^2))</f>
        <v/>
      </c>
      <c r="P1059" s="11"/>
    </row>
    <row r="1060" spans="4:16" x14ac:dyDescent="0.2">
      <c r="D1060" s="1">
        <v>46096</v>
      </c>
      <c r="E1060" s="2">
        <v>0.79166666666666663</v>
      </c>
      <c r="F1060" t="s">
        <v>18</v>
      </c>
      <c r="G1060">
        <f>VLOOKUP(Table4[[#This Row],[Home]],'NHL Model'!$A$6:$B$38,2,FALSE)</f>
        <v>-8.6274676766085606E-2</v>
      </c>
      <c r="H1060" t="s">
        <v>31</v>
      </c>
      <c r="I1060">
        <f>VLOOKUP(Table4[[#This Row],[Visitor]],'NHL Model'!$A$6:$B$38,2,FALSE)</f>
        <v>-0.46360583111358089</v>
      </c>
      <c r="J1060">
        <f>($B$1+Table4[[#This Row],[Home Differential]])-Table4[[#This Row],[Away Differential]]</f>
        <v>0.50693814015901939</v>
      </c>
      <c r="K1060" t="str">
        <f>IF(Table4[[#This Row],[HomeIce Differential]]&gt;0,Table4[[#This Row],[Home]],Table4[[#This Row],[Visitor]])</f>
        <v>Montreal Canadiens</v>
      </c>
      <c r="L10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0.61094266417758447</v>
      </c>
      <c r="M1060" t="str">
        <f>IF(OR((NHL2025_26Results[[#This Row],[Winning Team]]="")),"-",IF(Table4[[#This Row],[Predicted Winner]]=NHL2025_26Results[[#This Row],[Winning Team]],"YES","NO"))</f>
        <v>-</v>
      </c>
      <c r="N1060" t="str">
        <f>IF(Table4[[#This Row],[Adjusted Correct]]="-", "",IF(Table4[[#This Row],[Adjusted Correct]]="YES",(Table4[[#This Row],[Strength of Win]]-1)^2,(Table4[[#This Row],[Strength of Win]]-0)^2))</f>
        <v/>
      </c>
      <c r="P1060" s="11"/>
    </row>
    <row r="1061" spans="4:16" x14ac:dyDescent="0.2">
      <c r="D1061" s="1">
        <v>46096</v>
      </c>
      <c r="E1061" s="2">
        <v>0.70833333333333337</v>
      </c>
      <c r="F1061" t="s">
        <v>36</v>
      </c>
      <c r="G1061">
        <f>VLOOKUP(Table4[[#This Row],[Home]],'NHL Model'!$A$6:$B$38,2,FALSE)</f>
        <v>-0.19010748264223354</v>
      </c>
      <c r="H1061" t="s">
        <v>33</v>
      </c>
      <c r="I1061">
        <f>VLOOKUP(Table4[[#This Row],[Visitor]],'NHL Model'!$A$6:$B$38,2,FALSE)</f>
        <v>-0.65236582493376272</v>
      </c>
      <c r="J1061">
        <f>($B$1+Table4[[#This Row],[Home Differential]])-Table4[[#This Row],[Away Differential]]</f>
        <v>0.59186532810305326</v>
      </c>
      <c r="K1061" t="str">
        <f>IF(Table4[[#This Row],[HomeIce Differential]]&gt;0,Table4[[#This Row],[Home]],Table4[[#This Row],[Visitor]])</f>
        <v>Ottawa Senators</v>
      </c>
      <c r="L10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0.6064628459580752</v>
      </c>
      <c r="M1061" t="str">
        <f>IF(OR((NHL2025_26Results[[#This Row],[Winning Team]]="")),"-",IF(Table4[[#This Row],[Predicted Winner]]=NHL2025_26Results[[#This Row],[Winning Team]],"YES","NO"))</f>
        <v>-</v>
      </c>
      <c r="N1061" t="str">
        <f>IF(Table4[[#This Row],[Adjusted Correct]]="-", "",IF(Table4[[#This Row],[Adjusted Correct]]="YES",(Table4[[#This Row],[Strength of Win]]-1)^2,(Table4[[#This Row],[Strength of Win]]-0)^2))</f>
        <v/>
      </c>
      <c r="P1061" s="11"/>
    </row>
    <row r="1062" spans="4:16" x14ac:dyDescent="0.2">
      <c r="D1062" s="1">
        <v>46096</v>
      </c>
      <c r="E1062" s="2">
        <v>0.83333333333333337</v>
      </c>
      <c r="F1062" t="s">
        <v>32</v>
      </c>
      <c r="G1062">
        <f>VLOOKUP(Table4[[#This Row],[Home]],'NHL Model'!$A$6:$B$38,2,FALSE)</f>
        <v>-0.48236715437805205</v>
      </c>
      <c r="H1062" t="s">
        <v>11</v>
      </c>
      <c r="I1062">
        <f>VLOOKUP(Table4[[#This Row],[Visitor]],'NHL Model'!$A$6:$B$38,2,FALSE)</f>
        <v>-0.55695213126481558</v>
      </c>
      <c r="J1062">
        <f>($B$1+Table4[[#This Row],[Home Differential]])-Table4[[#This Row],[Away Differential]]</f>
        <v>0.20419196269828765</v>
      </c>
      <c r="K1062" t="str">
        <f>IF(Table4[[#This Row],[HomeIce Differential]]&gt;0,Table4[[#This Row],[Home]],Table4[[#This Row],[Visitor]])</f>
        <v>Seattle Kraken</v>
      </c>
      <c r="L10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0.52364277169862572</v>
      </c>
      <c r="M1062" t="str">
        <f>IF(OR((NHL2025_26Results[[#This Row],[Winning Team]]="")),"-",IF(Table4[[#This Row],[Predicted Winner]]=NHL2025_26Results[[#This Row],[Winning Team]],"YES","NO"))</f>
        <v>-</v>
      </c>
      <c r="N1062" t="str">
        <f>IF(Table4[[#This Row],[Adjusted Correct]]="-", "",IF(Table4[[#This Row],[Adjusted Correct]]="YES",(Table4[[#This Row],[Strength of Win]]-1)^2,(Table4[[#This Row],[Strength of Win]]-0)^2))</f>
        <v/>
      </c>
      <c r="P1062" s="11"/>
    </row>
    <row r="1063" spans="4:16" x14ac:dyDescent="0.2">
      <c r="D1063" s="1">
        <v>46096</v>
      </c>
      <c r="E1063" s="2">
        <v>0.625</v>
      </c>
      <c r="F1063" t="s">
        <v>40</v>
      </c>
      <c r="G1063">
        <f>VLOOKUP(Table4[[#This Row],[Home]],'NHL Model'!$A$6:$B$38,2,FALSE)</f>
        <v>-0.58845147248022256</v>
      </c>
      <c r="H1063" t="s">
        <v>35</v>
      </c>
      <c r="I1063">
        <f>VLOOKUP(Table4[[#This Row],[Visitor]],'NHL Model'!$A$6:$B$38,2,FALSE)</f>
        <v>-1.3128572733047907</v>
      </c>
      <c r="J1063">
        <f>($B$1+Table4[[#This Row],[Home Differential]])-Table4[[#This Row],[Away Differential]]</f>
        <v>0.85401278663609226</v>
      </c>
      <c r="K1063" t="str">
        <f>IF(Table4[[#This Row],[HomeIce Differential]]&gt;0,Table4[[#This Row],[Home]],Table4[[#This Row],[Visitor]])</f>
        <v>Winnipeg Jets</v>
      </c>
      <c r="L10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0.63590039758932837</v>
      </c>
      <c r="M1063" t="str">
        <f>IF(OR((NHL2025_26Results[[#This Row],[Winning Team]]="")),"-",IF(Table4[[#This Row],[Predicted Winner]]=NHL2025_26Results[[#This Row],[Winning Team]],"YES","NO"))</f>
        <v>-</v>
      </c>
      <c r="N1063" t="str">
        <f>IF(Table4[[#This Row],[Adjusted Correct]]="-", "",IF(Table4[[#This Row],[Adjusted Correct]]="YES",(Table4[[#This Row],[Strength of Win]]-1)^2,(Table4[[#This Row],[Strength of Win]]-0)^2))</f>
        <v/>
      </c>
      <c r="P1063" s="11"/>
    </row>
    <row r="1064" spans="4:16" x14ac:dyDescent="0.2">
      <c r="D1064" s="1">
        <v>46097</v>
      </c>
      <c r="E1064" s="2">
        <v>0.89583333333333337</v>
      </c>
      <c r="F1064" t="s">
        <v>12</v>
      </c>
      <c r="G1064">
        <f>VLOOKUP(Table4[[#This Row],[Home]],'NHL Model'!$A$6:$B$38,2,FALSE)</f>
        <v>0.99866683349964291</v>
      </c>
      <c r="H1064" t="s">
        <v>14</v>
      </c>
      <c r="I1064">
        <f>VLOOKUP(Table4[[#This Row],[Visitor]],'NHL Model'!$A$6:$B$38,2,FALSE)</f>
        <v>3.6349513460996066E-5</v>
      </c>
      <c r="J1064">
        <f>($B$1+Table4[[#This Row],[Home Differential]])-Table4[[#This Row],[Away Differential]]</f>
        <v>1.128237469797706</v>
      </c>
      <c r="K1064" t="str">
        <f>IF(Table4[[#This Row],[HomeIce Differential]]&gt;0,Table4[[#This Row],[Home]],Table4[[#This Row],[Visitor]])</f>
        <v>Colorado Avalanche</v>
      </c>
      <c r="L10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0.6942617150345689</v>
      </c>
      <c r="M1064" t="str">
        <f>IF(OR((NHL2025_26Results[[#This Row],[Winning Team]]="")),"-",IF(Table4[[#This Row],[Predicted Winner]]=NHL2025_26Results[[#This Row],[Winning Team]],"YES","NO"))</f>
        <v>-</v>
      </c>
      <c r="N1064" t="str">
        <f>IF(Table4[[#This Row],[Adjusted Correct]]="-", "",IF(Table4[[#This Row],[Adjusted Correct]]="YES",(Table4[[#This Row],[Strength of Win]]-1)^2,(Table4[[#This Row],[Strength of Win]]-0)^2))</f>
        <v/>
      </c>
      <c r="P1064" s="11"/>
    </row>
    <row r="1065" spans="4:16" x14ac:dyDescent="0.2">
      <c r="D1065" s="1">
        <v>46097</v>
      </c>
      <c r="E1065" s="2">
        <v>0.83333333333333337</v>
      </c>
      <c r="F1065" t="s">
        <v>39</v>
      </c>
      <c r="G1065">
        <f>VLOOKUP(Table4[[#This Row],[Home]],'NHL Model'!$A$6:$B$38,2,FALSE)</f>
        <v>0.21708030788125537</v>
      </c>
      <c r="H1065" t="s">
        <v>55</v>
      </c>
      <c r="I1065">
        <f>VLOOKUP(Table4[[#This Row],[Visitor]],'NHL Model'!$A$6:$B$38,2,FALSE)</f>
        <v>8.4094725828611647E-2</v>
      </c>
      <c r="J1065">
        <f>($B$1+Table4[[#This Row],[Home Differential]])-Table4[[#This Row],[Away Differential]]</f>
        <v>0.26259256786416785</v>
      </c>
      <c r="K1065" t="str">
        <f>IF(Table4[[#This Row],[HomeIce Differential]]&gt;0,Table4[[#This Row],[Home]],Table4[[#This Row],[Visitor]])</f>
        <v>Dallas Stars</v>
      </c>
      <c r="L10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0.60732573998143935</v>
      </c>
      <c r="M1065" t="str">
        <f>IF(OR((NHL2025_26Results[[#This Row],[Winning Team]]="")),"-",IF(Table4[[#This Row],[Predicted Winner]]=NHL2025_26Results[[#This Row],[Winning Team]],"YES","NO"))</f>
        <v>-</v>
      </c>
      <c r="N1065" t="str">
        <f>IF(Table4[[#This Row],[Adjusted Correct]]="-", "",IF(Table4[[#This Row],[Adjusted Correct]]="YES",(Table4[[#This Row],[Strength of Win]]-1)^2,(Table4[[#This Row],[Strength of Win]]-0)^2))</f>
        <v/>
      </c>
      <c r="P1065" s="11"/>
    </row>
    <row r="1066" spans="4:16" x14ac:dyDescent="0.2">
      <c r="D1066" s="1">
        <v>46097</v>
      </c>
      <c r="E1066" s="2">
        <v>0.79166666666666663</v>
      </c>
      <c r="F1066" t="s">
        <v>26</v>
      </c>
      <c r="G1066">
        <f>VLOOKUP(Table4[[#This Row],[Home]],'NHL Model'!$A$6:$B$38,2,FALSE)</f>
        <v>-0.33113778518110382</v>
      </c>
      <c r="H1066" t="s">
        <v>16</v>
      </c>
      <c r="I1066">
        <f>VLOOKUP(Table4[[#This Row],[Visitor]],'NHL Model'!$A$6:$B$38,2,FALSE)</f>
        <v>-0.89031221864884547</v>
      </c>
      <c r="J1066">
        <f>($B$1+Table4[[#This Row],[Home Differential]])-Table4[[#This Row],[Away Differential]]</f>
        <v>0.68878141927926573</v>
      </c>
      <c r="K1066" t="str">
        <f>IF(Table4[[#This Row],[HomeIce Differential]]&gt;0,Table4[[#This Row],[Home]],Table4[[#This Row],[Visitor]])</f>
        <v>Detroit Red Wings</v>
      </c>
      <c r="L10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0.64338366438158834</v>
      </c>
      <c r="M1066" t="str">
        <f>IF(OR((NHL2025_26Results[[#This Row],[Winning Team]]="")),"-",IF(Table4[[#This Row],[Predicted Winner]]=NHL2025_26Results[[#This Row],[Winning Team]],"YES","NO"))</f>
        <v>-</v>
      </c>
      <c r="N1066" t="str">
        <f>IF(Table4[[#This Row],[Adjusted Correct]]="-", "",IF(Table4[[#This Row],[Adjusted Correct]]="YES",(Table4[[#This Row],[Strength of Win]]-1)^2,(Table4[[#This Row],[Strength of Win]]-0)^2))</f>
        <v/>
      </c>
      <c r="P1066" s="11"/>
    </row>
    <row r="1067" spans="4:16" x14ac:dyDescent="0.2">
      <c r="D1067" s="1">
        <v>46097</v>
      </c>
      <c r="E1067" s="2">
        <v>0.79166666666666663</v>
      </c>
      <c r="F1067" t="s">
        <v>24</v>
      </c>
      <c r="G1067">
        <f>VLOOKUP(Table4[[#This Row],[Home]],'NHL Model'!$A$6:$B$38,2,FALSE)</f>
        <v>-0.74510803532792402</v>
      </c>
      <c r="H1067" t="s">
        <v>21</v>
      </c>
      <c r="I1067">
        <f>VLOOKUP(Table4[[#This Row],[Visitor]],'NHL Model'!$A$6:$B$38,2,FALSE)</f>
        <v>-0.10253061303059285</v>
      </c>
      <c r="J1067">
        <f>($B$1+Table4[[#This Row],[Home Differential]])-Table4[[#This Row],[Away Differential]]</f>
        <v>-0.51297043648580709</v>
      </c>
      <c r="K1067" t="str">
        <f>IF(Table4[[#This Row],[HomeIce Differential]]&gt;0,Table4[[#This Row],[Home]],Table4[[#This Row],[Visitor]])</f>
        <v>Boston Bruins</v>
      </c>
      <c r="L10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0.51760343355552418</v>
      </c>
      <c r="M1067" t="str">
        <f>IF(OR((NHL2025_26Results[[#This Row],[Winning Team]]="")),"-",IF(Table4[[#This Row],[Predicted Winner]]=NHL2025_26Results[[#This Row],[Winning Team]],"YES","NO"))</f>
        <v>-</v>
      </c>
      <c r="N1067" t="str">
        <f>IF(Table4[[#This Row],[Adjusted Correct]]="-", "",IF(Table4[[#This Row],[Adjusted Correct]]="YES",(Table4[[#This Row],[Strength of Win]]-1)^2,(Table4[[#This Row],[Strength of Win]]-0)^2))</f>
        <v/>
      </c>
      <c r="P1067" s="11"/>
    </row>
    <row r="1068" spans="4:16" x14ac:dyDescent="0.2">
      <c r="D1068" s="1">
        <v>46097</v>
      </c>
      <c r="E1068" s="2">
        <v>0.79166666666666663</v>
      </c>
      <c r="F1068" t="s">
        <v>15</v>
      </c>
      <c r="G1068">
        <f>VLOOKUP(Table4[[#This Row],[Home]],'NHL Model'!$A$6:$B$38,2,FALSE)</f>
        <v>-0.73651915476403329</v>
      </c>
      <c r="H1068" t="s">
        <v>13</v>
      </c>
      <c r="I1068">
        <f>VLOOKUP(Table4[[#This Row],[Visitor]],'NHL Model'!$A$6:$B$38,2,FALSE)</f>
        <v>-0.59069689888466137</v>
      </c>
      <c r="J1068">
        <f>($B$1+Table4[[#This Row],[Home Differential]])-Table4[[#This Row],[Away Differential]]</f>
        <v>-1.6215270067847842E-2</v>
      </c>
      <c r="K1068" t="str">
        <f>IF(Table4[[#This Row],[HomeIce Differential]]&gt;0,Table4[[#This Row],[Home]],Table4[[#This Row],[Visitor]])</f>
        <v>Los Angeles Kings</v>
      </c>
      <c r="L10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0.48259010613650738</v>
      </c>
      <c r="M1068" t="str">
        <f>IF(OR((NHL2025_26Results[[#This Row],[Winning Team]]="")),"-",IF(Table4[[#This Row],[Predicted Winner]]=NHL2025_26Results[[#This Row],[Winning Team]],"YES","NO"))</f>
        <v>-</v>
      </c>
      <c r="N1068" t="str">
        <f>IF(Table4[[#This Row],[Adjusted Correct]]="-", "",IF(Table4[[#This Row],[Adjusted Correct]]="YES",(Table4[[#This Row],[Strength of Win]]-1)^2,(Table4[[#This Row],[Strength of Win]]-0)^2))</f>
        <v/>
      </c>
      <c r="P1068" s="11"/>
    </row>
    <row r="1069" spans="4:16" x14ac:dyDescent="0.2">
      <c r="D1069" s="1">
        <v>46098</v>
      </c>
      <c r="E1069" s="2">
        <v>0.79166666666666663</v>
      </c>
      <c r="F1069" t="s">
        <v>28</v>
      </c>
      <c r="G1069">
        <f>VLOOKUP(Table4[[#This Row],[Home]],'NHL Model'!$A$6:$B$38,2,FALSE)</f>
        <v>-0.28156479873410767</v>
      </c>
      <c r="H1069" t="s">
        <v>25</v>
      </c>
      <c r="I1069">
        <f>VLOOKUP(Table4[[#This Row],[Visitor]],'NHL Model'!$A$6:$B$38,2,FALSE)</f>
        <v>0.2324942014830165</v>
      </c>
      <c r="J1069">
        <f>($B$1+Table4[[#This Row],[Home Differential]])-Table4[[#This Row],[Away Differential]]</f>
        <v>-0.38445201440560006</v>
      </c>
      <c r="K1069" t="str">
        <f>IF(Table4[[#This Row],[HomeIce Differential]]&gt;0,Table4[[#This Row],[Home]],Table4[[#This Row],[Visitor]])</f>
        <v>Carolina Hurricanes</v>
      </c>
      <c r="L10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0.55260556532730942</v>
      </c>
      <c r="M1069" t="str">
        <f>IF(OR((NHL2025_26Results[[#This Row],[Winning Team]]="")),"-",IF(Table4[[#This Row],[Predicted Winner]]=NHL2025_26Results[[#This Row],[Winning Team]],"YES","NO"))</f>
        <v>-</v>
      </c>
      <c r="N1069" t="str">
        <f>IF(Table4[[#This Row],[Adjusted Correct]]="-", "",IF(Table4[[#This Row],[Adjusted Correct]]="YES",(Table4[[#This Row],[Strength of Win]]-1)^2,(Table4[[#This Row],[Strength of Win]]-0)^2))</f>
        <v/>
      </c>
      <c r="P1069" s="11"/>
    </row>
    <row r="1070" spans="4:16" x14ac:dyDescent="0.2">
      <c r="D1070" s="1">
        <v>46098</v>
      </c>
      <c r="E1070" s="2">
        <v>0.8125</v>
      </c>
      <c r="F1070" t="s">
        <v>10</v>
      </c>
      <c r="G1070">
        <f>VLOOKUP(Table4[[#This Row],[Home]],'NHL Model'!$A$6:$B$38,2,FALSE)</f>
        <v>-0.92658078135875344</v>
      </c>
      <c r="H1070" t="s">
        <v>34</v>
      </c>
      <c r="I1070">
        <f>VLOOKUP(Table4[[#This Row],[Visitor]],'NHL Model'!$A$6:$B$38,2,FALSE)</f>
        <v>6.0485283743665949E-2</v>
      </c>
      <c r="J1070">
        <f>($B$1+Table4[[#This Row],[Home Differential]])-Table4[[#This Row],[Away Differential]]</f>
        <v>-0.85745907929089527</v>
      </c>
      <c r="K1070" t="str">
        <f>IF(Table4[[#This Row],[HomeIce Differential]]&gt;0,Table4[[#This Row],[Home]],Table4[[#This Row],[Visitor]])</f>
        <v>Minnesota Wild</v>
      </c>
      <c r="L10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0.62555265040821995</v>
      </c>
      <c r="M1070" t="str">
        <f>IF(OR((NHL2025_26Results[[#This Row],[Winning Team]]="")),"-",IF(Table4[[#This Row],[Predicted Winner]]=NHL2025_26Results[[#This Row],[Winning Team]],"YES","NO"))</f>
        <v>-</v>
      </c>
      <c r="N1070" t="str">
        <f>IF(Table4[[#This Row],[Adjusted Correct]]="-", "",IF(Table4[[#This Row],[Adjusted Correct]]="YES",(Table4[[#This Row],[Strength of Win]]-1)^2,(Table4[[#This Row],[Strength of Win]]-0)^2))</f>
        <v/>
      </c>
      <c r="P1070" s="11"/>
    </row>
    <row r="1071" spans="4:16" x14ac:dyDescent="0.2">
      <c r="D1071" s="1">
        <v>46098</v>
      </c>
      <c r="E1071" s="2">
        <v>0.875</v>
      </c>
      <c r="F1071" t="s">
        <v>17</v>
      </c>
      <c r="G1071">
        <f>VLOOKUP(Table4[[#This Row],[Home]],'NHL Model'!$A$6:$B$38,2,FALSE)</f>
        <v>-0.36462594951491906</v>
      </c>
      <c r="H1071" t="s">
        <v>33</v>
      </c>
      <c r="I1071">
        <f>VLOOKUP(Table4[[#This Row],[Visitor]],'NHL Model'!$A$6:$B$38,2,FALSE)</f>
        <v>-0.65236582493376272</v>
      </c>
      <c r="J1071">
        <f>($B$1+Table4[[#This Row],[Home Differential]])-Table4[[#This Row],[Away Differential]]</f>
        <v>0.41734686123036779</v>
      </c>
      <c r="K1071" t="str">
        <f>IF(Table4[[#This Row],[HomeIce Differential]]&gt;0,Table4[[#This Row],[Home]],Table4[[#This Row],[Visitor]])</f>
        <v>Edmonton Oilers</v>
      </c>
      <c r="L10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0.5868654925909268</v>
      </c>
      <c r="M1071" t="str">
        <f>IF(OR((NHL2025_26Results[[#This Row],[Winning Team]]="")),"-",IF(Table4[[#This Row],[Predicted Winner]]=NHL2025_26Results[[#This Row],[Winning Team]],"YES","NO"))</f>
        <v>-</v>
      </c>
      <c r="N1071" t="str">
        <f>IF(Table4[[#This Row],[Adjusted Correct]]="-", "",IF(Table4[[#This Row],[Adjusted Correct]]="YES",(Table4[[#This Row],[Strength of Win]]-1)^2,(Table4[[#This Row],[Strength of Win]]-0)^2))</f>
        <v/>
      </c>
      <c r="P1071" s="11"/>
    </row>
    <row r="1072" spans="4:16" x14ac:dyDescent="0.2">
      <c r="D1072" s="1">
        <v>46098</v>
      </c>
      <c r="E1072" s="2">
        <v>0.79166666666666663</v>
      </c>
      <c r="F1072" t="s">
        <v>18</v>
      </c>
      <c r="G1072">
        <f>VLOOKUP(Table4[[#This Row],[Home]],'NHL Model'!$A$6:$B$38,2,FALSE)</f>
        <v>-8.6274676766085606E-2</v>
      </c>
      <c r="H1072" t="s">
        <v>21</v>
      </c>
      <c r="I1072">
        <f>VLOOKUP(Table4[[#This Row],[Visitor]],'NHL Model'!$A$6:$B$38,2,FALSE)</f>
        <v>-0.10253061303059285</v>
      </c>
      <c r="J1072">
        <f>($B$1+Table4[[#This Row],[Home Differential]])-Table4[[#This Row],[Away Differential]]</f>
        <v>0.14586292207603135</v>
      </c>
      <c r="K1072" t="str">
        <f>IF(Table4[[#This Row],[HomeIce Differential]]&gt;0,Table4[[#This Row],[Home]],Table4[[#This Row],[Visitor]])</f>
        <v>Montreal Canadiens</v>
      </c>
      <c r="L10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0.57039613195269023</v>
      </c>
      <c r="M1072" t="str">
        <f>IF(OR((NHL2025_26Results[[#This Row],[Winning Team]]="")),"-",IF(Table4[[#This Row],[Predicted Winner]]=NHL2025_26Results[[#This Row],[Winning Team]],"YES","NO"))</f>
        <v>-</v>
      </c>
      <c r="N1072" t="str">
        <f>IF(Table4[[#This Row],[Adjusted Correct]]="-", "",IF(Table4[[#This Row],[Adjusted Correct]]="YES",(Table4[[#This Row],[Strength of Win]]-1)^2,(Table4[[#This Row],[Strength of Win]]-0)^2))</f>
        <v/>
      </c>
      <c r="P1072" s="11"/>
    </row>
    <row r="1073" spans="4:16" x14ac:dyDescent="0.2">
      <c r="D1073" s="1">
        <v>46098</v>
      </c>
      <c r="E1073" s="2">
        <v>0.91666666666666663</v>
      </c>
      <c r="F1073" t="s">
        <v>32</v>
      </c>
      <c r="G1073">
        <f>VLOOKUP(Table4[[#This Row],[Home]],'NHL Model'!$A$6:$B$38,2,FALSE)</f>
        <v>-0.48236715437805205</v>
      </c>
      <c r="H1073" t="s">
        <v>37</v>
      </c>
      <c r="I1073">
        <f>VLOOKUP(Table4[[#This Row],[Visitor]],'NHL Model'!$A$6:$B$38,2,FALSE)</f>
        <v>0.72108184732572844</v>
      </c>
      <c r="J1073">
        <f>($B$1+Table4[[#This Row],[Home Differential]])-Table4[[#This Row],[Away Differential]]</f>
        <v>-1.0738420158922564</v>
      </c>
      <c r="K1073" t="str">
        <f>IF(Table4[[#This Row],[HomeIce Differential]]&gt;0,Table4[[#This Row],[Home]],Table4[[#This Row],[Visitor]])</f>
        <v>Tampa Bay Lightning</v>
      </c>
      <c r="L10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0.67744401935860488</v>
      </c>
      <c r="M1073" t="str">
        <f>IF(OR((NHL2025_26Results[[#This Row],[Winning Team]]="")),"-",IF(Table4[[#This Row],[Predicted Winner]]=NHL2025_26Results[[#This Row],[Winning Team]],"YES","NO"))</f>
        <v>-</v>
      </c>
      <c r="N1073" t="str">
        <f>IF(Table4[[#This Row],[Adjusted Correct]]="-", "",IF(Table4[[#This Row],[Adjusted Correct]]="YES",(Table4[[#This Row],[Strength of Win]]-1)^2,(Table4[[#This Row],[Strength of Win]]-0)^2))</f>
        <v/>
      </c>
      <c r="P1073" s="11"/>
    </row>
    <row r="1074" spans="4:16" x14ac:dyDescent="0.2">
      <c r="D1074" s="1">
        <v>46098</v>
      </c>
      <c r="E1074" s="2">
        <v>0.79166666666666663</v>
      </c>
      <c r="F1074" t="s">
        <v>19</v>
      </c>
      <c r="G1074">
        <f>VLOOKUP(Table4[[#This Row],[Home]],'NHL Model'!$A$6:$B$38,2,FALSE)</f>
        <v>-0.44228056828684137</v>
      </c>
      <c r="H1074" t="s">
        <v>30</v>
      </c>
      <c r="I1074">
        <f>VLOOKUP(Table4[[#This Row],[Visitor]],'NHL Model'!$A$6:$B$38,2,FALSE)</f>
        <v>-0.18630462558229716</v>
      </c>
      <c r="J1074">
        <f>($B$1+Table4[[#This Row],[Home Differential]])-Table4[[#This Row],[Away Differential]]</f>
        <v>-0.12636895689302013</v>
      </c>
      <c r="K1074" t="str">
        <f>IF(Table4[[#This Row],[HomeIce Differential]]&gt;0,Table4[[#This Row],[Home]],Table4[[#This Row],[Visitor]])</f>
        <v>New York Islanders</v>
      </c>
      <c r="L10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0.51108486867413827</v>
      </c>
      <c r="M1074" t="str">
        <f>IF(OR((NHL2025_26Results[[#This Row],[Winning Team]]="")),"-",IF(Table4[[#This Row],[Predicted Winner]]=NHL2025_26Results[[#This Row],[Winning Team]],"YES","NO"))</f>
        <v>-</v>
      </c>
      <c r="N1074" t="str">
        <f>IF(Table4[[#This Row],[Adjusted Correct]]="-", "",IF(Table4[[#This Row],[Adjusted Correct]]="YES",(Table4[[#This Row],[Strength of Win]]-1)^2,(Table4[[#This Row],[Strength of Win]]-0)^2))</f>
        <v/>
      </c>
      <c r="P1074" s="11"/>
    </row>
    <row r="1075" spans="4:16" x14ac:dyDescent="0.2">
      <c r="D1075" s="1">
        <v>46098</v>
      </c>
      <c r="E1075" s="2">
        <v>0.91666666666666663</v>
      </c>
      <c r="F1075" t="s">
        <v>38</v>
      </c>
      <c r="G1075">
        <f>VLOOKUP(Table4[[#This Row],[Home]],'NHL Model'!$A$6:$B$38,2,FALSE)</f>
        <v>-1.3920033028857945</v>
      </c>
      <c r="H1075" t="s">
        <v>11</v>
      </c>
      <c r="I1075">
        <f>VLOOKUP(Table4[[#This Row],[Visitor]],'NHL Model'!$A$6:$B$38,2,FALSE)</f>
        <v>-0.55695213126481558</v>
      </c>
      <c r="J1075">
        <f>($B$1+Table4[[#This Row],[Home Differential]])-Table4[[#This Row],[Away Differential]]</f>
        <v>-0.70544418580945489</v>
      </c>
      <c r="K1075" t="str">
        <f>IF(Table4[[#This Row],[HomeIce Differential]]&gt;0,Table4[[#This Row],[Home]],Table4[[#This Row],[Visitor]])</f>
        <v>Florida Panthers</v>
      </c>
      <c r="L10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0.57850378824590332</v>
      </c>
      <c r="M1075" t="str">
        <f>IF(OR((NHL2025_26Results[[#This Row],[Winning Team]]="")),"-",IF(Table4[[#This Row],[Predicted Winner]]=NHL2025_26Results[[#This Row],[Winning Team]],"YES","NO"))</f>
        <v>-</v>
      </c>
      <c r="N1075" t="str">
        <f>IF(Table4[[#This Row],[Adjusted Correct]]="-", "",IF(Table4[[#This Row],[Adjusted Correct]]="YES",(Table4[[#This Row],[Strength of Win]]-1)^2,(Table4[[#This Row],[Strength of Win]]-0)^2))</f>
        <v/>
      </c>
      <c r="P1075" s="11"/>
    </row>
    <row r="1076" spans="4:16" x14ac:dyDescent="0.2">
      <c r="D1076" s="1">
        <v>46098</v>
      </c>
      <c r="E1076" s="2">
        <v>0.91666666666666663</v>
      </c>
      <c r="F1076" t="s">
        <v>20</v>
      </c>
      <c r="G1076">
        <f>VLOOKUP(Table4[[#This Row],[Home]],'NHL Model'!$A$6:$B$38,2,FALSE)</f>
        <v>-0.16296463421387539</v>
      </c>
      <c r="H1076" t="s">
        <v>23</v>
      </c>
      <c r="I1076">
        <f>VLOOKUP(Table4[[#This Row],[Visitor]],'NHL Model'!$A$6:$B$38,2,FALSE)</f>
        <v>8.1543966060426461E-3</v>
      </c>
      <c r="J1076">
        <f>($B$1+Table4[[#This Row],[Home Differential]])-Table4[[#This Row],[Away Differential]]</f>
        <v>-4.1512045008393929E-2</v>
      </c>
      <c r="K1076" t="str">
        <f>IF(Table4[[#This Row],[HomeIce Differential]]&gt;0,Table4[[#This Row],[Home]],Table4[[#This Row],[Visitor]])</f>
        <v>Buffalo Sabres</v>
      </c>
      <c r="L10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0.50155595796544428</v>
      </c>
      <c r="M1076" t="str">
        <f>IF(OR((NHL2025_26Results[[#This Row],[Winning Team]]="")),"-",IF(Table4[[#This Row],[Predicted Winner]]=NHL2025_26Results[[#This Row],[Winning Team]],"YES","NO"))</f>
        <v>-</v>
      </c>
      <c r="N1076" t="str">
        <f>IF(Table4[[#This Row],[Adjusted Correct]]="-", "",IF(Table4[[#This Row],[Adjusted Correct]]="YES",(Table4[[#This Row],[Strength of Win]]-1)^2,(Table4[[#This Row],[Strength of Win]]-0)^2))</f>
        <v/>
      </c>
      <c r="P1076" s="11"/>
    </row>
    <row r="1077" spans="4:16" x14ac:dyDescent="0.2">
      <c r="D1077" s="1">
        <v>46098</v>
      </c>
      <c r="E1077" s="2">
        <v>0.83333333333333337</v>
      </c>
      <c r="F1077" t="s">
        <v>40</v>
      </c>
      <c r="G1077">
        <f>VLOOKUP(Table4[[#This Row],[Home]],'NHL Model'!$A$6:$B$38,2,FALSE)</f>
        <v>-0.58845147248022256</v>
      </c>
      <c r="H1077" t="s">
        <v>29</v>
      </c>
      <c r="I1077">
        <f>VLOOKUP(Table4[[#This Row],[Visitor]],'NHL Model'!$A$6:$B$38,2,FALSE)</f>
        <v>-0.82056481120798741</v>
      </c>
      <c r="J1077">
        <f>($B$1+Table4[[#This Row],[Home Differential]])-Table4[[#This Row],[Away Differential]]</f>
        <v>0.36172032453928893</v>
      </c>
      <c r="K1077" t="str">
        <f>IF(Table4[[#This Row],[HomeIce Differential]]&gt;0,Table4[[#This Row],[Home]],Table4[[#This Row],[Visitor]])</f>
        <v>Winnipeg Jets</v>
      </c>
      <c r="L10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0.5806189737229781</v>
      </c>
      <c r="M1077" t="str">
        <f>IF(OR((NHL2025_26Results[[#This Row],[Winning Team]]="")),"-",IF(Table4[[#This Row],[Predicted Winner]]=NHL2025_26Results[[#This Row],[Winning Team]],"YES","NO"))</f>
        <v>-</v>
      </c>
      <c r="N1077" t="str">
        <f>IF(Table4[[#This Row],[Adjusted Correct]]="-", "",IF(Table4[[#This Row],[Adjusted Correct]]="YES",(Table4[[#This Row],[Strength of Win]]-1)^2,(Table4[[#This Row],[Strength of Win]]-0)^2))</f>
        <v/>
      </c>
      <c r="P1077" s="11"/>
    </row>
    <row r="1078" spans="4:16" x14ac:dyDescent="0.2">
      <c r="D1078" s="1">
        <v>46099</v>
      </c>
      <c r="E1078" s="2">
        <v>0.91666666666666663</v>
      </c>
      <c r="F1078" t="s">
        <v>31</v>
      </c>
      <c r="G1078">
        <f>VLOOKUP(Table4[[#This Row],[Home]],'NHL Model'!$A$6:$B$38,2,FALSE)</f>
        <v>-0.46360583111358089</v>
      </c>
      <c r="H1078" t="s">
        <v>27</v>
      </c>
      <c r="I1078">
        <f>VLOOKUP(Table4[[#This Row],[Visitor]],'NHL Model'!$A$6:$B$38,2,FALSE)</f>
        <v>-0.55097933929175691</v>
      </c>
      <c r="J1078">
        <f>($B$1+Table4[[#This Row],[Home Differential]])-Table4[[#This Row],[Away Differential]]</f>
        <v>0.2169804939897001</v>
      </c>
      <c r="K1078" t="str">
        <f>IF(Table4[[#This Row],[HomeIce Differential]]&gt;0,Table4[[#This Row],[Home]],Table4[[#This Row],[Visitor]])</f>
        <v>Anaheim Ducks</v>
      </c>
      <c r="L10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0.61608155488985605</v>
      </c>
      <c r="M1078" t="str">
        <f>IF(OR((NHL2025_26Results[[#This Row],[Winning Team]]="")),"-",IF(Table4[[#This Row],[Predicted Winner]]=NHL2025_26Results[[#This Row],[Winning Team]],"YES","NO"))</f>
        <v>-</v>
      </c>
      <c r="N1078" t="str">
        <f>IF(Table4[[#This Row],[Adjusted Correct]]="-", "",IF(Table4[[#This Row],[Adjusted Correct]]="YES",(Table4[[#This Row],[Strength of Win]]-1)^2,(Table4[[#This Row],[Strength of Win]]-0)^2))</f>
        <v/>
      </c>
      <c r="P1078" s="11"/>
    </row>
    <row r="1079" spans="4:16" x14ac:dyDescent="0.2">
      <c r="D1079" s="1">
        <v>46099</v>
      </c>
      <c r="E1079" s="2">
        <v>0.79166666666666663</v>
      </c>
      <c r="F1079" t="s">
        <v>25</v>
      </c>
      <c r="G1079">
        <f>VLOOKUP(Table4[[#This Row],[Home]],'NHL Model'!$A$6:$B$38,2,FALSE)</f>
        <v>0.2324942014830165</v>
      </c>
      <c r="H1079" t="s">
        <v>14</v>
      </c>
      <c r="I1079">
        <f>VLOOKUP(Table4[[#This Row],[Visitor]],'NHL Model'!$A$6:$B$38,2,FALSE)</f>
        <v>3.6349513460996066E-5</v>
      </c>
      <c r="J1079">
        <f>($B$1+Table4[[#This Row],[Home Differential]])-Table4[[#This Row],[Away Differential]]</f>
        <v>0.36206483778107962</v>
      </c>
      <c r="K1079" t="str">
        <f>IF(Table4[[#This Row],[HomeIce Differential]]&gt;0,Table4[[#This Row],[Home]],Table4[[#This Row],[Visitor]])</f>
        <v>Carolina Hurricanes</v>
      </c>
      <c r="L10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0.58309308480109678</v>
      </c>
      <c r="M1079" t="str">
        <f>IF(OR((NHL2025_26Results[[#This Row],[Winning Team]]="")),"-",IF(Table4[[#This Row],[Predicted Winner]]=NHL2025_26Results[[#This Row],[Winning Team]],"YES","NO"))</f>
        <v>-</v>
      </c>
      <c r="N1079" t="str">
        <f>IF(Table4[[#This Row],[Adjusted Correct]]="-", "",IF(Table4[[#This Row],[Adjusted Correct]]="YES",(Table4[[#This Row],[Strength of Win]]-1)^2,(Table4[[#This Row],[Strength of Win]]-0)^2))</f>
        <v/>
      </c>
      <c r="P1079" s="11"/>
    </row>
    <row r="1080" spans="4:16" x14ac:dyDescent="0.2">
      <c r="D1080" s="1">
        <v>46099</v>
      </c>
      <c r="E1080" s="2">
        <v>0.89583333333333337</v>
      </c>
      <c r="F1080" t="s">
        <v>16</v>
      </c>
      <c r="G1080">
        <f>VLOOKUP(Table4[[#This Row],[Home]],'NHL Model'!$A$6:$B$38,2,FALSE)</f>
        <v>-0.89031221864884547</v>
      </c>
      <c r="H1080" t="s">
        <v>35</v>
      </c>
      <c r="I1080">
        <f>VLOOKUP(Table4[[#This Row],[Visitor]],'NHL Model'!$A$6:$B$38,2,FALSE)</f>
        <v>-1.3128572733047907</v>
      </c>
      <c r="J1080">
        <f>($B$1+Table4[[#This Row],[Home Differential]])-Table4[[#This Row],[Away Differential]]</f>
        <v>0.55215204046746935</v>
      </c>
      <c r="K1080" t="str">
        <f>IF(Table4[[#This Row],[HomeIce Differential]]&gt;0,Table4[[#This Row],[Home]],Table4[[#This Row],[Visitor]])</f>
        <v>Calgary Flames</v>
      </c>
      <c r="L10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0.60200328735025455</v>
      </c>
      <c r="M1080" t="str">
        <f>IF(OR((NHL2025_26Results[[#This Row],[Winning Team]]="")),"-",IF(Table4[[#This Row],[Predicted Winner]]=NHL2025_26Results[[#This Row],[Winning Team]],"YES","NO"))</f>
        <v>-</v>
      </c>
      <c r="N1080" t="str">
        <f>IF(Table4[[#This Row],[Adjusted Correct]]="-", "",IF(Table4[[#This Row],[Adjusted Correct]]="YES",(Table4[[#This Row],[Strength of Win]]-1)^2,(Table4[[#This Row],[Strength of Win]]-0)^2))</f>
        <v/>
      </c>
      <c r="P1080" s="11"/>
    </row>
    <row r="1081" spans="4:16" x14ac:dyDescent="0.2">
      <c r="D1081" s="1">
        <v>46099</v>
      </c>
      <c r="E1081" s="2">
        <v>0.89583333333333337</v>
      </c>
      <c r="F1081" t="s">
        <v>12</v>
      </c>
      <c r="G1081">
        <f>VLOOKUP(Table4[[#This Row],[Home]],'NHL Model'!$A$6:$B$38,2,FALSE)</f>
        <v>0.99866683349964291</v>
      </c>
      <c r="H1081" t="s">
        <v>39</v>
      </c>
      <c r="I1081">
        <f>VLOOKUP(Table4[[#This Row],[Visitor]],'NHL Model'!$A$6:$B$38,2,FALSE)</f>
        <v>0.21708030788125537</v>
      </c>
      <c r="J1081">
        <f>($B$1+Table4[[#This Row],[Home Differential]])-Table4[[#This Row],[Away Differential]]</f>
        <v>0.91119351142991167</v>
      </c>
      <c r="K1081" t="str">
        <f>IF(Table4[[#This Row],[HomeIce Differential]]&gt;0,Table4[[#This Row],[Home]],Table4[[#This Row],[Visitor]])</f>
        <v>Colorado Avalanche</v>
      </c>
      <c r="L10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0.66595780588448816</v>
      </c>
      <c r="M1081" t="str">
        <f>IF(OR((NHL2025_26Results[[#This Row],[Winning Team]]="")),"-",IF(Table4[[#This Row],[Predicted Winner]]=NHL2025_26Results[[#This Row],[Winning Team]],"YES","NO"))</f>
        <v>-</v>
      </c>
      <c r="N1081" t="str">
        <f>IF(Table4[[#This Row],[Adjusted Correct]]="-", "",IF(Table4[[#This Row],[Adjusted Correct]]="YES",(Table4[[#This Row],[Strength of Win]]-1)^2,(Table4[[#This Row],[Strength of Win]]-0)^2))</f>
        <v/>
      </c>
      <c r="P1081" s="11"/>
    </row>
    <row r="1082" spans="4:16" x14ac:dyDescent="0.2">
      <c r="D1082" s="1">
        <v>46099</v>
      </c>
      <c r="E1082" s="2">
        <v>0.79166666666666663</v>
      </c>
      <c r="F1082" t="s">
        <v>15</v>
      </c>
      <c r="G1082">
        <f>VLOOKUP(Table4[[#This Row],[Home]],'NHL Model'!$A$6:$B$38,2,FALSE)</f>
        <v>-0.73651915476403329</v>
      </c>
      <c r="H1082" t="s">
        <v>24</v>
      </c>
      <c r="I1082">
        <f>VLOOKUP(Table4[[#This Row],[Visitor]],'NHL Model'!$A$6:$B$38,2,FALSE)</f>
        <v>-0.74510803532792402</v>
      </c>
      <c r="J1082">
        <f>($B$1+Table4[[#This Row],[Home Differential]])-Table4[[#This Row],[Away Differential]]</f>
        <v>0.13819586637541481</v>
      </c>
      <c r="K1082" t="str">
        <f>IF(Table4[[#This Row],[HomeIce Differential]]&gt;0,Table4[[#This Row],[Home]],Table4[[#This Row],[Visitor]])</f>
        <v>New York Rangers</v>
      </c>
      <c r="L10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0.53474931735790787</v>
      </c>
      <c r="M1082" t="str">
        <f>IF(OR((NHL2025_26Results[[#This Row],[Winning Team]]="")),"-",IF(Table4[[#This Row],[Predicted Winner]]=NHL2025_26Results[[#This Row],[Winning Team]],"YES","NO"))</f>
        <v>-</v>
      </c>
      <c r="N1082" t="str">
        <f>IF(Table4[[#This Row],[Adjusted Correct]]="-", "",IF(Table4[[#This Row],[Adjusted Correct]]="YES",(Table4[[#This Row],[Strength of Win]]-1)^2,(Table4[[#This Row],[Strength of Win]]-0)^2))</f>
        <v/>
      </c>
      <c r="P1082" s="11"/>
    </row>
    <row r="1083" spans="4:16" x14ac:dyDescent="0.2">
      <c r="D1083" s="1">
        <v>46099</v>
      </c>
      <c r="E1083" s="2">
        <v>0.8125</v>
      </c>
      <c r="F1083" t="s">
        <v>22</v>
      </c>
      <c r="G1083">
        <f>VLOOKUP(Table4[[#This Row],[Home]],'NHL Model'!$A$6:$B$38,2,FALSE)</f>
        <v>-0.11977593183651415</v>
      </c>
      <c r="H1083" t="s">
        <v>36</v>
      </c>
      <c r="I1083">
        <f>VLOOKUP(Table4[[#This Row],[Visitor]],'NHL Model'!$A$6:$B$38,2,FALSE)</f>
        <v>-0.19010748264223354</v>
      </c>
      <c r="J1083">
        <f>($B$1+Table4[[#This Row],[Home Differential]])-Table4[[#This Row],[Away Differential]]</f>
        <v>0.19993853661724348</v>
      </c>
      <c r="K1083" t="str">
        <f>IF(Table4[[#This Row],[HomeIce Differential]]&gt;0,Table4[[#This Row],[Home]],Table4[[#This Row],[Visitor]])</f>
        <v>Washington Capitals</v>
      </c>
      <c r="L10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0.56847697588016222</v>
      </c>
      <c r="M1083" t="str">
        <f>IF(OR((NHL2025_26Results[[#This Row],[Winning Team]]="")),"-",IF(Table4[[#This Row],[Predicted Winner]]=NHL2025_26Results[[#This Row],[Winning Team]],"YES","NO"))</f>
        <v>-</v>
      </c>
      <c r="N1083" t="str">
        <f>IF(Table4[[#This Row],[Adjusted Correct]]="-", "",IF(Table4[[#This Row],[Adjusted Correct]]="YES",(Table4[[#This Row],[Strength of Win]]-1)^2,(Table4[[#This Row],[Strength of Win]]-0)^2))</f>
        <v/>
      </c>
      <c r="P1083" s="11"/>
    </row>
    <row r="1084" spans="4:16" x14ac:dyDescent="0.2">
      <c r="D1084" s="1">
        <v>46100</v>
      </c>
      <c r="E1084" s="2">
        <v>0.79166666666666663</v>
      </c>
      <c r="F1084" t="s">
        <v>21</v>
      </c>
      <c r="G1084">
        <f>VLOOKUP(Table4[[#This Row],[Home]],'NHL Model'!$A$6:$B$38,2,FALSE)</f>
        <v>-0.10253061303059285</v>
      </c>
      <c r="H1084" t="s">
        <v>40</v>
      </c>
      <c r="I1084">
        <f>VLOOKUP(Table4[[#This Row],[Visitor]],'NHL Model'!$A$6:$B$38,2,FALSE)</f>
        <v>-0.58845147248022256</v>
      </c>
      <c r="J1084">
        <f>($B$1+Table4[[#This Row],[Home Differential]])-Table4[[#This Row],[Away Differential]]</f>
        <v>0.61552784526115378</v>
      </c>
      <c r="K1084" t="str">
        <f>IF(Table4[[#This Row],[HomeIce Differential]]&gt;0,Table4[[#This Row],[Home]],Table4[[#This Row],[Visitor]])</f>
        <v>Boston Bruins</v>
      </c>
      <c r="L10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0.66083597782496906</v>
      </c>
      <c r="M1084" t="str">
        <f>IF(OR((NHL2025_26Results[[#This Row],[Winning Team]]="")),"-",IF(Table4[[#This Row],[Predicted Winner]]=NHL2025_26Results[[#This Row],[Winning Team]],"YES","NO"))</f>
        <v>-</v>
      </c>
      <c r="N1084" t="str">
        <f>IF(Table4[[#This Row],[Adjusted Correct]]="-", "",IF(Table4[[#This Row],[Adjusted Correct]]="YES",(Table4[[#This Row],[Strength of Win]]-1)^2,(Table4[[#This Row],[Strength of Win]]-0)^2))</f>
        <v/>
      </c>
      <c r="P1084" s="11"/>
    </row>
    <row r="1085" spans="4:16" x14ac:dyDescent="0.2">
      <c r="D1085" s="1">
        <v>46100</v>
      </c>
      <c r="E1085" s="2">
        <v>0.79166666666666663</v>
      </c>
      <c r="F1085" t="s">
        <v>28</v>
      </c>
      <c r="G1085">
        <f>VLOOKUP(Table4[[#This Row],[Home]],'NHL Model'!$A$6:$B$38,2,FALSE)</f>
        <v>-0.28156479873410767</v>
      </c>
      <c r="H1085" t="s">
        <v>15</v>
      </c>
      <c r="I1085">
        <f>VLOOKUP(Table4[[#This Row],[Visitor]],'NHL Model'!$A$6:$B$38,2,FALSE)</f>
        <v>-0.73651915476403329</v>
      </c>
      <c r="J1085">
        <f>($B$1+Table4[[#This Row],[Home Differential]])-Table4[[#This Row],[Away Differential]]</f>
        <v>0.5845613418414497</v>
      </c>
      <c r="K1085" t="str">
        <f>IF(Table4[[#This Row],[HomeIce Differential]]&gt;0,Table4[[#This Row],[Home]],Table4[[#This Row],[Visitor]])</f>
        <v>Columbus Blue Jackets</v>
      </c>
      <c r="L10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0.57682476172833974</v>
      </c>
      <c r="M1085" t="str">
        <f>IF(OR((NHL2025_26Results[[#This Row],[Winning Team]]="")),"-",IF(Table4[[#This Row],[Predicted Winner]]=NHL2025_26Results[[#This Row],[Winning Team]],"YES","NO"))</f>
        <v>-</v>
      </c>
      <c r="N1085" t="str">
        <f>IF(Table4[[#This Row],[Adjusted Correct]]="-", "",IF(Table4[[#This Row],[Adjusted Correct]]="YES",(Table4[[#This Row],[Strength of Win]]-1)^2,(Table4[[#This Row],[Strength of Win]]-0)^2))</f>
        <v/>
      </c>
      <c r="P1085" s="11"/>
    </row>
    <row r="1086" spans="4:16" x14ac:dyDescent="0.2">
      <c r="D1086" s="1">
        <v>46100</v>
      </c>
      <c r="E1086" s="2">
        <v>0.79166666666666663</v>
      </c>
      <c r="F1086" t="s">
        <v>26</v>
      </c>
      <c r="G1086">
        <f>VLOOKUP(Table4[[#This Row],[Home]],'NHL Model'!$A$6:$B$38,2,FALSE)</f>
        <v>-0.33113778518110382</v>
      </c>
      <c r="H1086" t="s">
        <v>18</v>
      </c>
      <c r="I1086">
        <f>VLOOKUP(Table4[[#This Row],[Visitor]],'NHL Model'!$A$6:$B$38,2,FALSE)</f>
        <v>-8.6274676766085606E-2</v>
      </c>
      <c r="J1086">
        <f>($B$1+Table4[[#This Row],[Home Differential]])-Table4[[#This Row],[Away Differential]]</f>
        <v>-0.1152561226034941</v>
      </c>
      <c r="K1086" t="str">
        <f>IF(Table4[[#This Row],[HomeIce Differential]]&gt;0,Table4[[#This Row],[Home]],Table4[[#This Row],[Visitor]])</f>
        <v>Montreal Canadiens</v>
      </c>
      <c r="L10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0.49198447177718552</v>
      </c>
      <c r="M1086" t="str">
        <f>IF(OR((NHL2025_26Results[[#This Row],[Winning Team]]="")),"-",IF(Table4[[#This Row],[Predicted Winner]]=NHL2025_26Results[[#This Row],[Winning Team]],"YES","NO"))</f>
        <v>-</v>
      </c>
      <c r="N1086" t="str">
        <f>IF(Table4[[#This Row],[Adjusted Correct]]="-", "",IF(Table4[[#This Row],[Adjusted Correct]]="YES",(Table4[[#This Row],[Strength of Win]]-1)^2,(Table4[[#This Row],[Strength of Win]]-0)^2))</f>
        <v/>
      </c>
      <c r="P1086" s="11"/>
    </row>
    <row r="1087" spans="4:16" x14ac:dyDescent="0.2">
      <c r="D1087" s="1">
        <v>46100</v>
      </c>
      <c r="E1087" s="2">
        <v>0.875</v>
      </c>
      <c r="F1087" t="s">
        <v>17</v>
      </c>
      <c r="G1087">
        <f>VLOOKUP(Table4[[#This Row],[Home]],'NHL Model'!$A$6:$B$38,2,FALSE)</f>
        <v>-0.36462594951491906</v>
      </c>
      <c r="H1087" t="s">
        <v>11</v>
      </c>
      <c r="I1087">
        <f>VLOOKUP(Table4[[#This Row],[Visitor]],'NHL Model'!$A$6:$B$38,2,FALSE)</f>
        <v>-0.55695213126481558</v>
      </c>
      <c r="J1087">
        <f>($B$1+Table4[[#This Row],[Home Differential]])-Table4[[#This Row],[Away Differential]]</f>
        <v>0.32193316756142065</v>
      </c>
      <c r="K1087" t="str">
        <f>IF(Table4[[#This Row],[HomeIce Differential]]&gt;0,Table4[[#This Row],[Home]],Table4[[#This Row],[Visitor]])</f>
        <v>Edmonton Oilers</v>
      </c>
      <c r="L10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0.53686438680288817</v>
      </c>
      <c r="M1087" t="str">
        <f>IF(OR((NHL2025_26Results[[#This Row],[Winning Team]]="")),"-",IF(Table4[[#This Row],[Predicted Winner]]=NHL2025_26Results[[#This Row],[Winning Team]],"YES","NO"))</f>
        <v>-</v>
      </c>
      <c r="N1087" t="str">
        <f>IF(Table4[[#This Row],[Adjusted Correct]]="-", "",IF(Table4[[#This Row],[Adjusted Correct]]="YES",(Table4[[#This Row],[Strength of Win]]-1)^2,(Table4[[#This Row],[Strength of Win]]-0)^2))</f>
        <v/>
      </c>
      <c r="P1087" s="11"/>
    </row>
    <row r="1088" spans="4:16" x14ac:dyDescent="0.2">
      <c r="D1088" s="1">
        <v>46100</v>
      </c>
      <c r="E1088" s="2">
        <v>0.9375</v>
      </c>
      <c r="F1088" t="s">
        <v>13</v>
      </c>
      <c r="G1088">
        <f>VLOOKUP(Table4[[#This Row],[Home]],'NHL Model'!$A$6:$B$38,2,FALSE)</f>
        <v>-0.59069689888466137</v>
      </c>
      <c r="H1088" t="s">
        <v>27</v>
      </c>
      <c r="I1088">
        <f>VLOOKUP(Table4[[#This Row],[Visitor]],'NHL Model'!$A$6:$B$38,2,FALSE)</f>
        <v>-0.55097933929175691</v>
      </c>
      <c r="J1088">
        <f>($B$1+Table4[[#This Row],[Home Differential]])-Table4[[#This Row],[Away Differential]]</f>
        <v>8.9889426218619617E-2</v>
      </c>
      <c r="K1088" t="str">
        <f>IF(Table4[[#This Row],[HomeIce Differential]]&gt;0,Table4[[#This Row],[Home]],Table4[[#This Row],[Visitor]])</f>
        <v>Los Angeles Kings</v>
      </c>
      <c r="L10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0.55009403119992806</v>
      </c>
      <c r="M1088" t="str">
        <f>IF(OR((NHL2025_26Results[[#This Row],[Winning Team]]="")),"-",IF(Table4[[#This Row],[Predicted Winner]]=NHL2025_26Results[[#This Row],[Winning Team]],"YES","NO"))</f>
        <v>-</v>
      </c>
      <c r="N1088" t="str">
        <f>IF(Table4[[#This Row],[Adjusted Correct]]="-", "",IF(Table4[[#This Row],[Adjusted Correct]]="YES",(Table4[[#This Row],[Strength of Win]]-1)^2,(Table4[[#This Row],[Strength of Win]]-0)^2))</f>
        <v/>
      </c>
      <c r="P1088" s="11"/>
    </row>
    <row r="1089" spans="4:16" x14ac:dyDescent="0.2">
      <c r="D1089" s="1">
        <v>46100</v>
      </c>
      <c r="E1089" s="2">
        <v>0.8125</v>
      </c>
      <c r="F1089" t="s">
        <v>34</v>
      </c>
      <c r="G1089">
        <f>VLOOKUP(Table4[[#This Row],[Home]],'NHL Model'!$A$6:$B$38,2,FALSE)</f>
        <v>6.0485283743665949E-2</v>
      </c>
      <c r="H1089" t="s">
        <v>10</v>
      </c>
      <c r="I1089">
        <f>VLOOKUP(Table4[[#This Row],[Visitor]],'NHL Model'!$A$6:$B$38,2,FALSE)</f>
        <v>-0.92658078135875344</v>
      </c>
      <c r="J1089">
        <f>($B$1+Table4[[#This Row],[Home Differential]])-Table4[[#This Row],[Away Differential]]</f>
        <v>1.1166730509139435</v>
      </c>
      <c r="K1089" t="str">
        <f>IF(Table4[[#This Row],[HomeIce Differential]]&gt;0,Table4[[#This Row],[Home]],Table4[[#This Row],[Visitor]])</f>
        <v>Minnesota Wild</v>
      </c>
      <c r="L10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0.67734358610832435</v>
      </c>
      <c r="M1089" t="str">
        <f>IF(OR((NHL2025_26Results[[#This Row],[Winning Team]]="")),"-",IF(Table4[[#This Row],[Predicted Winner]]=NHL2025_26Results[[#This Row],[Winning Team]],"YES","NO"))</f>
        <v>-</v>
      </c>
      <c r="N1089" t="str">
        <f>IF(Table4[[#This Row],[Adjusted Correct]]="-", "",IF(Table4[[#This Row],[Adjusted Correct]]="YES",(Table4[[#This Row],[Strength of Win]]-1)^2,(Table4[[#This Row],[Strength of Win]]-0)^2))</f>
        <v/>
      </c>
      <c r="P1089" s="11"/>
    </row>
    <row r="1090" spans="4:16" x14ac:dyDescent="0.2">
      <c r="D1090" s="1">
        <v>46100</v>
      </c>
      <c r="E1090" s="2">
        <v>0.83333333333333337</v>
      </c>
      <c r="F1090" t="s">
        <v>29</v>
      </c>
      <c r="G1090">
        <f>VLOOKUP(Table4[[#This Row],[Home]],'NHL Model'!$A$6:$B$38,2,FALSE)</f>
        <v>-0.82056481120798741</v>
      </c>
      <c r="H1090" t="s">
        <v>32</v>
      </c>
      <c r="I1090">
        <f>VLOOKUP(Table4[[#This Row],[Visitor]],'NHL Model'!$A$6:$B$38,2,FALSE)</f>
        <v>-0.48236715437805205</v>
      </c>
      <c r="J1090">
        <f>($B$1+Table4[[#This Row],[Home Differential]])-Table4[[#This Row],[Away Differential]]</f>
        <v>-0.20859067101841128</v>
      </c>
      <c r="K1090" t="str">
        <f>IF(Table4[[#This Row],[HomeIce Differential]]&gt;0,Table4[[#This Row],[Home]],Table4[[#This Row],[Visitor]])</f>
        <v>Seattle Kraken</v>
      </c>
      <c r="L10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0.48342345290037725</v>
      </c>
      <c r="M1090" t="str">
        <f>IF(OR((NHL2025_26Results[[#This Row],[Winning Team]]="")),"-",IF(Table4[[#This Row],[Predicted Winner]]=NHL2025_26Results[[#This Row],[Winning Team]],"YES","NO"))</f>
        <v>-</v>
      </c>
      <c r="N1090" t="str">
        <f>IF(Table4[[#This Row],[Adjusted Correct]]="-", "",IF(Table4[[#This Row],[Adjusted Correct]]="YES",(Table4[[#This Row],[Strength of Win]]-1)^2,(Table4[[#This Row],[Strength of Win]]-0)^2))</f>
        <v/>
      </c>
      <c r="P1090" s="11"/>
    </row>
    <row r="1091" spans="4:16" x14ac:dyDescent="0.2">
      <c r="D1091" s="1">
        <v>46100</v>
      </c>
      <c r="E1091" s="2">
        <v>0.79166666666666663</v>
      </c>
      <c r="F1091" t="s">
        <v>36</v>
      </c>
      <c r="G1091">
        <f>VLOOKUP(Table4[[#This Row],[Home]],'NHL Model'!$A$6:$B$38,2,FALSE)</f>
        <v>-0.19010748264223354</v>
      </c>
      <c r="H1091" t="s">
        <v>30</v>
      </c>
      <c r="I1091">
        <f>VLOOKUP(Table4[[#This Row],[Visitor]],'NHL Model'!$A$6:$B$38,2,FALSE)</f>
        <v>-0.18630462558229716</v>
      </c>
      <c r="J1091">
        <f>($B$1+Table4[[#This Row],[Home Differential]])-Table4[[#This Row],[Away Differential]]</f>
        <v>0.12580412875158772</v>
      </c>
      <c r="K1091" t="str">
        <f>IF(Table4[[#This Row],[HomeIce Differential]]&gt;0,Table4[[#This Row],[Home]],Table4[[#This Row],[Visitor]])</f>
        <v>Ottawa Senators</v>
      </c>
      <c r="L10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0.51723262206262599</v>
      </c>
      <c r="M1091" t="str">
        <f>IF(OR((NHL2025_26Results[[#This Row],[Winning Team]]="")),"-",IF(Table4[[#This Row],[Predicted Winner]]=NHL2025_26Results[[#This Row],[Winning Team]],"YES","NO"))</f>
        <v>-</v>
      </c>
      <c r="N1091" t="str">
        <f>IF(Table4[[#This Row],[Adjusted Correct]]="-", "",IF(Table4[[#This Row],[Adjusted Correct]]="YES",(Table4[[#This Row],[Strength of Win]]-1)^2,(Table4[[#This Row],[Strength of Win]]-0)^2))</f>
        <v/>
      </c>
      <c r="P1091" s="11"/>
    </row>
    <row r="1092" spans="4:16" x14ac:dyDescent="0.2">
      <c r="D1092" s="1">
        <v>46100</v>
      </c>
      <c r="E1092" s="2">
        <v>0.91666666666666663</v>
      </c>
      <c r="F1092" t="s">
        <v>33</v>
      </c>
      <c r="G1092">
        <f>VLOOKUP(Table4[[#This Row],[Home]],'NHL Model'!$A$6:$B$38,2,FALSE)</f>
        <v>-0.65236582493376272</v>
      </c>
      <c r="H1092" t="s">
        <v>23</v>
      </c>
      <c r="I1092">
        <f>VLOOKUP(Table4[[#This Row],[Visitor]],'NHL Model'!$A$6:$B$38,2,FALSE)</f>
        <v>8.1543966060426461E-3</v>
      </c>
      <c r="J1092">
        <f>($B$1+Table4[[#This Row],[Home Differential]])-Table4[[#This Row],[Away Differential]]</f>
        <v>-0.53091323572828131</v>
      </c>
      <c r="K1092" t="str">
        <f>IF(Table4[[#This Row],[HomeIce Differential]]&gt;0,Table4[[#This Row],[Home]],Table4[[#This Row],[Visitor]])</f>
        <v>Buffalo Sabres</v>
      </c>
      <c r="L10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0.55651270979066847</v>
      </c>
      <c r="M1092" t="str">
        <f>IF(OR((NHL2025_26Results[[#This Row],[Winning Team]]="")),"-",IF(Table4[[#This Row],[Predicted Winner]]=NHL2025_26Results[[#This Row],[Winning Team]],"YES","NO"))</f>
        <v>-</v>
      </c>
      <c r="N1092" t="str">
        <f>IF(Table4[[#This Row],[Adjusted Correct]]="-", "",IF(Table4[[#This Row],[Adjusted Correct]]="YES",(Table4[[#This Row],[Strength of Win]]-1)^2,(Table4[[#This Row],[Strength of Win]]-0)^2))</f>
        <v/>
      </c>
      <c r="P1092" s="11"/>
    </row>
    <row r="1093" spans="4:16" x14ac:dyDescent="0.2">
      <c r="D1093" s="1">
        <v>46100</v>
      </c>
      <c r="E1093" s="2">
        <v>0.91666666666666663</v>
      </c>
      <c r="F1093" t="s">
        <v>38</v>
      </c>
      <c r="G1093">
        <f>VLOOKUP(Table4[[#This Row],[Home]],'NHL Model'!$A$6:$B$38,2,FALSE)</f>
        <v>-1.3920033028857945</v>
      </c>
      <c r="H1093" t="s">
        <v>37</v>
      </c>
      <c r="I1093">
        <f>VLOOKUP(Table4[[#This Row],[Visitor]],'NHL Model'!$A$6:$B$38,2,FALSE)</f>
        <v>0.72108184732572844</v>
      </c>
      <c r="J1093">
        <f>($B$1+Table4[[#This Row],[Home Differential]])-Table4[[#This Row],[Away Differential]]</f>
        <v>-1.9834781643999988</v>
      </c>
      <c r="K1093" t="str">
        <f>IF(Table4[[#This Row],[HomeIce Differential]]&gt;0,Table4[[#This Row],[Home]],Table4[[#This Row],[Visitor]])</f>
        <v>Tampa Bay Lightning</v>
      </c>
      <c r="L10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0.7795905793031338</v>
      </c>
      <c r="M1093" t="str">
        <f>IF(OR((NHL2025_26Results[[#This Row],[Winning Team]]="")),"-",IF(Table4[[#This Row],[Predicted Winner]]=NHL2025_26Results[[#This Row],[Winning Team]],"YES","NO"))</f>
        <v>-</v>
      </c>
      <c r="N1093" t="str">
        <f>IF(Table4[[#This Row],[Adjusted Correct]]="-", "",IF(Table4[[#This Row],[Adjusted Correct]]="YES",(Table4[[#This Row],[Strength of Win]]-1)^2,(Table4[[#This Row],[Strength of Win]]-0)^2))</f>
        <v/>
      </c>
      <c r="P1093" s="11"/>
    </row>
    <row r="1094" spans="4:16" x14ac:dyDescent="0.2">
      <c r="D1094" s="1">
        <v>46100</v>
      </c>
      <c r="E1094" s="2">
        <v>0.91666666666666663</v>
      </c>
      <c r="F1094" t="s">
        <v>20</v>
      </c>
      <c r="G1094">
        <f>VLOOKUP(Table4[[#This Row],[Home]],'NHL Model'!$A$6:$B$38,2,FALSE)</f>
        <v>-0.16296463421387539</v>
      </c>
      <c r="H1094" t="s">
        <v>55</v>
      </c>
      <c r="I1094">
        <f>VLOOKUP(Table4[[#This Row],[Visitor]],'NHL Model'!$A$6:$B$38,2,FALSE)</f>
        <v>8.4094725828611647E-2</v>
      </c>
      <c r="J1094">
        <f>($B$1+Table4[[#This Row],[Home Differential]])-Table4[[#This Row],[Away Differential]]</f>
        <v>-0.11745237423096293</v>
      </c>
      <c r="K1094" t="str">
        <f>IF(Table4[[#This Row],[HomeIce Differential]]&gt;0,Table4[[#This Row],[Home]],Table4[[#This Row],[Visitor]])</f>
        <v>Utah Mammoth</v>
      </c>
      <c r="L10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0.4731891811959012</v>
      </c>
      <c r="M1094" t="str">
        <f>IF(OR((NHL2025_26Results[[#This Row],[Winning Team]]="")),"-",IF(Table4[[#This Row],[Predicted Winner]]=NHL2025_26Results[[#This Row],[Winning Team]],"YES","NO"))</f>
        <v>-</v>
      </c>
      <c r="N1094" t="str">
        <f>IF(Table4[[#This Row],[Adjusted Correct]]="-", "",IF(Table4[[#This Row],[Adjusted Correct]]="YES",(Table4[[#This Row],[Strength of Win]]-1)^2,(Table4[[#This Row],[Strength of Win]]-0)^2))</f>
        <v/>
      </c>
      <c r="P1094" s="11"/>
    </row>
    <row r="1095" spans="4:16" x14ac:dyDescent="0.2">
      <c r="D1095" s="1">
        <v>46101</v>
      </c>
      <c r="E1095" s="2">
        <v>0.875</v>
      </c>
      <c r="F1095" t="s">
        <v>16</v>
      </c>
      <c r="G1095">
        <f>VLOOKUP(Table4[[#This Row],[Home]],'NHL Model'!$A$6:$B$38,2,FALSE)</f>
        <v>-0.89031221864884547</v>
      </c>
      <c r="H1095" t="s">
        <v>11</v>
      </c>
      <c r="I1095">
        <f>VLOOKUP(Table4[[#This Row],[Visitor]],'NHL Model'!$A$6:$B$38,2,FALSE)</f>
        <v>-0.55695213126481558</v>
      </c>
      <c r="J1095">
        <f>($B$1+Table4[[#This Row],[Home Differential]])-Table4[[#This Row],[Away Differential]]</f>
        <v>-0.20375310157250581</v>
      </c>
      <c r="K1095" t="str">
        <f>IF(Table4[[#This Row],[HomeIce Differential]]&gt;0,Table4[[#This Row],[Home]],Table4[[#This Row],[Visitor]])</f>
        <v>Florida Panthers</v>
      </c>
      <c r="L10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0.5221669567625522</v>
      </c>
      <c r="M1095" t="str">
        <f>IF(OR((NHL2025_26Results[[#This Row],[Winning Team]]="")),"-",IF(Table4[[#This Row],[Predicted Winner]]=NHL2025_26Results[[#This Row],[Winning Team]],"YES","NO"))</f>
        <v>-</v>
      </c>
      <c r="N1095" t="str">
        <f>IF(Table4[[#This Row],[Adjusted Correct]]="-", "",IF(Table4[[#This Row],[Adjusted Correct]]="YES",(Table4[[#This Row],[Strength of Win]]-1)^2,(Table4[[#This Row],[Strength of Win]]-0)^2))</f>
        <v/>
      </c>
      <c r="P1095" s="11"/>
    </row>
    <row r="1096" spans="4:16" x14ac:dyDescent="0.2">
      <c r="D1096" s="1">
        <v>46101</v>
      </c>
      <c r="E1096" s="2">
        <v>0.85416666666666663</v>
      </c>
      <c r="F1096" t="s">
        <v>10</v>
      </c>
      <c r="G1096">
        <f>VLOOKUP(Table4[[#This Row],[Home]],'NHL Model'!$A$6:$B$38,2,FALSE)</f>
        <v>-0.92658078135875344</v>
      </c>
      <c r="H1096" t="s">
        <v>12</v>
      </c>
      <c r="I1096">
        <f>VLOOKUP(Table4[[#This Row],[Visitor]],'NHL Model'!$A$6:$B$38,2,FALSE)</f>
        <v>0.99866683349964291</v>
      </c>
      <c r="J1096">
        <f>($B$1+Table4[[#This Row],[Home Differential]])-Table4[[#This Row],[Away Differential]]</f>
        <v>-1.7956406290468723</v>
      </c>
      <c r="K1096" t="str">
        <f>IF(Table4[[#This Row],[HomeIce Differential]]&gt;0,Table4[[#This Row],[Home]],Table4[[#This Row],[Visitor]])</f>
        <v>Colorado Avalanche</v>
      </c>
      <c r="L10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0.73090468382093376</v>
      </c>
      <c r="M1096" t="str">
        <f>IF(OR((NHL2025_26Results[[#This Row],[Winning Team]]="")),"-",IF(Table4[[#This Row],[Predicted Winner]]=NHL2025_26Results[[#This Row],[Winning Team]],"YES","NO"))</f>
        <v>-</v>
      </c>
      <c r="N1096" t="str">
        <f>IF(Table4[[#This Row],[Adjusted Correct]]="-", "",IF(Table4[[#This Row],[Adjusted Correct]]="YES",(Table4[[#This Row],[Strength of Win]]-1)^2,(Table4[[#This Row],[Strength of Win]]-0)^2))</f>
        <v/>
      </c>
      <c r="P1096" s="11"/>
    </row>
    <row r="1097" spans="4:16" x14ac:dyDescent="0.2">
      <c r="D1097" s="1">
        <v>46101</v>
      </c>
      <c r="E1097" s="2">
        <v>0.79166666666666663</v>
      </c>
      <c r="F1097" t="s">
        <v>19</v>
      </c>
      <c r="G1097">
        <f>VLOOKUP(Table4[[#This Row],[Home]],'NHL Model'!$A$6:$B$38,2,FALSE)</f>
        <v>-0.44228056828684137</v>
      </c>
      <c r="H1097" t="s">
        <v>25</v>
      </c>
      <c r="I1097">
        <f>VLOOKUP(Table4[[#This Row],[Visitor]],'NHL Model'!$A$6:$B$38,2,FALSE)</f>
        <v>0.2324942014830165</v>
      </c>
      <c r="J1097">
        <f>($B$1+Table4[[#This Row],[Home Differential]])-Table4[[#This Row],[Away Differential]]</f>
        <v>-0.54516778395833376</v>
      </c>
      <c r="K1097" t="str">
        <f>IF(Table4[[#This Row],[HomeIce Differential]]&gt;0,Table4[[#This Row],[Home]],Table4[[#This Row],[Visitor]])</f>
        <v>Carolina Hurricanes</v>
      </c>
      <c r="L10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0.57774792380419715</v>
      </c>
      <c r="M1097" t="str">
        <f>IF(OR((NHL2025_26Results[[#This Row],[Winning Team]]="")),"-",IF(Table4[[#This Row],[Predicted Winner]]=NHL2025_26Results[[#This Row],[Winning Team]],"YES","NO"))</f>
        <v>-</v>
      </c>
      <c r="N1097" t="str">
        <f>IF(Table4[[#This Row],[Adjusted Correct]]="-", "",IF(Table4[[#This Row],[Adjusted Correct]]="YES",(Table4[[#This Row],[Strength of Win]]-1)^2,(Table4[[#This Row],[Strength of Win]]-0)^2))</f>
        <v/>
      </c>
      <c r="P1097" s="11"/>
    </row>
    <row r="1098" spans="4:16" x14ac:dyDescent="0.2">
      <c r="D1098" s="1">
        <v>46101</v>
      </c>
      <c r="E1098" s="2">
        <v>0.91666666666666663</v>
      </c>
      <c r="F1098" t="s">
        <v>55</v>
      </c>
      <c r="G1098">
        <f>VLOOKUP(Table4[[#This Row],[Home]],'NHL Model'!$A$6:$B$38,2,FALSE)</f>
        <v>8.4094725828611647E-2</v>
      </c>
      <c r="H1098" t="s">
        <v>31</v>
      </c>
      <c r="I1098">
        <f>VLOOKUP(Table4[[#This Row],[Visitor]],'NHL Model'!$A$6:$B$38,2,FALSE)</f>
        <v>-0.46360583111358089</v>
      </c>
      <c r="J1098">
        <f>($B$1+Table4[[#This Row],[Home Differential]])-Table4[[#This Row],[Away Differential]]</f>
        <v>0.67730754275371663</v>
      </c>
      <c r="K1098" t="str">
        <f>IF(Table4[[#This Row],[HomeIce Differential]]&gt;0,Table4[[#This Row],[Home]],Table4[[#This Row],[Visitor]])</f>
        <v>Utah Mammoth</v>
      </c>
      <c r="L10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0.64499991898957654</v>
      </c>
      <c r="M1098" t="str">
        <f>IF(OR((NHL2025_26Results[[#This Row],[Winning Team]]="")),"-",IF(Table4[[#This Row],[Predicted Winner]]=NHL2025_26Results[[#This Row],[Winning Team]],"YES","NO"))</f>
        <v>-</v>
      </c>
      <c r="N1098" t="str">
        <f>IF(Table4[[#This Row],[Adjusted Correct]]="-", "",IF(Table4[[#This Row],[Adjusted Correct]]="YES",(Table4[[#This Row],[Strength of Win]]-1)^2,(Table4[[#This Row],[Strength of Win]]-0)^2))</f>
        <v/>
      </c>
      <c r="P1098" s="11"/>
    </row>
    <row r="1099" spans="4:16" x14ac:dyDescent="0.2">
      <c r="D1099" s="1">
        <v>46101</v>
      </c>
      <c r="E1099" s="2">
        <v>0.79166666666666663</v>
      </c>
      <c r="F1099" t="s">
        <v>22</v>
      </c>
      <c r="G1099">
        <f>VLOOKUP(Table4[[#This Row],[Home]],'NHL Model'!$A$6:$B$38,2,FALSE)</f>
        <v>-0.11977593183651415</v>
      </c>
      <c r="H1099" t="s">
        <v>24</v>
      </c>
      <c r="I1099">
        <f>VLOOKUP(Table4[[#This Row],[Visitor]],'NHL Model'!$A$6:$B$38,2,FALSE)</f>
        <v>-0.74510803532792402</v>
      </c>
      <c r="J1099">
        <f>($B$1+Table4[[#This Row],[Home Differential]])-Table4[[#This Row],[Away Differential]]</f>
        <v>0.75493908930293396</v>
      </c>
      <c r="K1099" t="str">
        <f>IF(Table4[[#This Row],[HomeIce Differential]]&gt;0,Table4[[#This Row],[Home]],Table4[[#This Row],[Visitor]])</f>
        <v>Washington Capitals</v>
      </c>
      <c r="L10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0.62208846191360823</v>
      </c>
      <c r="M1099" t="str">
        <f>IF(OR((NHL2025_26Results[[#This Row],[Winning Team]]="")),"-",IF(Table4[[#This Row],[Predicted Winner]]=NHL2025_26Results[[#This Row],[Winning Team]],"YES","NO"))</f>
        <v>-</v>
      </c>
      <c r="N1099" t="str">
        <f>IF(Table4[[#This Row],[Adjusted Correct]]="-", "",IF(Table4[[#This Row],[Adjusted Correct]]="YES",(Table4[[#This Row],[Strength of Win]]-1)^2,(Table4[[#This Row],[Strength of Win]]-0)^2))</f>
        <v/>
      </c>
      <c r="P1099" s="11"/>
    </row>
    <row r="1100" spans="4:16" x14ac:dyDescent="0.2">
      <c r="D1100" s="1">
        <v>46102</v>
      </c>
      <c r="E1100" s="2">
        <v>0.70833333333333337</v>
      </c>
      <c r="F1100" t="s">
        <v>28</v>
      </c>
      <c r="G1100">
        <f>VLOOKUP(Table4[[#This Row],[Home]],'NHL Model'!$A$6:$B$38,2,FALSE)</f>
        <v>-0.28156479873410767</v>
      </c>
      <c r="H1100" t="s">
        <v>32</v>
      </c>
      <c r="I1100">
        <f>VLOOKUP(Table4[[#This Row],[Visitor]],'NHL Model'!$A$6:$B$38,2,FALSE)</f>
        <v>-0.48236715437805205</v>
      </c>
      <c r="J1100">
        <f>($B$1+Table4[[#This Row],[Home Differential]])-Table4[[#This Row],[Away Differential]]</f>
        <v>0.33040934145546852</v>
      </c>
      <c r="K1100" t="str">
        <f>IF(Table4[[#This Row],[HomeIce Differential]]&gt;0,Table4[[#This Row],[Home]],Table4[[#This Row],[Visitor]])</f>
        <v>Columbus Blue Jackets</v>
      </c>
      <c r="L11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0.58414889423815941</v>
      </c>
      <c r="M1100" t="str">
        <f>IF(OR((NHL2025_26Results[[#This Row],[Winning Team]]="")),"-",IF(Table4[[#This Row],[Predicted Winner]]=NHL2025_26Results[[#This Row],[Winning Team]],"YES","NO"))</f>
        <v>-</v>
      </c>
      <c r="N1100" t="str">
        <f>IF(Table4[[#This Row],[Adjusted Correct]]="-", "",IF(Table4[[#This Row],[Adjusted Correct]]="YES",(Table4[[#This Row],[Strength of Win]]-1)^2,(Table4[[#This Row],[Strength of Win]]-0)^2))</f>
        <v/>
      </c>
      <c r="P1100" s="11"/>
    </row>
    <row r="1101" spans="4:16" x14ac:dyDescent="0.2">
      <c r="D1101" s="1">
        <v>46102</v>
      </c>
      <c r="E1101" s="2">
        <v>0.83333333333333337</v>
      </c>
      <c r="F1101" t="s">
        <v>26</v>
      </c>
      <c r="G1101">
        <f>VLOOKUP(Table4[[#This Row],[Home]],'NHL Model'!$A$6:$B$38,2,FALSE)</f>
        <v>-0.33113778518110382</v>
      </c>
      <c r="H1101" t="s">
        <v>21</v>
      </c>
      <c r="I1101">
        <f>VLOOKUP(Table4[[#This Row],[Visitor]],'NHL Model'!$A$6:$B$38,2,FALSE)</f>
        <v>-0.10253061303059285</v>
      </c>
      <c r="J1101">
        <f>($B$1+Table4[[#This Row],[Home Differential]])-Table4[[#This Row],[Away Differential]]</f>
        <v>-9.9000186338986856E-2</v>
      </c>
      <c r="K1101" t="str">
        <f>IF(Table4[[#This Row],[HomeIce Differential]]&gt;0,Table4[[#This Row],[Home]],Table4[[#This Row],[Visitor]])</f>
        <v>Boston Bruins</v>
      </c>
      <c r="L11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0.44507937782874135</v>
      </c>
      <c r="M1101" t="str">
        <f>IF(OR((NHL2025_26Results[[#This Row],[Winning Team]]="")),"-",IF(Table4[[#This Row],[Predicted Winner]]=NHL2025_26Results[[#This Row],[Winning Team]],"YES","NO"))</f>
        <v>-</v>
      </c>
      <c r="N1101" t="str">
        <f>IF(Table4[[#This Row],[Adjusted Correct]]="-", "",IF(Table4[[#This Row],[Adjusted Correct]]="YES",(Table4[[#This Row],[Strength of Win]]-1)^2,(Table4[[#This Row],[Strength of Win]]-0)^2))</f>
        <v/>
      </c>
      <c r="P1101" s="11"/>
    </row>
    <row r="1102" spans="4:16" x14ac:dyDescent="0.2">
      <c r="D1102" s="1">
        <v>46102</v>
      </c>
      <c r="E1102" s="2">
        <v>0.91666666666666663</v>
      </c>
      <c r="F1102" t="s">
        <v>17</v>
      </c>
      <c r="G1102">
        <f>VLOOKUP(Table4[[#This Row],[Home]],'NHL Model'!$A$6:$B$38,2,FALSE)</f>
        <v>-0.36462594951491906</v>
      </c>
      <c r="H1102" t="s">
        <v>37</v>
      </c>
      <c r="I1102">
        <f>VLOOKUP(Table4[[#This Row],[Visitor]],'NHL Model'!$A$6:$B$38,2,FALSE)</f>
        <v>0.72108184732572844</v>
      </c>
      <c r="J1102">
        <f>($B$1+Table4[[#This Row],[Home Differential]])-Table4[[#This Row],[Away Differential]]</f>
        <v>-0.95610081102912337</v>
      </c>
      <c r="K1102" t="str">
        <f>IF(Table4[[#This Row],[HomeIce Differential]]&gt;0,Table4[[#This Row],[Home]],Table4[[#This Row],[Visitor]])</f>
        <v>Tampa Bay Lightning</v>
      </c>
      <c r="L11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0.66422240425434242</v>
      </c>
      <c r="M1102" t="str">
        <f>IF(OR((NHL2025_26Results[[#This Row],[Winning Team]]="")),"-",IF(Table4[[#This Row],[Predicted Winner]]=NHL2025_26Results[[#This Row],[Winning Team]],"YES","NO"))</f>
        <v>-</v>
      </c>
      <c r="N1102" t="str">
        <f>IF(Table4[[#This Row],[Adjusted Correct]]="-", "",IF(Table4[[#This Row],[Adjusted Correct]]="YES",(Table4[[#This Row],[Strength of Win]]-1)^2,(Table4[[#This Row],[Strength of Win]]-0)^2))</f>
        <v/>
      </c>
      <c r="P1102" s="11"/>
    </row>
    <row r="1103" spans="4:16" x14ac:dyDescent="0.2">
      <c r="D1103" s="1">
        <v>46102</v>
      </c>
      <c r="E1103" s="2">
        <v>0.66666666666666663</v>
      </c>
      <c r="F1103" t="s">
        <v>13</v>
      </c>
      <c r="G1103">
        <f>VLOOKUP(Table4[[#This Row],[Home]],'NHL Model'!$A$6:$B$38,2,FALSE)</f>
        <v>-0.59069689888466137</v>
      </c>
      <c r="H1103" t="s">
        <v>23</v>
      </c>
      <c r="I1103">
        <f>VLOOKUP(Table4[[#This Row],[Visitor]],'NHL Model'!$A$6:$B$38,2,FALSE)</f>
        <v>8.1543966060426461E-3</v>
      </c>
      <c r="J1103">
        <f>($B$1+Table4[[#This Row],[Home Differential]])-Table4[[#This Row],[Away Differential]]</f>
        <v>-0.46924430967917996</v>
      </c>
      <c r="K1103" t="str">
        <f>IF(Table4[[#This Row],[HomeIce Differential]]&gt;0,Table4[[#This Row],[Home]],Table4[[#This Row],[Visitor]])</f>
        <v>Buffalo Sabres</v>
      </c>
      <c r="L11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0.54958766766066602</v>
      </c>
      <c r="M1103" t="str">
        <f>IF(OR((NHL2025_26Results[[#This Row],[Winning Team]]="")),"-",IF(Table4[[#This Row],[Predicted Winner]]=NHL2025_26Results[[#This Row],[Winning Team]],"YES","NO"))</f>
        <v>-</v>
      </c>
      <c r="N1103" t="str">
        <f>IF(Table4[[#This Row],[Adjusted Correct]]="-", "",IF(Table4[[#This Row],[Adjusted Correct]]="YES",(Table4[[#This Row],[Strength of Win]]-1)^2,(Table4[[#This Row],[Strength of Win]]-0)^2))</f>
        <v/>
      </c>
      <c r="P1103" s="11"/>
    </row>
    <row r="1104" spans="4:16" x14ac:dyDescent="0.2">
      <c r="D1104" s="1">
        <v>46102</v>
      </c>
      <c r="E1104" s="2">
        <v>0.66666666666666663</v>
      </c>
      <c r="F1104" t="s">
        <v>34</v>
      </c>
      <c r="G1104">
        <f>VLOOKUP(Table4[[#This Row],[Home]],'NHL Model'!$A$6:$B$38,2,FALSE)</f>
        <v>6.0485283743665949E-2</v>
      </c>
      <c r="H1104" t="s">
        <v>39</v>
      </c>
      <c r="I1104">
        <f>VLOOKUP(Table4[[#This Row],[Visitor]],'NHL Model'!$A$6:$B$38,2,FALSE)</f>
        <v>0.21708030788125537</v>
      </c>
      <c r="J1104">
        <f>($B$1+Table4[[#This Row],[Home Differential]])-Table4[[#This Row],[Away Differential]]</f>
        <v>-2.6988038326065333E-2</v>
      </c>
      <c r="K1104" t="str">
        <f>IF(Table4[[#This Row],[HomeIce Differential]]&gt;0,Table4[[#This Row],[Home]],Table4[[#This Row],[Visitor]])</f>
        <v>Dallas Stars</v>
      </c>
      <c r="L11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0.5091224374626212</v>
      </c>
      <c r="M1104" t="str">
        <f>IF(OR((NHL2025_26Results[[#This Row],[Winning Team]]="")),"-",IF(Table4[[#This Row],[Predicted Winner]]=NHL2025_26Results[[#This Row],[Winning Team]],"YES","NO"))</f>
        <v>-</v>
      </c>
      <c r="N1104" t="str">
        <f>IF(Table4[[#This Row],[Adjusted Correct]]="-", "",IF(Table4[[#This Row],[Adjusted Correct]]="YES",(Table4[[#This Row],[Strength of Win]]-1)^2,(Table4[[#This Row],[Strength of Win]]-0)^2))</f>
        <v/>
      </c>
      <c r="P1104" s="11"/>
    </row>
    <row r="1105" spans="4:16" x14ac:dyDescent="0.2">
      <c r="D1105" s="1">
        <v>46102</v>
      </c>
      <c r="E1105" s="2">
        <v>0.79166666666666663</v>
      </c>
      <c r="F1105" t="s">
        <v>18</v>
      </c>
      <c r="G1105">
        <f>VLOOKUP(Table4[[#This Row],[Home]],'NHL Model'!$A$6:$B$38,2,FALSE)</f>
        <v>-8.6274676766085606E-2</v>
      </c>
      <c r="H1105" t="s">
        <v>30</v>
      </c>
      <c r="I1105">
        <f>VLOOKUP(Table4[[#This Row],[Visitor]],'NHL Model'!$A$6:$B$38,2,FALSE)</f>
        <v>-0.18630462558229716</v>
      </c>
      <c r="J1105">
        <f>($B$1+Table4[[#This Row],[Home Differential]])-Table4[[#This Row],[Away Differential]]</f>
        <v>0.22963693462773566</v>
      </c>
      <c r="K1105" t="str">
        <f>IF(Table4[[#This Row],[HomeIce Differential]]&gt;0,Table4[[#This Row],[Home]],Table4[[#This Row],[Visitor]])</f>
        <v>Montreal Canadiens</v>
      </c>
      <c r="L11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0.5430281985203228</v>
      </c>
      <c r="M1105" t="str">
        <f>IF(OR((NHL2025_26Results[[#This Row],[Winning Team]]="")),"-",IF(Table4[[#This Row],[Predicted Winner]]=NHL2025_26Results[[#This Row],[Winning Team]],"YES","NO"))</f>
        <v>-</v>
      </c>
      <c r="N1105" t="str">
        <f>IF(Table4[[#This Row],[Adjusted Correct]]="-", "",IF(Table4[[#This Row],[Adjusted Correct]]="YES",(Table4[[#This Row],[Strength of Win]]-1)^2,(Table4[[#This Row],[Strength of Win]]-0)^2))</f>
        <v/>
      </c>
      <c r="P1105" s="11"/>
    </row>
    <row r="1106" spans="4:16" x14ac:dyDescent="0.2">
      <c r="D1106" s="1">
        <v>46102</v>
      </c>
      <c r="E1106" s="2">
        <v>0.58333333333333337</v>
      </c>
      <c r="F1106" t="s">
        <v>29</v>
      </c>
      <c r="G1106">
        <f>VLOOKUP(Table4[[#This Row],[Home]],'NHL Model'!$A$6:$B$38,2,FALSE)</f>
        <v>-0.82056481120798741</v>
      </c>
      <c r="H1106" t="s">
        <v>20</v>
      </c>
      <c r="I1106">
        <f>VLOOKUP(Table4[[#This Row],[Visitor]],'NHL Model'!$A$6:$B$38,2,FALSE)</f>
        <v>-0.16296463421387539</v>
      </c>
      <c r="J1106">
        <f>($B$1+Table4[[#This Row],[Home Differential]])-Table4[[#This Row],[Away Differential]]</f>
        <v>-0.52799319118258792</v>
      </c>
      <c r="K1106" t="str">
        <f>IF(Table4[[#This Row],[HomeIce Differential]]&gt;0,Table4[[#This Row],[Home]],Table4[[#This Row],[Visitor]])</f>
        <v>Vegas Golden Knights</v>
      </c>
      <c r="L11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0.53130658017329224</v>
      </c>
      <c r="M1106" t="str">
        <f>IF(OR((NHL2025_26Results[[#This Row],[Winning Team]]="")),"-",IF(Table4[[#This Row],[Predicted Winner]]=NHL2025_26Results[[#This Row],[Winning Team]],"YES","NO"))</f>
        <v>-</v>
      </c>
      <c r="N1106" t="str">
        <f>IF(Table4[[#This Row],[Adjusted Correct]]="-", "",IF(Table4[[#This Row],[Adjusted Correct]]="YES",(Table4[[#This Row],[Strength of Win]]-1)^2,(Table4[[#This Row],[Strength of Win]]-0)^2))</f>
        <v/>
      </c>
      <c r="P1106" s="11"/>
    </row>
    <row r="1107" spans="4:16" x14ac:dyDescent="0.2">
      <c r="D1107" s="1">
        <v>46102</v>
      </c>
      <c r="E1107" s="2">
        <v>0.79166666666666663</v>
      </c>
      <c r="F1107" t="s">
        <v>36</v>
      </c>
      <c r="G1107">
        <f>VLOOKUP(Table4[[#This Row],[Home]],'NHL Model'!$A$6:$B$38,2,FALSE)</f>
        <v>-0.19010748264223354</v>
      </c>
      <c r="H1107" t="s">
        <v>19</v>
      </c>
      <c r="I1107">
        <f>VLOOKUP(Table4[[#This Row],[Visitor]],'NHL Model'!$A$6:$B$38,2,FALSE)</f>
        <v>-0.44228056828684137</v>
      </c>
      <c r="J1107">
        <f>($B$1+Table4[[#This Row],[Home Differential]])-Table4[[#This Row],[Away Differential]]</f>
        <v>0.38178007145613191</v>
      </c>
      <c r="K1107" t="str">
        <f>IF(Table4[[#This Row],[HomeIce Differential]]&gt;0,Table4[[#This Row],[Home]],Table4[[#This Row],[Visitor]])</f>
        <v>Ottawa Senators</v>
      </c>
      <c r="L11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0.58287156025911657</v>
      </c>
      <c r="M1107" t="str">
        <f>IF(OR((NHL2025_26Results[[#This Row],[Winning Team]]="")),"-",IF(Table4[[#This Row],[Predicted Winner]]=NHL2025_26Results[[#This Row],[Winning Team]],"YES","NO"))</f>
        <v>-</v>
      </c>
      <c r="N1107" t="str">
        <f>IF(Table4[[#This Row],[Adjusted Correct]]="-", "",IF(Table4[[#This Row],[Adjusted Correct]]="YES",(Table4[[#This Row],[Strength of Win]]-1)^2,(Table4[[#This Row],[Strength of Win]]-0)^2))</f>
        <v/>
      </c>
      <c r="P1107" s="11"/>
    </row>
    <row r="1108" spans="4:16" x14ac:dyDescent="0.2">
      <c r="D1108" s="1">
        <v>46102</v>
      </c>
      <c r="E1108" s="2">
        <v>0.54166666666666663</v>
      </c>
      <c r="F1108" t="s">
        <v>14</v>
      </c>
      <c r="G1108">
        <f>VLOOKUP(Table4[[#This Row],[Home]],'NHL Model'!$A$6:$B$38,2,FALSE)</f>
        <v>3.6349513460996066E-5</v>
      </c>
      <c r="H1108" t="s">
        <v>40</v>
      </c>
      <c r="I1108">
        <f>VLOOKUP(Table4[[#This Row],[Visitor]],'NHL Model'!$A$6:$B$38,2,FALSE)</f>
        <v>-0.58845147248022256</v>
      </c>
      <c r="J1108">
        <f>($B$1+Table4[[#This Row],[Home Differential]])-Table4[[#This Row],[Away Differential]]</f>
        <v>0.71809480780520762</v>
      </c>
      <c r="K1108" t="str">
        <f>IF(Table4[[#This Row],[HomeIce Differential]]&gt;0,Table4[[#This Row],[Home]],Table4[[#This Row],[Visitor]])</f>
        <v>Pittsburgh Penguins</v>
      </c>
      <c r="L11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0.62063764226131712</v>
      </c>
      <c r="M1108" t="str">
        <f>IF(OR((NHL2025_26Results[[#This Row],[Winning Team]]="")),"-",IF(Table4[[#This Row],[Predicted Winner]]=NHL2025_26Results[[#This Row],[Winning Team]],"YES","NO"))</f>
        <v>-</v>
      </c>
      <c r="N1108" t="str">
        <f>IF(Table4[[#This Row],[Adjusted Correct]]="-", "",IF(Table4[[#This Row],[Adjusted Correct]]="YES",(Table4[[#This Row],[Strength of Win]]-1)^2,(Table4[[#This Row],[Strength of Win]]-0)^2))</f>
        <v/>
      </c>
      <c r="P1108" s="11"/>
    </row>
    <row r="1109" spans="4:16" x14ac:dyDescent="0.2">
      <c r="D1109" s="1">
        <v>46102</v>
      </c>
      <c r="E1109" s="2">
        <v>0.66666666666666663</v>
      </c>
      <c r="F1109" t="s">
        <v>33</v>
      </c>
      <c r="G1109">
        <f>VLOOKUP(Table4[[#This Row],[Home]],'NHL Model'!$A$6:$B$38,2,FALSE)</f>
        <v>-0.65236582493376272</v>
      </c>
      <c r="H1109" t="s">
        <v>27</v>
      </c>
      <c r="I1109">
        <f>VLOOKUP(Table4[[#This Row],[Visitor]],'NHL Model'!$A$6:$B$38,2,FALSE)</f>
        <v>-0.55097933929175691</v>
      </c>
      <c r="J1109">
        <f>($B$1+Table4[[#This Row],[Home Differential]])-Table4[[#This Row],[Away Differential]]</f>
        <v>2.822050016951827E-2</v>
      </c>
      <c r="K1109" t="str">
        <f>IF(Table4[[#This Row],[HomeIce Differential]]&gt;0,Table4[[#This Row],[Home]],Table4[[#This Row],[Visitor]])</f>
        <v>San Jose Sharks</v>
      </c>
      <c r="L11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0.54316898906992572</v>
      </c>
      <c r="M1109" t="str">
        <f>IF(OR((NHL2025_26Results[[#This Row],[Winning Team]]="")),"-",IF(Table4[[#This Row],[Predicted Winner]]=NHL2025_26Results[[#This Row],[Winning Team]],"YES","NO"))</f>
        <v>-</v>
      </c>
      <c r="N1109" t="str">
        <f>IF(Table4[[#This Row],[Adjusted Correct]]="-", "",IF(Table4[[#This Row],[Adjusted Correct]]="YES",(Table4[[#This Row],[Strength of Win]]-1)^2,(Table4[[#This Row],[Strength of Win]]-0)^2))</f>
        <v/>
      </c>
      <c r="P1109" s="11"/>
    </row>
    <row r="1110" spans="4:16" x14ac:dyDescent="0.2">
      <c r="D1110" s="1">
        <v>46102</v>
      </c>
      <c r="E1110" s="2">
        <v>0.79166666666666663</v>
      </c>
      <c r="F1110" t="s">
        <v>38</v>
      </c>
      <c r="G1110">
        <f>VLOOKUP(Table4[[#This Row],[Home]],'NHL Model'!$A$6:$B$38,2,FALSE)</f>
        <v>-1.3920033028857945</v>
      </c>
      <c r="H1110" t="s">
        <v>35</v>
      </c>
      <c r="I1110">
        <f>VLOOKUP(Table4[[#This Row],[Visitor]],'NHL Model'!$A$6:$B$38,2,FALSE)</f>
        <v>-1.3128572733047907</v>
      </c>
      <c r="J1110">
        <f>($B$1+Table4[[#This Row],[Home Differential]])-Table4[[#This Row],[Away Differential]]</f>
        <v>5.0460956230520271E-2</v>
      </c>
      <c r="K1110" t="str">
        <f>IF(Table4[[#This Row],[HomeIce Differential]]&gt;0,Table4[[#This Row],[Home]],Table4[[#This Row],[Visitor]])</f>
        <v>Vancouver Canucks</v>
      </c>
      <c r="L11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0.54566645586690343</v>
      </c>
      <c r="M1110" t="str">
        <f>IF(OR((NHL2025_26Results[[#This Row],[Winning Team]]="")),"-",IF(Table4[[#This Row],[Predicted Winner]]=NHL2025_26Results[[#This Row],[Winning Team]],"YES","NO"))</f>
        <v>-</v>
      </c>
      <c r="N1110" t="str">
        <f>IF(Table4[[#This Row],[Adjusted Correct]]="-", "",IF(Table4[[#This Row],[Adjusted Correct]]="YES",(Table4[[#This Row],[Strength of Win]]-1)^2,(Table4[[#This Row],[Strength of Win]]-0)^2))</f>
        <v/>
      </c>
      <c r="P1110" s="11"/>
    </row>
    <row r="1111" spans="4:16" x14ac:dyDescent="0.2">
      <c r="D1111" s="1">
        <v>46103</v>
      </c>
      <c r="E1111" s="2">
        <v>0.83333333333333337</v>
      </c>
      <c r="F1111" t="s">
        <v>31</v>
      </c>
      <c r="G1111">
        <f>VLOOKUP(Table4[[#This Row],[Home]],'NHL Model'!$A$6:$B$38,2,FALSE)</f>
        <v>-0.46360583111358089</v>
      </c>
      <c r="H1111" t="s">
        <v>23</v>
      </c>
      <c r="I1111">
        <f>VLOOKUP(Table4[[#This Row],[Visitor]],'NHL Model'!$A$6:$B$38,2,FALSE)</f>
        <v>8.1543966060426461E-3</v>
      </c>
      <c r="J1111">
        <f>($B$1+Table4[[#This Row],[Home Differential]])-Table4[[#This Row],[Away Differential]]</f>
        <v>-0.34215324190809948</v>
      </c>
      <c r="K1111" t="str">
        <f>IF(Table4[[#This Row],[HomeIce Differential]]&gt;0,Table4[[#This Row],[Home]],Table4[[#This Row],[Visitor]])</f>
        <v>Buffalo Sabres</v>
      </c>
      <c r="L11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0.48286615480865513</v>
      </c>
      <c r="M1111" t="str">
        <f>IF(OR((NHL2025_26Results[[#This Row],[Winning Team]]="")),"-",IF(Table4[[#This Row],[Predicted Winner]]=NHL2025_26Results[[#This Row],[Winning Team]],"YES","NO"))</f>
        <v>-</v>
      </c>
      <c r="N1111" t="str">
        <f>IF(Table4[[#This Row],[Adjusted Correct]]="-", "",IF(Table4[[#This Row],[Adjusted Correct]]="YES",(Table4[[#This Row],[Strength of Win]]-1)^2,(Table4[[#This Row],[Strength of Win]]-0)^2))</f>
        <v/>
      </c>
      <c r="P1111" s="11"/>
    </row>
    <row r="1112" spans="4:16" x14ac:dyDescent="0.2">
      <c r="D1112" s="1">
        <v>46103</v>
      </c>
      <c r="E1112" s="2">
        <v>0.83333333333333337</v>
      </c>
      <c r="F1112" t="s">
        <v>16</v>
      </c>
      <c r="G1112">
        <f>VLOOKUP(Table4[[#This Row],[Home]],'NHL Model'!$A$6:$B$38,2,FALSE)</f>
        <v>-0.89031221864884547</v>
      </c>
      <c r="H1112" t="s">
        <v>37</v>
      </c>
      <c r="I1112">
        <f>VLOOKUP(Table4[[#This Row],[Visitor]],'NHL Model'!$A$6:$B$38,2,FALSE)</f>
        <v>0.72108184732572844</v>
      </c>
      <c r="J1112">
        <f>($B$1+Table4[[#This Row],[Home Differential]])-Table4[[#This Row],[Away Differential]]</f>
        <v>-1.4817870801630497</v>
      </c>
      <c r="K1112" t="str">
        <f>IF(Table4[[#This Row],[HomeIce Differential]]&gt;0,Table4[[#This Row],[Home]],Table4[[#This Row],[Visitor]])</f>
        <v>Tampa Bay Lightning</v>
      </c>
      <c r="L11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0.72325374781978269</v>
      </c>
      <c r="M1112" t="str">
        <f>IF(OR((NHL2025_26Results[[#This Row],[Winning Team]]="")),"-",IF(Table4[[#This Row],[Predicted Winner]]=NHL2025_26Results[[#This Row],[Winning Team]],"YES","NO"))</f>
        <v>-</v>
      </c>
      <c r="N1112" t="str">
        <f>IF(Table4[[#This Row],[Adjusted Correct]]="-", "",IF(Table4[[#This Row],[Adjusted Correct]]="YES",(Table4[[#This Row],[Strength of Win]]-1)^2,(Table4[[#This Row],[Strength of Win]]-0)^2))</f>
        <v/>
      </c>
      <c r="P1112" s="11"/>
    </row>
    <row r="1113" spans="4:16" x14ac:dyDescent="0.2">
      <c r="D1113" s="1">
        <v>46103</v>
      </c>
      <c r="E1113" s="2">
        <v>0.625</v>
      </c>
      <c r="F1113" t="s">
        <v>10</v>
      </c>
      <c r="G1113">
        <f>VLOOKUP(Table4[[#This Row],[Home]],'NHL Model'!$A$6:$B$38,2,FALSE)</f>
        <v>-0.92658078135875344</v>
      </c>
      <c r="H1113" t="s">
        <v>29</v>
      </c>
      <c r="I1113">
        <f>VLOOKUP(Table4[[#This Row],[Visitor]],'NHL Model'!$A$6:$B$38,2,FALSE)</f>
        <v>-0.82056481120798741</v>
      </c>
      <c r="J1113">
        <f>($B$1+Table4[[#This Row],[Home Differential]])-Table4[[#This Row],[Away Differential]]</f>
        <v>2.3591015660758052E-2</v>
      </c>
      <c r="K1113" t="str">
        <f>IF(Table4[[#This Row],[HomeIce Differential]]&gt;0,Table4[[#This Row],[Home]],Table4[[#This Row],[Visitor]])</f>
        <v>Chicago Blackhawks</v>
      </c>
      <c r="L11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0.54264912635595797</v>
      </c>
      <c r="M1113" t="str">
        <f>IF(OR((NHL2025_26Results[[#This Row],[Winning Team]]="")),"-",IF(Table4[[#This Row],[Predicted Winner]]=NHL2025_26Results[[#This Row],[Winning Team]],"YES","NO"))</f>
        <v>-</v>
      </c>
      <c r="N1113" t="str">
        <f>IF(Table4[[#This Row],[Adjusted Correct]]="-", "",IF(Table4[[#This Row],[Adjusted Correct]]="YES",(Table4[[#This Row],[Strength of Win]]-1)^2,(Table4[[#This Row],[Strength of Win]]-0)^2))</f>
        <v/>
      </c>
      <c r="P1113" s="11"/>
    </row>
    <row r="1114" spans="4:16" x14ac:dyDescent="0.2">
      <c r="D1114" s="1">
        <v>46103</v>
      </c>
      <c r="E1114" s="2">
        <v>0.79166666666666663</v>
      </c>
      <c r="F1114" t="s">
        <v>39</v>
      </c>
      <c r="G1114">
        <f>VLOOKUP(Table4[[#This Row],[Home]],'NHL Model'!$A$6:$B$38,2,FALSE)</f>
        <v>0.21708030788125537</v>
      </c>
      <c r="H1114" t="s">
        <v>20</v>
      </c>
      <c r="I1114">
        <f>VLOOKUP(Table4[[#This Row],[Visitor]],'NHL Model'!$A$6:$B$38,2,FALSE)</f>
        <v>-0.16296463421387539</v>
      </c>
      <c r="J1114">
        <f>($B$1+Table4[[#This Row],[Home Differential]])-Table4[[#This Row],[Away Differential]]</f>
        <v>0.50965192790665492</v>
      </c>
      <c r="K1114" t="str">
        <f>IF(Table4[[#This Row],[HomeIce Differential]]&gt;0,Table4[[#This Row],[Home]],Table4[[#This Row],[Visitor]])</f>
        <v>Dallas Stars</v>
      </c>
      <c r="L11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0.62324685887593778</v>
      </c>
      <c r="M1114" t="str">
        <f>IF(OR((NHL2025_26Results[[#This Row],[Winning Team]]="")),"-",IF(Table4[[#This Row],[Predicted Winner]]=NHL2025_26Results[[#This Row],[Winning Team]],"YES","NO"))</f>
        <v>-</v>
      </c>
      <c r="N1114" t="str">
        <f>IF(Table4[[#This Row],[Adjusted Correct]]="-", "",IF(Table4[[#This Row],[Adjusted Correct]]="YES",(Table4[[#This Row],[Strength of Win]]-1)^2,(Table4[[#This Row],[Strength of Win]]-0)^2))</f>
        <v/>
      </c>
      <c r="P1114" s="11"/>
    </row>
    <row r="1115" spans="4:16" x14ac:dyDescent="0.2">
      <c r="D1115" s="1">
        <v>46103</v>
      </c>
      <c r="E1115" s="2">
        <v>0.79166666666666663</v>
      </c>
      <c r="F1115" t="s">
        <v>30</v>
      </c>
      <c r="G1115">
        <f>VLOOKUP(Table4[[#This Row],[Home]],'NHL Model'!$A$6:$B$38,2,FALSE)</f>
        <v>-0.18630462558229716</v>
      </c>
      <c r="H1115" t="s">
        <v>28</v>
      </c>
      <c r="I1115">
        <f>VLOOKUP(Table4[[#This Row],[Visitor]],'NHL Model'!$A$6:$B$38,2,FALSE)</f>
        <v>-0.28156479873410767</v>
      </c>
      <c r="J1115">
        <f>($B$1+Table4[[#This Row],[Home Differential]])-Table4[[#This Row],[Away Differential]]</f>
        <v>0.22486715896333462</v>
      </c>
      <c r="K1115" t="str">
        <f>IF(Table4[[#This Row],[HomeIce Differential]]&gt;0,Table4[[#This Row],[Home]],Table4[[#This Row],[Visitor]])</f>
        <v>New York Islanders</v>
      </c>
      <c r="L11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0.56730727742610587</v>
      </c>
      <c r="M1115" t="str">
        <f>IF(OR((NHL2025_26Results[[#This Row],[Winning Team]]="")),"-",IF(Table4[[#This Row],[Predicted Winner]]=NHL2025_26Results[[#This Row],[Winning Team]],"YES","NO"))</f>
        <v>-</v>
      </c>
      <c r="N1115" t="str">
        <f>IF(Table4[[#This Row],[Adjusted Correct]]="-", "",IF(Table4[[#This Row],[Adjusted Correct]]="YES",(Table4[[#This Row],[Strength of Win]]-1)^2,(Table4[[#This Row],[Strength of Win]]-0)^2))</f>
        <v/>
      </c>
      <c r="P1115" s="11"/>
    </row>
    <row r="1116" spans="4:16" x14ac:dyDescent="0.2">
      <c r="D1116" s="1">
        <v>46103</v>
      </c>
      <c r="E1116" s="2">
        <v>0.5</v>
      </c>
      <c r="F1116" t="s">
        <v>15</v>
      </c>
      <c r="G1116">
        <f>VLOOKUP(Table4[[#This Row],[Home]],'NHL Model'!$A$6:$B$38,2,FALSE)</f>
        <v>-0.73651915476403329</v>
      </c>
      <c r="H1116" t="s">
        <v>40</v>
      </c>
      <c r="I1116">
        <f>VLOOKUP(Table4[[#This Row],[Visitor]],'NHL Model'!$A$6:$B$38,2,FALSE)</f>
        <v>-0.58845147248022256</v>
      </c>
      <c r="J1116">
        <f>($B$1+Table4[[#This Row],[Home Differential]])-Table4[[#This Row],[Away Differential]]</f>
        <v>-1.8460696472286653E-2</v>
      </c>
      <c r="K1116" t="str">
        <f>IF(Table4[[#This Row],[HomeIce Differential]]&gt;0,Table4[[#This Row],[Home]],Table4[[#This Row],[Visitor]])</f>
        <v>Winnipeg Jets</v>
      </c>
      <c r="L11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0.46207302297948216</v>
      </c>
      <c r="M1116" t="str">
        <f>IF(OR((NHL2025_26Results[[#This Row],[Winning Team]]="")),"-",IF(Table4[[#This Row],[Predicted Winner]]=NHL2025_26Results[[#This Row],[Winning Team]],"YES","NO"))</f>
        <v>-</v>
      </c>
      <c r="N1116" t="str">
        <f>IF(Table4[[#This Row],[Adjusted Correct]]="-", "",IF(Table4[[#This Row],[Adjusted Correct]]="YES",(Table4[[#This Row],[Strength of Win]]-1)^2,(Table4[[#This Row],[Strength of Win]]-0)^2))</f>
        <v/>
      </c>
      <c r="P1116" s="11"/>
    </row>
    <row r="1117" spans="4:16" x14ac:dyDescent="0.2">
      <c r="D1117" s="1">
        <v>46103</v>
      </c>
      <c r="E1117" s="2">
        <v>0.625</v>
      </c>
      <c r="F1117" t="s">
        <v>14</v>
      </c>
      <c r="G1117">
        <f>VLOOKUP(Table4[[#This Row],[Home]],'NHL Model'!$A$6:$B$38,2,FALSE)</f>
        <v>3.6349513460996066E-5</v>
      </c>
      <c r="H1117" t="s">
        <v>25</v>
      </c>
      <c r="I1117">
        <f>VLOOKUP(Table4[[#This Row],[Visitor]],'NHL Model'!$A$6:$B$38,2,FALSE)</f>
        <v>0.2324942014830165</v>
      </c>
      <c r="J1117">
        <f>($B$1+Table4[[#This Row],[Home Differential]])-Table4[[#This Row],[Away Differential]]</f>
        <v>-0.10285086615803141</v>
      </c>
      <c r="K1117" t="str">
        <f>IF(Table4[[#This Row],[HomeIce Differential]]&gt;0,Table4[[#This Row],[Home]],Table4[[#This Row],[Visitor]])</f>
        <v>Carolina Hurricanes</v>
      </c>
      <c r="L11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0.52807844702198314</v>
      </c>
      <c r="M1117" t="str">
        <f>IF(OR((NHL2025_26Results[[#This Row],[Winning Team]]="")),"-",IF(Table4[[#This Row],[Predicted Winner]]=NHL2025_26Results[[#This Row],[Winning Team]],"YES","NO"))</f>
        <v>-</v>
      </c>
      <c r="N1117" t="str">
        <f>IF(Table4[[#This Row],[Adjusted Correct]]="-", "",IF(Table4[[#This Row],[Adjusted Correct]]="YES",(Table4[[#This Row],[Strength of Win]]-1)^2,(Table4[[#This Row],[Strength of Win]]-0)^2))</f>
        <v/>
      </c>
      <c r="P1117" s="11"/>
    </row>
    <row r="1118" spans="4:16" x14ac:dyDescent="0.2">
      <c r="D1118" s="1">
        <v>46103</v>
      </c>
      <c r="E1118" s="2">
        <v>0.875</v>
      </c>
      <c r="F1118" t="s">
        <v>55</v>
      </c>
      <c r="G1118">
        <f>VLOOKUP(Table4[[#This Row],[Home]],'NHL Model'!$A$6:$B$38,2,FALSE)</f>
        <v>8.4094725828611647E-2</v>
      </c>
      <c r="H1118" t="s">
        <v>13</v>
      </c>
      <c r="I1118">
        <f>VLOOKUP(Table4[[#This Row],[Visitor]],'NHL Model'!$A$6:$B$38,2,FALSE)</f>
        <v>-0.59069689888466137</v>
      </c>
      <c r="J1118">
        <f>($B$1+Table4[[#This Row],[Home Differential]])-Table4[[#This Row],[Away Differential]]</f>
        <v>0.80439861052479711</v>
      </c>
      <c r="K1118" t="str">
        <f>IF(Table4[[#This Row],[HomeIce Differential]]&gt;0,Table4[[#This Row],[Home]],Table4[[#This Row],[Visitor]])</f>
        <v>Utah Mammoth</v>
      </c>
      <c r="L11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0.63871612671002131</v>
      </c>
      <c r="M1118" t="str">
        <f>IF(OR((NHL2025_26Results[[#This Row],[Winning Team]]="")),"-",IF(Table4[[#This Row],[Predicted Winner]]=NHL2025_26Results[[#This Row],[Winning Team]],"YES","NO"))</f>
        <v>-</v>
      </c>
      <c r="N1118" t="str">
        <f>IF(Table4[[#This Row],[Adjusted Correct]]="-", "",IF(Table4[[#This Row],[Adjusted Correct]]="YES",(Table4[[#This Row],[Strength of Win]]-1)^2,(Table4[[#This Row],[Strength of Win]]-0)^2))</f>
        <v/>
      </c>
      <c r="P1118" s="11"/>
    </row>
    <row r="1119" spans="4:16" x14ac:dyDescent="0.2">
      <c r="D1119" s="1">
        <v>46103</v>
      </c>
      <c r="E1119" s="2">
        <v>0.52083333333333337</v>
      </c>
      <c r="F1119" t="s">
        <v>22</v>
      </c>
      <c r="G1119">
        <f>VLOOKUP(Table4[[#This Row],[Home]],'NHL Model'!$A$6:$B$38,2,FALSE)</f>
        <v>-0.11977593183651415</v>
      </c>
      <c r="H1119" t="s">
        <v>12</v>
      </c>
      <c r="I1119">
        <f>VLOOKUP(Table4[[#This Row],[Visitor]],'NHL Model'!$A$6:$B$38,2,FALSE)</f>
        <v>0.99866683349964291</v>
      </c>
      <c r="J1119">
        <f>($B$1+Table4[[#This Row],[Home Differential]])-Table4[[#This Row],[Away Differential]]</f>
        <v>-0.98883577952463297</v>
      </c>
      <c r="K1119" t="str">
        <f>IF(Table4[[#This Row],[HomeIce Differential]]&gt;0,Table4[[#This Row],[Home]],Table4[[#This Row],[Visitor]])</f>
        <v>Colorado Avalanche</v>
      </c>
      <c r="L11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0.62219441191710279</v>
      </c>
      <c r="M1119" t="str">
        <f>IF(OR((NHL2025_26Results[[#This Row],[Winning Team]]="")),"-",IF(Table4[[#This Row],[Predicted Winner]]=NHL2025_26Results[[#This Row],[Winning Team]],"YES","NO"))</f>
        <v>-</v>
      </c>
      <c r="N1119" t="str">
        <f>IF(Table4[[#This Row],[Adjusted Correct]]="-", "",IF(Table4[[#This Row],[Adjusted Correct]]="YES",(Table4[[#This Row],[Strength of Win]]-1)^2,(Table4[[#This Row],[Strength of Win]]-0)^2))</f>
        <v/>
      </c>
      <c r="P1119" s="11"/>
    </row>
    <row r="1120" spans="4:16" x14ac:dyDescent="0.2">
      <c r="D1120" s="1">
        <v>46104</v>
      </c>
      <c r="E1120" s="2">
        <v>0.8125</v>
      </c>
      <c r="F1120" t="s">
        <v>15</v>
      </c>
      <c r="G1120">
        <f>VLOOKUP(Table4[[#This Row],[Home]],'NHL Model'!$A$6:$B$38,2,FALSE)</f>
        <v>-0.73651915476403329</v>
      </c>
      <c r="H1120" t="s">
        <v>36</v>
      </c>
      <c r="I1120">
        <f>VLOOKUP(Table4[[#This Row],[Visitor]],'NHL Model'!$A$6:$B$38,2,FALSE)</f>
        <v>-0.19010748264223354</v>
      </c>
      <c r="J1120">
        <f>($B$1+Table4[[#This Row],[Home Differential]])-Table4[[#This Row],[Away Differential]]</f>
        <v>-0.41680468631027567</v>
      </c>
      <c r="K1120" t="str">
        <f>IF(Table4[[#This Row],[HomeIce Differential]]&gt;0,Table4[[#This Row],[Home]],Table4[[#This Row],[Visitor]])</f>
        <v>Ottawa Senators</v>
      </c>
      <c r="L11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0.51882079308499962</v>
      </c>
      <c r="M1120" t="str">
        <f>IF(OR((NHL2025_26Results[[#This Row],[Winning Team]]="")),"-",IF(Table4[[#This Row],[Predicted Winner]]=NHL2025_26Results[[#This Row],[Winning Team]],"YES","NO"))</f>
        <v>-</v>
      </c>
      <c r="N1120" t="str">
        <f>IF(Table4[[#This Row],[Adjusted Correct]]="-", "",IF(Table4[[#This Row],[Adjusted Correct]]="YES",(Table4[[#This Row],[Strength of Win]]-1)^2,(Table4[[#This Row],[Strength of Win]]-0)^2))</f>
        <v/>
      </c>
      <c r="P1120" s="11"/>
    </row>
    <row r="1121" spans="4:16" x14ac:dyDescent="0.2">
      <c r="D1121" s="1">
        <v>46105</v>
      </c>
      <c r="E1121" s="2">
        <v>0.79166666666666663</v>
      </c>
      <c r="F1121" t="s">
        <v>21</v>
      </c>
      <c r="G1121">
        <f>VLOOKUP(Table4[[#This Row],[Home]],'NHL Model'!$A$6:$B$38,2,FALSE)</f>
        <v>-0.10253061303059285</v>
      </c>
      <c r="H1121" t="s">
        <v>19</v>
      </c>
      <c r="I1121">
        <f>VLOOKUP(Table4[[#This Row],[Visitor]],'NHL Model'!$A$6:$B$38,2,FALSE)</f>
        <v>-0.44228056828684137</v>
      </c>
      <c r="J1121">
        <f>($B$1+Table4[[#This Row],[Home Differential]])-Table4[[#This Row],[Away Differential]]</f>
        <v>0.46935694106777259</v>
      </c>
      <c r="K1121" t="str">
        <f>IF(Table4[[#This Row],[HomeIce Differential]]&gt;0,Table4[[#This Row],[Home]],Table4[[#This Row],[Visitor]])</f>
        <v>Boston Bruins</v>
      </c>
      <c r="L11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0.64442188186821836</v>
      </c>
      <c r="M1121" t="str">
        <f>IF(OR((NHL2025_26Results[[#This Row],[Winning Team]]="")),"-",IF(Table4[[#This Row],[Predicted Winner]]=NHL2025_26Results[[#This Row],[Winning Team]],"YES","NO"))</f>
        <v>-</v>
      </c>
      <c r="N1121" t="str">
        <f>IF(Table4[[#This Row],[Adjusted Correct]]="-", "",IF(Table4[[#This Row],[Adjusted Correct]]="YES",(Table4[[#This Row],[Strength of Win]]-1)^2,(Table4[[#This Row],[Strength of Win]]-0)^2))</f>
        <v/>
      </c>
      <c r="P1121" s="11"/>
    </row>
    <row r="1122" spans="4:16" x14ac:dyDescent="0.2">
      <c r="D1122" s="1">
        <v>46105</v>
      </c>
      <c r="E1122" s="2">
        <v>0.875</v>
      </c>
      <c r="F1122" t="s">
        <v>16</v>
      </c>
      <c r="G1122">
        <f>VLOOKUP(Table4[[#This Row],[Home]],'NHL Model'!$A$6:$B$38,2,FALSE)</f>
        <v>-0.89031221864884547</v>
      </c>
      <c r="H1122" t="s">
        <v>13</v>
      </c>
      <c r="I1122">
        <f>VLOOKUP(Table4[[#This Row],[Visitor]],'NHL Model'!$A$6:$B$38,2,FALSE)</f>
        <v>-0.59069689888466137</v>
      </c>
      <c r="J1122">
        <f>($B$1+Table4[[#This Row],[Home Differential]])-Table4[[#This Row],[Away Differential]]</f>
        <v>-0.17000833395266002</v>
      </c>
      <c r="K1122" t="str">
        <f>IF(Table4[[#This Row],[HomeIce Differential]]&gt;0,Table4[[#This Row],[Home]],Table4[[#This Row],[Visitor]])</f>
        <v>Los Angeles Kings</v>
      </c>
      <c r="L11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0.49986012387374668</v>
      </c>
      <c r="M1122" t="str">
        <f>IF(OR((NHL2025_26Results[[#This Row],[Winning Team]]="")),"-",IF(Table4[[#This Row],[Predicted Winner]]=NHL2025_26Results[[#This Row],[Winning Team]],"YES","NO"))</f>
        <v>-</v>
      </c>
      <c r="N1122" t="str">
        <f>IF(Table4[[#This Row],[Adjusted Correct]]="-", "",IF(Table4[[#This Row],[Adjusted Correct]]="YES",(Table4[[#This Row],[Strength of Win]]-1)^2,(Table4[[#This Row],[Strength of Win]]-0)^2))</f>
        <v/>
      </c>
      <c r="P1122" s="11"/>
    </row>
    <row r="1123" spans="4:16" x14ac:dyDescent="0.2">
      <c r="D1123" s="1">
        <v>46105</v>
      </c>
      <c r="E1123" s="2">
        <v>0.83333333333333337</v>
      </c>
      <c r="F1123" t="s">
        <v>39</v>
      </c>
      <c r="G1123">
        <f>VLOOKUP(Table4[[#This Row],[Home]],'NHL Model'!$A$6:$B$38,2,FALSE)</f>
        <v>0.21708030788125537</v>
      </c>
      <c r="H1123" t="s">
        <v>24</v>
      </c>
      <c r="I1123">
        <f>VLOOKUP(Table4[[#This Row],[Visitor]],'NHL Model'!$A$6:$B$38,2,FALSE)</f>
        <v>-0.74510803532792402</v>
      </c>
      <c r="J1123">
        <f>($B$1+Table4[[#This Row],[Home Differential]])-Table4[[#This Row],[Away Differential]]</f>
        <v>1.0917953290207034</v>
      </c>
      <c r="K1123" t="str">
        <f>IF(Table4[[#This Row],[HomeIce Differential]]&gt;0,Table4[[#This Row],[Home]],Table4[[#This Row],[Visitor]])</f>
        <v>Dallas Stars</v>
      </c>
      <c r="L11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0.67997896776714262</v>
      </c>
      <c r="M1123" t="str">
        <f>IF(OR((NHL2025_26Results[[#This Row],[Winning Team]]="")),"-",IF(Table4[[#This Row],[Predicted Winner]]=NHL2025_26Results[[#This Row],[Winning Team]],"YES","NO"))</f>
        <v>-</v>
      </c>
      <c r="N1123" t="str">
        <f>IF(Table4[[#This Row],[Adjusted Correct]]="-", "",IF(Table4[[#This Row],[Adjusted Correct]]="YES",(Table4[[#This Row],[Strength of Win]]-1)^2,(Table4[[#This Row],[Strength of Win]]-0)^2))</f>
        <v/>
      </c>
      <c r="P1123" s="11"/>
    </row>
    <row r="1124" spans="4:16" x14ac:dyDescent="0.2">
      <c r="D1124" s="1">
        <v>46105</v>
      </c>
      <c r="E1124" s="2">
        <v>0.79166666666666663</v>
      </c>
      <c r="F1124" t="s">
        <v>26</v>
      </c>
      <c r="G1124">
        <f>VLOOKUP(Table4[[#This Row],[Home]],'NHL Model'!$A$6:$B$38,2,FALSE)</f>
        <v>-0.33113778518110382</v>
      </c>
      <c r="H1124" t="s">
        <v>36</v>
      </c>
      <c r="I1124">
        <f>VLOOKUP(Table4[[#This Row],[Visitor]],'NHL Model'!$A$6:$B$38,2,FALSE)</f>
        <v>-0.19010748264223354</v>
      </c>
      <c r="J1124">
        <f>($B$1+Table4[[#This Row],[Home Differential]])-Table4[[#This Row],[Away Differential]]</f>
        <v>-1.1423316727346172E-2</v>
      </c>
      <c r="K1124" t="str">
        <f>IF(Table4[[#This Row],[HomeIce Differential]]&gt;0,Table4[[#This Row],[Home]],Table4[[#This Row],[Visitor]])</f>
        <v>Ottawa Senators</v>
      </c>
      <c r="L11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0.44714264101152196</v>
      </c>
      <c r="M1124" t="str">
        <f>IF(OR((NHL2025_26Results[[#This Row],[Winning Team]]="")),"-",IF(Table4[[#This Row],[Predicted Winner]]=NHL2025_26Results[[#This Row],[Winning Team]],"YES","NO"))</f>
        <v>-</v>
      </c>
      <c r="N1124" t="str">
        <f>IF(Table4[[#This Row],[Adjusted Correct]]="-", "",IF(Table4[[#This Row],[Adjusted Correct]]="YES",(Table4[[#This Row],[Strength of Win]]-1)^2,(Table4[[#This Row],[Strength of Win]]-0)^2))</f>
        <v/>
      </c>
      <c r="P1124" s="11"/>
    </row>
    <row r="1125" spans="4:16" x14ac:dyDescent="0.2">
      <c r="D1125" s="1">
        <v>46105</v>
      </c>
      <c r="E1125" s="2">
        <v>0.79166666666666663</v>
      </c>
      <c r="F1125" t="s">
        <v>11</v>
      </c>
      <c r="G1125">
        <f>VLOOKUP(Table4[[#This Row],[Home]],'NHL Model'!$A$6:$B$38,2,FALSE)</f>
        <v>-0.55695213126481558</v>
      </c>
      <c r="H1125" t="s">
        <v>32</v>
      </c>
      <c r="I1125">
        <f>VLOOKUP(Table4[[#This Row],[Visitor]],'NHL Model'!$A$6:$B$38,2,FALSE)</f>
        <v>-0.48236715437805205</v>
      </c>
      <c r="J1125">
        <f>($B$1+Table4[[#This Row],[Home Differential]])-Table4[[#This Row],[Away Differential]]</f>
        <v>5.5022008924760557E-2</v>
      </c>
      <c r="K1125" t="str">
        <f>IF(Table4[[#This Row],[HomeIce Differential]]&gt;0,Table4[[#This Row],[Home]],Table4[[#This Row],[Visitor]])</f>
        <v>Florida Panthers</v>
      </c>
      <c r="L11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0.54617863410784806</v>
      </c>
      <c r="M1125" t="str">
        <f>IF(OR((NHL2025_26Results[[#This Row],[Winning Team]]="")),"-",IF(Table4[[#This Row],[Predicted Winner]]=NHL2025_26Results[[#This Row],[Winning Team]],"YES","NO"))</f>
        <v>-</v>
      </c>
      <c r="N1125" t="str">
        <f>IF(Table4[[#This Row],[Adjusted Correct]]="-", "",IF(Table4[[#This Row],[Adjusted Correct]]="YES",(Table4[[#This Row],[Strength of Win]]-1)^2,(Table4[[#This Row],[Strength of Win]]-0)^2))</f>
        <v/>
      </c>
      <c r="P1125" s="11"/>
    </row>
    <row r="1126" spans="4:16" x14ac:dyDescent="0.2">
      <c r="D1126" s="1">
        <v>46105</v>
      </c>
      <c r="E1126" s="2">
        <v>0.79166666666666663</v>
      </c>
      <c r="F1126" t="s">
        <v>18</v>
      </c>
      <c r="G1126">
        <f>VLOOKUP(Table4[[#This Row],[Home]],'NHL Model'!$A$6:$B$38,2,FALSE)</f>
        <v>-8.6274676766085606E-2</v>
      </c>
      <c r="H1126" t="s">
        <v>25</v>
      </c>
      <c r="I1126">
        <f>VLOOKUP(Table4[[#This Row],[Visitor]],'NHL Model'!$A$6:$B$38,2,FALSE)</f>
        <v>0.2324942014830165</v>
      </c>
      <c r="J1126">
        <f>($B$1+Table4[[#This Row],[Home Differential]])-Table4[[#This Row],[Away Differential]]</f>
        <v>-0.189161892437578</v>
      </c>
      <c r="K1126" t="str">
        <f>IF(Table4[[#This Row],[HomeIce Differential]]&gt;0,Table4[[#This Row],[Home]],Table4[[#This Row],[Visitor]])</f>
        <v>Carolina Hurricanes</v>
      </c>
      <c r="L11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0.52363406473574203</v>
      </c>
      <c r="M1126" t="str">
        <f>IF(OR((NHL2025_26Results[[#This Row],[Winning Team]]="")),"-",IF(Table4[[#This Row],[Predicted Winner]]=NHL2025_26Results[[#This Row],[Winning Team]],"YES","NO"))</f>
        <v>-</v>
      </c>
      <c r="N1126" t="str">
        <f>IF(Table4[[#This Row],[Adjusted Correct]]="-", "",IF(Table4[[#This Row],[Adjusted Correct]]="YES",(Table4[[#This Row],[Strength of Win]]-1)^2,(Table4[[#This Row],[Strength of Win]]-0)^2))</f>
        <v/>
      </c>
      <c r="P1126" s="11"/>
    </row>
    <row r="1127" spans="4:16" x14ac:dyDescent="0.2">
      <c r="D1127" s="1">
        <v>46105</v>
      </c>
      <c r="E1127" s="2">
        <v>0.83333333333333337</v>
      </c>
      <c r="F1127" t="s">
        <v>29</v>
      </c>
      <c r="G1127">
        <f>VLOOKUP(Table4[[#This Row],[Home]],'NHL Model'!$A$6:$B$38,2,FALSE)</f>
        <v>-0.82056481120798741</v>
      </c>
      <c r="H1127" t="s">
        <v>33</v>
      </c>
      <c r="I1127">
        <f>VLOOKUP(Table4[[#This Row],[Visitor]],'NHL Model'!$A$6:$B$38,2,FALSE)</f>
        <v>-0.65236582493376272</v>
      </c>
      <c r="J1127">
        <f>($B$1+Table4[[#This Row],[Home Differential]])-Table4[[#This Row],[Away Differential]]</f>
        <v>-3.8592000462700615E-2</v>
      </c>
      <c r="K1127" t="str">
        <f>IF(Table4[[#This Row],[HomeIce Differential]]&gt;0,Table4[[#This Row],[Home]],Table4[[#This Row],[Visitor]])</f>
        <v>San Jose Sharks</v>
      </c>
      <c r="L11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0.46433364493606533</v>
      </c>
      <c r="M1127" t="str">
        <f>IF(OR((NHL2025_26Results[[#This Row],[Winning Team]]="")),"-",IF(Table4[[#This Row],[Predicted Winner]]=NHL2025_26Results[[#This Row],[Winning Team]],"YES","NO"))</f>
        <v>-</v>
      </c>
      <c r="N1127" t="str">
        <f>IF(Table4[[#This Row],[Adjusted Correct]]="-", "",IF(Table4[[#This Row],[Adjusted Correct]]="YES",(Table4[[#This Row],[Strength of Win]]-1)^2,(Table4[[#This Row],[Strength of Win]]-0)^2))</f>
        <v/>
      </c>
      <c r="P1127" s="11"/>
    </row>
    <row r="1128" spans="4:16" x14ac:dyDescent="0.2">
      <c r="D1128" s="1">
        <v>46105</v>
      </c>
      <c r="E1128" s="2">
        <v>0.79166666666666663</v>
      </c>
      <c r="F1128" t="s">
        <v>30</v>
      </c>
      <c r="G1128">
        <f>VLOOKUP(Table4[[#This Row],[Home]],'NHL Model'!$A$6:$B$38,2,FALSE)</f>
        <v>-0.18630462558229716</v>
      </c>
      <c r="H1128" t="s">
        <v>10</v>
      </c>
      <c r="I1128">
        <f>VLOOKUP(Table4[[#This Row],[Visitor]],'NHL Model'!$A$6:$B$38,2,FALSE)</f>
        <v>-0.92658078135875344</v>
      </c>
      <c r="J1128">
        <f>($B$1+Table4[[#This Row],[Home Differential]])-Table4[[#This Row],[Away Differential]]</f>
        <v>0.86988314158798041</v>
      </c>
      <c r="K1128" t="str">
        <f>IF(Table4[[#This Row],[HomeIce Differential]]&gt;0,Table4[[#This Row],[Home]],Table4[[#This Row],[Visitor]])</f>
        <v>New York Islanders</v>
      </c>
      <c r="L11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0.65169916160334063</v>
      </c>
      <c r="M1128" t="str">
        <f>IF(OR((NHL2025_26Results[[#This Row],[Winning Team]]="")),"-",IF(Table4[[#This Row],[Predicted Winner]]=NHL2025_26Results[[#This Row],[Winning Team]],"YES","NO"))</f>
        <v>-</v>
      </c>
      <c r="N1128" t="str">
        <f>IF(Table4[[#This Row],[Adjusted Correct]]="-", "",IF(Table4[[#This Row],[Adjusted Correct]]="YES",(Table4[[#This Row],[Strength of Win]]-1)^2,(Table4[[#This Row],[Strength of Win]]-0)^2))</f>
        <v/>
      </c>
      <c r="P1128" s="11"/>
    </row>
    <row r="1129" spans="4:16" x14ac:dyDescent="0.2">
      <c r="D1129" s="1">
        <v>46105</v>
      </c>
      <c r="E1129" s="2">
        <v>0.79166666666666663</v>
      </c>
      <c r="F1129" t="s">
        <v>27</v>
      </c>
      <c r="G1129">
        <f>VLOOKUP(Table4[[#This Row],[Home]],'NHL Model'!$A$6:$B$38,2,FALSE)</f>
        <v>-0.55097933929175691</v>
      </c>
      <c r="H1129" t="s">
        <v>28</v>
      </c>
      <c r="I1129">
        <f>VLOOKUP(Table4[[#This Row],[Visitor]],'NHL Model'!$A$6:$B$38,2,FALSE)</f>
        <v>-0.28156479873410767</v>
      </c>
      <c r="J1129">
        <f>($B$1+Table4[[#This Row],[Home Differential]])-Table4[[#This Row],[Away Differential]]</f>
        <v>-0.13980755474612516</v>
      </c>
      <c r="K1129" t="str">
        <f>IF(Table4[[#This Row],[HomeIce Differential]]&gt;0,Table4[[#This Row],[Home]],Table4[[#This Row],[Visitor]])</f>
        <v>Columbus Blue Jackets</v>
      </c>
      <c r="L11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0.48771571425738613</v>
      </c>
      <c r="M1129" t="str">
        <f>IF(OR((NHL2025_26Results[[#This Row],[Winning Team]]="")),"-",IF(Table4[[#This Row],[Predicted Winner]]=NHL2025_26Results[[#This Row],[Winning Team]],"YES","NO"))</f>
        <v>-</v>
      </c>
      <c r="N1129" t="str">
        <f>IF(Table4[[#This Row],[Adjusted Correct]]="-", "",IF(Table4[[#This Row],[Adjusted Correct]]="YES",(Table4[[#This Row],[Strength of Win]]-1)^2,(Table4[[#This Row],[Strength of Win]]-0)^2))</f>
        <v/>
      </c>
      <c r="P1129" s="11"/>
    </row>
    <row r="1130" spans="4:16" x14ac:dyDescent="0.2">
      <c r="D1130" s="1">
        <v>46105</v>
      </c>
      <c r="E1130" s="2">
        <v>0.79166666666666663</v>
      </c>
      <c r="F1130" t="s">
        <v>14</v>
      </c>
      <c r="G1130">
        <f>VLOOKUP(Table4[[#This Row],[Home]],'NHL Model'!$A$6:$B$38,2,FALSE)</f>
        <v>3.6349513460996066E-5</v>
      </c>
      <c r="H1130" t="s">
        <v>12</v>
      </c>
      <c r="I1130">
        <f>VLOOKUP(Table4[[#This Row],[Visitor]],'NHL Model'!$A$6:$B$38,2,FALSE)</f>
        <v>0.99866683349964291</v>
      </c>
      <c r="J1130">
        <f>($B$1+Table4[[#This Row],[Home Differential]])-Table4[[#This Row],[Away Differential]]</f>
        <v>-0.86902349817465785</v>
      </c>
      <c r="K1130" t="str">
        <f>IF(Table4[[#This Row],[HomeIce Differential]]&gt;0,Table4[[#This Row],[Home]],Table4[[#This Row],[Visitor]])</f>
        <v>Colorado Avalanche</v>
      </c>
      <c r="L11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0.62685126371494904</v>
      </c>
      <c r="M1130" t="str">
        <f>IF(OR((NHL2025_26Results[[#This Row],[Winning Team]]="")),"-",IF(Table4[[#This Row],[Predicted Winner]]=NHL2025_26Results[[#This Row],[Winning Team]],"YES","NO"))</f>
        <v>-</v>
      </c>
      <c r="N1130" t="str">
        <f>IF(Table4[[#This Row],[Adjusted Correct]]="-", "",IF(Table4[[#This Row],[Adjusted Correct]]="YES",(Table4[[#This Row],[Strength of Win]]-1)^2,(Table4[[#This Row],[Strength of Win]]-0)^2))</f>
        <v/>
      </c>
      <c r="P1130" s="11"/>
    </row>
    <row r="1131" spans="4:16" x14ac:dyDescent="0.2">
      <c r="D1131" s="1">
        <v>46105</v>
      </c>
      <c r="E1131" s="2">
        <v>0.83333333333333337</v>
      </c>
      <c r="F1131" t="s">
        <v>35</v>
      </c>
      <c r="G1131">
        <f>VLOOKUP(Table4[[#This Row],[Home]],'NHL Model'!$A$6:$B$38,2,FALSE)</f>
        <v>-1.3128572733047907</v>
      </c>
      <c r="H1131" t="s">
        <v>22</v>
      </c>
      <c r="I1131">
        <f>VLOOKUP(Table4[[#This Row],[Visitor]],'NHL Model'!$A$6:$B$38,2,FALSE)</f>
        <v>-0.11977593183651415</v>
      </c>
      <c r="J1131">
        <f>($B$1+Table4[[#This Row],[Home Differential]])-Table4[[#This Row],[Away Differential]]</f>
        <v>-1.0634743556567525</v>
      </c>
      <c r="K1131" t="str">
        <f>IF(Table4[[#This Row],[HomeIce Differential]]&gt;0,Table4[[#This Row],[Home]],Table4[[#This Row],[Visitor]])</f>
        <v>Washington Capitals</v>
      </c>
      <c r="L11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0.57942164699343757</v>
      </c>
      <c r="M1131" t="str">
        <f>IF(OR((NHL2025_26Results[[#This Row],[Winning Team]]="")),"-",IF(Table4[[#This Row],[Predicted Winner]]=NHL2025_26Results[[#This Row],[Winning Team]],"YES","NO"))</f>
        <v>-</v>
      </c>
      <c r="N1131" t="str">
        <f>IF(Table4[[#This Row],[Adjusted Correct]]="-", "",IF(Table4[[#This Row],[Adjusted Correct]]="YES",(Table4[[#This Row],[Strength of Win]]-1)^2,(Table4[[#This Row],[Strength of Win]]-0)^2))</f>
        <v/>
      </c>
      <c r="P1131" s="11"/>
    </row>
    <row r="1132" spans="4:16" x14ac:dyDescent="0.2">
      <c r="D1132" s="1">
        <v>46105</v>
      </c>
      <c r="E1132" s="2">
        <v>0.8125</v>
      </c>
      <c r="F1132" t="s">
        <v>37</v>
      </c>
      <c r="G1132">
        <f>VLOOKUP(Table4[[#This Row],[Home]],'NHL Model'!$A$6:$B$38,2,FALSE)</f>
        <v>0.72108184732572844</v>
      </c>
      <c r="H1132" t="s">
        <v>34</v>
      </c>
      <c r="I1132">
        <f>VLOOKUP(Table4[[#This Row],[Visitor]],'NHL Model'!$A$6:$B$38,2,FALSE)</f>
        <v>6.0485283743665949E-2</v>
      </c>
      <c r="J1132">
        <f>($B$1+Table4[[#This Row],[Home Differential]])-Table4[[#This Row],[Away Differential]]</f>
        <v>0.79020354939358661</v>
      </c>
      <c r="K1132" t="str">
        <f>IF(Table4[[#This Row],[HomeIce Differential]]&gt;0,Table4[[#This Row],[Home]],Table4[[#This Row],[Visitor]])</f>
        <v>Tampa Bay Lightning</v>
      </c>
      <c r="L11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0.61651278941834109</v>
      </c>
      <c r="M1132" t="str">
        <f>IF(OR((NHL2025_26Results[[#This Row],[Winning Team]]="")),"-",IF(Table4[[#This Row],[Predicted Winner]]=NHL2025_26Results[[#This Row],[Winning Team]],"YES","NO"))</f>
        <v>-</v>
      </c>
      <c r="N1132" t="str">
        <f>IF(Table4[[#This Row],[Adjusted Correct]]="-", "",IF(Table4[[#This Row],[Adjusted Correct]]="YES",(Table4[[#This Row],[Strength of Win]]-1)^2,(Table4[[#This Row],[Strength of Win]]-0)^2))</f>
        <v/>
      </c>
      <c r="P1132" s="11"/>
    </row>
    <row r="1133" spans="4:16" x14ac:dyDescent="0.2">
      <c r="D1133" s="1">
        <v>46105</v>
      </c>
      <c r="E1133" s="2">
        <v>0.89583333333333337</v>
      </c>
      <c r="F1133" t="s">
        <v>55</v>
      </c>
      <c r="G1133">
        <f>VLOOKUP(Table4[[#This Row],[Home]],'NHL Model'!$A$6:$B$38,2,FALSE)</f>
        <v>8.4094725828611647E-2</v>
      </c>
      <c r="H1133" t="s">
        <v>17</v>
      </c>
      <c r="I1133">
        <f>VLOOKUP(Table4[[#This Row],[Visitor]],'NHL Model'!$A$6:$B$38,2,FALSE)</f>
        <v>-0.36462594951491906</v>
      </c>
      <c r="J1133">
        <f>($B$1+Table4[[#This Row],[Home Differential]])-Table4[[#This Row],[Away Differential]]</f>
        <v>0.57832766115505474</v>
      </c>
      <c r="K1133" t="str">
        <f>IF(Table4[[#This Row],[HomeIce Differential]]&gt;0,Table4[[#This Row],[Home]],Table4[[#This Row],[Visitor]])</f>
        <v>Utah Mammoth</v>
      </c>
      <c r="L11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0.63388508540957178</v>
      </c>
      <c r="M1133" t="str">
        <f>IF(OR((NHL2025_26Results[[#This Row],[Winning Team]]="")),"-",IF(Table4[[#This Row],[Predicted Winner]]=NHL2025_26Results[[#This Row],[Winning Team]],"YES","NO"))</f>
        <v>-</v>
      </c>
      <c r="N1133" t="str">
        <f>IF(Table4[[#This Row],[Adjusted Correct]]="-", "",IF(Table4[[#This Row],[Adjusted Correct]]="YES",(Table4[[#This Row],[Strength of Win]]-1)^2,(Table4[[#This Row],[Strength of Win]]-0)^2))</f>
        <v/>
      </c>
      <c r="P1133" s="11"/>
    </row>
    <row r="1134" spans="4:16" x14ac:dyDescent="0.2">
      <c r="D1134" s="1">
        <v>46105</v>
      </c>
      <c r="E1134" s="2">
        <v>0.91666666666666663</v>
      </c>
      <c r="F1134" t="s">
        <v>38</v>
      </c>
      <c r="G1134">
        <f>VLOOKUP(Table4[[#This Row],[Home]],'NHL Model'!$A$6:$B$38,2,FALSE)</f>
        <v>-1.3920033028857945</v>
      </c>
      <c r="H1134" t="s">
        <v>31</v>
      </c>
      <c r="I1134">
        <f>VLOOKUP(Table4[[#This Row],[Visitor]],'NHL Model'!$A$6:$B$38,2,FALSE)</f>
        <v>-0.46360583111358089</v>
      </c>
      <c r="J1134">
        <f>($B$1+Table4[[#This Row],[Home Differential]])-Table4[[#This Row],[Away Differential]]</f>
        <v>-0.79879048596068958</v>
      </c>
      <c r="K1134" t="str">
        <f>IF(Table4[[#This Row],[HomeIce Differential]]&gt;0,Table4[[#This Row],[Home]],Table4[[#This Row],[Visitor]])</f>
        <v>Anaheim Ducks</v>
      </c>
      <c r="L11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0.5496992719464342</v>
      </c>
      <c r="M1134" t="str">
        <f>IF(OR((NHL2025_26Results[[#This Row],[Winning Team]]="")),"-",IF(Table4[[#This Row],[Predicted Winner]]=NHL2025_26Results[[#This Row],[Winning Team]],"YES","NO"))</f>
        <v>-</v>
      </c>
      <c r="N1134" t="str">
        <f>IF(Table4[[#This Row],[Adjusted Correct]]="-", "",IF(Table4[[#This Row],[Adjusted Correct]]="YES",(Table4[[#This Row],[Strength of Win]]-1)^2,(Table4[[#This Row],[Strength of Win]]-0)^2))</f>
        <v/>
      </c>
      <c r="P1134" s="11"/>
    </row>
    <row r="1135" spans="4:16" x14ac:dyDescent="0.2">
      <c r="D1135" s="1">
        <v>46105</v>
      </c>
      <c r="E1135" s="2">
        <v>0.83333333333333337</v>
      </c>
      <c r="F1135" t="s">
        <v>40</v>
      </c>
      <c r="G1135">
        <f>VLOOKUP(Table4[[#This Row],[Home]],'NHL Model'!$A$6:$B$38,2,FALSE)</f>
        <v>-0.58845147248022256</v>
      </c>
      <c r="H1135" t="s">
        <v>20</v>
      </c>
      <c r="I1135">
        <f>VLOOKUP(Table4[[#This Row],[Visitor]],'NHL Model'!$A$6:$B$38,2,FALSE)</f>
        <v>-0.16296463421387539</v>
      </c>
      <c r="J1135">
        <f>($B$1+Table4[[#This Row],[Home Differential]])-Table4[[#This Row],[Away Differential]]</f>
        <v>-0.29587985245482307</v>
      </c>
      <c r="K1135" t="str">
        <f>IF(Table4[[#This Row],[HomeIce Differential]]&gt;0,Table4[[#This Row],[Home]],Table4[[#This Row],[Visitor]])</f>
        <v>Vegas Golden Knights</v>
      </c>
      <c r="L11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0.50524167597266656</v>
      </c>
      <c r="M1135" t="str">
        <f>IF(OR((NHL2025_26Results[[#This Row],[Winning Team]]="")),"-",IF(Table4[[#This Row],[Predicted Winner]]=NHL2025_26Results[[#This Row],[Winning Team]],"YES","NO"))</f>
        <v>-</v>
      </c>
      <c r="N1135" t="str">
        <f>IF(Table4[[#This Row],[Adjusted Correct]]="-", "",IF(Table4[[#This Row],[Adjusted Correct]]="YES",(Table4[[#This Row],[Strength of Win]]-1)^2,(Table4[[#This Row],[Strength of Win]]-0)^2))</f>
        <v/>
      </c>
      <c r="P1135" s="11"/>
    </row>
    <row r="1136" spans="4:16" x14ac:dyDescent="0.2">
      <c r="D1136" s="1">
        <v>46106</v>
      </c>
      <c r="E1136" s="2">
        <v>0.79166666666666663</v>
      </c>
      <c r="F1136" t="s">
        <v>23</v>
      </c>
      <c r="G1136">
        <f>VLOOKUP(Table4[[#This Row],[Home]],'NHL Model'!$A$6:$B$38,2,FALSE)</f>
        <v>8.1543966060426461E-3</v>
      </c>
      <c r="H1136" t="s">
        <v>21</v>
      </c>
      <c r="I1136">
        <f>VLOOKUP(Table4[[#This Row],[Visitor]],'NHL Model'!$A$6:$B$38,2,FALSE)</f>
        <v>-0.10253061303059285</v>
      </c>
      <c r="J1136">
        <f>($B$1+Table4[[#This Row],[Home Differential]])-Table4[[#This Row],[Away Differential]]</f>
        <v>0.2402919954481596</v>
      </c>
      <c r="K1136" t="str">
        <f>IF(Table4[[#This Row],[HomeIce Differential]]&gt;0,Table4[[#This Row],[Home]],Table4[[#This Row],[Visitor]])</f>
        <v>Buffalo Sabres</v>
      </c>
      <c r="L11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0.59592575359633715</v>
      </c>
      <c r="M1136" t="str">
        <f>IF(OR((NHL2025_26Results[[#This Row],[Winning Team]]="")),"-",IF(Table4[[#This Row],[Predicted Winner]]=NHL2025_26Results[[#This Row],[Winning Team]],"YES","NO"))</f>
        <v>-</v>
      </c>
      <c r="N1136" t="str">
        <f>IF(Table4[[#This Row],[Adjusted Correct]]="-", "",IF(Table4[[#This Row],[Adjusted Correct]]="YES",(Table4[[#This Row],[Strength of Win]]-1)^2,(Table4[[#This Row],[Strength of Win]]-0)^2))</f>
        <v/>
      </c>
      <c r="P1136" s="11"/>
    </row>
    <row r="1137" spans="4:16" x14ac:dyDescent="0.2">
      <c r="D1137" s="1">
        <v>46106</v>
      </c>
      <c r="E1137" s="2">
        <v>0.8125</v>
      </c>
      <c r="F1137" t="s">
        <v>19</v>
      </c>
      <c r="G1137">
        <f>VLOOKUP(Table4[[#This Row],[Home]],'NHL Model'!$A$6:$B$38,2,FALSE)</f>
        <v>-0.44228056828684137</v>
      </c>
      <c r="H1137" t="s">
        <v>15</v>
      </c>
      <c r="I1137">
        <f>VLOOKUP(Table4[[#This Row],[Visitor]],'NHL Model'!$A$6:$B$38,2,FALSE)</f>
        <v>-0.73651915476403329</v>
      </c>
      <c r="J1137">
        <f>($B$1+Table4[[#This Row],[Home Differential]])-Table4[[#This Row],[Away Differential]]</f>
        <v>0.423845572288716</v>
      </c>
      <c r="K1137" t="str">
        <f>IF(Table4[[#This Row],[HomeIce Differential]]&gt;0,Table4[[#This Row],[Home]],Table4[[#This Row],[Visitor]])</f>
        <v>Toronto Maple Leafs</v>
      </c>
      <c r="L11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0.55167927198327138</v>
      </c>
      <c r="M1137" t="str">
        <f>IF(OR((NHL2025_26Results[[#This Row],[Winning Team]]="")),"-",IF(Table4[[#This Row],[Predicted Winner]]=NHL2025_26Results[[#This Row],[Winning Team]],"YES","NO"))</f>
        <v>-</v>
      </c>
      <c r="N1137" t="str">
        <f>IF(Table4[[#This Row],[Adjusted Correct]]="-", "",IF(Table4[[#This Row],[Adjusted Correct]]="YES",(Table4[[#This Row],[Strength of Win]]-1)^2,(Table4[[#This Row],[Strength of Win]]-0)^2))</f>
        <v/>
      </c>
      <c r="P1137" s="11"/>
    </row>
    <row r="1138" spans="4:16" x14ac:dyDescent="0.2">
      <c r="D1138" s="1">
        <v>46107</v>
      </c>
      <c r="E1138" s="2">
        <v>0.875</v>
      </c>
      <c r="F1138" t="s">
        <v>16</v>
      </c>
      <c r="G1138">
        <f>VLOOKUP(Table4[[#This Row],[Home]],'NHL Model'!$A$6:$B$38,2,FALSE)</f>
        <v>-0.89031221864884547</v>
      </c>
      <c r="H1138" t="s">
        <v>31</v>
      </c>
      <c r="I1138">
        <f>VLOOKUP(Table4[[#This Row],[Visitor]],'NHL Model'!$A$6:$B$38,2,FALSE)</f>
        <v>-0.46360583111358089</v>
      </c>
      <c r="J1138">
        <f>($B$1+Table4[[#This Row],[Home Differential]])-Table4[[#This Row],[Away Differential]]</f>
        <v>-0.2970994017237405</v>
      </c>
      <c r="K1138" t="str">
        <f>IF(Table4[[#This Row],[HomeIce Differential]]&gt;0,Table4[[#This Row],[Home]],Table4[[#This Row],[Visitor]])</f>
        <v>Anaheim Ducks</v>
      </c>
      <c r="L11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0.49336244046308309</v>
      </c>
      <c r="M1138" t="str">
        <f>IF(OR((NHL2025_26Results[[#This Row],[Winning Team]]="")),"-",IF(Table4[[#This Row],[Predicted Winner]]=NHL2025_26Results[[#This Row],[Winning Team]],"YES","NO"))</f>
        <v>-</v>
      </c>
      <c r="N1138" t="str">
        <f>IF(Table4[[#This Row],[Adjusted Correct]]="-", "",IF(Table4[[#This Row],[Adjusted Correct]]="YES",(Table4[[#This Row],[Strength of Win]]-1)^2,(Table4[[#This Row],[Strength of Win]]-0)^2))</f>
        <v/>
      </c>
      <c r="P1138" s="11"/>
    </row>
    <row r="1139" spans="4:16" x14ac:dyDescent="0.2">
      <c r="D1139" s="1">
        <v>46107</v>
      </c>
      <c r="E1139" s="2">
        <v>0.79166666666666663</v>
      </c>
      <c r="F1139" t="s">
        <v>11</v>
      </c>
      <c r="G1139">
        <f>VLOOKUP(Table4[[#This Row],[Home]],'NHL Model'!$A$6:$B$38,2,FALSE)</f>
        <v>-0.55695213126481558</v>
      </c>
      <c r="H1139" t="s">
        <v>34</v>
      </c>
      <c r="I1139">
        <f>VLOOKUP(Table4[[#This Row],[Visitor]],'NHL Model'!$A$6:$B$38,2,FALSE)</f>
        <v>6.0485283743665949E-2</v>
      </c>
      <c r="J1139">
        <f>($B$1+Table4[[#This Row],[Home Differential]])-Table4[[#This Row],[Away Differential]]</f>
        <v>-0.48783042919695746</v>
      </c>
      <c r="K1139" t="str">
        <f>IF(Table4[[#This Row],[HomeIce Differential]]&gt;0,Table4[[#This Row],[Home]],Table4[[#This Row],[Visitor]])</f>
        <v>Minnesota Wild</v>
      </c>
      <c r="L11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0.58404562023360018</v>
      </c>
      <c r="M1139" t="str">
        <f>IF(OR((NHL2025_26Results[[#This Row],[Winning Team]]="")),"-",IF(Table4[[#This Row],[Predicted Winner]]=NHL2025_26Results[[#This Row],[Winning Team]],"YES","NO"))</f>
        <v>-</v>
      </c>
      <c r="N1139" t="str">
        <f>IF(Table4[[#This Row],[Adjusted Correct]]="-", "",IF(Table4[[#This Row],[Adjusted Correct]]="YES",(Table4[[#This Row],[Strength of Win]]-1)^2,(Table4[[#This Row],[Strength of Win]]-0)^2))</f>
        <v/>
      </c>
      <c r="P1139" s="11"/>
    </row>
    <row r="1140" spans="4:16" x14ac:dyDescent="0.2">
      <c r="D1140" s="1">
        <v>46107</v>
      </c>
      <c r="E1140" s="2">
        <v>0.79166666666666663</v>
      </c>
      <c r="F1140" t="s">
        <v>18</v>
      </c>
      <c r="G1140">
        <f>VLOOKUP(Table4[[#This Row],[Home]],'NHL Model'!$A$6:$B$38,2,FALSE)</f>
        <v>-8.6274676766085606E-2</v>
      </c>
      <c r="H1140" t="s">
        <v>28</v>
      </c>
      <c r="I1140">
        <f>VLOOKUP(Table4[[#This Row],[Visitor]],'NHL Model'!$A$6:$B$38,2,FALSE)</f>
        <v>-0.28156479873410767</v>
      </c>
      <c r="J1140">
        <f>($B$1+Table4[[#This Row],[Home Differential]])-Table4[[#This Row],[Away Differential]]</f>
        <v>0.32489710777954617</v>
      </c>
      <c r="K1140" t="str">
        <f>IF(Table4[[#This Row],[HomeIce Differential]]&gt;0,Table4[[#This Row],[Home]],Table4[[#This Row],[Visitor]])</f>
        <v>Montreal Canadiens</v>
      </c>
      <c r="L11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0.57854002711373154</v>
      </c>
      <c r="M1140" t="str">
        <f>IF(OR((NHL2025_26Results[[#This Row],[Winning Team]]="")),"-",IF(Table4[[#This Row],[Predicted Winner]]=NHL2025_26Results[[#This Row],[Winning Team]],"YES","NO"))</f>
        <v>-</v>
      </c>
      <c r="N1140" t="str">
        <f>IF(Table4[[#This Row],[Adjusted Correct]]="-", "",IF(Table4[[#This Row],[Adjusted Correct]]="YES",(Table4[[#This Row],[Strength of Win]]-1)^2,(Table4[[#This Row],[Strength of Win]]-0)^2))</f>
        <v/>
      </c>
      <c r="P1140" s="11"/>
    </row>
    <row r="1141" spans="4:16" x14ac:dyDescent="0.2">
      <c r="D1141" s="1">
        <v>46107</v>
      </c>
      <c r="E1141" s="2">
        <v>0.83333333333333337</v>
      </c>
      <c r="F1141" t="s">
        <v>29</v>
      </c>
      <c r="G1141">
        <f>VLOOKUP(Table4[[#This Row],[Home]],'NHL Model'!$A$6:$B$38,2,FALSE)</f>
        <v>-0.82056481120798741</v>
      </c>
      <c r="H1141" t="s">
        <v>24</v>
      </c>
      <c r="I1141">
        <f>VLOOKUP(Table4[[#This Row],[Visitor]],'NHL Model'!$A$6:$B$38,2,FALSE)</f>
        <v>-0.74510803532792402</v>
      </c>
      <c r="J1141">
        <f>($B$1+Table4[[#This Row],[Home Differential]])-Table4[[#This Row],[Away Differential]]</f>
        <v>5.4150209931460691E-2</v>
      </c>
      <c r="K1141" t="str">
        <f>IF(Table4[[#This Row],[HomeIce Differential]]&gt;0,Table4[[#This Row],[Home]],Table4[[#This Row],[Visitor]])</f>
        <v>Nashville Predators</v>
      </c>
      <c r="L11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0.52531150565911677</v>
      </c>
      <c r="M1141" t="str">
        <f>IF(OR((NHL2025_26Results[[#This Row],[Winning Team]]="")),"-",IF(Table4[[#This Row],[Predicted Winner]]=NHL2025_26Results[[#This Row],[Winning Team]],"YES","NO"))</f>
        <v>-</v>
      </c>
      <c r="N1141" t="str">
        <f>IF(Table4[[#This Row],[Adjusted Correct]]="-", "",IF(Table4[[#This Row],[Adjusted Correct]]="YES",(Table4[[#This Row],[Strength of Win]]-1)^2,(Table4[[#This Row],[Strength of Win]]-0)^2))</f>
        <v/>
      </c>
      <c r="P1141" s="11"/>
    </row>
    <row r="1142" spans="4:16" x14ac:dyDescent="0.2">
      <c r="D1142" s="1">
        <v>46107</v>
      </c>
      <c r="E1142" s="2">
        <v>0.79166666666666663</v>
      </c>
      <c r="F1142" t="s">
        <v>30</v>
      </c>
      <c r="G1142">
        <f>VLOOKUP(Table4[[#This Row],[Home]],'NHL Model'!$A$6:$B$38,2,FALSE)</f>
        <v>-0.18630462558229716</v>
      </c>
      <c r="H1142" t="s">
        <v>39</v>
      </c>
      <c r="I1142">
        <f>VLOOKUP(Table4[[#This Row],[Visitor]],'NHL Model'!$A$6:$B$38,2,FALSE)</f>
        <v>0.21708030788125537</v>
      </c>
      <c r="J1142">
        <f>($B$1+Table4[[#This Row],[Home Differential]])-Table4[[#This Row],[Away Differential]]</f>
        <v>-0.27377794765202845</v>
      </c>
      <c r="K1142" t="str">
        <f>IF(Table4[[#This Row],[HomeIce Differential]]&gt;0,Table4[[#This Row],[Home]],Table4[[#This Row],[Visitor]])</f>
        <v>Dallas Stars</v>
      </c>
      <c r="L11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0.53474358422013613</v>
      </c>
      <c r="M1142" t="str">
        <f>IF(OR((NHL2025_26Results[[#This Row],[Winning Team]]="")),"-",IF(Table4[[#This Row],[Predicted Winner]]=NHL2025_26Results[[#This Row],[Winning Team]],"YES","NO"))</f>
        <v>-</v>
      </c>
      <c r="N1142" t="str">
        <f>IF(Table4[[#This Row],[Adjusted Correct]]="-", "",IF(Table4[[#This Row],[Adjusted Correct]]="YES",(Table4[[#This Row],[Strength of Win]]-1)^2,(Table4[[#This Row],[Strength of Win]]-0)^2))</f>
        <v/>
      </c>
      <c r="P1142" s="11"/>
    </row>
    <row r="1143" spans="4:16" x14ac:dyDescent="0.2">
      <c r="D1143" s="1">
        <v>46107</v>
      </c>
      <c r="E1143" s="2">
        <v>0.79166666666666663</v>
      </c>
      <c r="F1143" t="s">
        <v>36</v>
      </c>
      <c r="G1143">
        <f>VLOOKUP(Table4[[#This Row],[Home]],'NHL Model'!$A$6:$B$38,2,FALSE)</f>
        <v>-0.19010748264223354</v>
      </c>
      <c r="H1143" t="s">
        <v>14</v>
      </c>
      <c r="I1143">
        <f>VLOOKUP(Table4[[#This Row],[Visitor]],'NHL Model'!$A$6:$B$38,2,FALSE)</f>
        <v>3.6349513460996066E-5</v>
      </c>
      <c r="J1143">
        <f>($B$1+Table4[[#This Row],[Home Differential]])-Table4[[#This Row],[Away Differential]]</f>
        <v>-6.0536846344170427E-2</v>
      </c>
      <c r="K1143" t="str">
        <f>IF(Table4[[#This Row],[HomeIce Differential]]&gt;0,Table4[[#This Row],[Home]],Table4[[#This Row],[Visitor]])</f>
        <v>Pittsburgh Penguins</v>
      </c>
      <c r="L11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0.52093673400381724</v>
      </c>
      <c r="M1143" t="str">
        <f>IF(OR((NHL2025_26Results[[#This Row],[Winning Team]]="")),"-",IF(Table4[[#This Row],[Predicted Winner]]=NHL2025_26Results[[#This Row],[Winning Team]],"YES","NO"))</f>
        <v>-</v>
      </c>
      <c r="N1143" t="str">
        <f>IF(Table4[[#This Row],[Adjusted Correct]]="-", "",IF(Table4[[#This Row],[Adjusted Correct]]="YES",(Table4[[#This Row],[Strength of Win]]-1)^2,(Table4[[#This Row],[Strength of Win]]-0)^2))</f>
        <v/>
      </c>
      <c r="P1143" s="11"/>
    </row>
    <row r="1144" spans="4:16" x14ac:dyDescent="0.2">
      <c r="D1144" s="1">
        <v>46107</v>
      </c>
      <c r="E1144" s="2">
        <v>0.79166666666666663</v>
      </c>
      <c r="F1144" t="s">
        <v>27</v>
      </c>
      <c r="G1144">
        <f>VLOOKUP(Table4[[#This Row],[Home]],'NHL Model'!$A$6:$B$38,2,FALSE)</f>
        <v>-0.55097933929175691</v>
      </c>
      <c r="H1144" t="s">
        <v>10</v>
      </c>
      <c r="I1144">
        <f>VLOOKUP(Table4[[#This Row],[Visitor]],'NHL Model'!$A$6:$B$38,2,FALSE)</f>
        <v>-0.92658078135875344</v>
      </c>
      <c r="J1144">
        <f>($B$1+Table4[[#This Row],[Home Differential]])-Table4[[#This Row],[Away Differential]]</f>
        <v>0.50520842787852061</v>
      </c>
      <c r="K1144" t="str">
        <f>IF(Table4[[#This Row],[HomeIce Differential]]&gt;0,Table4[[#This Row],[Home]],Table4[[#This Row],[Visitor]])</f>
        <v>Philadelphia Flyers</v>
      </c>
      <c r="L11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0.59673180759959132</v>
      </c>
      <c r="M1144" t="str">
        <f>IF(OR((NHL2025_26Results[[#This Row],[Winning Team]]="")),"-",IF(Table4[[#This Row],[Predicted Winner]]=NHL2025_26Results[[#This Row],[Winning Team]],"YES","NO"))</f>
        <v>-</v>
      </c>
      <c r="N1144" t="str">
        <f>IF(Table4[[#This Row],[Adjusted Correct]]="-", "",IF(Table4[[#This Row],[Adjusted Correct]]="YES",(Table4[[#This Row],[Strength of Win]]-1)^2,(Table4[[#This Row],[Strength of Win]]-0)^2))</f>
        <v/>
      </c>
      <c r="P1144" s="11"/>
    </row>
    <row r="1145" spans="4:16" x14ac:dyDescent="0.2">
      <c r="D1145" s="1">
        <v>46107</v>
      </c>
      <c r="E1145" s="2">
        <v>0.83333333333333337</v>
      </c>
      <c r="F1145" t="s">
        <v>35</v>
      </c>
      <c r="G1145">
        <f>VLOOKUP(Table4[[#This Row],[Home]],'NHL Model'!$A$6:$B$38,2,FALSE)</f>
        <v>-1.3128572733047907</v>
      </c>
      <c r="H1145" t="s">
        <v>33</v>
      </c>
      <c r="I1145">
        <f>VLOOKUP(Table4[[#This Row],[Visitor]],'NHL Model'!$A$6:$B$38,2,FALSE)</f>
        <v>-0.65236582493376272</v>
      </c>
      <c r="J1145">
        <f>($B$1+Table4[[#This Row],[Home Differential]])-Table4[[#This Row],[Away Differential]]</f>
        <v>-0.53088446255950394</v>
      </c>
      <c r="K1145" t="str">
        <f>IF(Table4[[#This Row],[HomeIce Differential]]&gt;0,Table4[[#This Row],[Home]],Table4[[#This Row],[Visitor]])</f>
        <v>San Jose Sharks</v>
      </c>
      <c r="L11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0.51961506880241559</v>
      </c>
      <c r="M1145" t="str">
        <f>IF(OR((NHL2025_26Results[[#This Row],[Winning Team]]="")),"-",IF(Table4[[#This Row],[Predicted Winner]]=NHL2025_26Results[[#This Row],[Winning Team]],"YES","NO"))</f>
        <v>-</v>
      </c>
      <c r="N1145" t="str">
        <f>IF(Table4[[#This Row],[Adjusted Correct]]="-", "",IF(Table4[[#This Row],[Adjusted Correct]]="YES",(Table4[[#This Row],[Strength of Win]]-1)^2,(Table4[[#This Row],[Strength of Win]]-0)^2))</f>
        <v/>
      </c>
      <c r="P1145" s="11"/>
    </row>
    <row r="1146" spans="4:16" x14ac:dyDescent="0.2">
      <c r="D1146" s="1">
        <v>46107</v>
      </c>
      <c r="E1146" s="2">
        <v>0.79166666666666663</v>
      </c>
      <c r="F1146" t="s">
        <v>37</v>
      </c>
      <c r="G1146">
        <f>VLOOKUP(Table4[[#This Row],[Home]],'NHL Model'!$A$6:$B$38,2,FALSE)</f>
        <v>0.72108184732572844</v>
      </c>
      <c r="H1146" t="s">
        <v>32</v>
      </c>
      <c r="I1146">
        <f>VLOOKUP(Table4[[#This Row],[Visitor]],'NHL Model'!$A$6:$B$38,2,FALSE)</f>
        <v>-0.48236715437805205</v>
      </c>
      <c r="J1146">
        <f>($B$1+Table4[[#This Row],[Home Differential]])-Table4[[#This Row],[Away Differential]]</f>
        <v>1.3330559875153045</v>
      </c>
      <c r="K1146" t="str">
        <f>IF(Table4[[#This Row],[HomeIce Differential]]&gt;0,Table4[[#This Row],[Home]],Table4[[#This Row],[Visitor]])</f>
        <v>Tampa Bay Lightning</v>
      </c>
      <c r="L11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0.74567895422762753</v>
      </c>
      <c r="M1146" t="str">
        <f>IF(OR((NHL2025_26Results[[#This Row],[Winning Team]]="")),"-",IF(Table4[[#This Row],[Predicted Winner]]=NHL2025_26Results[[#This Row],[Winning Team]],"YES","NO"))</f>
        <v>-</v>
      </c>
      <c r="N1146" t="str">
        <f>IF(Table4[[#This Row],[Adjusted Correct]]="-", "",IF(Table4[[#This Row],[Adjusted Correct]]="YES",(Table4[[#This Row],[Strength of Win]]-1)^2,(Table4[[#This Row],[Strength of Win]]-0)^2))</f>
        <v/>
      </c>
      <c r="P1146" s="11"/>
    </row>
    <row r="1147" spans="4:16" x14ac:dyDescent="0.2">
      <c r="D1147" s="1">
        <v>46107</v>
      </c>
      <c r="E1147" s="2">
        <v>0.875</v>
      </c>
      <c r="F1147" t="s">
        <v>55</v>
      </c>
      <c r="G1147">
        <f>VLOOKUP(Table4[[#This Row],[Home]],'NHL Model'!$A$6:$B$38,2,FALSE)</f>
        <v>8.4094725828611647E-2</v>
      </c>
      <c r="H1147" t="s">
        <v>22</v>
      </c>
      <c r="I1147">
        <f>VLOOKUP(Table4[[#This Row],[Visitor]],'NHL Model'!$A$6:$B$38,2,FALSE)</f>
        <v>-0.11977593183651415</v>
      </c>
      <c r="J1147">
        <f>($B$1+Table4[[#This Row],[Home Differential]])-Table4[[#This Row],[Away Differential]]</f>
        <v>0.33347764347664988</v>
      </c>
      <c r="K1147" t="str">
        <f>IF(Table4[[#This Row],[HomeIce Differential]]&gt;0,Table4[[#This Row],[Home]],Table4[[#This Row],[Visitor]])</f>
        <v>Utah Mammoth</v>
      </c>
      <c r="L11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0.60638993028712418</v>
      </c>
      <c r="M1147" t="str">
        <f>IF(OR((NHL2025_26Results[[#This Row],[Winning Team]]="")),"-",IF(Table4[[#This Row],[Predicted Winner]]=NHL2025_26Results[[#This Row],[Winning Team]],"YES","NO"))</f>
        <v>-</v>
      </c>
      <c r="N1147" t="str">
        <f>IF(Table4[[#This Row],[Adjusted Correct]]="-", "",IF(Table4[[#This Row],[Adjusted Correct]]="YES",(Table4[[#This Row],[Strength of Win]]-1)^2,(Table4[[#This Row],[Strength of Win]]-0)^2))</f>
        <v/>
      </c>
      <c r="P1147" s="11"/>
    </row>
    <row r="1148" spans="4:16" x14ac:dyDescent="0.2">
      <c r="D1148" s="1">
        <v>46107</v>
      </c>
      <c r="E1148" s="2">
        <v>0.91666666666666663</v>
      </c>
      <c r="F1148" t="s">
        <v>38</v>
      </c>
      <c r="G1148">
        <f>VLOOKUP(Table4[[#This Row],[Home]],'NHL Model'!$A$6:$B$38,2,FALSE)</f>
        <v>-1.3920033028857945</v>
      </c>
      <c r="H1148" t="s">
        <v>13</v>
      </c>
      <c r="I1148">
        <f>VLOOKUP(Table4[[#This Row],[Visitor]],'NHL Model'!$A$6:$B$38,2,FALSE)</f>
        <v>-0.59069689888466137</v>
      </c>
      <c r="J1148">
        <f>($B$1+Table4[[#This Row],[Home Differential]])-Table4[[#This Row],[Away Differential]]</f>
        <v>-0.6716994181896091</v>
      </c>
      <c r="K1148" t="str">
        <f>IF(Table4[[#This Row],[HomeIce Differential]]&gt;0,Table4[[#This Row],[Home]],Table4[[#This Row],[Visitor]])</f>
        <v>Los Angeles Kings</v>
      </c>
      <c r="L11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0.55619695535709779</v>
      </c>
      <c r="M1148" t="str">
        <f>IF(OR((NHL2025_26Results[[#This Row],[Winning Team]]="")),"-",IF(Table4[[#This Row],[Predicted Winner]]=NHL2025_26Results[[#This Row],[Winning Team]],"YES","NO"))</f>
        <v>-</v>
      </c>
      <c r="N1148" t="str">
        <f>IF(Table4[[#This Row],[Adjusted Correct]]="-", "",IF(Table4[[#This Row],[Adjusted Correct]]="YES",(Table4[[#This Row],[Strength of Win]]-1)^2,(Table4[[#This Row],[Strength of Win]]-0)^2))</f>
        <v/>
      </c>
      <c r="P1148" s="11"/>
    </row>
    <row r="1149" spans="4:16" x14ac:dyDescent="0.2">
      <c r="D1149" s="1">
        <v>46107</v>
      </c>
      <c r="E1149" s="2">
        <v>0.89583333333333337</v>
      </c>
      <c r="F1149" t="s">
        <v>20</v>
      </c>
      <c r="G1149">
        <f>VLOOKUP(Table4[[#This Row],[Home]],'NHL Model'!$A$6:$B$38,2,FALSE)</f>
        <v>-0.16296463421387539</v>
      </c>
      <c r="H1149" t="s">
        <v>17</v>
      </c>
      <c r="I1149">
        <f>VLOOKUP(Table4[[#This Row],[Visitor]],'NHL Model'!$A$6:$B$38,2,FALSE)</f>
        <v>-0.36462594951491906</v>
      </c>
      <c r="J1149">
        <f>($B$1+Table4[[#This Row],[Home Differential]])-Table4[[#This Row],[Away Differential]]</f>
        <v>0.33126830111256778</v>
      </c>
      <c r="K1149" t="str">
        <f>IF(Table4[[#This Row],[HomeIce Differential]]&gt;0,Table4[[#This Row],[Home]],Table4[[#This Row],[Visitor]])</f>
        <v>Vegas Golden Knights</v>
      </c>
      <c r="L11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0.57719939827900235</v>
      </c>
      <c r="M1149" t="str">
        <f>IF(OR((NHL2025_26Results[[#This Row],[Winning Team]]="")),"-",IF(Table4[[#This Row],[Predicted Winner]]=NHL2025_26Results[[#This Row],[Winning Team]],"YES","NO"))</f>
        <v>-</v>
      </c>
      <c r="N1149" t="str">
        <f>IF(Table4[[#This Row],[Adjusted Correct]]="-", "",IF(Table4[[#This Row],[Adjusted Correct]]="YES",(Table4[[#This Row],[Strength of Win]]-1)^2,(Table4[[#This Row],[Strength of Win]]-0)^2))</f>
        <v/>
      </c>
      <c r="P1149" s="11"/>
    </row>
    <row r="1150" spans="4:16" x14ac:dyDescent="0.2">
      <c r="D1150" s="1">
        <v>46107</v>
      </c>
      <c r="E1150" s="2">
        <v>0.83333333333333337</v>
      </c>
      <c r="F1150" t="s">
        <v>40</v>
      </c>
      <c r="G1150">
        <f>VLOOKUP(Table4[[#This Row],[Home]],'NHL Model'!$A$6:$B$38,2,FALSE)</f>
        <v>-0.58845147248022256</v>
      </c>
      <c r="H1150" t="s">
        <v>12</v>
      </c>
      <c r="I1150">
        <f>VLOOKUP(Table4[[#This Row],[Visitor]],'NHL Model'!$A$6:$B$38,2,FALSE)</f>
        <v>0.99866683349964291</v>
      </c>
      <c r="J1150">
        <f>($B$1+Table4[[#This Row],[Home Differential]])-Table4[[#This Row],[Away Differential]]</f>
        <v>-1.4575113201683414</v>
      </c>
      <c r="K1150" t="str">
        <f>IF(Table4[[#This Row],[HomeIce Differential]]&gt;0,Table4[[#This Row],[Home]],Table4[[#This Row],[Visitor]])</f>
        <v>Colorado Avalanche</v>
      </c>
      <c r="L11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0.69293483645391363</v>
      </c>
      <c r="M1150" t="str">
        <f>IF(OR((NHL2025_26Results[[#This Row],[Winning Team]]="")),"-",IF(Table4[[#This Row],[Predicted Winner]]=NHL2025_26Results[[#This Row],[Winning Team]],"YES","NO"))</f>
        <v>-</v>
      </c>
      <c r="N1150" t="str">
        <f>IF(Table4[[#This Row],[Adjusted Correct]]="-", "",IF(Table4[[#This Row],[Adjusted Correct]]="YES",(Table4[[#This Row],[Strength of Win]]-1)^2,(Table4[[#This Row],[Strength of Win]]-0)^2))</f>
        <v/>
      </c>
      <c r="P1150" s="11"/>
    </row>
    <row r="1151" spans="4:16" x14ac:dyDescent="0.2">
      <c r="D1151" s="1">
        <v>46108</v>
      </c>
      <c r="E1151" s="2">
        <v>0.79166666666666663</v>
      </c>
      <c r="F1151" t="s">
        <v>23</v>
      </c>
      <c r="G1151">
        <f>VLOOKUP(Table4[[#This Row],[Home]],'NHL Model'!$A$6:$B$38,2,FALSE)</f>
        <v>8.1543966060426461E-3</v>
      </c>
      <c r="H1151" t="s">
        <v>26</v>
      </c>
      <c r="I1151">
        <f>VLOOKUP(Table4[[#This Row],[Visitor]],'NHL Model'!$A$6:$B$38,2,FALSE)</f>
        <v>-0.33113778518110382</v>
      </c>
      <c r="J1151">
        <f>($B$1+Table4[[#This Row],[Home Differential]])-Table4[[#This Row],[Away Differential]]</f>
        <v>0.46889916759867056</v>
      </c>
      <c r="K1151" t="str">
        <f>IF(Table4[[#This Row],[HomeIce Differential]]&gt;0,Table4[[#This Row],[Home]],Table4[[#This Row],[Visitor]])</f>
        <v>Buffalo Sabres</v>
      </c>
      <c r="L11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0.58390450038417163</v>
      </c>
      <c r="M1151" t="str">
        <f>IF(OR((NHL2025_26Results[[#This Row],[Winning Team]]="")),"-",IF(Table4[[#This Row],[Predicted Winner]]=NHL2025_26Results[[#This Row],[Winning Team]],"YES","NO"))</f>
        <v>-</v>
      </c>
      <c r="N1151" t="str">
        <f>IF(Table4[[#This Row],[Adjusted Correct]]="-", "",IF(Table4[[#This Row],[Adjusted Correct]]="YES",(Table4[[#This Row],[Strength of Win]]-1)^2,(Table4[[#This Row],[Strength of Win]]-0)^2))</f>
        <v/>
      </c>
      <c r="P1151" s="11"/>
    </row>
    <row r="1152" spans="4:16" x14ac:dyDescent="0.2">
      <c r="D1152" s="1">
        <v>46108</v>
      </c>
      <c r="E1152" s="2">
        <v>0.79166666666666663</v>
      </c>
      <c r="F1152" t="s">
        <v>15</v>
      </c>
      <c r="G1152">
        <f>VLOOKUP(Table4[[#This Row],[Home]],'NHL Model'!$A$6:$B$38,2,FALSE)</f>
        <v>-0.73651915476403329</v>
      </c>
      <c r="H1152" t="s">
        <v>10</v>
      </c>
      <c r="I1152">
        <f>VLOOKUP(Table4[[#This Row],[Visitor]],'NHL Model'!$A$6:$B$38,2,FALSE)</f>
        <v>-0.92658078135875344</v>
      </c>
      <c r="J1152">
        <f>($B$1+Table4[[#This Row],[Home Differential]])-Table4[[#This Row],[Away Differential]]</f>
        <v>0.31966861240624422</v>
      </c>
      <c r="K1152" t="str">
        <f>IF(Table4[[#This Row],[HomeIce Differential]]&gt;0,Table4[[#This Row],[Home]],Table4[[#This Row],[Visitor]])</f>
        <v>New York Rangers</v>
      </c>
      <c r="L11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0.57589682438753798</v>
      </c>
      <c r="M1152" t="str">
        <f>IF(OR((NHL2025_26Results[[#This Row],[Winning Team]]="")),"-",IF(Table4[[#This Row],[Predicted Winner]]=NHL2025_26Results[[#This Row],[Winning Team]],"YES","NO"))</f>
        <v>-</v>
      </c>
      <c r="N1152" t="str">
        <f>IF(Table4[[#This Row],[Adjusted Correct]]="-", "",IF(Table4[[#This Row],[Adjusted Correct]]="YES",(Table4[[#This Row],[Strength of Win]]-1)^2,(Table4[[#This Row],[Strength of Win]]-0)^2))</f>
        <v/>
      </c>
      <c r="P1152" s="11"/>
    </row>
    <row r="1153" spans="4:16" x14ac:dyDescent="0.2">
      <c r="D1153" s="1">
        <v>46109</v>
      </c>
      <c r="E1153" s="2">
        <v>0.70833333333333337</v>
      </c>
      <c r="F1153" t="s">
        <v>21</v>
      </c>
      <c r="G1153">
        <f>VLOOKUP(Table4[[#This Row],[Home]],'NHL Model'!$A$6:$B$38,2,FALSE)</f>
        <v>-0.10253061303059285</v>
      </c>
      <c r="H1153" t="s">
        <v>34</v>
      </c>
      <c r="I1153">
        <f>VLOOKUP(Table4[[#This Row],[Visitor]],'NHL Model'!$A$6:$B$38,2,FALSE)</f>
        <v>6.0485283743665949E-2</v>
      </c>
      <c r="J1153">
        <f>($B$1+Table4[[#This Row],[Home Differential]])-Table4[[#This Row],[Away Differential]]</f>
        <v>-3.3408910962734698E-2</v>
      </c>
      <c r="K1153" t="str">
        <f>IF(Table4[[#This Row],[HomeIce Differential]]&gt;0,Table4[[#This Row],[Home]],Table4[[#This Row],[Visitor]])</f>
        <v>Minnesota Wild</v>
      </c>
      <c r="L11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0.48038712979598319</v>
      </c>
      <c r="M1153" t="str">
        <f>IF(OR((NHL2025_26Results[[#This Row],[Winning Team]]="")),"-",IF(Table4[[#This Row],[Predicted Winner]]=NHL2025_26Results[[#This Row],[Winning Team]],"YES","NO"))</f>
        <v>-</v>
      </c>
      <c r="N1153" t="str">
        <f>IF(Table4[[#This Row],[Adjusted Correct]]="-", "",IF(Table4[[#This Row],[Adjusted Correct]]="YES",(Table4[[#This Row],[Strength of Win]]-1)^2,(Table4[[#This Row],[Strength of Win]]-0)^2))</f>
        <v/>
      </c>
      <c r="P1153" s="11"/>
    </row>
    <row r="1154" spans="4:16" x14ac:dyDescent="0.2">
      <c r="D1154" s="1">
        <v>46109</v>
      </c>
      <c r="E1154" s="2">
        <v>0.72916666666666663</v>
      </c>
      <c r="F1154" t="s">
        <v>23</v>
      </c>
      <c r="G1154">
        <f>VLOOKUP(Table4[[#This Row],[Home]],'NHL Model'!$A$6:$B$38,2,FALSE)</f>
        <v>8.1543966060426461E-3</v>
      </c>
      <c r="H1154" t="s">
        <v>32</v>
      </c>
      <c r="I1154">
        <f>VLOOKUP(Table4[[#This Row],[Visitor]],'NHL Model'!$A$6:$B$38,2,FALSE)</f>
        <v>-0.48236715437805205</v>
      </c>
      <c r="J1154">
        <f>($B$1+Table4[[#This Row],[Home Differential]])-Table4[[#This Row],[Away Differential]]</f>
        <v>0.62012853679561886</v>
      </c>
      <c r="K1154" t="str">
        <f>IF(Table4[[#This Row],[HomeIce Differential]]&gt;0,Table4[[#This Row],[Home]],Table4[[#This Row],[Visitor]])</f>
        <v>Buffalo Sabres</v>
      </c>
      <c r="L11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0.63857906734548897</v>
      </c>
      <c r="M1154" t="str">
        <f>IF(OR((NHL2025_26Results[[#This Row],[Winning Team]]="")),"-",IF(Table4[[#This Row],[Predicted Winner]]=NHL2025_26Results[[#This Row],[Winning Team]],"YES","NO"))</f>
        <v>-</v>
      </c>
      <c r="N1154" t="str">
        <f>IF(Table4[[#This Row],[Adjusted Correct]]="-", "",IF(Table4[[#This Row],[Adjusted Correct]]="YES",(Table4[[#This Row],[Strength of Win]]-1)^2,(Table4[[#This Row],[Strength of Win]]-0)^2))</f>
        <v/>
      </c>
      <c r="P1154" s="11"/>
    </row>
    <row r="1155" spans="4:16" x14ac:dyDescent="0.2">
      <c r="D1155" s="1">
        <v>46109</v>
      </c>
      <c r="E1155" s="2">
        <v>0.70833333333333337</v>
      </c>
      <c r="F1155" t="s">
        <v>25</v>
      </c>
      <c r="G1155">
        <f>VLOOKUP(Table4[[#This Row],[Home]],'NHL Model'!$A$6:$B$38,2,FALSE)</f>
        <v>0.2324942014830165</v>
      </c>
      <c r="H1155" t="s">
        <v>24</v>
      </c>
      <c r="I1155">
        <f>VLOOKUP(Table4[[#This Row],[Visitor]],'NHL Model'!$A$6:$B$38,2,FALSE)</f>
        <v>-0.74510803532792402</v>
      </c>
      <c r="J1155">
        <f>($B$1+Table4[[#This Row],[Home Differential]])-Table4[[#This Row],[Away Differential]]</f>
        <v>1.1072092226224646</v>
      </c>
      <c r="K1155" t="str">
        <f>IF(Table4[[#This Row],[HomeIce Differential]]&gt;0,Table4[[#This Row],[Home]],Table4[[#This Row],[Visitor]])</f>
        <v>Carolina Hurricanes</v>
      </c>
      <c r="L11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0.6996752700458635</v>
      </c>
      <c r="M1155" t="str">
        <f>IF(OR((NHL2025_26Results[[#This Row],[Winning Team]]="")),"-",IF(Table4[[#This Row],[Predicted Winner]]=NHL2025_26Results[[#This Row],[Winning Team]],"YES","NO"))</f>
        <v>-</v>
      </c>
      <c r="N1155" t="str">
        <f>IF(Table4[[#This Row],[Adjusted Correct]]="-", "",IF(Table4[[#This Row],[Adjusted Correct]]="YES",(Table4[[#This Row],[Strength of Win]]-1)^2,(Table4[[#This Row],[Strength of Win]]-0)^2))</f>
        <v/>
      </c>
      <c r="P1155" s="11"/>
    </row>
    <row r="1156" spans="4:16" x14ac:dyDescent="0.2">
      <c r="D1156" s="1">
        <v>46109</v>
      </c>
      <c r="E1156" s="2">
        <v>0.70833333333333337</v>
      </c>
      <c r="F1156" t="s">
        <v>28</v>
      </c>
      <c r="G1156">
        <f>VLOOKUP(Table4[[#This Row],[Home]],'NHL Model'!$A$6:$B$38,2,FALSE)</f>
        <v>-0.28156479873410767</v>
      </c>
      <c r="H1156" t="s">
        <v>33</v>
      </c>
      <c r="I1156">
        <f>VLOOKUP(Table4[[#This Row],[Visitor]],'NHL Model'!$A$6:$B$38,2,FALSE)</f>
        <v>-0.65236582493376272</v>
      </c>
      <c r="J1156">
        <f>($B$1+Table4[[#This Row],[Home Differential]])-Table4[[#This Row],[Away Differential]]</f>
        <v>0.50040801201117913</v>
      </c>
      <c r="K1156" t="str">
        <f>IF(Table4[[#This Row],[HomeIce Differential]]&gt;0,Table4[[#This Row],[Home]],Table4[[#This Row],[Visitor]])</f>
        <v>Columbus Blue Jackets</v>
      </c>
      <c r="L11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0.60323870220247133</v>
      </c>
      <c r="M1156" t="str">
        <f>IF(OR((NHL2025_26Results[[#This Row],[Winning Team]]="")),"-",IF(Table4[[#This Row],[Predicted Winner]]=NHL2025_26Results[[#This Row],[Winning Team]],"YES","NO"))</f>
        <v>-</v>
      </c>
      <c r="N1156" t="str">
        <f>IF(Table4[[#This Row],[Adjusted Correct]]="-", "",IF(Table4[[#This Row],[Adjusted Correct]]="YES",(Table4[[#This Row],[Strength of Win]]-1)^2,(Table4[[#This Row],[Strength of Win]]-0)^2))</f>
        <v/>
      </c>
      <c r="P1156" s="11"/>
    </row>
    <row r="1157" spans="4:16" x14ac:dyDescent="0.2">
      <c r="D1157" s="1">
        <v>46109</v>
      </c>
      <c r="E1157" s="2">
        <v>0.91666666666666663</v>
      </c>
      <c r="F1157" t="s">
        <v>16</v>
      </c>
      <c r="G1157">
        <f>VLOOKUP(Table4[[#This Row],[Home]],'NHL Model'!$A$6:$B$38,2,FALSE)</f>
        <v>-0.89031221864884547</v>
      </c>
      <c r="H1157" t="s">
        <v>38</v>
      </c>
      <c r="I1157">
        <f>VLOOKUP(Table4[[#This Row],[Visitor]],'NHL Model'!$A$6:$B$38,2,FALSE)</f>
        <v>-1.3920033028857945</v>
      </c>
      <c r="J1157">
        <f>($B$1+Table4[[#This Row],[Home Differential]])-Table4[[#This Row],[Away Differential]]</f>
        <v>0.63129807004847316</v>
      </c>
      <c r="K1157" t="str">
        <f>IF(Table4[[#This Row],[HomeIce Differential]]&gt;0,Table4[[#This Row],[Home]],Table4[[#This Row],[Visitor]])</f>
        <v>Calgary Flames</v>
      </c>
      <c r="L11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0.61089090100570353</v>
      </c>
      <c r="M1157" t="str">
        <f>IF(OR((NHL2025_26Results[[#This Row],[Winning Team]]="")),"-",IF(Table4[[#This Row],[Predicted Winner]]=NHL2025_26Results[[#This Row],[Winning Team]],"YES","NO"))</f>
        <v>-</v>
      </c>
      <c r="N1157" t="str">
        <f>IF(Table4[[#This Row],[Adjusted Correct]]="-", "",IF(Table4[[#This Row],[Adjusted Correct]]="YES",(Table4[[#This Row],[Strength of Win]]-1)^2,(Table4[[#This Row],[Strength of Win]]-0)^2))</f>
        <v/>
      </c>
      <c r="P1157" s="11"/>
    </row>
    <row r="1158" spans="4:16" x14ac:dyDescent="0.2">
      <c r="D1158" s="1">
        <v>46109</v>
      </c>
      <c r="E1158" s="2">
        <v>0.79166666666666663</v>
      </c>
      <c r="F1158" t="s">
        <v>12</v>
      </c>
      <c r="G1158">
        <f>VLOOKUP(Table4[[#This Row],[Home]],'NHL Model'!$A$6:$B$38,2,FALSE)</f>
        <v>0.99866683349964291</v>
      </c>
      <c r="H1158" t="s">
        <v>40</v>
      </c>
      <c r="I1158">
        <f>VLOOKUP(Table4[[#This Row],[Visitor]],'NHL Model'!$A$6:$B$38,2,FALSE)</f>
        <v>-0.58845147248022256</v>
      </c>
      <c r="J1158">
        <f>($B$1+Table4[[#This Row],[Home Differential]])-Table4[[#This Row],[Away Differential]]</f>
        <v>1.7167252917913896</v>
      </c>
      <c r="K1158" t="str">
        <f>IF(Table4[[#This Row],[HomeIce Differential]]&gt;0,Table4[[#This Row],[Home]],Table4[[#This Row],[Visitor]])</f>
        <v>Colorado Avalanche</v>
      </c>
      <c r="L11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0.81261243094976776</v>
      </c>
      <c r="M1158" t="str">
        <f>IF(OR((NHL2025_26Results[[#This Row],[Winning Team]]="")),"-",IF(Table4[[#This Row],[Predicted Winner]]=NHL2025_26Results[[#This Row],[Winning Team]],"YES","NO"))</f>
        <v>-</v>
      </c>
      <c r="N1158" t="str">
        <f>IF(Table4[[#This Row],[Adjusted Correct]]="-", "",IF(Table4[[#This Row],[Adjusted Correct]]="YES",(Table4[[#This Row],[Strength of Win]]-1)^2,(Table4[[#This Row],[Strength of Win]]-0)^2))</f>
        <v/>
      </c>
      <c r="P1158" s="11"/>
    </row>
    <row r="1159" spans="4:16" x14ac:dyDescent="0.2">
      <c r="D1159" s="1">
        <v>46109</v>
      </c>
      <c r="E1159" s="2">
        <v>0.83333333333333337</v>
      </c>
      <c r="F1159" t="s">
        <v>26</v>
      </c>
      <c r="G1159">
        <f>VLOOKUP(Table4[[#This Row],[Home]],'NHL Model'!$A$6:$B$38,2,FALSE)</f>
        <v>-0.33113778518110382</v>
      </c>
      <c r="H1159" t="s">
        <v>27</v>
      </c>
      <c r="I1159">
        <f>VLOOKUP(Table4[[#This Row],[Visitor]],'NHL Model'!$A$6:$B$38,2,FALSE)</f>
        <v>-0.55097933929175691</v>
      </c>
      <c r="J1159">
        <f>($B$1+Table4[[#This Row],[Home Differential]])-Table4[[#This Row],[Away Differential]]</f>
        <v>0.34944853992217717</v>
      </c>
      <c r="K1159" t="str">
        <f>IF(Table4[[#This Row],[HomeIce Differential]]&gt;0,Table4[[#This Row],[Home]],Table4[[#This Row],[Visitor]])</f>
        <v>Detroit Red Wings</v>
      </c>
      <c r="L11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0.60527866343229564</v>
      </c>
      <c r="M1159" t="str">
        <f>IF(OR((NHL2025_26Results[[#This Row],[Winning Team]]="")),"-",IF(Table4[[#This Row],[Predicted Winner]]=NHL2025_26Results[[#This Row],[Winning Team]],"YES","NO"))</f>
        <v>-</v>
      </c>
      <c r="N1159" t="str">
        <f>IF(Table4[[#This Row],[Adjusted Correct]]="-", "",IF(Table4[[#This Row],[Adjusted Correct]]="YES",(Table4[[#This Row],[Strength of Win]]-1)^2,(Table4[[#This Row],[Strength of Win]]-0)^2))</f>
        <v/>
      </c>
      <c r="P1159" s="11"/>
    </row>
    <row r="1160" spans="4:16" x14ac:dyDescent="0.2">
      <c r="D1160" s="1">
        <v>46109</v>
      </c>
      <c r="E1160" s="2">
        <v>0.64583333333333337</v>
      </c>
      <c r="F1160" t="s">
        <v>17</v>
      </c>
      <c r="G1160">
        <f>VLOOKUP(Table4[[#This Row],[Home]],'NHL Model'!$A$6:$B$38,2,FALSE)</f>
        <v>-0.36462594951491906</v>
      </c>
      <c r="H1160" t="s">
        <v>31</v>
      </c>
      <c r="I1160">
        <f>VLOOKUP(Table4[[#This Row],[Visitor]],'NHL Model'!$A$6:$B$38,2,FALSE)</f>
        <v>-0.46360583111358089</v>
      </c>
      <c r="J1160">
        <f>($B$1+Table4[[#This Row],[Home Differential]])-Table4[[#This Row],[Away Differential]]</f>
        <v>0.22858686741018594</v>
      </c>
      <c r="K1160" t="str">
        <f>IF(Table4[[#This Row],[HomeIce Differential]]&gt;0,Table4[[#This Row],[Home]],Table4[[#This Row],[Visitor]])</f>
        <v>Edmonton Oilers</v>
      </c>
      <c r="L11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0.56566890310235729</v>
      </c>
      <c r="M1160" t="str">
        <f>IF(OR((NHL2025_26Results[[#This Row],[Winning Team]]="")),"-",IF(Table4[[#This Row],[Predicted Winner]]=NHL2025_26Results[[#This Row],[Winning Team]],"YES","NO"))</f>
        <v>-</v>
      </c>
      <c r="N1160" t="str">
        <f>IF(Table4[[#This Row],[Adjusted Correct]]="-", "",IF(Table4[[#This Row],[Adjusted Correct]]="YES",(Table4[[#This Row],[Strength of Win]]-1)^2,(Table4[[#This Row],[Strength of Win]]-0)^2))</f>
        <v/>
      </c>
      <c r="P1160" s="11"/>
    </row>
    <row r="1161" spans="4:16" x14ac:dyDescent="0.2">
      <c r="D1161" s="1">
        <v>46109</v>
      </c>
      <c r="E1161" s="2">
        <v>0.875</v>
      </c>
      <c r="F1161" t="s">
        <v>13</v>
      </c>
      <c r="G1161">
        <f>VLOOKUP(Table4[[#This Row],[Home]],'NHL Model'!$A$6:$B$38,2,FALSE)</f>
        <v>-0.59069689888466137</v>
      </c>
      <c r="H1161" t="s">
        <v>55</v>
      </c>
      <c r="I1161">
        <f>VLOOKUP(Table4[[#This Row],[Visitor]],'NHL Model'!$A$6:$B$38,2,FALSE)</f>
        <v>8.4094725828611647E-2</v>
      </c>
      <c r="J1161">
        <f>($B$1+Table4[[#This Row],[Home Differential]])-Table4[[#This Row],[Away Differential]]</f>
        <v>-0.54518463890174895</v>
      </c>
      <c r="K1161" t="str">
        <f>IF(Table4[[#This Row],[HomeIce Differential]]&gt;0,Table4[[#This Row],[Home]],Table4[[#This Row],[Visitor]])</f>
        <v>Utah Mammoth</v>
      </c>
      <c r="L11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0.521220890891123</v>
      </c>
      <c r="M1161" t="str">
        <f>IF(OR((NHL2025_26Results[[#This Row],[Winning Team]]="")),"-",IF(Table4[[#This Row],[Predicted Winner]]=NHL2025_26Results[[#This Row],[Winning Team]],"YES","NO"))</f>
        <v>-</v>
      </c>
      <c r="N1161" t="str">
        <f>IF(Table4[[#This Row],[Adjusted Correct]]="-", "",IF(Table4[[#This Row],[Adjusted Correct]]="YES",(Table4[[#This Row],[Strength of Win]]-1)^2,(Table4[[#This Row],[Strength of Win]]-0)^2))</f>
        <v/>
      </c>
      <c r="P1161" s="11"/>
    </row>
    <row r="1162" spans="4:16" x14ac:dyDescent="0.2">
      <c r="D1162" s="1">
        <v>46109</v>
      </c>
      <c r="E1162" s="2">
        <v>0.79166666666666663</v>
      </c>
      <c r="F1162" t="s">
        <v>29</v>
      </c>
      <c r="G1162">
        <f>VLOOKUP(Table4[[#This Row],[Home]],'NHL Model'!$A$6:$B$38,2,FALSE)</f>
        <v>-0.82056481120798741</v>
      </c>
      <c r="H1162" t="s">
        <v>18</v>
      </c>
      <c r="I1162">
        <f>VLOOKUP(Table4[[#This Row],[Visitor]],'NHL Model'!$A$6:$B$38,2,FALSE)</f>
        <v>-8.6274676766085606E-2</v>
      </c>
      <c r="J1162">
        <f>($B$1+Table4[[#This Row],[Home Differential]])-Table4[[#This Row],[Away Differential]]</f>
        <v>-0.60468314863037775</v>
      </c>
      <c r="K1162" t="str">
        <f>IF(Table4[[#This Row],[HomeIce Differential]]&gt;0,Table4[[#This Row],[Home]],Table4[[#This Row],[Visitor]])</f>
        <v>Montreal Canadiens</v>
      </c>
      <c r="L11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0.57327176006577496</v>
      </c>
      <c r="M1162" t="str">
        <f>IF(OR((NHL2025_26Results[[#This Row],[Winning Team]]="")),"-",IF(Table4[[#This Row],[Predicted Winner]]=NHL2025_26Results[[#This Row],[Winning Team]],"YES","NO"))</f>
        <v>-</v>
      </c>
      <c r="N1162" t="str">
        <f>IF(Table4[[#This Row],[Adjusted Correct]]="-", "",IF(Table4[[#This Row],[Adjusted Correct]]="YES",(Table4[[#This Row],[Strength of Win]]-1)^2,(Table4[[#This Row],[Strength of Win]]-0)^2))</f>
        <v/>
      </c>
      <c r="P1162" s="11"/>
    </row>
    <row r="1163" spans="4:16" x14ac:dyDescent="0.2">
      <c r="D1163" s="1">
        <v>46109</v>
      </c>
      <c r="E1163" s="2">
        <v>0.54166666666666663</v>
      </c>
      <c r="F1163" t="s">
        <v>30</v>
      </c>
      <c r="G1163">
        <f>VLOOKUP(Table4[[#This Row],[Home]],'NHL Model'!$A$6:$B$38,2,FALSE)</f>
        <v>-0.18630462558229716</v>
      </c>
      <c r="H1163" t="s">
        <v>11</v>
      </c>
      <c r="I1163">
        <f>VLOOKUP(Table4[[#This Row],[Visitor]],'NHL Model'!$A$6:$B$38,2,FALSE)</f>
        <v>-0.55695213126481558</v>
      </c>
      <c r="J1163">
        <f>($B$1+Table4[[#This Row],[Home Differential]])-Table4[[#This Row],[Away Differential]]</f>
        <v>0.50025449149404255</v>
      </c>
      <c r="K1163" t="str">
        <f>IF(Table4[[#This Row],[HomeIce Differential]]&gt;0,Table4[[#This Row],[Home]],Table4[[#This Row],[Visitor]])</f>
        <v>New York Islanders</v>
      </c>
      <c r="L11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0.57102699607862062</v>
      </c>
      <c r="M1163" t="str">
        <f>IF(OR((NHL2025_26Results[[#This Row],[Winning Team]]="")),"-",IF(Table4[[#This Row],[Predicted Winner]]=NHL2025_26Results[[#This Row],[Winning Team]],"YES","NO"))</f>
        <v>-</v>
      </c>
      <c r="N1163" t="str">
        <f>IF(Table4[[#This Row],[Adjusted Correct]]="-", "",IF(Table4[[#This Row],[Adjusted Correct]]="YES",(Table4[[#This Row],[Strength of Win]]-1)^2,(Table4[[#This Row],[Strength of Win]]-0)^2))</f>
        <v/>
      </c>
      <c r="P1163" s="11"/>
    </row>
    <row r="1164" spans="4:16" x14ac:dyDescent="0.2">
      <c r="D1164" s="1">
        <v>46109</v>
      </c>
      <c r="E1164" s="2">
        <v>0.70833333333333337</v>
      </c>
      <c r="F1164" t="s">
        <v>14</v>
      </c>
      <c r="G1164">
        <f>VLOOKUP(Table4[[#This Row],[Home]],'NHL Model'!$A$6:$B$38,2,FALSE)</f>
        <v>3.6349513460996066E-5</v>
      </c>
      <c r="H1164" t="s">
        <v>39</v>
      </c>
      <c r="I1164">
        <f>VLOOKUP(Table4[[#This Row],[Visitor]],'NHL Model'!$A$6:$B$38,2,FALSE)</f>
        <v>0.21708030788125537</v>
      </c>
      <c r="J1164">
        <f>($B$1+Table4[[#This Row],[Home Differential]])-Table4[[#This Row],[Away Differential]]</f>
        <v>-8.7436972556270282E-2</v>
      </c>
      <c r="K1164" t="str">
        <f>IF(Table4[[#This Row],[HomeIce Differential]]&gt;0,Table4[[#This Row],[Home]],Table4[[#This Row],[Visitor]])</f>
        <v>Dallas Stars</v>
      </c>
      <c r="L11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0.52795335072243132</v>
      </c>
      <c r="M1164" t="str">
        <f>IF(OR((NHL2025_26Results[[#This Row],[Winning Team]]="")),"-",IF(Table4[[#This Row],[Predicted Winner]]=NHL2025_26Results[[#This Row],[Winning Team]],"YES","NO"))</f>
        <v>-</v>
      </c>
      <c r="N1164" t="str">
        <f>IF(Table4[[#This Row],[Adjusted Correct]]="-", "",IF(Table4[[#This Row],[Adjusted Correct]]="YES",(Table4[[#This Row],[Strength of Win]]-1)^2,(Table4[[#This Row],[Strength of Win]]-0)^2))</f>
        <v/>
      </c>
      <c r="P1164" s="11"/>
    </row>
    <row r="1165" spans="4:16" x14ac:dyDescent="0.2">
      <c r="D1165" s="1">
        <v>46109</v>
      </c>
      <c r="E1165" s="2">
        <v>0.79166666666666663</v>
      </c>
      <c r="F1165" t="s">
        <v>35</v>
      </c>
      <c r="G1165">
        <f>VLOOKUP(Table4[[#This Row],[Home]],'NHL Model'!$A$6:$B$38,2,FALSE)</f>
        <v>-1.3128572733047907</v>
      </c>
      <c r="H1165" t="s">
        <v>19</v>
      </c>
      <c r="I1165">
        <f>VLOOKUP(Table4[[#This Row],[Visitor]],'NHL Model'!$A$6:$B$38,2,FALSE)</f>
        <v>-0.44228056828684137</v>
      </c>
      <c r="J1165">
        <f>($B$1+Table4[[#This Row],[Home Differential]])-Table4[[#This Row],[Away Differential]]</f>
        <v>-0.74096971920642529</v>
      </c>
      <c r="K1165" t="str">
        <f>IF(Table4[[#This Row],[HomeIce Differential]]&gt;0,Table4[[#This Row],[Home]],Table4[[#This Row],[Visitor]])</f>
        <v>Toronto Maple Leafs</v>
      </c>
      <c r="L11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0.54320635450137422</v>
      </c>
      <c r="M1165" t="str">
        <f>IF(OR((NHL2025_26Results[[#This Row],[Winning Team]]="")),"-",IF(Table4[[#This Row],[Predicted Winner]]=NHL2025_26Results[[#This Row],[Winning Team]],"YES","NO"))</f>
        <v>-</v>
      </c>
      <c r="N1165" t="str">
        <f>IF(Table4[[#This Row],[Adjusted Correct]]="-", "",IF(Table4[[#This Row],[Adjusted Correct]]="YES",(Table4[[#This Row],[Strength of Win]]-1)^2,(Table4[[#This Row],[Strength of Win]]-0)^2))</f>
        <v/>
      </c>
      <c r="P1165" s="11"/>
    </row>
    <row r="1166" spans="4:16" x14ac:dyDescent="0.2">
      <c r="D1166" s="1">
        <v>46109</v>
      </c>
      <c r="E1166" s="2">
        <v>0.54166666666666663</v>
      </c>
      <c r="F1166" t="s">
        <v>37</v>
      </c>
      <c r="G1166">
        <f>VLOOKUP(Table4[[#This Row],[Home]],'NHL Model'!$A$6:$B$38,2,FALSE)</f>
        <v>0.72108184732572844</v>
      </c>
      <c r="H1166" t="s">
        <v>36</v>
      </c>
      <c r="I1166">
        <f>VLOOKUP(Table4[[#This Row],[Visitor]],'NHL Model'!$A$6:$B$38,2,FALSE)</f>
        <v>-0.19010748264223354</v>
      </c>
      <c r="J1166">
        <f>($B$1+Table4[[#This Row],[Home Differential]])-Table4[[#This Row],[Away Differential]]</f>
        <v>1.0407963157794859</v>
      </c>
      <c r="K1166" t="str">
        <f>IF(Table4[[#This Row],[HomeIce Differential]]&gt;0,Table4[[#This Row],[Home]],Table4[[#This Row],[Visitor]])</f>
        <v>Tampa Bay Lightning</v>
      </c>
      <c r="L11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0.70118045048942224</v>
      </c>
      <c r="M1166" t="str">
        <f>IF(OR((NHL2025_26Results[[#This Row],[Winning Team]]="")),"-",IF(Table4[[#This Row],[Predicted Winner]]=NHL2025_26Results[[#This Row],[Winning Team]],"YES","NO"))</f>
        <v>-</v>
      </c>
      <c r="N1166" t="str">
        <f>IF(Table4[[#This Row],[Adjusted Correct]]="-", "",IF(Table4[[#This Row],[Adjusted Correct]]="YES",(Table4[[#This Row],[Strength of Win]]-1)^2,(Table4[[#This Row],[Strength of Win]]-0)^2))</f>
        <v/>
      </c>
      <c r="P1166" s="11"/>
    </row>
    <row r="1167" spans="4:16" x14ac:dyDescent="0.2">
      <c r="D1167" s="1">
        <v>46109</v>
      </c>
      <c r="E1167" s="2">
        <v>0.9375</v>
      </c>
      <c r="F1167" t="s">
        <v>20</v>
      </c>
      <c r="G1167">
        <f>VLOOKUP(Table4[[#This Row],[Home]],'NHL Model'!$A$6:$B$38,2,FALSE)</f>
        <v>-0.16296463421387539</v>
      </c>
      <c r="H1167" t="s">
        <v>22</v>
      </c>
      <c r="I1167">
        <f>VLOOKUP(Table4[[#This Row],[Visitor]],'NHL Model'!$A$6:$B$38,2,FALSE)</f>
        <v>-0.11977593183651415</v>
      </c>
      <c r="J1167">
        <f>($B$1+Table4[[#This Row],[Home Differential]])-Table4[[#This Row],[Away Differential]]</f>
        <v>8.6418283434162871E-2</v>
      </c>
      <c r="K1167" t="str">
        <f>IF(Table4[[#This Row],[HomeIce Differential]]&gt;0,Table4[[#This Row],[Home]],Table4[[#This Row],[Visitor]])</f>
        <v>Vegas Golden Knights</v>
      </c>
      <c r="L11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0.54970424315655475</v>
      </c>
      <c r="M1167" t="str">
        <f>IF(OR((NHL2025_26Results[[#This Row],[Winning Team]]="")),"-",IF(Table4[[#This Row],[Predicted Winner]]=NHL2025_26Results[[#This Row],[Winning Team]],"YES","NO"))</f>
        <v>-</v>
      </c>
      <c r="N1167" t="str">
        <f>IF(Table4[[#This Row],[Adjusted Correct]]="-", "",IF(Table4[[#This Row],[Adjusted Correct]]="YES",(Table4[[#This Row],[Strength of Win]]-1)^2,(Table4[[#This Row],[Strength of Win]]-0)^2))</f>
        <v/>
      </c>
      <c r="P1167" s="11"/>
    </row>
    <row r="1168" spans="4:16" x14ac:dyDescent="0.2">
      <c r="D1168" s="1">
        <v>46110</v>
      </c>
      <c r="E1168" s="2">
        <v>0.70833333333333337</v>
      </c>
      <c r="F1168" t="s">
        <v>25</v>
      </c>
      <c r="G1168">
        <f>VLOOKUP(Table4[[#This Row],[Home]],'NHL Model'!$A$6:$B$38,2,FALSE)</f>
        <v>0.2324942014830165</v>
      </c>
      <c r="H1168" t="s">
        <v>18</v>
      </c>
      <c r="I1168">
        <f>VLOOKUP(Table4[[#This Row],[Visitor]],'NHL Model'!$A$6:$B$38,2,FALSE)</f>
        <v>-8.6274676766085606E-2</v>
      </c>
      <c r="J1168">
        <f>($B$1+Table4[[#This Row],[Home Differential]])-Table4[[#This Row],[Away Differential]]</f>
        <v>0.44837586406062624</v>
      </c>
      <c r="K1168" t="str">
        <f>IF(Table4[[#This Row],[HomeIce Differential]]&gt;0,Table4[[#This Row],[Home]],Table4[[#This Row],[Visitor]])</f>
        <v>Carolina Hurricanes</v>
      </c>
      <c r="L11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0.60148108100229625</v>
      </c>
      <c r="M1168" t="str">
        <f>IF(OR((NHL2025_26Results[[#This Row],[Winning Team]]="")),"-",IF(Table4[[#This Row],[Predicted Winner]]=NHL2025_26Results[[#This Row],[Winning Team]],"YES","NO"))</f>
        <v>-</v>
      </c>
      <c r="N1168" t="str">
        <f>IF(Table4[[#This Row],[Adjusted Correct]]="-", "",IF(Table4[[#This Row],[Adjusted Correct]]="YES",(Table4[[#This Row],[Strength of Win]]-1)^2,(Table4[[#This Row],[Strength of Win]]-0)^2))</f>
        <v/>
      </c>
      <c r="P1168" s="11"/>
    </row>
    <row r="1169" spans="4:16" x14ac:dyDescent="0.2">
      <c r="D1169" s="1">
        <v>46110</v>
      </c>
      <c r="E1169" s="2">
        <v>0.70833333333333337</v>
      </c>
      <c r="F1169" t="s">
        <v>28</v>
      </c>
      <c r="G1169">
        <f>VLOOKUP(Table4[[#This Row],[Home]],'NHL Model'!$A$6:$B$38,2,FALSE)</f>
        <v>-0.28156479873410767</v>
      </c>
      <c r="H1169" t="s">
        <v>21</v>
      </c>
      <c r="I1169">
        <f>VLOOKUP(Table4[[#This Row],[Visitor]],'NHL Model'!$A$6:$B$38,2,FALSE)</f>
        <v>-0.10253061303059285</v>
      </c>
      <c r="J1169">
        <f>($B$1+Table4[[#This Row],[Home Differential]])-Table4[[#This Row],[Away Differential]]</f>
        <v>-4.9427199891990709E-2</v>
      </c>
      <c r="K1169" t="str">
        <f>IF(Table4[[#This Row],[HomeIce Differential]]&gt;0,Table4[[#This Row],[Home]],Table4[[#This Row],[Visitor]])</f>
        <v>Boston Bruins</v>
      </c>
      <c r="L11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0.45850441951099252</v>
      </c>
      <c r="M1169" t="str">
        <f>IF(OR((NHL2025_26Results[[#This Row],[Winning Team]]="")),"-",IF(Table4[[#This Row],[Predicted Winner]]=NHL2025_26Results[[#This Row],[Winning Team]],"YES","NO"))</f>
        <v>-</v>
      </c>
      <c r="N1169" t="str">
        <f>IF(Table4[[#This Row],[Adjusted Correct]]="-", "",IF(Table4[[#This Row],[Adjusted Correct]]="YES",(Table4[[#This Row],[Strength of Win]]-1)^2,(Table4[[#This Row],[Strength of Win]]-0)^2))</f>
        <v/>
      </c>
      <c r="P1169" s="11"/>
    </row>
    <row r="1170" spans="4:16" x14ac:dyDescent="0.2">
      <c r="D1170" s="1">
        <v>46110</v>
      </c>
      <c r="E1170" s="2">
        <v>0.79166666666666663</v>
      </c>
      <c r="F1170" t="s">
        <v>24</v>
      </c>
      <c r="G1170">
        <f>VLOOKUP(Table4[[#This Row],[Home]],'NHL Model'!$A$6:$B$38,2,FALSE)</f>
        <v>-0.74510803532792402</v>
      </c>
      <c r="H1170" t="s">
        <v>10</v>
      </c>
      <c r="I1170">
        <f>VLOOKUP(Table4[[#This Row],[Visitor]],'NHL Model'!$A$6:$B$38,2,FALSE)</f>
        <v>-0.92658078135875344</v>
      </c>
      <c r="J1170">
        <f>($B$1+Table4[[#This Row],[Home Differential]])-Table4[[#This Row],[Away Differential]]</f>
        <v>0.31107973184235349</v>
      </c>
      <c r="K1170" t="str">
        <f>IF(Table4[[#This Row],[HomeIce Differential]]&gt;0,Table4[[#This Row],[Home]],Table4[[#This Row],[Visitor]])</f>
        <v>New Jersey Devils</v>
      </c>
      <c r="L11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0.57493234578275176</v>
      </c>
      <c r="M1170" t="str">
        <f>IF(OR((NHL2025_26Results[[#This Row],[Winning Team]]="")),"-",IF(Table4[[#This Row],[Predicted Winner]]=NHL2025_26Results[[#This Row],[Winning Team]],"YES","NO"))</f>
        <v>-</v>
      </c>
      <c r="N1170" t="str">
        <f>IF(Table4[[#This Row],[Adjusted Correct]]="-", "",IF(Table4[[#This Row],[Adjusted Correct]]="YES",(Table4[[#This Row],[Strength of Win]]-1)^2,(Table4[[#This Row],[Strength of Win]]-0)^2))</f>
        <v/>
      </c>
      <c r="P1170" s="11"/>
    </row>
    <row r="1171" spans="4:16" x14ac:dyDescent="0.2">
      <c r="D1171" s="1">
        <v>46110</v>
      </c>
      <c r="E1171" s="2">
        <v>0.54166666666666663</v>
      </c>
      <c r="F1171" t="s">
        <v>15</v>
      </c>
      <c r="G1171">
        <f>VLOOKUP(Table4[[#This Row],[Home]],'NHL Model'!$A$6:$B$38,2,FALSE)</f>
        <v>-0.73651915476403329</v>
      </c>
      <c r="H1171" t="s">
        <v>11</v>
      </c>
      <c r="I1171">
        <f>VLOOKUP(Table4[[#This Row],[Visitor]],'NHL Model'!$A$6:$B$38,2,FALSE)</f>
        <v>-0.55695213126481558</v>
      </c>
      <c r="J1171">
        <f>($B$1+Table4[[#This Row],[Home Differential]])-Table4[[#This Row],[Away Differential]]</f>
        <v>-4.9960037687693637E-2</v>
      </c>
      <c r="K1171" t="str">
        <f>IF(Table4[[#This Row],[HomeIce Differential]]&gt;0,Table4[[#This Row],[Home]],Table4[[#This Row],[Visitor]])</f>
        <v>Florida Panthers</v>
      </c>
      <c r="L11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0.50489693902531296</v>
      </c>
      <c r="M1171" t="str">
        <f>IF(OR((NHL2025_26Results[[#This Row],[Winning Team]]="")),"-",IF(Table4[[#This Row],[Predicted Winner]]=NHL2025_26Results[[#This Row],[Winning Team]],"YES","NO"))</f>
        <v>-</v>
      </c>
      <c r="N1171" t="str">
        <f>IF(Table4[[#This Row],[Adjusted Correct]]="-", "",IF(Table4[[#This Row],[Adjusted Correct]]="YES",(Table4[[#This Row],[Strength of Win]]-1)^2,(Table4[[#This Row],[Strength of Win]]-0)^2))</f>
        <v/>
      </c>
      <c r="P1171" s="11"/>
    </row>
    <row r="1172" spans="4:16" x14ac:dyDescent="0.2">
      <c r="D1172" s="1">
        <v>46110</v>
      </c>
      <c r="E1172" s="2">
        <v>0.79166666666666663</v>
      </c>
      <c r="F1172" t="s">
        <v>27</v>
      </c>
      <c r="G1172">
        <f>VLOOKUP(Table4[[#This Row],[Home]],'NHL Model'!$A$6:$B$38,2,FALSE)</f>
        <v>-0.55097933929175691</v>
      </c>
      <c r="H1172" t="s">
        <v>39</v>
      </c>
      <c r="I1172">
        <f>VLOOKUP(Table4[[#This Row],[Visitor]],'NHL Model'!$A$6:$B$38,2,FALSE)</f>
        <v>0.21708030788125537</v>
      </c>
      <c r="J1172">
        <f>($B$1+Table4[[#This Row],[Home Differential]])-Table4[[#This Row],[Away Differential]]</f>
        <v>-0.63845266136148826</v>
      </c>
      <c r="K1172" t="str">
        <f>IF(Table4[[#This Row],[HomeIce Differential]]&gt;0,Table4[[#This Row],[Home]],Table4[[#This Row],[Visitor]])</f>
        <v>Dallas Stars</v>
      </c>
      <c r="L11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0.58982903275117715</v>
      </c>
      <c r="M1172" t="str">
        <f>IF(OR((NHL2025_26Results[[#This Row],[Winning Team]]="")),"-",IF(Table4[[#This Row],[Predicted Winner]]=NHL2025_26Results[[#This Row],[Winning Team]],"YES","NO"))</f>
        <v>-</v>
      </c>
      <c r="N1172" t="str">
        <f>IF(Table4[[#This Row],[Adjusted Correct]]="-", "",IF(Table4[[#This Row],[Adjusted Correct]]="YES",(Table4[[#This Row],[Strength of Win]]-1)^2,(Table4[[#This Row],[Strength of Win]]-0)^2))</f>
        <v/>
      </c>
      <c r="P1172" s="11"/>
    </row>
    <row r="1173" spans="4:16" x14ac:dyDescent="0.2">
      <c r="D1173" s="1">
        <v>46110</v>
      </c>
      <c r="E1173" s="2">
        <v>0.70833333333333337</v>
      </c>
      <c r="F1173" t="s">
        <v>37</v>
      </c>
      <c r="G1173">
        <f>VLOOKUP(Table4[[#This Row],[Home]],'NHL Model'!$A$6:$B$38,2,FALSE)</f>
        <v>0.72108184732572844</v>
      </c>
      <c r="H1173" t="s">
        <v>29</v>
      </c>
      <c r="I1173">
        <f>VLOOKUP(Table4[[#This Row],[Visitor]],'NHL Model'!$A$6:$B$38,2,FALSE)</f>
        <v>-0.82056481120798741</v>
      </c>
      <c r="J1173">
        <f>($B$1+Table4[[#This Row],[Home Differential]])-Table4[[#This Row],[Away Differential]]</f>
        <v>1.6712536443452399</v>
      </c>
      <c r="K1173" t="str">
        <f>IF(Table4[[#This Row],[HomeIce Differential]]&gt;0,Table4[[#This Row],[Home]],Table4[[#This Row],[Visitor]])</f>
        <v>Tampa Bay Lightning</v>
      </c>
      <c r="L11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0.7836564766503572</v>
      </c>
      <c r="M1173" t="str">
        <f>IF(OR((NHL2025_26Results[[#This Row],[Winning Team]]="")),"-",IF(Table4[[#This Row],[Predicted Winner]]=NHL2025_26Results[[#This Row],[Winning Team]],"YES","NO"))</f>
        <v>-</v>
      </c>
      <c r="N1173" t="str">
        <f>IF(Table4[[#This Row],[Adjusted Correct]]="-", "",IF(Table4[[#This Row],[Adjusted Correct]]="YES",(Table4[[#This Row],[Strength of Win]]-1)^2,(Table4[[#This Row],[Strength of Win]]-0)^2))</f>
        <v/>
      </c>
      <c r="P1173" s="11"/>
    </row>
    <row r="1174" spans="4:16" x14ac:dyDescent="0.2">
      <c r="D1174" s="1">
        <v>46111</v>
      </c>
      <c r="E1174" s="2">
        <v>0.91666666666666663</v>
      </c>
      <c r="F1174" t="s">
        <v>31</v>
      </c>
      <c r="G1174">
        <f>VLOOKUP(Table4[[#This Row],[Home]],'NHL Model'!$A$6:$B$38,2,FALSE)</f>
        <v>-0.46360583111358089</v>
      </c>
      <c r="H1174" t="s">
        <v>19</v>
      </c>
      <c r="I1174">
        <f>VLOOKUP(Table4[[#This Row],[Visitor]],'NHL Model'!$A$6:$B$38,2,FALSE)</f>
        <v>-0.44228056828684137</v>
      </c>
      <c r="J1174">
        <f>($B$1+Table4[[#This Row],[Home Differential]])-Table4[[#This Row],[Away Differential]]</f>
        <v>0.10828172298478456</v>
      </c>
      <c r="K1174" t="str">
        <f>IF(Table4[[#This Row],[HomeIce Differential]]&gt;0,Table4[[#This Row],[Home]],Table4[[#This Row],[Visitor]])</f>
        <v>Anaheim Ducks</v>
      </c>
      <c r="L11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0.60387534964332423</v>
      </c>
      <c r="M1174" t="str">
        <f>IF(OR((NHL2025_26Results[[#This Row],[Winning Team]]="")),"-",IF(Table4[[#This Row],[Predicted Winner]]=NHL2025_26Results[[#This Row],[Winning Team]],"YES","NO"))</f>
        <v>-</v>
      </c>
      <c r="N1174" t="str">
        <f>IF(Table4[[#This Row],[Adjusted Correct]]="-", "",IF(Table4[[#This Row],[Adjusted Correct]]="YES",(Table4[[#This Row],[Strength of Win]]-1)^2,(Table4[[#This Row],[Strength of Win]]-0)^2))</f>
        <v/>
      </c>
      <c r="P1174" s="11"/>
    </row>
    <row r="1175" spans="4:16" x14ac:dyDescent="0.2">
      <c r="D1175" s="1">
        <v>46111</v>
      </c>
      <c r="E1175" s="2">
        <v>0.85416666666666663</v>
      </c>
      <c r="F1175" t="s">
        <v>12</v>
      </c>
      <c r="G1175">
        <f>VLOOKUP(Table4[[#This Row],[Home]],'NHL Model'!$A$6:$B$38,2,FALSE)</f>
        <v>0.99866683349964291</v>
      </c>
      <c r="H1175" t="s">
        <v>16</v>
      </c>
      <c r="I1175">
        <f>VLOOKUP(Table4[[#This Row],[Visitor]],'NHL Model'!$A$6:$B$38,2,FALSE)</f>
        <v>-0.89031221864884547</v>
      </c>
      <c r="J1175">
        <f>($B$1+Table4[[#This Row],[Home Differential]])-Table4[[#This Row],[Away Differential]]</f>
        <v>2.0185860379600125</v>
      </c>
      <c r="K1175" t="str">
        <f>IF(Table4[[#This Row],[HomeIce Differential]]&gt;0,Table4[[#This Row],[Home]],Table4[[#This Row],[Visitor]])</f>
        <v>Colorado Avalanche</v>
      </c>
      <c r="L11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0.84650954118884159</v>
      </c>
      <c r="M1175" t="str">
        <f>IF(OR((NHL2025_26Results[[#This Row],[Winning Team]]="")),"-",IF(Table4[[#This Row],[Predicted Winner]]=NHL2025_26Results[[#This Row],[Winning Team]],"YES","NO"))</f>
        <v>-</v>
      </c>
      <c r="N1175" t="str">
        <f>IF(Table4[[#This Row],[Adjusted Correct]]="-", "",IF(Table4[[#This Row],[Adjusted Correct]]="YES",(Table4[[#This Row],[Strength of Win]]-1)^2,(Table4[[#This Row],[Strength of Win]]-0)^2))</f>
        <v/>
      </c>
      <c r="P1175" s="11"/>
    </row>
    <row r="1176" spans="4:16" x14ac:dyDescent="0.2">
      <c r="D1176" s="1">
        <v>46111</v>
      </c>
      <c r="E1176" s="2">
        <v>0.79166666666666663</v>
      </c>
      <c r="F1176" t="s">
        <v>30</v>
      </c>
      <c r="G1176">
        <f>VLOOKUP(Table4[[#This Row],[Home]],'NHL Model'!$A$6:$B$38,2,FALSE)</f>
        <v>-0.18630462558229716</v>
      </c>
      <c r="H1176" t="s">
        <v>14</v>
      </c>
      <c r="I1176">
        <f>VLOOKUP(Table4[[#This Row],[Visitor]],'NHL Model'!$A$6:$B$38,2,FALSE)</f>
        <v>3.6349513460996066E-5</v>
      </c>
      <c r="J1176">
        <f>($B$1+Table4[[#This Row],[Home Differential]])-Table4[[#This Row],[Away Differential]]</f>
        <v>-5.6733989284234045E-2</v>
      </c>
      <c r="K1176" t="str">
        <f>IF(Table4[[#This Row],[HomeIce Differential]]&gt;0,Table4[[#This Row],[Home]],Table4[[#This Row],[Visitor]])</f>
        <v>Pittsburgh Penguins</v>
      </c>
      <c r="L11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0.50637087900125921</v>
      </c>
      <c r="M1176" t="str">
        <f>IF(OR((NHL2025_26Results[[#This Row],[Winning Team]]="")),"-",IF(Table4[[#This Row],[Predicted Winner]]=NHL2025_26Results[[#This Row],[Winning Team]],"YES","NO"))</f>
        <v>-</v>
      </c>
      <c r="N1176" t="str">
        <f>IF(Table4[[#This Row],[Adjusted Correct]]="-", "",IF(Table4[[#This Row],[Adjusted Correct]]="YES",(Table4[[#This Row],[Strength of Win]]-1)^2,(Table4[[#This Row],[Strength of Win]]-0)^2))</f>
        <v/>
      </c>
      <c r="P1176" s="11"/>
    </row>
    <row r="1177" spans="4:16" x14ac:dyDescent="0.2">
      <c r="D1177" s="1">
        <v>46111</v>
      </c>
      <c r="E1177" s="2">
        <v>0.91666666666666663</v>
      </c>
      <c r="F1177" t="s">
        <v>33</v>
      </c>
      <c r="G1177">
        <f>VLOOKUP(Table4[[#This Row],[Home]],'NHL Model'!$A$6:$B$38,2,FALSE)</f>
        <v>-0.65236582493376272</v>
      </c>
      <c r="H1177" t="s">
        <v>35</v>
      </c>
      <c r="I1177">
        <f>VLOOKUP(Table4[[#This Row],[Visitor]],'NHL Model'!$A$6:$B$38,2,FALSE)</f>
        <v>-1.3128572733047907</v>
      </c>
      <c r="J1177">
        <f>($B$1+Table4[[#This Row],[Home Differential]])-Table4[[#This Row],[Away Differential]]</f>
        <v>0.7900984341825521</v>
      </c>
      <c r="K1177" t="str">
        <f>IF(Table4[[#This Row],[HomeIce Differential]]&gt;0,Table4[[#This Row],[Home]],Table4[[#This Row],[Visitor]])</f>
        <v>San Jose Sharks</v>
      </c>
      <c r="L11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0.62872320784712044</v>
      </c>
      <c r="M1177" t="str">
        <f>IF(OR((NHL2025_26Results[[#This Row],[Winning Team]]="")),"-",IF(Table4[[#This Row],[Predicted Winner]]=NHL2025_26Results[[#This Row],[Winning Team]],"YES","NO"))</f>
        <v>-</v>
      </c>
      <c r="N1177" t="str">
        <f>IF(Table4[[#This Row],[Adjusted Correct]]="-", "",IF(Table4[[#This Row],[Adjusted Correct]]="YES",(Table4[[#This Row],[Strength of Win]]-1)^2,(Table4[[#This Row],[Strength of Win]]-0)^2))</f>
        <v/>
      </c>
      <c r="P1177" s="11"/>
    </row>
    <row r="1178" spans="4:16" x14ac:dyDescent="0.2">
      <c r="D1178" s="1">
        <v>46111</v>
      </c>
      <c r="E1178" s="2">
        <v>0.91666666666666663</v>
      </c>
      <c r="F1178" t="s">
        <v>20</v>
      </c>
      <c r="G1178">
        <f>VLOOKUP(Table4[[#This Row],[Home]],'NHL Model'!$A$6:$B$38,2,FALSE)</f>
        <v>-0.16296463421387539</v>
      </c>
      <c r="H1178" t="s">
        <v>38</v>
      </c>
      <c r="I1178">
        <f>VLOOKUP(Table4[[#This Row],[Visitor]],'NHL Model'!$A$6:$B$38,2,FALSE)</f>
        <v>-1.3920033028857945</v>
      </c>
      <c r="J1178">
        <f>($B$1+Table4[[#This Row],[Home Differential]])-Table4[[#This Row],[Away Differential]]</f>
        <v>1.3586456544834433</v>
      </c>
      <c r="K1178" t="str">
        <f>IF(Table4[[#This Row],[HomeIce Differential]]&gt;0,Table4[[#This Row],[Home]],Table4[[#This Row],[Visitor]])</f>
        <v>Vegas Golden Knights</v>
      </c>
      <c r="L11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0.69256757332779373</v>
      </c>
      <c r="M1178" t="str">
        <f>IF(OR((NHL2025_26Results[[#This Row],[Winning Team]]="")),"-",IF(Table4[[#This Row],[Predicted Winner]]=NHL2025_26Results[[#This Row],[Winning Team]],"YES","NO"))</f>
        <v>-</v>
      </c>
      <c r="N1178" t="str">
        <f>IF(Table4[[#This Row],[Adjusted Correct]]="-", "",IF(Table4[[#This Row],[Adjusted Correct]]="YES",(Table4[[#This Row],[Strength of Win]]-1)^2,(Table4[[#This Row],[Strength of Win]]-0)^2))</f>
        <v/>
      </c>
      <c r="P1178" s="11"/>
    </row>
    <row r="1179" spans="4:16" x14ac:dyDescent="0.2">
      <c r="D1179" s="1">
        <v>46112</v>
      </c>
      <c r="E1179" s="2">
        <v>0.79166666666666663</v>
      </c>
      <c r="F1179" t="s">
        <v>21</v>
      </c>
      <c r="G1179">
        <f>VLOOKUP(Table4[[#This Row],[Home]],'NHL Model'!$A$6:$B$38,2,FALSE)</f>
        <v>-0.10253061303059285</v>
      </c>
      <c r="H1179" t="s">
        <v>39</v>
      </c>
      <c r="I1179">
        <f>VLOOKUP(Table4[[#This Row],[Visitor]],'NHL Model'!$A$6:$B$38,2,FALSE)</f>
        <v>0.21708030788125537</v>
      </c>
      <c r="J1179">
        <f>($B$1+Table4[[#This Row],[Home Differential]])-Table4[[#This Row],[Away Differential]]</f>
        <v>-0.19000393510032412</v>
      </c>
      <c r="K1179" t="str">
        <f>IF(Table4[[#This Row],[HomeIce Differential]]&gt;0,Table4[[#This Row],[Home]],Table4[[#This Row],[Visitor]])</f>
        <v>Dallas Stars</v>
      </c>
      <c r="L11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0.48685351784354375</v>
      </c>
      <c r="M1179" t="str">
        <f>IF(OR((NHL2025_26Results[[#This Row],[Winning Team]]="")),"-",IF(Table4[[#This Row],[Predicted Winner]]=NHL2025_26Results[[#This Row],[Winning Team]],"YES","NO"))</f>
        <v>-</v>
      </c>
      <c r="N1179" t="str">
        <f>IF(Table4[[#This Row],[Adjusted Correct]]="-", "",IF(Table4[[#This Row],[Adjusted Correct]]="YES",(Table4[[#This Row],[Strength of Win]]-1)^2,(Table4[[#This Row],[Strength of Win]]-0)^2))</f>
        <v/>
      </c>
      <c r="P1179" s="11"/>
    </row>
    <row r="1180" spans="4:16" x14ac:dyDescent="0.2">
      <c r="D1180" s="1">
        <v>46112</v>
      </c>
      <c r="E1180" s="2">
        <v>0.79166666666666663</v>
      </c>
      <c r="F1180" t="s">
        <v>23</v>
      </c>
      <c r="G1180">
        <f>VLOOKUP(Table4[[#This Row],[Home]],'NHL Model'!$A$6:$B$38,2,FALSE)</f>
        <v>8.1543966060426461E-3</v>
      </c>
      <c r="H1180" t="s">
        <v>30</v>
      </c>
      <c r="I1180">
        <f>VLOOKUP(Table4[[#This Row],[Visitor]],'NHL Model'!$A$6:$B$38,2,FALSE)</f>
        <v>-0.18630462558229716</v>
      </c>
      <c r="J1180">
        <f>($B$1+Table4[[#This Row],[Home Differential]])-Table4[[#This Row],[Away Differential]]</f>
        <v>0.3240660079998639</v>
      </c>
      <c r="K1180" t="str">
        <f>IF(Table4[[#This Row],[HomeIce Differential]]&gt;0,Table4[[#This Row],[Home]],Table4[[#This Row],[Visitor]])</f>
        <v>Buffalo Sabres</v>
      </c>
      <c r="L11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0.56874970635954825</v>
      </c>
      <c r="M1180" t="str">
        <f>IF(OR((NHL2025_26Results[[#This Row],[Winning Team]]="")),"-",IF(Table4[[#This Row],[Predicted Winner]]=NHL2025_26Results[[#This Row],[Winning Team]],"YES","NO"))</f>
        <v>-</v>
      </c>
      <c r="N1180" t="str">
        <f>IF(Table4[[#This Row],[Adjusted Correct]]="-", "",IF(Table4[[#This Row],[Adjusted Correct]]="YES",(Table4[[#This Row],[Strength of Win]]-1)^2,(Table4[[#This Row],[Strength of Win]]-0)^2))</f>
        <v/>
      </c>
      <c r="P1180" s="11"/>
    </row>
    <row r="1181" spans="4:16" x14ac:dyDescent="0.2">
      <c r="D1181" s="1">
        <v>46112</v>
      </c>
      <c r="E1181" s="2">
        <v>0.8125</v>
      </c>
      <c r="F1181" t="s">
        <v>28</v>
      </c>
      <c r="G1181">
        <f>VLOOKUP(Table4[[#This Row],[Home]],'NHL Model'!$A$6:$B$38,2,FALSE)</f>
        <v>-0.28156479873410767</v>
      </c>
      <c r="H1181" t="s">
        <v>25</v>
      </c>
      <c r="I1181">
        <f>VLOOKUP(Table4[[#This Row],[Visitor]],'NHL Model'!$A$6:$B$38,2,FALSE)</f>
        <v>0.2324942014830165</v>
      </c>
      <c r="J1181">
        <f>($B$1+Table4[[#This Row],[Home Differential]])-Table4[[#This Row],[Away Differential]]</f>
        <v>-0.38445201440560006</v>
      </c>
      <c r="K1181" t="str">
        <f>IF(Table4[[#This Row],[HomeIce Differential]]&gt;0,Table4[[#This Row],[Home]],Table4[[#This Row],[Visitor]])</f>
        <v>Carolina Hurricanes</v>
      </c>
      <c r="L11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0.55260556532730942</v>
      </c>
      <c r="M1181" t="str">
        <f>IF(OR((NHL2025_26Results[[#This Row],[Winning Team]]="")),"-",IF(Table4[[#This Row],[Predicted Winner]]=NHL2025_26Results[[#This Row],[Winning Team]],"YES","NO"))</f>
        <v>-</v>
      </c>
      <c r="N1181" t="str">
        <f>IF(Table4[[#This Row],[Adjusted Correct]]="-", "",IF(Table4[[#This Row],[Adjusted Correct]]="YES",(Table4[[#This Row],[Strength of Win]]-1)^2,(Table4[[#This Row],[Strength of Win]]-0)^2))</f>
        <v/>
      </c>
      <c r="P1181" s="11"/>
    </row>
    <row r="1182" spans="4:16" x14ac:dyDescent="0.2">
      <c r="D1182" s="1">
        <v>46112</v>
      </c>
      <c r="E1182" s="2">
        <v>0.85416666666666663</v>
      </c>
      <c r="F1182" t="s">
        <v>10</v>
      </c>
      <c r="G1182">
        <f>VLOOKUP(Table4[[#This Row],[Home]],'NHL Model'!$A$6:$B$38,2,FALSE)</f>
        <v>-0.92658078135875344</v>
      </c>
      <c r="H1182" t="s">
        <v>40</v>
      </c>
      <c r="I1182">
        <f>VLOOKUP(Table4[[#This Row],[Visitor]],'NHL Model'!$A$6:$B$38,2,FALSE)</f>
        <v>-0.58845147248022256</v>
      </c>
      <c r="J1182">
        <f>($B$1+Table4[[#This Row],[Home Differential]])-Table4[[#This Row],[Away Differential]]</f>
        <v>-0.2085223230670068</v>
      </c>
      <c r="K1182" t="str">
        <f>IF(Table4[[#This Row],[HomeIce Differential]]&gt;0,Table4[[#This Row],[Home]],Table4[[#This Row],[Visitor]])</f>
        <v>Winnipeg Jets</v>
      </c>
      <c r="L11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0.48341577784466772</v>
      </c>
      <c r="M1182" t="str">
        <f>IF(OR((NHL2025_26Results[[#This Row],[Winning Team]]="")),"-",IF(Table4[[#This Row],[Predicted Winner]]=NHL2025_26Results[[#This Row],[Winning Team]],"YES","NO"))</f>
        <v>-</v>
      </c>
      <c r="N1182" t="str">
        <f>IF(Table4[[#This Row],[Adjusted Correct]]="-", "",IF(Table4[[#This Row],[Adjusted Correct]]="YES",(Table4[[#This Row],[Strength of Win]]-1)^2,(Table4[[#This Row],[Strength of Win]]-0)^2))</f>
        <v/>
      </c>
      <c r="P1182" s="11"/>
    </row>
    <row r="1183" spans="4:16" x14ac:dyDescent="0.2">
      <c r="D1183" s="1">
        <v>46112</v>
      </c>
      <c r="E1183" s="2">
        <v>0.875</v>
      </c>
      <c r="F1183" t="s">
        <v>17</v>
      </c>
      <c r="G1183">
        <f>VLOOKUP(Table4[[#This Row],[Home]],'NHL Model'!$A$6:$B$38,2,FALSE)</f>
        <v>-0.36462594951491906</v>
      </c>
      <c r="H1183" t="s">
        <v>32</v>
      </c>
      <c r="I1183">
        <f>VLOOKUP(Table4[[#This Row],[Visitor]],'NHL Model'!$A$6:$B$38,2,FALSE)</f>
        <v>-0.48236715437805205</v>
      </c>
      <c r="J1183">
        <f>($B$1+Table4[[#This Row],[Home Differential]])-Table4[[#This Row],[Away Differential]]</f>
        <v>0.2473481906746571</v>
      </c>
      <c r="K1183" t="str">
        <f>IF(Table4[[#This Row],[HomeIce Differential]]&gt;0,Table4[[#This Row],[Home]],Table4[[#This Row],[Visitor]])</f>
        <v>Edmonton Oilers</v>
      </c>
      <c r="L11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0.56777568462661487</v>
      </c>
      <c r="M1183" t="str">
        <f>IF(OR((NHL2025_26Results[[#This Row],[Winning Team]]="")),"-",IF(Table4[[#This Row],[Predicted Winner]]=NHL2025_26Results[[#This Row],[Winning Team]],"YES","NO"))</f>
        <v>-</v>
      </c>
      <c r="N1183" t="str">
        <f>IF(Table4[[#This Row],[Adjusted Correct]]="-", "",IF(Table4[[#This Row],[Adjusted Correct]]="YES",(Table4[[#This Row],[Strength of Win]]-1)^2,(Table4[[#This Row],[Strength of Win]]-0)^2))</f>
        <v/>
      </c>
      <c r="P1183" s="11"/>
    </row>
    <row r="1184" spans="4:16" x14ac:dyDescent="0.2">
      <c r="D1184" s="1">
        <v>46112</v>
      </c>
      <c r="E1184" s="2">
        <v>0.79166666666666663</v>
      </c>
      <c r="F1184" t="s">
        <v>11</v>
      </c>
      <c r="G1184">
        <f>VLOOKUP(Table4[[#This Row],[Home]],'NHL Model'!$A$6:$B$38,2,FALSE)</f>
        <v>-0.55695213126481558</v>
      </c>
      <c r="H1184" t="s">
        <v>36</v>
      </c>
      <c r="I1184">
        <f>VLOOKUP(Table4[[#This Row],[Visitor]],'NHL Model'!$A$6:$B$38,2,FALSE)</f>
        <v>-0.19010748264223354</v>
      </c>
      <c r="J1184">
        <f>($B$1+Table4[[#This Row],[Home Differential]])-Table4[[#This Row],[Away Differential]]</f>
        <v>-0.23723766281105796</v>
      </c>
      <c r="K1184" t="str">
        <f>IF(Table4[[#This Row],[HomeIce Differential]]&gt;0,Table4[[#This Row],[Home]],Table4[[#This Row],[Visitor]])</f>
        <v>Ottawa Senators</v>
      </c>
      <c r="L11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0.49865651777556541</v>
      </c>
      <c r="M1184" t="str">
        <f>IF(OR((NHL2025_26Results[[#This Row],[Winning Team]]="")),"-",IF(Table4[[#This Row],[Predicted Winner]]=NHL2025_26Results[[#This Row],[Winning Team]],"YES","NO"))</f>
        <v>-</v>
      </c>
      <c r="N1184" t="str">
        <f>IF(Table4[[#This Row],[Adjusted Correct]]="-", "",IF(Table4[[#This Row],[Adjusted Correct]]="YES",(Table4[[#This Row],[Strength of Win]]-1)^2,(Table4[[#This Row],[Strength of Win]]-0)^2))</f>
        <v/>
      </c>
      <c r="P1184" s="11"/>
    </row>
    <row r="1185" spans="4:16" x14ac:dyDescent="0.2">
      <c r="D1185" s="1">
        <v>46112</v>
      </c>
      <c r="E1185" s="2">
        <v>0.79166666666666663</v>
      </c>
      <c r="F1185" t="s">
        <v>15</v>
      </c>
      <c r="G1185">
        <f>VLOOKUP(Table4[[#This Row],[Home]],'NHL Model'!$A$6:$B$38,2,FALSE)</f>
        <v>-0.73651915476403329</v>
      </c>
      <c r="H1185" t="s">
        <v>24</v>
      </c>
      <c r="I1185">
        <f>VLOOKUP(Table4[[#This Row],[Visitor]],'NHL Model'!$A$6:$B$38,2,FALSE)</f>
        <v>-0.74510803532792402</v>
      </c>
      <c r="J1185">
        <f>($B$1+Table4[[#This Row],[Home Differential]])-Table4[[#This Row],[Away Differential]]</f>
        <v>0.13819586637541481</v>
      </c>
      <c r="K1185" t="str">
        <f>IF(Table4[[#This Row],[HomeIce Differential]]&gt;0,Table4[[#This Row],[Home]],Table4[[#This Row],[Visitor]])</f>
        <v>New York Rangers</v>
      </c>
      <c r="L11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0.53474931735790787</v>
      </c>
      <c r="M1185" t="str">
        <f>IF(OR((NHL2025_26Results[[#This Row],[Winning Team]]="")),"-",IF(Table4[[#This Row],[Predicted Winner]]=NHL2025_26Results[[#This Row],[Winning Team]],"YES","NO"))</f>
        <v>-</v>
      </c>
      <c r="N1185" t="str">
        <f>IF(Table4[[#This Row],[Adjusted Correct]]="-", "",IF(Table4[[#This Row],[Adjusted Correct]]="YES",(Table4[[#This Row],[Strength of Win]]-1)^2,(Table4[[#This Row],[Strength of Win]]-0)^2))</f>
        <v/>
      </c>
      <c r="P1185" s="11"/>
    </row>
    <row r="1186" spans="4:16" x14ac:dyDescent="0.2">
      <c r="D1186" s="1">
        <v>46112</v>
      </c>
      <c r="E1186" s="2">
        <v>0.79166666666666663</v>
      </c>
      <c r="F1186" t="s">
        <v>14</v>
      </c>
      <c r="G1186">
        <f>VLOOKUP(Table4[[#This Row],[Home]],'NHL Model'!$A$6:$B$38,2,FALSE)</f>
        <v>3.6349513460996066E-5</v>
      </c>
      <c r="H1186" t="s">
        <v>26</v>
      </c>
      <c r="I1186">
        <f>VLOOKUP(Table4[[#This Row],[Visitor]],'NHL Model'!$A$6:$B$38,2,FALSE)</f>
        <v>-0.33113778518110382</v>
      </c>
      <c r="J1186">
        <f>($B$1+Table4[[#This Row],[Home Differential]])-Table4[[#This Row],[Away Differential]]</f>
        <v>0.46078112050608888</v>
      </c>
      <c r="K1186" t="str">
        <f>IF(Table4[[#This Row],[HomeIce Differential]]&gt;0,Table4[[#This Row],[Home]],Table4[[#This Row],[Visitor]])</f>
        <v>Pittsburgh Penguins</v>
      </c>
      <c r="L11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0.55373492536272173</v>
      </c>
      <c r="M1186" t="str">
        <f>IF(OR((NHL2025_26Results[[#This Row],[Winning Team]]="")),"-",IF(Table4[[#This Row],[Predicted Winner]]=NHL2025_26Results[[#This Row],[Winning Team]],"YES","NO"))</f>
        <v>-</v>
      </c>
      <c r="N1186" t="str">
        <f>IF(Table4[[#This Row],[Adjusted Correct]]="-", "",IF(Table4[[#This Row],[Adjusted Correct]]="YES",(Table4[[#This Row],[Strength of Win]]-1)^2,(Table4[[#This Row],[Strength of Win]]-0)^2))</f>
        <v/>
      </c>
      <c r="P1186" s="11"/>
    </row>
    <row r="1187" spans="4:16" x14ac:dyDescent="0.2">
      <c r="D1187" s="1">
        <v>46112</v>
      </c>
      <c r="E1187" s="2">
        <v>0.79166666666666663</v>
      </c>
      <c r="F1187" t="s">
        <v>37</v>
      </c>
      <c r="G1187">
        <f>VLOOKUP(Table4[[#This Row],[Home]],'NHL Model'!$A$6:$B$38,2,FALSE)</f>
        <v>0.72108184732572844</v>
      </c>
      <c r="H1187" t="s">
        <v>18</v>
      </c>
      <c r="I1187">
        <f>VLOOKUP(Table4[[#This Row],[Visitor]],'NHL Model'!$A$6:$B$38,2,FALSE)</f>
        <v>-8.6274676766085606E-2</v>
      </c>
      <c r="J1187">
        <f>($B$1+Table4[[#This Row],[Home Differential]])-Table4[[#This Row],[Away Differential]]</f>
        <v>0.9369635099033381</v>
      </c>
      <c r="K1187" t="str">
        <f>IF(Table4[[#This Row],[HomeIce Differential]]&gt;0,Table4[[#This Row],[Home]],Table4[[#This Row],[Visitor]])</f>
        <v>Tampa Bay Lightning</v>
      </c>
      <c r="L11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0.65676680656003583</v>
      </c>
      <c r="M1187" t="str">
        <f>IF(OR((NHL2025_26Results[[#This Row],[Winning Team]]="")),"-",IF(Table4[[#This Row],[Predicted Winner]]=NHL2025_26Results[[#This Row],[Winning Team]],"YES","NO"))</f>
        <v>-</v>
      </c>
      <c r="N1187" t="str">
        <f>IF(Table4[[#This Row],[Adjusted Correct]]="-", "",IF(Table4[[#This Row],[Adjusted Correct]]="YES",(Table4[[#This Row],[Strength of Win]]-1)^2,(Table4[[#This Row],[Strength of Win]]-0)^2))</f>
        <v/>
      </c>
      <c r="P1187" s="11"/>
    </row>
    <row r="1188" spans="4:16" x14ac:dyDescent="0.2">
      <c r="D1188" s="1">
        <v>46112</v>
      </c>
      <c r="E1188" s="2">
        <v>0.79166666666666663</v>
      </c>
      <c r="F1188" t="s">
        <v>22</v>
      </c>
      <c r="G1188">
        <f>VLOOKUP(Table4[[#This Row],[Home]],'NHL Model'!$A$6:$B$38,2,FALSE)</f>
        <v>-0.11977593183651415</v>
      </c>
      <c r="H1188" t="s">
        <v>27</v>
      </c>
      <c r="I1188">
        <f>VLOOKUP(Table4[[#This Row],[Visitor]],'NHL Model'!$A$6:$B$38,2,FALSE)</f>
        <v>-0.55097933929175691</v>
      </c>
      <c r="J1188">
        <f>($B$1+Table4[[#This Row],[Home Differential]])-Table4[[#This Row],[Away Differential]]</f>
        <v>0.56081039326676685</v>
      </c>
      <c r="K1188" t="str">
        <f>IF(Table4[[#This Row],[HomeIce Differential]]&gt;0,Table4[[#This Row],[Home]],Table4[[#This Row],[Visitor]])</f>
        <v>Washington Capitals</v>
      </c>
      <c r="L11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0.62094208926962713</v>
      </c>
      <c r="M1188" t="str">
        <f>IF(OR((NHL2025_26Results[[#This Row],[Winning Team]]="")),"-",IF(Table4[[#This Row],[Predicted Winner]]=NHL2025_26Results[[#This Row],[Winning Team]],"YES","NO"))</f>
        <v>-</v>
      </c>
      <c r="N1188" t="str">
        <f>IF(Table4[[#This Row],[Adjusted Correct]]="-", "",IF(Table4[[#This Row],[Adjusted Correct]]="YES",(Table4[[#This Row],[Strength of Win]]-1)^2,(Table4[[#This Row],[Strength of Win]]-0)^2))</f>
        <v/>
      </c>
      <c r="P1188" s="11"/>
    </row>
    <row r="1189" spans="4:16" x14ac:dyDescent="0.2">
      <c r="D1189" s="1">
        <v>46113</v>
      </c>
      <c r="E1189" s="2">
        <v>0.85416666666666663</v>
      </c>
      <c r="F1189" t="s">
        <v>12</v>
      </c>
      <c r="G1189">
        <f>VLOOKUP(Table4[[#This Row],[Home]],'NHL Model'!$A$6:$B$38,2,FALSE)</f>
        <v>0.99866683349964291</v>
      </c>
      <c r="H1189" t="s">
        <v>38</v>
      </c>
      <c r="I1189">
        <f>VLOOKUP(Table4[[#This Row],[Visitor]],'NHL Model'!$A$6:$B$38,2,FALSE)</f>
        <v>-1.3920033028857945</v>
      </c>
      <c r="J1189">
        <f>($B$1+Table4[[#This Row],[Home Differential]])-Table4[[#This Row],[Away Differential]]</f>
        <v>2.5202771221969615</v>
      </c>
      <c r="K1189" t="str">
        <f>IF(Table4[[#This Row],[HomeIce Differential]]&gt;0,Table4[[#This Row],[Home]],Table4[[#This Row],[Visitor]])</f>
        <v>Colorado Avalanche</v>
      </c>
      <c r="L11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0.9028463726721927</v>
      </c>
      <c r="M1189" t="str">
        <f>IF(OR((NHL2025_26Results[[#This Row],[Winning Team]]="")),"-",IF(Table4[[#This Row],[Predicted Winner]]=NHL2025_26Results[[#This Row],[Winning Team]],"YES","NO"))</f>
        <v>-</v>
      </c>
      <c r="N1189" t="str">
        <f>IF(Table4[[#This Row],[Adjusted Correct]]="-", "",IF(Table4[[#This Row],[Adjusted Correct]]="YES",(Table4[[#This Row],[Strength of Win]]-1)^2,(Table4[[#This Row],[Strength of Win]]-0)^2))</f>
        <v/>
      </c>
      <c r="P1189" s="11"/>
    </row>
    <row r="1190" spans="4:16" x14ac:dyDescent="0.2">
      <c r="D1190" s="1">
        <v>46113</v>
      </c>
      <c r="E1190" s="2">
        <v>0.875</v>
      </c>
      <c r="F1190" t="s">
        <v>13</v>
      </c>
      <c r="G1190">
        <f>VLOOKUP(Table4[[#This Row],[Home]],'NHL Model'!$A$6:$B$38,2,FALSE)</f>
        <v>-0.59069689888466137</v>
      </c>
      <c r="H1190" t="s">
        <v>35</v>
      </c>
      <c r="I1190">
        <f>VLOOKUP(Table4[[#This Row],[Visitor]],'NHL Model'!$A$6:$B$38,2,FALSE)</f>
        <v>-1.3128572733047907</v>
      </c>
      <c r="J1190">
        <f>($B$1+Table4[[#This Row],[Home Differential]])-Table4[[#This Row],[Away Differential]]</f>
        <v>0.85176736023165345</v>
      </c>
      <c r="K1190" t="str">
        <f>IF(Table4[[#This Row],[HomeIce Differential]]&gt;0,Table4[[#This Row],[Home]],Table4[[#This Row],[Visitor]])</f>
        <v>Los Angeles Kings</v>
      </c>
      <c r="L11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0.63564824997712288</v>
      </c>
      <c r="M1190" t="str">
        <f>IF(OR((NHL2025_26Results[[#This Row],[Winning Team]]="")),"-",IF(Table4[[#This Row],[Predicted Winner]]=NHL2025_26Results[[#This Row],[Winning Team]],"YES","NO"))</f>
        <v>-</v>
      </c>
      <c r="N1190" t="str">
        <f>IF(Table4[[#This Row],[Adjusted Correct]]="-", "",IF(Table4[[#This Row],[Adjusted Correct]]="YES",(Table4[[#This Row],[Strength of Win]]-1)^2,(Table4[[#This Row],[Strength of Win]]-0)^2))</f>
        <v/>
      </c>
      <c r="P1190" s="11"/>
    </row>
    <row r="1191" spans="4:16" x14ac:dyDescent="0.2">
      <c r="D1191" s="1">
        <v>46113</v>
      </c>
      <c r="E1191" s="2">
        <v>0.91666666666666663</v>
      </c>
      <c r="F1191" t="s">
        <v>33</v>
      </c>
      <c r="G1191">
        <f>VLOOKUP(Table4[[#This Row],[Home]],'NHL Model'!$A$6:$B$38,2,FALSE)</f>
        <v>-0.65236582493376272</v>
      </c>
      <c r="H1191" t="s">
        <v>31</v>
      </c>
      <c r="I1191">
        <f>VLOOKUP(Table4[[#This Row],[Visitor]],'NHL Model'!$A$6:$B$38,2,FALSE)</f>
        <v>-0.46360583111358089</v>
      </c>
      <c r="J1191">
        <f>($B$1+Table4[[#This Row],[Home Differential]])-Table4[[#This Row],[Away Differential]]</f>
        <v>-5.9153008008657748E-2</v>
      </c>
      <c r="K1191" t="str">
        <f>IF(Table4[[#This Row],[HomeIce Differential]]&gt;0,Table4[[#This Row],[Home]],Table4[[#This Row],[Visitor]])</f>
        <v>Anaheim Ducks</v>
      </c>
      <c r="L11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0.4666425199662172</v>
      </c>
      <c r="M1191" t="str">
        <f>IF(OR((NHL2025_26Results[[#This Row],[Winning Team]]="")),"-",IF(Table4[[#This Row],[Predicted Winner]]=NHL2025_26Results[[#This Row],[Winning Team]],"YES","NO"))</f>
        <v>-</v>
      </c>
      <c r="N1191" t="str">
        <f>IF(Table4[[#This Row],[Adjusted Correct]]="-", "",IF(Table4[[#This Row],[Adjusted Correct]]="YES",(Table4[[#This Row],[Strength of Win]]-1)^2,(Table4[[#This Row],[Strength of Win]]-0)^2))</f>
        <v/>
      </c>
      <c r="P1191" s="11"/>
    </row>
    <row r="1192" spans="4:16" x14ac:dyDescent="0.2">
      <c r="D1192" s="1">
        <v>46114</v>
      </c>
      <c r="E1192" s="2">
        <v>0.79166666666666663</v>
      </c>
      <c r="F1192" t="s">
        <v>25</v>
      </c>
      <c r="G1192">
        <f>VLOOKUP(Table4[[#This Row],[Home]],'NHL Model'!$A$6:$B$38,2,FALSE)</f>
        <v>0.2324942014830165</v>
      </c>
      <c r="H1192" t="s">
        <v>28</v>
      </c>
      <c r="I1192">
        <f>VLOOKUP(Table4[[#This Row],[Visitor]],'NHL Model'!$A$6:$B$38,2,FALSE)</f>
        <v>-0.28156479873410767</v>
      </c>
      <c r="J1192">
        <f>($B$1+Table4[[#This Row],[Home Differential]])-Table4[[#This Row],[Away Differential]]</f>
        <v>0.64366598602864822</v>
      </c>
      <c r="K1192" t="str">
        <f>IF(Table4[[#This Row],[HomeIce Differential]]&gt;0,Table4[[#This Row],[Home]],Table4[[#This Row],[Visitor]])</f>
        <v>Carolina Hurricanes</v>
      </c>
      <c r="L11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0.65617235955752773</v>
      </c>
      <c r="M1192" t="str">
        <f>IF(OR((NHL2025_26Results[[#This Row],[Winning Team]]="")),"-",IF(Table4[[#This Row],[Predicted Winner]]=NHL2025_26Results[[#This Row],[Winning Team]],"YES","NO"))</f>
        <v>-</v>
      </c>
      <c r="N1192" t="str">
        <f>IF(Table4[[#This Row],[Adjusted Correct]]="-", "",IF(Table4[[#This Row],[Adjusted Correct]]="YES",(Table4[[#This Row],[Strength of Win]]-1)^2,(Table4[[#This Row],[Strength of Win]]-0)^2))</f>
        <v/>
      </c>
      <c r="P1192" s="11"/>
    </row>
    <row r="1193" spans="4:16" x14ac:dyDescent="0.2">
      <c r="D1193" s="1">
        <v>46114</v>
      </c>
      <c r="E1193" s="2">
        <v>0.83333333333333337</v>
      </c>
      <c r="F1193" t="s">
        <v>39</v>
      </c>
      <c r="G1193">
        <f>VLOOKUP(Table4[[#This Row],[Home]],'NHL Model'!$A$6:$B$38,2,FALSE)</f>
        <v>0.21708030788125537</v>
      </c>
      <c r="H1193" t="s">
        <v>40</v>
      </c>
      <c r="I1193">
        <f>VLOOKUP(Table4[[#This Row],[Visitor]],'NHL Model'!$A$6:$B$38,2,FALSE)</f>
        <v>-0.58845147248022256</v>
      </c>
      <c r="J1193">
        <f>($B$1+Table4[[#This Row],[Home Differential]])-Table4[[#This Row],[Away Differential]]</f>
        <v>0.93513876617300207</v>
      </c>
      <c r="K1193" t="str">
        <f>IF(Table4[[#This Row],[HomeIce Differential]]&gt;0,Table4[[#This Row],[Home]],Table4[[#This Row],[Visitor]])</f>
        <v>Dallas Stars</v>
      </c>
      <c r="L11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0.68284855278270928</v>
      </c>
      <c r="M1193" t="str">
        <f>IF(OR((NHL2025_26Results[[#This Row],[Winning Team]]="")),"-",IF(Table4[[#This Row],[Predicted Winner]]=NHL2025_26Results[[#This Row],[Winning Team]],"YES","NO"))</f>
        <v>-</v>
      </c>
      <c r="N1193" t="str">
        <f>IF(Table4[[#This Row],[Adjusted Correct]]="-", "",IF(Table4[[#This Row],[Adjusted Correct]]="YES",(Table4[[#This Row],[Strength of Win]]-1)^2,(Table4[[#This Row],[Strength of Win]]-0)^2))</f>
        <v/>
      </c>
      <c r="P1193" s="11"/>
    </row>
    <row r="1194" spans="4:16" x14ac:dyDescent="0.2">
      <c r="D1194" s="1">
        <v>46114</v>
      </c>
      <c r="E1194" s="2">
        <v>0.875</v>
      </c>
      <c r="F1194" t="s">
        <v>17</v>
      </c>
      <c r="G1194">
        <f>VLOOKUP(Table4[[#This Row],[Home]],'NHL Model'!$A$6:$B$38,2,FALSE)</f>
        <v>-0.36462594951491906</v>
      </c>
      <c r="H1194" t="s">
        <v>10</v>
      </c>
      <c r="I1194">
        <f>VLOOKUP(Table4[[#This Row],[Visitor]],'NHL Model'!$A$6:$B$38,2,FALSE)</f>
        <v>-0.92658078135875344</v>
      </c>
      <c r="J1194">
        <f>($B$1+Table4[[#This Row],[Home Differential]])-Table4[[#This Row],[Away Differential]]</f>
        <v>0.69156181765535851</v>
      </c>
      <c r="K1194" t="str">
        <f>IF(Table4[[#This Row],[HomeIce Differential]]&gt;0,Table4[[#This Row],[Home]],Table4[[#This Row],[Visitor]])</f>
        <v>Edmonton Oilers</v>
      </c>
      <c r="L11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0.617658150215739</v>
      </c>
      <c r="M1194" t="str">
        <f>IF(OR((NHL2025_26Results[[#This Row],[Winning Team]]="")),"-",IF(Table4[[#This Row],[Predicted Winner]]=NHL2025_26Results[[#This Row],[Winning Team]],"YES","NO"))</f>
        <v>-</v>
      </c>
      <c r="N1194" t="str">
        <f>IF(Table4[[#This Row],[Adjusted Correct]]="-", "",IF(Table4[[#This Row],[Adjusted Correct]]="YES",(Table4[[#This Row],[Strength of Win]]-1)^2,(Table4[[#This Row],[Strength of Win]]-0)^2))</f>
        <v/>
      </c>
      <c r="P1194" s="11"/>
    </row>
    <row r="1195" spans="4:16" x14ac:dyDescent="0.2">
      <c r="D1195" s="1">
        <v>46114</v>
      </c>
      <c r="E1195" s="2">
        <v>0.79166666666666663</v>
      </c>
      <c r="F1195" t="s">
        <v>11</v>
      </c>
      <c r="G1195">
        <f>VLOOKUP(Table4[[#This Row],[Home]],'NHL Model'!$A$6:$B$38,2,FALSE)</f>
        <v>-0.55695213126481558</v>
      </c>
      <c r="H1195" t="s">
        <v>21</v>
      </c>
      <c r="I1195">
        <f>VLOOKUP(Table4[[#This Row],[Visitor]],'NHL Model'!$A$6:$B$38,2,FALSE)</f>
        <v>-0.10253061303059285</v>
      </c>
      <c r="J1195">
        <f>($B$1+Table4[[#This Row],[Home Differential]])-Table4[[#This Row],[Away Differential]]</f>
        <v>-0.32481453242269864</v>
      </c>
      <c r="K1195" t="str">
        <f>IF(Table4[[#This Row],[HomeIce Differential]]&gt;0,Table4[[#This Row],[Home]],Table4[[#This Row],[Visitor]])</f>
        <v>Boston Bruins</v>
      </c>
      <c r="L11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0.49647467964130382</v>
      </c>
      <c r="M1195" t="str">
        <f>IF(OR((NHL2025_26Results[[#This Row],[Winning Team]]="")),"-",IF(Table4[[#This Row],[Predicted Winner]]=NHL2025_26Results[[#This Row],[Winning Team]],"YES","NO"))</f>
        <v>-</v>
      </c>
      <c r="N1195" t="str">
        <f>IF(Table4[[#This Row],[Adjusted Correct]]="-", "",IF(Table4[[#This Row],[Adjusted Correct]]="YES",(Table4[[#This Row],[Strength of Win]]-1)^2,(Table4[[#This Row],[Strength of Win]]-0)^2))</f>
        <v/>
      </c>
      <c r="P1195" s="11"/>
    </row>
    <row r="1196" spans="4:16" x14ac:dyDescent="0.2">
      <c r="D1196" s="1">
        <v>46114</v>
      </c>
      <c r="E1196" s="2">
        <v>0.9375</v>
      </c>
      <c r="F1196" t="s">
        <v>13</v>
      </c>
      <c r="G1196">
        <f>VLOOKUP(Table4[[#This Row],[Home]],'NHL Model'!$A$6:$B$38,2,FALSE)</f>
        <v>-0.59069689888466137</v>
      </c>
      <c r="H1196" t="s">
        <v>29</v>
      </c>
      <c r="I1196">
        <f>VLOOKUP(Table4[[#This Row],[Visitor]],'NHL Model'!$A$6:$B$38,2,FALSE)</f>
        <v>-0.82056481120798741</v>
      </c>
      <c r="J1196">
        <f>($B$1+Table4[[#This Row],[Home Differential]])-Table4[[#This Row],[Away Differential]]</f>
        <v>0.35947489813485012</v>
      </c>
      <c r="K1196" t="str">
        <f>IF(Table4[[#This Row],[HomeIce Differential]]&gt;0,Table4[[#This Row],[Home]],Table4[[#This Row],[Visitor]])</f>
        <v>Los Angeles Kings</v>
      </c>
      <c r="L11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0.58036682611077262</v>
      </c>
      <c r="M1196" t="str">
        <f>IF(OR((NHL2025_26Results[[#This Row],[Winning Team]]="")),"-",IF(Table4[[#This Row],[Predicted Winner]]=NHL2025_26Results[[#This Row],[Winning Team]],"YES","NO"))</f>
        <v>-</v>
      </c>
      <c r="N1196" t="str">
        <f>IF(Table4[[#This Row],[Adjusted Correct]]="-", "",IF(Table4[[#This Row],[Adjusted Correct]]="YES",(Table4[[#This Row],[Strength of Win]]-1)^2,(Table4[[#This Row],[Strength of Win]]-0)^2))</f>
        <v/>
      </c>
      <c r="P1196" s="11"/>
    </row>
    <row r="1197" spans="4:16" x14ac:dyDescent="0.2">
      <c r="D1197" s="1">
        <v>46114</v>
      </c>
      <c r="E1197" s="2">
        <v>0.83333333333333337</v>
      </c>
      <c r="F1197" t="s">
        <v>34</v>
      </c>
      <c r="G1197">
        <f>VLOOKUP(Table4[[#This Row],[Home]],'NHL Model'!$A$6:$B$38,2,FALSE)</f>
        <v>6.0485283743665949E-2</v>
      </c>
      <c r="H1197" t="s">
        <v>38</v>
      </c>
      <c r="I1197">
        <f>VLOOKUP(Table4[[#This Row],[Visitor]],'NHL Model'!$A$6:$B$38,2,FALSE)</f>
        <v>-1.3920033028857945</v>
      </c>
      <c r="J1197">
        <f>($B$1+Table4[[#This Row],[Home Differential]])-Table4[[#This Row],[Away Differential]]</f>
        <v>1.5820955724409846</v>
      </c>
      <c r="K1197" t="str">
        <f>IF(Table4[[#This Row],[HomeIce Differential]]&gt;0,Table4[[#This Row],[Home]],Table4[[#This Row],[Visitor]])</f>
        <v>Minnesota Wild</v>
      </c>
      <c r="L11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0.72960768046372915</v>
      </c>
      <c r="M1197" t="str">
        <f>IF(OR((NHL2025_26Results[[#This Row],[Winning Team]]="")),"-",IF(Table4[[#This Row],[Predicted Winner]]=NHL2025_26Results[[#This Row],[Winning Team]],"YES","NO"))</f>
        <v>-</v>
      </c>
      <c r="N1197" t="str">
        <f>IF(Table4[[#This Row],[Adjusted Correct]]="-", "",IF(Table4[[#This Row],[Adjusted Correct]]="YES",(Table4[[#This Row],[Strength of Win]]-1)^2,(Table4[[#This Row],[Strength of Win]]-0)^2))</f>
        <v/>
      </c>
      <c r="P1197" s="11"/>
    </row>
    <row r="1198" spans="4:16" x14ac:dyDescent="0.2">
      <c r="D1198" s="1">
        <v>46114</v>
      </c>
      <c r="E1198" s="2">
        <v>0.8125</v>
      </c>
      <c r="F1198" t="s">
        <v>24</v>
      </c>
      <c r="G1198">
        <f>VLOOKUP(Table4[[#This Row],[Home]],'NHL Model'!$A$6:$B$38,2,FALSE)</f>
        <v>-0.74510803532792402</v>
      </c>
      <c r="H1198" t="s">
        <v>22</v>
      </c>
      <c r="I1198">
        <f>VLOOKUP(Table4[[#This Row],[Visitor]],'NHL Model'!$A$6:$B$38,2,FALSE)</f>
        <v>-0.11977593183651415</v>
      </c>
      <c r="J1198">
        <f>($B$1+Table4[[#This Row],[Home Differential]])-Table4[[#This Row],[Away Differential]]</f>
        <v>-0.49572511767988581</v>
      </c>
      <c r="K1198" t="str">
        <f>IF(Table4[[#This Row],[HomeIce Differential]]&gt;0,Table4[[#This Row],[Home]],Table4[[#This Row],[Visitor]])</f>
        <v>Washington Capitals</v>
      </c>
      <c r="L11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0.51566689003308241</v>
      </c>
      <c r="M1198" t="str">
        <f>IF(OR((NHL2025_26Results[[#This Row],[Winning Team]]="")),"-",IF(Table4[[#This Row],[Predicted Winner]]=NHL2025_26Results[[#This Row],[Winning Team]],"YES","NO"))</f>
        <v>-</v>
      </c>
      <c r="N1198" t="str">
        <f>IF(Table4[[#This Row],[Adjusted Correct]]="-", "",IF(Table4[[#This Row],[Adjusted Correct]]="YES",(Table4[[#This Row],[Strength of Win]]-1)^2,(Table4[[#This Row],[Strength of Win]]-0)^2))</f>
        <v/>
      </c>
      <c r="P1198" s="11"/>
    </row>
    <row r="1199" spans="4:16" x14ac:dyDescent="0.2">
      <c r="D1199" s="1">
        <v>46114</v>
      </c>
      <c r="E1199" s="2">
        <v>0.79166666666666663</v>
      </c>
      <c r="F1199" t="s">
        <v>15</v>
      </c>
      <c r="G1199">
        <f>VLOOKUP(Table4[[#This Row],[Home]],'NHL Model'!$A$6:$B$38,2,FALSE)</f>
        <v>-0.73651915476403329</v>
      </c>
      <c r="H1199" t="s">
        <v>18</v>
      </c>
      <c r="I1199">
        <f>VLOOKUP(Table4[[#This Row],[Visitor]],'NHL Model'!$A$6:$B$38,2,FALSE)</f>
        <v>-8.6274676766085606E-2</v>
      </c>
      <c r="J1199">
        <f>($B$1+Table4[[#This Row],[Home Differential]])-Table4[[#This Row],[Away Differential]]</f>
        <v>-0.52063749218642363</v>
      </c>
      <c r="K1199" t="str">
        <f>IF(Table4[[#This Row],[HomeIce Differential]]&gt;0,Table4[[#This Row],[Home]],Table4[[#This Row],[Visitor]])</f>
        <v>Montreal Canadiens</v>
      </c>
      <c r="L11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0.56383394836698386</v>
      </c>
      <c r="M1199" t="str">
        <f>IF(OR((NHL2025_26Results[[#This Row],[Winning Team]]="")),"-",IF(Table4[[#This Row],[Predicted Winner]]=NHL2025_26Results[[#This Row],[Winning Team]],"YES","NO"))</f>
        <v>-</v>
      </c>
      <c r="N1199" t="str">
        <f>IF(Table4[[#This Row],[Adjusted Correct]]="-", "",IF(Table4[[#This Row],[Adjusted Correct]]="YES",(Table4[[#This Row],[Strength of Win]]-1)^2,(Table4[[#This Row],[Strength of Win]]-0)^2))</f>
        <v/>
      </c>
      <c r="P1199" s="11"/>
    </row>
    <row r="1200" spans="4:16" x14ac:dyDescent="0.2">
      <c r="D1200" s="1">
        <v>46114</v>
      </c>
      <c r="E1200" s="2">
        <v>0.79166666666666663</v>
      </c>
      <c r="F1200" t="s">
        <v>36</v>
      </c>
      <c r="G1200">
        <f>VLOOKUP(Table4[[#This Row],[Home]],'NHL Model'!$A$6:$B$38,2,FALSE)</f>
        <v>-0.19010748264223354</v>
      </c>
      <c r="H1200" t="s">
        <v>23</v>
      </c>
      <c r="I1200">
        <f>VLOOKUP(Table4[[#This Row],[Visitor]],'NHL Model'!$A$6:$B$38,2,FALSE)</f>
        <v>8.1543966060426461E-3</v>
      </c>
      <c r="J1200">
        <f>($B$1+Table4[[#This Row],[Home Differential]])-Table4[[#This Row],[Away Differential]]</f>
        <v>-6.8654893436752074E-2</v>
      </c>
      <c r="K1200" t="str">
        <f>IF(Table4[[#This Row],[HomeIce Differential]]&gt;0,Table4[[#This Row],[Home]],Table4[[#This Row],[Visitor]])</f>
        <v>Buffalo Sabres</v>
      </c>
      <c r="L12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0.5046039333549458</v>
      </c>
      <c r="M1200" t="str">
        <f>IF(OR((NHL2025_26Results[[#This Row],[Winning Team]]="")),"-",IF(Table4[[#This Row],[Predicted Winner]]=NHL2025_26Results[[#This Row],[Winning Team]],"YES","NO"))</f>
        <v>-</v>
      </c>
      <c r="N1200" t="str">
        <f>IF(Table4[[#This Row],[Adjusted Correct]]="-", "",IF(Table4[[#This Row],[Adjusted Correct]]="YES",(Table4[[#This Row],[Strength of Win]]-1)^2,(Table4[[#This Row],[Strength of Win]]-0)^2))</f>
        <v/>
      </c>
      <c r="P1200" s="11"/>
    </row>
    <row r="1201" spans="4:16" x14ac:dyDescent="0.2">
      <c r="D1201" s="1">
        <v>46114</v>
      </c>
      <c r="E1201" s="2">
        <v>0.79166666666666663</v>
      </c>
      <c r="F1201" t="s">
        <v>27</v>
      </c>
      <c r="G1201">
        <f>VLOOKUP(Table4[[#This Row],[Home]],'NHL Model'!$A$6:$B$38,2,FALSE)</f>
        <v>-0.55097933929175691</v>
      </c>
      <c r="H1201" t="s">
        <v>26</v>
      </c>
      <c r="I1201">
        <f>VLOOKUP(Table4[[#This Row],[Visitor]],'NHL Model'!$A$6:$B$38,2,FALSE)</f>
        <v>-0.33113778518110382</v>
      </c>
      <c r="J1201">
        <f>($B$1+Table4[[#This Row],[Home Differential]])-Table4[[#This Row],[Away Differential]]</f>
        <v>-9.0234568299129014E-2</v>
      </c>
      <c r="K1201" t="str">
        <f>IF(Table4[[#This Row],[HomeIce Differential]]&gt;0,Table4[[#This Row],[Home]],Table4[[#This Row],[Visitor]])</f>
        <v>Detroit Red Wings</v>
      </c>
      <c r="L12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0.50814075666602432</v>
      </c>
      <c r="M1201" t="str">
        <f>IF(OR((NHL2025_26Results[[#This Row],[Winning Team]]="")),"-",IF(Table4[[#This Row],[Predicted Winner]]=NHL2025_26Results[[#This Row],[Winning Team]],"YES","NO"))</f>
        <v>-</v>
      </c>
      <c r="N1201" t="str">
        <f>IF(Table4[[#This Row],[Adjusted Correct]]="-", "",IF(Table4[[#This Row],[Adjusted Correct]]="YES",(Table4[[#This Row],[Strength of Win]]-1)^2,(Table4[[#This Row],[Strength of Win]]-0)^2))</f>
        <v/>
      </c>
      <c r="P1201" s="11"/>
    </row>
    <row r="1202" spans="4:16" x14ac:dyDescent="0.2">
      <c r="D1202" s="1">
        <v>46114</v>
      </c>
      <c r="E1202" s="2">
        <v>0.91666666666666663</v>
      </c>
      <c r="F1202" t="s">
        <v>32</v>
      </c>
      <c r="G1202">
        <f>VLOOKUP(Table4[[#This Row],[Home]],'NHL Model'!$A$6:$B$38,2,FALSE)</f>
        <v>-0.48236715437805205</v>
      </c>
      <c r="H1202" t="s">
        <v>55</v>
      </c>
      <c r="I1202">
        <f>VLOOKUP(Table4[[#This Row],[Visitor]],'NHL Model'!$A$6:$B$38,2,FALSE)</f>
        <v>8.4094725828611647E-2</v>
      </c>
      <c r="J1202">
        <f>($B$1+Table4[[#This Row],[Home Differential]])-Table4[[#This Row],[Away Differential]]</f>
        <v>-0.43685489439513958</v>
      </c>
      <c r="K1202" t="str">
        <f>IF(Table4[[#This Row],[HomeIce Differential]]&gt;0,Table4[[#This Row],[Home]],Table4[[#This Row],[Visitor]])</f>
        <v>Utah Mammoth</v>
      </c>
      <c r="L12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0.50905612505681352</v>
      </c>
      <c r="M1202" t="str">
        <f>IF(OR((NHL2025_26Results[[#This Row],[Winning Team]]="")),"-",IF(Table4[[#This Row],[Predicted Winner]]=NHL2025_26Results[[#This Row],[Winning Team]],"YES","NO"))</f>
        <v>-</v>
      </c>
      <c r="N1202" t="str">
        <f>IF(Table4[[#This Row],[Adjusted Correct]]="-", "",IF(Table4[[#This Row],[Adjusted Correct]]="YES",(Table4[[#This Row],[Strength of Win]]-1)^2,(Table4[[#This Row],[Strength of Win]]-0)^2))</f>
        <v/>
      </c>
      <c r="P1202" s="11"/>
    </row>
    <row r="1203" spans="4:16" x14ac:dyDescent="0.2">
      <c r="D1203" s="1">
        <v>46114</v>
      </c>
      <c r="E1203" s="2">
        <v>0.91666666666666663</v>
      </c>
      <c r="F1203" t="s">
        <v>33</v>
      </c>
      <c r="G1203">
        <f>VLOOKUP(Table4[[#This Row],[Home]],'NHL Model'!$A$6:$B$38,2,FALSE)</f>
        <v>-0.65236582493376272</v>
      </c>
      <c r="H1203" t="s">
        <v>19</v>
      </c>
      <c r="I1203">
        <f>VLOOKUP(Table4[[#This Row],[Visitor]],'NHL Model'!$A$6:$B$38,2,FALSE)</f>
        <v>-0.44228056828684137</v>
      </c>
      <c r="J1203">
        <f>($B$1+Table4[[#This Row],[Home Differential]])-Table4[[#This Row],[Away Differential]]</f>
        <v>-8.047827083539727E-2</v>
      </c>
      <c r="K1203" t="str">
        <f>IF(Table4[[#This Row],[HomeIce Differential]]&gt;0,Table4[[#This Row],[Home]],Table4[[#This Row],[Visitor]])</f>
        <v>Toronto Maple Leafs</v>
      </c>
      <c r="L12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0.46903721617660621</v>
      </c>
      <c r="M1203" t="str">
        <f>IF(OR((NHL2025_26Results[[#This Row],[Winning Team]]="")),"-",IF(Table4[[#This Row],[Predicted Winner]]=NHL2025_26Results[[#This Row],[Winning Team]],"YES","NO"))</f>
        <v>-</v>
      </c>
      <c r="N1203" t="str">
        <f>IF(Table4[[#This Row],[Adjusted Correct]]="-", "",IF(Table4[[#This Row],[Adjusted Correct]]="YES",(Table4[[#This Row],[Strength of Win]]-1)^2,(Table4[[#This Row],[Strength of Win]]-0)^2))</f>
        <v/>
      </c>
      <c r="P1203" s="11"/>
    </row>
    <row r="1204" spans="4:16" x14ac:dyDescent="0.2">
      <c r="D1204" s="1">
        <v>46114</v>
      </c>
      <c r="E1204" s="2">
        <v>0.79166666666666663</v>
      </c>
      <c r="F1204" t="s">
        <v>37</v>
      </c>
      <c r="G1204">
        <f>VLOOKUP(Table4[[#This Row],[Home]],'NHL Model'!$A$6:$B$38,2,FALSE)</f>
        <v>0.72108184732572844</v>
      </c>
      <c r="H1204" t="s">
        <v>14</v>
      </c>
      <c r="I1204">
        <f>VLOOKUP(Table4[[#This Row],[Visitor]],'NHL Model'!$A$6:$B$38,2,FALSE)</f>
        <v>3.6349513460996066E-5</v>
      </c>
      <c r="J1204">
        <f>($B$1+Table4[[#This Row],[Home Differential]])-Table4[[#This Row],[Away Differential]]</f>
        <v>0.85065248362379153</v>
      </c>
      <c r="K1204" t="str">
        <f>IF(Table4[[#This Row],[HomeIce Differential]]&gt;0,Table4[[#This Row],[Home]],Table4[[#This Row],[Visitor]])</f>
        <v>Tampa Bay Lightning</v>
      </c>
      <c r="L12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0.63838019902964116</v>
      </c>
      <c r="M1204" t="str">
        <f>IF(OR((NHL2025_26Results[[#This Row],[Winning Team]]="")),"-",IF(Table4[[#This Row],[Predicted Winner]]=NHL2025_26Results[[#This Row],[Winning Team]],"YES","NO"))</f>
        <v>-</v>
      </c>
      <c r="N1204" t="str">
        <f>IF(Table4[[#This Row],[Adjusted Correct]]="-", "",IF(Table4[[#This Row],[Adjusted Correct]]="YES",(Table4[[#This Row],[Strength of Win]]-1)^2,(Table4[[#This Row],[Strength of Win]]-0)^2))</f>
        <v/>
      </c>
      <c r="P1204" s="11"/>
    </row>
    <row r="1205" spans="4:16" x14ac:dyDescent="0.2">
      <c r="D1205" s="1">
        <v>46114</v>
      </c>
      <c r="E1205" s="2">
        <v>0.91666666666666663</v>
      </c>
      <c r="F1205" t="s">
        <v>20</v>
      </c>
      <c r="G1205">
        <f>VLOOKUP(Table4[[#This Row],[Home]],'NHL Model'!$A$6:$B$38,2,FALSE)</f>
        <v>-0.16296463421387539</v>
      </c>
      <c r="H1205" t="s">
        <v>16</v>
      </c>
      <c r="I1205">
        <f>VLOOKUP(Table4[[#This Row],[Visitor]],'NHL Model'!$A$6:$B$38,2,FALSE)</f>
        <v>-0.89031221864884547</v>
      </c>
      <c r="J1205">
        <f>($B$1+Table4[[#This Row],[Home Differential]])-Table4[[#This Row],[Away Differential]]</f>
        <v>0.85695457024649424</v>
      </c>
      <c r="K1205" t="str">
        <f>IF(Table4[[#This Row],[HomeIce Differential]]&gt;0,Table4[[#This Row],[Home]],Table4[[#This Row],[Visitor]])</f>
        <v>Vegas Golden Knights</v>
      </c>
      <c r="L12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0.63623074184444262</v>
      </c>
      <c r="M1205" t="str">
        <f>IF(OR((NHL2025_26Results[[#This Row],[Winning Team]]="")),"-",IF(Table4[[#This Row],[Predicted Winner]]=NHL2025_26Results[[#This Row],[Winning Team]],"YES","NO"))</f>
        <v>-</v>
      </c>
      <c r="N1205" t="str">
        <f>IF(Table4[[#This Row],[Adjusted Correct]]="-", "",IF(Table4[[#This Row],[Adjusted Correct]]="YES",(Table4[[#This Row],[Strength of Win]]-1)^2,(Table4[[#This Row],[Strength of Win]]-0)^2))</f>
        <v/>
      </c>
      <c r="P1205" s="11"/>
    </row>
    <row r="1206" spans="4:16" x14ac:dyDescent="0.2">
      <c r="D1206" s="1">
        <v>46115</v>
      </c>
      <c r="E1206" s="2">
        <v>0.91666666666666663</v>
      </c>
      <c r="F1206" t="s">
        <v>31</v>
      </c>
      <c r="G1206">
        <f>VLOOKUP(Table4[[#This Row],[Home]],'NHL Model'!$A$6:$B$38,2,FALSE)</f>
        <v>-0.46360583111358089</v>
      </c>
      <c r="H1206" t="s">
        <v>35</v>
      </c>
      <c r="I1206">
        <f>VLOOKUP(Table4[[#This Row],[Visitor]],'NHL Model'!$A$6:$B$38,2,FALSE)</f>
        <v>-1.3128572733047907</v>
      </c>
      <c r="J1206">
        <f>($B$1+Table4[[#This Row],[Home Differential]])-Table4[[#This Row],[Away Differential]]</f>
        <v>0.97885842800273393</v>
      </c>
      <c r="K1206" t="str">
        <f>IF(Table4[[#This Row],[HomeIce Differential]]&gt;0,Table4[[#This Row],[Home]],Table4[[#This Row],[Visitor]])</f>
        <v>Anaheim Ducks</v>
      </c>
      <c r="L12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0.70163577366705088</v>
      </c>
      <c r="M1206" t="str">
        <f>IF(OR((NHL2025_26Results[[#This Row],[Winning Team]]="")),"-",IF(Table4[[#This Row],[Predicted Winner]]=NHL2025_26Results[[#This Row],[Winning Team]],"YES","NO"))</f>
        <v>-</v>
      </c>
      <c r="N1206" t="str">
        <f>IF(Table4[[#This Row],[Adjusted Correct]]="-", "",IF(Table4[[#This Row],[Adjusted Correct]]="YES",(Table4[[#This Row],[Strength of Win]]-1)^2,(Table4[[#This Row],[Strength of Win]]-0)^2))</f>
        <v/>
      </c>
      <c r="P1206" s="11"/>
    </row>
    <row r="1207" spans="4:16" x14ac:dyDescent="0.2">
      <c r="D1207" s="1">
        <v>46115</v>
      </c>
      <c r="E1207" s="2">
        <v>0.79166666666666663</v>
      </c>
      <c r="F1207" t="s">
        <v>30</v>
      </c>
      <c r="G1207">
        <f>VLOOKUP(Table4[[#This Row],[Home]],'NHL Model'!$A$6:$B$38,2,FALSE)</f>
        <v>-0.18630462558229716</v>
      </c>
      <c r="H1207" t="s">
        <v>27</v>
      </c>
      <c r="I1207">
        <f>VLOOKUP(Table4[[#This Row],[Visitor]],'NHL Model'!$A$6:$B$38,2,FALSE)</f>
        <v>-0.55097933929175691</v>
      </c>
      <c r="J1207">
        <f>($B$1+Table4[[#This Row],[Home Differential]])-Table4[[#This Row],[Away Differential]]</f>
        <v>0.49428169952098389</v>
      </c>
      <c r="K1207" t="str">
        <f>IF(Table4[[#This Row],[HomeIce Differential]]&gt;0,Table4[[#This Row],[Home]],Table4[[#This Row],[Visitor]])</f>
        <v>New York Islanders</v>
      </c>
      <c r="L12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0.60952142352610161</v>
      </c>
      <c r="M1207" t="str">
        <f>IF(OR((NHL2025_26Results[[#This Row],[Winning Team]]="")),"-",IF(Table4[[#This Row],[Predicted Winner]]=NHL2025_26Results[[#This Row],[Winning Team]],"YES","NO"))</f>
        <v>-</v>
      </c>
      <c r="N1207" t="str">
        <f>IF(Table4[[#This Row],[Adjusted Correct]]="-", "",IF(Table4[[#This Row],[Adjusted Correct]]="YES",(Table4[[#This Row],[Strength of Win]]-1)^2,(Table4[[#This Row],[Strength of Win]]-0)^2))</f>
        <v/>
      </c>
      <c r="P1207" s="11"/>
    </row>
    <row r="1208" spans="4:16" x14ac:dyDescent="0.2">
      <c r="D1208" s="1">
        <v>46116</v>
      </c>
      <c r="E1208" s="2">
        <v>0.91666666666666663</v>
      </c>
      <c r="F1208" t="s">
        <v>31</v>
      </c>
      <c r="G1208">
        <f>VLOOKUP(Table4[[#This Row],[Home]],'NHL Model'!$A$6:$B$38,2,FALSE)</f>
        <v>-0.46360583111358089</v>
      </c>
      <c r="H1208" t="s">
        <v>16</v>
      </c>
      <c r="I1208">
        <f>VLOOKUP(Table4[[#This Row],[Visitor]],'NHL Model'!$A$6:$B$38,2,FALSE)</f>
        <v>-0.89031221864884547</v>
      </c>
      <c r="J1208">
        <f>($B$1+Table4[[#This Row],[Home Differential]])-Table4[[#This Row],[Away Differential]]</f>
        <v>0.55631337334678865</v>
      </c>
      <c r="K1208" t="str">
        <f>IF(Table4[[#This Row],[HomeIce Differential]]&gt;0,Table4[[#This Row],[Home]],Table4[[#This Row],[Visitor]])</f>
        <v>Anaheim Ducks</v>
      </c>
      <c r="L12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0.65418655583914875</v>
      </c>
      <c r="M1208" t="str">
        <f>IF(OR((NHL2025_26Results[[#This Row],[Winning Team]]="")),"-",IF(Table4[[#This Row],[Predicted Winner]]=NHL2025_26Results[[#This Row],[Winning Team]],"YES","NO"))</f>
        <v>-</v>
      </c>
      <c r="N1208" t="str">
        <f>IF(Table4[[#This Row],[Adjusted Correct]]="-", "",IF(Table4[[#This Row],[Adjusted Correct]]="YES",(Table4[[#This Row],[Strength of Win]]-1)^2,(Table4[[#This Row],[Strength of Win]]-0)^2))</f>
        <v/>
      </c>
      <c r="P1208" s="11"/>
    </row>
    <row r="1209" spans="4:16" x14ac:dyDescent="0.2">
      <c r="D1209" s="1">
        <v>46116</v>
      </c>
      <c r="E1209" s="2">
        <v>0.79166666666666663</v>
      </c>
      <c r="F1209" t="s">
        <v>25</v>
      </c>
      <c r="G1209">
        <f>VLOOKUP(Table4[[#This Row],[Home]],'NHL Model'!$A$6:$B$38,2,FALSE)</f>
        <v>0.2324942014830165</v>
      </c>
      <c r="H1209" t="s">
        <v>30</v>
      </c>
      <c r="I1209">
        <f>VLOOKUP(Table4[[#This Row],[Visitor]],'NHL Model'!$A$6:$B$38,2,FALSE)</f>
        <v>-0.18630462558229716</v>
      </c>
      <c r="J1209">
        <f>($B$1+Table4[[#This Row],[Home Differential]])-Table4[[#This Row],[Away Differential]]</f>
        <v>0.54840581287683776</v>
      </c>
      <c r="K1209" t="str">
        <f>IF(Table4[[#This Row],[HomeIce Differential]]&gt;0,Table4[[#This Row],[Home]],Table4[[#This Row],[Visitor]])</f>
        <v>Carolina Hurricanes</v>
      </c>
      <c r="L12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0.62108527326886631</v>
      </c>
      <c r="M1209" t="str">
        <f>IF(OR((NHL2025_26Results[[#This Row],[Winning Team]]="")),"-",IF(Table4[[#This Row],[Predicted Winner]]=NHL2025_26Results[[#This Row],[Winning Team]],"YES","NO"))</f>
        <v>-</v>
      </c>
      <c r="N1209" t="str">
        <f>IF(Table4[[#This Row],[Adjusted Correct]]="-", "",IF(Table4[[#This Row],[Adjusted Correct]]="YES",(Table4[[#This Row],[Strength of Win]]-1)^2,(Table4[[#This Row],[Strength of Win]]-0)^2))</f>
        <v/>
      </c>
      <c r="P1209" s="11"/>
    </row>
    <row r="1210" spans="4:16" x14ac:dyDescent="0.2">
      <c r="D1210" s="1">
        <v>46116</v>
      </c>
      <c r="E1210" s="2">
        <v>0.79166666666666663</v>
      </c>
      <c r="F1210" t="s">
        <v>28</v>
      </c>
      <c r="G1210">
        <f>VLOOKUP(Table4[[#This Row],[Home]],'NHL Model'!$A$6:$B$38,2,FALSE)</f>
        <v>-0.28156479873410767</v>
      </c>
      <c r="H1210" t="s">
        <v>40</v>
      </c>
      <c r="I1210">
        <f>VLOOKUP(Table4[[#This Row],[Visitor]],'NHL Model'!$A$6:$B$38,2,FALSE)</f>
        <v>-0.58845147248022256</v>
      </c>
      <c r="J1210">
        <f>($B$1+Table4[[#This Row],[Home Differential]])-Table4[[#This Row],[Away Differential]]</f>
        <v>0.43649365955763897</v>
      </c>
      <c r="K1210" t="str">
        <f>IF(Table4[[#This Row],[HomeIce Differential]]&gt;0,Table4[[#This Row],[Home]],Table4[[#This Row],[Visitor]])</f>
        <v>Columbus Blue Jackets</v>
      </c>
      <c r="L12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0.5960615124602634</v>
      </c>
      <c r="M1210" t="str">
        <f>IF(OR((NHL2025_26Results[[#This Row],[Winning Team]]="")),"-",IF(Table4[[#This Row],[Predicted Winner]]=NHL2025_26Results[[#This Row],[Winning Team]],"YES","NO"))</f>
        <v>-</v>
      </c>
      <c r="N1210" t="str">
        <f>IF(Table4[[#This Row],[Adjusted Correct]]="-", "",IF(Table4[[#This Row],[Adjusted Correct]]="YES",(Table4[[#This Row],[Strength of Win]]-1)^2,(Table4[[#This Row],[Strength of Win]]-0)^2))</f>
        <v/>
      </c>
      <c r="P1210" s="11"/>
    </row>
    <row r="1211" spans="4:16" x14ac:dyDescent="0.2">
      <c r="D1211" s="1">
        <v>46116</v>
      </c>
      <c r="E1211" s="2">
        <v>0.625</v>
      </c>
      <c r="F1211" t="s">
        <v>39</v>
      </c>
      <c r="G1211">
        <f>VLOOKUP(Table4[[#This Row],[Home]],'NHL Model'!$A$6:$B$38,2,FALSE)</f>
        <v>0.21708030788125537</v>
      </c>
      <c r="H1211" t="s">
        <v>12</v>
      </c>
      <c r="I1211">
        <f>VLOOKUP(Table4[[#This Row],[Visitor]],'NHL Model'!$A$6:$B$38,2,FALSE)</f>
        <v>0.99866683349964291</v>
      </c>
      <c r="J1211">
        <f>($B$1+Table4[[#This Row],[Home Differential]])-Table4[[#This Row],[Away Differential]]</f>
        <v>-0.65197953980686341</v>
      </c>
      <c r="K1211" t="str">
        <f>IF(Table4[[#This Row],[HomeIce Differential]]&gt;0,Table4[[#This Row],[Home]],Table4[[#This Row],[Visitor]])</f>
        <v>Colorado Avalanche</v>
      </c>
      <c r="L12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0.56412239411251053</v>
      </c>
      <c r="M1211" t="str">
        <f>IF(OR((NHL2025_26Results[[#This Row],[Winning Team]]="")),"-",IF(Table4[[#This Row],[Predicted Winner]]=NHL2025_26Results[[#This Row],[Winning Team]],"YES","NO"))</f>
        <v>-</v>
      </c>
      <c r="N1211" t="str">
        <f>IF(Table4[[#This Row],[Adjusted Correct]]="-", "",IF(Table4[[#This Row],[Adjusted Correct]]="YES",(Table4[[#This Row],[Strength of Win]]-1)^2,(Table4[[#This Row],[Strength of Win]]-0)^2))</f>
        <v/>
      </c>
      <c r="P1211" s="11"/>
    </row>
    <row r="1212" spans="4:16" x14ac:dyDescent="0.2">
      <c r="D1212" s="1">
        <v>46116</v>
      </c>
      <c r="E1212" s="2">
        <v>0.91666666666666663</v>
      </c>
      <c r="F1212" t="s">
        <v>17</v>
      </c>
      <c r="G1212">
        <f>VLOOKUP(Table4[[#This Row],[Home]],'NHL Model'!$A$6:$B$38,2,FALSE)</f>
        <v>-0.36462594951491906</v>
      </c>
      <c r="H1212" t="s">
        <v>20</v>
      </c>
      <c r="I1212">
        <f>VLOOKUP(Table4[[#This Row],[Visitor]],'NHL Model'!$A$6:$B$38,2,FALSE)</f>
        <v>-0.16296463421387539</v>
      </c>
      <c r="J1212">
        <f>($B$1+Table4[[#This Row],[Home Differential]])-Table4[[#This Row],[Away Differential]]</f>
        <v>-7.2054329489519564E-2</v>
      </c>
      <c r="K1212" t="str">
        <f>IF(Table4[[#This Row],[HomeIce Differential]]&gt;0,Table4[[#This Row],[Home]],Table4[[#This Row],[Visitor]])</f>
        <v>Vegas Golden Knights</v>
      </c>
      <c r="L12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0.48010744264630018</v>
      </c>
      <c r="M1212" t="str">
        <f>IF(OR((NHL2025_26Results[[#This Row],[Winning Team]]="")),"-",IF(Table4[[#This Row],[Predicted Winner]]=NHL2025_26Results[[#This Row],[Winning Team]],"YES","NO"))</f>
        <v>-</v>
      </c>
      <c r="N1212" t="str">
        <f>IF(Table4[[#This Row],[Adjusted Correct]]="-", "",IF(Table4[[#This Row],[Adjusted Correct]]="YES",(Table4[[#This Row],[Strength of Win]]-1)^2,(Table4[[#This Row],[Strength of Win]]-0)^2))</f>
        <v/>
      </c>
      <c r="P1212" s="11"/>
    </row>
    <row r="1213" spans="4:16" x14ac:dyDescent="0.2">
      <c r="D1213" s="1">
        <v>46116</v>
      </c>
      <c r="E1213" s="2">
        <v>0.79166666666666663</v>
      </c>
      <c r="F1213" t="s">
        <v>13</v>
      </c>
      <c r="G1213">
        <f>VLOOKUP(Table4[[#This Row],[Home]],'NHL Model'!$A$6:$B$38,2,FALSE)</f>
        <v>-0.59069689888466137</v>
      </c>
      <c r="H1213" t="s">
        <v>19</v>
      </c>
      <c r="I1213">
        <f>VLOOKUP(Table4[[#This Row],[Visitor]],'NHL Model'!$A$6:$B$38,2,FALSE)</f>
        <v>-0.44228056828684137</v>
      </c>
      <c r="J1213">
        <f>($B$1+Table4[[#This Row],[Home Differential]])-Table4[[#This Row],[Away Differential]]</f>
        <v>-1.8809344786295923E-2</v>
      </c>
      <c r="K1213" t="str">
        <f>IF(Table4[[#This Row],[HomeIce Differential]]&gt;0,Table4[[#This Row],[Home]],Table4[[#This Row],[Visitor]])</f>
        <v>Toronto Maple Leafs</v>
      </c>
      <c r="L12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0.46211217404660382</v>
      </c>
      <c r="M1213" t="str">
        <f>IF(OR((NHL2025_26Results[[#This Row],[Winning Team]]="")),"-",IF(Table4[[#This Row],[Predicted Winner]]=NHL2025_26Results[[#This Row],[Winning Team]],"YES","NO"))</f>
        <v>-</v>
      </c>
      <c r="N1213" t="str">
        <f>IF(Table4[[#This Row],[Adjusted Correct]]="-", "",IF(Table4[[#This Row],[Adjusted Correct]]="YES",(Table4[[#This Row],[Strength of Win]]-1)^2,(Table4[[#This Row],[Strength of Win]]-0)^2))</f>
        <v/>
      </c>
      <c r="P1213" s="11"/>
    </row>
    <row r="1214" spans="4:16" x14ac:dyDescent="0.2">
      <c r="D1214" s="1">
        <v>46116</v>
      </c>
      <c r="E1214" s="2">
        <v>0.79166666666666663</v>
      </c>
      <c r="F1214" t="s">
        <v>24</v>
      </c>
      <c r="G1214">
        <f>VLOOKUP(Table4[[#This Row],[Home]],'NHL Model'!$A$6:$B$38,2,FALSE)</f>
        <v>-0.74510803532792402</v>
      </c>
      <c r="H1214" t="s">
        <v>18</v>
      </c>
      <c r="I1214">
        <f>VLOOKUP(Table4[[#This Row],[Visitor]],'NHL Model'!$A$6:$B$38,2,FALSE)</f>
        <v>-8.6274676766085606E-2</v>
      </c>
      <c r="J1214">
        <f>($B$1+Table4[[#This Row],[Home Differential]])-Table4[[#This Row],[Away Differential]]</f>
        <v>-0.52922637275031437</v>
      </c>
      <c r="K1214" t="str">
        <f>IF(Table4[[#This Row],[HomeIce Differential]]&gt;0,Table4[[#This Row],[Home]],Table4[[#This Row],[Visitor]])</f>
        <v>Montreal Canadiens</v>
      </c>
      <c r="L121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0.56479842697177007</v>
      </c>
      <c r="M1214" t="str">
        <f>IF(OR((NHL2025_26Results[[#This Row],[Winning Team]]="")),"-",IF(Table4[[#This Row],[Predicted Winner]]=NHL2025_26Results[[#This Row],[Winning Team]],"YES","NO"))</f>
        <v>-</v>
      </c>
      <c r="N1214" t="str">
        <f>IF(Table4[[#This Row],[Adjusted Correct]]="-", "",IF(Table4[[#This Row],[Adjusted Correct]]="YES",(Table4[[#This Row],[Strength of Win]]-1)^2,(Table4[[#This Row],[Strength of Win]]-0)^2))</f>
        <v/>
      </c>
      <c r="P1214" s="11"/>
    </row>
    <row r="1215" spans="4:16" x14ac:dyDescent="0.2">
      <c r="D1215" s="1">
        <v>46116</v>
      </c>
      <c r="E1215" s="2">
        <v>0.52083333333333337</v>
      </c>
      <c r="F1215" t="s">
        <v>15</v>
      </c>
      <c r="G1215">
        <f>VLOOKUP(Table4[[#This Row],[Home]],'NHL Model'!$A$6:$B$38,2,FALSE)</f>
        <v>-0.73651915476403329</v>
      </c>
      <c r="H1215" t="s">
        <v>26</v>
      </c>
      <c r="I1215">
        <f>VLOOKUP(Table4[[#This Row],[Visitor]],'NHL Model'!$A$6:$B$38,2,FALSE)</f>
        <v>-0.33113778518110382</v>
      </c>
      <c r="J1215">
        <f>($B$1+Table4[[#This Row],[Home Differential]])-Table4[[#This Row],[Away Differential]]</f>
        <v>-0.2757743837714054</v>
      </c>
      <c r="K1215" t="str">
        <f>IF(Table4[[#This Row],[HomeIce Differential]]&gt;0,Table4[[#This Row],[Home]],Table4[[#This Row],[Visitor]])</f>
        <v>Detroit Red Wings</v>
      </c>
      <c r="L121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0.52897573987807767</v>
      </c>
      <c r="M1215" t="str">
        <f>IF(OR((NHL2025_26Results[[#This Row],[Winning Team]]="")),"-",IF(Table4[[#This Row],[Predicted Winner]]=NHL2025_26Results[[#This Row],[Winning Team]],"YES","NO"))</f>
        <v>-</v>
      </c>
      <c r="N1215" t="str">
        <f>IF(Table4[[#This Row],[Adjusted Correct]]="-", "",IF(Table4[[#This Row],[Adjusted Correct]]="YES",(Table4[[#This Row],[Strength of Win]]-1)^2,(Table4[[#This Row],[Strength of Win]]-0)^2))</f>
        <v/>
      </c>
      <c r="P1215" s="11"/>
    </row>
    <row r="1216" spans="4:16" x14ac:dyDescent="0.2">
      <c r="D1216" s="1">
        <v>46116</v>
      </c>
      <c r="E1216" s="2">
        <v>0.54166666666666663</v>
      </c>
      <c r="F1216" t="s">
        <v>36</v>
      </c>
      <c r="G1216">
        <f>VLOOKUP(Table4[[#This Row],[Home]],'NHL Model'!$A$6:$B$38,2,FALSE)</f>
        <v>-0.19010748264223354</v>
      </c>
      <c r="H1216" t="s">
        <v>34</v>
      </c>
      <c r="I1216">
        <f>VLOOKUP(Table4[[#This Row],[Visitor]],'NHL Model'!$A$6:$B$38,2,FALSE)</f>
        <v>6.0485283743665949E-2</v>
      </c>
      <c r="J1216">
        <f>($B$1+Table4[[#This Row],[Home Differential]])-Table4[[#This Row],[Away Differential]]</f>
        <v>-0.12098578057437538</v>
      </c>
      <c r="K1216" t="str">
        <f>IF(Table4[[#This Row],[HomeIce Differential]]&gt;0,Table4[[#This Row],[Home]],Table4[[#This Row],[Visitor]])</f>
        <v>Minnesota Wild</v>
      </c>
      <c r="L121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0.54285121634768507</v>
      </c>
      <c r="M1216" t="str">
        <f>IF(OR((NHL2025_26Results[[#This Row],[Winning Team]]="")),"-",IF(Table4[[#This Row],[Predicted Winner]]=NHL2025_26Results[[#This Row],[Winning Team]],"YES","NO"))</f>
        <v>-</v>
      </c>
      <c r="N1216" t="str">
        <f>IF(Table4[[#This Row],[Adjusted Correct]]="-", "",IF(Table4[[#This Row],[Adjusted Correct]]="YES",(Table4[[#This Row],[Strength of Win]]-1)^2,(Table4[[#This Row],[Strength of Win]]-0)^2))</f>
        <v/>
      </c>
      <c r="P1216" s="11"/>
    </row>
    <row r="1217" spans="4:16" x14ac:dyDescent="0.2">
      <c r="D1217" s="1">
        <v>46116</v>
      </c>
      <c r="E1217" s="2">
        <v>0.70833333333333337</v>
      </c>
      <c r="F1217" t="s">
        <v>14</v>
      </c>
      <c r="G1217">
        <f>VLOOKUP(Table4[[#This Row],[Home]],'NHL Model'!$A$6:$B$38,2,FALSE)</f>
        <v>3.6349513460996066E-5</v>
      </c>
      <c r="H1217" t="s">
        <v>11</v>
      </c>
      <c r="I1217">
        <f>VLOOKUP(Table4[[#This Row],[Visitor]],'NHL Model'!$A$6:$B$38,2,FALSE)</f>
        <v>-0.55695213126481558</v>
      </c>
      <c r="J1217">
        <f>($B$1+Table4[[#This Row],[Home Differential]])-Table4[[#This Row],[Away Differential]]</f>
        <v>0.68659546658980064</v>
      </c>
      <c r="K1217" t="str">
        <f>IF(Table4[[#This Row],[HomeIce Differential]]&gt;0,Table4[[#This Row],[Home]],Table4[[#This Row],[Visitor]])</f>
        <v>Pittsburgh Penguins</v>
      </c>
      <c r="L121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0.57781372621548643</v>
      </c>
      <c r="M1217" t="str">
        <f>IF(OR((NHL2025_26Results[[#This Row],[Winning Team]]="")),"-",IF(Table4[[#This Row],[Predicted Winner]]=NHL2025_26Results[[#This Row],[Winning Team]],"YES","NO"))</f>
        <v>-</v>
      </c>
      <c r="N1217" t="str">
        <f>IF(Table4[[#This Row],[Adjusted Correct]]="-", "",IF(Table4[[#This Row],[Adjusted Correct]]="YES",(Table4[[#This Row],[Strength of Win]]-1)^2,(Table4[[#This Row],[Strength of Win]]-0)^2))</f>
        <v/>
      </c>
      <c r="P1217" s="11"/>
    </row>
    <row r="1218" spans="4:16" x14ac:dyDescent="0.2">
      <c r="D1218" s="1">
        <v>46116</v>
      </c>
      <c r="E1218" s="2">
        <v>0.91666666666666663</v>
      </c>
      <c r="F1218" t="s">
        <v>32</v>
      </c>
      <c r="G1218">
        <f>VLOOKUP(Table4[[#This Row],[Home]],'NHL Model'!$A$6:$B$38,2,FALSE)</f>
        <v>-0.48236715437805205</v>
      </c>
      <c r="H1218" t="s">
        <v>10</v>
      </c>
      <c r="I1218">
        <f>VLOOKUP(Table4[[#This Row],[Visitor]],'NHL Model'!$A$6:$B$38,2,FALSE)</f>
        <v>-0.92658078135875344</v>
      </c>
      <c r="J1218">
        <f>($B$1+Table4[[#This Row],[Home Differential]])-Table4[[#This Row],[Away Differential]]</f>
        <v>0.57382061279222552</v>
      </c>
      <c r="K1218" t="str">
        <f>IF(Table4[[#This Row],[HomeIce Differential]]&gt;0,Table4[[#This Row],[Home]],Table4[[#This Row],[Visitor]])</f>
        <v>Seattle Kraken</v>
      </c>
      <c r="L121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0.60443653511147655</v>
      </c>
      <c r="M1218" t="str">
        <f>IF(OR((NHL2025_26Results[[#This Row],[Winning Team]]="")),"-",IF(Table4[[#This Row],[Predicted Winner]]=NHL2025_26Results[[#This Row],[Winning Team]],"YES","NO"))</f>
        <v>-</v>
      </c>
      <c r="N1218" t="str">
        <f>IF(Table4[[#This Row],[Adjusted Correct]]="-", "",IF(Table4[[#This Row],[Adjusted Correct]]="YES",(Table4[[#This Row],[Strength of Win]]-1)^2,(Table4[[#This Row],[Strength of Win]]-0)^2))</f>
        <v/>
      </c>
      <c r="P1218" s="11"/>
    </row>
    <row r="1219" spans="4:16" x14ac:dyDescent="0.2">
      <c r="D1219" s="1">
        <v>46116</v>
      </c>
      <c r="E1219" s="2">
        <v>0.91666666666666663</v>
      </c>
      <c r="F1219" t="s">
        <v>33</v>
      </c>
      <c r="G1219">
        <f>VLOOKUP(Table4[[#This Row],[Home]],'NHL Model'!$A$6:$B$38,2,FALSE)</f>
        <v>-0.65236582493376272</v>
      </c>
      <c r="H1219" t="s">
        <v>29</v>
      </c>
      <c r="I1219">
        <f>VLOOKUP(Table4[[#This Row],[Visitor]],'NHL Model'!$A$6:$B$38,2,FALSE)</f>
        <v>-0.82056481120798741</v>
      </c>
      <c r="J1219">
        <f>($B$1+Table4[[#This Row],[Home Differential]])-Table4[[#This Row],[Away Differential]]</f>
        <v>0.29780597208574877</v>
      </c>
      <c r="K1219" t="str">
        <f>IF(Table4[[#This Row],[HomeIce Differential]]&gt;0,Table4[[#This Row],[Home]],Table4[[#This Row],[Visitor]])</f>
        <v>San Jose Sharks</v>
      </c>
      <c r="L121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0.57344178398077017</v>
      </c>
      <c r="M1219" t="str">
        <f>IF(OR((NHL2025_26Results[[#This Row],[Winning Team]]="")),"-",IF(Table4[[#This Row],[Predicted Winner]]=NHL2025_26Results[[#This Row],[Winning Team]],"YES","NO"))</f>
        <v>-</v>
      </c>
      <c r="N1219" t="str">
        <f>IF(Table4[[#This Row],[Adjusted Correct]]="-", "",IF(Table4[[#This Row],[Adjusted Correct]]="YES",(Table4[[#This Row],[Strength of Win]]-1)^2,(Table4[[#This Row],[Strength of Win]]-0)^2))</f>
        <v/>
      </c>
      <c r="P1219" s="11"/>
    </row>
    <row r="1220" spans="4:16" x14ac:dyDescent="0.2">
      <c r="D1220" s="1">
        <v>46116</v>
      </c>
      <c r="E1220" s="2">
        <v>0.70833333333333337</v>
      </c>
      <c r="F1220" t="s">
        <v>37</v>
      </c>
      <c r="G1220">
        <f>VLOOKUP(Table4[[#This Row],[Home]],'NHL Model'!$A$6:$B$38,2,FALSE)</f>
        <v>0.72108184732572844</v>
      </c>
      <c r="H1220" t="s">
        <v>21</v>
      </c>
      <c r="I1220">
        <f>VLOOKUP(Table4[[#This Row],[Visitor]],'NHL Model'!$A$6:$B$38,2,FALSE)</f>
        <v>-0.10253061303059285</v>
      </c>
      <c r="J1220">
        <f>($B$1+Table4[[#This Row],[Home Differential]])-Table4[[#This Row],[Away Differential]]</f>
        <v>0.95321944616784537</v>
      </c>
      <c r="K1220" t="str">
        <f>IF(Table4[[#This Row],[HomeIce Differential]]&gt;0,Table4[[#This Row],[Home]],Table4[[#This Row],[Visitor]])</f>
        <v>Tampa Bay Lightning</v>
      </c>
      <c r="L122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0.70302564047847571</v>
      </c>
      <c r="M1220" t="str">
        <f>IF(OR((NHL2025_26Results[[#This Row],[Winning Team]]="")),"-",IF(Table4[[#This Row],[Predicted Winner]]=NHL2025_26Results[[#This Row],[Winning Team]],"YES","NO"))</f>
        <v>-</v>
      </c>
      <c r="N1220" t="str">
        <f>IF(Table4[[#This Row],[Adjusted Correct]]="-", "",IF(Table4[[#This Row],[Adjusted Correct]]="YES",(Table4[[#This Row],[Strength of Win]]-1)^2,(Table4[[#This Row],[Strength of Win]]-0)^2))</f>
        <v/>
      </c>
      <c r="P1220" s="11"/>
    </row>
    <row r="1221" spans="4:16" x14ac:dyDescent="0.2">
      <c r="D1221" s="1">
        <v>46116</v>
      </c>
      <c r="E1221" s="2">
        <v>0.79166666666666663</v>
      </c>
      <c r="F1221" t="s">
        <v>38</v>
      </c>
      <c r="G1221">
        <f>VLOOKUP(Table4[[#This Row],[Home]],'NHL Model'!$A$6:$B$38,2,FALSE)</f>
        <v>-1.3920033028857945</v>
      </c>
      <c r="H1221" t="s">
        <v>55</v>
      </c>
      <c r="I1221">
        <f>VLOOKUP(Table4[[#This Row],[Visitor]],'NHL Model'!$A$6:$B$38,2,FALSE)</f>
        <v>8.4094725828611647E-2</v>
      </c>
      <c r="J1221">
        <f>($B$1+Table4[[#This Row],[Home Differential]])-Table4[[#This Row],[Away Differential]]</f>
        <v>-1.346491042902882</v>
      </c>
      <c r="K1221" t="str">
        <f>IF(Table4[[#This Row],[HomeIce Differential]]&gt;0,Table4[[#This Row],[Home]],Table4[[#This Row],[Visitor]])</f>
        <v>Utah Mammoth</v>
      </c>
      <c r="L122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0.61120268500134245</v>
      </c>
      <c r="M1221" t="str">
        <f>IF(OR((NHL2025_26Results[[#This Row],[Winning Team]]="")),"-",IF(Table4[[#This Row],[Predicted Winner]]=NHL2025_26Results[[#This Row],[Winning Team]],"YES","NO"))</f>
        <v>-</v>
      </c>
      <c r="N1221" t="str">
        <f>IF(Table4[[#This Row],[Adjusted Correct]]="-", "",IF(Table4[[#This Row],[Adjusted Correct]]="YES",(Table4[[#This Row],[Strength of Win]]-1)^2,(Table4[[#This Row],[Strength of Win]]-0)^2))</f>
        <v/>
      </c>
      <c r="P1221" s="11"/>
    </row>
    <row r="1222" spans="4:16" x14ac:dyDescent="0.2">
      <c r="D1222" s="1">
        <v>46116</v>
      </c>
      <c r="E1222" s="2">
        <v>0.79166666666666663</v>
      </c>
      <c r="F1222" t="s">
        <v>22</v>
      </c>
      <c r="G1222">
        <f>VLOOKUP(Table4[[#This Row],[Home]],'NHL Model'!$A$6:$B$38,2,FALSE)</f>
        <v>-0.11977593183651415</v>
      </c>
      <c r="H1222" t="s">
        <v>23</v>
      </c>
      <c r="I1222">
        <f>VLOOKUP(Table4[[#This Row],[Visitor]],'NHL Model'!$A$6:$B$38,2,FALSE)</f>
        <v>8.1543966060426461E-3</v>
      </c>
      <c r="J1222">
        <f>($B$1+Table4[[#This Row],[Home Differential]])-Table4[[#This Row],[Away Differential]]</f>
        <v>1.6766573689673079E-3</v>
      </c>
      <c r="K1222" t="str">
        <f>IF(Table4[[#This Row],[HomeIce Differential]]&gt;0,Table4[[#This Row],[Home]],Table4[[#This Row],[Visitor]])</f>
        <v>Washington Capitals</v>
      </c>
      <c r="L122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0.52142379957376306</v>
      </c>
      <c r="M1222" t="str">
        <f>IF(OR((NHL2025_26Results[[#This Row],[Winning Team]]="")),"-",IF(Table4[[#This Row],[Predicted Winner]]=NHL2025_26Results[[#This Row],[Winning Team]],"YES","NO"))</f>
        <v>-</v>
      </c>
      <c r="N1222" t="str">
        <f>IF(Table4[[#This Row],[Adjusted Correct]]="-", "",IF(Table4[[#This Row],[Adjusted Correct]]="YES",(Table4[[#This Row],[Strength of Win]]-1)^2,(Table4[[#This Row],[Strength of Win]]-0)^2))</f>
        <v/>
      </c>
      <c r="P1222" s="11"/>
    </row>
    <row r="1223" spans="4:16" x14ac:dyDescent="0.2">
      <c r="D1223" s="1">
        <v>46117</v>
      </c>
      <c r="E1223" s="2">
        <v>0.89583333333333337</v>
      </c>
      <c r="F1223" t="s">
        <v>12</v>
      </c>
      <c r="G1223">
        <f>VLOOKUP(Table4[[#This Row],[Home]],'NHL Model'!$A$6:$B$38,2,FALSE)</f>
        <v>0.99866683349964291</v>
      </c>
      <c r="H1223" t="s">
        <v>35</v>
      </c>
      <c r="I1223">
        <f>VLOOKUP(Table4[[#This Row],[Visitor]],'NHL Model'!$A$6:$B$38,2,FALSE)</f>
        <v>-1.3128572733047907</v>
      </c>
      <c r="J1223">
        <f>($B$1+Table4[[#This Row],[Home Differential]])-Table4[[#This Row],[Away Differential]]</f>
        <v>2.441131092615958</v>
      </c>
      <c r="K1223" t="str">
        <f>IF(Table4[[#This Row],[HomeIce Differential]]&gt;0,Table4[[#This Row],[Home]],Table4[[#This Row],[Visitor]])</f>
        <v>Colorado Avalanche</v>
      </c>
      <c r="L122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0.89395875901674371</v>
      </c>
      <c r="M1223" t="str">
        <f>IF(OR((NHL2025_26Results[[#This Row],[Winning Team]]="")),"-",IF(Table4[[#This Row],[Predicted Winner]]=NHL2025_26Results[[#This Row],[Winning Team]],"YES","NO"))</f>
        <v>-</v>
      </c>
      <c r="N1223" t="str">
        <f>IF(Table4[[#This Row],[Adjusted Correct]]="-", "",IF(Table4[[#This Row],[Adjusted Correct]]="YES",(Table4[[#This Row],[Strength of Win]]-1)^2,(Table4[[#This Row],[Strength of Win]]-0)^2))</f>
        <v/>
      </c>
      <c r="P1223" s="11"/>
    </row>
    <row r="1224" spans="4:16" x14ac:dyDescent="0.2">
      <c r="D1224" s="1">
        <v>46117</v>
      </c>
      <c r="E1224" s="2">
        <v>0.54166666666666663</v>
      </c>
      <c r="F1224" t="s">
        <v>26</v>
      </c>
      <c r="G1224">
        <f>VLOOKUP(Table4[[#This Row],[Home]],'NHL Model'!$A$6:$B$38,2,FALSE)</f>
        <v>-0.33113778518110382</v>
      </c>
      <c r="H1224" t="s">
        <v>34</v>
      </c>
      <c r="I1224">
        <f>VLOOKUP(Table4[[#This Row],[Visitor]],'NHL Model'!$A$6:$B$38,2,FALSE)</f>
        <v>6.0485283743665949E-2</v>
      </c>
      <c r="J1224">
        <f>($B$1+Table4[[#This Row],[Home Differential]])-Table4[[#This Row],[Away Differential]]</f>
        <v>-0.26201608311324565</v>
      </c>
      <c r="K1224" t="str">
        <f>IF(Table4[[#This Row],[HomeIce Differential]]&gt;0,Table4[[#This Row],[Home]],Table4[[#This Row],[Visitor]])</f>
        <v>Minnesota Wild</v>
      </c>
      <c r="L122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0.53238137885909875</v>
      </c>
      <c r="M1224" t="str">
        <f>IF(OR((NHL2025_26Results[[#This Row],[Winning Team]]="")),"-",IF(Table4[[#This Row],[Predicted Winner]]=NHL2025_26Results[[#This Row],[Winning Team]],"YES","NO"))</f>
        <v>-</v>
      </c>
      <c r="N1224" t="str">
        <f>IF(Table4[[#This Row],[Adjusted Correct]]="-", "",IF(Table4[[#This Row],[Adjusted Correct]]="YES",(Table4[[#This Row],[Strength of Win]]-1)^2,(Table4[[#This Row],[Strength of Win]]-0)^2))</f>
        <v/>
      </c>
      <c r="P1224" s="11"/>
    </row>
    <row r="1225" spans="4:16" x14ac:dyDescent="0.2">
      <c r="D1225" s="1">
        <v>46117</v>
      </c>
      <c r="E1225" s="2">
        <v>0.79166666666666663</v>
      </c>
      <c r="F1225" t="s">
        <v>18</v>
      </c>
      <c r="G1225">
        <f>VLOOKUP(Table4[[#This Row],[Home]],'NHL Model'!$A$6:$B$38,2,FALSE)</f>
        <v>-8.6274676766085606E-2</v>
      </c>
      <c r="H1225" t="s">
        <v>24</v>
      </c>
      <c r="I1225">
        <f>VLOOKUP(Table4[[#This Row],[Visitor]],'NHL Model'!$A$6:$B$38,2,FALSE)</f>
        <v>-0.74510803532792402</v>
      </c>
      <c r="J1225">
        <f>($B$1+Table4[[#This Row],[Home Differential]])-Table4[[#This Row],[Away Differential]]</f>
        <v>0.78844034437336252</v>
      </c>
      <c r="K1225" t="str">
        <f>IF(Table4[[#This Row],[HomeIce Differential]]&gt;0,Table4[[#This Row],[Home]],Table4[[#This Row],[Visitor]])</f>
        <v>Montreal Canadiens</v>
      </c>
      <c r="L122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0.62187034786528517</v>
      </c>
      <c r="M1225" t="str">
        <f>IF(OR((NHL2025_26Results[[#This Row],[Winning Team]]="")),"-",IF(Table4[[#This Row],[Predicted Winner]]=NHL2025_26Results[[#This Row],[Winning Team]],"YES","NO"))</f>
        <v>-</v>
      </c>
      <c r="N1225" t="str">
        <f>IF(Table4[[#This Row],[Adjusted Correct]]="-", "",IF(Table4[[#This Row],[Adjusted Correct]]="YES",(Table4[[#This Row],[Strength of Win]]-1)^2,(Table4[[#This Row],[Strength of Win]]-0)^2))</f>
        <v/>
      </c>
      <c r="P1225" s="11"/>
    </row>
    <row r="1226" spans="4:16" x14ac:dyDescent="0.2">
      <c r="D1226" s="1">
        <v>46117</v>
      </c>
      <c r="E1226" s="2">
        <v>0.79166666666666663</v>
      </c>
      <c r="F1226" t="s">
        <v>15</v>
      </c>
      <c r="G1226">
        <f>VLOOKUP(Table4[[#This Row],[Home]],'NHL Model'!$A$6:$B$38,2,FALSE)</f>
        <v>-0.73651915476403329</v>
      </c>
      <c r="H1226" t="s">
        <v>22</v>
      </c>
      <c r="I1226">
        <f>VLOOKUP(Table4[[#This Row],[Visitor]],'NHL Model'!$A$6:$B$38,2,FALSE)</f>
        <v>-0.11977593183651415</v>
      </c>
      <c r="J1226">
        <f>($B$1+Table4[[#This Row],[Home Differential]])-Table4[[#This Row],[Away Differential]]</f>
        <v>-0.48713623711599507</v>
      </c>
      <c r="K1226" t="str">
        <f>IF(Table4[[#This Row],[HomeIce Differential]]&gt;0,Table4[[#This Row],[Home]],Table4[[#This Row],[Visitor]])</f>
        <v>Washington Capitals</v>
      </c>
      <c r="L122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0.5147024114282962</v>
      </c>
      <c r="M1226" t="str">
        <f>IF(OR((NHL2025_26Results[[#This Row],[Winning Team]]="")),"-",IF(Table4[[#This Row],[Predicted Winner]]=NHL2025_26Results[[#This Row],[Winning Team]],"YES","NO"))</f>
        <v>-</v>
      </c>
      <c r="N1226" t="str">
        <f>IF(Table4[[#This Row],[Adjusted Correct]]="-", "",IF(Table4[[#This Row],[Adjusted Correct]]="YES",(Table4[[#This Row],[Strength of Win]]-1)^2,(Table4[[#This Row],[Strength of Win]]-0)^2))</f>
        <v/>
      </c>
      <c r="P1226" s="11"/>
    </row>
    <row r="1227" spans="4:16" x14ac:dyDescent="0.2">
      <c r="D1227" s="1">
        <v>46117</v>
      </c>
      <c r="E1227" s="2">
        <v>0.70833333333333337</v>
      </c>
      <c r="F1227" t="s">
        <v>36</v>
      </c>
      <c r="G1227">
        <f>VLOOKUP(Table4[[#This Row],[Home]],'NHL Model'!$A$6:$B$38,2,FALSE)</f>
        <v>-0.19010748264223354</v>
      </c>
      <c r="H1227" t="s">
        <v>25</v>
      </c>
      <c r="I1227">
        <f>VLOOKUP(Table4[[#This Row],[Visitor]],'NHL Model'!$A$6:$B$38,2,FALSE)</f>
        <v>0.2324942014830165</v>
      </c>
      <c r="J1227">
        <f>($B$1+Table4[[#This Row],[Home Differential]])-Table4[[#This Row],[Away Differential]]</f>
        <v>-0.29299469831372593</v>
      </c>
      <c r="K1227" t="str">
        <f>IF(Table4[[#This Row],[HomeIce Differential]]&gt;0,Table4[[#This Row],[Home]],Table4[[#This Row],[Visitor]])</f>
        <v>Carolina Hurricanes</v>
      </c>
      <c r="L122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0.549430433067433</v>
      </c>
      <c r="M1227" t="str">
        <f>IF(OR((NHL2025_26Results[[#This Row],[Winning Team]]="")),"-",IF(Table4[[#This Row],[Predicted Winner]]=NHL2025_26Results[[#This Row],[Winning Team]],"YES","NO"))</f>
        <v>-</v>
      </c>
      <c r="N1227" t="str">
        <f>IF(Table4[[#This Row],[Adjusted Correct]]="-", "",IF(Table4[[#This Row],[Adjusted Correct]]="YES",(Table4[[#This Row],[Strength of Win]]-1)^2,(Table4[[#This Row],[Strength of Win]]-0)^2))</f>
        <v/>
      </c>
      <c r="P1227" s="11"/>
    </row>
    <row r="1228" spans="4:16" x14ac:dyDescent="0.2">
      <c r="D1228" s="1">
        <v>46117</v>
      </c>
      <c r="E1228" s="2">
        <v>0.64583333333333337</v>
      </c>
      <c r="F1228" t="s">
        <v>27</v>
      </c>
      <c r="G1228">
        <f>VLOOKUP(Table4[[#This Row],[Home]],'NHL Model'!$A$6:$B$38,2,FALSE)</f>
        <v>-0.55097933929175691</v>
      </c>
      <c r="H1228" t="s">
        <v>21</v>
      </c>
      <c r="I1228">
        <f>VLOOKUP(Table4[[#This Row],[Visitor]],'NHL Model'!$A$6:$B$38,2,FALSE)</f>
        <v>-0.10253061303059285</v>
      </c>
      <c r="J1228">
        <f>($B$1+Table4[[#This Row],[Home Differential]])-Table4[[#This Row],[Away Differential]]</f>
        <v>-0.31884174044963998</v>
      </c>
      <c r="K1228" t="str">
        <f>IF(Table4[[#This Row],[HomeIce Differential]]&gt;0,Table4[[#This Row],[Home]],Table4[[#This Row],[Visitor]])</f>
        <v>Boston Bruins</v>
      </c>
      <c r="L122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0.49580397173868462</v>
      </c>
      <c r="M1228" t="str">
        <f>IF(OR((NHL2025_26Results[[#This Row],[Winning Team]]="")),"-",IF(Table4[[#This Row],[Predicted Winner]]=NHL2025_26Results[[#This Row],[Winning Team]],"YES","NO"))</f>
        <v>-</v>
      </c>
      <c r="N1228" t="str">
        <f>IF(Table4[[#This Row],[Adjusted Correct]]="-", "",IF(Table4[[#This Row],[Adjusted Correct]]="YES",(Table4[[#This Row],[Strength of Win]]-1)^2,(Table4[[#This Row],[Strength of Win]]-0)^2))</f>
        <v/>
      </c>
      <c r="P1228" s="11"/>
    </row>
    <row r="1229" spans="4:16" x14ac:dyDescent="0.2">
      <c r="D1229" s="1">
        <v>46117</v>
      </c>
      <c r="E1229" s="2">
        <v>0.625</v>
      </c>
      <c r="F1229" t="s">
        <v>14</v>
      </c>
      <c r="G1229">
        <f>VLOOKUP(Table4[[#This Row],[Home]],'NHL Model'!$A$6:$B$38,2,FALSE)</f>
        <v>3.6349513460996066E-5</v>
      </c>
      <c r="H1229" t="s">
        <v>11</v>
      </c>
      <c r="I1229">
        <f>VLOOKUP(Table4[[#This Row],[Visitor]],'NHL Model'!$A$6:$B$38,2,FALSE)</f>
        <v>-0.55695213126481558</v>
      </c>
      <c r="J1229">
        <f>($B$1+Table4[[#This Row],[Home Differential]])-Table4[[#This Row],[Away Differential]]</f>
        <v>0.68659546658980064</v>
      </c>
      <c r="K1229" t="str">
        <f>IF(Table4[[#This Row],[HomeIce Differential]]&gt;0,Table4[[#This Row],[Home]],Table4[[#This Row],[Visitor]])</f>
        <v>Pittsburgh Penguins</v>
      </c>
      <c r="L122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0.57781372621548643</v>
      </c>
      <c r="M1229" t="str">
        <f>IF(OR((NHL2025_26Results[[#This Row],[Winning Team]]="")),"-",IF(Table4[[#This Row],[Predicted Winner]]=NHL2025_26Results[[#This Row],[Winning Team]],"YES","NO"))</f>
        <v>-</v>
      </c>
      <c r="N1229" t="str">
        <f>IF(Table4[[#This Row],[Adjusted Correct]]="-", "",IF(Table4[[#This Row],[Adjusted Correct]]="YES",(Table4[[#This Row],[Strength of Win]]-1)^2,(Table4[[#This Row],[Strength of Win]]-0)^2))</f>
        <v/>
      </c>
      <c r="P1229" s="11"/>
    </row>
    <row r="1230" spans="4:16" x14ac:dyDescent="0.2">
      <c r="D1230" s="1">
        <v>46118</v>
      </c>
      <c r="E1230" s="2">
        <v>0.79166666666666663</v>
      </c>
      <c r="F1230" t="s">
        <v>23</v>
      </c>
      <c r="G1230">
        <f>VLOOKUP(Table4[[#This Row],[Home]],'NHL Model'!$A$6:$B$38,2,FALSE)</f>
        <v>8.1543966060426461E-3</v>
      </c>
      <c r="H1230" t="s">
        <v>37</v>
      </c>
      <c r="I1230">
        <f>VLOOKUP(Table4[[#This Row],[Visitor]],'NHL Model'!$A$6:$B$38,2,FALSE)</f>
        <v>0.72108184732572844</v>
      </c>
      <c r="J1230">
        <f>($B$1+Table4[[#This Row],[Home Differential]])-Table4[[#This Row],[Away Differential]]</f>
        <v>-0.5833204649081617</v>
      </c>
      <c r="K1230" t="str">
        <f>IF(Table4[[#This Row],[HomeIce Differential]]&gt;0,Table4[[#This Row],[Home]],Table4[[#This Row],[Visitor]])</f>
        <v>Tampa Bay Lightning</v>
      </c>
      <c r="L123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0.59328108801161139</v>
      </c>
      <c r="M1230" t="str">
        <f>IF(OR((NHL2025_26Results[[#This Row],[Winning Team]]="")),"-",IF(Table4[[#This Row],[Predicted Winner]]=NHL2025_26Results[[#This Row],[Winning Team]],"YES","NO"))</f>
        <v>-</v>
      </c>
      <c r="N1230" t="str">
        <f>IF(Table4[[#This Row],[Adjusted Correct]]="-", "",IF(Table4[[#This Row],[Adjusted Correct]]="YES",(Table4[[#This Row],[Strength of Win]]-1)^2,(Table4[[#This Row],[Strength of Win]]-0)^2))</f>
        <v/>
      </c>
      <c r="P1230" s="11"/>
    </row>
    <row r="1231" spans="4:16" x14ac:dyDescent="0.2">
      <c r="D1231" s="1">
        <v>46118</v>
      </c>
      <c r="E1231" s="2">
        <v>0.9375</v>
      </c>
      <c r="F1231" t="s">
        <v>13</v>
      </c>
      <c r="G1231">
        <f>VLOOKUP(Table4[[#This Row],[Home]],'NHL Model'!$A$6:$B$38,2,FALSE)</f>
        <v>-0.59069689888466137</v>
      </c>
      <c r="H1231" t="s">
        <v>29</v>
      </c>
      <c r="I1231">
        <f>VLOOKUP(Table4[[#This Row],[Visitor]],'NHL Model'!$A$6:$B$38,2,FALSE)</f>
        <v>-0.82056481120798741</v>
      </c>
      <c r="J1231">
        <f>($B$1+Table4[[#This Row],[Home Differential]])-Table4[[#This Row],[Away Differential]]</f>
        <v>0.35947489813485012</v>
      </c>
      <c r="K1231" t="str">
        <f>IF(Table4[[#This Row],[HomeIce Differential]]&gt;0,Table4[[#This Row],[Home]],Table4[[#This Row],[Visitor]])</f>
        <v>Los Angeles Kings</v>
      </c>
      <c r="L123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0.58036682611077262</v>
      </c>
      <c r="M1231" t="str">
        <f>IF(OR((NHL2025_26Results[[#This Row],[Winning Team]]="")),"-",IF(Table4[[#This Row],[Predicted Winner]]=NHL2025_26Results[[#This Row],[Winning Team]],"YES","NO"))</f>
        <v>-</v>
      </c>
      <c r="N1231" t="str">
        <f>IF(Table4[[#This Row],[Adjusted Correct]]="-", "",IF(Table4[[#This Row],[Adjusted Correct]]="YES",(Table4[[#This Row],[Strength of Win]]-1)^2,(Table4[[#This Row],[Strength of Win]]-0)^2))</f>
        <v/>
      </c>
      <c r="P1231" s="11"/>
    </row>
    <row r="1232" spans="4:16" x14ac:dyDescent="0.2">
      <c r="D1232" s="1">
        <v>46118</v>
      </c>
      <c r="E1232" s="2">
        <v>0.91666666666666663</v>
      </c>
      <c r="F1232" t="s">
        <v>33</v>
      </c>
      <c r="G1232">
        <f>VLOOKUP(Table4[[#This Row],[Home]],'NHL Model'!$A$6:$B$38,2,FALSE)</f>
        <v>-0.65236582493376272</v>
      </c>
      <c r="H1232" t="s">
        <v>10</v>
      </c>
      <c r="I1232">
        <f>VLOOKUP(Table4[[#This Row],[Visitor]],'NHL Model'!$A$6:$B$38,2,FALSE)</f>
        <v>-0.92658078135875344</v>
      </c>
      <c r="J1232">
        <f>($B$1+Table4[[#This Row],[Home Differential]])-Table4[[#This Row],[Away Differential]]</f>
        <v>0.4038219422365148</v>
      </c>
      <c r="K1232" t="str">
        <f>IF(Table4[[#This Row],[HomeIce Differential]]&gt;0,Table4[[#This Row],[Home]],Table4[[#This Row],[Visitor]])</f>
        <v>San Jose Sharks</v>
      </c>
      <c r="L123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0.58534672714716462</v>
      </c>
      <c r="M1232" t="str">
        <f>IF(OR((NHL2025_26Results[[#This Row],[Winning Team]]="")),"-",IF(Table4[[#This Row],[Predicted Winner]]=NHL2025_26Results[[#This Row],[Winning Team]],"YES","NO"))</f>
        <v>-</v>
      </c>
      <c r="N1232" t="str">
        <f>IF(Table4[[#This Row],[Adjusted Correct]]="-", "",IF(Table4[[#This Row],[Adjusted Correct]]="YES",(Table4[[#This Row],[Strength of Win]]-1)^2,(Table4[[#This Row],[Strength of Win]]-0)^2))</f>
        <v/>
      </c>
      <c r="P1232" s="11"/>
    </row>
    <row r="1233" spans="4:16" x14ac:dyDescent="0.2">
      <c r="D1233" s="1">
        <v>46118</v>
      </c>
      <c r="E1233" s="2">
        <v>0.8125</v>
      </c>
      <c r="F1233" t="s">
        <v>40</v>
      </c>
      <c r="G1233">
        <f>VLOOKUP(Table4[[#This Row],[Home]],'NHL Model'!$A$6:$B$38,2,FALSE)</f>
        <v>-0.58845147248022256</v>
      </c>
      <c r="H1233" t="s">
        <v>32</v>
      </c>
      <c r="I1233">
        <f>VLOOKUP(Table4[[#This Row],[Visitor]],'NHL Model'!$A$6:$B$38,2,FALSE)</f>
        <v>-0.48236715437805205</v>
      </c>
      <c r="J1233">
        <f>($B$1+Table4[[#This Row],[Home Differential]])-Table4[[#This Row],[Away Differential]]</f>
        <v>2.3522667709353573E-2</v>
      </c>
      <c r="K1233" t="str">
        <f>IF(Table4[[#This Row],[HomeIce Differential]]&gt;0,Table4[[#This Row],[Home]],Table4[[#This Row],[Visitor]])</f>
        <v>Winnipeg Jets</v>
      </c>
      <c r="L123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0.54264145130024843</v>
      </c>
      <c r="M1233" t="str">
        <f>IF(OR((NHL2025_26Results[[#This Row],[Winning Team]]="")),"-",IF(Table4[[#This Row],[Predicted Winner]]=NHL2025_26Results[[#This Row],[Winning Team]],"YES","NO"))</f>
        <v>-</v>
      </c>
      <c r="N1233" t="str">
        <f>IF(Table4[[#This Row],[Adjusted Correct]]="-", "",IF(Table4[[#This Row],[Adjusted Correct]]="YES",(Table4[[#This Row],[Strength of Win]]-1)^2,(Table4[[#This Row],[Strength of Win]]-0)^2))</f>
        <v/>
      </c>
      <c r="P1233" s="11"/>
    </row>
    <row r="1234" spans="4:16" x14ac:dyDescent="0.2">
      <c r="D1234" s="1">
        <v>46119</v>
      </c>
      <c r="E1234" s="2">
        <v>0.91666666666666663</v>
      </c>
      <c r="F1234" t="s">
        <v>31</v>
      </c>
      <c r="G1234">
        <f>VLOOKUP(Table4[[#This Row],[Home]],'NHL Model'!$A$6:$B$38,2,FALSE)</f>
        <v>-0.46360583111358089</v>
      </c>
      <c r="H1234" t="s">
        <v>29</v>
      </c>
      <c r="I1234">
        <f>VLOOKUP(Table4[[#This Row],[Visitor]],'NHL Model'!$A$6:$B$38,2,FALSE)</f>
        <v>-0.82056481120798741</v>
      </c>
      <c r="J1234">
        <f>($B$1+Table4[[#This Row],[Home Differential]])-Table4[[#This Row],[Away Differential]]</f>
        <v>0.4865659659059306</v>
      </c>
      <c r="K1234" t="str">
        <f>IF(Table4[[#This Row],[HomeIce Differential]]&gt;0,Table4[[#This Row],[Home]],Table4[[#This Row],[Visitor]])</f>
        <v>Anaheim Ducks</v>
      </c>
      <c r="L123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0.6463543498007005</v>
      </c>
      <c r="M1234" t="str">
        <f>IF(OR((NHL2025_26Results[[#This Row],[Winning Team]]="")),"-",IF(Table4[[#This Row],[Predicted Winner]]=NHL2025_26Results[[#This Row],[Winning Team]],"YES","NO"))</f>
        <v>-</v>
      </c>
      <c r="N1234" t="str">
        <f>IF(Table4[[#This Row],[Adjusted Correct]]="-", "",IF(Table4[[#This Row],[Adjusted Correct]]="YES",(Table4[[#This Row],[Strength of Win]]-1)^2,(Table4[[#This Row],[Strength of Win]]-0)^2))</f>
        <v/>
      </c>
      <c r="P1234" s="11"/>
    </row>
    <row r="1235" spans="4:16" x14ac:dyDescent="0.2">
      <c r="D1235" s="1">
        <v>46119</v>
      </c>
      <c r="E1235" s="2">
        <v>0.79166666666666663</v>
      </c>
      <c r="F1235" t="s">
        <v>25</v>
      </c>
      <c r="G1235">
        <f>VLOOKUP(Table4[[#This Row],[Home]],'NHL Model'!$A$6:$B$38,2,FALSE)</f>
        <v>0.2324942014830165</v>
      </c>
      <c r="H1235" t="s">
        <v>21</v>
      </c>
      <c r="I1235">
        <f>VLOOKUP(Table4[[#This Row],[Visitor]],'NHL Model'!$A$6:$B$38,2,FALSE)</f>
        <v>-0.10253061303059285</v>
      </c>
      <c r="J1235">
        <f>($B$1+Table4[[#This Row],[Home Differential]])-Table4[[#This Row],[Away Differential]]</f>
        <v>0.46463180032513346</v>
      </c>
      <c r="K1235" t="str">
        <f>IF(Table4[[#This Row],[HomeIce Differential]]&gt;0,Table4[[#This Row],[Home]],Table4[[#This Row],[Visitor]])</f>
        <v>Carolina Hurricanes</v>
      </c>
      <c r="L123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0.64775102441365451</v>
      </c>
      <c r="M1235" t="str">
        <f>IF(OR((NHL2025_26Results[[#This Row],[Winning Team]]="")),"-",IF(Table4[[#This Row],[Predicted Winner]]=NHL2025_26Results[[#This Row],[Winning Team]],"YES","NO"))</f>
        <v>-</v>
      </c>
      <c r="N1235" t="str">
        <f>IF(Table4[[#This Row],[Adjusted Correct]]="-", "",IF(Table4[[#This Row],[Adjusted Correct]]="YES",(Table4[[#This Row],[Strength of Win]]-1)^2,(Table4[[#This Row],[Strength of Win]]-0)^2))</f>
        <v/>
      </c>
      <c r="P1235" s="11"/>
    </row>
    <row r="1236" spans="4:16" x14ac:dyDescent="0.2">
      <c r="D1236" s="1">
        <v>46119</v>
      </c>
      <c r="E1236" s="2">
        <v>0.83333333333333337</v>
      </c>
      <c r="F1236" t="s">
        <v>39</v>
      </c>
      <c r="G1236">
        <f>VLOOKUP(Table4[[#This Row],[Home]],'NHL Model'!$A$6:$B$38,2,FALSE)</f>
        <v>0.21708030788125537</v>
      </c>
      <c r="H1236" t="s">
        <v>16</v>
      </c>
      <c r="I1236">
        <f>VLOOKUP(Table4[[#This Row],[Visitor]],'NHL Model'!$A$6:$B$38,2,FALSE)</f>
        <v>-0.89031221864884547</v>
      </c>
      <c r="J1236">
        <f>($B$1+Table4[[#This Row],[Home Differential]])-Table4[[#This Row],[Away Differential]]</f>
        <v>1.2369995123416251</v>
      </c>
      <c r="K1236" t="str">
        <f>IF(Table4[[#This Row],[HomeIce Differential]]&gt;0,Table4[[#This Row],[Home]],Table4[[#This Row],[Visitor]])</f>
        <v>Dallas Stars</v>
      </c>
      <c r="L123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0.71674566302178322</v>
      </c>
      <c r="M1236" t="str">
        <f>IF(OR((NHL2025_26Results[[#This Row],[Winning Team]]="")),"-",IF(Table4[[#This Row],[Predicted Winner]]=NHL2025_26Results[[#This Row],[Winning Team]],"YES","NO"))</f>
        <v>-</v>
      </c>
      <c r="N1236" t="str">
        <f>IF(Table4[[#This Row],[Adjusted Correct]]="-", "",IF(Table4[[#This Row],[Adjusted Correct]]="YES",(Table4[[#This Row],[Strength of Win]]-1)^2,(Table4[[#This Row],[Strength of Win]]-0)^2))</f>
        <v/>
      </c>
      <c r="P1236" s="11"/>
    </row>
    <row r="1237" spans="4:16" x14ac:dyDescent="0.2">
      <c r="D1237" s="1">
        <v>46119</v>
      </c>
      <c r="E1237" s="2">
        <v>0.79166666666666663</v>
      </c>
      <c r="F1237" t="s">
        <v>26</v>
      </c>
      <c r="G1237">
        <f>VLOOKUP(Table4[[#This Row],[Home]],'NHL Model'!$A$6:$B$38,2,FALSE)</f>
        <v>-0.33113778518110382</v>
      </c>
      <c r="H1237" t="s">
        <v>28</v>
      </c>
      <c r="I1237">
        <f>VLOOKUP(Table4[[#This Row],[Visitor]],'NHL Model'!$A$6:$B$38,2,FALSE)</f>
        <v>-0.28156479873410767</v>
      </c>
      <c r="J1237">
        <f>($B$1+Table4[[#This Row],[Home Differential]])-Table4[[#This Row],[Away Differential]]</f>
        <v>8.0033999364527958E-2</v>
      </c>
      <c r="K1237" t="str">
        <f>IF(Table4[[#This Row],[HomeIce Differential]]&gt;0,Table4[[#This Row],[Home]],Table4[[#This Row],[Visitor]])</f>
        <v>Detroit Red Wings</v>
      </c>
      <c r="L123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0.56312745460403824</v>
      </c>
      <c r="M1237" t="str">
        <f>IF(OR((NHL2025_26Results[[#This Row],[Winning Team]]="")),"-",IF(Table4[[#This Row],[Predicted Winner]]=NHL2025_26Results[[#This Row],[Winning Team]],"YES","NO"))</f>
        <v>-</v>
      </c>
      <c r="N1237" t="str">
        <f>IF(Table4[[#This Row],[Adjusted Correct]]="-", "",IF(Table4[[#This Row],[Adjusted Correct]]="YES",(Table4[[#This Row],[Strength of Win]]-1)^2,(Table4[[#This Row],[Strength of Win]]-0)^2))</f>
        <v/>
      </c>
      <c r="P1237" s="11"/>
    </row>
    <row r="1238" spans="4:16" x14ac:dyDescent="0.2">
      <c r="D1238" s="1">
        <v>46119</v>
      </c>
      <c r="E1238" s="2">
        <v>0.83333333333333337</v>
      </c>
      <c r="F1238" t="s">
        <v>34</v>
      </c>
      <c r="G1238">
        <f>VLOOKUP(Table4[[#This Row],[Home]],'NHL Model'!$A$6:$B$38,2,FALSE)</f>
        <v>6.0485283743665949E-2</v>
      </c>
      <c r="H1238" t="s">
        <v>32</v>
      </c>
      <c r="I1238">
        <f>VLOOKUP(Table4[[#This Row],[Visitor]],'NHL Model'!$A$6:$B$38,2,FALSE)</f>
        <v>-0.48236715437805205</v>
      </c>
      <c r="J1238">
        <f>($B$1+Table4[[#This Row],[Home Differential]])-Table4[[#This Row],[Away Differential]]</f>
        <v>0.6724594239332421</v>
      </c>
      <c r="K1238" t="str">
        <f>IF(Table4[[#This Row],[HomeIce Differential]]&gt;0,Table4[[#This Row],[Home]],Table4[[#This Row],[Visitor]])</f>
        <v>Minnesota Wild</v>
      </c>
      <c r="L123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0.62746112051920022</v>
      </c>
      <c r="M1238" t="str">
        <f>IF(OR((NHL2025_26Results[[#This Row],[Winning Team]]="")),"-",IF(Table4[[#This Row],[Predicted Winner]]=NHL2025_26Results[[#This Row],[Winning Team]],"YES","NO"))</f>
        <v>-</v>
      </c>
      <c r="N1238" t="str">
        <f>IF(Table4[[#This Row],[Adjusted Correct]]="-", "",IF(Table4[[#This Row],[Adjusted Correct]]="YES",(Table4[[#This Row],[Strength of Win]]-1)^2,(Table4[[#This Row],[Strength of Win]]-0)^2))</f>
        <v/>
      </c>
      <c r="P1238" s="11"/>
    </row>
    <row r="1239" spans="4:16" x14ac:dyDescent="0.2">
      <c r="D1239" s="1">
        <v>46119</v>
      </c>
      <c r="E1239" s="2">
        <v>0.79166666666666663</v>
      </c>
      <c r="F1239" t="s">
        <v>18</v>
      </c>
      <c r="G1239">
        <f>VLOOKUP(Table4[[#This Row],[Home]],'NHL Model'!$A$6:$B$38,2,FALSE)</f>
        <v>-8.6274676766085606E-2</v>
      </c>
      <c r="H1239" t="s">
        <v>11</v>
      </c>
      <c r="I1239">
        <f>VLOOKUP(Table4[[#This Row],[Visitor]],'NHL Model'!$A$6:$B$38,2,FALSE)</f>
        <v>-0.55695213126481558</v>
      </c>
      <c r="J1239">
        <f>($B$1+Table4[[#This Row],[Home Differential]])-Table4[[#This Row],[Away Differential]]</f>
        <v>0.60028444031025407</v>
      </c>
      <c r="K1239" t="str">
        <f>IF(Table4[[#This Row],[HomeIce Differential]]&gt;0,Table4[[#This Row],[Home]],Table4[[#This Row],[Visitor]])</f>
        <v>Montreal Canadiens</v>
      </c>
      <c r="L123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0.58225974576624617</v>
      </c>
      <c r="M1239" t="str">
        <f>IF(OR((NHL2025_26Results[[#This Row],[Winning Team]]="")),"-",IF(Table4[[#This Row],[Predicted Winner]]=NHL2025_26Results[[#This Row],[Winning Team]],"YES","NO"))</f>
        <v>-</v>
      </c>
      <c r="N1239" t="str">
        <f>IF(Table4[[#This Row],[Adjusted Correct]]="-", "",IF(Table4[[#This Row],[Adjusted Correct]]="YES",(Table4[[#This Row],[Strength of Win]]-1)^2,(Table4[[#This Row],[Strength of Win]]-0)^2))</f>
        <v/>
      </c>
      <c r="P1239" s="11"/>
    </row>
    <row r="1240" spans="4:16" x14ac:dyDescent="0.2">
      <c r="D1240" s="1">
        <v>46119</v>
      </c>
      <c r="E1240" s="2">
        <v>0.79166666666666663</v>
      </c>
      <c r="F1240" t="s">
        <v>24</v>
      </c>
      <c r="G1240">
        <f>VLOOKUP(Table4[[#This Row],[Home]],'NHL Model'!$A$6:$B$38,2,FALSE)</f>
        <v>-0.74510803532792402</v>
      </c>
      <c r="H1240" t="s">
        <v>27</v>
      </c>
      <c r="I1240">
        <f>VLOOKUP(Table4[[#This Row],[Visitor]],'NHL Model'!$A$6:$B$38,2,FALSE)</f>
        <v>-0.55097933929175691</v>
      </c>
      <c r="J1240">
        <f>($B$1+Table4[[#This Row],[Home Differential]])-Table4[[#This Row],[Away Differential]]</f>
        <v>-6.4521710224643036E-2</v>
      </c>
      <c r="K1240" t="str">
        <f>IF(Table4[[#This Row],[HomeIce Differential]]&gt;0,Table4[[#This Row],[Home]],Table4[[#This Row],[Visitor]])</f>
        <v>Philadelphia Flyers</v>
      </c>
      <c r="L124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0.46724539229448725</v>
      </c>
      <c r="M1240" t="str">
        <f>IF(OR((NHL2025_26Results[[#This Row],[Winning Team]]="")),"-",IF(Table4[[#This Row],[Predicted Winner]]=NHL2025_26Results[[#This Row],[Winning Team]],"YES","NO"))</f>
        <v>-</v>
      </c>
      <c r="N1240" t="str">
        <f>IF(Table4[[#This Row],[Adjusted Correct]]="-", "",IF(Table4[[#This Row],[Adjusted Correct]]="YES",(Table4[[#This Row],[Strength of Win]]-1)^2,(Table4[[#This Row],[Strength of Win]]-0)^2))</f>
        <v/>
      </c>
      <c r="P1240" s="11"/>
    </row>
    <row r="1241" spans="4:16" x14ac:dyDescent="0.2">
      <c r="D1241" s="1">
        <v>46119</v>
      </c>
      <c r="E1241" s="2">
        <v>0.79166666666666663</v>
      </c>
      <c r="F1241" t="s">
        <v>36</v>
      </c>
      <c r="G1241">
        <f>VLOOKUP(Table4[[#This Row],[Home]],'NHL Model'!$A$6:$B$38,2,FALSE)</f>
        <v>-0.19010748264223354</v>
      </c>
      <c r="H1241" t="s">
        <v>37</v>
      </c>
      <c r="I1241">
        <f>VLOOKUP(Table4[[#This Row],[Visitor]],'NHL Model'!$A$6:$B$38,2,FALSE)</f>
        <v>0.72108184732572844</v>
      </c>
      <c r="J1241">
        <f>($B$1+Table4[[#This Row],[Home Differential]])-Table4[[#This Row],[Away Differential]]</f>
        <v>-0.7815823441564379</v>
      </c>
      <c r="K1241" t="str">
        <f>IF(Table4[[#This Row],[HomeIce Differential]]&gt;0,Table4[[#This Row],[Home]],Table4[[#This Row],[Visitor]])</f>
        <v>Tampa Bay Lightning</v>
      </c>
      <c r="L124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0.64462505088719402</v>
      </c>
      <c r="M1241" t="str">
        <f>IF(OR((NHL2025_26Results[[#This Row],[Winning Team]]="")),"-",IF(Table4[[#This Row],[Predicted Winner]]=NHL2025_26Results[[#This Row],[Winning Team]],"YES","NO"))</f>
        <v>-</v>
      </c>
      <c r="N1241" t="str">
        <f>IF(Table4[[#This Row],[Adjusted Correct]]="-", "",IF(Table4[[#This Row],[Adjusted Correct]]="YES",(Table4[[#This Row],[Strength of Win]]-1)^2,(Table4[[#This Row],[Strength of Win]]-0)^2))</f>
        <v/>
      </c>
      <c r="P1241" s="11"/>
    </row>
    <row r="1242" spans="4:16" x14ac:dyDescent="0.2">
      <c r="D1242" s="1">
        <v>46119</v>
      </c>
      <c r="E1242" s="2">
        <v>0.83333333333333337</v>
      </c>
      <c r="F1242" t="s">
        <v>35</v>
      </c>
      <c r="G1242">
        <f>VLOOKUP(Table4[[#This Row],[Home]],'NHL Model'!$A$6:$B$38,2,FALSE)</f>
        <v>-1.3128572733047907</v>
      </c>
      <c r="H1242" t="s">
        <v>12</v>
      </c>
      <c r="I1242">
        <f>VLOOKUP(Table4[[#This Row],[Visitor]],'NHL Model'!$A$6:$B$38,2,FALSE)</f>
        <v>0.99866683349964291</v>
      </c>
      <c r="J1242">
        <f>($B$1+Table4[[#This Row],[Home Differential]])-Table4[[#This Row],[Away Differential]]</f>
        <v>-2.1819171209929094</v>
      </c>
      <c r="K1242" t="str">
        <f>IF(Table4[[#This Row],[HomeIce Differential]]&gt;0,Table4[[#This Row],[Home]],Table4[[#This Row],[Visitor]])</f>
        <v>Colorado Avalanche</v>
      </c>
      <c r="L124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0.77428116452088958</v>
      </c>
      <c r="M1242" t="str">
        <f>IF(OR((NHL2025_26Results[[#This Row],[Winning Team]]="")),"-",IF(Table4[[#This Row],[Predicted Winner]]=NHL2025_26Results[[#This Row],[Winning Team]],"YES","NO"))</f>
        <v>-</v>
      </c>
      <c r="N1242" t="str">
        <f>IF(Table4[[#This Row],[Adjusted Correct]]="-", "",IF(Table4[[#This Row],[Adjusted Correct]]="YES",(Table4[[#This Row],[Strength of Win]]-1)^2,(Table4[[#This Row],[Strength of Win]]-0)^2))</f>
        <v/>
      </c>
      <c r="P1242" s="11"/>
    </row>
    <row r="1243" spans="4:16" x14ac:dyDescent="0.2">
      <c r="D1243" s="1">
        <v>46119</v>
      </c>
      <c r="E1243" s="2">
        <v>0.89583333333333337</v>
      </c>
      <c r="F1243" t="s">
        <v>55</v>
      </c>
      <c r="G1243">
        <f>VLOOKUP(Table4[[#This Row],[Home]],'NHL Model'!$A$6:$B$38,2,FALSE)</f>
        <v>8.4094725828611647E-2</v>
      </c>
      <c r="H1243" t="s">
        <v>17</v>
      </c>
      <c r="I1243">
        <f>VLOOKUP(Table4[[#This Row],[Visitor]],'NHL Model'!$A$6:$B$38,2,FALSE)</f>
        <v>-0.36462594951491906</v>
      </c>
      <c r="J1243">
        <f>($B$1+Table4[[#This Row],[Home Differential]])-Table4[[#This Row],[Away Differential]]</f>
        <v>0.57832766115505474</v>
      </c>
      <c r="K1243" t="str">
        <f>IF(Table4[[#This Row],[HomeIce Differential]]&gt;0,Table4[[#This Row],[Home]],Table4[[#This Row],[Visitor]])</f>
        <v>Utah Mammoth</v>
      </c>
      <c r="L124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0.63388508540957178</v>
      </c>
      <c r="M1243" t="str">
        <f>IF(OR((NHL2025_26Results[[#This Row],[Winning Team]]="")),"-",IF(Table4[[#This Row],[Predicted Winner]]=NHL2025_26Results[[#This Row],[Winning Team]],"YES","NO"))</f>
        <v>-</v>
      </c>
      <c r="N1243" t="str">
        <f>IF(Table4[[#This Row],[Adjusted Correct]]="-", "",IF(Table4[[#This Row],[Adjusted Correct]]="YES",(Table4[[#This Row],[Strength of Win]]-1)^2,(Table4[[#This Row],[Strength of Win]]-0)^2))</f>
        <v/>
      </c>
      <c r="P1243" s="11"/>
    </row>
    <row r="1244" spans="4:16" x14ac:dyDescent="0.2">
      <c r="D1244" s="1">
        <v>46119</v>
      </c>
      <c r="E1244" s="2">
        <v>0.91666666666666663</v>
      </c>
      <c r="F1244" t="s">
        <v>38</v>
      </c>
      <c r="G1244">
        <f>VLOOKUP(Table4[[#This Row],[Home]],'NHL Model'!$A$6:$B$38,2,FALSE)</f>
        <v>-1.3920033028857945</v>
      </c>
      <c r="H1244" t="s">
        <v>20</v>
      </c>
      <c r="I1244">
        <f>VLOOKUP(Table4[[#This Row],[Visitor]],'NHL Model'!$A$6:$B$38,2,FALSE)</f>
        <v>-0.16296463421387539</v>
      </c>
      <c r="J1244">
        <f>($B$1+Table4[[#This Row],[Home Differential]])-Table4[[#This Row],[Away Differential]]</f>
        <v>-1.0994316828603952</v>
      </c>
      <c r="K1244" t="str">
        <f>IF(Table4[[#This Row],[HomeIce Differential]]&gt;0,Table4[[#This Row],[Home]],Table4[[#This Row],[Visitor]])</f>
        <v>Vegas Golden Knights</v>
      </c>
      <c r="L124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0.59547561769509161</v>
      </c>
      <c r="M1244" t="str">
        <f>IF(OR((NHL2025_26Results[[#This Row],[Winning Team]]="")),"-",IF(Table4[[#This Row],[Predicted Winner]]=NHL2025_26Results[[#This Row],[Winning Team]],"YES","NO"))</f>
        <v>-</v>
      </c>
      <c r="N1244" t="str">
        <f>IF(Table4[[#This Row],[Adjusted Correct]]="-", "",IF(Table4[[#This Row],[Adjusted Correct]]="YES",(Table4[[#This Row],[Strength of Win]]-1)^2,(Table4[[#This Row],[Strength of Win]]-0)^2))</f>
        <v/>
      </c>
      <c r="P1244" s="11"/>
    </row>
    <row r="1245" spans="4:16" x14ac:dyDescent="0.2">
      <c r="D1245" s="1">
        <v>46120</v>
      </c>
      <c r="E1245" s="2">
        <v>0.79166666666666663</v>
      </c>
      <c r="F1245" t="s">
        <v>15</v>
      </c>
      <c r="G1245">
        <f>VLOOKUP(Table4[[#This Row],[Home]],'NHL Model'!$A$6:$B$38,2,FALSE)</f>
        <v>-0.73651915476403329</v>
      </c>
      <c r="H1245" t="s">
        <v>23</v>
      </c>
      <c r="I1245">
        <f>VLOOKUP(Table4[[#This Row],[Visitor]],'NHL Model'!$A$6:$B$38,2,FALSE)</f>
        <v>8.1543966060426461E-3</v>
      </c>
      <c r="J1245">
        <f>($B$1+Table4[[#This Row],[Home Differential]])-Table4[[#This Row],[Away Differential]]</f>
        <v>-0.61506656555855188</v>
      </c>
      <c r="K1245" t="str">
        <f>IF(Table4[[#This Row],[HomeIce Differential]]&gt;0,Table4[[#This Row],[Home]],Table4[[#This Row],[Visitor]])</f>
        <v>Buffalo Sabres</v>
      </c>
      <c r="L124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0.56596261255029512</v>
      </c>
      <c r="M1245" t="str">
        <f>IF(OR((NHL2025_26Results[[#This Row],[Winning Team]]="")),"-",IF(Table4[[#This Row],[Predicted Winner]]=NHL2025_26Results[[#This Row],[Winning Team]],"YES","NO"))</f>
        <v>-</v>
      </c>
      <c r="N1245" t="str">
        <f>IF(Table4[[#This Row],[Adjusted Correct]]="-", "",IF(Table4[[#This Row],[Adjusted Correct]]="YES",(Table4[[#This Row],[Strength of Win]]-1)^2,(Table4[[#This Row],[Strength of Win]]-0)^2))</f>
        <v/>
      </c>
      <c r="P1245" s="11"/>
    </row>
    <row r="1246" spans="4:16" x14ac:dyDescent="0.2">
      <c r="D1246" s="1">
        <v>46120</v>
      </c>
      <c r="E1246" s="2">
        <v>0.91666666666666663</v>
      </c>
      <c r="F1246" t="s">
        <v>33</v>
      </c>
      <c r="G1246">
        <f>VLOOKUP(Table4[[#This Row],[Home]],'NHL Model'!$A$6:$B$38,2,FALSE)</f>
        <v>-0.65236582493376272</v>
      </c>
      <c r="H1246" t="s">
        <v>17</v>
      </c>
      <c r="I1246">
        <f>VLOOKUP(Table4[[#This Row],[Visitor]],'NHL Model'!$A$6:$B$38,2,FALSE)</f>
        <v>-0.36462594951491906</v>
      </c>
      <c r="J1246">
        <f>($B$1+Table4[[#This Row],[Home Differential]])-Table4[[#This Row],[Away Differential]]</f>
        <v>-0.15813288960731958</v>
      </c>
      <c r="K1246" t="str">
        <f>IF(Table4[[#This Row],[HomeIce Differential]]&gt;0,Table4[[#This Row],[Home]],Table4[[#This Row],[Visitor]])</f>
        <v>Edmonton Oilers</v>
      </c>
      <c r="L124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0.47775735354622201</v>
      </c>
      <c r="M1246" t="str">
        <f>IF(OR((NHL2025_26Results[[#This Row],[Winning Team]]="")),"-",IF(Table4[[#This Row],[Predicted Winner]]=NHL2025_26Results[[#This Row],[Winning Team]],"YES","NO"))</f>
        <v>-</v>
      </c>
      <c r="N1246" t="str">
        <f>IF(Table4[[#This Row],[Adjusted Correct]]="-", "",IF(Table4[[#This Row],[Adjusted Correct]]="YES",(Table4[[#This Row],[Strength of Win]]-1)^2,(Table4[[#This Row],[Strength of Win]]-0)^2))</f>
        <v/>
      </c>
      <c r="P1246" s="11"/>
    </row>
    <row r="1247" spans="4:16" x14ac:dyDescent="0.2">
      <c r="D1247" s="1">
        <v>46120</v>
      </c>
      <c r="E1247" s="2">
        <v>0.8125</v>
      </c>
      <c r="F1247" t="s">
        <v>19</v>
      </c>
      <c r="G1247">
        <f>VLOOKUP(Table4[[#This Row],[Home]],'NHL Model'!$A$6:$B$38,2,FALSE)</f>
        <v>-0.44228056828684137</v>
      </c>
      <c r="H1247" t="s">
        <v>22</v>
      </c>
      <c r="I1247">
        <f>VLOOKUP(Table4[[#This Row],[Visitor]],'NHL Model'!$A$6:$B$38,2,FALSE)</f>
        <v>-0.11977593183651415</v>
      </c>
      <c r="J1247">
        <f>($B$1+Table4[[#This Row],[Home Differential]])-Table4[[#This Row],[Away Differential]]</f>
        <v>-0.19289765063880315</v>
      </c>
      <c r="K1247" t="str">
        <f>IF(Table4[[#This Row],[HomeIce Differential]]&gt;0,Table4[[#This Row],[Home]],Table4[[#This Row],[Visitor]])</f>
        <v>Washington Capitals</v>
      </c>
      <c r="L124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0.48166122296971098</v>
      </c>
      <c r="M1247" t="str">
        <f>IF(OR((NHL2025_26Results[[#This Row],[Winning Team]]="")),"-",IF(Table4[[#This Row],[Predicted Winner]]=NHL2025_26Results[[#This Row],[Winning Team]],"YES","NO"))</f>
        <v>-</v>
      </c>
      <c r="N1247" t="str">
        <f>IF(Table4[[#This Row],[Adjusted Correct]]="-", "",IF(Table4[[#This Row],[Adjusted Correct]]="YES",(Table4[[#This Row],[Strength of Win]]-1)^2,(Table4[[#This Row],[Strength of Win]]-0)^2))</f>
        <v/>
      </c>
      <c r="P1247" s="11"/>
    </row>
    <row r="1248" spans="4:16" x14ac:dyDescent="0.2">
      <c r="D1248" s="1">
        <v>46121</v>
      </c>
      <c r="E1248" s="2">
        <v>0.91666666666666663</v>
      </c>
      <c r="F1248" t="s">
        <v>31</v>
      </c>
      <c r="G1248">
        <f>VLOOKUP(Table4[[#This Row],[Home]],'NHL Model'!$A$6:$B$38,2,FALSE)</f>
        <v>-0.46360583111358089</v>
      </c>
      <c r="H1248" t="s">
        <v>33</v>
      </c>
      <c r="I1248">
        <f>VLOOKUP(Table4[[#This Row],[Visitor]],'NHL Model'!$A$6:$B$38,2,FALSE)</f>
        <v>-0.65236582493376272</v>
      </c>
      <c r="J1248">
        <f>($B$1+Table4[[#This Row],[Home Differential]])-Table4[[#This Row],[Away Differential]]</f>
        <v>0.3183669796317059</v>
      </c>
      <c r="K1248" t="str">
        <f>IF(Table4[[#This Row],[HomeIce Differential]]&gt;0,Table4[[#This Row],[Home]],Table4[[#This Row],[Visitor]])</f>
        <v>Anaheim Ducks</v>
      </c>
      <c r="L124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0.62746663534228286</v>
      </c>
      <c r="M1248" t="str">
        <f>IF(OR((NHL2025_26Results[[#This Row],[Winning Team]]="")),"-",IF(Table4[[#This Row],[Predicted Winner]]=NHL2025_26Results[[#This Row],[Winning Team]],"YES","NO"))</f>
        <v>-</v>
      </c>
      <c r="N1248" t="str">
        <f>IF(Table4[[#This Row],[Adjusted Correct]]="-", "",IF(Table4[[#This Row],[Adjusted Correct]]="YES",(Table4[[#This Row],[Strength of Win]]-1)^2,(Table4[[#This Row],[Strength of Win]]-0)^2))</f>
        <v/>
      </c>
      <c r="P1248" s="11"/>
    </row>
    <row r="1249" spans="4:16" x14ac:dyDescent="0.2">
      <c r="D1249" s="1">
        <v>46121</v>
      </c>
      <c r="E1249" s="2">
        <v>0.79166666666666663</v>
      </c>
      <c r="F1249" t="s">
        <v>23</v>
      </c>
      <c r="G1249">
        <f>VLOOKUP(Table4[[#This Row],[Home]],'NHL Model'!$A$6:$B$38,2,FALSE)</f>
        <v>8.1543966060426461E-3</v>
      </c>
      <c r="H1249" t="s">
        <v>28</v>
      </c>
      <c r="I1249">
        <f>VLOOKUP(Table4[[#This Row],[Visitor]],'NHL Model'!$A$6:$B$38,2,FALSE)</f>
        <v>-0.28156479873410767</v>
      </c>
      <c r="J1249">
        <f>($B$1+Table4[[#This Row],[Home Differential]])-Table4[[#This Row],[Away Differential]]</f>
        <v>0.41932618115167442</v>
      </c>
      <c r="K1249" t="str">
        <f>IF(Table4[[#This Row],[HomeIce Differential]]&gt;0,Table4[[#This Row],[Home]],Table4[[#This Row],[Visitor]])</f>
        <v>Buffalo Sabres</v>
      </c>
      <c r="L124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0.60414990496997778</v>
      </c>
      <c r="M1249" t="str">
        <f>IF(OR((NHL2025_26Results[[#This Row],[Winning Team]]="")),"-",IF(Table4[[#This Row],[Predicted Winner]]=NHL2025_26Results[[#This Row],[Winning Team]],"YES","NO"))</f>
        <v>-</v>
      </c>
      <c r="N1249" t="str">
        <f>IF(Table4[[#This Row],[Adjusted Correct]]="-", "",IF(Table4[[#This Row],[Adjusted Correct]]="YES",(Table4[[#This Row],[Strength of Win]]-1)^2,(Table4[[#This Row],[Strength of Win]]-0)^2))</f>
        <v/>
      </c>
      <c r="P1249" s="11"/>
    </row>
    <row r="1250" spans="4:16" x14ac:dyDescent="0.2">
      <c r="D1250" s="1">
        <v>46121</v>
      </c>
      <c r="E1250" s="2">
        <v>0.85416666666666663</v>
      </c>
      <c r="F1250" t="s">
        <v>10</v>
      </c>
      <c r="G1250">
        <f>VLOOKUP(Table4[[#This Row],[Home]],'NHL Model'!$A$6:$B$38,2,FALSE)</f>
        <v>-0.92658078135875344</v>
      </c>
      <c r="H1250" t="s">
        <v>25</v>
      </c>
      <c r="I1250">
        <f>VLOOKUP(Table4[[#This Row],[Visitor]],'NHL Model'!$A$6:$B$38,2,FALSE)</f>
        <v>0.2324942014830165</v>
      </c>
      <c r="J1250">
        <f>($B$1+Table4[[#This Row],[Home Differential]])-Table4[[#This Row],[Away Differential]]</f>
        <v>-1.0294679970302458</v>
      </c>
      <c r="K1250" t="str">
        <f>IF(Table4[[#This Row],[HomeIce Differential]]&gt;0,Table4[[#This Row],[Home]],Table4[[#This Row],[Visitor]])</f>
        <v>Carolina Hurricanes</v>
      </c>
      <c r="L125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0.63213186712796787</v>
      </c>
      <c r="M1250" t="str">
        <f>IF(OR((NHL2025_26Results[[#This Row],[Winning Team]]="")),"-",IF(Table4[[#This Row],[Predicted Winner]]=NHL2025_26Results[[#This Row],[Winning Team]],"YES","NO"))</f>
        <v>-</v>
      </c>
      <c r="N1250" t="str">
        <f>IF(Table4[[#This Row],[Adjusted Correct]]="-", "",IF(Table4[[#This Row],[Adjusted Correct]]="YES",(Table4[[#This Row],[Strength of Win]]-1)^2,(Table4[[#This Row],[Strength of Win]]-0)^2))</f>
        <v/>
      </c>
      <c r="P1250" s="11"/>
    </row>
    <row r="1251" spans="4:16" x14ac:dyDescent="0.2">
      <c r="D1251" s="1">
        <v>46121</v>
      </c>
      <c r="E1251" s="2">
        <v>0.875</v>
      </c>
      <c r="F1251" t="s">
        <v>12</v>
      </c>
      <c r="G1251">
        <f>VLOOKUP(Table4[[#This Row],[Home]],'NHL Model'!$A$6:$B$38,2,FALSE)</f>
        <v>0.99866683349964291</v>
      </c>
      <c r="H1251" t="s">
        <v>16</v>
      </c>
      <c r="I1251">
        <f>VLOOKUP(Table4[[#This Row],[Visitor]],'NHL Model'!$A$6:$B$38,2,FALSE)</f>
        <v>-0.89031221864884547</v>
      </c>
      <c r="J1251">
        <f>($B$1+Table4[[#This Row],[Home Differential]])-Table4[[#This Row],[Away Differential]]</f>
        <v>2.0185860379600125</v>
      </c>
      <c r="K1251" t="str">
        <f>IF(Table4[[#This Row],[HomeIce Differential]]&gt;0,Table4[[#This Row],[Home]],Table4[[#This Row],[Visitor]])</f>
        <v>Colorado Avalanche</v>
      </c>
      <c r="L125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0.84650954118884159</v>
      </c>
      <c r="M1251" t="str">
        <f>IF(OR((NHL2025_26Results[[#This Row],[Winning Team]]="")),"-",IF(Table4[[#This Row],[Predicted Winner]]=NHL2025_26Results[[#This Row],[Winning Team]],"YES","NO"))</f>
        <v>-</v>
      </c>
      <c r="N1251" t="str">
        <f>IF(Table4[[#This Row],[Adjusted Correct]]="-", "",IF(Table4[[#This Row],[Adjusted Correct]]="YES",(Table4[[#This Row],[Strength of Win]]-1)^2,(Table4[[#This Row],[Strength of Win]]-0)^2))</f>
        <v/>
      </c>
      <c r="P1251" s="11"/>
    </row>
    <row r="1252" spans="4:16" x14ac:dyDescent="0.2">
      <c r="D1252" s="1">
        <v>46121</v>
      </c>
      <c r="E1252" s="2">
        <v>0.875</v>
      </c>
      <c r="F1252" t="s">
        <v>39</v>
      </c>
      <c r="G1252">
        <f>VLOOKUP(Table4[[#This Row],[Home]],'NHL Model'!$A$6:$B$38,2,FALSE)</f>
        <v>0.21708030788125537</v>
      </c>
      <c r="H1252" t="s">
        <v>34</v>
      </c>
      <c r="I1252">
        <f>VLOOKUP(Table4[[#This Row],[Visitor]],'NHL Model'!$A$6:$B$38,2,FALSE)</f>
        <v>6.0485283743665949E-2</v>
      </c>
      <c r="J1252">
        <f>($B$1+Table4[[#This Row],[Home Differential]])-Table4[[#This Row],[Away Differential]]</f>
        <v>0.28620200994911354</v>
      </c>
      <c r="K1252" t="str">
        <f>IF(Table4[[#This Row],[HomeIce Differential]]&gt;0,Table4[[#This Row],[Home]],Table4[[#This Row],[Visitor]])</f>
        <v>Dallas Stars</v>
      </c>
      <c r="L125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0.54122963930020329</v>
      </c>
      <c r="M1252" t="str">
        <f>IF(OR((NHL2025_26Results[[#This Row],[Winning Team]]="")),"-",IF(Table4[[#This Row],[Predicted Winner]]=NHL2025_26Results[[#This Row],[Winning Team]],"YES","NO"))</f>
        <v>-</v>
      </c>
      <c r="N1252" t="str">
        <f>IF(Table4[[#This Row],[Adjusted Correct]]="-", "",IF(Table4[[#This Row],[Adjusted Correct]]="YES",(Table4[[#This Row],[Strength of Win]]-1)^2,(Table4[[#This Row],[Strength of Win]]-0)^2))</f>
        <v/>
      </c>
      <c r="P1252" s="11"/>
    </row>
    <row r="1253" spans="4:16" x14ac:dyDescent="0.2">
      <c r="D1253" s="1">
        <v>46121</v>
      </c>
      <c r="E1253" s="2">
        <v>0.77083333333333337</v>
      </c>
      <c r="F1253" t="s">
        <v>26</v>
      </c>
      <c r="G1253">
        <f>VLOOKUP(Table4[[#This Row],[Home]],'NHL Model'!$A$6:$B$38,2,FALSE)</f>
        <v>-0.33113778518110382</v>
      </c>
      <c r="H1253" t="s">
        <v>27</v>
      </c>
      <c r="I1253">
        <f>VLOOKUP(Table4[[#This Row],[Visitor]],'NHL Model'!$A$6:$B$38,2,FALSE)</f>
        <v>-0.55097933929175691</v>
      </c>
      <c r="J1253">
        <f>($B$1+Table4[[#This Row],[Home Differential]])-Table4[[#This Row],[Away Differential]]</f>
        <v>0.34944853992217717</v>
      </c>
      <c r="K1253" t="str">
        <f>IF(Table4[[#This Row],[HomeIce Differential]]&gt;0,Table4[[#This Row],[Home]],Table4[[#This Row],[Visitor]])</f>
        <v>Detroit Red Wings</v>
      </c>
      <c r="L125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0.60527866343229564</v>
      </c>
      <c r="M1253" t="str">
        <f>IF(OR((NHL2025_26Results[[#This Row],[Winning Team]]="")),"-",IF(Table4[[#This Row],[Predicted Winner]]=NHL2025_26Results[[#This Row],[Winning Team]],"YES","NO"))</f>
        <v>-</v>
      </c>
      <c r="N1253" t="str">
        <f>IF(Table4[[#This Row],[Adjusted Correct]]="-", "",IF(Table4[[#This Row],[Adjusted Correct]]="YES",(Table4[[#This Row],[Strength of Win]]-1)^2,(Table4[[#This Row],[Strength of Win]]-0)^2))</f>
        <v/>
      </c>
      <c r="P1253" s="11"/>
    </row>
    <row r="1254" spans="4:16" x14ac:dyDescent="0.2">
      <c r="D1254" s="1">
        <v>46121</v>
      </c>
      <c r="E1254" s="2">
        <v>0.9375</v>
      </c>
      <c r="F1254" t="s">
        <v>13</v>
      </c>
      <c r="G1254">
        <f>VLOOKUP(Table4[[#This Row],[Home]],'NHL Model'!$A$6:$B$38,2,FALSE)</f>
        <v>-0.59069689888466137</v>
      </c>
      <c r="H1254" t="s">
        <v>38</v>
      </c>
      <c r="I1254">
        <f>VLOOKUP(Table4[[#This Row],[Visitor]],'NHL Model'!$A$6:$B$38,2,FALSE)</f>
        <v>-1.3920033028857945</v>
      </c>
      <c r="J1254">
        <f>($B$1+Table4[[#This Row],[Home Differential]])-Table4[[#This Row],[Away Differential]]</f>
        <v>0.93091338981265725</v>
      </c>
      <c r="K1254" t="str">
        <f>IF(Table4[[#This Row],[HomeIce Differential]]&gt;0,Table4[[#This Row],[Home]],Table4[[#This Row],[Visitor]])</f>
        <v>Los Angeles Kings</v>
      </c>
      <c r="L125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0.64453586363257187</v>
      </c>
      <c r="M1254" t="str">
        <f>IF(OR((NHL2025_26Results[[#This Row],[Winning Team]]="")),"-",IF(Table4[[#This Row],[Predicted Winner]]=NHL2025_26Results[[#This Row],[Winning Team]],"YES","NO"))</f>
        <v>-</v>
      </c>
      <c r="N1254" t="str">
        <f>IF(Table4[[#This Row],[Adjusted Correct]]="-", "",IF(Table4[[#This Row],[Adjusted Correct]]="YES",(Table4[[#This Row],[Strength of Win]]-1)^2,(Table4[[#This Row],[Strength of Win]]-0)^2))</f>
        <v/>
      </c>
      <c r="P1254" s="11"/>
    </row>
    <row r="1255" spans="4:16" x14ac:dyDescent="0.2">
      <c r="D1255" s="1">
        <v>46121</v>
      </c>
      <c r="E1255" s="2">
        <v>0.79166666666666663</v>
      </c>
      <c r="F1255" t="s">
        <v>18</v>
      </c>
      <c r="G1255">
        <f>VLOOKUP(Table4[[#This Row],[Home]],'NHL Model'!$A$6:$B$38,2,FALSE)</f>
        <v>-8.6274676766085606E-2</v>
      </c>
      <c r="H1255" t="s">
        <v>37</v>
      </c>
      <c r="I1255">
        <f>VLOOKUP(Table4[[#This Row],[Visitor]],'NHL Model'!$A$6:$B$38,2,FALSE)</f>
        <v>0.72108184732572844</v>
      </c>
      <c r="J1255">
        <f>($B$1+Table4[[#This Row],[Home Differential]])-Table4[[#This Row],[Away Differential]]</f>
        <v>-0.67774953828028994</v>
      </c>
      <c r="K1255" t="str">
        <f>IF(Table4[[#This Row],[HomeIce Differential]]&gt;0,Table4[[#This Row],[Home]],Table4[[#This Row],[Visitor]])</f>
        <v>Tampa Bay Lightning</v>
      </c>
      <c r="L125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0.61896425882092232</v>
      </c>
      <c r="M1255" t="str">
        <f>IF(OR((NHL2025_26Results[[#This Row],[Winning Team]]="")),"-",IF(Table4[[#This Row],[Predicted Winner]]=NHL2025_26Results[[#This Row],[Winning Team]],"YES","NO"))</f>
        <v>-</v>
      </c>
      <c r="N1255" t="str">
        <f>IF(Table4[[#This Row],[Adjusted Correct]]="-", "",IF(Table4[[#This Row],[Adjusted Correct]]="YES",(Table4[[#This Row],[Strength of Win]]-1)^2,(Table4[[#This Row],[Strength of Win]]-0)^2))</f>
        <v/>
      </c>
      <c r="P1255" s="11"/>
    </row>
    <row r="1256" spans="4:16" x14ac:dyDescent="0.2">
      <c r="D1256" s="1">
        <v>46121</v>
      </c>
      <c r="E1256" s="2">
        <v>0.79166666666666663</v>
      </c>
      <c r="F1256" t="s">
        <v>24</v>
      </c>
      <c r="G1256">
        <f>VLOOKUP(Table4[[#This Row],[Home]],'NHL Model'!$A$6:$B$38,2,FALSE)</f>
        <v>-0.74510803532792402</v>
      </c>
      <c r="H1256" t="s">
        <v>14</v>
      </c>
      <c r="I1256">
        <f>VLOOKUP(Table4[[#This Row],[Visitor]],'NHL Model'!$A$6:$B$38,2,FALSE)</f>
        <v>3.6349513460996066E-5</v>
      </c>
      <c r="J1256">
        <f>($B$1+Table4[[#This Row],[Home Differential]])-Table4[[#This Row],[Away Differential]]</f>
        <v>-0.61553739902986093</v>
      </c>
      <c r="K1256" t="str">
        <f>IF(Table4[[#This Row],[HomeIce Differential]]&gt;0,Table4[[#This Row],[Home]],Table4[[#This Row],[Visitor]])</f>
        <v>Pittsburgh Penguins</v>
      </c>
      <c r="L125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0.58325989180395288</v>
      </c>
      <c r="M1256" t="str">
        <f>IF(OR((NHL2025_26Results[[#This Row],[Winning Team]]="")),"-",IF(Table4[[#This Row],[Predicted Winner]]=NHL2025_26Results[[#This Row],[Winning Team]],"YES","NO"))</f>
        <v>-</v>
      </c>
      <c r="N1256" t="str">
        <f>IF(Table4[[#This Row],[Adjusted Correct]]="-", "",IF(Table4[[#This Row],[Adjusted Correct]]="YES",(Table4[[#This Row],[Strength of Win]]-1)^2,(Table4[[#This Row],[Strength of Win]]-0)^2))</f>
        <v/>
      </c>
      <c r="P1256" s="11"/>
    </row>
    <row r="1257" spans="4:16" x14ac:dyDescent="0.2">
      <c r="D1257" s="1">
        <v>46121</v>
      </c>
      <c r="E1257" s="2">
        <v>0.79166666666666663</v>
      </c>
      <c r="F1257" t="s">
        <v>30</v>
      </c>
      <c r="G1257">
        <f>VLOOKUP(Table4[[#This Row],[Home]],'NHL Model'!$A$6:$B$38,2,FALSE)</f>
        <v>-0.18630462558229716</v>
      </c>
      <c r="H1257" t="s">
        <v>19</v>
      </c>
      <c r="I1257">
        <f>VLOOKUP(Table4[[#This Row],[Visitor]],'NHL Model'!$A$6:$B$38,2,FALSE)</f>
        <v>-0.44228056828684137</v>
      </c>
      <c r="J1257">
        <f>($B$1+Table4[[#This Row],[Home Differential]])-Table4[[#This Row],[Away Differential]]</f>
        <v>0.38558292851606835</v>
      </c>
      <c r="K1257" t="str">
        <f>IF(Table4[[#This Row],[HomeIce Differential]]&gt;0,Table4[[#This Row],[Home]],Table4[[#This Row],[Visitor]])</f>
        <v>New York Islanders</v>
      </c>
      <c r="L125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0.59731521827956979</v>
      </c>
      <c r="M1257" t="str">
        <f>IF(OR((NHL2025_26Results[[#This Row],[Winning Team]]="")),"-",IF(Table4[[#This Row],[Predicted Winner]]=NHL2025_26Results[[#This Row],[Winning Team]],"YES","NO"))</f>
        <v>-</v>
      </c>
      <c r="N1257" t="str">
        <f>IF(Table4[[#This Row],[Adjusted Correct]]="-", "",IF(Table4[[#This Row],[Adjusted Correct]]="YES",(Table4[[#This Row],[Strength of Win]]-1)^2,(Table4[[#This Row],[Strength of Win]]-0)^2))</f>
        <v/>
      </c>
      <c r="P1257" s="11"/>
    </row>
    <row r="1258" spans="4:16" x14ac:dyDescent="0.2">
      <c r="D1258" s="1">
        <v>46121</v>
      </c>
      <c r="E1258" s="2">
        <v>0.79166666666666663</v>
      </c>
      <c r="F1258" t="s">
        <v>36</v>
      </c>
      <c r="G1258">
        <f>VLOOKUP(Table4[[#This Row],[Home]],'NHL Model'!$A$6:$B$38,2,FALSE)</f>
        <v>-0.19010748264223354</v>
      </c>
      <c r="H1258" t="s">
        <v>11</v>
      </c>
      <c r="I1258">
        <f>VLOOKUP(Table4[[#This Row],[Visitor]],'NHL Model'!$A$6:$B$38,2,FALSE)</f>
        <v>-0.55695213126481558</v>
      </c>
      <c r="J1258">
        <f>($B$1+Table4[[#This Row],[Home Differential]])-Table4[[#This Row],[Away Differential]]</f>
        <v>0.49645163443410611</v>
      </c>
      <c r="K1258" t="str">
        <f>IF(Table4[[#This Row],[HomeIce Differential]]&gt;0,Table4[[#This Row],[Home]],Table4[[#This Row],[Visitor]])</f>
        <v>Ottawa Senators</v>
      </c>
      <c r="L125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0.55646174017003658</v>
      </c>
      <c r="M1258" t="str">
        <f>IF(OR((NHL2025_26Results[[#This Row],[Winning Team]]="")),"-",IF(Table4[[#This Row],[Predicted Winner]]=NHL2025_26Results[[#This Row],[Winning Team]],"YES","NO"))</f>
        <v>-</v>
      </c>
      <c r="N1258" t="str">
        <f>IF(Table4[[#This Row],[Adjusted Correct]]="-", "",IF(Table4[[#This Row],[Adjusted Correct]]="YES",(Table4[[#This Row],[Strength of Win]]-1)^2,(Table4[[#This Row],[Strength of Win]]-0)^2))</f>
        <v/>
      </c>
      <c r="P1258" s="11"/>
    </row>
    <row r="1259" spans="4:16" x14ac:dyDescent="0.2">
      <c r="D1259" s="1">
        <v>46121</v>
      </c>
      <c r="E1259" s="2">
        <v>0.91666666666666663</v>
      </c>
      <c r="F1259" t="s">
        <v>32</v>
      </c>
      <c r="G1259">
        <f>VLOOKUP(Table4[[#This Row],[Home]],'NHL Model'!$A$6:$B$38,2,FALSE)</f>
        <v>-0.48236715437805205</v>
      </c>
      <c r="H1259" t="s">
        <v>20</v>
      </c>
      <c r="I1259">
        <f>VLOOKUP(Table4[[#This Row],[Visitor]],'NHL Model'!$A$6:$B$38,2,FALSE)</f>
        <v>-0.16296463421387539</v>
      </c>
      <c r="J1259">
        <f>($B$1+Table4[[#This Row],[Home Differential]])-Table4[[#This Row],[Away Differential]]</f>
        <v>-0.18979553435265253</v>
      </c>
      <c r="K1259" t="str">
        <f>IF(Table4[[#This Row],[HomeIce Differential]]&gt;0,Table4[[#This Row],[Home]],Table4[[#This Row],[Visitor]])</f>
        <v>Vegas Golden Knights</v>
      </c>
      <c r="L125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0.49332905775056257</v>
      </c>
      <c r="M1259" t="str">
        <f>IF(OR((NHL2025_26Results[[#This Row],[Winning Team]]="")),"-",IF(Table4[[#This Row],[Predicted Winner]]=NHL2025_26Results[[#This Row],[Winning Team]],"YES","NO"))</f>
        <v>-</v>
      </c>
      <c r="N1259" t="str">
        <f>IF(Table4[[#This Row],[Adjusted Correct]]="-", "",IF(Table4[[#This Row],[Adjusted Correct]]="YES",(Table4[[#This Row],[Strength of Win]]-1)^2,(Table4[[#This Row],[Strength of Win]]-0)^2))</f>
        <v/>
      </c>
      <c r="P1259" s="11"/>
    </row>
    <row r="1260" spans="4:16" x14ac:dyDescent="0.2">
      <c r="D1260" s="1">
        <v>46121</v>
      </c>
      <c r="E1260" s="2">
        <v>0.83333333333333337</v>
      </c>
      <c r="F1260" t="s">
        <v>35</v>
      </c>
      <c r="G1260">
        <f>VLOOKUP(Table4[[#This Row],[Home]],'NHL Model'!$A$6:$B$38,2,FALSE)</f>
        <v>-1.3128572733047907</v>
      </c>
      <c r="H1260" t="s">
        <v>40</v>
      </c>
      <c r="I1260">
        <f>VLOOKUP(Table4[[#This Row],[Visitor]],'NHL Model'!$A$6:$B$38,2,FALSE)</f>
        <v>-0.58845147248022256</v>
      </c>
      <c r="J1260">
        <f>($B$1+Table4[[#This Row],[Home Differential]])-Table4[[#This Row],[Away Differential]]</f>
        <v>-0.5947988150130441</v>
      </c>
      <c r="K1260" t="str">
        <f>IF(Table4[[#This Row],[HomeIce Differential]]&gt;0,Table4[[#This Row],[Home]],Table4[[#This Row],[Visitor]])</f>
        <v>Winnipeg Jets</v>
      </c>
      <c r="L126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0.52679225854462353</v>
      </c>
      <c r="M1260" t="str">
        <f>IF(OR((NHL2025_26Results[[#This Row],[Winning Team]]="")),"-",IF(Table4[[#This Row],[Predicted Winner]]=NHL2025_26Results[[#This Row],[Winning Team]],"YES","NO"))</f>
        <v>-</v>
      </c>
      <c r="N1260" t="str">
        <f>IF(Table4[[#This Row],[Adjusted Correct]]="-", "",IF(Table4[[#This Row],[Adjusted Correct]]="YES",(Table4[[#This Row],[Strength of Win]]-1)^2,(Table4[[#This Row],[Strength of Win]]-0)^2))</f>
        <v/>
      </c>
      <c r="P1260" s="11"/>
    </row>
    <row r="1261" spans="4:16" x14ac:dyDescent="0.2">
      <c r="D1261" s="1">
        <v>46121</v>
      </c>
      <c r="E1261" s="2">
        <v>0.875</v>
      </c>
      <c r="F1261" t="s">
        <v>55</v>
      </c>
      <c r="G1261">
        <f>VLOOKUP(Table4[[#This Row],[Home]],'NHL Model'!$A$6:$B$38,2,FALSE)</f>
        <v>8.4094725828611647E-2</v>
      </c>
      <c r="H1261" t="s">
        <v>29</v>
      </c>
      <c r="I1261">
        <f>VLOOKUP(Table4[[#This Row],[Visitor]],'NHL Model'!$A$6:$B$38,2,FALSE)</f>
        <v>-0.82056481120798741</v>
      </c>
      <c r="J1261">
        <f>($B$1+Table4[[#This Row],[Home Differential]])-Table4[[#This Row],[Away Differential]]</f>
        <v>1.0342665228481231</v>
      </c>
      <c r="K1261" t="str">
        <f>IF(Table4[[#This Row],[HomeIce Differential]]&gt;0,Table4[[#This Row],[Home]],Table4[[#This Row],[Visitor]])</f>
        <v>Utah Mammoth</v>
      </c>
      <c r="L126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0.6850842229365639</v>
      </c>
      <c r="M1261" t="str">
        <f>IF(OR((NHL2025_26Results[[#This Row],[Winning Team]]="")),"-",IF(Table4[[#This Row],[Predicted Winner]]=NHL2025_26Results[[#This Row],[Winning Team]],"YES","NO"))</f>
        <v>-</v>
      </c>
      <c r="N1261" t="str">
        <f>IF(Table4[[#This Row],[Adjusted Correct]]="-", "",IF(Table4[[#This Row],[Adjusted Correct]]="YES",(Table4[[#This Row],[Strength of Win]]-1)^2,(Table4[[#This Row],[Strength of Win]]-0)^2))</f>
        <v/>
      </c>
      <c r="P1261" s="11"/>
    </row>
    <row r="1262" spans="4:16" x14ac:dyDescent="0.2">
      <c r="D1262" s="1">
        <v>46123</v>
      </c>
      <c r="E1262" s="2">
        <v>0.52083333333333337</v>
      </c>
      <c r="F1262" t="s">
        <v>21</v>
      </c>
      <c r="G1262">
        <f>VLOOKUP(Table4[[#This Row],[Home]],'NHL Model'!$A$6:$B$38,2,FALSE)</f>
        <v>-0.10253061303059285</v>
      </c>
      <c r="H1262" t="s">
        <v>37</v>
      </c>
      <c r="I1262">
        <f>VLOOKUP(Table4[[#This Row],[Visitor]],'NHL Model'!$A$6:$B$38,2,FALSE)</f>
        <v>0.72108184732572844</v>
      </c>
      <c r="J1262">
        <f>($B$1+Table4[[#This Row],[Home Differential]])-Table4[[#This Row],[Away Differential]]</f>
        <v>-0.69400547454479722</v>
      </c>
      <c r="K1262" t="str">
        <f>IF(Table4[[#This Row],[HomeIce Differential]]&gt;0,Table4[[#This Row],[Home]],Table4[[#This Row],[Visitor]])</f>
        <v>Tampa Bay Lightning</v>
      </c>
      <c r="L126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0.58235733665656431</v>
      </c>
      <c r="M1262" t="str">
        <f>IF(OR((NHL2025_26Results[[#This Row],[Winning Team]]="")),"-",IF(Table4[[#This Row],[Predicted Winner]]=NHL2025_26Results[[#This Row],[Winning Team]],"YES","NO"))</f>
        <v>-</v>
      </c>
      <c r="N1262" t="str">
        <f>IF(Table4[[#This Row],[Adjusted Correct]]="-", "",IF(Table4[[#This Row],[Adjusted Correct]]="YES",(Table4[[#This Row],[Strength of Win]]-1)^2,(Table4[[#This Row],[Strength of Win]]-0)^2))</f>
        <v/>
      </c>
      <c r="P1262" s="11"/>
    </row>
    <row r="1263" spans="4:16" x14ac:dyDescent="0.2">
      <c r="D1263" s="1">
        <v>46123</v>
      </c>
      <c r="E1263" s="2">
        <v>0.70833333333333337</v>
      </c>
      <c r="F1263" t="s">
        <v>10</v>
      </c>
      <c r="G1263">
        <f>VLOOKUP(Table4[[#This Row],[Home]],'NHL Model'!$A$6:$B$38,2,FALSE)</f>
        <v>-0.92658078135875344</v>
      </c>
      <c r="H1263" t="s">
        <v>35</v>
      </c>
      <c r="I1263">
        <f>VLOOKUP(Table4[[#This Row],[Visitor]],'NHL Model'!$A$6:$B$38,2,FALSE)</f>
        <v>-1.3128572733047907</v>
      </c>
      <c r="J1263">
        <f>($B$1+Table4[[#This Row],[Home Differential]])-Table4[[#This Row],[Away Differential]]</f>
        <v>0.51588347775756138</v>
      </c>
      <c r="K1263" t="str">
        <f>IF(Table4[[#This Row],[HomeIce Differential]]&gt;0,Table4[[#This Row],[Home]],Table4[[#This Row],[Visitor]])</f>
        <v>Chicago Blackhawks</v>
      </c>
      <c r="L126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0.59793055022230823</v>
      </c>
      <c r="M1263" t="str">
        <f>IF(OR((NHL2025_26Results[[#This Row],[Winning Team]]="")),"-",IF(Table4[[#This Row],[Predicted Winner]]=NHL2025_26Results[[#This Row],[Winning Team]],"YES","NO"))</f>
        <v>-</v>
      </c>
      <c r="N1263" t="str">
        <f>IF(Table4[[#This Row],[Adjusted Correct]]="-", "",IF(Table4[[#This Row],[Adjusted Correct]]="YES",(Table4[[#This Row],[Strength of Win]]-1)^2,(Table4[[#This Row],[Strength of Win]]-0)^2))</f>
        <v/>
      </c>
      <c r="P1263" s="11"/>
    </row>
    <row r="1264" spans="4:16" x14ac:dyDescent="0.2">
      <c r="D1264" s="1">
        <v>46123</v>
      </c>
      <c r="E1264" s="2">
        <v>0.83333333333333337</v>
      </c>
      <c r="F1264" t="s">
        <v>12</v>
      </c>
      <c r="G1264">
        <f>VLOOKUP(Table4[[#This Row],[Home]],'NHL Model'!$A$6:$B$38,2,FALSE)</f>
        <v>0.99866683349964291</v>
      </c>
      <c r="H1264" t="s">
        <v>20</v>
      </c>
      <c r="I1264">
        <f>VLOOKUP(Table4[[#This Row],[Visitor]],'NHL Model'!$A$6:$B$38,2,FALSE)</f>
        <v>-0.16296463421387539</v>
      </c>
      <c r="J1264">
        <f>($B$1+Table4[[#This Row],[Home Differential]])-Table4[[#This Row],[Away Differential]]</f>
        <v>1.2912384535250423</v>
      </c>
      <c r="K1264" t="str">
        <f>IF(Table4[[#This Row],[HomeIce Differential]]&gt;0,Table4[[#This Row],[Home]],Table4[[#This Row],[Visitor]])</f>
        <v>Colorado Avalanche</v>
      </c>
      <c r="L126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0.75338976651455802</v>
      </c>
      <c r="M1264" t="str">
        <f>IF(OR((NHL2025_26Results[[#This Row],[Winning Team]]="")),"-",IF(Table4[[#This Row],[Predicted Winner]]=NHL2025_26Results[[#This Row],[Winning Team]],"YES","NO"))</f>
        <v>-</v>
      </c>
      <c r="N1264" t="str">
        <f>IF(Table4[[#This Row],[Adjusted Correct]]="-", "",IF(Table4[[#This Row],[Adjusted Correct]]="YES",(Table4[[#This Row],[Strength of Win]]-1)^2,(Table4[[#This Row],[Strength of Win]]-0)^2))</f>
        <v/>
      </c>
      <c r="P1264" s="11"/>
    </row>
    <row r="1265" spans="4:16" x14ac:dyDescent="0.2">
      <c r="D1265" s="1">
        <v>46123</v>
      </c>
      <c r="E1265" s="2">
        <v>0.70833333333333337</v>
      </c>
      <c r="F1265" t="s">
        <v>39</v>
      </c>
      <c r="G1265">
        <f>VLOOKUP(Table4[[#This Row],[Home]],'NHL Model'!$A$6:$B$38,2,FALSE)</f>
        <v>0.21708030788125537</v>
      </c>
      <c r="H1265" t="s">
        <v>15</v>
      </c>
      <c r="I1265">
        <f>VLOOKUP(Table4[[#This Row],[Visitor]],'NHL Model'!$A$6:$B$38,2,FALSE)</f>
        <v>-0.73651915476403329</v>
      </c>
      <c r="J1265">
        <f>($B$1+Table4[[#This Row],[Home Differential]])-Table4[[#This Row],[Away Differential]]</f>
        <v>1.0832064484568127</v>
      </c>
      <c r="K1265" t="str">
        <f>IF(Table4[[#This Row],[HomeIce Differential]]&gt;0,Table4[[#This Row],[Home]],Table4[[#This Row],[Visitor]])</f>
        <v>Dallas Stars</v>
      </c>
      <c r="L126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0.66401032133796078</v>
      </c>
      <c r="M1265" t="str">
        <f>IF(OR((NHL2025_26Results[[#This Row],[Winning Team]]="")),"-",IF(Table4[[#This Row],[Predicted Winner]]=NHL2025_26Results[[#This Row],[Winning Team]],"YES","NO"))</f>
        <v>-</v>
      </c>
      <c r="N1265" t="str">
        <f>IF(Table4[[#This Row],[Adjusted Correct]]="-", "",IF(Table4[[#This Row],[Adjusted Correct]]="YES",(Table4[[#This Row],[Strength of Win]]-1)^2,(Table4[[#This Row],[Strength of Win]]-0)^2))</f>
        <v/>
      </c>
      <c r="P1265" s="11"/>
    </row>
    <row r="1266" spans="4:16" x14ac:dyDescent="0.2">
      <c r="D1266" s="1">
        <v>46123</v>
      </c>
      <c r="E1266" s="2">
        <v>0.70833333333333337</v>
      </c>
      <c r="F1266" t="s">
        <v>26</v>
      </c>
      <c r="G1266">
        <f>VLOOKUP(Table4[[#This Row],[Home]],'NHL Model'!$A$6:$B$38,2,FALSE)</f>
        <v>-0.33113778518110382</v>
      </c>
      <c r="H1266" t="s">
        <v>24</v>
      </c>
      <c r="I1266">
        <f>VLOOKUP(Table4[[#This Row],[Visitor]],'NHL Model'!$A$6:$B$38,2,FALSE)</f>
        <v>-0.74510803532792402</v>
      </c>
      <c r="J1266">
        <f>($B$1+Table4[[#This Row],[Home Differential]])-Table4[[#This Row],[Away Differential]]</f>
        <v>0.54357723595834428</v>
      </c>
      <c r="K1266" t="str">
        <f>IF(Table4[[#This Row],[HomeIce Differential]]&gt;0,Table4[[#This Row],[Home]],Table4[[#This Row],[Visitor]])</f>
        <v>Detroit Red Wings</v>
      </c>
      <c r="L126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0.60649493485462402</v>
      </c>
      <c r="M1266" t="str">
        <f>IF(OR((NHL2025_26Results[[#This Row],[Winning Team]]="")),"-",IF(Table4[[#This Row],[Predicted Winner]]=NHL2025_26Results[[#This Row],[Winning Team]],"YES","NO"))</f>
        <v>-</v>
      </c>
      <c r="N1266" t="str">
        <f>IF(Table4[[#This Row],[Adjusted Correct]]="-", "",IF(Table4[[#This Row],[Adjusted Correct]]="YES",(Table4[[#This Row],[Strength of Win]]-1)^2,(Table4[[#This Row],[Strength of Win]]-0)^2))</f>
        <v/>
      </c>
      <c r="P1266" s="11"/>
    </row>
    <row r="1267" spans="4:16" x14ac:dyDescent="0.2">
      <c r="D1267" s="1">
        <v>46123</v>
      </c>
      <c r="E1267" s="2">
        <v>0.66666666666666663</v>
      </c>
      <c r="F1267" t="s">
        <v>13</v>
      </c>
      <c r="G1267">
        <f>VLOOKUP(Table4[[#This Row],[Home]],'NHL Model'!$A$6:$B$38,2,FALSE)</f>
        <v>-0.59069689888466137</v>
      </c>
      <c r="H1267" t="s">
        <v>17</v>
      </c>
      <c r="I1267">
        <f>VLOOKUP(Table4[[#This Row],[Visitor]],'NHL Model'!$A$6:$B$38,2,FALSE)</f>
        <v>-0.36462594951491906</v>
      </c>
      <c r="J1267">
        <f>($B$1+Table4[[#This Row],[Home Differential]])-Table4[[#This Row],[Away Differential]]</f>
        <v>-9.6463963558218235E-2</v>
      </c>
      <c r="K1267" t="str">
        <f>IF(Table4[[#This Row],[HomeIce Differential]]&gt;0,Table4[[#This Row],[Home]],Table4[[#This Row],[Visitor]])</f>
        <v>Edmonton Oilers</v>
      </c>
      <c r="L126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0.47083231141621956</v>
      </c>
      <c r="M1267" t="str">
        <f>IF(OR((NHL2025_26Results[[#This Row],[Winning Team]]="")),"-",IF(Table4[[#This Row],[Predicted Winner]]=NHL2025_26Results[[#This Row],[Winning Team]],"YES","NO"))</f>
        <v>-</v>
      </c>
      <c r="N1267" t="str">
        <f>IF(Table4[[#This Row],[Adjusted Correct]]="-", "",IF(Table4[[#This Row],[Adjusted Correct]]="YES",(Table4[[#This Row],[Strength of Win]]-1)^2,(Table4[[#This Row],[Strength of Win]]-0)^2))</f>
        <v/>
      </c>
      <c r="P1267" s="11"/>
    </row>
    <row r="1268" spans="4:16" x14ac:dyDescent="0.2">
      <c r="D1268" s="1">
        <v>46123</v>
      </c>
      <c r="E1268" s="2">
        <v>0.79166666666666663</v>
      </c>
      <c r="F1268" t="s">
        <v>18</v>
      </c>
      <c r="G1268">
        <f>VLOOKUP(Table4[[#This Row],[Home]],'NHL Model'!$A$6:$B$38,2,FALSE)</f>
        <v>-8.6274676766085606E-2</v>
      </c>
      <c r="H1268" t="s">
        <v>28</v>
      </c>
      <c r="I1268">
        <f>VLOOKUP(Table4[[#This Row],[Visitor]],'NHL Model'!$A$6:$B$38,2,FALSE)</f>
        <v>-0.28156479873410767</v>
      </c>
      <c r="J1268">
        <f>($B$1+Table4[[#This Row],[Home Differential]])-Table4[[#This Row],[Away Differential]]</f>
        <v>0.32489710777954617</v>
      </c>
      <c r="K1268" t="str">
        <f>IF(Table4[[#This Row],[HomeIce Differential]]&gt;0,Table4[[#This Row],[Home]],Table4[[#This Row],[Visitor]])</f>
        <v>Montreal Canadiens</v>
      </c>
      <c r="L126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0.57854002711373154</v>
      </c>
      <c r="M1268" t="str">
        <f>IF(OR((NHL2025_26Results[[#This Row],[Winning Team]]="")),"-",IF(Table4[[#This Row],[Predicted Winner]]=NHL2025_26Results[[#This Row],[Winning Team]],"YES","NO"))</f>
        <v>-</v>
      </c>
      <c r="N1268" t="str">
        <f>IF(Table4[[#This Row],[Adjusted Correct]]="-", "",IF(Table4[[#This Row],[Adjusted Correct]]="YES",(Table4[[#This Row],[Strength of Win]]-1)^2,(Table4[[#This Row],[Strength of Win]]-0)^2))</f>
        <v/>
      </c>
      <c r="P1268" s="11"/>
    </row>
    <row r="1269" spans="4:16" x14ac:dyDescent="0.2">
      <c r="D1269" s="1">
        <v>46123</v>
      </c>
      <c r="E1269" s="2">
        <v>0.70833333333333337</v>
      </c>
      <c r="F1269" t="s">
        <v>29</v>
      </c>
      <c r="G1269">
        <f>VLOOKUP(Table4[[#This Row],[Home]],'NHL Model'!$A$6:$B$38,2,FALSE)</f>
        <v>-0.82056481120798741</v>
      </c>
      <c r="H1269" t="s">
        <v>34</v>
      </c>
      <c r="I1269">
        <f>VLOOKUP(Table4[[#This Row],[Visitor]],'NHL Model'!$A$6:$B$38,2,FALSE)</f>
        <v>6.0485283743665949E-2</v>
      </c>
      <c r="J1269">
        <f>($B$1+Table4[[#This Row],[Home Differential]])-Table4[[#This Row],[Away Differential]]</f>
        <v>-0.75144310914012924</v>
      </c>
      <c r="K1269" t="str">
        <f>IF(Table4[[#This Row],[HomeIce Differential]]&gt;0,Table4[[#This Row],[Home]],Table4[[#This Row],[Visitor]])</f>
        <v>Minnesota Wild</v>
      </c>
      <c r="L126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0.61364770724182549</v>
      </c>
      <c r="M1269" t="str">
        <f>IF(OR((NHL2025_26Results[[#This Row],[Winning Team]]="")),"-",IF(Table4[[#This Row],[Predicted Winner]]=NHL2025_26Results[[#This Row],[Winning Team]],"YES","NO"))</f>
        <v>-</v>
      </c>
      <c r="N1269" t="str">
        <f>IF(Table4[[#This Row],[Adjusted Correct]]="-", "",IF(Table4[[#This Row],[Adjusted Correct]]="YES",(Table4[[#This Row],[Strength of Win]]-1)^2,(Table4[[#This Row],[Strength of Win]]-0)^2))</f>
        <v/>
      </c>
      <c r="P1269" s="11"/>
    </row>
    <row r="1270" spans="4:16" x14ac:dyDescent="0.2">
      <c r="D1270" s="1">
        <v>46123</v>
      </c>
      <c r="E1270" s="2">
        <v>0.54166666666666663</v>
      </c>
      <c r="F1270" t="s">
        <v>30</v>
      </c>
      <c r="G1270">
        <f>VLOOKUP(Table4[[#This Row],[Home]],'NHL Model'!$A$6:$B$38,2,FALSE)</f>
        <v>-0.18630462558229716</v>
      </c>
      <c r="H1270" t="s">
        <v>36</v>
      </c>
      <c r="I1270">
        <f>VLOOKUP(Table4[[#This Row],[Visitor]],'NHL Model'!$A$6:$B$38,2,FALSE)</f>
        <v>-0.19010748264223354</v>
      </c>
      <c r="J1270">
        <f>($B$1+Table4[[#This Row],[Home Differential]])-Table4[[#This Row],[Away Differential]]</f>
        <v>0.13340984287146049</v>
      </c>
      <c r="K1270" t="str">
        <f>IF(Table4[[#This Row],[HomeIce Differential]]&gt;0,Table4[[#This Row],[Home]],Table4[[#This Row],[Visitor]])</f>
        <v>New York Islanders</v>
      </c>
      <c r="L127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0.55703718181054573</v>
      </c>
      <c r="M1270" t="str">
        <f>IF(OR((NHL2025_26Results[[#This Row],[Winning Team]]="")),"-",IF(Table4[[#This Row],[Predicted Winner]]=NHL2025_26Results[[#This Row],[Winning Team]],"YES","NO"))</f>
        <v>-</v>
      </c>
      <c r="N1270" t="str">
        <f>IF(Table4[[#This Row],[Adjusted Correct]]="-", "",IF(Table4[[#This Row],[Adjusted Correct]]="YES",(Table4[[#This Row],[Strength of Win]]-1)^2,(Table4[[#This Row],[Strength of Win]]-0)^2))</f>
        <v/>
      </c>
      <c r="P1270" s="11"/>
    </row>
    <row r="1271" spans="4:16" x14ac:dyDescent="0.2">
      <c r="D1271" s="1">
        <v>46123</v>
      </c>
      <c r="E1271" s="2">
        <v>0.625</v>
      </c>
      <c r="F1271" t="s">
        <v>14</v>
      </c>
      <c r="G1271">
        <f>VLOOKUP(Table4[[#This Row],[Home]],'NHL Model'!$A$6:$B$38,2,FALSE)</f>
        <v>3.6349513460996066E-5</v>
      </c>
      <c r="H1271" t="s">
        <v>22</v>
      </c>
      <c r="I1271">
        <f>VLOOKUP(Table4[[#This Row],[Visitor]],'NHL Model'!$A$6:$B$38,2,FALSE)</f>
        <v>-0.11977593183651415</v>
      </c>
      <c r="J1271">
        <f>($B$1+Table4[[#This Row],[Home Differential]])-Table4[[#This Row],[Away Differential]]</f>
        <v>0.24941926716149926</v>
      </c>
      <c r="K1271" t="str">
        <f>IF(Table4[[#This Row],[HomeIce Differential]]&gt;0,Table4[[#This Row],[Home]],Table4[[#This Row],[Visitor]])</f>
        <v>Pittsburgh Penguins</v>
      </c>
      <c r="L127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0.56800825381250308</v>
      </c>
      <c r="M1271" t="str">
        <f>IF(OR((NHL2025_26Results[[#This Row],[Winning Team]]="")),"-",IF(Table4[[#This Row],[Predicted Winner]]=NHL2025_26Results[[#This Row],[Winning Team]],"YES","NO"))</f>
        <v>-</v>
      </c>
      <c r="N1271" t="str">
        <f>IF(Table4[[#This Row],[Adjusted Correct]]="-", "",IF(Table4[[#This Row],[Adjusted Correct]]="YES",(Table4[[#This Row],[Strength of Win]]-1)^2,(Table4[[#This Row],[Strength of Win]]-0)^2))</f>
        <v/>
      </c>
      <c r="P1271" s="11"/>
    </row>
    <row r="1272" spans="4:16" x14ac:dyDescent="0.2">
      <c r="D1272" s="1">
        <v>46123</v>
      </c>
      <c r="E1272" s="2">
        <v>0.79166666666666663</v>
      </c>
      <c r="F1272" t="s">
        <v>32</v>
      </c>
      <c r="G1272">
        <f>VLOOKUP(Table4[[#This Row],[Home]],'NHL Model'!$A$6:$B$38,2,FALSE)</f>
        <v>-0.48236715437805205</v>
      </c>
      <c r="H1272" t="s">
        <v>16</v>
      </c>
      <c r="I1272">
        <f>VLOOKUP(Table4[[#This Row],[Visitor]],'NHL Model'!$A$6:$B$38,2,FALSE)</f>
        <v>-0.89031221864884547</v>
      </c>
      <c r="J1272">
        <f>($B$1+Table4[[#This Row],[Home Differential]])-Table4[[#This Row],[Away Differential]]</f>
        <v>0.53755205008231755</v>
      </c>
      <c r="K1272" t="str">
        <f>IF(Table4[[#This Row],[HomeIce Differential]]&gt;0,Table4[[#This Row],[Home]],Table4[[#This Row],[Visitor]])</f>
        <v>Seattle Kraken</v>
      </c>
      <c r="L127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0.60036379798353023</v>
      </c>
      <c r="M1272" t="str">
        <f>IF(OR((NHL2025_26Results[[#This Row],[Winning Team]]="")),"-",IF(Table4[[#This Row],[Predicted Winner]]=NHL2025_26Results[[#This Row],[Winning Team]],"YES","NO"))</f>
        <v>-</v>
      </c>
      <c r="N1272" t="str">
        <f>IF(Table4[[#This Row],[Adjusted Correct]]="-", "",IF(Table4[[#This Row],[Adjusted Correct]]="YES",(Table4[[#This Row],[Strength of Win]]-1)^2,(Table4[[#This Row],[Strength of Win]]-0)^2))</f>
        <v/>
      </c>
      <c r="P1272" s="11"/>
    </row>
    <row r="1273" spans="4:16" x14ac:dyDescent="0.2">
      <c r="D1273" s="1">
        <v>46123</v>
      </c>
      <c r="E1273" s="2">
        <v>0.91666666666666663</v>
      </c>
      <c r="F1273" t="s">
        <v>33</v>
      </c>
      <c r="G1273">
        <f>VLOOKUP(Table4[[#This Row],[Home]],'NHL Model'!$A$6:$B$38,2,FALSE)</f>
        <v>-0.65236582493376272</v>
      </c>
      <c r="H1273" t="s">
        <v>38</v>
      </c>
      <c r="I1273">
        <f>VLOOKUP(Table4[[#This Row],[Visitor]],'NHL Model'!$A$6:$B$38,2,FALSE)</f>
        <v>-1.3920033028857945</v>
      </c>
      <c r="J1273">
        <f>($B$1+Table4[[#This Row],[Home Differential]])-Table4[[#This Row],[Away Differential]]</f>
        <v>0.86924446376355591</v>
      </c>
      <c r="K1273" t="str">
        <f>IF(Table4[[#This Row],[HomeIce Differential]]&gt;0,Table4[[#This Row],[Home]],Table4[[#This Row],[Visitor]])</f>
        <v>San Jose Sharks</v>
      </c>
      <c r="L127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0.63761082150256954</v>
      </c>
      <c r="M1273" t="str">
        <f>IF(OR((NHL2025_26Results[[#This Row],[Winning Team]]="")),"-",IF(Table4[[#This Row],[Predicted Winner]]=NHL2025_26Results[[#This Row],[Winning Team]],"YES","NO"))</f>
        <v>-</v>
      </c>
      <c r="N1273" t="str">
        <f>IF(Table4[[#This Row],[Adjusted Correct]]="-", "",IF(Table4[[#This Row],[Adjusted Correct]]="YES",(Table4[[#This Row],[Strength of Win]]-1)^2,(Table4[[#This Row],[Strength of Win]]-0)^2))</f>
        <v/>
      </c>
      <c r="P1273" s="11"/>
    </row>
    <row r="1274" spans="4:16" x14ac:dyDescent="0.2">
      <c r="D1274" s="1">
        <v>46123</v>
      </c>
      <c r="E1274" s="2">
        <v>0.79166666666666663</v>
      </c>
      <c r="F1274" t="s">
        <v>19</v>
      </c>
      <c r="G1274">
        <f>VLOOKUP(Table4[[#This Row],[Home]],'NHL Model'!$A$6:$B$38,2,FALSE)</f>
        <v>-0.44228056828684137</v>
      </c>
      <c r="H1274" t="s">
        <v>11</v>
      </c>
      <c r="I1274">
        <f>VLOOKUP(Table4[[#This Row],[Visitor]],'NHL Model'!$A$6:$B$38,2,FALSE)</f>
        <v>-0.55695213126481558</v>
      </c>
      <c r="J1274">
        <f>($B$1+Table4[[#This Row],[Home Differential]])-Table4[[#This Row],[Away Differential]]</f>
        <v>0.24427854878949828</v>
      </c>
      <c r="K1274" t="str">
        <f>IF(Table4[[#This Row],[HomeIce Differential]]&gt;0,Table4[[#This Row],[Home]],Table4[[#This Row],[Visitor]])</f>
        <v>Toronto Maple Leafs</v>
      </c>
      <c r="L127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0.52814424943327243</v>
      </c>
      <c r="M1274" t="str">
        <f>IF(OR((NHL2025_26Results[[#This Row],[Winning Team]]="")),"-",IF(Table4[[#This Row],[Predicted Winner]]=NHL2025_26Results[[#This Row],[Winning Team]],"YES","NO"))</f>
        <v>-</v>
      </c>
      <c r="N1274" t="str">
        <f>IF(Table4[[#This Row],[Adjusted Correct]]="-", "",IF(Table4[[#This Row],[Adjusted Correct]]="YES",(Table4[[#This Row],[Strength of Win]]-1)^2,(Table4[[#This Row],[Strength of Win]]-0)^2))</f>
        <v/>
      </c>
      <c r="P1274" s="11"/>
    </row>
    <row r="1275" spans="4:16" x14ac:dyDescent="0.2">
      <c r="D1275" s="1">
        <v>46123</v>
      </c>
      <c r="E1275" s="2">
        <v>0.70833333333333337</v>
      </c>
      <c r="F1275" t="s">
        <v>55</v>
      </c>
      <c r="G1275">
        <f>VLOOKUP(Table4[[#This Row],[Home]],'NHL Model'!$A$6:$B$38,2,FALSE)</f>
        <v>8.4094725828611647E-2</v>
      </c>
      <c r="H1275" t="s">
        <v>25</v>
      </c>
      <c r="I1275">
        <f>VLOOKUP(Table4[[#This Row],[Visitor]],'NHL Model'!$A$6:$B$38,2,FALSE)</f>
        <v>0.2324942014830165</v>
      </c>
      <c r="J1275">
        <f>($B$1+Table4[[#This Row],[Home Differential]])-Table4[[#This Row],[Away Differential]]</f>
        <v>-1.8792489842880761E-2</v>
      </c>
      <c r="K1275" t="str">
        <f>IF(Table4[[#This Row],[HomeIce Differential]]&gt;0,Table4[[#This Row],[Home]],Table4[[#This Row],[Visitor]])</f>
        <v>Carolina Hurricanes</v>
      </c>
      <c r="L127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0.48934926045817279</v>
      </c>
      <c r="M1275" t="str">
        <f>IF(OR((NHL2025_26Results[[#This Row],[Winning Team]]="")),"-",IF(Table4[[#This Row],[Predicted Winner]]=NHL2025_26Results[[#This Row],[Winning Team]],"YES","NO"))</f>
        <v>-</v>
      </c>
      <c r="N1275" t="str">
        <f>IF(Table4[[#This Row],[Adjusted Correct]]="-", "",IF(Table4[[#This Row],[Adjusted Correct]]="YES",(Table4[[#This Row],[Strength of Win]]-1)^2,(Table4[[#This Row],[Strength of Win]]-0)^2))</f>
        <v/>
      </c>
      <c r="P1275" s="11"/>
    </row>
    <row r="1276" spans="4:16" x14ac:dyDescent="0.2">
      <c r="D1276" s="1">
        <v>46123</v>
      </c>
      <c r="E1276" s="2">
        <v>0.79166666666666663</v>
      </c>
      <c r="F1276" t="s">
        <v>40</v>
      </c>
      <c r="G1276">
        <f>VLOOKUP(Table4[[#This Row],[Home]],'NHL Model'!$A$6:$B$38,2,FALSE)</f>
        <v>-0.58845147248022256</v>
      </c>
      <c r="H1276" t="s">
        <v>27</v>
      </c>
      <c r="I1276">
        <f>VLOOKUP(Table4[[#This Row],[Visitor]],'NHL Model'!$A$6:$B$38,2,FALSE)</f>
        <v>-0.55097933929175691</v>
      </c>
      <c r="J1276">
        <f>($B$1+Table4[[#This Row],[Home Differential]])-Table4[[#This Row],[Away Differential]]</f>
        <v>9.2134852623058427E-2</v>
      </c>
      <c r="K1276" t="str">
        <f>IF(Table4[[#This Row],[HomeIce Differential]]&gt;0,Table4[[#This Row],[Home]],Table4[[#This Row],[Visitor]])</f>
        <v>Winnipeg Jets</v>
      </c>
      <c r="L127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0.55034617881213355</v>
      </c>
      <c r="M1276" t="str">
        <f>IF(OR((NHL2025_26Results[[#This Row],[Winning Team]]="")),"-",IF(Table4[[#This Row],[Predicted Winner]]=NHL2025_26Results[[#This Row],[Winning Team]],"YES","NO"))</f>
        <v>-</v>
      </c>
      <c r="N1276" t="str">
        <f>IF(Table4[[#This Row],[Adjusted Correct]]="-", "",IF(Table4[[#This Row],[Adjusted Correct]]="YES",(Table4[[#This Row],[Strength of Win]]-1)^2,(Table4[[#This Row],[Strength of Win]]-0)^2))</f>
        <v/>
      </c>
      <c r="P1276" s="11"/>
    </row>
    <row r="1277" spans="4:16" x14ac:dyDescent="0.2">
      <c r="D1277" s="1">
        <v>46124</v>
      </c>
      <c r="E1277" s="2">
        <v>0.83333333333333337</v>
      </c>
      <c r="F1277" t="s">
        <v>31</v>
      </c>
      <c r="G1277">
        <f>VLOOKUP(Table4[[#This Row],[Home]],'NHL Model'!$A$6:$B$38,2,FALSE)</f>
        <v>-0.46360583111358089</v>
      </c>
      <c r="H1277" t="s">
        <v>38</v>
      </c>
      <c r="I1277">
        <f>VLOOKUP(Table4[[#This Row],[Visitor]],'NHL Model'!$A$6:$B$38,2,FALSE)</f>
        <v>-1.3920033028857945</v>
      </c>
      <c r="J1277">
        <f>($B$1+Table4[[#This Row],[Home Differential]])-Table4[[#This Row],[Away Differential]]</f>
        <v>1.0580044575837377</v>
      </c>
      <c r="K1277" t="str">
        <f>IF(Table4[[#This Row],[HomeIce Differential]]&gt;0,Table4[[#This Row],[Home]],Table4[[#This Row],[Visitor]])</f>
        <v>Anaheim Ducks</v>
      </c>
      <c r="L127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0.71052338732249987</v>
      </c>
      <c r="M1277" t="str">
        <f>IF(OR((NHL2025_26Results[[#This Row],[Winning Team]]="")),"-",IF(Table4[[#This Row],[Predicted Winner]]=NHL2025_26Results[[#This Row],[Winning Team]],"YES","NO"))</f>
        <v>-</v>
      </c>
      <c r="N1277" t="str">
        <f>IF(Table4[[#This Row],[Adjusted Correct]]="-", "",IF(Table4[[#This Row],[Adjusted Correct]]="YES",(Table4[[#This Row],[Strength of Win]]-1)^2,(Table4[[#This Row],[Strength of Win]]-0)^2))</f>
        <v/>
      </c>
      <c r="P1277" s="11"/>
    </row>
    <row r="1278" spans="4:16" x14ac:dyDescent="0.2">
      <c r="D1278" s="1">
        <v>46124</v>
      </c>
      <c r="E1278" s="2">
        <v>0.75</v>
      </c>
      <c r="F1278" t="s">
        <v>28</v>
      </c>
      <c r="G1278">
        <f>VLOOKUP(Table4[[#This Row],[Home]],'NHL Model'!$A$6:$B$38,2,FALSE)</f>
        <v>-0.28156479873410767</v>
      </c>
      <c r="H1278" t="s">
        <v>21</v>
      </c>
      <c r="I1278">
        <f>VLOOKUP(Table4[[#This Row],[Visitor]],'NHL Model'!$A$6:$B$38,2,FALSE)</f>
        <v>-0.10253061303059285</v>
      </c>
      <c r="J1278">
        <f>($B$1+Table4[[#This Row],[Home Differential]])-Table4[[#This Row],[Away Differential]]</f>
        <v>-4.9427199891990709E-2</v>
      </c>
      <c r="K1278" t="str">
        <f>IF(Table4[[#This Row],[HomeIce Differential]]&gt;0,Table4[[#This Row],[Home]],Table4[[#This Row],[Visitor]])</f>
        <v>Boston Bruins</v>
      </c>
      <c r="L127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0.45850441951099252</v>
      </c>
      <c r="M1278" t="str">
        <f>IF(OR((NHL2025_26Results[[#This Row],[Winning Team]]="")),"-",IF(Table4[[#This Row],[Predicted Winner]]=NHL2025_26Results[[#This Row],[Winning Team]],"YES","NO"))</f>
        <v>-</v>
      </c>
      <c r="N1278" t="str">
        <f>IF(Table4[[#This Row],[Adjusted Correct]]="-", "",IF(Table4[[#This Row],[Adjusted Correct]]="YES",(Table4[[#This Row],[Strength of Win]]-1)^2,(Table4[[#This Row],[Strength of Win]]-0)^2))</f>
        <v/>
      </c>
      <c r="P1278" s="11"/>
    </row>
    <row r="1279" spans="4:16" x14ac:dyDescent="0.2">
      <c r="D1279" s="1">
        <v>46124</v>
      </c>
      <c r="E1279" s="2">
        <v>0.875</v>
      </c>
      <c r="F1279" t="s">
        <v>16</v>
      </c>
      <c r="G1279">
        <f>VLOOKUP(Table4[[#This Row],[Home]],'NHL Model'!$A$6:$B$38,2,FALSE)</f>
        <v>-0.89031221864884547</v>
      </c>
      <c r="H1279" t="s">
        <v>55</v>
      </c>
      <c r="I1279">
        <f>VLOOKUP(Table4[[#This Row],[Visitor]],'NHL Model'!$A$6:$B$38,2,FALSE)</f>
        <v>8.4094725828611647E-2</v>
      </c>
      <c r="J1279">
        <f>($B$1+Table4[[#This Row],[Home Differential]])-Table4[[#This Row],[Away Differential]]</f>
        <v>-0.84479995866593305</v>
      </c>
      <c r="K1279" t="str">
        <f>IF(Table4[[#This Row],[HomeIce Differential]]&gt;0,Table4[[#This Row],[Home]],Table4[[#This Row],[Visitor]])</f>
        <v>Utah Mammoth</v>
      </c>
      <c r="L127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0.55486585351799134</v>
      </c>
      <c r="M1279" t="str">
        <f>IF(OR((NHL2025_26Results[[#This Row],[Winning Team]]="")),"-",IF(Table4[[#This Row],[Predicted Winner]]=NHL2025_26Results[[#This Row],[Winning Team]],"YES","NO"))</f>
        <v>-</v>
      </c>
      <c r="N1279" t="str">
        <f>IF(Table4[[#This Row],[Adjusted Correct]]="-", "",IF(Table4[[#This Row],[Adjusted Correct]]="YES",(Table4[[#This Row],[Strength of Win]]-1)^2,(Table4[[#This Row],[Strength of Win]]-0)^2))</f>
        <v/>
      </c>
      <c r="P1279" s="11"/>
    </row>
    <row r="1280" spans="4:16" x14ac:dyDescent="0.2">
      <c r="D1280" s="1">
        <v>46124</v>
      </c>
      <c r="E1280" s="2">
        <v>0.79166666666666663</v>
      </c>
      <c r="F1280" t="s">
        <v>24</v>
      </c>
      <c r="G1280">
        <f>VLOOKUP(Table4[[#This Row],[Home]],'NHL Model'!$A$6:$B$38,2,FALSE)</f>
        <v>-0.74510803532792402</v>
      </c>
      <c r="H1280" t="s">
        <v>36</v>
      </c>
      <c r="I1280">
        <f>VLOOKUP(Table4[[#This Row],[Visitor]],'NHL Model'!$A$6:$B$38,2,FALSE)</f>
        <v>-0.19010748264223354</v>
      </c>
      <c r="J1280">
        <f>($B$1+Table4[[#This Row],[Home Differential]])-Table4[[#This Row],[Away Differential]]</f>
        <v>-0.42539356687416641</v>
      </c>
      <c r="K1280" t="str">
        <f>IF(Table4[[#This Row],[HomeIce Differential]]&gt;0,Table4[[#This Row],[Home]],Table4[[#This Row],[Visitor]])</f>
        <v>Ottawa Senators</v>
      </c>
      <c r="L128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0.51978527168978583</v>
      </c>
      <c r="M1280" t="str">
        <f>IF(OR((NHL2025_26Results[[#This Row],[Winning Team]]="")),"-",IF(Table4[[#This Row],[Predicted Winner]]=NHL2025_26Results[[#This Row],[Winning Team]],"YES","NO"))</f>
        <v>-</v>
      </c>
      <c r="N1280" t="str">
        <f>IF(Table4[[#This Row],[Adjusted Correct]]="-", "",IF(Table4[[#This Row],[Adjusted Correct]]="YES",(Table4[[#This Row],[Strength of Win]]-1)^2,(Table4[[#This Row],[Strength of Win]]-0)^2))</f>
        <v/>
      </c>
      <c r="P1280" s="11"/>
    </row>
    <row r="1281" spans="4:16" x14ac:dyDescent="0.2">
      <c r="D1281" s="1">
        <v>46124</v>
      </c>
      <c r="E1281" s="2">
        <v>0.75</v>
      </c>
      <c r="F1281" t="s">
        <v>30</v>
      </c>
      <c r="G1281">
        <f>VLOOKUP(Table4[[#This Row],[Home]],'NHL Model'!$A$6:$B$38,2,FALSE)</f>
        <v>-0.18630462558229716</v>
      </c>
      <c r="H1281" t="s">
        <v>18</v>
      </c>
      <c r="I1281">
        <f>VLOOKUP(Table4[[#This Row],[Visitor]],'NHL Model'!$A$6:$B$38,2,FALSE)</f>
        <v>-8.6274676766085606E-2</v>
      </c>
      <c r="J1281">
        <f>($B$1+Table4[[#This Row],[Home Differential]])-Table4[[#This Row],[Away Differential]]</f>
        <v>2.9577036995312556E-2</v>
      </c>
      <c r="K1281" t="str">
        <f>IF(Table4[[#This Row],[HomeIce Differential]]&gt;0,Table4[[#This Row],[Home]],Table4[[#This Row],[Visitor]])</f>
        <v>New York Islanders</v>
      </c>
      <c r="L128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0.51209324965928826</v>
      </c>
      <c r="M1281" t="str">
        <f>IF(OR((NHL2025_26Results[[#This Row],[Winning Team]]="")),"-",IF(Table4[[#This Row],[Predicted Winner]]=NHL2025_26Results[[#This Row],[Winning Team]],"YES","NO"))</f>
        <v>-</v>
      </c>
      <c r="N1281" t="str">
        <f>IF(Table4[[#This Row],[Adjusted Correct]]="-", "",IF(Table4[[#This Row],[Adjusted Correct]]="YES",(Table4[[#This Row],[Strength of Win]]-1)^2,(Table4[[#This Row],[Strength of Win]]-0)^2))</f>
        <v/>
      </c>
      <c r="P1281" s="11"/>
    </row>
    <row r="1282" spans="4:16" x14ac:dyDescent="0.2">
      <c r="D1282" s="1">
        <v>46124</v>
      </c>
      <c r="E1282" s="2">
        <v>0.625</v>
      </c>
      <c r="F1282" t="s">
        <v>22</v>
      </c>
      <c r="G1282">
        <f>VLOOKUP(Table4[[#This Row],[Home]],'NHL Model'!$A$6:$B$38,2,FALSE)</f>
        <v>-0.11977593183651415</v>
      </c>
      <c r="H1282" t="s">
        <v>14</v>
      </c>
      <c r="I1282">
        <f>VLOOKUP(Table4[[#This Row],[Visitor]],'NHL Model'!$A$6:$B$38,2,FALSE)</f>
        <v>3.6349513460996066E-5</v>
      </c>
      <c r="J1282">
        <f>($B$1+Table4[[#This Row],[Home Differential]])-Table4[[#This Row],[Away Differential]]</f>
        <v>9.7947044615489583E-3</v>
      </c>
      <c r="K1282" t="str">
        <f>IF(Table4[[#This Row],[HomeIce Differential]]&gt;0,Table4[[#This Row],[Home]],Table4[[#This Row],[Visitor]])</f>
        <v>Washington Capitals</v>
      </c>
      <c r="L128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0.50509988523220173</v>
      </c>
      <c r="M1282" t="str">
        <f>IF(OR((NHL2025_26Results[[#This Row],[Winning Team]]="")),"-",IF(Table4[[#This Row],[Predicted Winner]]=NHL2025_26Results[[#This Row],[Winning Team]],"YES","NO"))</f>
        <v>-</v>
      </c>
      <c r="N1282" t="str">
        <f>IF(Table4[[#This Row],[Adjusted Correct]]="-", "",IF(Table4[[#This Row],[Adjusted Correct]]="YES",(Table4[[#This Row],[Strength of Win]]-1)^2,(Table4[[#This Row],[Strength of Win]]-0)^2))</f>
        <v/>
      </c>
      <c r="P1282" s="11"/>
    </row>
    <row r="1283" spans="4:16" x14ac:dyDescent="0.2">
      <c r="D1283" s="1">
        <v>46125</v>
      </c>
      <c r="E1283" s="2">
        <v>0.85416666666666663</v>
      </c>
      <c r="F1283" t="s">
        <v>10</v>
      </c>
      <c r="G1283">
        <f>VLOOKUP(Table4[[#This Row],[Home]],'NHL Model'!$A$6:$B$38,2,FALSE)</f>
        <v>-0.92658078135875344</v>
      </c>
      <c r="H1283" t="s">
        <v>23</v>
      </c>
      <c r="I1283">
        <f>VLOOKUP(Table4[[#This Row],[Visitor]],'NHL Model'!$A$6:$B$38,2,FALSE)</f>
        <v>8.1543966060426461E-3</v>
      </c>
      <c r="J1283">
        <f>($B$1+Table4[[#This Row],[Home Differential]])-Table4[[#This Row],[Away Differential]]</f>
        <v>-0.80512819215327203</v>
      </c>
      <c r="K1283" t="str">
        <f>IF(Table4[[#This Row],[HomeIce Differential]]&gt;0,Table4[[#This Row],[Home]],Table4[[#This Row],[Visitor]])</f>
        <v>Buffalo Sabres</v>
      </c>
      <c r="L128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0.58730536741548067</v>
      </c>
      <c r="M1283" t="str">
        <f>IF(OR((NHL2025_26Results[[#This Row],[Winning Team]]="")),"-",IF(Table4[[#This Row],[Predicted Winner]]=NHL2025_26Results[[#This Row],[Winning Team]],"YES","NO"))</f>
        <v>-</v>
      </c>
      <c r="N1283" t="str">
        <f>IF(Table4[[#This Row],[Adjusted Correct]]="-", "",IF(Table4[[#This Row],[Adjusted Correct]]="YES",(Table4[[#This Row],[Strength of Win]]-1)^2,(Table4[[#This Row],[Strength of Win]]-0)^2))</f>
        <v/>
      </c>
      <c r="P1283" s="11"/>
    </row>
    <row r="1284" spans="4:16" x14ac:dyDescent="0.2">
      <c r="D1284" s="1">
        <v>46125</v>
      </c>
      <c r="E1284" s="2">
        <v>0.89583333333333337</v>
      </c>
      <c r="F1284" t="s">
        <v>17</v>
      </c>
      <c r="G1284">
        <f>VLOOKUP(Table4[[#This Row],[Home]],'NHL Model'!$A$6:$B$38,2,FALSE)</f>
        <v>-0.36462594951491906</v>
      </c>
      <c r="H1284" t="s">
        <v>12</v>
      </c>
      <c r="I1284">
        <f>VLOOKUP(Table4[[#This Row],[Visitor]],'NHL Model'!$A$6:$B$38,2,FALSE)</f>
        <v>0.99866683349964291</v>
      </c>
      <c r="J1284">
        <f>($B$1+Table4[[#This Row],[Home Differential]])-Table4[[#This Row],[Away Differential]]</f>
        <v>-1.2336857972030379</v>
      </c>
      <c r="K1284" t="str">
        <f>IF(Table4[[#This Row],[HomeIce Differential]]&gt;0,Table4[[#This Row],[Home]],Table4[[#This Row],[Visitor]])</f>
        <v>Colorado Avalanche</v>
      </c>
      <c r="L128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0.66780060312754719</v>
      </c>
      <c r="M1284" t="str">
        <f>IF(OR((NHL2025_26Results[[#This Row],[Winning Team]]="")),"-",IF(Table4[[#This Row],[Predicted Winner]]=NHL2025_26Results[[#This Row],[Winning Team]],"YES","NO"))</f>
        <v>-</v>
      </c>
      <c r="N1284" t="str">
        <f>IF(Table4[[#This Row],[Adjusted Correct]]="-", "",IF(Table4[[#This Row],[Adjusted Correct]]="YES",(Table4[[#This Row],[Strength of Win]]-1)^2,(Table4[[#This Row],[Strength of Win]]-0)^2))</f>
        <v/>
      </c>
      <c r="P1284" s="11"/>
    </row>
    <row r="1285" spans="4:16" x14ac:dyDescent="0.2">
      <c r="D1285" s="1">
        <v>46125</v>
      </c>
      <c r="E1285" s="2">
        <v>0.79166666666666663</v>
      </c>
      <c r="F1285" t="s">
        <v>11</v>
      </c>
      <c r="G1285">
        <f>VLOOKUP(Table4[[#This Row],[Home]],'NHL Model'!$A$6:$B$38,2,FALSE)</f>
        <v>-0.55695213126481558</v>
      </c>
      <c r="H1285" t="s">
        <v>15</v>
      </c>
      <c r="I1285">
        <f>VLOOKUP(Table4[[#This Row],[Visitor]],'NHL Model'!$A$6:$B$38,2,FALSE)</f>
        <v>-0.73651915476403329</v>
      </c>
      <c r="J1285">
        <f>($B$1+Table4[[#This Row],[Home Differential]])-Table4[[#This Row],[Away Differential]]</f>
        <v>0.30917400931074179</v>
      </c>
      <c r="K1285" t="str">
        <f>IF(Table4[[#This Row],[HomeIce Differential]]&gt;0,Table4[[#This Row],[Home]],Table4[[#This Row],[Visitor]])</f>
        <v>Florida Panthers</v>
      </c>
      <c r="L128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0.53880235883412031</v>
      </c>
      <c r="M1285" t="str">
        <f>IF(OR((NHL2025_26Results[[#This Row],[Winning Team]]="")),"-",IF(Table4[[#This Row],[Predicted Winner]]=NHL2025_26Results[[#This Row],[Winning Team]],"YES","NO"))</f>
        <v>-</v>
      </c>
      <c r="N1285" t="str">
        <f>IF(Table4[[#This Row],[Adjusted Correct]]="-", "",IF(Table4[[#This Row],[Adjusted Correct]]="YES",(Table4[[#This Row],[Strength of Win]]-1)^2,(Table4[[#This Row],[Strength of Win]]-0)^2))</f>
        <v/>
      </c>
      <c r="P1285" s="11"/>
    </row>
    <row r="1286" spans="4:16" x14ac:dyDescent="0.2">
      <c r="D1286" s="1">
        <v>46125</v>
      </c>
      <c r="E1286" s="2">
        <v>0.83333333333333337</v>
      </c>
      <c r="F1286" t="s">
        <v>29</v>
      </c>
      <c r="G1286">
        <f>VLOOKUP(Table4[[#This Row],[Home]],'NHL Model'!$A$6:$B$38,2,FALSE)</f>
        <v>-0.82056481120798741</v>
      </c>
      <c r="H1286" t="s">
        <v>33</v>
      </c>
      <c r="I1286">
        <f>VLOOKUP(Table4[[#This Row],[Visitor]],'NHL Model'!$A$6:$B$38,2,FALSE)</f>
        <v>-0.65236582493376272</v>
      </c>
      <c r="J1286">
        <f>($B$1+Table4[[#This Row],[Home Differential]])-Table4[[#This Row],[Away Differential]]</f>
        <v>-3.8592000462700615E-2</v>
      </c>
      <c r="K1286" t="str">
        <f>IF(Table4[[#This Row],[HomeIce Differential]]&gt;0,Table4[[#This Row],[Home]],Table4[[#This Row],[Visitor]])</f>
        <v>San Jose Sharks</v>
      </c>
      <c r="L128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0.46433364493606533</v>
      </c>
      <c r="M1286" t="str">
        <f>IF(OR((NHL2025_26Results[[#This Row],[Winning Team]]="")),"-",IF(Table4[[#This Row],[Predicted Winner]]=NHL2025_26Results[[#This Row],[Winning Team]],"YES","NO"))</f>
        <v>-</v>
      </c>
      <c r="N1286" t="str">
        <f>IF(Table4[[#This Row],[Adjusted Correct]]="-", "",IF(Table4[[#This Row],[Adjusted Correct]]="YES",(Table4[[#This Row],[Strength of Win]]-1)^2,(Table4[[#This Row],[Strength of Win]]-0)^2))</f>
        <v/>
      </c>
      <c r="P1286" s="11"/>
    </row>
    <row r="1287" spans="4:16" x14ac:dyDescent="0.2">
      <c r="D1287" s="1">
        <v>46125</v>
      </c>
      <c r="E1287" s="2">
        <v>0.79166666666666663</v>
      </c>
      <c r="F1287" t="s">
        <v>27</v>
      </c>
      <c r="G1287">
        <f>VLOOKUP(Table4[[#This Row],[Home]],'NHL Model'!$A$6:$B$38,2,FALSE)</f>
        <v>-0.55097933929175691</v>
      </c>
      <c r="H1287" t="s">
        <v>25</v>
      </c>
      <c r="I1287">
        <f>VLOOKUP(Table4[[#This Row],[Visitor]],'NHL Model'!$A$6:$B$38,2,FALSE)</f>
        <v>0.2324942014830165</v>
      </c>
      <c r="J1287">
        <f>($B$1+Table4[[#This Row],[Home Differential]])-Table4[[#This Row],[Away Differential]]</f>
        <v>-0.6538665549632493</v>
      </c>
      <c r="K1287" t="str">
        <f>IF(Table4[[#This Row],[HomeIce Differential]]&gt;0,Table4[[#This Row],[Home]],Table4[[#This Row],[Visitor]])</f>
        <v>Carolina Hurricanes</v>
      </c>
      <c r="L128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0.58995412905072897</v>
      </c>
      <c r="M1287" t="str">
        <f>IF(OR((NHL2025_26Results[[#This Row],[Winning Team]]="")),"-",IF(Table4[[#This Row],[Predicted Winner]]=NHL2025_26Results[[#This Row],[Winning Team]],"YES","NO"))</f>
        <v>-</v>
      </c>
      <c r="N1287" t="str">
        <f>IF(Table4[[#This Row],[Adjusted Correct]]="-", "",IF(Table4[[#This Row],[Adjusted Correct]]="YES",(Table4[[#This Row],[Strength of Win]]-1)^2,(Table4[[#This Row],[Strength of Win]]-0)^2))</f>
        <v/>
      </c>
      <c r="P1287" s="11"/>
    </row>
    <row r="1288" spans="4:16" x14ac:dyDescent="0.2">
      <c r="D1288" s="1">
        <v>46125</v>
      </c>
      <c r="E1288" s="2">
        <v>0.89583333333333337</v>
      </c>
      <c r="F1288" t="s">
        <v>32</v>
      </c>
      <c r="G1288">
        <f>VLOOKUP(Table4[[#This Row],[Home]],'NHL Model'!$A$6:$B$38,2,FALSE)</f>
        <v>-0.48236715437805205</v>
      </c>
      <c r="H1288" t="s">
        <v>13</v>
      </c>
      <c r="I1288">
        <f>VLOOKUP(Table4[[#This Row],[Visitor]],'NHL Model'!$A$6:$B$38,2,FALSE)</f>
        <v>-0.59069689888466137</v>
      </c>
      <c r="J1288">
        <f>($B$1+Table4[[#This Row],[Home Differential]])-Table4[[#This Row],[Away Differential]]</f>
        <v>0.23793673031813345</v>
      </c>
      <c r="K1288" t="str">
        <f>IF(Table4[[#This Row],[HomeIce Differential]]&gt;0,Table4[[#This Row],[Home]],Table4[[#This Row],[Visitor]])</f>
        <v>Seattle Kraken</v>
      </c>
      <c r="L128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0.54594960458743125</v>
      </c>
      <c r="M1288" t="str">
        <f>IF(OR((NHL2025_26Results[[#This Row],[Winning Team]]="")),"-",IF(Table4[[#This Row],[Predicted Winner]]=NHL2025_26Results[[#This Row],[Winning Team]],"YES","NO"))</f>
        <v>-</v>
      </c>
      <c r="N1288" t="str">
        <f>IF(Table4[[#This Row],[Adjusted Correct]]="-", "",IF(Table4[[#This Row],[Adjusted Correct]]="YES",(Table4[[#This Row],[Strength of Win]]-1)^2,(Table4[[#This Row],[Strength of Win]]-0)^2))</f>
        <v/>
      </c>
      <c r="P1288" s="11"/>
    </row>
    <row r="1289" spans="4:16" x14ac:dyDescent="0.2">
      <c r="D1289" s="1">
        <v>46125</v>
      </c>
      <c r="E1289" s="2">
        <v>0.83333333333333337</v>
      </c>
      <c r="F1289" t="s">
        <v>35</v>
      </c>
      <c r="G1289">
        <f>VLOOKUP(Table4[[#This Row],[Home]],'NHL Model'!$A$6:$B$38,2,FALSE)</f>
        <v>-1.3128572733047907</v>
      </c>
      <c r="H1289" t="s">
        <v>34</v>
      </c>
      <c r="I1289">
        <f>VLOOKUP(Table4[[#This Row],[Visitor]],'NHL Model'!$A$6:$B$38,2,FALSE)</f>
        <v>6.0485283743665949E-2</v>
      </c>
      <c r="J1289">
        <f>($B$1+Table4[[#This Row],[Home Differential]])-Table4[[#This Row],[Away Differential]]</f>
        <v>-1.2437355712369327</v>
      </c>
      <c r="K1289" t="str">
        <f>IF(Table4[[#This Row],[HomeIce Differential]]&gt;0,Table4[[#This Row],[Home]],Table4[[#This Row],[Visitor]])</f>
        <v>Minnesota Wild</v>
      </c>
      <c r="L128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0.66892913110817576</v>
      </c>
      <c r="M1289" t="str">
        <f>IF(OR((NHL2025_26Results[[#This Row],[Winning Team]]="")),"-",IF(Table4[[#This Row],[Predicted Winner]]=NHL2025_26Results[[#This Row],[Winning Team]],"YES","NO"))</f>
        <v>-</v>
      </c>
      <c r="N1289" t="str">
        <f>IF(Table4[[#This Row],[Adjusted Correct]]="-", "",IF(Table4[[#This Row],[Adjusted Correct]]="YES",(Table4[[#This Row],[Strength of Win]]-1)^2,(Table4[[#This Row],[Strength of Win]]-0)^2))</f>
        <v/>
      </c>
      <c r="P1289" s="11"/>
    </row>
    <row r="1290" spans="4:16" x14ac:dyDescent="0.2">
      <c r="D1290" s="1">
        <v>46125</v>
      </c>
      <c r="E1290" s="2">
        <v>0.79166666666666663</v>
      </c>
      <c r="F1290" t="s">
        <v>37</v>
      </c>
      <c r="G1290">
        <f>VLOOKUP(Table4[[#This Row],[Home]],'NHL Model'!$A$6:$B$38,2,FALSE)</f>
        <v>0.72108184732572844</v>
      </c>
      <c r="H1290" t="s">
        <v>26</v>
      </c>
      <c r="I1290">
        <f>VLOOKUP(Table4[[#This Row],[Visitor]],'NHL Model'!$A$6:$B$38,2,FALSE)</f>
        <v>-0.33113778518110382</v>
      </c>
      <c r="J1290">
        <f>($B$1+Table4[[#This Row],[Home Differential]])-Table4[[#This Row],[Away Differential]]</f>
        <v>1.1818266183183563</v>
      </c>
      <c r="K1290" t="str">
        <f>IF(Table4[[#This Row],[HomeIce Differential]]&gt;0,Table4[[#This Row],[Home]],Table4[[#This Row],[Visitor]])</f>
        <v>Tampa Bay Lightning</v>
      </c>
      <c r="L129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0.69153540955212223</v>
      </c>
      <c r="M1290" t="str">
        <f>IF(OR((NHL2025_26Results[[#This Row],[Winning Team]]="")),"-",IF(Table4[[#This Row],[Predicted Winner]]=NHL2025_26Results[[#This Row],[Winning Team]],"YES","NO"))</f>
        <v>-</v>
      </c>
      <c r="N1290" t="str">
        <f>IF(Table4[[#This Row],[Adjusted Correct]]="-", "",IF(Table4[[#This Row],[Adjusted Correct]]="YES",(Table4[[#This Row],[Strength of Win]]-1)^2,(Table4[[#This Row],[Strength of Win]]-0)^2))</f>
        <v/>
      </c>
      <c r="P1290" s="11"/>
    </row>
    <row r="1291" spans="4:16" x14ac:dyDescent="0.2">
      <c r="D1291" s="1">
        <v>46125</v>
      </c>
      <c r="E1291" s="2">
        <v>0.8125</v>
      </c>
      <c r="F1291" t="s">
        <v>19</v>
      </c>
      <c r="G1291">
        <f>VLOOKUP(Table4[[#This Row],[Home]],'NHL Model'!$A$6:$B$38,2,FALSE)</f>
        <v>-0.44228056828684137</v>
      </c>
      <c r="H1291" t="s">
        <v>39</v>
      </c>
      <c r="I1291">
        <f>VLOOKUP(Table4[[#This Row],[Visitor]],'NHL Model'!$A$6:$B$38,2,FALSE)</f>
        <v>0.21708030788125537</v>
      </c>
      <c r="J1291">
        <f>($B$1+Table4[[#This Row],[Home Differential]])-Table4[[#This Row],[Away Differential]]</f>
        <v>-0.52975389035657261</v>
      </c>
      <c r="K1291" t="str">
        <f>IF(Table4[[#This Row],[HomeIce Differential]]&gt;0,Table4[[#This Row],[Home]],Table4[[#This Row],[Visitor]])</f>
        <v>Dallas Stars</v>
      </c>
      <c r="L129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0.57762282750464533</v>
      </c>
      <c r="M1291" t="str">
        <f>IF(OR((NHL2025_26Results[[#This Row],[Winning Team]]="")),"-",IF(Table4[[#This Row],[Predicted Winner]]=NHL2025_26Results[[#This Row],[Winning Team]],"YES","NO"))</f>
        <v>-</v>
      </c>
      <c r="N1291" t="str">
        <f>IF(Table4[[#This Row],[Adjusted Correct]]="-", "",IF(Table4[[#This Row],[Adjusted Correct]]="YES",(Table4[[#This Row],[Strength of Win]]-1)^2,(Table4[[#This Row],[Strength of Win]]-0)^2))</f>
        <v/>
      </c>
      <c r="P1291" s="11"/>
    </row>
    <row r="1292" spans="4:16" x14ac:dyDescent="0.2">
      <c r="D1292" s="1">
        <v>46125</v>
      </c>
      <c r="E1292" s="2">
        <v>0.91666666666666663</v>
      </c>
      <c r="F1292" t="s">
        <v>20</v>
      </c>
      <c r="G1292">
        <f>VLOOKUP(Table4[[#This Row],[Home]],'NHL Model'!$A$6:$B$38,2,FALSE)</f>
        <v>-0.16296463421387539</v>
      </c>
      <c r="H1292" t="s">
        <v>40</v>
      </c>
      <c r="I1292">
        <f>VLOOKUP(Table4[[#This Row],[Visitor]],'NHL Model'!$A$6:$B$38,2,FALSE)</f>
        <v>-0.58845147248022256</v>
      </c>
      <c r="J1292">
        <f>($B$1+Table4[[#This Row],[Home Differential]])-Table4[[#This Row],[Away Differential]]</f>
        <v>0.55509382407787133</v>
      </c>
      <c r="K1292" t="str">
        <f>IF(Table4[[#This Row],[HomeIce Differential]]&gt;0,Table4[[#This Row],[Home]],Table4[[#This Row],[Visitor]])</f>
        <v>Vegas Golden Knights</v>
      </c>
      <c r="L129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0.60233363160536879</v>
      </c>
      <c r="M1292" t="str">
        <f>IF(OR((NHL2025_26Results[[#This Row],[Winning Team]]="")),"-",IF(Table4[[#This Row],[Predicted Winner]]=NHL2025_26Results[[#This Row],[Winning Team]],"YES","NO"))</f>
        <v>-</v>
      </c>
      <c r="N1292" t="str">
        <f>IF(Table4[[#This Row],[Adjusted Correct]]="-", "",IF(Table4[[#This Row],[Adjusted Correct]]="YES",(Table4[[#This Row],[Strength of Win]]-1)^2,(Table4[[#This Row],[Strength of Win]]-0)^2))</f>
        <v/>
      </c>
      <c r="P1292" s="11"/>
    </row>
    <row r="1293" spans="4:16" x14ac:dyDescent="0.2">
      <c r="D1293" s="1">
        <v>46126</v>
      </c>
      <c r="E1293" s="2">
        <v>0.79166666666666663</v>
      </c>
      <c r="F1293" t="s">
        <v>21</v>
      </c>
      <c r="G1293">
        <f>VLOOKUP(Table4[[#This Row],[Home]],'NHL Model'!$A$6:$B$38,2,FALSE)</f>
        <v>-0.10253061303059285</v>
      </c>
      <c r="H1293" t="s">
        <v>24</v>
      </c>
      <c r="I1293">
        <f>VLOOKUP(Table4[[#This Row],[Visitor]],'NHL Model'!$A$6:$B$38,2,FALSE)</f>
        <v>-0.74510803532792402</v>
      </c>
      <c r="J1293">
        <f>($B$1+Table4[[#This Row],[Home Differential]])-Table4[[#This Row],[Away Differential]]</f>
        <v>0.77218440810885525</v>
      </c>
      <c r="K1293" t="str">
        <f>IF(Table4[[#This Row],[HomeIce Differential]]&gt;0,Table4[[#This Row],[Home]],Table4[[#This Row],[Visitor]])</f>
        <v>Boston Bruins</v>
      </c>
      <c r="L129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0.6581401440288005</v>
      </c>
      <c r="M1293" t="str">
        <f>IF(OR((NHL2025_26Results[[#This Row],[Winning Team]]="")),"-",IF(Table4[[#This Row],[Predicted Winner]]=NHL2025_26Results[[#This Row],[Winning Team]],"YES","NO"))</f>
        <v>-</v>
      </c>
      <c r="N1293" t="str">
        <f>IF(Table4[[#This Row],[Adjusted Correct]]="-", "",IF(Table4[[#This Row],[Adjusted Correct]]="YES",(Table4[[#This Row],[Strength of Win]]-1)^2,(Table4[[#This Row],[Strength of Win]]-0)^2))</f>
        <v/>
      </c>
      <c r="P1293" s="11"/>
    </row>
    <row r="1294" spans="4:16" x14ac:dyDescent="0.2">
      <c r="D1294" s="1">
        <v>46126</v>
      </c>
      <c r="E1294" s="2">
        <v>0.79166666666666663</v>
      </c>
      <c r="F1294" t="s">
        <v>28</v>
      </c>
      <c r="G1294">
        <f>VLOOKUP(Table4[[#This Row],[Home]],'NHL Model'!$A$6:$B$38,2,FALSE)</f>
        <v>-0.28156479873410767</v>
      </c>
      <c r="H1294" t="s">
        <v>22</v>
      </c>
      <c r="I1294">
        <f>VLOOKUP(Table4[[#This Row],[Visitor]],'NHL Model'!$A$6:$B$38,2,FALSE)</f>
        <v>-0.11977593183651415</v>
      </c>
      <c r="J1294">
        <f>($B$1+Table4[[#This Row],[Home Differential]])-Table4[[#This Row],[Away Differential]]</f>
        <v>-3.2181881086069411E-2</v>
      </c>
      <c r="K1294" t="str">
        <f>IF(Table4[[#This Row],[HomeIce Differential]]&gt;0,Table4[[#This Row],[Home]],Table4[[#This Row],[Visitor]])</f>
        <v>Washington Capitals</v>
      </c>
      <c r="L129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0.45656787598855075</v>
      </c>
      <c r="M1294" t="str">
        <f>IF(OR((NHL2025_26Results[[#This Row],[Winning Team]]="")),"-",IF(Table4[[#This Row],[Predicted Winner]]=NHL2025_26Results[[#This Row],[Winning Team]],"YES","NO"))</f>
        <v>-</v>
      </c>
      <c r="N1294" t="str">
        <f>IF(Table4[[#This Row],[Adjusted Correct]]="-", "",IF(Table4[[#This Row],[Adjusted Correct]]="YES",(Table4[[#This Row],[Strength of Win]]-1)^2,(Table4[[#This Row],[Strength of Win]]-0)^2))</f>
        <v/>
      </c>
      <c r="P1294" s="11"/>
    </row>
    <row r="1295" spans="4:16" x14ac:dyDescent="0.2">
      <c r="D1295" s="1">
        <v>46126</v>
      </c>
      <c r="E1295" s="2">
        <v>0.875</v>
      </c>
      <c r="F1295" t="s">
        <v>16</v>
      </c>
      <c r="G1295">
        <f>VLOOKUP(Table4[[#This Row],[Home]],'NHL Model'!$A$6:$B$38,2,FALSE)</f>
        <v>-0.89031221864884547</v>
      </c>
      <c r="H1295" t="s">
        <v>12</v>
      </c>
      <c r="I1295">
        <f>VLOOKUP(Table4[[#This Row],[Visitor]],'NHL Model'!$A$6:$B$38,2,FALSE)</f>
        <v>0.99866683349964291</v>
      </c>
      <c r="J1295">
        <f>($B$1+Table4[[#This Row],[Home Differential]])-Table4[[#This Row],[Away Differential]]</f>
        <v>-1.7593720663369643</v>
      </c>
      <c r="K1295" t="str">
        <f>IF(Table4[[#This Row],[HomeIce Differential]]&gt;0,Table4[[#This Row],[Home]],Table4[[#This Row],[Visitor]])</f>
        <v>Colorado Avalanche</v>
      </c>
      <c r="L129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0.72683194669298756</v>
      </c>
      <c r="M1295" t="str">
        <f>IF(OR((NHL2025_26Results[[#This Row],[Winning Team]]="")),"-",IF(Table4[[#This Row],[Predicted Winner]]=NHL2025_26Results[[#This Row],[Winning Team]],"YES","NO"))</f>
        <v>-</v>
      </c>
      <c r="N1295" t="str">
        <f>IF(Table4[[#This Row],[Adjusted Correct]]="-", "",IF(Table4[[#This Row],[Adjusted Correct]]="YES",(Table4[[#This Row],[Strength of Win]]-1)^2,(Table4[[#This Row],[Strength of Win]]-0)^2))</f>
        <v/>
      </c>
      <c r="P1295" s="11"/>
    </row>
    <row r="1296" spans="4:16" x14ac:dyDescent="0.2">
      <c r="D1296" s="1">
        <v>46126</v>
      </c>
      <c r="E1296" s="2">
        <v>0.83333333333333337</v>
      </c>
      <c r="F1296" t="s">
        <v>34</v>
      </c>
      <c r="G1296">
        <f>VLOOKUP(Table4[[#This Row],[Home]],'NHL Model'!$A$6:$B$38,2,FALSE)</f>
        <v>6.0485283743665949E-2</v>
      </c>
      <c r="H1296" t="s">
        <v>31</v>
      </c>
      <c r="I1296">
        <f>VLOOKUP(Table4[[#This Row],[Visitor]],'NHL Model'!$A$6:$B$38,2,FALSE)</f>
        <v>-0.46360583111358089</v>
      </c>
      <c r="J1296">
        <f>($B$1+Table4[[#This Row],[Home Differential]])-Table4[[#This Row],[Away Differential]]</f>
        <v>0.65369810066877099</v>
      </c>
      <c r="K1296" t="str">
        <f>IF(Table4[[#This Row],[HomeIce Differential]]&gt;0,Table4[[#This Row],[Home]],Table4[[#This Row],[Visitor]])</f>
        <v>Minnesota Wild</v>
      </c>
      <c r="L129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0.62535433899494253</v>
      </c>
      <c r="M1296" t="str">
        <f>IF(OR((NHL2025_26Results[[#This Row],[Winning Team]]="")),"-",IF(Table4[[#This Row],[Predicted Winner]]=NHL2025_26Results[[#This Row],[Winning Team]],"YES","NO"))</f>
        <v>-</v>
      </c>
      <c r="N1296" t="str">
        <f>IF(Table4[[#This Row],[Adjusted Correct]]="-", "",IF(Table4[[#This Row],[Adjusted Correct]]="YES",(Table4[[#This Row],[Strength of Win]]-1)^2,(Table4[[#This Row],[Strength of Win]]-0)^2))</f>
        <v/>
      </c>
      <c r="P1296" s="11"/>
    </row>
    <row r="1297" spans="4:16" x14ac:dyDescent="0.2">
      <c r="D1297" s="1">
        <v>46126</v>
      </c>
      <c r="E1297" s="2">
        <v>0.79166666666666663</v>
      </c>
      <c r="F1297" t="s">
        <v>30</v>
      </c>
      <c r="G1297">
        <f>VLOOKUP(Table4[[#This Row],[Home]],'NHL Model'!$A$6:$B$38,2,FALSE)</f>
        <v>-0.18630462558229716</v>
      </c>
      <c r="H1297" t="s">
        <v>25</v>
      </c>
      <c r="I1297">
        <f>VLOOKUP(Table4[[#This Row],[Visitor]],'NHL Model'!$A$6:$B$38,2,FALSE)</f>
        <v>0.2324942014830165</v>
      </c>
      <c r="J1297">
        <f>($B$1+Table4[[#This Row],[Home Differential]])-Table4[[#This Row],[Away Differential]]</f>
        <v>-0.28919184125378955</v>
      </c>
      <c r="K1297" t="str">
        <f>IF(Table4[[#This Row],[HomeIce Differential]]&gt;0,Table4[[#This Row],[Home]],Table4[[#This Row],[Visitor]])</f>
        <v>Carolina Hurricanes</v>
      </c>
      <c r="L129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0.5348668144233677</v>
      </c>
      <c r="M1297" t="str">
        <f>IF(OR((NHL2025_26Results[[#This Row],[Winning Team]]="")),"-",IF(Table4[[#This Row],[Predicted Winner]]=NHL2025_26Results[[#This Row],[Winning Team]],"YES","NO"))</f>
        <v>-</v>
      </c>
      <c r="N1297" t="str">
        <f>IF(Table4[[#This Row],[Adjusted Correct]]="-", "",IF(Table4[[#This Row],[Adjusted Correct]]="YES",(Table4[[#This Row],[Strength of Win]]-1)^2,(Table4[[#This Row],[Strength of Win]]-0)^2))</f>
        <v/>
      </c>
      <c r="P1297" s="11"/>
    </row>
    <row r="1298" spans="4:16" x14ac:dyDescent="0.2">
      <c r="D1298" s="1">
        <v>46126</v>
      </c>
      <c r="E1298" s="2">
        <v>0.79166666666666663</v>
      </c>
      <c r="F1298" t="s">
        <v>27</v>
      </c>
      <c r="G1298">
        <f>VLOOKUP(Table4[[#This Row],[Home]],'NHL Model'!$A$6:$B$38,2,FALSE)</f>
        <v>-0.55097933929175691</v>
      </c>
      <c r="H1298" t="s">
        <v>18</v>
      </c>
      <c r="I1298">
        <f>VLOOKUP(Table4[[#This Row],[Visitor]],'NHL Model'!$A$6:$B$38,2,FALSE)</f>
        <v>-8.6274676766085606E-2</v>
      </c>
      <c r="J1298">
        <f>($B$1+Table4[[#This Row],[Home Differential]])-Table4[[#This Row],[Away Differential]]</f>
        <v>-0.33509767671414725</v>
      </c>
      <c r="K1298" t="str">
        <f>IF(Table4[[#This Row],[HomeIce Differential]]&gt;0,Table4[[#This Row],[Home]],Table4[[#This Row],[Visitor]])</f>
        <v>Montreal Canadiens</v>
      </c>
      <c r="L129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0.54299896515493051</v>
      </c>
      <c r="M1298" t="str">
        <f>IF(OR((NHL2025_26Results[[#This Row],[Winning Team]]="")),"-",IF(Table4[[#This Row],[Predicted Winner]]=NHL2025_26Results[[#This Row],[Winning Team]],"YES","NO"))</f>
        <v>-</v>
      </c>
      <c r="N1298" t="str">
        <f>IF(Table4[[#This Row],[Adjusted Correct]]="-", "",IF(Table4[[#This Row],[Adjusted Correct]]="YES",(Table4[[#This Row],[Strength of Win]]-1)^2,(Table4[[#This Row],[Strength of Win]]-0)^2))</f>
        <v/>
      </c>
      <c r="P1298" s="11"/>
    </row>
    <row r="1299" spans="4:16" x14ac:dyDescent="0.2">
      <c r="D1299" s="1">
        <v>46126</v>
      </c>
      <c r="E1299" s="2">
        <v>0.89583333333333337</v>
      </c>
      <c r="F1299" t="s">
        <v>35</v>
      </c>
      <c r="G1299">
        <f>VLOOKUP(Table4[[#This Row],[Home]],'NHL Model'!$A$6:$B$38,2,FALSE)</f>
        <v>-1.3128572733047907</v>
      </c>
      <c r="H1299" t="s">
        <v>14</v>
      </c>
      <c r="I1299">
        <f>VLOOKUP(Table4[[#This Row],[Visitor]],'NHL Model'!$A$6:$B$38,2,FALSE)</f>
        <v>3.6349513460996066E-5</v>
      </c>
      <c r="J1299">
        <f>($B$1+Table4[[#This Row],[Home Differential]])-Table4[[#This Row],[Away Differential]]</f>
        <v>-1.1832866370067276</v>
      </c>
      <c r="K1299" t="str">
        <f>IF(Table4[[#This Row],[HomeIce Differential]]&gt;0,Table4[[#This Row],[Home]],Table4[[#This Row],[Visitor]])</f>
        <v>Pittsburgh Penguins</v>
      </c>
      <c r="L129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0.64701464876430803</v>
      </c>
      <c r="M1299" t="str">
        <f>IF(OR((NHL2025_26Results[[#This Row],[Winning Team]]="")),"-",IF(Table4[[#This Row],[Predicted Winner]]=NHL2025_26Results[[#This Row],[Winning Team]],"YES","NO"))</f>
        <v>-</v>
      </c>
      <c r="N1299" t="str">
        <f>IF(Table4[[#This Row],[Adjusted Correct]]="-", "",IF(Table4[[#This Row],[Adjusted Correct]]="YES",(Table4[[#This Row],[Strength of Win]]-1)^2,(Table4[[#This Row],[Strength of Win]]-0)^2))</f>
        <v/>
      </c>
      <c r="P1299" s="11"/>
    </row>
    <row r="1300" spans="4:16" x14ac:dyDescent="0.2">
      <c r="D1300" s="1">
        <v>46126</v>
      </c>
      <c r="E1300" s="2">
        <v>0.875</v>
      </c>
      <c r="F1300" t="s">
        <v>55</v>
      </c>
      <c r="G1300">
        <f>VLOOKUP(Table4[[#This Row],[Home]],'NHL Model'!$A$6:$B$38,2,FALSE)</f>
        <v>8.4094725828611647E-2</v>
      </c>
      <c r="H1300" t="s">
        <v>40</v>
      </c>
      <c r="I1300">
        <f>VLOOKUP(Table4[[#This Row],[Visitor]],'NHL Model'!$A$6:$B$38,2,FALSE)</f>
        <v>-0.58845147248022256</v>
      </c>
      <c r="J1300">
        <f>($B$1+Table4[[#This Row],[Home Differential]])-Table4[[#This Row],[Away Differential]]</f>
        <v>0.8021531841203583</v>
      </c>
      <c r="K1300" t="str">
        <f>IF(Table4[[#This Row],[HomeIce Differential]]&gt;0,Table4[[#This Row],[Home]],Table4[[#This Row],[Visitor]])</f>
        <v>Utah Mammoth</v>
      </c>
      <c r="L130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0.65901931873593822</v>
      </c>
      <c r="M1300" t="str">
        <f>IF(OR((NHL2025_26Results[[#This Row],[Winning Team]]="")),"-",IF(Table4[[#This Row],[Predicted Winner]]=NHL2025_26Results[[#This Row],[Winning Team]],"YES","NO"))</f>
        <v>-</v>
      </c>
      <c r="N1300" t="str">
        <f>IF(Table4[[#This Row],[Adjusted Correct]]="-", "",IF(Table4[[#This Row],[Adjusted Correct]]="YES",(Table4[[#This Row],[Strength of Win]]-1)^2,(Table4[[#This Row],[Strength of Win]]-0)^2))</f>
        <v/>
      </c>
      <c r="P1300" s="11"/>
    </row>
    <row r="1301" spans="4:16" x14ac:dyDescent="0.2">
      <c r="D1301" s="1">
        <v>46126</v>
      </c>
      <c r="E1301" s="2">
        <v>0.91666666666666663</v>
      </c>
      <c r="F1301" t="s">
        <v>38</v>
      </c>
      <c r="G1301">
        <f>VLOOKUP(Table4[[#This Row],[Home]],'NHL Model'!$A$6:$B$38,2,FALSE)</f>
        <v>-1.3920033028857945</v>
      </c>
      <c r="H1301" t="s">
        <v>13</v>
      </c>
      <c r="I1301">
        <f>VLOOKUP(Table4[[#This Row],[Visitor]],'NHL Model'!$A$6:$B$38,2,FALSE)</f>
        <v>-0.59069689888466137</v>
      </c>
      <c r="J1301">
        <f>($B$1+Table4[[#This Row],[Home Differential]])-Table4[[#This Row],[Away Differential]]</f>
        <v>-0.6716994181896091</v>
      </c>
      <c r="K1301" t="str">
        <f>IF(Table4[[#This Row],[HomeIce Differential]]&gt;0,Table4[[#This Row],[Home]],Table4[[#This Row],[Visitor]])</f>
        <v>Los Angeles Kings</v>
      </c>
      <c r="L130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0.55619695535709779</v>
      </c>
      <c r="M1301" t="str">
        <f>IF(OR((NHL2025_26Results[[#This Row],[Winning Team]]="")),"-",IF(Table4[[#This Row],[Predicted Winner]]=NHL2025_26Results[[#This Row],[Winning Team]],"YES","NO"))</f>
        <v>-</v>
      </c>
      <c r="N1301" t="str">
        <f>IF(Table4[[#This Row],[Adjusted Correct]]="-", "",IF(Table4[[#This Row],[Adjusted Correct]]="YES",(Table4[[#This Row],[Strength of Win]]-1)^2,(Table4[[#This Row],[Strength of Win]]-0)^2))</f>
        <v/>
      </c>
      <c r="P1301" s="11"/>
    </row>
    <row r="1302" spans="4:16" x14ac:dyDescent="0.2">
      <c r="D1302" s="1">
        <v>46127</v>
      </c>
      <c r="E1302" s="2">
        <v>0.79166666666666663</v>
      </c>
      <c r="F1302" t="s">
        <v>23</v>
      </c>
      <c r="G1302">
        <f>VLOOKUP(Table4[[#This Row],[Home]],'NHL Model'!$A$6:$B$38,2,FALSE)</f>
        <v>8.1543966060426461E-3</v>
      </c>
      <c r="H1302" t="s">
        <v>39</v>
      </c>
      <c r="I1302">
        <f>VLOOKUP(Table4[[#This Row],[Visitor]],'NHL Model'!$A$6:$B$38,2,FALSE)</f>
        <v>0.21708030788125537</v>
      </c>
      <c r="J1302">
        <f>($B$1+Table4[[#This Row],[Home Differential]])-Table4[[#This Row],[Away Differential]]</f>
        <v>-7.9318925463688628E-2</v>
      </c>
      <c r="K1302" t="str">
        <f>IF(Table4[[#This Row],[HomeIce Differential]]&gt;0,Table4[[#This Row],[Home]],Table4[[#This Row],[Visitor]])</f>
        <v>Dallas Stars</v>
      </c>
      <c r="L130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0.49775280959790885</v>
      </c>
      <c r="M1302" t="str">
        <f>IF(OR((NHL2025_26Results[[#This Row],[Winning Team]]="")),"-",IF(Table4[[#This Row],[Predicted Winner]]=NHL2025_26Results[[#This Row],[Winning Team]],"YES","NO"))</f>
        <v>-</v>
      </c>
      <c r="N1302" t="str">
        <f>IF(Table4[[#This Row],[Adjusted Correct]]="-", "",IF(Table4[[#This Row],[Adjusted Correct]]="YES",(Table4[[#This Row],[Strength of Win]]-1)^2,(Table4[[#This Row],[Strength of Win]]-0)^2))</f>
        <v/>
      </c>
      <c r="P1302" s="11"/>
    </row>
    <row r="1303" spans="4:16" x14ac:dyDescent="0.2">
      <c r="D1303" s="1">
        <v>46127</v>
      </c>
      <c r="E1303" s="2">
        <v>0.85416666666666663</v>
      </c>
      <c r="F1303" t="s">
        <v>10</v>
      </c>
      <c r="G1303">
        <f>VLOOKUP(Table4[[#This Row],[Home]],'NHL Model'!$A$6:$B$38,2,FALSE)</f>
        <v>-0.92658078135875344</v>
      </c>
      <c r="H1303" t="s">
        <v>33</v>
      </c>
      <c r="I1303">
        <f>VLOOKUP(Table4[[#This Row],[Visitor]],'NHL Model'!$A$6:$B$38,2,FALSE)</f>
        <v>-0.65236582493376272</v>
      </c>
      <c r="J1303">
        <f>($B$1+Table4[[#This Row],[Home Differential]])-Table4[[#This Row],[Away Differential]]</f>
        <v>-0.14460797061346664</v>
      </c>
      <c r="K1303" t="str">
        <f>IF(Table4[[#This Row],[HomeIce Differential]]&gt;0,Table4[[#This Row],[Home]],Table4[[#This Row],[Visitor]])</f>
        <v>San Jose Sharks</v>
      </c>
      <c r="L130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0.47623858810245978</v>
      </c>
      <c r="M1303" t="str">
        <f>IF(OR((NHL2025_26Results[[#This Row],[Winning Team]]="")),"-",IF(Table4[[#This Row],[Predicted Winner]]=NHL2025_26Results[[#This Row],[Winning Team]],"YES","NO"))</f>
        <v>-</v>
      </c>
      <c r="N1303" t="str">
        <f>IF(Table4[[#This Row],[Adjusted Correct]]="-", "",IF(Table4[[#This Row],[Adjusted Correct]]="YES",(Table4[[#This Row],[Strength of Win]]-1)^2,(Table4[[#This Row],[Strength of Win]]-0)^2))</f>
        <v/>
      </c>
      <c r="P1303" s="11"/>
    </row>
    <row r="1304" spans="4:16" x14ac:dyDescent="0.2">
      <c r="D1304" s="1">
        <v>46127</v>
      </c>
      <c r="E1304" s="2">
        <v>0.79166666666666663</v>
      </c>
      <c r="F1304" t="s">
        <v>11</v>
      </c>
      <c r="G1304">
        <f>VLOOKUP(Table4[[#This Row],[Home]],'NHL Model'!$A$6:$B$38,2,FALSE)</f>
        <v>-0.55695213126481558</v>
      </c>
      <c r="H1304" t="s">
        <v>26</v>
      </c>
      <c r="I1304">
        <f>VLOOKUP(Table4[[#This Row],[Visitor]],'NHL Model'!$A$6:$B$38,2,FALSE)</f>
        <v>-0.33113778518110382</v>
      </c>
      <c r="J1304">
        <f>($B$1+Table4[[#This Row],[Home Differential]])-Table4[[#This Row],[Away Differential]]</f>
        <v>-9.6207360272187681E-2</v>
      </c>
      <c r="K1304" t="str">
        <f>IF(Table4[[#This Row],[HomeIce Differential]]&gt;0,Table4[[#This Row],[Home]],Table4[[#This Row],[Visitor]])</f>
        <v>Detroit Red Wings</v>
      </c>
      <c r="L1304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0.50881146456864346</v>
      </c>
      <c r="M1304" t="str">
        <f>IF(OR((NHL2025_26Results[[#This Row],[Winning Team]]="")),"-",IF(Table4[[#This Row],[Predicted Winner]]=NHL2025_26Results[[#This Row],[Winning Team]],"YES","NO"))</f>
        <v>-</v>
      </c>
      <c r="N1304" t="str">
        <f>IF(Table4[[#This Row],[Adjusted Correct]]="-", "",IF(Table4[[#This Row],[Adjusted Correct]]="YES",(Table4[[#This Row],[Strength of Win]]-1)^2,(Table4[[#This Row],[Strength of Win]]-0)^2))</f>
        <v/>
      </c>
      <c r="P1304" s="11"/>
    </row>
    <row r="1305" spans="4:16" x14ac:dyDescent="0.2">
      <c r="D1305" s="1">
        <v>46127</v>
      </c>
      <c r="E1305" s="2">
        <v>0.8125</v>
      </c>
      <c r="F1305" t="s">
        <v>36</v>
      </c>
      <c r="G1305">
        <f>VLOOKUP(Table4[[#This Row],[Home]],'NHL Model'!$A$6:$B$38,2,FALSE)</f>
        <v>-0.19010748264223354</v>
      </c>
      <c r="H1305" t="s">
        <v>19</v>
      </c>
      <c r="I1305">
        <f>VLOOKUP(Table4[[#This Row],[Visitor]],'NHL Model'!$A$6:$B$38,2,FALSE)</f>
        <v>-0.44228056828684137</v>
      </c>
      <c r="J1305">
        <f>($B$1+Table4[[#This Row],[Home Differential]])-Table4[[#This Row],[Away Differential]]</f>
        <v>0.38178007145613191</v>
      </c>
      <c r="K1305" t="str">
        <f>IF(Table4[[#This Row],[HomeIce Differential]]&gt;0,Table4[[#This Row],[Home]],Table4[[#This Row],[Visitor]])</f>
        <v>Ottawa Senators</v>
      </c>
      <c r="L1305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0.58287156025911657</v>
      </c>
      <c r="M1305" t="str">
        <f>IF(OR((NHL2025_26Results[[#This Row],[Winning Team]]="")),"-",IF(Table4[[#This Row],[Predicted Winner]]=NHL2025_26Results[[#This Row],[Winning Team]],"YES","NO"))</f>
        <v>-</v>
      </c>
      <c r="N1305" t="str">
        <f>IF(Table4[[#This Row],[Adjusted Correct]]="-", "",IF(Table4[[#This Row],[Adjusted Correct]]="YES",(Table4[[#This Row],[Strength of Win]]-1)^2,(Table4[[#This Row],[Strength of Win]]-0)^2))</f>
        <v/>
      </c>
      <c r="P1305" s="11"/>
    </row>
    <row r="1306" spans="4:16" x14ac:dyDescent="0.2">
      <c r="D1306" s="1">
        <v>46127</v>
      </c>
      <c r="E1306" s="2">
        <v>0.79166666666666663</v>
      </c>
      <c r="F1306" t="s">
        <v>37</v>
      </c>
      <c r="G1306">
        <f>VLOOKUP(Table4[[#This Row],[Home]],'NHL Model'!$A$6:$B$38,2,FALSE)</f>
        <v>0.72108184732572844</v>
      </c>
      <c r="H1306" t="s">
        <v>15</v>
      </c>
      <c r="I1306">
        <f>VLOOKUP(Table4[[#This Row],[Visitor]],'NHL Model'!$A$6:$B$38,2,FALSE)</f>
        <v>-0.73651915476403329</v>
      </c>
      <c r="J1306">
        <f>($B$1+Table4[[#This Row],[Home Differential]])-Table4[[#This Row],[Away Differential]]</f>
        <v>1.5872079879012859</v>
      </c>
      <c r="K1306" t="str">
        <f>IF(Table4[[#This Row],[HomeIce Differential]]&gt;0,Table4[[#This Row],[Home]],Table4[[#This Row],[Visitor]])</f>
        <v>Tampa Bay Lightning</v>
      </c>
      <c r="L1306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0.73911933026938614</v>
      </c>
      <c r="M1306" t="str">
        <f>IF(OR((NHL2025_26Results[[#This Row],[Winning Team]]="")),"-",IF(Table4[[#This Row],[Predicted Winner]]=NHL2025_26Results[[#This Row],[Winning Team]],"YES","NO"))</f>
        <v>-</v>
      </c>
      <c r="N1306" t="str">
        <f>IF(Table4[[#This Row],[Adjusted Correct]]="-", "",IF(Table4[[#This Row],[Adjusted Correct]]="YES",(Table4[[#This Row],[Strength of Win]]-1)^2,(Table4[[#This Row],[Strength of Win]]-0)^2))</f>
        <v/>
      </c>
      <c r="P1306" s="11"/>
    </row>
    <row r="1307" spans="4:16" x14ac:dyDescent="0.2">
      <c r="D1307" s="1">
        <v>46127</v>
      </c>
      <c r="E1307" s="2">
        <v>0.91666666666666663</v>
      </c>
      <c r="F1307" t="s">
        <v>20</v>
      </c>
      <c r="G1307">
        <f>VLOOKUP(Table4[[#This Row],[Home]],'NHL Model'!$A$6:$B$38,2,FALSE)</f>
        <v>-0.16296463421387539</v>
      </c>
      <c r="H1307" t="s">
        <v>32</v>
      </c>
      <c r="I1307">
        <f>VLOOKUP(Table4[[#This Row],[Visitor]],'NHL Model'!$A$6:$B$38,2,FALSE)</f>
        <v>-0.48236715437805205</v>
      </c>
      <c r="J1307">
        <f>($B$1+Table4[[#This Row],[Home Differential]])-Table4[[#This Row],[Away Differential]]</f>
        <v>0.44900950597570077</v>
      </c>
      <c r="K1307" t="str">
        <f>IF(Table4[[#This Row],[HomeIce Differential]]&gt;0,Table4[[#This Row],[Home]],Table4[[#This Row],[Visitor]])</f>
        <v>Vegas Golden Knights</v>
      </c>
      <c r="L1307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0.5904210133832648</v>
      </c>
      <c r="M1307" t="str">
        <f>IF(OR((NHL2025_26Results[[#This Row],[Winning Team]]="")),"-",IF(Table4[[#This Row],[Predicted Winner]]=NHL2025_26Results[[#This Row],[Winning Team]],"YES","NO"))</f>
        <v>-</v>
      </c>
      <c r="N1307" t="str">
        <f>IF(Table4[[#This Row],[Adjusted Correct]]="-", "",IF(Table4[[#This Row],[Adjusted Correct]]="YES",(Table4[[#This Row],[Strength of Win]]-1)^2,(Table4[[#This Row],[Strength of Win]]-0)^2))</f>
        <v/>
      </c>
      <c r="P1307" s="11"/>
    </row>
    <row r="1308" spans="4:16" x14ac:dyDescent="0.2">
      <c r="D1308" s="1">
        <v>46128</v>
      </c>
      <c r="E1308" s="2">
        <v>0.875</v>
      </c>
      <c r="F1308" t="s">
        <v>16</v>
      </c>
      <c r="G1308">
        <f>VLOOKUP(Table4[[#This Row],[Home]],'NHL Model'!$A$6:$B$38,2,FALSE)</f>
        <v>-0.89031221864884547</v>
      </c>
      <c r="H1308" t="s">
        <v>13</v>
      </c>
      <c r="I1308">
        <f>VLOOKUP(Table4[[#This Row],[Visitor]],'NHL Model'!$A$6:$B$38,2,FALSE)</f>
        <v>-0.59069689888466137</v>
      </c>
      <c r="J1308">
        <f>($B$1+Table4[[#This Row],[Home Differential]])-Table4[[#This Row],[Away Differential]]</f>
        <v>-0.17000833395266002</v>
      </c>
      <c r="K1308" t="str">
        <f>IF(Table4[[#This Row],[HomeIce Differential]]&gt;0,Table4[[#This Row],[Home]],Table4[[#This Row],[Visitor]])</f>
        <v>Los Angeles Kings</v>
      </c>
      <c r="L1308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0.49986012387374668</v>
      </c>
      <c r="M1308" t="str">
        <f>IF(OR((NHL2025_26Results[[#This Row],[Winning Team]]="")),"-",IF(Table4[[#This Row],[Predicted Winner]]=NHL2025_26Results[[#This Row],[Winning Team]],"YES","NO"))</f>
        <v>-</v>
      </c>
      <c r="N1308" t="str">
        <f>IF(Table4[[#This Row],[Adjusted Correct]]="-", "",IF(Table4[[#This Row],[Adjusted Correct]]="YES",(Table4[[#This Row],[Strength of Win]]-1)^2,(Table4[[#This Row],[Strength of Win]]-0)^2))</f>
        <v/>
      </c>
      <c r="P1308" s="11"/>
    </row>
    <row r="1309" spans="4:16" x14ac:dyDescent="0.2">
      <c r="D1309" s="1">
        <v>46128</v>
      </c>
      <c r="E1309" s="2">
        <v>0.9375</v>
      </c>
      <c r="F1309" t="s">
        <v>12</v>
      </c>
      <c r="G1309">
        <f>VLOOKUP(Table4[[#This Row],[Home]],'NHL Model'!$A$6:$B$38,2,FALSE)</f>
        <v>0.99866683349964291</v>
      </c>
      <c r="H1309" t="s">
        <v>32</v>
      </c>
      <c r="I1309">
        <f>VLOOKUP(Table4[[#This Row],[Visitor]],'NHL Model'!$A$6:$B$38,2,FALSE)</f>
        <v>-0.48236715437805205</v>
      </c>
      <c r="J1309">
        <f>($B$1+Table4[[#This Row],[Home Differential]])-Table4[[#This Row],[Away Differential]]</f>
        <v>1.6106409736892191</v>
      </c>
      <c r="K1309" t="str">
        <f>IF(Table4[[#This Row],[HomeIce Differential]]&gt;0,Table4[[#This Row],[Home]],Table4[[#This Row],[Visitor]])</f>
        <v>Colorado Avalanche</v>
      </c>
      <c r="L1309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0.80069981272766377</v>
      </c>
      <c r="M1309" t="str">
        <f>IF(OR((NHL2025_26Results[[#This Row],[Winning Team]]="")),"-",IF(Table4[[#This Row],[Predicted Winner]]=NHL2025_26Results[[#This Row],[Winning Team]],"YES","NO"))</f>
        <v>-</v>
      </c>
      <c r="N1309" t="str">
        <f>IF(Table4[[#This Row],[Adjusted Correct]]="-", "",IF(Table4[[#This Row],[Adjusted Correct]]="YES",(Table4[[#This Row],[Strength of Win]]-1)^2,(Table4[[#This Row],[Strength of Win]]-0)^2))</f>
        <v/>
      </c>
      <c r="P1309" s="11"/>
    </row>
    <row r="1310" spans="4:16" x14ac:dyDescent="0.2">
      <c r="D1310" s="1">
        <v>46128</v>
      </c>
      <c r="E1310" s="2">
        <v>0.875</v>
      </c>
      <c r="F1310" t="s">
        <v>17</v>
      </c>
      <c r="G1310">
        <f>VLOOKUP(Table4[[#This Row],[Home]],'NHL Model'!$A$6:$B$38,2,FALSE)</f>
        <v>-0.36462594951491906</v>
      </c>
      <c r="H1310" t="s">
        <v>38</v>
      </c>
      <c r="I1310">
        <f>VLOOKUP(Table4[[#This Row],[Visitor]],'NHL Model'!$A$6:$B$38,2,FALSE)</f>
        <v>-1.3920033028857945</v>
      </c>
      <c r="J1310">
        <f>($B$1+Table4[[#This Row],[Home Differential]])-Table4[[#This Row],[Away Differential]]</f>
        <v>1.1569843391823995</v>
      </c>
      <c r="K1310" t="str">
        <f>IF(Table4[[#This Row],[HomeIce Differential]]&gt;0,Table4[[#This Row],[Home]],Table4[[#This Row],[Visitor]])</f>
        <v>Edmonton Oilers</v>
      </c>
      <c r="L1310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0.66992224457114391</v>
      </c>
      <c r="M1310" t="str">
        <f>IF(OR((NHL2025_26Results[[#This Row],[Winning Team]]="")),"-",IF(Table4[[#This Row],[Predicted Winner]]=NHL2025_26Results[[#This Row],[Winning Team]],"YES","NO"))</f>
        <v>-</v>
      </c>
      <c r="N1310" t="str">
        <f>IF(Table4[[#This Row],[Adjusted Correct]]="-", "",IF(Table4[[#This Row],[Adjusted Correct]]="YES",(Table4[[#This Row],[Strength of Win]]-1)^2,(Table4[[#This Row],[Strength of Win]]-0)^2))</f>
        <v/>
      </c>
      <c r="P1310" s="11"/>
    </row>
    <row r="1311" spans="4:16" x14ac:dyDescent="0.2">
      <c r="D1311" s="1">
        <v>46128</v>
      </c>
      <c r="E1311" s="2">
        <v>0.83333333333333337</v>
      </c>
      <c r="F1311" t="s">
        <v>29</v>
      </c>
      <c r="G1311">
        <f>VLOOKUP(Table4[[#This Row],[Home]],'NHL Model'!$A$6:$B$38,2,FALSE)</f>
        <v>-0.82056481120798741</v>
      </c>
      <c r="H1311" t="s">
        <v>31</v>
      </c>
      <c r="I1311">
        <f>VLOOKUP(Table4[[#This Row],[Visitor]],'NHL Model'!$A$6:$B$38,2,FALSE)</f>
        <v>-0.46360583111358089</v>
      </c>
      <c r="J1311">
        <f>($B$1+Table4[[#This Row],[Home Differential]])-Table4[[#This Row],[Away Differential]]</f>
        <v>-0.22735199428288244</v>
      </c>
      <c r="K1311" t="str">
        <f>IF(Table4[[#This Row],[HomeIce Differential]]&gt;0,Table4[[#This Row],[Home]],Table4[[#This Row],[Visitor]])</f>
        <v>Anaheim Ducks</v>
      </c>
      <c r="L1311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0.48553023442463489</v>
      </c>
      <c r="M1311" t="str">
        <f>IF(OR((NHL2025_26Results[[#This Row],[Winning Team]]="")),"-",IF(Table4[[#This Row],[Predicted Winner]]=NHL2025_26Results[[#This Row],[Winning Team]],"YES","NO"))</f>
        <v>-</v>
      </c>
      <c r="N1311" t="str">
        <f>IF(Table4[[#This Row],[Adjusted Correct]]="-", "",IF(Table4[[#This Row],[Adjusted Correct]]="YES",(Table4[[#This Row],[Strength of Win]]-1)^2,(Table4[[#This Row],[Strength of Win]]-0)^2))</f>
        <v/>
      </c>
      <c r="P1311" s="11"/>
    </row>
    <row r="1312" spans="4:16" x14ac:dyDescent="0.2">
      <c r="D1312" s="1">
        <v>46128</v>
      </c>
      <c r="E1312" s="2">
        <v>0.83333333333333337</v>
      </c>
      <c r="F1312" t="s">
        <v>55</v>
      </c>
      <c r="G1312">
        <f>VLOOKUP(Table4[[#This Row],[Home]],'NHL Model'!$A$6:$B$38,2,FALSE)</f>
        <v>8.4094725828611647E-2</v>
      </c>
      <c r="H1312" t="s">
        <v>35</v>
      </c>
      <c r="I1312">
        <f>VLOOKUP(Table4[[#This Row],[Visitor]],'NHL Model'!$A$6:$B$38,2,FALSE)</f>
        <v>-1.3128572733047907</v>
      </c>
      <c r="J1312">
        <f>($B$1+Table4[[#This Row],[Home Differential]])-Table4[[#This Row],[Away Differential]]</f>
        <v>1.5265589849449266</v>
      </c>
      <c r="K1312" t="str">
        <f>IF(Table4[[#This Row],[HomeIce Differential]]&gt;0,Table4[[#This Row],[Home]],Table4[[#This Row],[Visitor]])</f>
        <v>Utah Mammoth</v>
      </c>
      <c r="L1312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0.74036564680291417</v>
      </c>
      <c r="M1312" t="str">
        <f>IF(OR((NHL2025_26Results[[#This Row],[Winning Team]]="")),"-",IF(Table4[[#This Row],[Predicted Winner]]=NHL2025_26Results[[#This Row],[Winning Team]],"YES","NO"))</f>
        <v>-</v>
      </c>
      <c r="N1312" t="str">
        <f>IF(Table4[[#This Row],[Adjusted Correct]]="-", "",IF(Table4[[#This Row],[Adjusted Correct]]="YES",(Table4[[#This Row],[Strength of Win]]-1)^2,(Table4[[#This Row],[Strength of Win]]-0)^2))</f>
        <v/>
      </c>
      <c r="P1312" s="11"/>
    </row>
    <row r="1313" spans="4:16" x14ac:dyDescent="0.2">
      <c r="D1313" s="1">
        <v>46128</v>
      </c>
      <c r="E1313" s="2">
        <v>0.83333333333333337</v>
      </c>
      <c r="F1313" t="s">
        <v>40</v>
      </c>
      <c r="G1313">
        <f>VLOOKUP(Table4[[#This Row],[Home]],'NHL Model'!$A$6:$B$38,2,FALSE)</f>
        <v>-0.58845147248022256</v>
      </c>
      <c r="H1313" t="s">
        <v>33</v>
      </c>
      <c r="I1313">
        <f>VLOOKUP(Table4[[#This Row],[Visitor]],'NHL Model'!$A$6:$B$38,2,FALSE)</f>
        <v>-0.65236582493376272</v>
      </c>
      <c r="J1313">
        <f>($B$1+Table4[[#This Row],[Home Differential]])-Table4[[#This Row],[Away Differential]]</f>
        <v>0.19352133826506424</v>
      </c>
      <c r="K1313" t="str">
        <f>IF(Table4[[#This Row],[HomeIce Differential]]&gt;0,Table4[[#This Row],[Home]],Table4[[#This Row],[Visitor]])</f>
        <v>Winnipeg Jets</v>
      </c>
      <c r="L1313" s="11">
        <f>MAX(0, MIN(1,IF(Table4[[#This Row],[HomeIce Differential]]&gt;0,((MAX(_xlfn.XLOOKUP(Table4[[#This Row],[Home]],Table1[[#All],[Team]],Table1[[#All],[HomeWin%]]), 0.54))/(MAX(_xlfn.XLOOKUP(Table4[[#This Row],[Home]],Table1[[#All],[Team]],Table1[[#All],[HomeWin%]]), 0.54)+MAX(_xlfn.XLOOKUP(Table4[[#This Row],[Visitor]],Table1[[#All],[Team]],Table1[[#All],[AwayWin%]]), 0.46)))+(Table4[[#This Row],[HomeIce Differential]]*$T$10),((MAX(_xlfn.XLOOKUP(Table4[[#This Row],[Visitor]],Table1[[#All],[Team]],Table1[[#All],[AwayWin%]]), 0.46))/(MAX(_xlfn.XLOOKUP(Table4[[#This Row],[Visitor]],Table1[[#All],[Team]],Table1[[#All],[AwayWin%]]), 0.46)+MAX(_xlfn.XLOOKUP(Table4[[#This Row],[Home]],Table1[[#All],[Team]],Table1[[#All],[HomeWin%]]), 0.54)))+(ABS(Table4[[#This Row],[HomeIce Differential]])*$T$10))))</f>
        <v>0.56173125926456036</v>
      </c>
      <c r="M1313" t="str">
        <f>IF(OR((NHL2025_26Results[[#This Row],[Winning Team]]="")),"-",IF(Table4[[#This Row],[Predicted Winner]]=NHL2025_26Results[[#This Row],[Winning Team]],"YES","NO"))</f>
        <v>-</v>
      </c>
      <c r="N1313" t="str">
        <f>IF(Table4[[#This Row],[Adjusted Correct]]="-", "",IF(Table4[[#This Row],[Adjusted Correct]]="YES",(Table4[[#This Row],[Strength of Win]]-1)^2,(Table4[[#This Row],[Strength of Win]]-0)^2))</f>
        <v/>
      </c>
      <c r="P1313" s="11"/>
    </row>
  </sheetData>
  <conditionalFormatting sqref="D1:D1313">
    <cfRule type="timePeriod" dxfId="18" priority="7" timePeriod="today">
      <formula>FLOOR(D1,1)=TODAY()</formula>
    </cfRule>
  </conditionalFormatting>
  <conditionalFormatting sqref="J2:J131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L131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313">
    <cfRule type="containsText" dxfId="17" priority="10" operator="containsText" text="NO">
      <formula>NOT(ISERROR(SEARCH("NO",M2)))</formula>
    </cfRule>
    <cfRule type="containsText" dxfId="16" priority="11" operator="containsText" text="YES">
      <formula>NOT(ISERROR(SEARCH("YES",M2)))</formula>
    </cfRule>
  </conditionalFormatting>
  <conditionalFormatting sqref="Q232:Q2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57:Q2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41:T6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426 Q427:Q436 R437:R640 R642:R1313">
    <cfRule type="containsText" dxfId="15" priority="4" operator="containsText" text="YES">
      <formula>NOT(ISERROR(SEARCH("YES",Q1)))</formula>
    </cfRule>
    <cfRule type="containsText" dxfId="14" priority="5" operator="containsText" text="NO">
      <formula>NOT(ISERROR(SEARCH("NO",Q1)))</formula>
    </cfRule>
  </conditionalFormatting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284B-11E6-244D-9605-A7C78DDBC28C}">
  <dimension ref="A1:R35"/>
  <sheetViews>
    <sheetView zoomScale="87" workbookViewId="0">
      <selection activeCell="C2" sqref="C2"/>
    </sheetView>
  </sheetViews>
  <sheetFormatPr baseColWidth="10" defaultColWidth="10.83203125" defaultRowHeight="16" x14ac:dyDescent="0.2"/>
  <cols>
    <col min="1" max="1" width="19.83203125" bestFit="1" customWidth="1"/>
    <col min="7" max="7" width="13.6640625" bestFit="1" customWidth="1"/>
    <col min="8" max="8" width="12.6640625" bestFit="1" customWidth="1"/>
    <col min="9" max="9" width="11.83203125" bestFit="1" customWidth="1"/>
    <col min="10" max="10" width="12.1640625" bestFit="1" customWidth="1"/>
    <col min="11" max="11" width="12" bestFit="1" customWidth="1"/>
    <col min="12" max="12" width="11.1640625" bestFit="1" customWidth="1"/>
    <col min="13" max="13" width="13.33203125" bestFit="1" customWidth="1"/>
    <col min="14" max="14" width="12.6640625" bestFit="1" customWidth="1"/>
    <col min="15" max="15" width="22.33203125" bestFit="1" customWidth="1"/>
    <col min="16" max="16" width="21.6640625" bestFit="1" customWidth="1"/>
    <col min="17" max="17" width="20.6640625" bestFit="1" customWidth="1"/>
    <col min="18" max="18" width="20" bestFit="1" customWidth="1"/>
  </cols>
  <sheetData>
    <row r="1" spans="1:18" x14ac:dyDescent="0.2">
      <c r="A1" s="3" t="s">
        <v>56</v>
      </c>
      <c r="B1" s="3" t="s">
        <v>57</v>
      </c>
      <c r="C1" s="3" t="s">
        <v>58</v>
      </c>
      <c r="D1" s="3" t="s">
        <v>59</v>
      </c>
      <c r="E1" s="3" t="s">
        <v>165</v>
      </c>
      <c r="F1" s="3" t="s">
        <v>166</v>
      </c>
      <c r="G1" s="9" t="s">
        <v>168</v>
      </c>
      <c r="H1" s="3" t="s">
        <v>170</v>
      </c>
      <c r="I1" s="9" t="s">
        <v>172</v>
      </c>
      <c r="J1" s="3" t="s">
        <v>169</v>
      </c>
      <c r="K1" s="3" t="s">
        <v>171</v>
      </c>
      <c r="L1" s="9" t="s">
        <v>173</v>
      </c>
      <c r="M1" s="3" t="s">
        <v>174</v>
      </c>
      <c r="N1" s="3" t="s">
        <v>167</v>
      </c>
      <c r="O1" s="9" t="s">
        <v>256</v>
      </c>
      <c r="P1" s="9" t="s">
        <v>257</v>
      </c>
      <c r="Q1" s="3" t="s">
        <v>258</v>
      </c>
      <c r="R1" s="3" t="s">
        <v>259</v>
      </c>
    </row>
    <row r="2" spans="1:18" x14ac:dyDescent="0.2">
      <c r="A2" s="4" t="s">
        <v>31</v>
      </c>
      <c r="B2">
        <f>SUM(Table1[[#This Row],[W]:[OTL]])</f>
        <v>57</v>
      </c>
      <c r="C2">
        <f>COUNTIF(NHL2025_26Results[Winning Team],Standings!A2)</f>
        <v>31</v>
      </c>
      <c r="D2">
        <f>COUNTIFS('NHL2025-26Results'!$H:$H,A2,'NHL2025-26Results'!$F:$F,"")</f>
        <v>23</v>
      </c>
      <c r="E2" s="10">
        <f>COUNTIFS('NHL2025-26Results'!$F:$F,"OT",'NHL2025-26Results'!$H:$H,A2) + COUNTIFS('NHL2025-26Results'!$F:$F,"SO",'NHL2025-26Results'!$H:$H,A2)</f>
        <v>3</v>
      </c>
      <c r="F2" s="3">
        <f>(Table1[[#This Row],[W]]*2)+Table1[[#This Row],[OTL]]</f>
        <v>65</v>
      </c>
      <c r="G2">
        <f>COUNTIFS('NHL2025-26Results'!$D:$D,A2,'NHL2025-26Results'!$G:$G,A2)</f>
        <v>18</v>
      </c>
      <c r="H2">
        <f>COUNTIFS('NHL2025-26Results'!$D:$D,A2,'NHL2025-26Results'!$H:$H,A2,'NHL2025-26Results'!$F:$F,"")</f>
        <v>8</v>
      </c>
      <c r="I2">
        <f>COUNTIFS('NHL2025-26Results'!$D:$D,A2,'NHL2025-26Results'!$H:$H,A2,'NHL2025-26Results'!$F:$F,"OT") + COUNTIFS('NHL2025-26Results'!$D:$D,A2,'NHL2025-26Results'!$H:$H,A2,'NHL2025-26Results'!$F:$F,"SO")</f>
        <v>1</v>
      </c>
      <c r="J2">
        <f>COUNTIFS('NHL2025-26Results'!$B:$B,A2,'NHL2025-26Results'!$G:$G,A2)</f>
        <v>13</v>
      </c>
      <c r="K2">
        <f>COUNTIFS('NHL2025-26Results'!$B:$B,A2,'NHL2025-26Results'!$H:$H,A2,'NHL2025-26Results'!$F:$F,"")</f>
        <v>15</v>
      </c>
      <c r="L2">
        <f>COUNTIFS('NHL2025-26Results'!$B:$B,A2,'NHL2025-26Results'!$H:$H,A2,'NHL2025-26Results'!$F:$F,"OT") + COUNTIFS('NHL2025-26Results'!$B:$B,A2,'NHL2025-26Results'!$H:$H,A2,'NHL2025-26Results'!$F:$F,"SO")</f>
        <v>2</v>
      </c>
      <c r="M2" s="11">
        <f>Table1[[#This Row],[HomeWins]]/SUM(Table1[[#This Row],[HomeWins]:[HomeOTL]])</f>
        <v>0.66666666666666663</v>
      </c>
      <c r="N2" s="11">
        <f>Table1[[#This Row],[AwayWins]]/SUM(Table1[[#This Row],[AwayWins]:[AwayOTL]])</f>
        <v>0.43333333333333335</v>
      </c>
      <c r="O2" s="14">
        <f>SUMIFS('NHL2025-26Results'!$E:$E,'NHL2025-26Results'!$D:$D,A2,'NHL2025-26Results'!$E:$E,"&gt;0")/COUNTIFS('NHL2025-26Results'!$D:$D,A2,'NHL2025-26Results'!$E:$E,"&gt;0")</f>
        <v>3.8076923076923075</v>
      </c>
      <c r="P2" s="15">
        <f>SUMIFS('NHL2025-26Results'!$C:$C,'NHL2025-26Results'!$B:$B,A2,'NHL2025-26Results'!$C:$C,"&gt;0")/COUNTIFS('NHL2025-26Results'!$B:$B,A2,'NHL2025-26Results'!$C:$C,"&gt;0")</f>
        <v>3.2857142857142856</v>
      </c>
      <c r="Q2" s="14">
        <f>SUMIFS('NHL2025-26Results'!$C:$C,'NHL2025-26Results'!$D:$D,A2,'NHL2025-26Results'!$C:$C,"&gt;0")/COUNTIFS('NHL2025-26Results'!$D:$D,A2,'NHL2025-26Results'!$C:$C,"&gt;0")</f>
        <v>3.2592592592592591</v>
      </c>
      <c r="R2" s="14">
        <f>SUMIFS('NHL2025-26Results'!$E:$E,'NHL2025-26Results'!$B:$B,A2,'NHL2025-26Results'!$E:$E,"&gt;0")/COUNTIFS('NHL2025-26Results'!$B:$B,A2,'NHL2025-26Results'!$E:$E,"&gt;0")</f>
        <v>3.7333333333333334</v>
      </c>
    </row>
    <row r="3" spans="1:18" x14ac:dyDescent="0.2">
      <c r="A3" s="4" t="s">
        <v>21</v>
      </c>
      <c r="B3">
        <f>SUM(Table1[[#This Row],[W]:[OTL]])</f>
        <v>57</v>
      </c>
      <c r="C3">
        <f>COUNTIF(NHL2025_26Results[Winning Team],Standings!A3)</f>
        <v>31</v>
      </c>
      <c r="D3">
        <f>COUNTIFS('NHL2025-26Results'!$H:$H,A3,'NHL2025-26Results'!$F:$F,"")</f>
        <v>21</v>
      </c>
      <c r="E3">
        <f>COUNTIFS('NHL2025-26Results'!$F:$F,"OT",'NHL2025-26Results'!$H:$H,A3) + COUNTIFS('NHL2025-26Results'!$F:$F,"SO",'NHL2025-26Results'!$H:$H,A3)</f>
        <v>5</v>
      </c>
      <c r="F3" s="3">
        <f>(Table1[[#This Row],[W]]*2)+Table1[[#This Row],[OTL]]</f>
        <v>67</v>
      </c>
      <c r="G3">
        <f>COUNTIFS('NHL2025-26Results'!$D:$D,A3,'NHL2025-26Results'!$G:$G,A3)</f>
        <v>20</v>
      </c>
      <c r="H3">
        <f>COUNTIFS('NHL2025-26Results'!$D:$D,A3,'NHL2025-26Results'!$H:$H,A3,'NHL2025-26Results'!$F:$F,"")</f>
        <v>9</v>
      </c>
      <c r="I3">
        <f>COUNTIFS('NHL2025-26Results'!$D:$D,A3,'NHL2025-26Results'!$H:$H,A3,'NHL2025-26Results'!$F:$F,"OT") + COUNTIFS('NHL2025-26Results'!$D:$D,A3,'NHL2025-26Results'!$H:$H,A3,'NHL2025-26Results'!$F:$F,"SO")</f>
        <v>1</v>
      </c>
      <c r="J3">
        <f>COUNTIFS('NHL2025-26Results'!$B:$B,A3,'NHL2025-26Results'!$G:$G,A3)</f>
        <v>11</v>
      </c>
      <c r="K3">
        <f>COUNTIFS('NHL2025-26Results'!$B:$B,A3,'NHL2025-26Results'!$H:$H,A3,'NHL2025-26Results'!$F:$F,"")</f>
        <v>12</v>
      </c>
      <c r="L3">
        <f>COUNTIFS('NHL2025-26Results'!$B:$B,A3,'NHL2025-26Results'!$H:$H,A3,'NHL2025-26Results'!$F:$F,"OT") + COUNTIFS('NHL2025-26Results'!$B:$B,A3,'NHL2025-26Results'!$H:$H,A3,'NHL2025-26Results'!$F:$F,"SO")</f>
        <v>4</v>
      </c>
      <c r="M3" s="11">
        <f>Table1[[#This Row],[HomeWins]]/SUM(Table1[[#This Row],[HomeWins]:[HomeOTL]])</f>
        <v>0.66666666666666663</v>
      </c>
      <c r="N3" s="11">
        <f>Table1[[#This Row],[AwayWins]]/SUM(Table1[[#This Row],[AwayWins]:[AwayOTL]])</f>
        <v>0.40740740740740738</v>
      </c>
      <c r="O3" s="14">
        <f>SUMIFS('NHL2025-26Results'!$E:$E,'NHL2025-26Results'!$D:$D,A3,'NHL2025-26Results'!$E:$E,"&gt;0")/COUNTIFS('NHL2025-26Results'!$D:$D,A3,'NHL2025-26Results'!$E:$E,"&gt;0")</f>
        <v>3.5666666666666669</v>
      </c>
      <c r="P3" s="14">
        <f>SUMIFS('NHL2025-26Results'!$C:$C,'NHL2025-26Results'!$B:$B,A3,'NHL2025-26Results'!$C:$C,"&gt;0")/COUNTIFS('NHL2025-26Results'!$B:$B,A3,'NHL2025-26Results'!$C:$C,"&gt;0")</f>
        <v>3.2592592592592591</v>
      </c>
      <c r="Q3" s="14">
        <f>SUMIFS('NHL2025-26Results'!$C:$C,'NHL2025-26Results'!$D:$D,A3,'NHL2025-26Results'!$C:$C,"&gt;0")/COUNTIFS('NHL2025-26Results'!$D:$D,A3,'NHL2025-26Results'!$C:$C,"&gt;0")</f>
        <v>2.9642857142857144</v>
      </c>
      <c r="R3" s="14">
        <f>SUMIFS('NHL2025-26Results'!$E:$E,'NHL2025-26Results'!$B:$B,A3,'NHL2025-26Results'!$E:$E,"&gt;0")/COUNTIFS('NHL2025-26Results'!$B:$B,A3,'NHL2025-26Results'!$E:$E,"&gt;0")</f>
        <v>3.6666666666666665</v>
      </c>
    </row>
    <row r="4" spans="1:18" x14ac:dyDescent="0.2">
      <c r="A4" s="4" t="s">
        <v>23</v>
      </c>
      <c r="B4">
        <f>SUM(Table1[[#This Row],[W]:[OTL]])</f>
        <v>58</v>
      </c>
      <c r="C4">
        <f>COUNTIF(NHL2025_26Results[Winning Team],Standings!A4)</f>
        <v>33</v>
      </c>
      <c r="D4">
        <f>COUNTIFS('NHL2025-26Results'!$H:$H,A4,'NHL2025-26Results'!$F:$F,"")</f>
        <v>19</v>
      </c>
      <c r="E4">
        <f>COUNTIFS('NHL2025-26Results'!$F:$F,"OT",'NHL2025-26Results'!$H:$H,A4) + COUNTIFS('NHL2025-26Results'!$F:$F,"SO",'NHL2025-26Results'!$H:$H,A4)</f>
        <v>6</v>
      </c>
      <c r="F4" s="3">
        <f>(Table1[[#This Row],[W]]*2)+Table1[[#This Row],[OTL]]</f>
        <v>72</v>
      </c>
      <c r="G4">
        <f>COUNTIFS('NHL2025-26Results'!$D:$D,A4,'NHL2025-26Results'!$G:$G,A4)</f>
        <v>17</v>
      </c>
      <c r="H4">
        <f>COUNTIFS('NHL2025-26Results'!$D:$D,A4,'NHL2025-26Results'!$H:$H,A4,'NHL2025-26Results'!$F:$F,"")</f>
        <v>8</v>
      </c>
      <c r="I4">
        <f>COUNTIFS('NHL2025-26Results'!$D:$D,A4,'NHL2025-26Results'!$H:$H,A4,'NHL2025-26Results'!$F:$F,"OT") + COUNTIFS('NHL2025-26Results'!$D:$D,A4,'NHL2025-26Results'!$H:$H,A4,'NHL2025-26Results'!$F:$F,"SO")</f>
        <v>3</v>
      </c>
      <c r="J4">
        <f>COUNTIFS('NHL2025-26Results'!$B:$B,A4,'NHL2025-26Results'!$G:$G,A4)</f>
        <v>16</v>
      </c>
      <c r="K4">
        <f>COUNTIFS('NHL2025-26Results'!$B:$B,A4,'NHL2025-26Results'!$H:$H,A4,'NHL2025-26Results'!$F:$F,"")</f>
        <v>11</v>
      </c>
      <c r="L4">
        <f>COUNTIFS('NHL2025-26Results'!$B:$B,A4,'NHL2025-26Results'!$H:$H,A4,'NHL2025-26Results'!$F:$F,"OT") + COUNTIFS('NHL2025-26Results'!$B:$B,A4,'NHL2025-26Results'!$H:$H,A4,'NHL2025-26Results'!$F:$F,"SO")</f>
        <v>3</v>
      </c>
      <c r="M4" s="11">
        <f>Table1[[#This Row],[HomeWins]]/SUM(Table1[[#This Row],[HomeWins]:[HomeOTL]])</f>
        <v>0.6071428571428571</v>
      </c>
      <c r="N4" s="11">
        <f>Table1[[#This Row],[AwayWins]]/SUM(Table1[[#This Row],[AwayWins]:[AwayOTL]])</f>
        <v>0.53333333333333333</v>
      </c>
      <c r="O4" s="14">
        <f>SUMIFS('NHL2025-26Results'!$E:$E,'NHL2025-26Results'!$D:$D,A4,'NHL2025-26Results'!$E:$E,"&gt;0")/COUNTIFS('NHL2025-26Results'!$D:$D,A4,'NHL2025-26Results'!$E:$E,"&gt;0")</f>
        <v>4.04</v>
      </c>
      <c r="P4" s="14">
        <f>SUMIFS('NHL2025-26Results'!$C:$C,'NHL2025-26Results'!$B:$B,A4,'NHL2025-26Results'!$C:$C,"&gt;0")/COUNTIFS('NHL2025-26Results'!$B:$B,A4,'NHL2025-26Results'!$C:$C,"&gt;0")</f>
        <v>3.2</v>
      </c>
      <c r="Q4" s="14">
        <f>SUMIFS('NHL2025-26Results'!$C:$C,'NHL2025-26Results'!$D:$D,A4,'NHL2025-26Results'!$C:$C,"&gt;0")/COUNTIFS('NHL2025-26Results'!$D:$D,A4,'NHL2025-26Results'!$C:$C,"&gt;0")</f>
        <v>3</v>
      </c>
      <c r="R4" s="14">
        <f>SUMIFS('NHL2025-26Results'!$E:$E,'NHL2025-26Results'!$B:$B,A4,'NHL2025-26Results'!$E:$E,"&gt;0")/COUNTIFS('NHL2025-26Results'!$B:$B,A4,'NHL2025-26Results'!$E:$E,"&gt;0")</f>
        <v>3.3103448275862069</v>
      </c>
    </row>
    <row r="5" spans="1:18" x14ac:dyDescent="0.2">
      <c r="A5" s="4" t="s">
        <v>16</v>
      </c>
      <c r="B5">
        <f>SUM(Table1[[#This Row],[W]:[OTL]])</f>
        <v>56</v>
      </c>
      <c r="C5">
        <f>COUNTIF(NHL2025_26Results[Winning Team],Standings!A5)</f>
        <v>23</v>
      </c>
      <c r="D5">
        <f>COUNTIFS('NHL2025-26Results'!$H:$H,A5,'NHL2025-26Results'!$F:$F,"")</f>
        <v>27</v>
      </c>
      <c r="E5">
        <f>COUNTIFS('NHL2025-26Results'!$F:$F,"OT",'NHL2025-26Results'!$H:$H,A5) + COUNTIFS('NHL2025-26Results'!$F:$F,"SO",'NHL2025-26Results'!$H:$H,A5)</f>
        <v>6</v>
      </c>
      <c r="F5" s="3">
        <f>(Table1[[#This Row],[W]]*2)+Table1[[#This Row],[OTL]]</f>
        <v>52</v>
      </c>
      <c r="G5">
        <f>COUNTIFS('NHL2025-26Results'!$D:$D,A5,'NHL2025-26Results'!$G:$G,A5)</f>
        <v>15</v>
      </c>
      <c r="H5">
        <f>COUNTIFS('NHL2025-26Results'!$D:$D,A5,'NHL2025-26Results'!$H:$H,A5,'NHL2025-26Results'!$F:$F,"")</f>
        <v>10</v>
      </c>
      <c r="I5">
        <f>COUNTIFS('NHL2025-26Results'!$D:$D,A5,'NHL2025-26Results'!$H:$H,A5,'NHL2025-26Results'!$F:$F,"OT") + COUNTIFS('NHL2025-26Results'!$D:$D,A5,'NHL2025-26Results'!$H:$H,A5,'NHL2025-26Results'!$F:$F,"SO")</f>
        <v>4</v>
      </c>
      <c r="J5">
        <f>COUNTIFS('NHL2025-26Results'!$B:$B,A5,'NHL2025-26Results'!$G:$G,A5)</f>
        <v>8</v>
      </c>
      <c r="K5">
        <f>COUNTIFS('NHL2025-26Results'!$B:$B,A5,'NHL2025-26Results'!$H:$H,A5,'NHL2025-26Results'!$F:$F,"")</f>
        <v>17</v>
      </c>
      <c r="L5">
        <f>COUNTIFS('NHL2025-26Results'!$B:$B,A5,'NHL2025-26Results'!$H:$H,A5,'NHL2025-26Results'!$F:$F,"OT") + COUNTIFS('NHL2025-26Results'!$B:$B,A5,'NHL2025-26Results'!$H:$H,A5,'NHL2025-26Results'!$F:$F,"SO")</f>
        <v>2</v>
      </c>
      <c r="M5" s="11">
        <f>Table1[[#This Row],[HomeWins]]/SUM(Table1[[#This Row],[HomeWins]:[HomeOTL]])</f>
        <v>0.51724137931034486</v>
      </c>
      <c r="N5" s="11">
        <f>Table1[[#This Row],[AwayWins]]/SUM(Table1[[#This Row],[AwayWins]:[AwayOTL]])</f>
        <v>0.29629629629629628</v>
      </c>
      <c r="O5" s="14">
        <f>SUMIFS('NHL2025-26Results'!$E:$E,'NHL2025-26Results'!$D:$D,A5,'NHL2025-26Results'!$E:$E,"&gt;0")/COUNTIFS('NHL2025-26Results'!$D:$D,A5,'NHL2025-26Results'!$E:$E,"&gt;0")</f>
        <v>2.9642857142857144</v>
      </c>
      <c r="P5" s="14">
        <f>SUMIFS('NHL2025-26Results'!$C:$C,'NHL2025-26Results'!$B:$B,A5,'NHL2025-26Results'!$C:$C,"&gt;0")/COUNTIFS('NHL2025-26Results'!$B:$B,A5,'NHL2025-26Results'!$C:$C,"&gt;0")</f>
        <v>2.36</v>
      </c>
      <c r="Q5" s="14">
        <f>SUMIFS('NHL2025-26Results'!$C:$C,'NHL2025-26Results'!$D:$D,A5,'NHL2025-26Results'!$C:$C,"&gt;0")/COUNTIFS('NHL2025-26Results'!$D:$D,A5,'NHL2025-26Results'!$C:$C,"&gt;0")</f>
        <v>2.7777777777777777</v>
      </c>
      <c r="R5" s="14">
        <f>SUMIFS('NHL2025-26Results'!$E:$E,'NHL2025-26Results'!$B:$B,A5,'NHL2025-26Results'!$E:$E,"&gt;0")/COUNTIFS('NHL2025-26Results'!$B:$B,A5,'NHL2025-26Results'!$E:$E,"&gt;0")</f>
        <v>3.4814814814814814</v>
      </c>
    </row>
    <row r="6" spans="1:18" x14ac:dyDescent="0.2">
      <c r="A6" s="4" t="s">
        <v>25</v>
      </c>
      <c r="B6">
        <f>SUM(Table1[[#This Row],[W]:[OTL]])</f>
        <v>57</v>
      </c>
      <c r="C6">
        <f>COUNTIF(NHL2025_26Results[Winning Team],Standings!A6)</f>
        <v>36</v>
      </c>
      <c r="D6">
        <f>COUNTIFS('NHL2025-26Results'!$H:$H,A6,'NHL2025-26Results'!$F:$F,"")</f>
        <v>15</v>
      </c>
      <c r="E6">
        <f>COUNTIFS('NHL2025-26Results'!$F:$F,"OT",'NHL2025-26Results'!$H:$H,A6) + COUNTIFS('NHL2025-26Results'!$F:$F,"SO",'NHL2025-26Results'!$H:$H,A6)</f>
        <v>6</v>
      </c>
      <c r="F6" s="3">
        <f>(Table1[[#This Row],[W]]*2)+Table1[[#This Row],[OTL]]</f>
        <v>78</v>
      </c>
      <c r="G6">
        <f>COUNTIFS('NHL2025-26Results'!$D:$D,A6,'NHL2025-26Results'!$G:$G,A6)</f>
        <v>21</v>
      </c>
      <c r="H6">
        <f>COUNTIFS('NHL2025-26Results'!$D:$D,A6,'NHL2025-26Results'!$H:$H,A6,'NHL2025-26Results'!$F:$F,"")</f>
        <v>8</v>
      </c>
      <c r="I6">
        <f>COUNTIFS('NHL2025-26Results'!$D:$D,A6,'NHL2025-26Results'!$H:$H,A6,'NHL2025-26Results'!$F:$F,"OT") + COUNTIFS('NHL2025-26Results'!$D:$D,A6,'NHL2025-26Results'!$H:$H,A6,'NHL2025-26Results'!$F:$F,"SO")</f>
        <v>2</v>
      </c>
      <c r="J6">
        <f>COUNTIFS('NHL2025-26Results'!$B:$B,A6,'NHL2025-26Results'!$G:$G,A6)</f>
        <v>15</v>
      </c>
      <c r="K6">
        <f>COUNTIFS('NHL2025-26Results'!$B:$B,A6,'NHL2025-26Results'!$H:$H,A6,'NHL2025-26Results'!$F:$F,"")</f>
        <v>7</v>
      </c>
      <c r="L6">
        <f>COUNTIFS('NHL2025-26Results'!$B:$B,A6,'NHL2025-26Results'!$H:$H,A6,'NHL2025-26Results'!$F:$F,"OT") + COUNTIFS('NHL2025-26Results'!$B:$B,A6,'NHL2025-26Results'!$H:$H,A6,'NHL2025-26Results'!$F:$F,"SO")</f>
        <v>4</v>
      </c>
      <c r="M6" s="11">
        <f>Table1[[#This Row],[HomeWins]]/SUM(Table1[[#This Row],[HomeWins]:[HomeOTL]])</f>
        <v>0.67741935483870963</v>
      </c>
      <c r="N6" s="11">
        <f>Table1[[#This Row],[AwayWins]]/SUM(Table1[[#This Row],[AwayWins]:[AwayOTL]])</f>
        <v>0.57692307692307687</v>
      </c>
      <c r="O6" s="14">
        <f>SUMIFS('NHL2025-26Results'!$E:$E,'NHL2025-26Results'!$D:$D,A6,'NHL2025-26Results'!$E:$E,"&gt;0")/COUNTIFS('NHL2025-26Results'!$D:$D,A6,'NHL2025-26Results'!$E:$E,"&gt;0")</f>
        <v>3.806451612903226</v>
      </c>
      <c r="P6" s="14">
        <f>SUMIFS('NHL2025-26Results'!$C:$C,'NHL2025-26Results'!$B:$B,A6,'NHL2025-26Results'!$C:$C,"&gt;0")/COUNTIFS('NHL2025-26Results'!$B:$B,A6,'NHL2025-26Results'!$C:$C,"&gt;0")</f>
        <v>3.16</v>
      </c>
      <c r="Q6" s="14">
        <f>SUMIFS('NHL2025-26Results'!$C:$C,'NHL2025-26Results'!$D:$D,A6,'NHL2025-26Results'!$C:$C,"&gt;0")/COUNTIFS('NHL2025-26Results'!$D:$D,A6,'NHL2025-26Results'!$C:$C,"&gt;0")</f>
        <v>3.1333333333333333</v>
      </c>
      <c r="R6" s="14">
        <f>SUMIFS('NHL2025-26Results'!$E:$E,'NHL2025-26Results'!$B:$B,A6,'NHL2025-26Results'!$E:$E,"&gt;0")/COUNTIFS('NHL2025-26Results'!$B:$B,A6,'NHL2025-26Results'!$E:$E,"&gt;0")</f>
        <v>2.875</v>
      </c>
    </row>
    <row r="7" spans="1:18" x14ac:dyDescent="0.2">
      <c r="A7" s="4" t="s">
        <v>10</v>
      </c>
      <c r="B7">
        <f>SUM(Table1[[#This Row],[W]:[OTL]])</f>
        <v>57</v>
      </c>
      <c r="C7">
        <f>COUNTIF(NHL2025_26Results[Winning Team],Standings!A7)</f>
        <v>22</v>
      </c>
      <c r="D7">
        <f>COUNTIFS('NHL2025-26Results'!$H:$H,A7,'NHL2025-26Results'!$F:$F,"")</f>
        <v>26</v>
      </c>
      <c r="E7">
        <f>COUNTIFS('NHL2025-26Results'!$F:$F,"OT",'NHL2025-26Results'!$H:$H,A7) + COUNTIFS('NHL2025-26Results'!$F:$F,"SO",'NHL2025-26Results'!$H:$H,A7)</f>
        <v>9</v>
      </c>
      <c r="F7" s="3">
        <f>(Table1[[#This Row],[W]]*2)+Table1[[#This Row],[OTL]]</f>
        <v>53</v>
      </c>
      <c r="G7">
        <f>COUNTIFS('NHL2025-26Results'!$D:$D,A7,'NHL2025-26Results'!$G:$G,A7)</f>
        <v>12</v>
      </c>
      <c r="H7">
        <f>COUNTIFS('NHL2025-26Results'!$D:$D,A7,'NHL2025-26Results'!$H:$H,A7,'NHL2025-26Results'!$F:$F,"")</f>
        <v>14</v>
      </c>
      <c r="I7">
        <f>COUNTIFS('NHL2025-26Results'!$D:$D,A7,'NHL2025-26Results'!$H:$H,A7,'NHL2025-26Results'!$F:$F,"OT") + COUNTIFS('NHL2025-26Results'!$D:$D,A7,'NHL2025-26Results'!$H:$H,A7,'NHL2025-26Results'!$F:$F,"SO")</f>
        <v>5</v>
      </c>
      <c r="J7">
        <f>COUNTIFS('NHL2025-26Results'!$B:$B,A7,'NHL2025-26Results'!$G:$G,A7)</f>
        <v>10</v>
      </c>
      <c r="K7">
        <f>COUNTIFS('NHL2025-26Results'!$B:$B,A7,'NHL2025-26Results'!$H:$H,A7,'NHL2025-26Results'!$F:$F,"")</f>
        <v>12</v>
      </c>
      <c r="L7">
        <f>COUNTIFS('NHL2025-26Results'!$B:$B,A7,'NHL2025-26Results'!$H:$H,A7,'NHL2025-26Results'!$F:$F,"OT") + COUNTIFS('NHL2025-26Results'!$B:$B,A7,'NHL2025-26Results'!$H:$H,A7,'NHL2025-26Results'!$F:$F,"SO")</f>
        <v>4</v>
      </c>
      <c r="M7" s="11">
        <f>Table1[[#This Row],[HomeWins]]/SUM(Table1[[#This Row],[HomeWins]:[HomeOTL]])</f>
        <v>0.38709677419354838</v>
      </c>
      <c r="N7" s="11">
        <f>Table1[[#This Row],[AwayWins]]/SUM(Table1[[#This Row],[AwayWins]:[AwayOTL]])</f>
        <v>0.38461538461538464</v>
      </c>
      <c r="O7" s="14">
        <f>SUMIFS('NHL2025-26Results'!$E:$E,'NHL2025-26Results'!$D:$D,A7,'NHL2025-26Results'!$E:$E,"&gt;0")/COUNTIFS('NHL2025-26Results'!$D:$D,A7,'NHL2025-26Results'!$E:$E,"&gt;0")</f>
        <v>2.7931034482758621</v>
      </c>
      <c r="P7" s="14">
        <f>SUMIFS('NHL2025-26Results'!$C:$C,'NHL2025-26Results'!$B:$B,A7,'NHL2025-26Results'!$C:$C,"&gt;0")/COUNTIFS('NHL2025-26Results'!$B:$B,A7,'NHL2025-26Results'!$C:$C,"&gt;0")</f>
        <v>3.0416666666666665</v>
      </c>
      <c r="Q7" s="14">
        <f>SUMIFS('NHL2025-26Results'!$C:$C,'NHL2025-26Results'!$D:$D,A7,'NHL2025-26Results'!$C:$C,"&gt;0")/COUNTIFS('NHL2025-26Results'!$D:$D,A7,'NHL2025-26Results'!$C:$C,"&gt;0")</f>
        <v>3.2068965517241379</v>
      </c>
      <c r="R7" s="14">
        <f>SUMIFS('NHL2025-26Results'!$E:$E,'NHL2025-26Results'!$B:$B,A7,'NHL2025-26Results'!$E:$E,"&gt;0")/COUNTIFS('NHL2025-26Results'!$B:$B,A7,'NHL2025-26Results'!$E:$E,"&gt;0")</f>
        <v>3.8333333333333335</v>
      </c>
    </row>
    <row r="8" spans="1:18" x14ac:dyDescent="0.2">
      <c r="A8" s="4" t="s">
        <v>12</v>
      </c>
      <c r="B8">
        <f>SUM(Table1[[#This Row],[W]:[OTL]])</f>
        <v>56</v>
      </c>
      <c r="C8">
        <f>COUNTIF(NHL2025_26Results[Winning Team],Standings!A8)</f>
        <v>38</v>
      </c>
      <c r="D8">
        <f>COUNTIFS('NHL2025-26Results'!$H:$H,A8,'NHL2025-26Results'!$F:$F,"")</f>
        <v>9</v>
      </c>
      <c r="E8">
        <f>COUNTIFS('NHL2025-26Results'!$F:$F,"OT",'NHL2025-26Results'!$H:$H,A8) + COUNTIFS('NHL2025-26Results'!$F:$F,"SO",'NHL2025-26Results'!$H:$H,A8)</f>
        <v>9</v>
      </c>
      <c r="F8" s="3">
        <f>(Table1[[#This Row],[W]]*2)+Table1[[#This Row],[OTL]]</f>
        <v>85</v>
      </c>
      <c r="G8">
        <f>COUNTIFS('NHL2025-26Results'!$D:$D,A8,'NHL2025-26Results'!$G:$G,A8)</f>
        <v>21</v>
      </c>
      <c r="H8">
        <f>COUNTIFS('NHL2025-26Results'!$D:$D,A8,'NHL2025-26Results'!$H:$H,A8,'NHL2025-26Results'!$F:$F,"")</f>
        <v>3</v>
      </c>
      <c r="I8">
        <f>COUNTIFS('NHL2025-26Results'!$D:$D,A8,'NHL2025-26Results'!$H:$H,A8,'NHL2025-26Results'!$F:$F,"OT") + COUNTIFS('NHL2025-26Results'!$D:$D,A8,'NHL2025-26Results'!$H:$H,A8,'NHL2025-26Results'!$F:$F,"SO")</f>
        <v>4</v>
      </c>
      <c r="J8">
        <f>COUNTIFS('NHL2025-26Results'!$B:$B,A8,'NHL2025-26Results'!$G:$G,A8)</f>
        <v>17</v>
      </c>
      <c r="K8">
        <f>COUNTIFS('NHL2025-26Results'!$B:$B,A8,'NHL2025-26Results'!$H:$H,A8,'NHL2025-26Results'!$F:$F,"")</f>
        <v>6</v>
      </c>
      <c r="L8">
        <f>COUNTIFS('NHL2025-26Results'!$B:$B,A8,'NHL2025-26Results'!$H:$H,A8,'NHL2025-26Results'!$F:$F,"OT") + COUNTIFS('NHL2025-26Results'!$B:$B,A8,'NHL2025-26Results'!$H:$H,A8,'NHL2025-26Results'!$F:$F,"SO")</f>
        <v>5</v>
      </c>
      <c r="M8" s="11">
        <f>Table1[[#This Row],[HomeWins]]/SUM(Table1[[#This Row],[HomeWins]:[HomeOTL]])</f>
        <v>0.75</v>
      </c>
      <c r="N8" s="11">
        <f>Table1[[#This Row],[AwayWins]]/SUM(Table1[[#This Row],[AwayWins]:[AwayOTL]])</f>
        <v>0.6071428571428571</v>
      </c>
      <c r="O8" s="14">
        <f>SUMIFS('NHL2025-26Results'!$E:$E,'NHL2025-26Results'!$D:$D,A8,'NHL2025-26Results'!$E:$E,"&gt;0")/COUNTIFS('NHL2025-26Results'!$D:$D,A8,'NHL2025-26Results'!$E:$E,"&gt;0")</f>
        <v>4.333333333333333</v>
      </c>
      <c r="P8" s="14">
        <f>SUMIFS('NHL2025-26Results'!$C:$C,'NHL2025-26Results'!$B:$B,A8,'NHL2025-26Results'!$C:$C,"&gt;0")/COUNTIFS('NHL2025-26Results'!$B:$B,A8,'NHL2025-26Results'!$C:$C,"&gt;0")</f>
        <v>3.5357142857142856</v>
      </c>
      <c r="Q8" s="14">
        <f>SUMIFS('NHL2025-26Results'!$C:$C,'NHL2025-26Results'!$D:$D,A8,'NHL2025-26Results'!$C:$C,"&gt;0")/COUNTIFS('NHL2025-26Results'!$D:$D,A8,'NHL2025-26Results'!$C:$C,"&gt;0")</f>
        <v>2.64</v>
      </c>
      <c r="R8" s="14">
        <f>SUMIFS('NHL2025-26Results'!$E:$E,'NHL2025-26Results'!$B:$B,A8,'NHL2025-26Results'!$E:$E,"&gt;0")/COUNTIFS('NHL2025-26Results'!$B:$B,A8,'NHL2025-26Results'!$E:$E,"&gt;0")</f>
        <v>2.96</v>
      </c>
    </row>
    <row r="9" spans="1:18" x14ac:dyDescent="0.2">
      <c r="A9" s="4" t="s">
        <v>28</v>
      </c>
      <c r="B9">
        <f>SUM(Table1[[#This Row],[W]:[OTL]])</f>
        <v>56</v>
      </c>
      <c r="C9">
        <f>COUNTIF(NHL2025_26Results[Winning Team],Standings!A9)</f>
        <v>29</v>
      </c>
      <c r="D9">
        <f>COUNTIFS('NHL2025-26Results'!$H:$H,A9,'NHL2025-26Results'!$F:$F,"")</f>
        <v>20</v>
      </c>
      <c r="E9">
        <f>COUNTIFS('NHL2025-26Results'!$F:$F,"OT",'NHL2025-26Results'!$H:$H,A9) + COUNTIFS('NHL2025-26Results'!$F:$F,"SO",'NHL2025-26Results'!$H:$H,A9)</f>
        <v>7</v>
      </c>
      <c r="F9" s="3">
        <f>(Table1[[#This Row],[W]]*2)+Table1[[#This Row],[OTL]]</f>
        <v>65</v>
      </c>
      <c r="G9">
        <f>COUNTIFS('NHL2025-26Results'!$D:$D,A9,'NHL2025-26Results'!$G:$G,A9)</f>
        <v>15</v>
      </c>
      <c r="H9">
        <f>COUNTIFS('NHL2025-26Results'!$D:$D,A9,'NHL2025-26Results'!$H:$H,A9,'NHL2025-26Results'!$F:$F,"")</f>
        <v>8</v>
      </c>
      <c r="I9">
        <f>COUNTIFS('NHL2025-26Results'!$D:$D,A9,'NHL2025-26Results'!$H:$H,A9,'NHL2025-26Results'!$F:$F,"OT") + COUNTIFS('NHL2025-26Results'!$D:$D,A9,'NHL2025-26Results'!$H:$H,A9,'NHL2025-26Results'!$F:$F,"SO")</f>
        <v>4</v>
      </c>
      <c r="J9">
        <f>COUNTIFS('NHL2025-26Results'!$B:$B,A9,'NHL2025-26Results'!$G:$G,A9)</f>
        <v>14</v>
      </c>
      <c r="K9">
        <f>COUNTIFS('NHL2025-26Results'!$B:$B,A9,'NHL2025-26Results'!$H:$H,A9,'NHL2025-26Results'!$F:$F,"")</f>
        <v>12</v>
      </c>
      <c r="L9">
        <f>COUNTIFS('NHL2025-26Results'!$B:$B,A9,'NHL2025-26Results'!$H:$H,A9,'NHL2025-26Results'!$F:$F,"OT") + COUNTIFS('NHL2025-26Results'!$B:$B,A9,'NHL2025-26Results'!$H:$H,A9,'NHL2025-26Results'!$F:$F,"SO")</f>
        <v>3</v>
      </c>
      <c r="M9" s="11">
        <f>Table1[[#This Row],[HomeWins]]/SUM(Table1[[#This Row],[HomeWins]:[HomeOTL]])</f>
        <v>0.55555555555555558</v>
      </c>
      <c r="N9" s="11">
        <f>Table1[[#This Row],[AwayWins]]/SUM(Table1[[#This Row],[AwayWins]:[AwayOTL]])</f>
        <v>0.48275862068965519</v>
      </c>
      <c r="O9" s="14">
        <f>SUMIFS('NHL2025-26Results'!$E:$E,'NHL2025-26Results'!$D:$D,A9,'NHL2025-26Results'!$E:$E,"&gt;0")/COUNTIFS('NHL2025-26Results'!$D:$D,A9,'NHL2025-26Results'!$E:$E,"&gt;0")</f>
        <v>3.3333333333333335</v>
      </c>
      <c r="P9" s="14">
        <f>SUMIFS('NHL2025-26Results'!$C:$C,'NHL2025-26Results'!$B:$B,A9,'NHL2025-26Results'!$C:$C,"&gt;0")/COUNTIFS('NHL2025-26Results'!$B:$B,A9,'NHL2025-26Results'!$C:$C,"&gt;0")</f>
        <v>3.2962962962962963</v>
      </c>
      <c r="Q9" s="14">
        <f>SUMIFS('NHL2025-26Results'!$C:$C,'NHL2025-26Results'!$D:$D,A9,'NHL2025-26Results'!$C:$C,"&gt;0")/COUNTIFS('NHL2025-26Results'!$D:$D,A9,'NHL2025-26Results'!$C:$C,"&gt;0")</f>
        <v>3.32</v>
      </c>
      <c r="R9" s="14">
        <f>SUMIFS('NHL2025-26Results'!$E:$E,'NHL2025-26Results'!$B:$B,A9,'NHL2025-26Results'!$E:$E,"&gt;0")/COUNTIFS('NHL2025-26Results'!$B:$B,A9,'NHL2025-26Results'!$E:$E,"&gt;0")</f>
        <v>3.3571428571428572</v>
      </c>
    </row>
    <row r="10" spans="1:18" x14ac:dyDescent="0.2">
      <c r="A10" s="4" t="s">
        <v>39</v>
      </c>
      <c r="B10">
        <f>SUM(Table1[[#This Row],[W]:[OTL]])</f>
        <v>58</v>
      </c>
      <c r="C10">
        <f>COUNTIF(NHL2025_26Results[Winning Team],Standings!A10)</f>
        <v>35</v>
      </c>
      <c r="D10">
        <f>COUNTIFS('NHL2025-26Results'!$H:$H,A10,'NHL2025-26Results'!$F:$F,"")</f>
        <v>14</v>
      </c>
      <c r="E10">
        <f>COUNTIFS('NHL2025-26Results'!$F:$F,"OT",'NHL2025-26Results'!$H:$H,A10) + COUNTIFS('NHL2025-26Results'!$F:$F,"SO",'NHL2025-26Results'!$H:$H,A10)</f>
        <v>9</v>
      </c>
      <c r="F10" s="3">
        <f>(Table1[[#This Row],[W]]*2)+Table1[[#This Row],[OTL]]</f>
        <v>79</v>
      </c>
      <c r="G10">
        <f>COUNTIFS('NHL2025-26Results'!$D:$D,A10,'NHL2025-26Results'!$G:$G,A10)</f>
        <v>17</v>
      </c>
      <c r="H10">
        <f>COUNTIFS('NHL2025-26Results'!$D:$D,A10,'NHL2025-26Results'!$H:$H,A10,'NHL2025-26Results'!$F:$F,"")</f>
        <v>7</v>
      </c>
      <c r="I10">
        <f>COUNTIFS('NHL2025-26Results'!$D:$D,A10,'NHL2025-26Results'!$H:$H,A10,'NHL2025-26Results'!$F:$F,"OT") + COUNTIFS('NHL2025-26Results'!$D:$D,A10,'NHL2025-26Results'!$H:$H,A10,'NHL2025-26Results'!$F:$F,"SO")</f>
        <v>3</v>
      </c>
      <c r="J10">
        <f>COUNTIFS('NHL2025-26Results'!$B:$B,A10,'NHL2025-26Results'!$G:$G,A10)</f>
        <v>18</v>
      </c>
      <c r="K10">
        <f>COUNTIFS('NHL2025-26Results'!$B:$B,A10,'NHL2025-26Results'!$H:$H,A10,'NHL2025-26Results'!$F:$F,"")</f>
        <v>7</v>
      </c>
      <c r="L10">
        <f>COUNTIFS('NHL2025-26Results'!$B:$B,A10,'NHL2025-26Results'!$H:$H,A10,'NHL2025-26Results'!$F:$F,"OT") + COUNTIFS('NHL2025-26Results'!$B:$B,A10,'NHL2025-26Results'!$H:$H,A10,'NHL2025-26Results'!$F:$F,"SO")</f>
        <v>6</v>
      </c>
      <c r="M10" s="11">
        <f>Table1[[#This Row],[HomeWins]]/SUM(Table1[[#This Row],[HomeWins]:[HomeOTL]])</f>
        <v>0.62962962962962965</v>
      </c>
      <c r="N10" s="11">
        <f>Table1[[#This Row],[AwayWins]]/SUM(Table1[[#This Row],[AwayWins]:[AwayOTL]])</f>
        <v>0.58064516129032262</v>
      </c>
      <c r="O10" s="14">
        <f>SUMIFS('NHL2025-26Results'!$E:$E,'NHL2025-26Results'!$D:$D,A10,'NHL2025-26Results'!$E:$E,"&gt;0")/COUNTIFS('NHL2025-26Results'!$D:$D,A10,'NHL2025-26Results'!$E:$E,"&gt;0")</f>
        <v>3.4230769230769229</v>
      </c>
      <c r="P10" s="14">
        <f>SUMIFS('NHL2025-26Results'!$C:$C,'NHL2025-26Results'!$B:$B,A10,'NHL2025-26Results'!$C:$C,"&gt;0")/COUNTIFS('NHL2025-26Results'!$B:$B,A10,'NHL2025-26Results'!$C:$C,"&gt;0")</f>
        <v>3.6</v>
      </c>
      <c r="Q10" s="14">
        <f>SUMIFS('NHL2025-26Results'!$C:$C,'NHL2025-26Results'!$D:$D,A10,'NHL2025-26Results'!$C:$C,"&gt;0")/COUNTIFS('NHL2025-26Results'!$D:$D,A10,'NHL2025-26Results'!$C:$C,"&gt;0")</f>
        <v>2.8076923076923075</v>
      </c>
      <c r="R10" s="14">
        <f>SUMIFS('NHL2025-26Results'!$E:$E,'NHL2025-26Results'!$B:$B,A10,'NHL2025-26Results'!$E:$E,"&gt;0")/COUNTIFS('NHL2025-26Results'!$B:$B,A10,'NHL2025-26Results'!$E:$E,"&gt;0")</f>
        <v>3.0344827586206895</v>
      </c>
    </row>
    <row r="11" spans="1:18" x14ac:dyDescent="0.2">
      <c r="A11" s="4" t="s">
        <v>26</v>
      </c>
      <c r="B11">
        <f>SUM(Table1[[#This Row],[W]:[OTL]])</f>
        <v>58</v>
      </c>
      <c r="C11">
        <f>COUNTIF(NHL2025_26Results[Winning Team],Standings!A11)</f>
        <v>33</v>
      </c>
      <c r="D11">
        <f>COUNTIFS('NHL2025-26Results'!$H:$H,A11,'NHL2025-26Results'!$F:$F,"")</f>
        <v>19</v>
      </c>
      <c r="E11">
        <f>COUNTIFS('NHL2025-26Results'!$F:$F,"OT",'NHL2025-26Results'!$H:$H,A11) + COUNTIFS('NHL2025-26Results'!$F:$F,"SO",'NHL2025-26Results'!$H:$H,A11)</f>
        <v>6</v>
      </c>
      <c r="F11" s="3">
        <f>(Table1[[#This Row],[W]]*2)+Table1[[#This Row],[OTL]]</f>
        <v>72</v>
      </c>
      <c r="G11">
        <f>COUNTIFS('NHL2025-26Results'!$D:$D,A11,'NHL2025-26Results'!$G:$G,A11)</f>
        <v>18</v>
      </c>
      <c r="H11">
        <f>COUNTIFS('NHL2025-26Results'!$D:$D,A11,'NHL2025-26Results'!$H:$H,A11,'NHL2025-26Results'!$F:$F,"")</f>
        <v>10</v>
      </c>
      <c r="I11">
        <f>COUNTIFS('NHL2025-26Results'!$D:$D,A11,'NHL2025-26Results'!$H:$H,A11,'NHL2025-26Results'!$F:$F,"OT") + COUNTIFS('NHL2025-26Results'!$D:$D,A11,'NHL2025-26Results'!$H:$H,A11,'NHL2025-26Results'!$F:$F,"SO")</f>
        <v>2</v>
      </c>
      <c r="J11">
        <f>COUNTIFS('NHL2025-26Results'!$B:$B,A11,'NHL2025-26Results'!$G:$G,A11)</f>
        <v>15</v>
      </c>
      <c r="K11">
        <f>COUNTIFS('NHL2025-26Results'!$B:$B,A11,'NHL2025-26Results'!$H:$H,A11,'NHL2025-26Results'!$F:$F,"")</f>
        <v>9</v>
      </c>
      <c r="L11">
        <f>COUNTIFS('NHL2025-26Results'!$B:$B,A11,'NHL2025-26Results'!$H:$H,A11,'NHL2025-26Results'!$F:$F,"OT") + COUNTIFS('NHL2025-26Results'!$B:$B,A11,'NHL2025-26Results'!$H:$H,A11,'NHL2025-26Results'!$F:$F,"SO")</f>
        <v>4</v>
      </c>
      <c r="M11" s="11">
        <f>Table1[[#This Row],[HomeWins]]/SUM(Table1[[#This Row],[HomeWins]:[HomeOTL]])</f>
        <v>0.6</v>
      </c>
      <c r="N11" s="11">
        <f>Table1[[#This Row],[AwayWins]]/SUM(Table1[[#This Row],[AwayWins]:[AwayOTL]])</f>
        <v>0.5357142857142857</v>
      </c>
      <c r="O11" s="14">
        <f>SUMIFS('NHL2025-26Results'!$E:$E,'NHL2025-26Results'!$D:$D,A11,'NHL2025-26Results'!$E:$E,"&gt;0")/COUNTIFS('NHL2025-26Results'!$D:$D,A11,'NHL2025-26Results'!$E:$E,"&gt;0")</f>
        <v>3.2857142857142856</v>
      </c>
      <c r="P11" s="14">
        <f>SUMIFS('NHL2025-26Results'!$C:$C,'NHL2025-26Results'!$B:$B,A11,'NHL2025-26Results'!$C:$C,"&gt;0")/COUNTIFS('NHL2025-26Results'!$B:$B,A11,'NHL2025-26Results'!$C:$C,"&gt;0")</f>
        <v>3.1538461538461537</v>
      </c>
      <c r="Q11" s="14">
        <f>SUMIFS('NHL2025-26Results'!$C:$C,'NHL2025-26Results'!$D:$D,A11,'NHL2025-26Results'!$C:$C,"&gt;0")/COUNTIFS('NHL2025-26Results'!$D:$D,A11,'NHL2025-26Results'!$C:$C,"&gt;0")</f>
        <v>3.2666666666666666</v>
      </c>
      <c r="R11" s="14">
        <f>SUMIFS('NHL2025-26Results'!$E:$E,'NHL2025-26Results'!$B:$B,A11,'NHL2025-26Results'!$E:$E,"&gt;0")/COUNTIFS('NHL2025-26Results'!$B:$B,A11,'NHL2025-26Results'!$E:$E,"&gt;0")</f>
        <v>3.2083333333333335</v>
      </c>
    </row>
    <row r="12" spans="1:18" x14ac:dyDescent="0.2">
      <c r="A12" s="4" t="s">
        <v>17</v>
      </c>
      <c r="B12">
        <f>SUM(Table1[[#This Row],[W]:[OTL]])</f>
        <v>59</v>
      </c>
      <c r="C12">
        <f>COUNTIF(NHL2025_26Results[Winning Team],Standings!A12)</f>
        <v>28</v>
      </c>
      <c r="D12">
        <f>COUNTIFS('NHL2025-26Results'!$H:$H,A12,'NHL2025-26Results'!$F:$F,"")</f>
        <v>23</v>
      </c>
      <c r="E12">
        <f>COUNTIFS('NHL2025-26Results'!$F:$F,"OT",'NHL2025-26Results'!$H:$H,A12) + COUNTIFS('NHL2025-26Results'!$F:$F,"SO",'NHL2025-26Results'!$H:$H,A12)</f>
        <v>8</v>
      </c>
      <c r="F12" s="3">
        <f>(Table1[[#This Row],[W]]*2)+Table1[[#This Row],[OTL]]</f>
        <v>64</v>
      </c>
      <c r="G12">
        <f>COUNTIFS('NHL2025-26Results'!$D:$D,A12,'NHL2025-26Results'!$G:$G,A12)</f>
        <v>15</v>
      </c>
      <c r="H12">
        <f>COUNTIFS('NHL2025-26Results'!$D:$D,A12,'NHL2025-26Results'!$H:$H,A12,'NHL2025-26Results'!$F:$F,"")</f>
        <v>10</v>
      </c>
      <c r="I12">
        <f>COUNTIFS('NHL2025-26Results'!$D:$D,A12,'NHL2025-26Results'!$H:$H,A12,'NHL2025-26Results'!$F:$F,"OT") + COUNTIFS('NHL2025-26Results'!$D:$D,A12,'NHL2025-26Results'!$H:$H,A12,'NHL2025-26Results'!$F:$F,"SO")</f>
        <v>4</v>
      </c>
      <c r="J12">
        <f>COUNTIFS('NHL2025-26Results'!$B:$B,A12,'NHL2025-26Results'!$G:$G,A12)</f>
        <v>13</v>
      </c>
      <c r="K12">
        <f>COUNTIFS('NHL2025-26Results'!$B:$B,A12,'NHL2025-26Results'!$H:$H,A12,'NHL2025-26Results'!$F:$F,"")</f>
        <v>13</v>
      </c>
      <c r="L12">
        <f>COUNTIFS('NHL2025-26Results'!$B:$B,A12,'NHL2025-26Results'!$H:$H,A12,'NHL2025-26Results'!$F:$F,"OT") + COUNTIFS('NHL2025-26Results'!$B:$B,A12,'NHL2025-26Results'!$H:$H,A12,'NHL2025-26Results'!$F:$F,"SO")</f>
        <v>4</v>
      </c>
      <c r="M12" s="11">
        <f>Table1[[#This Row],[HomeWins]]/SUM(Table1[[#This Row],[HomeWins]:[HomeOTL]])</f>
        <v>0.51724137931034486</v>
      </c>
      <c r="N12" s="11">
        <f>Table1[[#This Row],[AwayWins]]/SUM(Table1[[#This Row],[AwayWins]:[AwayOTL]])</f>
        <v>0.43333333333333335</v>
      </c>
      <c r="O12" s="14">
        <f>SUMIFS('NHL2025-26Results'!$E:$E,'NHL2025-26Results'!$D:$D,A12,'NHL2025-26Results'!$E:$E,"&gt;0")/COUNTIFS('NHL2025-26Results'!$D:$D,A12,'NHL2025-26Results'!$E:$E,"&gt;0")</f>
        <v>3.9629629629629628</v>
      </c>
      <c r="P12" s="14">
        <f>SUMIFS('NHL2025-26Results'!$C:$C,'NHL2025-26Results'!$B:$B,A12,'NHL2025-26Results'!$C:$C,"&gt;0")/COUNTIFS('NHL2025-26Results'!$B:$B,A12,'NHL2025-26Results'!$C:$C,"&gt;0")</f>
        <v>3.2</v>
      </c>
      <c r="Q12" s="14">
        <f>SUMIFS('NHL2025-26Results'!$C:$C,'NHL2025-26Results'!$D:$D,A12,'NHL2025-26Results'!$C:$C,"&gt;0")/COUNTIFS('NHL2025-26Results'!$D:$D,A12,'NHL2025-26Results'!$C:$C,"&gt;0")</f>
        <v>3.7857142857142856</v>
      </c>
      <c r="R12" s="14">
        <f>SUMIFS('NHL2025-26Results'!$E:$E,'NHL2025-26Results'!$B:$B,A12,'NHL2025-26Results'!$E:$E,"&gt;0")/COUNTIFS('NHL2025-26Results'!$B:$B,A12,'NHL2025-26Results'!$E:$E,"&gt;0")</f>
        <v>3.4814814814814814</v>
      </c>
    </row>
    <row r="13" spans="1:18" x14ac:dyDescent="0.2">
      <c r="A13" s="4" t="s">
        <v>11</v>
      </c>
      <c r="B13">
        <f>SUM(Table1[[#This Row],[W]:[OTL]])</f>
        <v>57</v>
      </c>
      <c r="C13">
        <f>COUNTIF(NHL2025_26Results[Winning Team],Standings!A13)</f>
        <v>29</v>
      </c>
      <c r="D13">
        <f>COUNTIFS('NHL2025-26Results'!$H:$H,A13,'NHL2025-26Results'!$F:$F,"")</f>
        <v>25</v>
      </c>
      <c r="E13">
        <f>COUNTIFS('NHL2025-26Results'!$F:$F,"OT",'NHL2025-26Results'!$H:$H,A13) + COUNTIFS('NHL2025-26Results'!$F:$F,"SO",'NHL2025-26Results'!$H:$H,A13)</f>
        <v>3</v>
      </c>
      <c r="F13" s="3">
        <f>(Table1[[#This Row],[W]]*2)+Table1[[#This Row],[OTL]]</f>
        <v>61</v>
      </c>
      <c r="G13">
        <f>COUNTIFS('NHL2025-26Results'!$D:$D,A13,'NHL2025-26Results'!$G:$G,A13)</f>
        <v>15</v>
      </c>
      <c r="H13">
        <f>COUNTIFS('NHL2025-26Results'!$D:$D,A13,'NHL2025-26Results'!$H:$H,A13,'NHL2025-26Results'!$F:$F,"")</f>
        <v>13</v>
      </c>
      <c r="I13">
        <f>COUNTIFS('NHL2025-26Results'!$D:$D,A13,'NHL2025-26Results'!$H:$H,A13,'NHL2025-26Results'!$F:$F,"OT") + COUNTIFS('NHL2025-26Results'!$D:$D,A13,'NHL2025-26Results'!$H:$H,A13,'NHL2025-26Results'!$F:$F,"SO")</f>
        <v>3</v>
      </c>
      <c r="J13">
        <f>COUNTIFS('NHL2025-26Results'!$B:$B,A13,'NHL2025-26Results'!$G:$G,A13)</f>
        <v>14</v>
      </c>
      <c r="K13">
        <f>COUNTIFS('NHL2025-26Results'!$B:$B,A13,'NHL2025-26Results'!$H:$H,A13,'NHL2025-26Results'!$F:$F,"")</f>
        <v>12</v>
      </c>
      <c r="L13">
        <f>COUNTIFS('NHL2025-26Results'!$B:$B,A13,'NHL2025-26Results'!$H:$H,A13,'NHL2025-26Results'!$F:$F,"OT") + COUNTIFS('NHL2025-26Results'!$B:$B,A13,'NHL2025-26Results'!$H:$H,A13,'NHL2025-26Results'!$F:$F,"SO")</f>
        <v>0</v>
      </c>
      <c r="M13" s="11">
        <f>Table1[[#This Row],[HomeWins]]/SUM(Table1[[#This Row],[HomeWins]:[HomeOTL]])</f>
        <v>0.4838709677419355</v>
      </c>
      <c r="N13" s="11">
        <f>Table1[[#This Row],[AwayWins]]/SUM(Table1[[#This Row],[AwayWins]:[AwayOTL]])</f>
        <v>0.53846153846153844</v>
      </c>
      <c r="O13" s="14">
        <f>SUMIFS('NHL2025-26Results'!$E:$E,'NHL2025-26Results'!$D:$D,A13,'NHL2025-26Results'!$E:$E,"&gt;0")/COUNTIFS('NHL2025-26Results'!$D:$D,A13,'NHL2025-26Results'!$E:$E,"&gt;0")</f>
        <v>3.032258064516129</v>
      </c>
      <c r="P13" s="14">
        <f>SUMIFS('NHL2025-26Results'!$C:$C,'NHL2025-26Results'!$B:$B,A13,'NHL2025-26Results'!$C:$C,"&gt;0")/COUNTIFS('NHL2025-26Results'!$B:$B,A13,'NHL2025-26Results'!$C:$C,"&gt;0")</f>
        <v>3.2</v>
      </c>
      <c r="Q13" s="14">
        <f>SUMIFS('NHL2025-26Results'!$C:$C,'NHL2025-26Results'!$D:$D,A13,'NHL2025-26Results'!$C:$C,"&gt;0")/COUNTIFS('NHL2025-26Results'!$D:$D,A13,'NHL2025-26Results'!$C:$C,"&gt;0")</f>
        <v>3.4827586206896552</v>
      </c>
      <c r="R13" s="14">
        <f>SUMIFS('NHL2025-26Results'!$E:$E,'NHL2025-26Results'!$B:$B,A13,'NHL2025-26Results'!$E:$E,"&gt;0")/COUNTIFS('NHL2025-26Results'!$B:$B,A13,'NHL2025-26Results'!$E:$E,"&gt;0")</f>
        <v>3.6</v>
      </c>
    </row>
    <row r="14" spans="1:18" x14ac:dyDescent="0.2">
      <c r="A14" s="4" t="s">
        <v>13</v>
      </c>
      <c r="B14">
        <f>SUM(Table1[[#This Row],[W]:[OTL]])</f>
        <v>57</v>
      </c>
      <c r="C14">
        <f>COUNTIF(NHL2025_26Results[Winning Team],Standings!A14)</f>
        <v>23</v>
      </c>
      <c r="D14">
        <f>COUNTIFS('NHL2025-26Results'!$H:$H,A14,'NHL2025-26Results'!$F:$F,"")</f>
        <v>20</v>
      </c>
      <c r="E14">
        <f>COUNTIFS('NHL2025-26Results'!$F:$F,"OT",'NHL2025-26Results'!$H:$H,A14) + COUNTIFS('NHL2025-26Results'!$F:$F,"SO",'NHL2025-26Results'!$H:$H,A14)</f>
        <v>14</v>
      </c>
      <c r="F14" s="3">
        <f>(Table1[[#This Row],[W]]*2)+Table1[[#This Row],[OTL]]</f>
        <v>60</v>
      </c>
      <c r="G14">
        <f>COUNTIFS('NHL2025-26Results'!$D:$D,A14,'NHL2025-26Results'!$G:$G,A14)</f>
        <v>8</v>
      </c>
      <c r="H14">
        <f>COUNTIFS('NHL2025-26Results'!$D:$D,A14,'NHL2025-26Results'!$H:$H,A14,'NHL2025-26Results'!$F:$F,"")</f>
        <v>12</v>
      </c>
      <c r="I14">
        <f>COUNTIFS('NHL2025-26Results'!$D:$D,A14,'NHL2025-26Results'!$H:$H,A14,'NHL2025-26Results'!$F:$F,"OT") + COUNTIFS('NHL2025-26Results'!$D:$D,A14,'NHL2025-26Results'!$H:$H,A14,'NHL2025-26Results'!$F:$F,"SO")</f>
        <v>7</v>
      </c>
      <c r="J14">
        <f>COUNTIFS('NHL2025-26Results'!$B:$B,A14,'NHL2025-26Results'!$G:$G,A14)</f>
        <v>15</v>
      </c>
      <c r="K14">
        <f>COUNTIFS('NHL2025-26Results'!$B:$B,A14,'NHL2025-26Results'!$H:$H,A14,'NHL2025-26Results'!$F:$F,"")</f>
        <v>8</v>
      </c>
      <c r="L14">
        <f>COUNTIFS('NHL2025-26Results'!$B:$B,A14,'NHL2025-26Results'!$H:$H,A14,'NHL2025-26Results'!$F:$F,"OT") + COUNTIFS('NHL2025-26Results'!$B:$B,A14,'NHL2025-26Results'!$H:$H,A14,'NHL2025-26Results'!$F:$F,"SO")</f>
        <v>7</v>
      </c>
      <c r="M14" s="11">
        <f>Table1[[#This Row],[HomeWins]]/SUM(Table1[[#This Row],[HomeWins]:[HomeOTL]])</f>
        <v>0.29629629629629628</v>
      </c>
      <c r="N14" s="11">
        <f>Table1[[#This Row],[AwayWins]]/SUM(Table1[[#This Row],[AwayWins]:[AwayOTL]])</f>
        <v>0.5</v>
      </c>
      <c r="O14" s="14">
        <f>SUMIFS('NHL2025-26Results'!$E:$E,'NHL2025-26Results'!$D:$D,A14,'NHL2025-26Results'!$E:$E,"&gt;0")/COUNTIFS('NHL2025-26Results'!$D:$D,A14,'NHL2025-26Results'!$E:$E,"&gt;0")</f>
        <v>2.5185185185185186</v>
      </c>
      <c r="P14" s="14">
        <f>SUMIFS('NHL2025-26Results'!$C:$C,'NHL2025-26Results'!$B:$B,A14,'NHL2025-26Results'!$C:$C,"&gt;0")/COUNTIFS('NHL2025-26Results'!$B:$B,A14,'NHL2025-26Results'!$C:$C,"&gt;0")</f>
        <v>2.7333333333333334</v>
      </c>
      <c r="Q14" s="14">
        <f>SUMIFS('NHL2025-26Results'!$C:$C,'NHL2025-26Results'!$D:$D,A14,'NHL2025-26Results'!$C:$C,"&gt;0")/COUNTIFS('NHL2025-26Results'!$D:$D,A14,'NHL2025-26Results'!$C:$C,"&gt;0")</f>
        <v>3.2</v>
      </c>
      <c r="R14" s="14">
        <f>SUMIFS('NHL2025-26Results'!$E:$E,'NHL2025-26Results'!$B:$B,A14,'NHL2025-26Results'!$E:$E,"&gt;0")/COUNTIFS('NHL2025-26Results'!$B:$B,A14,'NHL2025-26Results'!$E:$E,"&gt;0")</f>
        <v>3</v>
      </c>
    </row>
    <row r="15" spans="1:18" x14ac:dyDescent="0.2">
      <c r="A15" s="4" t="s">
        <v>34</v>
      </c>
      <c r="B15">
        <f>SUM(Table1[[#This Row],[W]:[OTL]])</f>
        <v>58</v>
      </c>
      <c r="C15">
        <f>COUNTIF(NHL2025_26Results[Winning Team],Standings!A15)</f>
        <v>34</v>
      </c>
      <c r="D15">
        <f>COUNTIFS('NHL2025-26Results'!$H:$H,A15,'NHL2025-26Results'!$F:$F,"")</f>
        <v>14</v>
      </c>
      <c r="E15">
        <f>COUNTIFS('NHL2025-26Results'!$F:$F,"OT",'NHL2025-26Results'!$H:$H,A15) + COUNTIFS('NHL2025-26Results'!$F:$F,"SO",'NHL2025-26Results'!$H:$H,A15)</f>
        <v>10</v>
      </c>
      <c r="F15" s="3">
        <f>(Table1[[#This Row],[W]]*2)+Table1[[#This Row],[OTL]]</f>
        <v>78</v>
      </c>
      <c r="G15">
        <f>COUNTIFS('NHL2025-26Results'!$D:$D,A15,'NHL2025-26Results'!$G:$G,A15)</f>
        <v>17</v>
      </c>
      <c r="H15">
        <f>COUNTIFS('NHL2025-26Results'!$D:$D,A15,'NHL2025-26Results'!$H:$H,A15,'NHL2025-26Results'!$F:$F,"")</f>
        <v>6</v>
      </c>
      <c r="I15">
        <f>COUNTIFS('NHL2025-26Results'!$D:$D,A15,'NHL2025-26Results'!$H:$H,A15,'NHL2025-26Results'!$F:$F,"OT") + COUNTIFS('NHL2025-26Results'!$D:$D,A15,'NHL2025-26Results'!$H:$H,A15,'NHL2025-26Results'!$F:$F,"SO")</f>
        <v>7</v>
      </c>
      <c r="J15">
        <f>COUNTIFS('NHL2025-26Results'!$B:$B,A15,'NHL2025-26Results'!$G:$G,A15)</f>
        <v>17</v>
      </c>
      <c r="K15">
        <f>COUNTIFS('NHL2025-26Results'!$B:$B,A15,'NHL2025-26Results'!$H:$H,A15,'NHL2025-26Results'!$F:$F,"")</f>
        <v>8</v>
      </c>
      <c r="L15">
        <f>COUNTIFS('NHL2025-26Results'!$B:$B,A15,'NHL2025-26Results'!$H:$H,A15,'NHL2025-26Results'!$F:$F,"OT") + COUNTIFS('NHL2025-26Results'!$B:$B,A15,'NHL2025-26Results'!$H:$H,A15,'NHL2025-26Results'!$F:$F,"SO")</f>
        <v>3</v>
      </c>
      <c r="M15" s="11">
        <f>Table1[[#This Row],[HomeWins]]/SUM(Table1[[#This Row],[HomeWins]:[HomeOTL]])</f>
        <v>0.56666666666666665</v>
      </c>
      <c r="N15" s="11">
        <f>Table1[[#This Row],[AwayWins]]/SUM(Table1[[#This Row],[AwayWins]:[AwayOTL]])</f>
        <v>0.6071428571428571</v>
      </c>
      <c r="O15" s="14">
        <f>SUMIFS('NHL2025-26Results'!$E:$E,'NHL2025-26Results'!$D:$D,A15,'NHL2025-26Results'!$E:$E,"&gt;0")/COUNTIFS('NHL2025-26Results'!$D:$D,A15,'NHL2025-26Results'!$E:$E,"&gt;0")</f>
        <v>3.2333333333333334</v>
      </c>
      <c r="P15" s="14">
        <f>SUMIFS('NHL2025-26Results'!$C:$C,'NHL2025-26Results'!$B:$B,A15,'NHL2025-26Results'!$C:$C,"&gt;0")/COUNTIFS('NHL2025-26Results'!$B:$B,A15,'NHL2025-26Results'!$C:$C,"&gt;0")</f>
        <v>3.5357142857142856</v>
      </c>
      <c r="Q15" s="14">
        <f>SUMIFS('NHL2025-26Results'!$C:$C,'NHL2025-26Results'!$D:$D,A15,'NHL2025-26Results'!$C:$C,"&gt;0")/COUNTIFS('NHL2025-26Results'!$D:$D,A15,'NHL2025-26Results'!$C:$C,"&gt;0")</f>
        <v>3.3703703703703702</v>
      </c>
      <c r="R15" s="14">
        <f>SUMIFS('NHL2025-26Results'!$E:$E,'NHL2025-26Results'!$B:$B,A15,'NHL2025-26Results'!$E:$E,"&gt;0")/COUNTIFS('NHL2025-26Results'!$B:$B,A15,'NHL2025-26Results'!$E:$E,"&gt;0")</f>
        <v>3.25</v>
      </c>
    </row>
    <row r="16" spans="1:18" x14ac:dyDescent="0.2">
      <c r="A16" s="4" t="s">
        <v>18</v>
      </c>
      <c r="B16">
        <f>SUM(Table1[[#This Row],[W]:[OTL]])</f>
        <v>57</v>
      </c>
      <c r="C16">
        <f>COUNTIF(NHL2025_26Results[Winning Team],Standings!A16)</f>
        <v>32</v>
      </c>
      <c r="D16">
        <f>COUNTIFS('NHL2025-26Results'!$H:$H,A16,'NHL2025-26Results'!$F:$F,"")</f>
        <v>17</v>
      </c>
      <c r="E16">
        <f>COUNTIFS('NHL2025-26Results'!$F:$F,"OT",'NHL2025-26Results'!$H:$H,A16) + COUNTIFS('NHL2025-26Results'!$F:$F,"SO",'NHL2025-26Results'!$H:$H,A16)</f>
        <v>8</v>
      </c>
      <c r="F16" s="3">
        <f>(Table1[[#This Row],[W]]*2)+Table1[[#This Row],[OTL]]</f>
        <v>72</v>
      </c>
      <c r="G16">
        <f>COUNTIFS('NHL2025-26Results'!$D:$D,A16,'NHL2025-26Results'!$G:$G,A16)</f>
        <v>16</v>
      </c>
      <c r="H16">
        <f>COUNTIFS('NHL2025-26Results'!$D:$D,A16,'NHL2025-26Results'!$H:$H,A16,'NHL2025-26Results'!$F:$F,"")</f>
        <v>11</v>
      </c>
      <c r="I16">
        <f>COUNTIFS('NHL2025-26Results'!$D:$D,A16,'NHL2025-26Results'!$H:$H,A16,'NHL2025-26Results'!$F:$F,"OT") + COUNTIFS('NHL2025-26Results'!$D:$D,A16,'NHL2025-26Results'!$H:$H,A16,'NHL2025-26Results'!$F:$F,"SO")</f>
        <v>1</v>
      </c>
      <c r="J16">
        <f>COUNTIFS('NHL2025-26Results'!$B:$B,A16,'NHL2025-26Results'!$G:$G,A16)</f>
        <v>16</v>
      </c>
      <c r="K16">
        <f>COUNTIFS('NHL2025-26Results'!$B:$B,A16,'NHL2025-26Results'!$H:$H,A16,'NHL2025-26Results'!$F:$F,"")</f>
        <v>6</v>
      </c>
      <c r="L16">
        <f>COUNTIFS('NHL2025-26Results'!$B:$B,A16,'NHL2025-26Results'!$H:$H,A16,'NHL2025-26Results'!$F:$F,"OT") + COUNTIFS('NHL2025-26Results'!$B:$B,A16,'NHL2025-26Results'!$H:$H,A16,'NHL2025-26Results'!$F:$F,"SO")</f>
        <v>7</v>
      </c>
      <c r="M16" s="11">
        <f>Table1[[#This Row],[HomeWins]]/SUM(Table1[[#This Row],[HomeWins]:[HomeOTL]])</f>
        <v>0.5714285714285714</v>
      </c>
      <c r="N16" s="11">
        <f>Table1[[#This Row],[AwayWins]]/SUM(Table1[[#This Row],[AwayWins]:[AwayOTL]])</f>
        <v>0.55172413793103448</v>
      </c>
      <c r="O16" s="14">
        <f>SUMIFS('NHL2025-26Results'!$E:$E,'NHL2025-26Results'!$D:$D,A16,'NHL2025-26Results'!$E:$E,"&gt;0")/COUNTIFS('NHL2025-26Results'!$D:$D,A16,'NHL2025-26Results'!$E:$E,"&gt;0")</f>
        <v>3.6538461538461537</v>
      </c>
      <c r="P16" s="14">
        <f>SUMIFS('NHL2025-26Results'!$C:$C,'NHL2025-26Results'!$B:$B,A16,'NHL2025-26Results'!$C:$C,"&gt;0")/COUNTIFS('NHL2025-26Results'!$B:$B,A16,'NHL2025-26Results'!$C:$C,"&gt;0")</f>
        <v>3.7142857142857144</v>
      </c>
      <c r="Q16" s="14">
        <f>SUMIFS('NHL2025-26Results'!$C:$C,'NHL2025-26Results'!$D:$D,A16,'NHL2025-26Results'!$C:$C,"&gt;0")/COUNTIFS('NHL2025-26Results'!$D:$D,A16,'NHL2025-26Results'!$C:$C,"&gt;0")</f>
        <v>3.4074074074074074</v>
      </c>
      <c r="R16" s="14">
        <f>SUMIFS('NHL2025-26Results'!$E:$E,'NHL2025-26Results'!$B:$B,A16,'NHL2025-26Results'!$E:$E,"&gt;0")/COUNTIFS('NHL2025-26Results'!$B:$B,A16,'NHL2025-26Results'!$E:$E,"&gt;0")</f>
        <v>3.2758620689655173</v>
      </c>
    </row>
    <row r="17" spans="1:18" x14ac:dyDescent="0.2">
      <c r="A17" s="4" t="s">
        <v>29</v>
      </c>
      <c r="B17">
        <f>SUM(Table1[[#This Row],[W]:[OTL]])</f>
        <v>57</v>
      </c>
      <c r="C17">
        <f>COUNTIF(NHL2025_26Results[Winning Team],Standings!A17)</f>
        <v>26</v>
      </c>
      <c r="D17">
        <f>COUNTIFS('NHL2025-26Results'!$H:$H,A17,'NHL2025-26Results'!$F:$F,"")</f>
        <v>24</v>
      </c>
      <c r="E17">
        <f>COUNTIFS('NHL2025-26Results'!$F:$F,"OT",'NHL2025-26Results'!$H:$H,A17) + COUNTIFS('NHL2025-26Results'!$F:$F,"SO",'NHL2025-26Results'!$H:$H,A17)</f>
        <v>7</v>
      </c>
      <c r="F17" s="3">
        <f>(Table1[[#This Row],[W]]*2)+Table1[[#This Row],[OTL]]</f>
        <v>59</v>
      </c>
      <c r="G17">
        <f>COUNTIFS('NHL2025-26Results'!$D:$D,A17,'NHL2025-26Results'!$G:$G,A17)</f>
        <v>15</v>
      </c>
      <c r="H17">
        <f>COUNTIFS('NHL2025-26Results'!$D:$D,A17,'NHL2025-26Results'!$H:$H,A17,'NHL2025-26Results'!$F:$F,"")</f>
        <v>12</v>
      </c>
      <c r="I17">
        <f>COUNTIFS('NHL2025-26Results'!$D:$D,A17,'NHL2025-26Results'!$H:$H,A17,'NHL2025-26Results'!$F:$F,"OT") + COUNTIFS('NHL2025-26Results'!$D:$D,A17,'NHL2025-26Results'!$H:$H,A17,'NHL2025-26Results'!$F:$F,"SO")</f>
        <v>3</v>
      </c>
      <c r="J17">
        <f>COUNTIFS('NHL2025-26Results'!$B:$B,A17,'NHL2025-26Results'!$G:$G,A17)</f>
        <v>11</v>
      </c>
      <c r="K17">
        <f>COUNTIFS('NHL2025-26Results'!$B:$B,A17,'NHL2025-26Results'!$H:$H,A17,'NHL2025-26Results'!$F:$F,"")</f>
        <v>12</v>
      </c>
      <c r="L17">
        <f>COUNTIFS('NHL2025-26Results'!$B:$B,A17,'NHL2025-26Results'!$H:$H,A17,'NHL2025-26Results'!$F:$F,"OT") + COUNTIFS('NHL2025-26Results'!$B:$B,A17,'NHL2025-26Results'!$H:$H,A17,'NHL2025-26Results'!$F:$F,"SO")</f>
        <v>4</v>
      </c>
      <c r="M17" s="11">
        <f>Table1[[#This Row],[HomeWins]]/SUM(Table1[[#This Row],[HomeWins]:[HomeOTL]])</f>
        <v>0.5</v>
      </c>
      <c r="N17" s="11">
        <f>Table1[[#This Row],[AwayWins]]/SUM(Table1[[#This Row],[AwayWins]:[AwayOTL]])</f>
        <v>0.40740740740740738</v>
      </c>
      <c r="O17" s="14">
        <f>SUMIFS('NHL2025-26Results'!$E:$E,'NHL2025-26Results'!$D:$D,A17,'NHL2025-26Results'!$E:$E,"&gt;0")/COUNTIFS('NHL2025-26Results'!$D:$D,A17,'NHL2025-26Results'!$E:$E,"&gt;0")</f>
        <v>3.25</v>
      </c>
      <c r="P17" s="14">
        <f>SUMIFS('NHL2025-26Results'!$C:$C,'NHL2025-26Results'!$B:$B,A17,'NHL2025-26Results'!$C:$C,"&gt;0")/COUNTIFS('NHL2025-26Results'!$B:$B,A17,'NHL2025-26Results'!$C:$C,"&gt;0")</f>
        <v>3</v>
      </c>
      <c r="Q17" s="14">
        <f>SUMIFS('NHL2025-26Results'!$C:$C,'NHL2025-26Results'!$D:$D,A17,'NHL2025-26Results'!$C:$C,"&gt;0")/COUNTIFS('NHL2025-26Results'!$D:$D,A17,'NHL2025-26Results'!$C:$C,"&gt;0")</f>
        <v>3.3666666666666667</v>
      </c>
      <c r="R17" s="14">
        <f>SUMIFS('NHL2025-26Results'!$E:$E,'NHL2025-26Results'!$B:$B,A17,'NHL2025-26Results'!$E:$E,"&gt;0")/COUNTIFS('NHL2025-26Results'!$B:$B,A17,'NHL2025-26Results'!$E:$E,"&gt;0")</f>
        <v>3.5925925925925926</v>
      </c>
    </row>
    <row r="18" spans="1:18" x14ac:dyDescent="0.2">
      <c r="A18" s="4" t="s">
        <v>24</v>
      </c>
      <c r="B18">
        <f>SUM(Table1[[#This Row],[W]:[OTL]])</f>
        <v>58</v>
      </c>
      <c r="C18">
        <f>COUNTIF(NHL2025_26Results[Winning Team],Standings!A18)</f>
        <v>28</v>
      </c>
      <c r="D18">
        <f>COUNTIFS('NHL2025-26Results'!$H:$H,A18,'NHL2025-26Results'!$F:$F,"")</f>
        <v>28</v>
      </c>
      <c r="E18">
        <f>COUNTIFS('NHL2025-26Results'!$F:$F,"OT",'NHL2025-26Results'!$H:$H,A18) + COUNTIFS('NHL2025-26Results'!$F:$F,"SO",'NHL2025-26Results'!$H:$H,A18)</f>
        <v>2</v>
      </c>
      <c r="F18" s="3">
        <f>(Table1[[#This Row],[W]]*2)+Table1[[#This Row],[OTL]]</f>
        <v>58</v>
      </c>
      <c r="G18">
        <f>COUNTIFS('NHL2025-26Results'!$D:$D,A18,'NHL2025-26Results'!$G:$G,A18)</f>
        <v>13</v>
      </c>
      <c r="H18">
        <f>COUNTIFS('NHL2025-26Results'!$D:$D,A18,'NHL2025-26Results'!$H:$H,A18,'NHL2025-26Results'!$F:$F,"")</f>
        <v>13</v>
      </c>
      <c r="I18">
        <f>COUNTIFS('NHL2025-26Results'!$D:$D,A18,'NHL2025-26Results'!$H:$H,A18,'NHL2025-26Results'!$F:$F,"OT") + COUNTIFS('NHL2025-26Results'!$D:$D,A18,'NHL2025-26Results'!$H:$H,A18,'NHL2025-26Results'!$F:$F,"SO")</f>
        <v>2</v>
      </c>
      <c r="J18">
        <f>COUNTIFS('NHL2025-26Results'!$B:$B,A18,'NHL2025-26Results'!$G:$G,A18)</f>
        <v>15</v>
      </c>
      <c r="K18">
        <f>COUNTIFS('NHL2025-26Results'!$B:$B,A18,'NHL2025-26Results'!$H:$H,A18,'NHL2025-26Results'!$F:$F,"")</f>
        <v>15</v>
      </c>
      <c r="L18">
        <f>COUNTIFS('NHL2025-26Results'!$B:$B,A18,'NHL2025-26Results'!$H:$H,A18,'NHL2025-26Results'!$F:$F,"OT") + COUNTIFS('NHL2025-26Results'!$B:$B,A18,'NHL2025-26Results'!$H:$H,A18,'NHL2025-26Results'!$F:$F,"SO")</f>
        <v>0</v>
      </c>
      <c r="M18" s="11">
        <f>Table1[[#This Row],[HomeWins]]/SUM(Table1[[#This Row],[HomeWins]:[HomeOTL]])</f>
        <v>0.4642857142857143</v>
      </c>
      <c r="N18" s="11">
        <f>Table1[[#This Row],[AwayWins]]/SUM(Table1[[#This Row],[AwayWins]:[AwayOTL]])</f>
        <v>0.5</v>
      </c>
      <c r="O18" s="14">
        <f>SUMIFS('NHL2025-26Results'!$E:$E,'NHL2025-26Results'!$D:$D,A18,'NHL2025-26Results'!$E:$E,"&gt;0")/COUNTIFS('NHL2025-26Results'!$D:$D,A18,'NHL2025-26Results'!$E:$E,"&gt;0")</f>
        <v>2.8</v>
      </c>
      <c r="P18" s="14">
        <f>SUMIFS('NHL2025-26Results'!$C:$C,'NHL2025-26Results'!$B:$B,A18,'NHL2025-26Results'!$C:$C,"&gt;0")/COUNTIFS('NHL2025-26Results'!$B:$B,A18,'NHL2025-26Results'!$C:$C,"&gt;0")</f>
        <v>2.8518518518518516</v>
      </c>
      <c r="Q18" s="14">
        <f>SUMIFS('NHL2025-26Results'!$C:$C,'NHL2025-26Results'!$D:$D,A18,'NHL2025-26Results'!$C:$C,"&gt;0")/COUNTIFS('NHL2025-26Results'!$D:$D,A18,'NHL2025-26Results'!$C:$C,"&gt;0")</f>
        <v>2.8214285714285716</v>
      </c>
      <c r="R18" s="14">
        <f>SUMIFS('NHL2025-26Results'!$E:$E,'NHL2025-26Results'!$B:$B,A18,'NHL2025-26Results'!$E:$E,"&gt;0")/COUNTIFS('NHL2025-26Results'!$B:$B,A18,'NHL2025-26Results'!$E:$E,"&gt;0")</f>
        <v>3.3793103448275863</v>
      </c>
    </row>
    <row r="19" spans="1:18" x14ac:dyDescent="0.2">
      <c r="A19" s="4" t="s">
        <v>30</v>
      </c>
      <c r="B19">
        <f>SUM(Table1[[#This Row],[W]:[OTL]])</f>
        <v>58</v>
      </c>
      <c r="C19">
        <f>COUNTIF(NHL2025_26Results[Winning Team],Standings!A19)</f>
        <v>32</v>
      </c>
      <c r="D19">
        <f>COUNTIFS('NHL2025-26Results'!$H:$H,A19,'NHL2025-26Results'!$F:$F,"")</f>
        <v>21</v>
      </c>
      <c r="E19">
        <f>COUNTIFS('NHL2025-26Results'!$F:$F,"OT",'NHL2025-26Results'!$H:$H,A19) + COUNTIFS('NHL2025-26Results'!$F:$F,"SO",'NHL2025-26Results'!$H:$H,A19)</f>
        <v>5</v>
      </c>
      <c r="F19" s="3">
        <f>(Table1[[#This Row],[W]]*2)+Table1[[#This Row],[OTL]]</f>
        <v>69</v>
      </c>
      <c r="G19">
        <f>COUNTIFS('NHL2025-26Results'!$D:$D,A19,'NHL2025-26Results'!$G:$G,A19)</f>
        <v>16</v>
      </c>
      <c r="H19">
        <f>COUNTIFS('NHL2025-26Results'!$D:$D,A19,'NHL2025-26Results'!$H:$H,A19,'NHL2025-26Results'!$F:$F,"")</f>
        <v>10</v>
      </c>
      <c r="I19">
        <f>COUNTIFS('NHL2025-26Results'!$D:$D,A19,'NHL2025-26Results'!$H:$H,A19,'NHL2025-26Results'!$F:$F,"OT") + COUNTIFS('NHL2025-26Results'!$D:$D,A19,'NHL2025-26Results'!$H:$H,A19,'NHL2025-26Results'!$F:$F,"SO")</f>
        <v>2</v>
      </c>
      <c r="J19">
        <f>COUNTIFS('NHL2025-26Results'!$B:$B,A19,'NHL2025-26Results'!$G:$G,A19)</f>
        <v>16</v>
      </c>
      <c r="K19">
        <f>COUNTIFS('NHL2025-26Results'!$B:$B,A19,'NHL2025-26Results'!$H:$H,A19,'NHL2025-26Results'!$F:$F,"")</f>
        <v>11</v>
      </c>
      <c r="L19">
        <f>COUNTIFS('NHL2025-26Results'!$B:$B,A19,'NHL2025-26Results'!$H:$H,A19,'NHL2025-26Results'!$F:$F,"OT") + COUNTIFS('NHL2025-26Results'!$B:$B,A19,'NHL2025-26Results'!$H:$H,A19,'NHL2025-26Results'!$F:$F,"SO")</f>
        <v>3</v>
      </c>
      <c r="M19" s="11">
        <f>Table1[[#This Row],[HomeWins]]/SUM(Table1[[#This Row],[HomeWins]:[HomeOTL]])</f>
        <v>0.5714285714285714</v>
      </c>
      <c r="N19" s="11">
        <f>Table1[[#This Row],[AwayWins]]/SUM(Table1[[#This Row],[AwayWins]:[AwayOTL]])</f>
        <v>0.53333333333333333</v>
      </c>
      <c r="O19" s="14">
        <f>SUMIFS('NHL2025-26Results'!$E:$E,'NHL2025-26Results'!$D:$D,A19,'NHL2025-26Results'!$E:$E,"&gt;0")/COUNTIFS('NHL2025-26Results'!$D:$D,A19,'NHL2025-26Results'!$E:$E,"&gt;0")</f>
        <v>3.2592592592592591</v>
      </c>
      <c r="P19" s="14">
        <f>SUMIFS('NHL2025-26Results'!$C:$C,'NHL2025-26Results'!$B:$B,A19,'NHL2025-26Results'!$C:$C,"&gt;0")/COUNTIFS('NHL2025-26Results'!$B:$B,A19,'NHL2025-26Results'!$C:$C,"&gt;0")</f>
        <v>2.7</v>
      </c>
      <c r="Q19" s="14">
        <f>SUMIFS('NHL2025-26Results'!$C:$C,'NHL2025-26Results'!$D:$D,A19,'NHL2025-26Results'!$C:$C,"&gt;0")/COUNTIFS('NHL2025-26Results'!$D:$D,A19,'NHL2025-26Results'!$C:$C,"&gt;0")</f>
        <v>3.28</v>
      </c>
      <c r="R19" s="14">
        <f>SUMIFS('NHL2025-26Results'!$E:$E,'NHL2025-26Results'!$B:$B,A19,'NHL2025-26Results'!$E:$E,"&gt;0")/COUNTIFS('NHL2025-26Results'!$B:$B,A19,'NHL2025-26Results'!$E:$E,"&gt;0")</f>
        <v>3.2</v>
      </c>
    </row>
    <row r="20" spans="1:18" x14ac:dyDescent="0.2">
      <c r="A20" s="4" t="s">
        <v>15</v>
      </c>
      <c r="B20">
        <f>SUM(Table1[[#This Row],[W]:[OTL]])</f>
        <v>57</v>
      </c>
      <c r="C20">
        <f>COUNTIF(NHL2025_26Results[Winning Team],Standings!A20)</f>
        <v>23</v>
      </c>
      <c r="D20">
        <f>COUNTIFS('NHL2025-26Results'!$H:$H,A20,'NHL2025-26Results'!$F:$F,"")</f>
        <v>28</v>
      </c>
      <c r="E20">
        <f>COUNTIFS('NHL2025-26Results'!$F:$F,"OT",'NHL2025-26Results'!$H:$H,A20) + COUNTIFS('NHL2025-26Results'!$F:$F,"SO",'NHL2025-26Results'!$H:$H,A20)</f>
        <v>6</v>
      </c>
      <c r="F20" s="3">
        <f>(Table1[[#This Row],[W]]*2)+Table1[[#This Row],[OTL]]</f>
        <v>52</v>
      </c>
      <c r="G20">
        <f>COUNTIFS('NHL2025-26Results'!$D:$D,A20,'NHL2025-26Results'!$G:$G,A20)</f>
        <v>6</v>
      </c>
      <c r="H20">
        <f>COUNTIFS('NHL2025-26Results'!$D:$D,A20,'NHL2025-26Results'!$H:$H,A20,'NHL2025-26Results'!$F:$F,"")</f>
        <v>15</v>
      </c>
      <c r="I20">
        <f>COUNTIFS('NHL2025-26Results'!$D:$D,A20,'NHL2025-26Results'!$H:$H,A20,'NHL2025-26Results'!$F:$F,"OT") + COUNTIFS('NHL2025-26Results'!$D:$D,A20,'NHL2025-26Results'!$H:$H,A20,'NHL2025-26Results'!$F:$F,"SO")</f>
        <v>4</v>
      </c>
      <c r="J20">
        <f>COUNTIFS('NHL2025-26Results'!$B:$B,A20,'NHL2025-26Results'!$G:$G,A20)</f>
        <v>17</v>
      </c>
      <c r="K20">
        <f>COUNTIFS('NHL2025-26Results'!$B:$B,A20,'NHL2025-26Results'!$H:$H,A20,'NHL2025-26Results'!$F:$F,"")</f>
        <v>13</v>
      </c>
      <c r="L20">
        <f>COUNTIFS('NHL2025-26Results'!$B:$B,A20,'NHL2025-26Results'!$H:$H,A20,'NHL2025-26Results'!$F:$F,"OT") + COUNTIFS('NHL2025-26Results'!$B:$B,A20,'NHL2025-26Results'!$H:$H,A20,'NHL2025-26Results'!$F:$F,"SO")</f>
        <v>2</v>
      </c>
      <c r="M20" s="11">
        <f>Table1[[#This Row],[HomeWins]]/SUM(Table1[[#This Row],[HomeWins]:[HomeOTL]])</f>
        <v>0.24</v>
      </c>
      <c r="N20" s="11">
        <f>Table1[[#This Row],[AwayWins]]/SUM(Table1[[#This Row],[AwayWins]:[AwayOTL]])</f>
        <v>0.53125</v>
      </c>
      <c r="O20" s="14">
        <f>SUMIFS('NHL2025-26Results'!$E:$E,'NHL2025-26Results'!$D:$D,A20,'NHL2025-26Results'!$E:$E,"&gt;0")/COUNTIFS('NHL2025-26Results'!$D:$D,A20,'NHL2025-26Results'!$E:$E,"&gt;0")</f>
        <v>2.7777777777777777</v>
      </c>
      <c r="P20" s="14">
        <f>SUMIFS('NHL2025-26Results'!$C:$C,'NHL2025-26Results'!$B:$B,A20,'NHL2025-26Results'!$C:$C,"&gt;0")/COUNTIFS('NHL2025-26Results'!$B:$B,A20,'NHL2025-26Results'!$C:$C,"&gt;0")</f>
        <v>3.3666666666666667</v>
      </c>
      <c r="Q20" s="14">
        <f>SUMIFS('NHL2025-26Results'!$C:$C,'NHL2025-26Results'!$D:$D,A20,'NHL2025-26Results'!$C:$C,"&gt;0")/COUNTIFS('NHL2025-26Results'!$D:$D,A20,'NHL2025-26Results'!$C:$C,"&gt;0")</f>
        <v>3.36</v>
      </c>
      <c r="R20" s="14">
        <f>SUMIFS('NHL2025-26Results'!$E:$E,'NHL2025-26Results'!$B:$B,A20,'NHL2025-26Results'!$E:$E,"&gt;0")/COUNTIFS('NHL2025-26Results'!$B:$B,A20,'NHL2025-26Results'!$E:$E,"&gt;0")</f>
        <v>3.2</v>
      </c>
    </row>
    <row r="21" spans="1:18" x14ac:dyDescent="0.2">
      <c r="A21" s="4" t="s">
        <v>36</v>
      </c>
      <c r="B21">
        <f>SUM(Table1[[#This Row],[W]:[OTL]])</f>
        <v>57</v>
      </c>
      <c r="C21">
        <f>COUNTIF(NHL2025_26Results[Winning Team],Standings!A21)</f>
        <v>28</v>
      </c>
      <c r="D21">
        <f>COUNTIFS('NHL2025-26Results'!$H:$H,A21,'NHL2025-26Results'!$F:$F,"")</f>
        <v>22</v>
      </c>
      <c r="E21">
        <f>COUNTIFS('NHL2025-26Results'!$F:$F,"OT",'NHL2025-26Results'!$H:$H,A21) + COUNTIFS('NHL2025-26Results'!$F:$F,"SO",'NHL2025-26Results'!$H:$H,A21)</f>
        <v>7</v>
      </c>
      <c r="F21" s="3">
        <f>(Table1[[#This Row],[W]]*2)+Table1[[#This Row],[OTL]]</f>
        <v>63</v>
      </c>
      <c r="G21">
        <f>COUNTIFS('NHL2025-26Results'!$D:$D,A21,'NHL2025-26Results'!$G:$G,A21)</f>
        <v>14</v>
      </c>
      <c r="H21">
        <f>COUNTIFS('NHL2025-26Results'!$D:$D,A21,'NHL2025-26Results'!$H:$H,A21,'NHL2025-26Results'!$F:$F,"")</f>
        <v>10</v>
      </c>
      <c r="I21">
        <f>COUNTIFS('NHL2025-26Results'!$D:$D,A21,'NHL2025-26Results'!$H:$H,A21,'NHL2025-26Results'!$F:$F,"OT") + COUNTIFS('NHL2025-26Results'!$D:$D,A21,'NHL2025-26Results'!$H:$H,A21,'NHL2025-26Results'!$F:$F,"SO")</f>
        <v>4</v>
      </c>
      <c r="J21">
        <f>COUNTIFS('NHL2025-26Results'!$B:$B,A21,'NHL2025-26Results'!$G:$G,A21)</f>
        <v>14</v>
      </c>
      <c r="K21">
        <f>COUNTIFS('NHL2025-26Results'!$B:$B,A21,'NHL2025-26Results'!$H:$H,A21,'NHL2025-26Results'!$F:$F,"")</f>
        <v>12</v>
      </c>
      <c r="L21">
        <f>COUNTIFS('NHL2025-26Results'!$B:$B,A21,'NHL2025-26Results'!$H:$H,A21,'NHL2025-26Results'!$F:$F,"OT") + COUNTIFS('NHL2025-26Results'!$B:$B,A21,'NHL2025-26Results'!$H:$H,A21,'NHL2025-26Results'!$F:$F,"SO")</f>
        <v>3</v>
      </c>
      <c r="M21" s="11">
        <f>Table1[[#This Row],[HomeWins]]/SUM(Table1[[#This Row],[HomeWins]:[HomeOTL]])</f>
        <v>0.5</v>
      </c>
      <c r="N21" s="11">
        <f>Table1[[#This Row],[AwayWins]]/SUM(Table1[[#This Row],[AwayWins]:[AwayOTL]])</f>
        <v>0.48275862068965519</v>
      </c>
      <c r="O21" s="14">
        <f>SUMIFS('NHL2025-26Results'!$E:$E,'NHL2025-26Results'!$D:$D,A21,'NHL2025-26Results'!$E:$E,"&gt;0")/COUNTIFS('NHL2025-26Results'!$D:$D,A21,'NHL2025-26Results'!$E:$E,"&gt;0")</f>
        <v>3.3703703703703702</v>
      </c>
      <c r="P21" s="14">
        <f>SUMIFS('NHL2025-26Results'!$C:$C,'NHL2025-26Results'!$B:$B,A21,'NHL2025-26Results'!$C:$C,"&gt;0")/COUNTIFS('NHL2025-26Results'!$B:$B,A21,'NHL2025-26Results'!$C:$C,"&gt;0")</f>
        <v>3.4482758620689653</v>
      </c>
      <c r="Q21" s="14">
        <f>SUMIFS('NHL2025-26Results'!$C:$C,'NHL2025-26Results'!$D:$D,A21,'NHL2025-26Results'!$C:$C,"&gt;0")/COUNTIFS('NHL2025-26Results'!$D:$D,A21,'NHL2025-26Results'!$C:$C,"&gt;0")</f>
        <v>2.925925925925926</v>
      </c>
      <c r="R21" s="14">
        <f>SUMIFS('NHL2025-26Results'!$E:$E,'NHL2025-26Results'!$B:$B,A21,'NHL2025-26Results'!$E:$E,"&gt;0")/COUNTIFS('NHL2025-26Results'!$B:$B,A21,'NHL2025-26Results'!$E:$E,"&gt;0")</f>
        <v>3.6206896551724137</v>
      </c>
    </row>
    <row r="22" spans="1:18" x14ac:dyDescent="0.2">
      <c r="A22" s="4" t="s">
        <v>27</v>
      </c>
      <c r="B22">
        <f>SUM(Table1[[#This Row],[W]:[OTL]])</f>
        <v>57</v>
      </c>
      <c r="C22">
        <f>COUNTIF(NHL2025_26Results[Winning Team],Standings!A22)</f>
        <v>25</v>
      </c>
      <c r="D22">
        <f>COUNTIFS('NHL2025-26Results'!$H:$H,A22,'NHL2025-26Results'!$F:$F,"")</f>
        <v>21</v>
      </c>
      <c r="E22">
        <f>COUNTIFS('NHL2025-26Results'!$F:$F,"OT",'NHL2025-26Results'!$H:$H,A22) + COUNTIFS('NHL2025-26Results'!$F:$F,"SO",'NHL2025-26Results'!$H:$H,A22)</f>
        <v>11</v>
      </c>
      <c r="F22" s="3">
        <f>(Table1[[#This Row],[W]]*2)+Table1[[#This Row],[OTL]]</f>
        <v>61</v>
      </c>
      <c r="G22">
        <f>COUNTIFS('NHL2025-26Results'!$D:$D,A22,'NHL2025-26Results'!$G:$G,A22)</f>
        <v>13</v>
      </c>
      <c r="H22">
        <f>COUNTIFS('NHL2025-26Results'!$D:$D,A22,'NHL2025-26Results'!$H:$H,A22,'NHL2025-26Results'!$F:$F,"")</f>
        <v>9</v>
      </c>
      <c r="I22">
        <f>COUNTIFS('NHL2025-26Results'!$D:$D,A22,'NHL2025-26Results'!$H:$H,A22,'NHL2025-26Results'!$F:$F,"OT") + COUNTIFS('NHL2025-26Results'!$D:$D,A22,'NHL2025-26Results'!$H:$H,A22,'NHL2025-26Results'!$F:$F,"SO")</f>
        <v>7</v>
      </c>
      <c r="J22">
        <f>COUNTIFS('NHL2025-26Results'!$B:$B,A22,'NHL2025-26Results'!$G:$G,A22)</f>
        <v>12</v>
      </c>
      <c r="K22">
        <f>COUNTIFS('NHL2025-26Results'!$B:$B,A22,'NHL2025-26Results'!$H:$H,A22,'NHL2025-26Results'!$F:$F,"")</f>
        <v>12</v>
      </c>
      <c r="L22">
        <f>COUNTIFS('NHL2025-26Results'!$B:$B,A22,'NHL2025-26Results'!$H:$H,A22,'NHL2025-26Results'!$F:$F,"OT") + COUNTIFS('NHL2025-26Results'!$B:$B,A22,'NHL2025-26Results'!$H:$H,A22,'NHL2025-26Results'!$F:$F,"SO")</f>
        <v>4</v>
      </c>
      <c r="M22" s="11">
        <f>Table1[[#This Row],[HomeWins]]/SUM(Table1[[#This Row],[HomeWins]:[HomeOTL]])</f>
        <v>0.44827586206896552</v>
      </c>
      <c r="N22" s="11">
        <f>Table1[[#This Row],[AwayWins]]/SUM(Table1[[#This Row],[AwayWins]:[AwayOTL]])</f>
        <v>0.42857142857142855</v>
      </c>
      <c r="O22" s="14">
        <f>SUMIFS('NHL2025-26Results'!$E:$E,'NHL2025-26Results'!$D:$D,A22,'NHL2025-26Results'!$E:$E,"&gt;0")/COUNTIFS('NHL2025-26Results'!$D:$D,A22,'NHL2025-26Results'!$E:$E,"&gt;0")</f>
        <v>2.8928571428571428</v>
      </c>
      <c r="P22" s="14">
        <f>SUMIFS('NHL2025-26Results'!$C:$C,'NHL2025-26Results'!$B:$B,A22,'NHL2025-26Results'!$C:$C,"&gt;0")/COUNTIFS('NHL2025-26Results'!$B:$B,A22,'NHL2025-26Results'!$C:$C,"&gt;0")</f>
        <v>3.2222222222222223</v>
      </c>
      <c r="Q22" s="14">
        <f>SUMIFS('NHL2025-26Results'!$C:$C,'NHL2025-26Results'!$D:$D,A22,'NHL2025-26Results'!$C:$C,"&gt;0")/COUNTIFS('NHL2025-26Results'!$D:$D,A22,'NHL2025-26Results'!$C:$C,"&gt;0")</f>
        <v>2.9655172413793105</v>
      </c>
      <c r="R22" s="14">
        <f>SUMIFS('NHL2025-26Results'!$E:$E,'NHL2025-26Results'!$B:$B,A22,'NHL2025-26Results'!$E:$E,"&gt;0")/COUNTIFS('NHL2025-26Results'!$B:$B,A22,'NHL2025-26Results'!$E:$E,"&gt;0")</f>
        <v>3.4642857142857144</v>
      </c>
    </row>
    <row r="23" spans="1:18" x14ac:dyDescent="0.2">
      <c r="A23" s="4" t="s">
        <v>14</v>
      </c>
      <c r="B23">
        <f>SUM(Table1[[#This Row],[W]:[OTL]])</f>
        <v>56</v>
      </c>
      <c r="C23">
        <f>COUNTIF(NHL2025_26Results[Winning Team],Standings!A23)</f>
        <v>29</v>
      </c>
      <c r="D23">
        <f>COUNTIFS('NHL2025-26Results'!$H:$H,A23,'NHL2025-26Results'!$F:$F,"")</f>
        <v>15</v>
      </c>
      <c r="E23">
        <f>COUNTIFS('NHL2025-26Results'!$F:$F,"OT",'NHL2025-26Results'!$H:$H,A23) + COUNTIFS('NHL2025-26Results'!$F:$F,"SO",'NHL2025-26Results'!$H:$H,A23)</f>
        <v>12</v>
      </c>
      <c r="F23" s="3">
        <f>(Table1[[#This Row],[W]]*2)+Table1[[#This Row],[OTL]]</f>
        <v>70</v>
      </c>
      <c r="G23">
        <f>COUNTIFS('NHL2025-26Results'!$D:$D,A23,'NHL2025-26Results'!$G:$G,A23)</f>
        <v>13</v>
      </c>
      <c r="H23">
        <f>COUNTIFS('NHL2025-26Results'!$D:$D,A23,'NHL2025-26Results'!$H:$H,A23,'NHL2025-26Results'!$F:$F,"")</f>
        <v>8</v>
      </c>
      <c r="I23">
        <f>COUNTIFS('NHL2025-26Results'!$D:$D,A23,'NHL2025-26Results'!$H:$H,A23,'NHL2025-26Results'!$F:$F,"OT") + COUNTIFS('NHL2025-26Results'!$D:$D,A23,'NHL2025-26Results'!$H:$H,A23,'NHL2025-26Results'!$F:$F,"SO")</f>
        <v>7</v>
      </c>
      <c r="J23">
        <f>COUNTIFS('NHL2025-26Results'!$B:$B,A23,'NHL2025-26Results'!$G:$G,A23)</f>
        <v>16</v>
      </c>
      <c r="K23">
        <f>COUNTIFS('NHL2025-26Results'!$B:$B,A23,'NHL2025-26Results'!$H:$H,A23,'NHL2025-26Results'!$F:$F,"")</f>
        <v>7</v>
      </c>
      <c r="L23">
        <f>COUNTIFS('NHL2025-26Results'!$B:$B,A23,'NHL2025-26Results'!$H:$H,A23,'NHL2025-26Results'!$F:$F,"OT") + COUNTIFS('NHL2025-26Results'!$B:$B,A23,'NHL2025-26Results'!$H:$H,A23,'NHL2025-26Results'!$F:$F,"SO")</f>
        <v>5</v>
      </c>
      <c r="M23" s="11">
        <f>Table1[[#This Row],[HomeWins]]/SUM(Table1[[#This Row],[HomeWins]:[HomeOTL]])</f>
        <v>0.4642857142857143</v>
      </c>
      <c r="N23" s="11">
        <f>Table1[[#This Row],[AwayWins]]/SUM(Table1[[#This Row],[AwayWins]:[AwayOTL]])</f>
        <v>0.5714285714285714</v>
      </c>
      <c r="O23" s="14">
        <f>SUMIFS('NHL2025-26Results'!$E:$E,'NHL2025-26Results'!$D:$D,A23,'NHL2025-26Results'!$E:$E,"&gt;0")/COUNTIFS('NHL2025-26Results'!$D:$D,A23,'NHL2025-26Results'!$E:$E,"&gt;0")</f>
        <v>3.6666666666666665</v>
      </c>
      <c r="P23" s="14">
        <f>SUMIFS('NHL2025-26Results'!$C:$C,'NHL2025-26Results'!$B:$B,A23,'NHL2025-26Results'!$C:$C,"&gt;0")/COUNTIFS('NHL2025-26Results'!$B:$B,A23,'NHL2025-26Results'!$C:$C,"&gt;0")</f>
        <v>3.72</v>
      </c>
      <c r="Q23" s="14">
        <f>SUMIFS('NHL2025-26Results'!$C:$C,'NHL2025-26Results'!$D:$D,A23,'NHL2025-26Results'!$C:$C,"&gt;0")/COUNTIFS('NHL2025-26Results'!$D:$D,A23,'NHL2025-26Results'!$C:$C,"&gt;0")</f>
        <v>3.5185185185185186</v>
      </c>
      <c r="R23" s="14">
        <f>SUMIFS('NHL2025-26Results'!$E:$E,'NHL2025-26Results'!$B:$B,A23,'NHL2025-26Results'!$E:$E,"&gt;0")/COUNTIFS('NHL2025-26Results'!$B:$B,A23,'NHL2025-26Results'!$E:$E,"&gt;0")</f>
        <v>2.8461538461538463</v>
      </c>
    </row>
    <row r="24" spans="1:18" x14ac:dyDescent="0.2">
      <c r="A24" s="4" t="s">
        <v>33</v>
      </c>
      <c r="B24">
        <f>SUM(Table1[[#This Row],[W]:[OTL]])</f>
        <v>55</v>
      </c>
      <c r="C24">
        <f>COUNTIF(NHL2025_26Results[Winning Team],Standings!A24)</f>
        <v>27</v>
      </c>
      <c r="D24">
        <f>COUNTIFS('NHL2025-26Results'!$H:$H,A24,'NHL2025-26Results'!$F:$F,"")</f>
        <v>24</v>
      </c>
      <c r="E24">
        <f>COUNTIFS('NHL2025-26Results'!$F:$F,"OT",'NHL2025-26Results'!$H:$H,A24) + COUNTIFS('NHL2025-26Results'!$F:$F,"SO",'NHL2025-26Results'!$H:$H,A24)</f>
        <v>4</v>
      </c>
      <c r="F24" s="3">
        <f>(Table1[[#This Row],[W]]*2)+Table1[[#This Row],[OTL]]</f>
        <v>58</v>
      </c>
      <c r="G24">
        <f>COUNTIFS('NHL2025-26Results'!$D:$D,A24,'NHL2025-26Results'!$G:$G,A24)</f>
        <v>14</v>
      </c>
      <c r="H24">
        <f>COUNTIFS('NHL2025-26Results'!$D:$D,A24,'NHL2025-26Results'!$H:$H,A24,'NHL2025-26Results'!$F:$F,"")</f>
        <v>9</v>
      </c>
      <c r="I24">
        <f>COUNTIFS('NHL2025-26Results'!$D:$D,A24,'NHL2025-26Results'!$H:$H,A24,'NHL2025-26Results'!$F:$F,"OT") + COUNTIFS('NHL2025-26Results'!$D:$D,A24,'NHL2025-26Results'!$H:$H,A24,'NHL2025-26Results'!$F:$F,"SO")</f>
        <v>3</v>
      </c>
      <c r="J24">
        <f>COUNTIFS('NHL2025-26Results'!$B:$B,A24,'NHL2025-26Results'!$G:$G,A24)</f>
        <v>13</v>
      </c>
      <c r="K24">
        <f>COUNTIFS('NHL2025-26Results'!$B:$B,A24,'NHL2025-26Results'!$H:$H,A24,'NHL2025-26Results'!$F:$F,"")</f>
        <v>15</v>
      </c>
      <c r="L24">
        <f>COUNTIFS('NHL2025-26Results'!$B:$B,A24,'NHL2025-26Results'!$H:$H,A24,'NHL2025-26Results'!$F:$F,"OT") + COUNTIFS('NHL2025-26Results'!$B:$B,A24,'NHL2025-26Results'!$H:$H,A24,'NHL2025-26Results'!$F:$F,"SO")</f>
        <v>1</v>
      </c>
      <c r="M24" s="11">
        <f>Table1[[#This Row],[HomeWins]]/SUM(Table1[[#This Row],[HomeWins]:[HomeOTL]])</f>
        <v>0.53846153846153844</v>
      </c>
      <c r="N24" s="11">
        <f>Table1[[#This Row],[AwayWins]]/SUM(Table1[[#This Row],[AwayWins]:[AwayOTL]])</f>
        <v>0.44827586206896552</v>
      </c>
      <c r="O24" s="14">
        <f>SUMIFS('NHL2025-26Results'!$E:$E,'NHL2025-26Results'!$D:$D,A24,'NHL2025-26Results'!$E:$E,"&gt;0")/COUNTIFS('NHL2025-26Results'!$D:$D,A24,'NHL2025-26Results'!$E:$E,"&gt;0")</f>
        <v>3.32</v>
      </c>
      <c r="P24" s="14">
        <f>SUMIFS('NHL2025-26Results'!$C:$C,'NHL2025-26Results'!$B:$B,A24,'NHL2025-26Results'!$C:$C,"&gt;0")/COUNTIFS('NHL2025-26Results'!$B:$B,A24,'NHL2025-26Results'!$C:$C,"&gt;0")</f>
        <v>3.2592592592592591</v>
      </c>
      <c r="Q24" s="14">
        <f>SUMIFS('NHL2025-26Results'!$C:$C,'NHL2025-26Results'!$D:$D,A24,'NHL2025-26Results'!$C:$C,"&gt;0")/COUNTIFS('NHL2025-26Results'!$D:$D,A24,'NHL2025-26Results'!$C:$C,"&gt;0")</f>
        <v>3.4230769230769229</v>
      </c>
      <c r="R24" s="14">
        <f>SUMIFS('NHL2025-26Results'!$E:$E,'NHL2025-26Results'!$B:$B,A24,'NHL2025-26Results'!$E:$E,"&gt;0")/COUNTIFS('NHL2025-26Results'!$B:$B,A24,'NHL2025-26Results'!$E:$E,"&gt;0")</f>
        <v>3.5862068965517242</v>
      </c>
    </row>
    <row r="25" spans="1:18" x14ac:dyDescent="0.2">
      <c r="A25" s="4" t="s">
        <v>32</v>
      </c>
      <c r="B25">
        <f>SUM(Table1[[#This Row],[W]:[OTL]])</f>
        <v>57</v>
      </c>
      <c r="C25">
        <f>COUNTIF(NHL2025_26Results[Winning Team],Standings!A25)</f>
        <v>27</v>
      </c>
      <c r="D25">
        <f>COUNTIFS('NHL2025-26Results'!$H:$H,A25,'NHL2025-26Results'!$F:$F,"")</f>
        <v>21</v>
      </c>
      <c r="E25">
        <f>COUNTIFS('NHL2025-26Results'!$F:$F,"OT",'NHL2025-26Results'!$H:$H,A25) + COUNTIFS('NHL2025-26Results'!$F:$F,"SO",'NHL2025-26Results'!$H:$H,A25)</f>
        <v>9</v>
      </c>
      <c r="F25" s="3">
        <f>(Table1[[#This Row],[W]]*2)+Table1[[#This Row],[OTL]]</f>
        <v>63</v>
      </c>
      <c r="G25">
        <f>COUNTIFS('NHL2025-26Results'!$D:$D,A25,'NHL2025-26Results'!$G:$G,A25)</f>
        <v>14</v>
      </c>
      <c r="H25">
        <f>COUNTIFS('NHL2025-26Results'!$D:$D,A25,'NHL2025-26Results'!$H:$H,A25,'NHL2025-26Results'!$F:$F,"")</f>
        <v>9</v>
      </c>
      <c r="I25">
        <f>COUNTIFS('NHL2025-26Results'!$D:$D,A25,'NHL2025-26Results'!$H:$H,A25,'NHL2025-26Results'!$F:$F,"OT") + COUNTIFS('NHL2025-26Results'!$D:$D,A25,'NHL2025-26Results'!$H:$H,A25,'NHL2025-26Results'!$F:$F,"SO")</f>
        <v>5</v>
      </c>
      <c r="J25">
        <f>COUNTIFS('NHL2025-26Results'!$B:$B,A25,'NHL2025-26Results'!$G:$G,A25)</f>
        <v>13</v>
      </c>
      <c r="K25">
        <f>COUNTIFS('NHL2025-26Results'!$B:$B,A25,'NHL2025-26Results'!$H:$H,A25,'NHL2025-26Results'!$F:$F,"")</f>
        <v>12</v>
      </c>
      <c r="L25">
        <f>COUNTIFS('NHL2025-26Results'!$B:$B,A25,'NHL2025-26Results'!$H:$H,A25,'NHL2025-26Results'!$F:$F,"OT") + COUNTIFS('NHL2025-26Results'!$B:$B,A25,'NHL2025-26Results'!$H:$H,A25,'NHL2025-26Results'!$F:$F,"SO")</f>
        <v>4</v>
      </c>
      <c r="M25" s="11">
        <f>Table1[[#This Row],[HomeWins]]/SUM(Table1[[#This Row],[HomeWins]:[HomeOTL]])</f>
        <v>0.5</v>
      </c>
      <c r="N25" s="11">
        <f>Table1[[#This Row],[AwayWins]]/SUM(Table1[[#This Row],[AwayWins]:[AwayOTL]])</f>
        <v>0.44827586206896552</v>
      </c>
      <c r="O25" s="14">
        <f>SUMIFS('NHL2025-26Results'!$E:$E,'NHL2025-26Results'!$D:$D,A25,'NHL2025-26Results'!$E:$E,"&gt;0")/COUNTIFS('NHL2025-26Results'!$D:$D,A25,'NHL2025-26Results'!$E:$E,"&gt;0")</f>
        <v>3.0370370370370372</v>
      </c>
      <c r="P25" s="14">
        <f>SUMIFS('NHL2025-26Results'!$C:$C,'NHL2025-26Results'!$B:$B,A25,'NHL2025-26Results'!$C:$C,"&gt;0")/COUNTIFS('NHL2025-26Results'!$B:$B,A25,'NHL2025-26Results'!$C:$C,"&gt;0")</f>
        <v>2.8928571428571428</v>
      </c>
      <c r="Q25" s="14">
        <f>SUMIFS('NHL2025-26Results'!$C:$C,'NHL2025-26Results'!$D:$D,A25,'NHL2025-26Results'!$C:$C,"&gt;0")/COUNTIFS('NHL2025-26Results'!$D:$D,A25,'NHL2025-26Results'!$C:$C,"&gt;0")</f>
        <v>2.75</v>
      </c>
      <c r="R25" s="14">
        <f>SUMIFS('NHL2025-26Results'!$E:$E,'NHL2025-26Results'!$B:$B,A25,'NHL2025-26Results'!$E:$E,"&gt;0")/COUNTIFS('NHL2025-26Results'!$B:$B,A25,'NHL2025-26Results'!$E:$E,"&gt;0")</f>
        <v>3.2857142857142856</v>
      </c>
    </row>
    <row r="26" spans="1:18" x14ac:dyDescent="0.2">
      <c r="A26" s="4" t="s">
        <v>35</v>
      </c>
      <c r="B26">
        <f>SUM(Table1[[#This Row],[W]:[OTL]])</f>
        <v>57</v>
      </c>
      <c r="C26">
        <f>COUNTIF(NHL2025_26Results[Winning Team],Standings!A26)</f>
        <v>20</v>
      </c>
      <c r="D26">
        <f>COUNTIFS('NHL2025-26Results'!$H:$H,A26,'NHL2025-26Results'!$F:$F,"")</f>
        <v>28</v>
      </c>
      <c r="E26">
        <f>COUNTIFS('NHL2025-26Results'!$F:$F,"OT",'NHL2025-26Results'!$H:$H,A26) + COUNTIFS('NHL2025-26Results'!$F:$F,"SO",'NHL2025-26Results'!$H:$H,A26)</f>
        <v>9</v>
      </c>
      <c r="F26" s="3">
        <f>(Table1[[#This Row],[W]]*2)+Table1[[#This Row],[OTL]]</f>
        <v>49</v>
      </c>
      <c r="G26">
        <f>COUNTIFS('NHL2025-26Results'!$D:$D,A26,'NHL2025-26Results'!$G:$G,A26)</f>
        <v>13</v>
      </c>
      <c r="H26">
        <f>COUNTIFS('NHL2025-26Results'!$D:$D,A26,'NHL2025-26Results'!$H:$H,A26,'NHL2025-26Results'!$F:$F,"")</f>
        <v>11</v>
      </c>
      <c r="I26">
        <f>COUNTIFS('NHL2025-26Results'!$D:$D,A26,'NHL2025-26Results'!$H:$H,A26,'NHL2025-26Results'!$F:$F,"OT") + COUNTIFS('NHL2025-26Results'!$D:$D,A26,'NHL2025-26Results'!$H:$H,A26,'NHL2025-26Results'!$F:$F,"SO")</f>
        <v>6</v>
      </c>
      <c r="J26">
        <f>COUNTIFS('NHL2025-26Results'!$B:$B,A26,'NHL2025-26Results'!$G:$G,A26)</f>
        <v>7</v>
      </c>
      <c r="K26">
        <f>COUNTIFS('NHL2025-26Results'!$B:$B,A26,'NHL2025-26Results'!$H:$H,A26,'NHL2025-26Results'!$F:$F,"")</f>
        <v>17</v>
      </c>
      <c r="L26">
        <f>COUNTIFS('NHL2025-26Results'!$B:$B,A26,'NHL2025-26Results'!$H:$H,A26,'NHL2025-26Results'!$F:$F,"OT") + COUNTIFS('NHL2025-26Results'!$B:$B,A26,'NHL2025-26Results'!$H:$H,A26,'NHL2025-26Results'!$F:$F,"SO")</f>
        <v>3</v>
      </c>
      <c r="M26" s="11">
        <f>Table1[[#This Row],[HomeWins]]/SUM(Table1[[#This Row],[HomeWins]:[HomeOTL]])</f>
        <v>0.43333333333333335</v>
      </c>
      <c r="N26" s="11">
        <f>Table1[[#This Row],[AwayWins]]/SUM(Table1[[#This Row],[AwayWins]:[AwayOTL]])</f>
        <v>0.25925925925925924</v>
      </c>
      <c r="O26" s="14">
        <f>SUMIFS('NHL2025-26Results'!$E:$E,'NHL2025-26Results'!$D:$D,A26,'NHL2025-26Results'!$E:$E,"&gt;0")/COUNTIFS('NHL2025-26Results'!$D:$D,A26,'NHL2025-26Results'!$E:$E,"&gt;0")</f>
        <v>2.6896551724137931</v>
      </c>
      <c r="P26" s="14">
        <f>SUMIFS('NHL2025-26Results'!$C:$C,'NHL2025-26Results'!$B:$B,A26,'NHL2025-26Results'!$C:$C,"&gt;0")/COUNTIFS('NHL2025-26Results'!$B:$B,A26,'NHL2025-26Results'!$C:$C,"&gt;0")</f>
        <v>2.6538461538461537</v>
      </c>
      <c r="Q26" s="14">
        <f>SUMIFS('NHL2025-26Results'!$C:$C,'NHL2025-26Results'!$D:$D,A26,'NHL2025-26Results'!$C:$C,"&gt;0")/COUNTIFS('NHL2025-26Results'!$D:$D,A26,'NHL2025-26Results'!$C:$C,"&gt;0")</f>
        <v>3.8461538461538463</v>
      </c>
      <c r="R26" s="14">
        <f>SUMIFS('NHL2025-26Results'!$E:$E,'NHL2025-26Results'!$B:$B,A26,'NHL2025-26Results'!$E:$E,"&gt;0")/COUNTIFS('NHL2025-26Results'!$B:$B,A26,'NHL2025-26Results'!$E:$E,"&gt;0")</f>
        <v>3.9615384615384617</v>
      </c>
    </row>
    <row r="27" spans="1:18" x14ac:dyDescent="0.2">
      <c r="A27" s="4" t="s">
        <v>37</v>
      </c>
      <c r="B27">
        <f>SUM(Table1[[#This Row],[W]:[OTL]])</f>
        <v>56</v>
      </c>
      <c r="C27">
        <f>COUNTIF(NHL2025_26Results[Winning Team],Standings!A27)</f>
        <v>38</v>
      </c>
      <c r="D27">
        <f>COUNTIFS('NHL2025-26Results'!$H:$H,A27,'NHL2025-26Results'!$F:$F,"")</f>
        <v>14</v>
      </c>
      <c r="E27">
        <f>COUNTIFS('NHL2025-26Results'!$F:$F,"OT",'NHL2025-26Results'!$H:$H,A27) + COUNTIFS('NHL2025-26Results'!$F:$F,"SO",'NHL2025-26Results'!$H:$H,A27)</f>
        <v>4</v>
      </c>
      <c r="F27" s="3">
        <f>(Table1[[#This Row],[W]]*2)+Table1[[#This Row],[OTL]]</f>
        <v>80</v>
      </c>
      <c r="G27">
        <f>COUNTIFS('NHL2025-26Results'!$D:$D,A27,'NHL2025-26Results'!$G:$G,A27)</f>
        <v>19</v>
      </c>
      <c r="H27">
        <f>COUNTIFS('NHL2025-26Results'!$D:$D,A27,'NHL2025-26Results'!$H:$H,A27,'NHL2025-26Results'!$F:$F,"")</f>
        <v>9</v>
      </c>
      <c r="I27">
        <f>COUNTIFS('NHL2025-26Results'!$D:$D,A27,'NHL2025-26Results'!$H:$H,A27,'NHL2025-26Results'!$F:$F,"OT") + COUNTIFS('NHL2025-26Results'!$D:$D,A27,'NHL2025-26Results'!$H:$H,A27,'NHL2025-26Results'!$F:$F,"SO")</f>
        <v>0</v>
      </c>
      <c r="J27">
        <f>COUNTIFS('NHL2025-26Results'!$B:$B,A27,'NHL2025-26Results'!$G:$G,A27)</f>
        <v>19</v>
      </c>
      <c r="K27">
        <f>COUNTIFS('NHL2025-26Results'!$B:$B,A27,'NHL2025-26Results'!$H:$H,A27,'NHL2025-26Results'!$F:$F,"")</f>
        <v>5</v>
      </c>
      <c r="L27">
        <f>COUNTIFS('NHL2025-26Results'!$B:$B,A27,'NHL2025-26Results'!$H:$H,A27,'NHL2025-26Results'!$F:$F,"OT") + COUNTIFS('NHL2025-26Results'!$B:$B,A27,'NHL2025-26Results'!$H:$H,A27,'NHL2025-26Results'!$F:$F,"SO")</f>
        <v>4</v>
      </c>
      <c r="M27" s="11">
        <f>Table1[[#This Row],[HomeWins]]/SUM(Table1[[#This Row],[HomeWins]:[HomeOTL]])</f>
        <v>0.6785714285714286</v>
      </c>
      <c r="N27" s="11">
        <f>Table1[[#This Row],[AwayWins]]/SUM(Table1[[#This Row],[AwayWins]:[AwayOTL]])</f>
        <v>0.6785714285714286</v>
      </c>
      <c r="O27" s="14">
        <f>SUMIFS('NHL2025-26Results'!$E:$E,'NHL2025-26Results'!$D:$D,A27,'NHL2025-26Results'!$E:$E,"&gt;0")/COUNTIFS('NHL2025-26Results'!$D:$D,A27,'NHL2025-26Results'!$E:$E,"&gt;0")</f>
        <v>3.5185185185185186</v>
      </c>
      <c r="P27" s="14">
        <f>SUMIFS('NHL2025-26Results'!$C:$C,'NHL2025-26Results'!$B:$B,A27,'NHL2025-26Results'!$C:$C,"&gt;0")/COUNTIFS('NHL2025-26Results'!$B:$B,A27,'NHL2025-26Results'!$C:$C,"&gt;0")</f>
        <v>4</v>
      </c>
      <c r="Q27" s="14">
        <f>SUMIFS('NHL2025-26Results'!$C:$C,'NHL2025-26Results'!$D:$D,A27,'NHL2025-26Results'!$C:$C,"&gt;0")/COUNTIFS('NHL2025-26Results'!$D:$D,A27,'NHL2025-26Results'!$C:$C,"&gt;0")</f>
        <v>2.8076923076923075</v>
      </c>
      <c r="R27" s="14">
        <f>SUMIFS('NHL2025-26Results'!$E:$E,'NHL2025-26Results'!$B:$B,A27,'NHL2025-26Results'!$E:$E,"&gt;0")/COUNTIFS('NHL2025-26Results'!$B:$B,A27,'NHL2025-26Results'!$E:$E,"&gt;0")</f>
        <v>2.4642857142857144</v>
      </c>
    </row>
    <row r="28" spans="1:18" x14ac:dyDescent="0.2">
      <c r="A28" s="4" t="s">
        <v>19</v>
      </c>
      <c r="B28">
        <f>SUM(Table1[[#This Row],[W]:[OTL]])</f>
        <v>58</v>
      </c>
      <c r="C28">
        <f>COUNTIF(NHL2025_26Results[Winning Team],Standings!A28)</f>
        <v>27</v>
      </c>
      <c r="D28">
        <f>COUNTIFS('NHL2025-26Results'!$H:$H,A28,'NHL2025-26Results'!$F:$F,"")</f>
        <v>22</v>
      </c>
      <c r="E28">
        <f>COUNTIFS('NHL2025-26Results'!$F:$F,"OT",'NHL2025-26Results'!$H:$H,A28) + COUNTIFS('NHL2025-26Results'!$F:$F,"SO",'NHL2025-26Results'!$H:$H,A28)</f>
        <v>9</v>
      </c>
      <c r="F28" s="3">
        <f>(Table1[[#This Row],[W]]*2)+Table1[[#This Row],[OTL]]</f>
        <v>63</v>
      </c>
      <c r="G28">
        <f>COUNTIFS('NHL2025-26Results'!$D:$D,A28,'NHL2025-26Results'!$G:$G,A28)</f>
        <v>16</v>
      </c>
      <c r="H28">
        <f>COUNTIFS('NHL2025-26Results'!$D:$D,A28,'NHL2025-26Results'!$H:$H,A28,'NHL2025-26Results'!$F:$F,"")</f>
        <v>9</v>
      </c>
      <c r="I28">
        <f>COUNTIFS('NHL2025-26Results'!$D:$D,A28,'NHL2025-26Results'!$H:$H,A28,'NHL2025-26Results'!$F:$F,"OT") + COUNTIFS('NHL2025-26Results'!$D:$D,A28,'NHL2025-26Results'!$H:$H,A28,'NHL2025-26Results'!$F:$F,"SO")</f>
        <v>6</v>
      </c>
      <c r="J28">
        <f>COUNTIFS('NHL2025-26Results'!$B:$B,A28,'NHL2025-26Results'!$G:$G,A28)</f>
        <v>11</v>
      </c>
      <c r="K28">
        <f>COUNTIFS('NHL2025-26Results'!$B:$B,A28,'NHL2025-26Results'!$H:$H,A28,'NHL2025-26Results'!$F:$F,"")</f>
        <v>13</v>
      </c>
      <c r="L28">
        <f>COUNTIFS('NHL2025-26Results'!$B:$B,A28,'NHL2025-26Results'!$H:$H,A28,'NHL2025-26Results'!$F:$F,"OT") + COUNTIFS('NHL2025-26Results'!$B:$B,A28,'NHL2025-26Results'!$H:$H,A28,'NHL2025-26Results'!$F:$F,"SO")</f>
        <v>3</v>
      </c>
      <c r="M28" s="11">
        <f>Table1[[#This Row],[HomeWins]]/SUM(Table1[[#This Row],[HomeWins]:[HomeOTL]])</f>
        <v>0.5161290322580645</v>
      </c>
      <c r="N28" s="11">
        <f>Table1[[#This Row],[AwayWins]]/SUM(Table1[[#This Row],[AwayWins]:[AwayOTL]])</f>
        <v>0.40740740740740738</v>
      </c>
      <c r="O28" s="14">
        <f>SUMIFS('NHL2025-26Results'!$E:$E,'NHL2025-26Results'!$D:$D,A28,'NHL2025-26Results'!$E:$E,"&gt;0")/COUNTIFS('NHL2025-26Results'!$D:$D,A28,'NHL2025-26Results'!$E:$E,"&gt;0")</f>
        <v>3.4838709677419355</v>
      </c>
      <c r="P28" s="14">
        <f>SUMIFS('NHL2025-26Results'!$C:$C,'NHL2025-26Results'!$B:$B,A28,'NHL2025-26Results'!$C:$C,"&gt;0")/COUNTIFS('NHL2025-26Results'!$B:$B,A28,'NHL2025-26Results'!$C:$C,"&gt;0")</f>
        <v>3.1538461538461537</v>
      </c>
      <c r="Q28" s="14">
        <f>SUMIFS('NHL2025-26Results'!$C:$C,'NHL2025-26Results'!$D:$D,A28,'NHL2025-26Results'!$C:$C,"&gt;0")/COUNTIFS('NHL2025-26Results'!$D:$D,A28,'NHL2025-26Results'!$C:$C,"&gt;0")</f>
        <v>3.6428571428571428</v>
      </c>
      <c r="R28" s="14">
        <f>SUMIFS('NHL2025-26Results'!$E:$E,'NHL2025-26Results'!$B:$B,A28,'NHL2025-26Results'!$E:$E,"&gt;0")/COUNTIFS('NHL2025-26Results'!$B:$B,A28,'NHL2025-26Results'!$E:$E,"&gt;0")</f>
        <v>3.5555555555555554</v>
      </c>
    </row>
    <row r="29" spans="1:18" x14ac:dyDescent="0.2">
      <c r="A29" t="s">
        <v>55</v>
      </c>
      <c r="B29">
        <f>SUM(Table1[[#This Row],[W]:[OTL]])</f>
        <v>58</v>
      </c>
      <c r="C29">
        <f>COUNTIF(NHL2025_26Results[Winning Team],Standings!A29)</f>
        <v>30</v>
      </c>
      <c r="D29">
        <f>COUNTIFS('NHL2025-26Results'!$H:$H,A29,'NHL2025-26Results'!$F:$F,"")</f>
        <v>24</v>
      </c>
      <c r="E29">
        <f>COUNTIFS('NHL2025-26Results'!$F:$F,"OT",'NHL2025-26Results'!$H:$H,A29) + COUNTIFS('NHL2025-26Results'!$F:$F,"SO",'NHL2025-26Results'!$H:$H,A29)</f>
        <v>4</v>
      </c>
      <c r="F29" s="3">
        <f>(Table1[[#This Row],[W]]*2)+Table1[[#This Row],[OTL]]</f>
        <v>64</v>
      </c>
      <c r="G29">
        <f>COUNTIFS('NHL2025-26Results'!$D:$D,A29,'NHL2025-26Results'!$G:$G,A29)</f>
        <v>17</v>
      </c>
      <c r="H29">
        <f>COUNTIFS('NHL2025-26Results'!$D:$D,A29,'NHL2025-26Results'!$H:$H,A29,'NHL2025-26Results'!$F:$F,"")</f>
        <v>9</v>
      </c>
      <c r="I29">
        <f>COUNTIFS('NHL2025-26Results'!$D:$D,A29,'NHL2025-26Results'!$H:$H,A29,'NHL2025-26Results'!$F:$F,"OT") + COUNTIFS('NHL2025-26Results'!$D:$D,A29,'NHL2025-26Results'!$H:$H,A29,'NHL2025-26Results'!$F:$F,"SO")</f>
        <v>2</v>
      </c>
      <c r="J29">
        <f>COUNTIFS('NHL2025-26Results'!$B:$B,A29,'NHL2025-26Results'!$G:$G,A29)</f>
        <v>13</v>
      </c>
      <c r="K29">
        <f>COUNTIFS('NHL2025-26Results'!$B:$B,A29,'NHL2025-26Results'!$H:$H,A29,'NHL2025-26Results'!$F:$F,"")</f>
        <v>15</v>
      </c>
      <c r="L29">
        <f>COUNTIFS('NHL2025-26Results'!$B:$B,A29,'NHL2025-26Results'!$H:$H,A29,'NHL2025-26Results'!$F:$F,"OT") + COUNTIFS('NHL2025-26Results'!$B:$B,A29,'NHL2025-26Results'!$H:$H,A29,'NHL2025-26Results'!$F:$F,"SO")</f>
        <v>2</v>
      </c>
      <c r="M29" s="11">
        <f>Table1[[#This Row],[HomeWins]]/SUM(Table1[[#This Row],[HomeWins]:[HomeOTL]])</f>
        <v>0.6071428571428571</v>
      </c>
      <c r="N29" s="11">
        <f>Table1[[#This Row],[AwayWins]]/SUM(Table1[[#This Row],[AwayWins]:[AwayOTL]])</f>
        <v>0.43333333333333335</v>
      </c>
      <c r="O29" s="14">
        <f>SUMIFS('NHL2025-26Results'!$E:$E,'NHL2025-26Results'!$D:$D,A29,'NHL2025-26Results'!$E:$E,"&gt;0")/COUNTIFS('NHL2025-26Results'!$D:$D,A29,'NHL2025-26Results'!$E:$E,"&gt;0")</f>
        <v>3.4642857142857144</v>
      </c>
      <c r="P29" s="14">
        <f>SUMIFS('NHL2025-26Results'!$C:$C,'NHL2025-26Results'!$B:$B,A29,'NHL2025-26Results'!$C:$C,"&gt;0")/COUNTIFS('NHL2025-26Results'!$B:$B,A29,'NHL2025-26Results'!$C:$C,"&gt;0")</f>
        <v>3.3846153846153846</v>
      </c>
      <c r="Q29" s="14">
        <f>SUMIFS('NHL2025-26Results'!$C:$C,'NHL2025-26Results'!$D:$D,A29,'NHL2025-26Results'!$C:$C,"&gt;0")/COUNTIFS('NHL2025-26Results'!$D:$D,A29,'NHL2025-26Results'!$C:$C,"&gt;0")</f>
        <v>2.6428571428571428</v>
      </c>
      <c r="R29" s="14">
        <f>SUMIFS('NHL2025-26Results'!$E:$E,'NHL2025-26Results'!$B:$B,A29,'NHL2025-26Results'!$E:$E,"&gt;0")/COUNTIFS('NHL2025-26Results'!$B:$B,A29,'NHL2025-26Results'!$E:$E,"&gt;0")</f>
        <v>3</v>
      </c>
    </row>
    <row r="30" spans="1:18" x14ac:dyDescent="0.2">
      <c r="A30" s="4" t="s">
        <v>38</v>
      </c>
      <c r="B30">
        <f>SUM(Table1[[#This Row],[W]:[OTL]])</f>
        <v>58</v>
      </c>
      <c r="C30">
        <f>COUNTIF(NHL2025_26Results[Winning Team],Standings!A30)</f>
        <v>18</v>
      </c>
      <c r="D30">
        <f>COUNTIFS('NHL2025-26Results'!$H:$H,A30,'NHL2025-26Results'!$F:$F,"")</f>
        <v>33</v>
      </c>
      <c r="E30">
        <f>COUNTIFS('NHL2025-26Results'!$F:$F,"OT",'NHL2025-26Results'!$H:$H,A30) + COUNTIFS('NHL2025-26Results'!$F:$F,"SO",'NHL2025-26Results'!$H:$H,A30)</f>
        <v>7</v>
      </c>
      <c r="F30" s="3">
        <f>(Table1[[#This Row],[W]]*2)+Table1[[#This Row],[OTL]]</f>
        <v>43</v>
      </c>
      <c r="G30">
        <f>COUNTIFS('NHL2025-26Results'!$D:$D,A30,'NHL2025-26Results'!$G:$G,A30)</f>
        <v>6</v>
      </c>
      <c r="H30">
        <f>COUNTIFS('NHL2025-26Results'!$D:$D,A30,'NHL2025-26Results'!$H:$H,A30,'NHL2025-26Results'!$F:$F,"")</f>
        <v>17</v>
      </c>
      <c r="I30">
        <f>COUNTIFS('NHL2025-26Results'!$D:$D,A30,'NHL2025-26Results'!$H:$H,A30,'NHL2025-26Results'!$F:$F,"OT") + COUNTIFS('NHL2025-26Results'!$D:$D,A30,'NHL2025-26Results'!$H:$H,A30,'NHL2025-26Results'!$F:$F,"SO")</f>
        <v>5</v>
      </c>
      <c r="J30">
        <f>COUNTIFS('NHL2025-26Results'!$B:$B,A30,'NHL2025-26Results'!$G:$G,A30)</f>
        <v>12</v>
      </c>
      <c r="K30">
        <f>COUNTIFS('NHL2025-26Results'!$B:$B,A30,'NHL2025-26Results'!$H:$H,A30,'NHL2025-26Results'!$F:$F,"")</f>
        <v>16</v>
      </c>
      <c r="L30">
        <f>COUNTIFS('NHL2025-26Results'!$B:$B,A30,'NHL2025-26Results'!$H:$H,A30,'NHL2025-26Results'!$F:$F,"OT") + COUNTIFS('NHL2025-26Results'!$B:$B,A30,'NHL2025-26Results'!$H:$H,A30,'NHL2025-26Results'!$F:$F,"SO")</f>
        <v>2</v>
      </c>
      <c r="M30" s="11">
        <f>Table1[[#This Row],[HomeWins]]/SUM(Table1[[#This Row],[HomeWins]:[HomeOTL]])</f>
        <v>0.21428571428571427</v>
      </c>
      <c r="N30" s="11">
        <f>Table1[[#This Row],[AwayWins]]/SUM(Table1[[#This Row],[AwayWins]:[AwayOTL]])</f>
        <v>0.4</v>
      </c>
      <c r="O30" s="14">
        <f>SUMIFS('NHL2025-26Results'!$E:$E,'NHL2025-26Results'!$D:$D,A30,'NHL2025-26Results'!$E:$E,"&gt;0")/COUNTIFS('NHL2025-26Results'!$D:$D,A30,'NHL2025-26Results'!$E:$E,"&gt;0")</f>
        <v>2.8</v>
      </c>
      <c r="P30" s="14">
        <f>SUMIFS('NHL2025-26Results'!$C:$C,'NHL2025-26Results'!$B:$B,A30,'NHL2025-26Results'!$C:$C,"&gt;0")/COUNTIFS('NHL2025-26Results'!$B:$B,A30,'NHL2025-26Results'!$C:$C,"&gt;0")</f>
        <v>2.7931034482758621</v>
      </c>
      <c r="Q30" s="14">
        <f>SUMIFS('NHL2025-26Results'!$C:$C,'NHL2025-26Results'!$D:$D,A30,'NHL2025-26Results'!$C:$C,"&gt;0")/COUNTIFS('NHL2025-26Results'!$D:$D,A30,'NHL2025-26Results'!$C:$C,"&gt;0")</f>
        <v>3.925925925925926</v>
      </c>
      <c r="R30" s="14">
        <f>SUMIFS('NHL2025-26Results'!$E:$E,'NHL2025-26Results'!$B:$B,A30,'NHL2025-26Results'!$E:$E,"&gt;0")/COUNTIFS('NHL2025-26Results'!$B:$B,A30,'NHL2025-26Results'!$E:$E,"&gt;0")</f>
        <v>3.6896551724137931</v>
      </c>
    </row>
    <row r="31" spans="1:18" x14ac:dyDescent="0.2">
      <c r="A31" s="4" t="s">
        <v>20</v>
      </c>
      <c r="B31">
        <f>SUM(Table1[[#This Row],[W]:[OTL]])</f>
        <v>58</v>
      </c>
      <c r="C31">
        <f>COUNTIF(NHL2025_26Results[Winning Team],Standings!A31)</f>
        <v>28</v>
      </c>
      <c r="D31">
        <f>COUNTIFS('NHL2025-26Results'!$H:$H,A31,'NHL2025-26Results'!$F:$F,"")</f>
        <v>16</v>
      </c>
      <c r="E31">
        <f>COUNTIFS('NHL2025-26Results'!$F:$F,"OT",'NHL2025-26Results'!$H:$H,A31) + COUNTIFS('NHL2025-26Results'!$F:$F,"SO",'NHL2025-26Results'!$H:$H,A31)</f>
        <v>14</v>
      </c>
      <c r="F31" s="3">
        <f>(Table1[[#This Row],[W]]*2)+Table1[[#This Row],[OTL]]</f>
        <v>70</v>
      </c>
      <c r="G31">
        <f>COUNTIFS('NHL2025-26Results'!$D:$D,A31,'NHL2025-26Results'!$G:$G,A31)</f>
        <v>14</v>
      </c>
      <c r="H31">
        <f>COUNTIFS('NHL2025-26Results'!$D:$D,A31,'NHL2025-26Results'!$H:$H,A31,'NHL2025-26Results'!$F:$F,"")</f>
        <v>8</v>
      </c>
      <c r="I31">
        <f>COUNTIFS('NHL2025-26Results'!$D:$D,A31,'NHL2025-26Results'!$H:$H,A31,'NHL2025-26Results'!$F:$F,"OT") + COUNTIFS('NHL2025-26Results'!$D:$D,A31,'NHL2025-26Results'!$H:$H,A31,'NHL2025-26Results'!$F:$F,"SO")</f>
        <v>7</v>
      </c>
      <c r="J31">
        <f>COUNTIFS('NHL2025-26Results'!$B:$B,A31,'NHL2025-26Results'!$G:$G,A31)</f>
        <v>14</v>
      </c>
      <c r="K31">
        <f>COUNTIFS('NHL2025-26Results'!$B:$B,A31,'NHL2025-26Results'!$H:$H,A31,'NHL2025-26Results'!$F:$F,"")</f>
        <v>8</v>
      </c>
      <c r="L31">
        <f>COUNTIFS('NHL2025-26Results'!$B:$B,A31,'NHL2025-26Results'!$H:$H,A31,'NHL2025-26Results'!$F:$F,"OT") + COUNTIFS('NHL2025-26Results'!$B:$B,A31,'NHL2025-26Results'!$H:$H,A31,'NHL2025-26Results'!$F:$F,"SO")</f>
        <v>7</v>
      </c>
      <c r="M31" s="11">
        <f>Table1[[#This Row],[HomeWins]]/SUM(Table1[[#This Row],[HomeWins]:[HomeOTL]])</f>
        <v>0.48275862068965519</v>
      </c>
      <c r="N31" s="11">
        <f>Table1[[#This Row],[AwayWins]]/SUM(Table1[[#This Row],[AwayWins]:[AwayOTL]])</f>
        <v>0.48275862068965519</v>
      </c>
      <c r="O31" s="14">
        <f>SUMIFS('NHL2025-26Results'!$E:$E,'NHL2025-26Results'!$D:$D,A31,'NHL2025-26Results'!$E:$E,"&gt;0")/COUNTIFS('NHL2025-26Results'!$D:$D,A31,'NHL2025-26Results'!$E:$E,"&gt;0")</f>
        <v>3.6206896551724137</v>
      </c>
      <c r="P31" s="14">
        <f>SUMIFS('NHL2025-26Results'!$C:$C,'NHL2025-26Results'!$B:$B,A31,'NHL2025-26Results'!$C:$C,"&gt;0")/COUNTIFS('NHL2025-26Results'!$B:$B,A31,'NHL2025-26Results'!$C:$C,"&gt;0")</f>
        <v>3.2857142857142856</v>
      </c>
      <c r="Q31" s="14">
        <f>SUMIFS('NHL2025-26Results'!$C:$C,'NHL2025-26Results'!$D:$D,A31,'NHL2025-26Results'!$C:$C,"&gt;0")/COUNTIFS('NHL2025-26Results'!$D:$D,A31,'NHL2025-26Results'!$C:$C,"&gt;0")</f>
        <v>3.3571428571428572</v>
      </c>
      <c r="R31" s="14">
        <f>SUMIFS('NHL2025-26Results'!$E:$E,'NHL2025-26Results'!$B:$B,A31,'NHL2025-26Results'!$E:$E,"&gt;0")/COUNTIFS('NHL2025-26Results'!$B:$B,A31,'NHL2025-26Results'!$E:$E,"&gt;0")</f>
        <v>3.1785714285714284</v>
      </c>
    </row>
    <row r="32" spans="1:18" x14ac:dyDescent="0.2">
      <c r="A32" s="4" t="s">
        <v>22</v>
      </c>
      <c r="B32">
        <f>SUM(Table1[[#This Row],[W]:[OTL]])</f>
        <v>60</v>
      </c>
      <c r="C32">
        <f>COUNTIF(NHL2025_26Results[Winning Team],Standings!A32)</f>
        <v>30</v>
      </c>
      <c r="D32">
        <f>COUNTIFS('NHL2025-26Results'!$H:$H,A32,'NHL2025-26Results'!$F:$F,"")</f>
        <v>23</v>
      </c>
      <c r="E32">
        <f>COUNTIFS('NHL2025-26Results'!$F:$F,"OT",'NHL2025-26Results'!$H:$H,A32) + COUNTIFS('NHL2025-26Results'!$F:$F,"SO",'NHL2025-26Results'!$H:$H,A32)</f>
        <v>7</v>
      </c>
      <c r="F32" s="3">
        <f>(Table1[[#This Row],[W]]*2)+Table1[[#This Row],[OTL]]</f>
        <v>67</v>
      </c>
      <c r="G32">
        <f>COUNTIFS('NHL2025-26Results'!$D:$D,A32,'NHL2025-26Results'!$G:$G,A32)</f>
        <v>18</v>
      </c>
      <c r="H32">
        <f>COUNTIFS('NHL2025-26Results'!$D:$D,A32,'NHL2025-26Results'!$H:$H,A32,'NHL2025-26Results'!$F:$F,"")</f>
        <v>10</v>
      </c>
      <c r="I32">
        <f>COUNTIFS('NHL2025-26Results'!$D:$D,A32,'NHL2025-26Results'!$H:$H,A32,'NHL2025-26Results'!$F:$F,"OT") + COUNTIFS('NHL2025-26Results'!$D:$D,A32,'NHL2025-26Results'!$H:$H,A32,'NHL2025-26Results'!$F:$F,"SO")</f>
        <v>3</v>
      </c>
      <c r="J32">
        <f>COUNTIFS('NHL2025-26Results'!$B:$B,A32,'NHL2025-26Results'!$G:$G,A32)</f>
        <v>12</v>
      </c>
      <c r="K32">
        <f>COUNTIFS('NHL2025-26Results'!$B:$B,A32,'NHL2025-26Results'!$H:$H,A32,'NHL2025-26Results'!$F:$F,"")</f>
        <v>13</v>
      </c>
      <c r="L32">
        <f>COUNTIFS('NHL2025-26Results'!$B:$B,A32,'NHL2025-26Results'!$H:$H,A32,'NHL2025-26Results'!$F:$F,"OT") + COUNTIFS('NHL2025-26Results'!$B:$B,A32,'NHL2025-26Results'!$H:$H,A32,'NHL2025-26Results'!$F:$F,"SO")</f>
        <v>4</v>
      </c>
      <c r="M32" s="11">
        <f>Table1[[#This Row],[HomeWins]]/SUM(Table1[[#This Row],[HomeWins]:[HomeOTL]])</f>
        <v>0.58064516129032262</v>
      </c>
      <c r="N32" s="11">
        <f>Table1[[#This Row],[AwayWins]]/SUM(Table1[[#This Row],[AwayWins]:[AwayOTL]])</f>
        <v>0.41379310344827586</v>
      </c>
      <c r="O32" s="14">
        <f>SUMIFS('NHL2025-26Results'!$E:$E,'NHL2025-26Results'!$D:$D,A32,'NHL2025-26Results'!$E:$E,"&gt;0")/COUNTIFS('NHL2025-26Results'!$D:$D,A32,'NHL2025-26Results'!$E:$E,"&gt;0")</f>
        <v>3.2903225806451615</v>
      </c>
      <c r="P32" s="14">
        <f>SUMIFS('NHL2025-26Results'!$C:$C,'NHL2025-26Results'!$B:$B,A32,'NHL2025-26Results'!$C:$C,"&gt;0")/COUNTIFS('NHL2025-26Results'!$B:$B,A32,'NHL2025-26Results'!$C:$C,"&gt;0")</f>
        <v>3.3333333333333335</v>
      </c>
      <c r="Q32" s="14">
        <f>SUMIFS('NHL2025-26Results'!$C:$C,'NHL2025-26Results'!$D:$D,A32,'NHL2025-26Results'!$C:$C,"&gt;0")/COUNTIFS('NHL2025-26Results'!$D:$D,A32,'NHL2025-26Results'!$C:$C,"&gt;0")</f>
        <v>3</v>
      </c>
      <c r="R32" s="14">
        <f>SUMIFS('NHL2025-26Results'!$E:$E,'NHL2025-26Results'!$B:$B,A32,'NHL2025-26Results'!$E:$E,"&gt;0")/COUNTIFS('NHL2025-26Results'!$B:$B,A32,'NHL2025-26Results'!$E:$E,"&gt;0")</f>
        <v>3.25</v>
      </c>
    </row>
    <row r="33" spans="1:18" x14ac:dyDescent="0.2">
      <c r="A33" s="4" t="s">
        <v>40</v>
      </c>
      <c r="B33">
        <f>SUM(Table1[[#This Row],[W]:[OTL]])</f>
        <v>57</v>
      </c>
      <c r="C33">
        <f>COUNTIF(NHL2025_26Results[Winning Team],Standings!A33)</f>
        <v>23</v>
      </c>
      <c r="D33">
        <f>COUNTIFS('NHL2025-26Results'!$H:$H,A33,'NHL2025-26Results'!$F:$F,"")</f>
        <v>26</v>
      </c>
      <c r="E33">
        <f>COUNTIFS('NHL2025-26Results'!$F:$F,"OT",'NHL2025-26Results'!$H:$H,A33) + COUNTIFS('NHL2025-26Results'!$F:$F,"SO",'NHL2025-26Results'!$H:$H,A33)</f>
        <v>8</v>
      </c>
      <c r="F33" s="3">
        <f>(Table1[[#This Row],[W]]*2)+Table1[[#This Row],[OTL]]</f>
        <v>54</v>
      </c>
      <c r="G33">
        <f>COUNTIFS('NHL2025-26Results'!$D:$D,A33,'NHL2025-26Results'!$G:$G,A33)</f>
        <v>12</v>
      </c>
      <c r="H33">
        <f>COUNTIFS('NHL2025-26Results'!$D:$D,A33,'NHL2025-26Results'!$H:$H,A33,'NHL2025-26Results'!$F:$F,"")</f>
        <v>11</v>
      </c>
      <c r="I33">
        <f>COUNTIFS('NHL2025-26Results'!$D:$D,A33,'NHL2025-26Results'!$H:$H,A33,'NHL2025-26Results'!$F:$F,"OT") + COUNTIFS('NHL2025-26Results'!$D:$D,A33,'NHL2025-26Results'!$H:$H,A33,'NHL2025-26Results'!$F:$F,"SO")</f>
        <v>5</v>
      </c>
      <c r="J33">
        <f>COUNTIFS('NHL2025-26Results'!$B:$B,A33,'NHL2025-26Results'!$G:$G,A33)</f>
        <v>11</v>
      </c>
      <c r="K33">
        <f>COUNTIFS('NHL2025-26Results'!$B:$B,A33,'NHL2025-26Results'!$H:$H,A33,'NHL2025-26Results'!$F:$F,"")</f>
        <v>15</v>
      </c>
      <c r="L33">
        <f>COUNTIFS('NHL2025-26Results'!$B:$B,A33,'NHL2025-26Results'!$H:$H,A33,'NHL2025-26Results'!$F:$F,"OT") + COUNTIFS('NHL2025-26Results'!$B:$B,A33,'NHL2025-26Results'!$H:$H,A33,'NHL2025-26Results'!$F:$F,"SO")</f>
        <v>3</v>
      </c>
      <c r="M33" s="11">
        <f>Table1[[#This Row],[HomeWins]]/SUM(Table1[[#This Row],[HomeWins]:[HomeOTL]])</f>
        <v>0.42857142857142855</v>
      </c>
      <c r="N33" s="11">
        <f>Table1[[#This Row],[AwayWins]]/SUM(Table1[[#This Row],[AwayWins]:[AwayOTL]])</f>
        <v>0.37931034482758619</v>
      </c>
      <c r="O33" s="14">
        <f>SUMIFS('NHL2025-26Results'!$E:$E,'NHL2025-26Results'!$D:$D,A33,'NHL2025-26Results'!$E:$E,"&gt;0")/COUNTIFS('NHL2025-26Results'!$D:$D,A33,'NHL2025-26Results'!$E:$E,"&gt;0")</f>
        <v>3.3461538461538463</v>
      </c>
      <c r="P33" s="14">
        <f>SUMIFS('NHL2025-26Results'!$C:$C,'NHL2025-26Results'!$B:$B,A33,'NHL2025-26Results'!$C:$C,"&gt;0")/COUNTIFS('NHL2025-26Results'!$B:$B,A33,'NHL2025-26Results'!$C:$C,"&gt;0")</f>
        <v>2.9230769230769229</v>
      </c>
      <c r="Q33" s="14">
        <f>SUMIFS('NHL2025-26Results'!$C:$C,'NHL2025-26Results'!$D:$D,A33,'NHL2025-26Results'!$C:$C,"&gt;0")/COUNTIFS('NHL2025-26Results'!$D:$D,A33,'NHL2025-26Results'!$C:$C,"&gt;0")</f>
        <v>3.0714285714285716</v>
      </c>
      <c r="R33" s="14">
        <f>SUMIFS('NHL2025-26Results'!$E:$E,'NHL2025-26Results'!$B:$B,A33,'NHL2025-26Results'!$E:$E,"&gt;0")/COUNTIFS('NHL2025-26Results'!$B:$B,A33,'NHL2025-26Results'!$E:$E,"&gt;0")</f>
        <v>3.1379310344827585</v>
      </c>
    </row>
    <row r="35" spans="1:18" x14ac:dyDescent="0.2">
      <c r="O35" s="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A8A0-C17B-B54A-97A3-66897D8A018C}">
  <dimension ref="A1:T505"/>
  <sheetViews>
    <sheetView tabSelected="1" topLeftCell="A455" zoomScale="67" workbookViewId="0">
      <selection activeCell="O456" sqref="O456"/>
    </sheetView>
  </sheetViews>
  <sheetFormatPr baseColWidth="10" defaultRowHeight="16" x14ac:dyDescent="0.2"/>
  <cols>
    <col min="1" max="2" width="13.83203125" bestFit="1" customWidth="1"/>
    <col min="3" max="5" width="19.83203125" bestFit="1" customWidth="1"/>
    <col min="6" max="6" width="17.5" bestFit="1" customWidth="1"/>
    <col min="7" max="7" width="17.33203125" bestFit="1" customWidth="1"/>
    <col min="8" max="8" width="16.6640625" bestFit="1" customWidth="1"/>
    <col min="9" max="9" width="9.33203125" bestFit="1" customWidth="1"/>
    <col min="10" max="10" width="19.83203125" bestFit="1" customWidth="1"/>
    <col min="11" max="11" width="20.33203125" bestFit="1" customWidth="1"/>
    <col min="12" max="12" width="20" bestFit="1" customWidth="1"/>
    <col min="13" max="13" width="17" bestFit="1" customWidth="1"/>
    <col min="14" max="14" width="19.83203125" bestFit="1" customWidth="1"/>
    <col min="15" max="15" width="21" bestFit="1" customWidth="1"/>
    <col min="16" max="16" width="20.83203125" bestFit="1" customWidth="1"/>
    <col min="17" max="17" width="12.6640625" bestFit="1" customWidth="1"/>
    <col min="18" max="18" width="13.83203125" bestFit="1" customWidth="1"/>
    <col min="19" max="19" width="16.33203125" bestFit="1" customWidth="1"/>
    <col min="20" max="20" width="11.33203125" bestFit="1" customWidth="1"/>
  </cols>
  <sheetData>
    <row r="1" spans="1:20" x14ac:dyDescent="0.2">
      <c r="A1" t="s">
        <v>271</v>
      </c>
      <c r="B1" t="s">
        <v>260</v>
      </c>
      <c r="C1" t="s">
        <v>261</v>
      </c>
      <c r="D1" t="s">
        <v>262</v>
      </c>
      <c r="E1" t="s">
        <v>272</v>
      </c>
      <c r="F1" t="s">
        <v>274</v>
      </c>
      <c r="G1" t="s">
        <v>273</v>
      </c>
      <c r="H1" t="s">
        <v>263</v>
      </c>
      <c r="I1" t="s">
        <v>275</v>
      </c>
      <c r="J1" t="s">
        <v>276</v>
      </c>
      <c r="K1" t="s">
        <v>278</v>
      </c>
      <c r="L1" t="s">
        <v>277</v>
      </c>
      <c r="M1" t="s">
        <v>279</v>
      </c>
      <c r="N1" t="s">
        <v>264</v>
      </c>
      <c r="O1" t="s">
        <v>269</v>
      </c>
      <c r="P1" t="s">
        <v>270</v>
      </c>
      <c r="Q1" t="s">
        <v>280</v>
      </c>
      <c r="R1" t="s">
        <v>265</v>
      </c>
      <c r="S1" t="s">
        <v>266</v>
      </c>
      <c r="T1" t="s">
        <v>282</v>
      </c>
    </row>
    <row r="2" spans="1:20" x14ac:dyDescent="0.2">
      <c r="A2" s="1">
        <v>45995</v>
      </c>
      <c r="B2" s="2">
        <v>0.79166666666666663</v>
      </c>
      <c r="C2" s="19" t="s">
        <v>21</v>
      </c>
      <c r="D2" s="19" t="s">
        <v>35</v>
      </c>
      <c r="E2" s="19" t="s">
        <v>21</v>
      </c>
      <c r="F2">
        <v>4</v>
      </c>
      <c r="G2">
        <v>3</v>
      </c>
      <c r="H2">
        <v>0.80659999999999998</v>
      </c>
      <c r="I2" s="19" t="s">
        <v>249</v>
      </c>
      <c r="J2" s="19" t="s">
        <v>21</v>
      </c>
      <c r="K2">
        <v>3</v>
      </c>
      <c r="L2">
        <v>2</v>
      </c>
      <c r="M2">
        <v>1.1200000000000001</v>
      </c>
      <c r="N2" s="19" t="s">
        <v>21</v>
      </c>
      <c r="O2" s="19" t="s">
        <v>283</v>
      </c>
      <c r="P2" s="19" t="s">
        <v>284</v>
      </c>
      <c r="Q2" s="19" t="s">
        <v>285</v>
      </c>
      <c r="R2" s="19" t="s">
        <v>248</v>
      </c>
      <c r="S2" s="19" t="s">
        <v>248</v>
      </c>
      <c r="T2" s="19" t="s">
        <v>286</v>
      </c>
    </row>
    <row r="3" spans="1:20" x14ac:dyDescent="0.2">
      <c r="A3" s="1">
        <v>45995</v>
      </c>
      <c r="B3" s="2">
        <v>0.8125</v>
      </c>
      <c r="C3" s="19" t="s">
        <v>25</v>
      </c>
      <c r="D3" s="19" t="s">
        <v>19</v>
      </c>
      <c r="E3" s="19" t="s">
        <v>25</v>
      </c>
      <c r="F3">
        <v>4</v>
      </c>
      <c r="G3">
        <v>3</v>
      </c>
      <c r="H3">
        <v>0.59550000000000003</v>
      </c>
      <c r="I3" s="19" t="s">
        <v>249</v>
      </c>
      <c r="J3" s="19" t="s">
        <v>25</v>
      </c>
      <c r="K3">
        <v>3</v>
      </c>
      <c r="L3">
        <v>2</v>
      </c>
      <c r="M3">
        <v>0.93</v>
      </c>
      <c r="N3" s="19" t="s">
        <v>19</v>
      </c>
      <c r="O3" s="19" t="s">
        <v>287</v>
      </c>
      <c r="P3" s="19" t="s">
        <v>283</v>
      </c>
      <c r="Q3" s="19" t="s">
        <v>285</v>
      </c>
      <c r="R3" s="19" t="s">
        <v>249</v>
      </c>
      <c r="S3" s="19" t="s">
        <v>249</v>
      </c>
      <c r="T3" s="19" t="s">
        <v>286</v>
      </c>
    </row>
    <row r="4" spans="1:20" x14ac:dyDescent="0.2">
      <c r="A4" s="1">
        <v>45995</v>
      </c>
      <c r="B4" s="2">
        <v>0.79166666666666663</v>
      </c>
      <c r="C4" s="19" t="s">
        <v>28</v>
      </c>
      <c r="D4" s="19" t="s">
        <v>26</v>
      </c>
      <c r="E4" s="19" t="s">
        <v>26</v>
      </c>
      <c r="F4">
        <v>2</v>
      </c>
      <c r="G4">
        <v>3</v>
      </c>
      <c r="H4">
        <v>0.67810000000000004</v>
      </c>
      <c r="I4" s="19" t="s">
        <v>249</v>
      </c>
      <c r="J4" s="19" t="s">
        <v>28</v>
      </c>
      <c r="K4">
        <v>3</v>
      </c>
      <c r="L4">
        <v>2</v>
      </c>
      <c r="M4">
        <v>0.28999999999999998</v>
      </c>
      <c r="N4" s="19" t="s">
        <v>28</v>
      </c>
      <c r="O4" s="19" t="s">
        <v>288</v>
      </c>
      <c r="P4" s="19" t="s">
        <v>283</v>
      </c>
      <c r="Q4" s="19" t="s">
        <v>287</v>
      </c>
      <c r="R4" s="19" t="s">
        <v>249</v>
      </c>
      <c r="S4" s="19" t="s">
        <v>248</v>
      </c>
      <c r="T4" s="19" t="s">
        <v>286</v>
      </c>
    </row>
    <row r="5" spans="1:20" x14ac:dyDescent="0.2">
      <c r="A5" s="1">
        <v>45995</v>
      </c>
      <c r="B5" s="2">
        <v>0.875</v>
      </c>
      <c r="C5" s="19" t="s">
        <v>16</v>
      </c>
      <c r="D5" s="19" t="s">
        <v>34</v>
      </c>
      <c r="E5" s="19" t="s">
        <v>34</v>
      </c>
      <c r="F5">
        <v>2</v>
      </c>
      <c r="G5">
        <v>3</v>
      </c>
      <c r="H5">
        <v>0.77159999999999995</v>
      </c>
      <c r="I5" s="19" t="s">
        <v>248</v>
      </c>
      <c r="J5" s="19" t="s">
        <v>34</v>
      </c>
      <c r="K5">
        <v>3</v>
      </c>
      <c r="L5">
        <v>2</v>
      </c>
      <c r="M5">
        <v>-1.1299999999999999</v>
      </c>
      <c r="N5" s="19" t="s">
        <v>16</v>
      </c>
      <c r="O5" s="19" t="s">
        <v>289</v>
      </c>
      <c r="P5" s="19" t="s">
        <v>287</v>
      </c>
      <c r="Q5" s="19" t="s">
        <v>285</v>
      </c>
      <c r="R5" s="19" t="s">
        <v>249</v>
      </c>
      <c r="S5" s="19" t="s">
        <v>249</v>
      </c>
      <c r="T5" s="19" t="s">
        <v>286</v>
      </c>
    </row>
    <row r="6" spans="1:20" x14ac:dyDescent="0.2">
      <c r="A6" s="1">
        <v>45995</v>
      </c>
      <c r="B6" s="2">
        <v>0.79166666666666663</v>
      </c>
      <c r="C6" s="19" t="s">
        <v>11</v>
      </c>
      <c r="D6" s="19" t="s">
        <v>29</v>
      </c>
      <c r="E6" s="19" t="s">
        <v>11</v>
      </c>
      <c r="F6">
        <v>5</v>
      </c>
      <c r="G6">
        <v>4</v>
      </c>
      <c r="H6">
        <v>0.54590000000000005</v>
      </c>
      <c r="I6" s="19" t="s">
        <v>249</v>
      </c>
      <c r="J6" s="19" t="s">
        <v>11</v>
      </c>
      <c r="K6">
        <v>3</v>
      </c>
      <c r="L6">
        <v>2</v>
      </c>
      <c r="M6">
        <v>0.71</v>
      </c>
      <c r="N6" s="19" t="s">
        <v>29</v>
      </c>
      <c r="O6" s="19" t="s">
        <v>287</v>
      </c>
      <c r="P6" s="19" t="s">
        <v>284</v>
      </c>
      <c r="Q6" s="19" t="s">
        <v>287</v>
      </c>
      <c r="R6" s="19" t="s">
        <v>249</v>
      </c>
      <c r="S6" s="19" t="s">
        <v>249</v>
      </c>
      <c r="T6" s="19" t="s">
        <v>286</v>
      </c>
    </row>
    <row r="7" spans="1:20" x14ac:dyDescent="0.2">
      <c r="A7" s="1">
        <v>45995</v>
      </c>
      <c r="B7" s="2">
        <v>0.79166666666666663</v>
      </c>
      <c r="C7" s="19" t="s">
        <v>37</v>
      </c>
      <c r="D7" s="19" t="s">
        <v>14</v>
      </c>
      <c r="E7" s="19" t="s">
        <v>37</v>
      </c>
      <c r="F7">
        <v>3</v>
      </c>
      <c r="G7">
        <v>2</v>
      </c>
      <c r="H7">
        <v>0.73029999999999995</v>
      </c>
      <c r="I7" s="19" t="s">
        <v>249</v>
      </c>
      <c r="J7" s="19" t="s">
        <v>37</v>
      </c>
      <c r="K7">
        <v>3</v>
      </c>
      <c r="L7">
        <v>2</v>
      </c>
      <c r="M7">
        <v>0.63</v>
      </c>
      <c r="N7" s="19" t="s">
        <v>14</v>
      </c>
      <c r="O7" s="19" t="s">
        <v>291</v>
      </c>
      <c r="P7" s="19" t="s">
        <v>289</v>
      </c>
      <c r="Q7" s="19" t="s">
        <v>285</v>
      </c>
      <c r="R7" s="19" t="s">
        <v>249</v>
      </c>
      <c r="S7" s="19" t="s">
        <v>249</v>
      </c>
      <c r="T7" s="19" t="s">
        <v>286</v>
      </c>
    </row>
    <row r="8" spans="1:20" x14ac:dyDescent="0.2">
      <c r="A8" s="1">
        <v>45995</v>
      </c>
      <c r="B8" s="2">
        <v>0.91666666666666663</v>
      </c>
      <c r="C8" s="19" t="s">
        <v>13</v>
      </c>
      <c r="D8" s="19" t="s">
        <v>10</v>
      </c>
      <c r="E8" s="19" t="s">
        <v>10</v>
      </c>
      <c r="F8">
        <v>2</v>
      </c>
      <c r="G8">
        <v>4</v>
      </c>
      <c r="H8">
        <v>0.61099999999999999</v>
      </c>
      <c r="I8" s="19" t="s">
        <v>249</v>
      </c>
      <c r="J8" s="19" t="s">
        <v>10</v>
      </c>
      <c r="K8">
        <v>3</v>
      </c>
      <c r="L8">
        <v>2</v>
      </c>
      <c r="M8">
        <v>-0.12</v>
      </c>
      <c r="N8" s="19" t="s">
        <v>10</v>
      </c>
      <c r="O8" s="19" t="s">
        <v>287</v>
      </c>
      <c r="P8" s="19" t="s">
        <v>284</v>
      </c>
      <c r="Q8" s="19" t="s">
        <v>285</v>
      </c>
      <c r="R8" s="19" t="s">
        <v>248</v>
      </c>
      <c r="S8" s="19" t="s">
        <v>248</v>
      </c>
      <c r="T8" s="19" t="s">
        <v>286</v>
      </c>
    </row>
    <row r="9" spans="1:20" x14ac:dyDescent="0.2">
      <c r="A9" s="1">
        <v>45995</v>
      </c>
      <c r="B9" s="2">
        <v>0.79166666666666663</v>
      </c>
      <c r="C9" s="19" t="s">
        <v>30</v>
      </c>
      <c r="D9" s="19" t="s">
        <v>12</v>
      </c>
      <c r="E9" s="19" t="s">
        <v>12</v>
      </c>
      <c r="F9">
        <v>1</v>
      </c>
      <c r="G9">
        <v>4</v>
      </c>
      <c r="H9">
        <v>0.89329999999999998</v>
      </c>
      <c r="I9" s="19" t="s">
        <v>249</v>
      </c>
      <c r="J9" s="19" t="s">
        <v>12</v>
      </c>
      <c r="K9">
        <v>3</v>
      </c>
      <c r="L9">
        <v>2</v>
      </c>
      <c r="M9">
        <v>-1.71</v>
      </c>
      <c r="N9" s="19" t="s">
        <v>30</v>
      </c>
      <c r="O9" s="19" t="s">
        <v>288</v>
      </c>
      <c r="P9" s="19" t="s">
        <v>291</v>
      </c>
      <c r="Q9" s="19" t="s">
        <v>285</v>
      </c>
      <c r="R9" s="19" t="s">
        <v>249</v>
      </c>
      <c r="S9" s="19" t="s">
        <v>249</v>
      </c>
      <c r="T9" s="19" t="s">
        <v>286</v>
      </c>
    </row>
    <row r="10" spans="1:20" x14ac:dyDescent="0.2">
      <c r="A10" s="1">
        <v>45995</v>
      </c>
      <c r="B10" s="2">
        <v>0.79166666666666663</v>
      </c>
      <c r="C10" s="19" t="s">
        <v>36</v>
      </c>
      <c r="D10" s="19" t="s">
        <v>15</v>
      </c>
      <c r="E10" s="19" t="s">
        <v>15</v>
      </c>
      <c r="F10">
        <v>3</v>
      </c>
      <c r="G10">
        <v>4</v>
      </c>
      <c r="H10">
        <v>0.69310000000000005</v>
      </c>
      <c r="I10" s="19" t="s">
        <v>249</v>
      </c>
      <c r="J10" s="19" t="s">
        <v>15</v>
      </c>
      <c r="K10">
        <v>3</v>
      </c>
      <c r="L10">
        <v>2</v>
      </c>
      <c r="M10">
        <v>-0.18</v>
      </c>
      <c r="N10" s="19" t="s">
        <v>15</v>
      </c>
      <c r="O10" s="19" t="s">
        <v>284</v>
      </c>
      <c r="P10" s="19" t="s">
        <v>289</v>
      </c>
      <c r="Q10" s="19" t="s">
        <v>285</v>
      </c>
      <c r="R10" s="19" t="s">
        <v>248</v>
      </c>
      <c r="S10" s="19" t="s">
        <v>248</v>
      </c>
      <c r="T10" s="19" t="s">
        <v>286</v>
      </c>
    </row>
    <row r="11" spans="1:20" x14ac:dyDescent="0.2">
      <c r="A11" s="1">
        <v>45995</v>
      </c>
      <c r="B11" s="2">
        <v>0.875</v>
      </c>
      <c r="C11" s="19" t="s">
        <v>17</v>
      </c>
      <c r="D11" s="19" t="s">
        <v>32</v>
      </c>
      <c r="E11" s="19" t="s">
        <v>17</v>
      </c>
      <c r="F11">
        <v>4</v>
      </c>
      <c r="G11">
        <v>3</v>
      </c>
      <c r="H11">
        <v>0.56730000000000003</v>
      </c>
      <c r="I11" s="19" t="s">
        <v>248</v>
      </c>
      <c r="J11" s="19" t="s">
        <v>32</v>
      </c>
      <c r="K11">
        <v>3</v>
      </c>
      <c r="L11">
        <v>2</v>
      </c>
      <c r="M11">
        <v>-0.14000000000000001</v>
      </c>
      <c r="N11" s="19" t="s">
        <v>17</v>
      </c>
      <c r="O11" s="19" t="s">
        <v>290</v>
      </c>
      <c r="P11" s="19" t="s">
        <v>289</v>
      </c>
      <c r="Q11" s="19" t="s">
        <v>285</v>
      </c>
      <c r="R11" s="19" t="s">
        <v>248</v>
      </c>
      <c r="S11" s="19" t="s">
        <v>249</v>
      </c>
      <c r="T11" s="19" t="s">
        <v>286</v>
      </c>
    </row>
    <row r="12" spans="1:20" x14ac:dyDescent="0.2">
      <c r="A12" s="1">
        <v>45996</v>
      </c>
      <c r="B12" s="2">
        <v>0.91666666666666663</v>
      </c>
      <c r="C12" s="19" t="s">
        <v>31</v>
      </c>
      <c r="D12" s="19" t="s">
        <v>22</v>
      </c>
      <c r="E12" s="19" t="s">
        <v>22</v>
      </c>
      <c r="F12">
        <v>4</v>
      </c>
      <c r="G12">
        <v>5</v>
      </c>
      <c r="H12">
        <v>0.6381</v>
      </c>
      <c r="I12" s="19" t="s">
        <v>249</v>
      </c>
      <c r="J12" s="19" t="s">
        <v>22</v>
      </c>
      <c r="K12">
        <v>3</v>
      </c>
      <c r="L12">
        <v>2</v>
      </c>
      <c r="M12">
        <v>-0.77</v>
      </c>
      <c r="N12" s="19" t="s">
        <v>31</v>
      </c>
      <c r="O12" s="19" t="s">
        <v>289</v>
      </c>
      <c r="P12" s="19" t="s">
        <v>291</v>
      </c>
      <c r="Q12" s="19" t="s">
        <v>287</v>
      </c>
      <c r="R12" s="19" t="s">
        <v>249</v>
      </c>
      <c r="S12" s="19" t="s">
        <v>249</v>
      </c>
      <c r="T12" s="19" t="s">
        <v>286</v>
      </c>
    </row>
    <row r="13" spans="1:20" x14ac:dyDescent="0.2">
      <c r="A13" s="1">
        <v>45996</v>
      </c>
      <c r="B13" s="2">
        <v>0.79166666666666663</v>
      </c>
      <c r="C13" s="19" t="s">
        <v>24</v>
      </c>
      <c r="D13" s="19" t="s">
        <v>20</v>
      </c>
      <c r="E13" s="19" t="s">
        <v>24</v>
      </c>
      <c r="F13">
        <v>4</v>
      </c>
      <c r="G13">
        <v>3</v>
      </c>
      <c r="H13">
        <v>0.74829999999999997</v>
      </c>
      <c r="I13" s="19" t="s">
        <v>248</v>
      </c>
      <c r="J13" s="19" t="s">
        <v>24</v>
      </c>
      <c r="K13">
        <v>3</v>
      </c>
      <c r="L13">
        <v>2</v>
      </c>
      <c r="M13">
        <v>0.19</v>
      </c>
      <c r="N13" s="19" t="s">
        <v>20</v>
      </c>
      <c r="O13" s="19" t="s">
        <v>285</v>
      </c>
      <c r="P13" s="19" t="s">
        <v>291</v>
      </c>
      <c r="Q13" s="19" t="s">
        <v>285</v>
      </c>
      <c r="R13" s="19" t="s">
        <v>249</v>
      </c>
      <c r="S13" s="19" t="s">
        <v>249</v>
      </c>
      <c r="T13" s="19" t="s">
        <v>286</v>
      </c>
    </row>
    <row r="14" spans="1:20" x14ac:dyDescent="0.2">
      <c r="A14" s="1">
        <v>45996</v>
      </c>
      <c r="B14" s="2">
        <v>0.875</v>
      </c>
      <c r="C14" s="19" t="s">
        <v>38</v>
      </c>
      <c r="D14" s="19" t="s">
        <v>55</v>
      </c>
      <c r="E14" s="19" t="s">
        <v>55</v>
      </c>
      <c r="F14">
        <v>3</v>
      </c>
      <c r="G14">
        <v>4</v>
      </c>
      <c r="H14">
        <v>0.6179</v>
      </c>
      <c r="I14" s="19" t="s">
        <v>249</v>
      </c>
      <c r="J14" s="19" t="s">
        <v>55</v>
      </c>
      <c r="K14">
        <v>3</v>
      </c>
      <c r="L14">
        <v>2</v>
      </c>
      <c r="M14">
        <v>-0.73</v>
      </c>
      <c r="N14" s="19" t="s">
        <v>55</v>
      </c>
      <c r="O14" s="19" t="s">
        <v>287</v>
      </c>
      <c r="P14" s="19" t="s">
        <v>289</v>
      </c>
      <c r="Q14" s="19" t="s">
        <v>285</v>
      </c>
      <c r="R14" s="19" t="s">
        <v>248</v>
      </c>
      <c r="S14" s="19" t="s">
        <v>248</v>
      </c>
      <c r="T14" s="19" t="s">
        <v>286</v>
      </c>
    </row>
    <row r="15" spans="1:20" x14ac:dyDescent="0.2">
      <c r="A15" s="1">
        <v>45996</v>
      </c>
      <c r="B15" s="2">
        <v>0.83333333333333337</v>
      </c>
      <c r="C15" s="19" t="s">
        <v>39</v>
      </c>
      <c r="D15" s="19" t="s">
        <v>33</v>
      </c>
      <c r="E15" s="19" t="s">
        <v>39</v>
      </c>
      <c r="F15">
        <v>4</v>
      </c>
      <c r="G15">
        <v>3</v>
      </c>
      <c r="H15">
        <v>0.68820000000000003</v>
      </c>
      <c r="I15" s="19" t="s">
        <v>249</v>
      </c>
      <c r="J15" s="19" t="s">
        <v>39</v>
      </c>
      <c r="K15">
        <v>3</v>
      </c>
      <c r="L15">
        <v>2</v>
      </c>
      <c r="M15">
        <v>1.1599999999999999</v>
      </c>
      <c r="N15" s="19" t="s">
        <v>39</v>
      </c>
      <c r="O15" s="19" t="s">
        <v>289</v>
      </c>
      <c r="P15" s="19" t="s">
        <v>287</v>
      </c>
      <c r="Q15" s="19" t="s">
        <v>285</v>
      </c>
      <c r="R15" s="19" t="s">
        <v>248</v>
      </c>
      <c r="S15" s="19" t="s">
        <v>248</v>
      </c>
      <c r="T15" s="19" t="s">
        <v>286</v>
      </c>
    </row>
    <row r="16" spans="1:20" x14ac:dyDescent="0.2">
      <c r="A16" s="1">
        <v>45996</v>
      </c>
      <c r="B16" s="2">
        <v>0.79166666666666663</v>
      </c>
      <c r="C16" s="19" t="s">
        <v>40</v>
      </c>
      <c r="D16" s="19" t="s">
        <v>23</v>
      </c>
      <c r="E16" s="19" t="s">
        <v>40</v>
      </c>
      <c r="F16">
        <v>4</v>
      </c>
      <c r="G16">
        <v>3</v>
      </c>
      <c r="H16">
        <v>0.70760000000000001</v>
      </c>
      <c r="I16" s="19" t="s">
        <v>249</v>
      </c>
      <c r="J16" s="19" t="s">
        <v>40</v>
      </c>
      <c r="K16">
        <v>3</v>
      </c>
      <c r="L16">
        <v>2</v>
      </c>
      <c r="M16">
        <v>0.22</v>
      </c>
      <c r="N16" s="19" t="s">
        <v>40</v>
      </c>
      <c r="O16" s="19" t="s">
        <v>289</v>
      </c>
      <c r="P16" s="19" t="s">
        <v>287</v>
      </c>
      <c r="Q16" s="19" t="s">
        <v>285</v>
      </c>
      <c r="R16" s="19" t="s">
        <v>248</v>
      </c>
      <c r="S16" s="19" t="s">
        <v>248</v>
      </c>
      <c r="T16" s="19" t="s">
        <v>286</v>
      </c>
    </row>
    <row r="17" spans="1:20" x14ac:dyDescent="0.2">
      <c r="A17" s="1">
        <v>45997</v>
      </c>
      <c r="B17" s="2">
        <v>0.79166666666666663</v>
      </c>
      <c r="C17" s="19" t="s">
        <v>16</v>
      </c>
      <c r="D17" s="19" t="s">
        <v>55</v>
      </c>
      <c r="E17" s="19" t="s">
        <v>16</v>
      </c>
      <c r="F17">
        <v>2</v>
      </c>
      <c r="G17">
        <v>0</v>
      </c>
      <c r="H17">
        <v>0.56730000000000003</v>
      </c>
      <c r="I17" s="19" t="s">
        <v>249</v>
      </c>
      <c r="J17" s="19" t="s">
        <v>55</v>
      </c>
      <c r="K17">
        <v>3</v>
      </c>
      <c r="L17">
        <v>2</v>
      </c>
      <c r="M17">
        <v>-0.92</v>
      </c>
      <c r="N17" s="19" t="s">
        <v>16</v>
      </c>
      <c r="O17" s="19" t="s">
        <v>284</v>
      </c>
      <c r="P17" s="19" t="s">
        <v>285</v>
      </c>
      <c r="Q17" s="19" t="s">
        <v>285</v>
      </c>
      <c r="R17" s="19" t="s">
        <v>248</v>
      </c>
      <c r="S17" s="19" t="s">
        <v>249</v>
      </c>
      <c r="T17" s="19" t="s">
        <v>286</v>
      </c>
    </row>
    <row r="18" spans="1:20" x14ac:dyDescent="0.2">
      <c r="A18" s="1">
        <v>45997</v>
      </c>
      <c r="B18" s="2">
        <v>0.91666666666666663</v>
      </c>
      <c r="C18" s="19" t="s">
        <v>17</v>
      </c>
      <c r="D18" s="19" t="s">
        <v>40</v>
      </c>
      <c r="E18" s="19" t="s">
        <v>17</v>
      </c>
      <c r="F18">
        <v>4</v>
      </c>
      <c r="G18">
        <v>3</v>
      </c>
      <c r="H18">
        <v>0.78990000000000005</v>
      </c>
      <c r="I18" s="19" t="s">
        <v>249</v>
      </c>
      <c r="J18" s="19" t="s">
        <v>40</v>
      </c>
      <c r="K18">
        <v>3</v>
      </c>
      <c r="L18">
        <v>2</v>
      </c>
      <c r="M18">
        <v>-0.33</v>
      </c>
      <c r="N18" s="19" t="s">
        <v>17</v>
      </c>
      <c r="O18" s="19" t="s">
        <v>288</v>
      </c>
      <c r="P18" s="19" t="s">
        <v>284</v>
      </c>
      <c r="Q18" s="19" t="s">
        <v>285</v>
      </c>
      <c r="R18" s="19" t="s">
        <v>248</v>
      </c>
      <c r="S18" s="19" t="s">
        <v>249</v>
      </c>
      <c r="T18" s="19" t="s">
        <v>286</v>
      </c>
    </row>
    <row r="19" spans="1:20" x14ac:dyDescent="0.2">
      <c r="A19" s="1">
        <v>45997</v>
      </c>
      <c r="B19" s="2">
        <v>0.79166666666666663</v>
      </c>
      <c r="C19" s="19" t="s">
        <v>19</v>
      </c>
      <c r="D19" s="19" t="s">
        <v>18</v>
      </c>
      <c r="E19" s="19" t="s">
        <v>19</v>
      </c>
      <c r="F19">
        <v>4</v>
      </c>
      <c r="G19">
        <v>3</v>
      </c>
      <c r="H19">
        <v>0.60129999999999995</v>
      </c>
      <c r="I19" s="19" t="s">
        <v>249</v>
      </c>
      <c r="J19" s="19" t="s">
        <v>19</v>
      </c>
      <c r="K19">
        <v>3</v>
      </c>
      <c r="L19">
        <v>2</v>
      </c>
      <c r="M19">
        <v>0.33</v>
      </c>
      <c r="N19" s="19" t="s">
        <v>18</v>
      </c>
      <c r="O19" s="19" t="s">
        <v>287</v>
      </c>
      <c r="P19" s="19" t="s">
        <v>284</v>
      </c>
      <c r="Q19" s="19" t="s">
        <v>287</v>
      </c>
      <c r="R19" s="19" t="s">
        <v>249</v>
      </c>
      <c r="S19" s="19" t="s">
        <v>249</v>
      </c>
      <c r="T19" s="19" t="s">
        <v>286</v>
      </c>
    </row>
    <row r="20" spans="1:20" x14ac:dyDescent="0.2">
      <c r="A20" s="1">
        <v>45997</v>
      </c>
      <c r="B20" s="2">
        <v>0.79166666666666663</v>
      </c>
      <c r="C20" s="19" t="s">
        <v>25</v>
      </c>
      <c r="D20" s="19" t="s">
        <v>29</v>
      </c>
      <c r="E20" s="19" t="s">
        <v>25</v>
      </c>
      <c r="F20">
        <v>4</v>
      </c>
      <c r="G20">
        <v>2</v>
      </c>
      <c r="H20">
        <v>0.76490000000000002</v>
      </c>
      <c r="I20" s="19" t="s">
        <v>248</v>
      </c>
      <c r="J20" s="19" t="s">
        <v>25</v>
      </c>
      <c r="K20">
        <v>3</v>
      </c>
      <c r="L20">
        <v>2</v>
      </c>
      <c r="M20">
        <v>1.43</v>
      </c>
      <c r="N20" s="19" t="s">
        <v>25</v>
      </c>
      <c r="O20" s="19" t="s">
        <v>288</v>
      </c>
      <c r="P20" s="19" t="s">
        <v>291</v>
      </c>
      <c r="Q20" s="19" t="s">
        <v>285</v>
      </c>
      <c r="R20" s="19" t="s">
        <v>248</v>
      </c>
      <c r="S20" s="19" t="s">
        <v>248</v>
      </c>
      <c r="T20" s="19" t="s">
        <v>286</v>
      </c>
    </row>
    <row r="21" spans="1:20" x14ac:dyDescent="0.2">
      <c r="A21" s="1">
        <v>45997</v>
      </c>
      <c r="B21" s="2">
        <v>0.79166666666666663</v>
      </c>
      <c r="C21" s="19" t="s">
        <v>21</v>
      </c>
      <c r="D21" s="19" t="s">
        <v>24</v>
      </c>
      <c r="E21" s="19" t="s">
        <v>21</v>
      </c>
      <c r="F21">
        <v>5</v>
      </c>
      <c r="G21">
        <v>4</v>
      </c>
      <c r="H21">
        <v>0.52739999999999998</v>
      </c>
      <c r="I21" s="19" t="s">
        <v>249</v>
      </c>
      <c r="J21" s="19" t="s">
        <v>21</v>
      </c>
      <c r="K21">
        <v>3</v>
      </c>
      <c r="L21">
        <v>2</v>
      </c>
      <c r="M21">
        <v>7.0000000000000007E-2</v>
      </c>
      <c r="N21" s="19" t="s">
        <v>21</v>
      </c>
      <c r="O21" s="19" t="s">
        <v>289</v>
      </c>
      <c r="P21" s="19" t="s">
        <v>287</v>
      </c>
      <c r="Q21" s="19" t="s">
        <v>285</v>
      </c>
      <c r="R21" s="19" t="s">
        <v>248</v>
      </c>
      <c r="S21" s="19" t="s">
        <v>248</v>
      </c>
      <c r="T21" s="19" t="s">
        <v>286</v>
      </c>
    </row>
    <row r="22" spans="1:20" x14ac:dyDescent="0.2">
      <c r="A22" s="1">
        <v>45997</v>
      </c>
      <c r="B22" s="2">
        <v>0.64583333333333337</v>
      </c>
      <c r="C22" s="19" t="s">
        <v>11</v>
      </c>
      <c r="D22" s="19" t="s">
        <v>28</v>
      </c>
      <c r="E22" s="19" t="s">
        <v>11</v>
      </c>
      <c r="F22">
        <v>4</v>
      </c>
      <c r="G22">
        <v>3</v>
      </c>
      <c r="H22">
        <v>0.52759999999999996</v>
      </c>
      <c r="I22" s="19" t="s">
        <v>249</v>
      </c>
      <c r="J22" s="19" t="s">
        <v>28</v>
      </c>
      <c r="K22">
        <v>3</v>
      </c>
      <c r="L22">
        <v>2</v>
      </c>
      <c r="M22">
        <v>-0.02</v>
      </c>
      <c r="N22" s="19" t="s">
        <v>11</v>
      </c>
      <c r="O22" s="19" t="s">
        <v>292</v>
      </c>
      <c r="P22" s="19" t="s">
        <v>288</v>
      </c>
      <c r="Q22" s="19" t="s">
        <v>287</v>
      </c>
      <c r="R22" s="19" t="s">
        <v>248</v>
      </c>
      <c r="S22" s="19" t="s">
        <v>249</v>
      </c>
      <c r="T22" s="19" t="s">
        <v>286</v>
      </c>
    </row>
    <row r="23" spans="1:20" x14ac:dyDescent="0.2">
      <c r="A23" s="1">
        <v>45997</v>
      </c>
      <c r="B23" s="2">
        <v>0.91666666666666663</v>
      </c>
      <c r="C23" s="19" t="s">
        <v>32</v>
      </c>
      <c r="D23" s="19" t="s">
        <v>26</v>
      </c>
      <c r="E23" s="19" t="s">
        <v>26</v>
      </c>
      <c r="F23">
        <v>3</v>
      </c>
      <c r="G23">
        <v>4</v>
      </c>
      <c r="H23">
        <v>0.50860000000000005</v>
      </c>
      <c r="I23" s="19" t="s">
        <v>249</v>
      </c>
      <c r="J23" s="19" t="s">
        <v>32</v>
      </c>
      <c r="K23">
        <v>3</v>
      </c>
      <c r="L23">
        <v>2</v>
      </c>
      <c r="M23">
        <v>0.08</v>
      </c>
      <c r="N23" s="19" t="s">
        <v>26</v>
      </c>
      <c r="O23" s="19" t="s">
        <v>291</v>
      </c>
      <c r="P23" s="19" t="s">
        <v>289</v>
      </c>
      <c r="Q23" s="19" t="s">
        <v>285</v>
      </c>
      <c r="R23" s="19" t="s">
        <v>248</v>
      </c>
      <c r="S23" s="19" t="s">
        <v>249</v>
      </c>
      <c r="T23" s="19" t="s">
        <v>286</v>
      </c>
    </row>
    <row r="24" spans="1:20" x14ac:dyDescent="0.2">
      <c r="A24" s="1">
        <v>45997</v>
      </c>
      <c r="B24" s="2">
        <v>0.79166666666666663</v>
      </c>
      <c r="C24" s="19" t="s">
        <v>37</v>
      </c>
      <c r="D24" s="19" t="s">
        <v>30</v>
      </c>
      <c r="E24" s="19" t="s">
        <v>30</v>
      </c>
      <c r="F24">
        <v>3</v>
      </c>
      <c r="G24">
        <v>4</v>
      </c>
      <c r="H24">
        <v>0.56379999999999997</v>
      </c>
      <c r="I24" s="19" t="s">
        <v>249</v>
      </c>
      <c r="J24" s="19" t="s">
        <v>37</v>
      </c>
      <c r="K24">
        <v>3</v>
      </c>
      <c r="L24">
        <v>2</v>
      </c>
      <c r="M24">
        <v>0.47</v>
      </c>
      <c r="N24" s="19" t="s">
        <v>30</v>
      </c>
      <c r="O24" s="19" t="s">
        <v>285</v>
      </c>
      <c r="P24" s="19" t="s">
        <v>284</v>
      </c>
      <c r="Q24" s="19" t="s">
        <v>285</v>
      </c>
      <c r="R24" s="19" t="s">
        <v>248</v>
      </c>
      <c r="S24" s="19" t="s">
        <v>249</v>
      </c>
      <c r="T24" s="19" t="s">
        <v>286</v>
      </c>
    </row>
    <row r="25" spans="1:20" x14ac:dyDescent="0.2">
      <c r="A25" s="1">
        <v>45997</v>
      </c>
      <c r="B25" s="2">
        <v>0.52083333333333337</v>
      </c>
      <c r="C25" s="19" t="s">
        <v>15</v>
      </c>
      <c r="D25" s="19" t="s">
        <v>12</v>
      </c>
      <c r="E25" s="19" t="s">
        <v>12</v>
      </c>
      <c r="F25">
        <v>2</v>
      </c>
      <c r="G25">
        <v>3</v>
      </c>
      <c r="H25">
        <v>0.58209999999999995</v>
      </c>
      <c r="I25" s="19" t="s">
        <v>249</v>
      </c>
      <c r="J25" s="19" t="s">
        <v>12</v>
      </c>
      <c r="K25">
        <v>3</v>
      </c>
      <c r="L25">
        <v>2</v>
      </c>
      <c r="M25">
        <v>-1.52</v>
      </c>
      <c r="N25" s="19" t="s">
        <v>12</v>
      </c>
      <c r="O25" s="19" t="s">
        <v>284</v>
      </c>
      <c r="P25" s="19" t="s">
        <v>291</v>
      </c>
      <c r="Q25" s="19" t="s">
        <v>287</v>
      </c>
      <c r="R25" s="19" t="s">
        <v>248</v>
      </c>
      <c r="S25" s="19" t="s">
        <v>248</v>
      </c>
      <c r="T25" s="19" t="s">
        <v>286</v>
      </c>
    </row>
    <row r="26" spans="1:20" x14ac:dyDescent="0.2">
      <c r="A26" s="1">
        <v>45997</v>
      </c>
      <c r="B26" s="2">
        <v>0.91666666666666663</v>
      </c>
      <c r="C26" s="19" t="s">
        <v>38</v>
      </c>
      <c r="D26" s="19" t="s">
        <v>34</v>
      </c>
      <c r="E26" s="19" t="s">
        <v>34</v>
      </c>
      <c r="F26">
        <v>3</v>
      </c>
      <c r="G26">
        <v>4</v>
      </c>
      <c r="H26">
        <v>0.78480000000000005</v>
      </c>
      <c r="I26" s="19" t="s">
        <v>249</v>
      </c>
      <c r="J26" s="19" t="s">
        <v>34</v>
      </c>
      <c r="K26">
        <v>3</v>
      </c>
      <c r="L26">
        <v>2</v>
      </c>
      <c r="M26">
        <v>-0.77</v>
      </c>
      <c r="N26" s="19" t="s">
        <v>38</v>
      </c>
      <c r="O26" s="19" t="s">
        <v>289</v>
      </c>
      <c r="P26" s="19" t="s">
        <v>284</v>
      </c>
      <c r="Q26" s="19" t="s">
        <v>285</v>
      </c>
      <c r="R26" s="19" t="s">
        <v>249</v>
      </c>
      <c r="S26" s="19" t="s">
        <v>249</v>
      </c>
      <c r="T26" s="19" t="s">
        <v>286</v>
      </c>
    </row>
    <row r="27" spans="1:20" x14ac:dyDescent="0.2">
      <c r="A27" s="1">
        <v>45997</v>
      </c>
      <c r="B27" s="2">
        <v>0.79166666666666663</v>
      </c>
      <c r="C27" s="19" t="s">
        <v>36</v>
      </c>
      <c r="D27" s="19" t="s">
        <v>35</v>
      </c>
      <c r="E27" s="19" t="s">
        <v>36</v>
      </c>
      <c r="F27">
        <v>4</v>
      </c>
      <c r="G27">
        <v>3</v>
      </c>
      <c r="H27">
        <v>0.84889999999999999</v>
      </c>
      <c r="I27" s="19" t="s">
        <v>249</v>
      </c>
      <c r="J27" s="19" t="s">
        <v>36</v>
      </c>
      <c r="K27">
        <v>3</v>
      </c>
      <c r="L27">
        <v>2</v>
      </c>
      <c r="M27">
        <v>0.99</v>
      </c>
      <c r="N27" s="19" t="s">
        <v>35</v>
      </c>
      <c r="O27" s="19" t="s">
        <v>287</v>
      </c>
      <c r="P27" s="19" t="s">
        <v>284</v>
      </c>
      <c r="Q27" s="19" t="s">
        <v>285</v>
      </c>
      <c r="R27" s="19" t="s">
        <v>249</v>
      </c>
      <c r="S27" s="19" t="s">
        <v>249</v>
      </c>
      <c r="T27" s="19" t="s">
        <v>286</v>
      </c>
    </row>
    <row r="28" spans="1:20" x14ac:dyDescent="0.2">
      <c r="A28" s="1">
        <v>45997</v>
      </c>
      <c r="B28" s="2">
        <v>0.875</v>
      </c>
      <c r="C28" s="19" t="s">
        <v>13</v>
      </c>
      <c r="D28" s="19" t="s">
        <v>10</v>
      </c>
      <c r="E28" s="19" t="s">
        <v>10</v>
      </c>
      <c r="F28">
        <v>2</v>
      </c>
      <c r="G28">
        <v>3</v>
      </c>
      <c r="H28">
        <v>0.7802</v>
      </c>
      <c r="I28" s="19" t="s">
        <v>249</v>
      </c>
      <c r="J28" s="19" t="s">
        <v>10</v>
      </c>
      <c r="K28">
        <v>3</v>
      </c>
      <c r="L28">
        <v>2</v>
      </c>
      <c r="M28">
        <v>-0.17</v>
      </c>
      <c r="N28" s="19" t="s">
        <v>13</v>
      </c>
      <c r="O28" s="19" t="s">
        <v>288</v>
      </c>
      <c r="P28" s="19" t="s">
        <v>285</v>
      </c>
      <c r="Q28" s="19" t="s">
        <v>285</v>
      </c>
      <c r="R28" s="19" t="s">
        <v>249</v>
      </c>
      <c r="S28" s="19" t="s">
        <v>249</v>
      </c>
      <c r="T28" s="19" t="s">
        <v>286</v>
      </c>
    </row>
    <row r="29" spans="1:20" x14ac:dyDescent="0.2">
      <c r="A29" s="1">
        <v>45998</v>
      </c>
      <c r="B29" s="2">
        <v>0.79166666666666663</v>
      </c>
      <c r="C29" s="19" t="s">
        <v>22</v>
      </c>
      <c r="D29" s="19" t="s">
        <v>28</v>
      </c>
      <c r="E29" s="19" t="s">
        <v>22</v>
      </c>
      <c r="F29">
        <v>4</v>
      </c>
      <c r="G29">
        <v>3</v>
      </c>
      <c r="H29">
        <v>0.624</v>
      </c>
      <c r="I29" s="19" t="s">
        <v>249</v>
      </c>
      <c r="J29" s="19" t="s">
        <v>22</v>
      </c>
      <c r="K29">
        <v>3</v>
      </c>
      <c r="L29">
        <v>2</v>
      </c>
      <c r="M29">
        <v>1.26</v>
      </c>
      <c r="N29" s="19" t="s">
        <v>22</v>
      </c>
      <c r="O29" s="19" t="s">
        <v>284</v>
      </c>
      <c r="P29" s="19" t="s">
        <v>285</v>
      </c>
      <c r="Q29" s="19" t="s">
        <v>285</v>
      </c>
      <c r="R29" s="19" t="s">
        <v>248</v>
      </c>
      <c r="S29" s="19" t="s">
        <v>248</v>
      </c>
      <c r="T29" s="19" t="s">
        <v>286</v>
      </c>
    </row>
    <row r="30" spans="1:20" x14ac:dyDescent="0.2">
      <c r="A30" s="1">
        <v>45998</v>
      </c>
      <c r="B30" s="2">
        <v>0.79166666666666663</v>
      </c>
      <c r="C30" s="19" t="s">
        <v>18</v>
      </c>
      <c r="D30" s="19" t="s">
        <v>35</v>
      </c>
      <c r="E30" s="19" t="s">
        <v>18</v>
      </c>
      <c r="F30">
        <v>5</v>
      </c>
      <c r="G30">
        <v>3</v>
      </c>
      <c r="H30">
        <v>0.9365</v>
      </c>
      <c r="I30" s="19" t="s">
        <v>249</v>
      </c>
      <c r="J30" s="19" t="s">
        <v>18</v>
      </c>
      <c r="K30">
        <v>3</v>
      </c>
      <c r="L30">
        <v>2</v>
      </c>
      <c r="M30">
        <v>0.85</v>
      </c>
      <c r="N30" s="19" t="s">
        <v>35</v>
      </c>
      <c r="O30" s="19" t="s">
        <v>291</v>
      </c>
      <c r="P30" s="19" t="s">
        <v>289</v>
      </c>
      <c r="Q30" s="19" t="s">
        <v>285</v>
      </c>
      <c r="R30" s="19" t="s">
        <v>249</v>
      </c>
      <c r="S30" s="19" t="s">
        <v>249</v>
      </c>
      <c r="T30" s="19" t="s">
        <v>286</v>
      </c>
    </row>
    <row r="31" spans="1:20" x14ac:dyDescent="0.2">
      <c r="A31" s="1">
        <v>45998</v>
      </c>
      <c r="B31" s="2">
        <v>0.70833333333333337</v>
      </c>
      <c r="C31" s="19" t="s">
        <v>11</v>
      </c>
      <c r="D31" s="19" t="s">
        <v>30</v>
      </c>
      <c r="E31" s="19" t="s">
        <v>30</v>
      </c>
      <c r="F31">
        <v>2</v>
      </c>
      <c r="G31">
        <v>3</v>
      </c>
      <c r="H31">
        <v>0.82069999999999999</v>
      </c>
      <c r="I31" s="19" t="s">
        <v>249</v>
      </c>
      <c r="J31" s="19" t="s">
        <v>30</v>
      </c>
      <c r="K31">
        <v>3</v>
      </c>
      <c r="L31">
        <v>2</v>
      </c>
      <c r="M31">
        <v>-0.56999999999999995</v>
      </c>
      <c r="N31" s="19" t="s">
        <v>11</v>
      </c>
      <c r="O31" s="19" t="s">
        <v>289</v>
      </c>
      <c r="P31" s="19" t="s">
        <v>287</v>
      </c>
      <c r="Q31" s="19" t="s">
        <v>285</v>
      </c>
      <c r="R31" s="19" t="s">
        <v>249</v>
      </c>
      <c r="S31" s="19" t="s">
        <v>249</v>
      </c>
      <c r="T31" s="19" t="s">
        <v>286</v>
      </c>
    </row>
    <row r="32" spans="1:20" x14ac:dyDescent="0.2">
      <c r="A32" s="1">
        <v>45998</v>
      </c>
      <c r="B32" s="2">
        <v>0.79166666666666663</v>
      </c>
      <c r="C32" s="19" t="s">
        <v>15</v>
      </c>
      <c r="D32" s="19" t="s">
        <v>20</v>
      </c>
      <c r="E32" s="19" t="s">
        <v>20</v>
      </c>
      <c r="F32">
        <v>1</v>
      </c>
      <c r="G32">
        <v>3</v>
      </c>
      <c r="H32">
        <v>0.82699999999999996</v>
      </c>
      <c r="I32" s="19" t="s">
        <v>249</v>
      </c>
      <c r="J32" s="19" t="s">
        <v>15</v>
      </c>
      <c r="K32">
        <v>3</v>
      </c>
      <c r="L32">
        <v>2</v>
      </c>
      <c r="M32">
        <v>0.12</v>
      </c>
      <c r="N32" s="19" t="s">
        <v>20</v>
      </c>
      <c r="O32" s="19" t="s">
        <v>284</v>
      </c>
      <c r="P32" s="19" t="s">
        <v>291</v>
      </c>
      <c r="Q32" s="19" t="s">
        <v>287</v>
      </c>
      <c r="R32" s="19" t="s">
        <v>248</v>
      </c>
      <c r="S32" s="19" t="s">
        <v>249</v>
      </c>
      <c r="T32" s="19" t="s">
        <v>286</v>
      </c>
    </row>
    <row r="33" spans="1:20" x14ac:dyDescent="0.2">
      <c r="A33" s="1">
        <v>45998</v>
      </c>
      <c r="B33" s="2">
        <v>0.83333333333333337</v>
      </c>
      <c r="C33" s="19" t="s">
        <v>31</v>
      </c>
      <c r="D33" s="19" t="s">
        <v>10</v>
      </c>
      <c r="E33" s="19" t="s">
        <v>31</v>
      </c>
      <c r="F33">
        <v>5</v>
      </c>
      <c r="G33">
        <v>4</v>
      </c>
      <c r="H33">
        <v>0.68179999999999996</v>
      </c>
      <c r="I33" s="19" t="s">
        <v>249</v>
      </c>
      <c r="J33" s="19" t="s">
        <v>31</v>
      </c>
      <c r="K33">
        <v>3</v>
      </c>
      <c r="L33">
        <v>2</v>
      </c>
      <c r="M33">
        <v>0.42</v>
      </c>
      <c r="N33" s="19" t="s">
        <v>31</v>
      </c>
      <c r="O33" s="19" t="s">
        <v>292</v>
      </c>
      <c r="P33" s="19" t="s">
        <v>287</v>
      </c>
      <c r="Q33" s="19" t="s">
        <v>285</v>
      </c>
      <c r="R33" s="19" t="s">
        <v>248</v>
      </c>
      <c r="S33" s="19" t="s">
        <v>248</v>
      </c>
      <c r="T33" s="19" t="s">
        <v>286</v>
      </c>
    </row>
    <row r="34" spans="1:20" x14ac:dyDescent="0.2">
      <c r="A34" s="1">
        <v>45998</v>
      </c>
      <c r="B34" s="2">
        <v>0.70833333333333337</v>
      </c>
      <c r="C34" s="19" t="s">
        <v>25</v>
      </c>
      <c r="D34" s="19" t="s">
        <v>33</v>
      </c>
      <c r="E34" s="19" t="s">
        <v>25</v>
      </c>
      <c r="F34">
        <v>4</v>
      </c>
      <c r="G34">
        <v>3</v>
      </c>
      <c r="H34">
        <v>0.6341</v>
      </c>
      <c r="I34" s="19" t="s">
        <v>249</v>
      </c>
      <c r="J34" s="19" t="s">
        <v>25</v>
      </c>
      <c r="K34">
        <v>3</v>
      </c>
      <c r="L34">
        <v>2</v>
      </c>
      <c r="M34">
        <v>1.1000000000000001</v>
      </c>
      <c r="N34" s="19" t="s">
        <v>33</v>
      </c>
      <c r="O34" s="19" t="s">
        <v>287</v>
      </c>
      <c r="P34" s="19" t="s">
        <v>289</v>
      </c>
      <c r="Q34" s="19" t="s">
        <v>285</v>
      </c>
      <c r="R34" s="19" t="s">
        <v>249</v>
      </c>
      <c r="S34" s="19" t="s">
        <v>249</v>
      </c>
      <c r="T34" s="19" t="s">
        <v>286</v>
      </c>
    </row>
    <row r="35" spans="1:20" x14ac:dyDescent="0.2">
      <c r="A35" s="1">
        <v>45998</v>
      </c>
      <c r="B35" s="2">
        <v>0.54166666666666663</v>
      </c>
      <c r="C35" s="19" t="s">
        <v>27</v>
      </c>
      <c r="D35" s="19" t="s">
        <v>12</v>
      </c>
      <c r="E35" s="19" t="s">
        <v>27</v>
      </c>
      <c r="F35">
        <v>4</v>
      </c>
      <c r="G35">
        <v>3</v>
      </c>
      <c r="H35">
        <v>0.57799999999999996</v>
      </c>
      <c r="I35" s="19" t="s">
        <v>248</v>
      </c>
      <c r="J35" s="19" t="s">
        <v>12</v>
      </c>
      <c r="K35">
        <v>3</v>
      </c>
      <c r="L35">
        <v>2</v>
      </c>
      <c r="M35">
        <v>-1.6</v>
      </c>
      <c r="N35" s="19" t="s">
        <v>12</v>
      </c>
      <c r="O35" s="19" t="s">
        <v>284</v>
      </c>
      <c r="P35" s="19" t="s">
        <v>291</v>
      </c>
      <c r="Q35" s="19" t="s">
        <v>285</v>
      </c>
      <c r="R35" s="19" t="s">
        <v>249</v>
      </c>
      <c r="S35" s="19" t="s">
        <v>248</v>
      </c>
      <c r="T35" s="19" t="s">
        <v>286</v>
      </c>
    </row>
    <row r="36" spans="1:20" x14ac:dyDescent="0.2">
      <c r="A36" s="1">
        <v>45998</v>
      </c>
      <c r="B36" s="2">
        <v>0.75</v>
      </c>
      <c r="C36" s="19" t="s">
        <v>39</v>
      </c>
      <c r="D36" s="19" t="s">
        <v>14</v>
      </c>
      <c r="E36" s="19" t="s">
        <v>39</v>
      </c>
      <c r="F36">
        <v>3</v>
      </c>
      <c r="G36">
        <v>2</v>
      </c>
      <c r="H36">
        <v>0.67190000000000005</v>
      </c>
      <c r="I36" s="19" t="s">
        <v>249</v>
      </c>
      <c r="J36" s="19" t="s">
        <v>39</v>
      </c>
      <c r="K36">
        <v>3</v>
      </c>
      <c r="L36">
        <v>2</v>
      </c>
      <c r="M36">
        <v>0.67</v>
      </c>
      <c r="N36" s="19" t="s">
        <v>39</v>
      </c>
      <c r="O36" s="19" t="s">
        <v>291</v>
      </c>
      <c r="P36" s="19" t="s">
        <v>284</v>
      </c>
      <c r="Q36" s="19" t="s">
        <v>287</v>
      </c>
      <c r="R36" s="19" t="s">
        <v>248</v>
      </c>
      <c r="S36" s="19" t="s">
        <v>248</v>
      </c>
      <c r="T36" s="19" t="s">
        <v>286</v>
      </c>
    </row>
    <row r="37" spans="1:20" x14ac:dyDescent="0.2">
      <c r="A37" s="1">
        <v>45999</v>
      </c>
      <c r="B37" s="2">
        <v>0.91666666666666663</v>
      </c>
      <c r="C37" s="19" t="s">
        <v>32</v>
      </c>
      <c r="D37" s="19" t="s">
        <v>34</v>
      </c>
      <c r="E37" s="19" t="s">
        <v>34</v>
      </c>
      <c r="F37">
        <v>2</v>
      </c>
      <c r="G37">
        <v>3</v>
      </c>
      <c r="H37">
        <v>0.7</v>
      </c>
      <c r="I37" s="19" t="s">
        <v>249</v>
      </c>
      <c r="J37" s="19" t="s">
        <v>34</v>
      </c>
      <c r="K37">
        <v>3</v>
      </c>
      <c r="L37">
        <v>2</v>
      </c>
      <c r="M37">
        <v>-0.48</v>
      </c>
      <c r="N37" s="19" t="s">
        <v>34</v>
      </c>
      <c r="O37" s="19" t="s">
        <v>287</v>
      </c>
      <c r="P37" s="19" t="s">
        <v>289</v>
      </c>
      <c r="Q37" s="19" t="s">
        <v>285</v>
      </c>
      <c r="R37" s="19" t="s">
        <v>248</v>
      </c>
      <c r="S37" s="19" t="s">
        <v>248</v>
      </c>
      <c r="T37" s="19" t="s">
        <v>286</v>
      </c>
    </row>
    <row r="38" spans="1:20" x14ac:dyDescent="0.2">
      <c r="A38" s="1">
        <v>45999</v>
      </c>
      <c r="B38" s="2">
        <v>0.91666666666666663</v>
      </c>
      <c r="C38" s="19" t="s">
        <v>38</v>
      </c>
      <c r="D38" s="19" t="s">
        <v>26</v>
      </c>
      <c r="E38" s="19" t="s">
        <v>26</v>
      </c>
      <c r="F38">
        <v>2</v>
      </c>
      <c r="G38">
        <v>4</v>
      </c>
      <c r="H38">
        <v>0.76849999999999996</v>
      </c>
      <c r="I38" s="19" t="s">
        <v>249</v>
      </c>
      <c r="J38" s="19" t="s">
        <v>26</v>
      </c>
      <c r="K38">
        <v>3</v>
      </c>
      <c r="L38">
        <v>2</v>
      </c>
      <c r="M38">
        <v>-0.03</v>
      </c>
      <c r="N38" s="19" t="s">
        <v>26</v>
      </c>
      <c r="O38" s="19" t="s">
        <v>285</v>
      </c>
      <c r="P38" s="19" t="s">
        <v>289</v>
      </c>
      <c r="Q38" s="19" t="s">
        <v>285</v>
      </c>
      <c r="R38" s="19" t="s">
        <v>248</v>
      </c>
      <c r="S38" s="19" t="s">
        <v>248</v>
      </c>
      <c r="T38" s="19" t="s">
        <v>286</v>
      </c>
    </row>
    <row r="39" spans="1:20" x14ac:dyDescent="0.2">
      <c r="A39" s="1">
        <v>45999</v>
      </c>
      <c r="B39" s="2">
        <v>0.875</v>
      </c>
      <c r="C39" s="19" t="s">
        <v>55</v>
      </c>
      <c r="D39" s="19" t="s">
        <v>13</v>
      </c>
      <c r="E39" s="19" t="s">
        <v>13</v>
      </c>
      <c r="F39">
        <v>3</v>
      </c>
      <c r="G39">
        <v>4</v>
      </c>
      <c r="H39">
        <v>0.58199999999999996</v>
      </c>
      <c r="I39" s="19" t="s">
        <v>249</v>
      </c>
      <c r="J39" s="19" t="s">
        <v>55</v>
      </c>
      <c r="K39">
        <v>3</v>
      </c>
      <c r="L39">
        <v>2</v>
      </c>
      <c r="M39">
        <v>0.17</v>
      </c>
      <c r="N39" s="19" t="s">
        <v>13</v>
      </c>
      <c r="O39" s="19" t="s">
        <v>284</v>
      </c>
      <c r="P39" s="19" t="s">
        <v>289</v>
      </c>
      <c r="Q39" s="19" t="s">
        <v>285</v>
      </c>
      <c r="R39" s="19" t="s">
        <v>248</v>
      </c>
      <c r="S39" s="19" t="s">
        <v>249</v>
      </c>
      <c r="T39" s="19" t="s">
        <v>286</v>
      </c>
    </row>
    <row r="40" spans="1:20" x14ac:dyDescent="0.2">
      <c r="A40" s="1">
        <v>45999</v>
      </c>
      <c r="B40" s="2">
        <v>0.875</v>
      </c>
      <c r="C40" s="19" t="s">
        <v>16</v>
      </c>
      <c r="D40" s="19" t="s">
        <v>23</v>
      </c>
      <c r="E40" s="19" t="s">
        <v>23</v>
      </c>
      <c r="F40">
        <v>3</v>
      </c>
      <c r="G40">
        <v>4</v>
      </c>
      <c r="H40">
        <v>0.5736</v>
      </c>
      <c r="I40" s="19" t="s">
        <v>249</v>
      </c>
      <c r="J40" s="19" t="s">
        <v>23</v>
      </c>
      <c r="K40">
        <v>3</v>
      </c>
      <c r="L40">
        <v>2</v>
      </c>
      <c r="M40">
        <v>-0.22</v>
      </c>
      <c r="N40" s="19" t="s">
        <v>16</v>
      </c>
      <c r="O40" s="19" t="s">
        <v>292</v>
      </c>
      <c r="P40" s="19" t="s">
        <v>289</v>
      </c>
      <c r="Q40" s="19" t="s">
        <v>285</v>
      </c>
      <c r="R40" s="19" t="s">
        <v>249</v>
      </c>
      <c r="S40" s="19" t="s">
        <v>249</v>
      </c>
      <c r="T40" s="19" t="s">
        <v>286</v>
      </c>
    </row>
    <row r="41" spans="1:20" x14ac:dyDescent="0.2">
      <c r="A41" s="1">
        <v>45999</v>
      </c>
      <c r="B41" s="2">
        <v>0.8125</v>
      </c>
      <c r="C41" s="19" t="s">
        <v>19</v>
      </c>
      <c r="D41" s="19" t="s">
        <v>37</v>
      </c>
      <c r="E41" s="19" t="s">
        <v>37</v>
      </c>
      <c r="F41">
        <v>3</v>
      </c>
      <c r="G41">
        <v>4</v>
      </c>
      <c r="H41">
        <v>0.58630000000000004</v>
      </c>
      <c r="I41" s="19" t="s">
        <v>249</v>
      </c>
      <c r="J41" s="19" t="s">
        <v>37</v>
      </c>
      <c r="K41">
        <v>3</v>
      </c>
      <c r="L41">
        <v>2</v>
      </c>
      <c r="M41">
        <v>-0.65</v>
      </c>
      <c r="N41" s="19" t="s">
        <v>19</v>
      </c>
      <c r="O41" s="19" t="s">
        <v>284</v>
      </c>
      <c r="P41" s="19" t="s">
        <v>285</v>
      </c>
      <c r="Q41" s="19" t="s">
        <v>285</v>
      </c>
      <c r="R41" s="19" t="s">
        <v>249</v>
      </c>
      <c r="S41" s="19" t="s">
        <v>249</v>
      </c>
      <c r="T41" s="19" t="s">
        <v>286</v>
      </c>
    </row>
    <row r="42" spans="1:20" x14ac:dyDescent="0.2">
      <c r="A42" s="1">
        <v>46000</v>
      </c>
      <c r="B42" s="2">
        <v>0.79166666666666663</v>
      </c>
      <c r="C42" s="19" t="s">
        <v>14</v>
      </c>
      <c r="D42" s="19" t="s">
        <v>31</v>
      </c>
      <c r="E42" s="19" t="s">
        <v>31</v>
      </c>
      <c r="F42">
        <v>3</v>
      </c>
      <c r="G42">
        <v>4</v>
      </c>
      <c r="H42">
        <v>0.58260000000000001</v>
      </c>
      <c r="I42" s="19" t="s">
        <v>249</v>
      </c>
      <c r="J42" s="19" t="s">
        <v>31</v>
      </c>
      <c r="K42">
        <v>3</v>
      </c>
      <c r="L42">
        <v>2</v>
      </c>
      <c r="M42">
        <v>-0.1</v>
      </c>
      <c r="N42" s="19" t="s">
        <v>31</v>
      </c>
      <c r="O42" s="19" t="s">
        <v>291</v>
      </c>
      <c r="P42" s="19" t="s">
        <v>289</v>
      </c>
      <c r="Q42" s="19" t="s">
        <v>287</v>
      </c>
      <c r="R42" s="19" t="s">
        <v>248</v>
      </c>
      <c r="S42" s="19" t="s">
        <v>248</v>
      </c>
      <c r="T42" s="19" t="s">
        <v>286</v>
      </c>
    </row>
    <row r="43" spans="1:20" x14ac:dyDescent="0.2">
      <c r="A43" s="1">
        <v>46000</v>
      </c>
      <c r="B43" s="2">
        <v>0.83333333333333337</v>
      </c>
      <c r="C43" s="19" t="s">
        <v>35</v>
      </c>
      <c r="D43" s="19" t="s">
        <v>21</v>
      </c>
      <c r="E43" s="19" t="s">
        <v>21</v>
      </c>
      <c r="F43">
        <v>3</v>
      </c>
      <c r="G43">
        <v>4</v>
      </c>
      <c r="H43">
        <v>0.73719999999999997</v>
      </c>
      <c r="I43" s="19" t="s">
        <v>249</v>
      </c>
      <c r="J43" s="19" t="s">
        <v>21</v>
      </c>
      <c r="K43">
        <v>3</v>
      </c>
      <c r="L43">
        <v>2</v>
      </c>
      <c r="M43">
        <v>-1.08</v>
      </c>
      <c r="N43" s="19" t="s">
        <v>21</v>
      </c>
      <c r="O43" s="19" t="s">
        <v>284</v>
      </c>
      <c r="P43" s="19" t="s">
        <v>283</v>
      </c>
      <c r="Q43" s="19" t="s">
        <v>285</v>
      </c>
      <c r="R43" s="19" t="s">
        <v>248</v>
      </c>
      <c r="S43" s="19" t="s">
        <v>248</v>
      </c>
      <c r="T43" s="19" t="s">
        <v>286</v>
      </c>
    </row>
    <row r="44" spans="1:20" x14ac:dyDescent="0.2">
      <c r="A44" s="1">
        <v>46000</v>
      </c>
      <c r="B44" s="2">
        <v>0.8125</v>
      </c>
      <c r="C44" s="19" t="s">
        <v>25</v>
      </c>
      <c r="D44" s="19" t="s">
        <v>28</v>
      </c>
      <c r="E44" s="19" t="s">
        <v>28</v>
      </c>
      <c r="F44">
        <v>3</v>
      </c>
      <c r="G44">
        <v>4</v>
      </c>
      <c r="H44">
        <v>0.65369999999999995</v>
      </c>
      <c r="I44" s="19" t="s">
        <v>249</v>
      </c>
      <c r="J44" s="19" t="s">
        <v>25</v>
      </c>
      <c r="K44">
        <v>3</v>
      </c>
      <c r="L44">
        <v>2</v>
      </c>
      <c r="M44">
        <v>0.82</v>
      </c>
      <c r="N44" s="19" t="s">
        <v>25</v>
      </c>
      <c r="O44" s="19" t="s">
        <v>289</v>
      </c>
      <c r="P44" s="19" t="s">
        <v>287</v>
      </c>
      <c r="Q44" s="19" t="s">
        <v>285</v>
      </c>
      <c r="R44" s="19" t="s">
        <v>249</v>
      </c>
      <c r="S44" s="19" t="s">
        <v>248</v>
      </c>
      <c r="T44" s="19" t="s">
        <v>286</v>
      </c>
    </row>
    <row r="45" spans="1:20" x14ac:dyDescent="0.2">
      <c r="A45" s="1">
        <v>46000</v>
      </c>
      <c r="B45" s="2">
        <v>0.83333333333333337</v>
      </c>
      <c r="C45" s="19" t="s">
        <v>40</v>
      </c>
      <c r="D45" s="19" t="s">
        <v>39</v>
      </c>
      <c r="E45" s="19" t="s">
        <v>39</v>
      </c>
      <c r="F45">
        <v>4</v>
      </c>
      <c r="G45">
        <v>5</v>
      </c>
      <c r="H45">
        <v>0.66220000000000001</v>
      </c>
      <c r="I45" s="19" t="s">
        <v>249</v>
      </c>
      <c r="J45" s="19" t="s">
        <v>39</v>
      </c>
      <c r="K45">
        <v>3</v>
      </c>
      <c r="L45">
        <v>2</v>
      </c>
      <c r="M45">
        <v>-0.87</v>
      </c>
      <c r="N45" s="19" t="s">
        <v>39</v>
      </c>
      <c r="O45" s="19" t="s">
        <v>291</v>
      </c>
      <c r="P45" s="19" t="s">
        <v>289</v>
      </c>
      <c r="Q45" s="19" t="s">
        <v>285</v>
      </c>
      <c r="R45" s="19" t="s">
        <v>248</v>
      </c>
      <c r="S45" s="19" t="s">
        <v>248</v>
      </c>
      <c r="T45" s="19" t="s">
        <v>286</v>
      </c>
    </row>
    <row r="46" spans="1:20" x14ac:dyDescent="0.2">
      <c r="A46" s="1">
        <v>46000</v>
      </c>
      <c r="B46" s="2">
        <v>0.79166666666666663</v>
      </c>
      <c r="C46" s="19" t="s">
        <v>30</v>
      </c>
      <c r="D46" s="19" t="s">
        <v>20</v>
      </c>
      <c r="E46" s="19" t="s">
        <v>20</v>
      </c>
      <c r="F46">
        <v>2</v>
      </c>
      <c r="G46">
        <v>3</v>
      </c>
      <c r="H46">
        <v>0.55740000000000001</v>
      </c>
      <c r="I46" s="19" t="s">
        <v>248</v>
      </c>
      <c r="J46" s="19" t="s">
        <v>30</v>
      </c>
      <c r="K46">
        <v>3</v>
      </c>
      <c r="L46">
        <v>2</v>
      </c>
      <c r="M46">
        <v>0.15</v>
      </c>
      <c r="N46" s="19" t="s">
        <v>30</v>
      </c>
      <c r="O46" s="19" t="s">
        <v>283</v>
      </c>
      <c r="P46" s="19" t="s">
        <v>289</v>
      </c>
      <c r="Q46" s="19" t="s">
        <v>287</v>
      </c>
      <c r="R46" s="19" t="s">
        <v>249</v>
      </c>
      <c r="S46" s="19" t="s">
        <v>248</v>
      </c>
      <c r="T46" s="19" t="s">
        <v>286</v>
      </c>
    </row>
    <row r="47" spans="1:20" x14ac:dyDescent="0.2">
      <c r="A47" s="1">
        <v>46000</v>
      </c>
      <c r="B47" s="2">
        <v>0.875</v>
      </c>
      <c r="C47" s="19" t="s">
        <v>17</v>
      </c>
      <c r="D47" s="19" t="s">
        <v>23</v>
      </c>
      <c r="E47" s="19" t="s">
        <v>17</v>
      </c>
      <c r="F47">
        <v>5</v>
      </c>
      <c r="G47">
        <v>4</v>
      </c>
      <c r="H47">
        <v>0.64319999999999999</v>
      </c>
      <c r="I47" s="19" t="s">
        <v>248</v>
      </c>
      <c r="J47" s="19" t="s">
        <v>17</v>
      </c>
      <c r="K47">
        <v>3</v>
      </c>
      <c r="L47">
        <v>2</v>
      </c>
      <c r="M47">
        <v>0.31</v>
      </c>
      <c r="N47" s="19" t="s">
        <v>23</v>
      </c>
      <c r="O47" s="19" t="s">
        <v>291</v>
      </c>
      <c r="P47" s="19" t="s">
        <v>289</v>
      </c>
      <c r="Q47" s="19" t="s">
        <v>287</v>
      </c>
      <c r="R47" s="19" t="s">
        <v>249</v>
      </c>
      <c r="S47" s="19" t="s">
        <v>249</v>
      </c>
      <c r="T47" s="19" t="s">
        <v>286</v>
      </c>
    </row>
    <row r="48" spans="1:20" x14ac:dyDescent="0.2">
      <c r="A48" s="1">
        <v>46000</v>
      </c>
      <c r="B48" s="2">
        <v>0.89583333333333337</v>
      </c>
      <c r="C48" s="19" t="s">
        <v>29</v>
      </c>
      <c r="D48" s="19" t="s">
        <v>12</v>
      </c>
      <c r="E48" s="19" t="s">
        <v>12</v>
      </c>
      <c r="F48">
        <v>1</v>
      </c>
      <c r="G48">
        <v>3</v>
      </c>
      <c r="H48">
        <v>0.93230000000000002</v>
      </c>
      <c r="I48" s="19" t="s">
        <v>249</v>
      </c>
      <c r="J48" s="19" t="s">
        <v>12</v>
      </c>
      <c r="K48">
        <v>3</v>
      </c>
      <c r="L48">
        <v>2</v>
      </c>
      <c r="M48">
        <v>-2.48</v>
      </c>
      <c r="N48" s="19" t="s">
        <v>29</v>
      </c>
      <c r="O48" s="19" t="s">
        <v>289</v>
      </c>
      <c r="P48" s="19" t="s">
        <v>291</v>
      </c>
      <c r="Q48" s="19" t="s">
        <v>287</v>
      </c>
      <c r="R48" s="19" t="s">
        <v>249</v>
      </c>
      <c r="S48" s="19" t="s">
        <v>249</v>
      </c>
      <c r="T48" s="19" t="s">
        <v>286</v>
      </c>
    </row>
    <row r="49" spans="1:20" x14ac:dyDescent="0.2">
      <c r="A49" s="1">
        <v>46000</v>
      </c>
      <c r="B49" s="2">
        <v>0.79166666666666663</v>
      </c>
      <c r="C49" s="19" t="s">
        <v>27</v>
      </c>
      <c r="D49" s="19" t="s">
        <v>33</v>
      </c>
      <c r="E49" s="19" t="s">
        <v>27</v>
      </c>
      <c r="F49">
        <v>4</v>
      </c>
      <c r="G49">
        <v>3</v>
      </c>
      <c r="H49">
        <v>0.60860000000000003</v>
      </c>
      <c r="I49" s="19" t="s">
        <v>249</v>
      </c>
      <c r="J49" s="19" t="s">
        <v>27</v>
      </c>
      <c r="K49">
        <v>3</v>
      </c>
      <c r="L49">
        <v>2</v>
      </c>
      <c r="M49">
        <v>0.41</v>
      </c>
      <c r="N49" s="19" t="s">
        <v>27</v>
      </c>
      <c r="O49" s="19" t="s">
        <v>289</v>
      </c>
      <c r="P49" s="19" t="s">
        <v>287</v>
      </c>
      <c r="Q49" s="19" t="s">
        <v>285</v>
      </c>
      <c r="R49" s="19" t="s">
        <v>248</v>
      </c>
      <c r="S49" s="19" t="s">
        <v>248</v>
      </c>
      <c r="T49" s="19" t="s">
        <v>286</v>
      </c>
    </row>
    <row r="50" spans="1:20" x14ac:dyDescent="0.2">
      <c r="A50" s="1">
        <v>46000</v>
      </c>
      <c r="B50" s="2">
        <v>0.79166666666666663</v>
      </c>
      <c r="C50" s="19" t="s">
        <v>36</v>
      </c>
      <c r="D50" s="19" t="s">
        <v>24</v>
      </c>
      <c r="E50" s="19" t="s">
        <v>24</v>
      </c>
      <c r="F50">
        <v>3</v>
      </c>
      <c r="G50">
        <v>4</v>
      </c>
      <c r="H50">
        <v>0.59130000000000005</v>
      </c>
      <c r="I50" s="19" t="s">
        <v>249</v>
      </c>
      <c r="J50" s="19" t="s">
        <v>24</v>
      </c>
      <c r="K50">
        <v>3</v>
      </c>
      <c r="L50">
        <v>2</v>
      </c>
      <c r="M50">
        <v>-0.11</v>
      </c>
      <c r="N50" s="19" t="s">
        <v>24</v>
      </c>
      <c r="O50" s="19" t="s">
        <v>291</v>
      </c>
      <c r="P50" s="19" t="s">
        <v>289</v>
      </c>
      <c r="Q50" s="19" t="s">
        <v>285</v>
      </c>
      <c r="R50" s="19" t="s">
        <v>248</v>
      </c>
      <c r="S50" s="19" t="s">
        <v>248</v>
      </c>
      <c r="T50" s="19" t="s">
        <v>286</v>
      </c>
    </row>
    <row r="51" spans="1:20" x14ac:dyDescent="0.2">
      <c r="A51" s="1">
        <v>46000</v>
      </c>
      <c r="B51" s="2">
        <v>0.79166666666666663</v>
      </c>
      <c r="C51" s="19" t="s">
        <v>18</v>
      </c>
      <c r="D51" s="19" t="s">
        <v>37</v>
      </c>
      <c r="E51" s="19" t="s">
        <v>37</v>
      </c>
      <c r="F51">
        <v>3</v>
      </c>
      <c r="G51">
        <v>4</v>
      </c>
      <c r="H51">
        <v>0.62790000000000001</v>
      </c>
      <c r="I51" s="19" t="s">
        <v>249</v>
      </c>
      <c r="J51" s="19" t="s">
        <v>37</v>
      </c>
      <c r="K51">
        <v>3</v>
      </c>
      <c r="L51">
        <v>2</v>
      </c>
      <c r="M51">
        <v>-0.82</v>
      </c>
      <c r="N51" s="19" t="s">
        <v>37</v>
      </c>
      <c r="O51" s="19" t="s">
        <v>287</v>
      </c>
      <c r="P51" s="19" t="s">
        <v>288</v>
      </c>
      <c r="Q51" s="19" t="s">
        <v>285</v>
      </c>
      <c r="R51" s="19" t="s">
        <v>248</v>
      </c>
      <c r="S51" s="19" t="s">
        <v>248</v>
      </c>
      <c r="T51" s="19" t="s">
        <v>286</v>
      </c>
    </row>
    <row r="52" spans="1:20" x14ac:dyDescent="0.2">
      <c r="A52" s="1">
        <v>46001</v>
      </c>
      <c r="B52" s="2">
        <v>0.8125</v>
      </c>
      <c r="C52" s="19" t="s">
        <v>10</v>
      </c>
      <c r="D52" s="19" t="s">
        <v>15</v>
      </c>
      <c r="E52" s="19" t="s">
        <v>15</v>
      </c>
      <c r="F52">
        <v>1</v>
      </c>
      <c r="G52">
        <v>3</v>
      </c>
      <c r="H52">
        <v>0.68720000000000003</v>
      </c>
      <c r="I52" s="19" t="s">
        <v>249</v>
      </c>
      <c r="J52" s="19" t="s">
        <v>15</v>
      </c>
      <c r="K52">
        <v>3</v>
      </c>
      <c r="L52">
        <v>2</v>
      </c>
      <c r="M52">
        <v>-0.34</v>
      </c>
      <c r="N52" s="19" t="s">
        <v>10</v>
      </c>
      <c r="O52" s="19" t="s">
        <v>291</v>
      </c>
      <c r="P52" s="19" t="s">
        <v>285</v>
      </c>
      <c r="Q52" s="19" t="s">
        <v>285</v>
      </c>
      <c r="R52" s="19" t="s">
        <v>249</v>
      </c>
      <c r="S52" s="19" t="s">
        <v>249</v>
      </c>
      <c r="T52" s="19" t="s">
        <v>286</v>
      </c>
    </row>
    <row r="53" spans="1:20" x14ac:dyDescent="0.2">
      <c r="A53" s="1">
        <v>46001</v>
      </c>
      <c r="B53" s="2">
        <v>0.875</v>
      </c>
      <c r="C53" s="19" t="s">
        <v>55</v>
      </c>
      <c r="D53" s="19" t="s">
        <v>11</v>
      </c>
      <c r="E53" s="19" t="s">
        <v>55</v>
      </c>
      <c r="F53">
        <v>3</v>
      </c>
      <c r="G53">
        <v>1</v>
      </c>
      <c r="H53">
        <v>0.69720000000000004</v>
      </c>
      <c r="I53" s="19" t="s">
        <v>249</v>
      </c>
      <c r="J53" s="19" t="s">
        <v>55</v>
      </c>
      <c r="K53">
        <v>3</v>
      </c>
      <c r="L53">
        <v>2</v>
      </c>
      <c r="M53">
        <v>0.23</v>
      </c>
      <c r="N53" s="19" t="s">
        <v>11</v>
      </c>
      <c r="O53" s="19" t="s">
        <v>291</v>
      </c>
      <c r="P53" s="19" t="s">
        <v>289</v>
      </c>
      <c r="Q53" s="19" t="s">
        <v>285</v>
      </c>
      <c r="R53" s="19" t="s">
        <v>249</v>
      </c>
      <c r="S53" s="19" t="s">
        <v>249</v>
      </c>
      <c r="T53" s="19" t="s">
        <v>286</v>
      </c>
    </row>
    <row r="54" spans="1:20" x14ac:dyDescent="0.2">
      <c r="A54" s="1">
        <v>46001</v>
      </c>
      <c r="B54" s="2">
        <v>0.85416666666666663</v>
      </c>
      <c r="C54" s="19" t="s">
        <v>16</v>
      </c>
      <c r="D54" s="19" t="s">
        <v>26</v>
      </c>
      <c r="E54" s="19" t="s">
        <v>26</v>
      </c>
      <c r="F54">
        <v>3</v>
      </c>
      <c r="G54">
        <v>4</v>
      </c>
      <c r="H54">
        <v>0.5837</v>
      </c>
      <c r="I54" s="19" t="s">
        <v>249</v>
      </c>
      <c r="J54" s="19" t="s">
        <v>26</v>
      </c>
      <c r="K54">
        <v>3</v>
      </c>
      <c r="L54">
        <v>2</v>
      </c>
      <c r="M54">
        <v>-0.15</v>
      </c>
      <c r="N54" s="19" t="s">
        <v>26</v>
      </c>
      <c r="O54" s="19" t="s">
        <v>291</v>
      </c>
      <c r="P54" s="19" t="s">
        <v>289</v>
      </c>
      <c r="Q54" s="19" t="s">
        <v>285</v>
      </c>
      <c r="R54" s="19" t="s">
        <v>248</v>
      </c>
      <c r="S54" s="19" t="s">
        <v>248</v>
      </c>
      <c r="T54" s="19" t="s">
        <v>286</v>
      </c>
    </row>
    <row r="55" spans="1:20" x14ac:dyDescent="0.2">
      <c r="A55" s="1">
        <v>46001</v>
      </c>
      <c r="B55" s="2">
        <v>0.91666666666666663</v>
      </c>
      <c r="C55" s="19" t="s">
        <v>32</v>
      </c>
      <c r="D55" s="19" t="s">
        <v>13</v>
      </c>
      <c r="E55" s="19" t="s">
        <v>13</v>
      </c>
      <c r="F55">
        <v>2</v>
      </c>
      <c r="G55">
        <v>3</v>
      </c>
      <c r="H55">
        <v>0.75129999999999997</v>
      </c>
      <c r="I55" s="19" t="s">
        <v>248</v>
      </c>
      <c r="J55" s="19" t="s">
        <v>13</v>
      </c>
      <c r="K55">
        <v>3</v>
      </c>
      <c r="L55">
        <v>2</v>
      </c>
      <c r="M55">
        <v>-0.71</v>
      </c>
      <c r="N55" s="19" t="s">
        <v>32</v>
      </c>
      <c r="O55" s="19" t="s">
        <v>291</v>
      </c>
      <c r="P55" s="19" t="s">
        <v>284</v>
      </c>
      <c r="Q55" s="19" t="s">
        <v>287</v>
      </c>
      <c r="R55" s="19" t="s">
        <v>249</v>
      </c>
      <c r="S55" s="19" t="s">
        <v>249</v>
      </c>
      <c r="T55" s="19" t="s">
        <v>286</v>
      </c>
    </row>
    <row r="56" spans="1:20" x14ac:dyDescent="0.2">
      <c r="A56" s="1">
        <v>46002</v>
      </c>
      <c r="B56" s="2">
        <v>0.83333333333333337</v>
      </c>
      <c r="C56" s="19" t="s">
        <v>34</v>
      </c>
      <c r="D56" s="19" t="s">
        <v>39</v>
      </c>
      <c r="E56" s="19" t="s">
        <v>34</v>
      </c>
      <c r="F56">
        <v>3</v>
      </c>
      <c r="G56">
        <v>2</v>
      </c>
      <c r="H56">
        <v>0.73089999999999999</v>
      </c>
      <c r="I56" s="19" t="s">
        <v>248</v>
      </c>
      <c r="J56" s="19" t="s">
        <v>39</v>
      </c>
      <c r="K56">
        <v>3</v>
      </c>
      <c r="L56">
        <v>2</v>
      </c>
      <c r="M56">
        <v>-0.66</v>
      </c>
      <c r="N56" s="19" t="s">
        <v>34</v>
      </c>
      <c r="O56" s="19" t="s">
        <v>283</v>
      </c>
      <c r="P56" s="19" t="s">
        <v>284</v>
      </c>
      <c r="Q56" s="19" t="s">
        <v>285</v>
      </c>
      <c r="R56" s="19" t="s">
        <v>248</v>
      </c>
      <c r="S56" s="19" t="s">
        <v>249</v>
      </c>
      <c r="T56" s="19" t="s">
        <v>286</v>
      </c>
    </row>
    <row r="57" spans="1:20" x14ac:dyDescent="0.2">
      <c r="A57" s="1">
        <v>46002</v>
      </c>
      <c r="B57" s="2">
        <v>0.79166666666666663</v>
      </c>
      <c r="C57" s="19" t="s">
        <v>27</v>
      </c>
      <c r="D57" s="19" t="s">
        <v>20</v>
      </c>
      <c r="E57" s="19" t="s">
        <v>27</v>
      </c>
      <c r="F57">
        <v>4</v>
      </c>
      <c r="G57">
        <v>3</v>
      </c>
      <c r="H57">
        <v>0.58589999999999998</v>
      </c>
      <c r="I57" s="19" t="s">
        <v>249</v>
      </c>
      <c r="J57" s="19" t="s">
        <v>27</v>
      </c>
      <c r="K57">
        <v>3</v>
      </c>
      <c r="L57">
        <v>2</v>
      </c>
      <c r="M57">
        <v>0.05</v>
      </c>
      <c r="N57" s="19" t="s">
        <v>20</v>
      </c>
      <c r="O57" s="19" t="s">
        <v>284</v>
      </c>
      <c r="P57" s="19" t="s">
        <v>291</v>
      </c>
      <c r="Q57" s="19" t="s">
        <v>287</v>
      </c>
      <c r="R57" s="19" t="s">
        <v>249</v>
      </c>
      <c r="S57" s="19" t="s">
        <v>249</v>
      </c>
      <c r="T57" s="19" t="s">
        <v>286</v>
      </c>
    </row>
    <row r="58" spans="1:20" x14ac:dyDescent="0.2">
      <c r="A58" s="1">
        <v>46002</v>
      </c>
      <c r="B58" s="2">
        <v>0.91666666666666663</v>
      </c>
      <c r="C58" s="19" t="s">
        <v>38</v>
      </c>
      <c r="D58" s="19" t="s">
        <v>23</v>
      </c>
      <c r="E58" s="19" t="s">
        <v>23</v>
      </c>
      <c r="F58">
        <v>3</v>
      </c>
      <c r="G58">
        <v>4</v>
      </c>
      <c r="H58">
        <v>0.61160000000000003</v>
      </c>
      <c r="I58" s="19" t="s">
        <v>249</v>
      </c>
      <c r="J58" s="19" t="s">
        <v>23</v>
      </c>
      <c r="K58">
        <v>3</v>
      </c>
      <c r="L58">
        <v>2</v>
      </c>
      <c r="M58">
        <v>-0.23</v>
      </c>
      <c r="N58" s="19" t="s">
        <v>23</v>
      </c>
      <c r="O58" s="19" t="s">
        <v>284</v>
      </c>
      <c r="P58" s="19" t="s">
        <v>291</v>
      </c>
      <c r="Q58" s="19" t="s">
        <v>285</v>
      </c>
      <c r="R58" s="19" t="s">
        <v>248</v>
      </c>
      <c r="S58" s="19" t="s">
        <v>248</v>
      </c>
      <c r="T58" s="19" t="s">
        <v>286</v>
      </c>
    </row>
    <row r="59" spans="1:20" x14ac:dyDescent="0.2">
      <c r="A59" s="1">
        <v>46002</v>
      </c>
      <c r="B59" s="2">
        <v>0.79166666666666663</v>
      </c>
      <c r="C59" s="19" t="s">
        <v>19</v>
      </c>
      <c r="D59" s="19" t="s">
        <v>33</v>
      </c>
      <c r="E59" s="19" t="s">
        <v>19</v>
      </c>
      <c r="F59">
        <v>5</v>
      </c>
      <c r="G59">
        <v>4</v>
      </c>
      <c r="H59">
        <v>0.66810000000000003</v>
      </c>
      <c r="I59" s="19" t="s">
        <v>249</v>
      </c>
      <c r="J59" s="19" t="s">
        <v>19</v>
      </c>
      <c r="K59">
        <v>3</v>
      </c>
      <c r="L59">
        <v>2</v>
      </c>
      <c r="M59">
        <v>0.46</v>
      </c>
      <c r="N59" s="19" t="s">
        <v>33</v>
      </c>
      <c r="O59" s="19" t="s">
        <v>284</v>
      </c>
      <c r="P59" s="19" t="s">
        <v>291</v>
      </c>
      <c r="Q59" s="19" t="s">
        <v>287</v>
      </c>
      <c r="R59" s="19" t="s">
        <v>249</v>
      </c>
      <c r="S59" s="19" t="s">
        <v>249</v>
      </c>
      <c r="T59" s="19" t="s">
        <v>286</v>
      </c>
    </row>
    <row r="60" spans="1:20" x14ac:dyDescent="0.2">
      <c r="A60" s="1">
        <v>46002</v>
      </c>
      <c r="B60" s="2">
        <v>0.875</v>
      </c>
      <c r="C60" s="19" t="s">
        <v>12</v>
      </c>
      <c r="D60" s="19" t="s">
        <v>11</v>
      </c>
      <c r="E60" s="19" t="s">
        <v>12</v>
      </c>
      <c r="F60">
        <v>4</v>
      </c>
      <c r="G60">
        <v>1</v>
      </c>
      <c r="H60">
        <v>0.94750000000000001</v>
      </c>
      <c r="I60" s="19" t="s">
        <v>249</v>
      </c>
      <c r="J60" s="19" t="s">
        <v>12</v>
      </c>
      <c r="K60">
        <v>3</v>
      </c>
      <c r="L60">
        <v>2</v>
      </c>
      <c r="M60">
        <v>1.69</v>
      </c>
      <c r="N60" s="19" t="s">
        <v>12</v>
      </c>
      <c r="O60" s="19" t="s">
        <v>288</v>
      </c>
      <c r="P60" s="19" t="s">
        <v>284</v>
      </c>
      <c r="Q60" s="19" t="s">
        <v>285</v>
      </c>
      <c r="R60" s="19" t="s">
        <v>248</v>
      </c>
      <c r="S60" s="19" t="s">
        <v>248</v>
      </c>
      <c r="T60" s="19" t="s">
        <v>286</v>
      </c>
    </row>
    <row r="61" spans="1:20" x14ac:dyDescent="0.2">
      <c r="A61" s="1">
        <v>46002</v>
      </c>
      <c r="B61" s="2">
        <v>0.875</v>
      </c>
      <c r="C61" s="19" t="s">
        <v>17</v>
      </c>
      <c r="D61" s="19" t="s">
        <v>26</v>
      </c>
      <c r="E61" s="19" t="s">
        <v>26</v>
      </c>
      <c r="F61">
        <v>3</v>
      </c>
      <c r="G61">
        <v>4</v>
      </c>
      <c r="H61">
        <v>0.69140000000000001</v>
      </c>
      <c r="I61" s="19" t="s">
        <v>249</v>
      </c>
      <c r="J61" s="19" t="s">
        <v>17</v>
      </c>
      <c r="K61">
        <v>3</v>
      </c>
      <c r="L61">
        <v>2</v>
      </c>
      <c r="M61">
        <v>0.14000000000000001</v>
      </c>
      <c r="N61" s="19" t="s">
        <v>17</v>
      </c>
      <c r="O61" s="19" t="s">
        <v>289</v>
      </c>
      <c r="P61" s="19" t="s">
        <v>287</v>
      </c>
      <c r="Q61" s="19" t="s">
        <v>285</v>
      </c>
      <c r="R61" s="19" t="s">
        <v>249</v>
      </c>
      <c r="S61" s="19" t="s">
        <v>248</v>
      </c>
      <c r="T61" s="19" t="s">
        <v>286</v>
      </c>
    </row>
    <row r="62" spans="1:20" x14ac:dyDescent="0.2">
      <c r="A62" s="1">
        <v>46002</v>
      </c>
      <c r="B62" s="2">
        <v>0.79166666666666663</v>
      </c>
      <c r="C62" s="19" t="s">
        <v>14</v>
      </c>
      <c r="D62" s="19" t="s">
        <v>18</v>
      </c>
      <c r="E62" s="19" t="s">
        <v>18</v>
      </c>
      <c r="F62">
        <v>3</v>
      </c>
      <c r="G62">
        <v>4</v>
      </c>
      <c r="H62">
        <v>0.73029999999999995</v>
      </c>
      <c r="I62" s="19" t="s">
        <v>249</v>
      </c>
      <c r="J62" s="19" t="s">
        <v>14</v>
      </c>
      <c r="K62">
        <v>3</v>
      </c>
      <c r="L62">
        <v>2</v>
      </c>
      <c r="M62">
        <v>0.77</v>
      </c>
      <c r="N62" s="19" t="s">
        <v>18</v>
      </c>
      <c r="O62" s="19" t="s">
        <v>284</v>
      </c>
      <c r="P62" s="19" t="s">
        <v>289</v>
      </c>
      <c r="Q62" s="19" t="s">
        <v>285</v>
      </c>
      <c r="R62" s="19" t="s">
        <v>248</v>
      </c>
      <c r="S62" s="19" t="s">
        <v>249</v>
      </c>
      <c r="T62" s="19" t="s">
        <v>286</v>
      </c>
    </row>
    <row r="63" spans="1:20" x14ac:dyDescent="0.2">
      <c r="A63" s="1">
        <v>46002</v>
      </c>
      <c r="B63" s="2">
        <v>0.79166666666666663</v>
      </c>
      <c r="C63" s="19" t="s">
        <v>22</v>
      </c>
      <c r="D63" s="19" t="s">
        <v>25</v>
      </c>
      <c r="E63" s="19" t="s">
        <v>25</v>
      </c>
      <c r="F63">
        <v>3</v>
      </c>
      <c r="G63">
        <v>4</v>
      </c>
      <c r="H63">
        <v>0.52529999999999999</v>
      </c>
      <c r="I63" s="19" t="s">
        <v>249</v>
      </c>
      <c r="J63" s="19" t="s">
        <v>22</v>
      </c>
      <c r="K63">
        <v>3</v>
      </c>
      <c r="L63">
        <v>2</v>
      </c>
      <c r="M63">
        <v>0.48</v>
      </c>
      <c r="N63" s="19" t="s">
        <v>25</v>
      </c>
      <c r="O63" s="19" t="s">
        <v>284</v>
      </c>
      <c r="P63" s="19" t="s">
        <v>291</v>
      </c>
      <c r="Q63" s="19" t="s">
        <v>287</v>
      </c>
      <c r="R63" s="19" t="s">
        <v>248</v>
      </c>
      <c r="S63" s="19" t="s">
        <v>249</v>
      </c>
      <c r="T63" s="19" t="s">
        <v>286</v>
      </c>
    </row>
    <row r="64" spans="1:20" x14ac:dyDescent="0.2">
      <c r="A64" s="1">
        <v>46002</v>
      </c>
      <c r="B64" s="2">
        <v>0.79166666666666663</v>
      </c>
      <c r="C64" s="19" t="s">
        <v>30</v>
      </c>
      <c r="D64" s="19" t="s">
        <v>31</v>
      </c>
      <c r="E64" s="19" t="s">
        <v>30</v>
      </c>
      <c r="F64">
        <v>6</v>
      </c>
      <c r="G64">
        <v>3</v>
      </c>
      <c r="H64">
        <v>0.52490000000000003</v>
      </c>
      <c r="I64" s="19" t="s">
        <v>249</v>
      </c>
      <c r="J64" s="19" t="s">
        <v>31</v>
      </c>
      <c r="K64">
        <v>3</v>
      </c>
      <c r="L64">
        <v>2</v>
      </c>
      <c r="M64">
        <v>-7.0000000000000007E-2</v>
      </c>
      <c r="N64" s="19" t="s">
        <v>30</v>
      </c>
      <c r="O64" s="19" t="s">
        <v>283</v>
      </c>
      <c r="P64" s="19" t="s">
        <v>284</v>
      </c>
      <c r="Q64" s="19" t="s">
        <v>285</v>
      </c>
      <c r="R64" s="19" t="s">
        <v>248</v>
      </c>
      <c r="S64" s="19" t="s">
        <v>249</v>
      </c>
      <c r="T64" s="19" t="s">
        <v>286</v>
      </c>
    </row>
    <row r="65" spans="1:20" x14ac:dyDescent="0.2">
      <c r="A65" s="1">
        <v>46002</v>
      </c>
      <c r="B65" s="2">
        <v>0.79166666666666663</v>
      </c>
      <c r="C65" s="19" t="s">
        <v>24</v>
      </c>
      <c r="D65" s="19" t="s">
        <v>37</v>
      </c>
      <c r="E65" s="19" t="s">
        <v>37</v>
      </c>
      <c r="F65">
        <v>2</v>
      </c>
      <c r="G65">
        <v>3</v>
      </c>
      <c r="H65">
        <v>0.68110000000000004</v>
      </c>
      <c r="I65" s="19" t="s">
        <v>249</v>
      </c>
      <c r="J65" s="19" t="s">
        <v>37</v>
      </c>
      <c r="K65">
        <v>3</v>
      </c>
      <c r="L65">
        <v>2</v>
      </c>
      <c r="M65">
        <v>-0.61</v>
      </c>
      <c r="N65" s="19" t="s">
        <v>37</v>
      </c>
      <c r="O65" s="19" t="s">
        <v>289</v>
      </c>
      <c r="P65" s="19" t="s">
        <v>1494</v>
      </c>
      <c r="Q65" s="19" t="s">
        <v>285</v>
      </c>
      <c r="R65" s="19" t="s">
        <v>248</v>
      </c>
      <c r="S65" s="19" t="s">
        <v>248</v>
      </c>
      <c r="T65" s="19" t="s">
        <v>286</v>
      </c>
    </row>
    <row r="66" spans="1:20" x14ac:dyDescent="0.2">
      <c r="A66" s="1">
        <v>46002</v>
      </c>
      <c r="B66" s="2">
        <v>0.79166666666666663</v>
      </c>
      <c r="C66" s="19" t="s">
        <v>28</v>
      </c>
      <c r="D66" s="19" t="s">
        <v>36</v>
      </c>
      <c r="E66" s="19" t="s">
        <v>28</v>
      </c>
      <c r="F66">
        <v>4</v>
      </c>
      <c r="G66">
        <v>3</v>
      </c>
      <c r="H66">
        <v>0.55700000000000005</v>
      </c>
      <c r="I66" s="19" t="s">
        <v>249</v>
      </c>
      <c r="J66" s="19" t="s">
        <v>36</v>
      </c>
      <c r="K66">
        <v>3</v>
      </c>
      <c r="L66">
        <v>2</v>
      </c>
      <c r="M66">
        <v>-0.03</v>
      </c>
      <c r="N66" s="19" t="s">
        <v>36</v>
      </c>
      <c r="O66" s="19" t="s">
        <v>291</v>
      </c>
      <c r="P66" s="19" t="s">
        <v>288</v>
      </c>
      <c r="Q66" s="19" t="s">
        <v>285</v>
      </c>
      <c r="R66" s="19" t="s">
        <v>249</v>
      </c>
      <c r="S66" s="19" t="s">
        <v>248</v>
      </c>
      <c r="T66" s="19" t="s">
        <v>286</v>
      </c>
    </row>
    <row r="67" spans="1:20" x14ac:dyDescent="0.2">
      <c r="A67" s="1">
        <v>46002</v>
      </c>
      <c r="B67" s="2">
        <v>0.83333333333333337</v>
      </c>
      <c r="C67" s="19" t="s">
        <v>29</v>
      </c>
      <c r="D67" s="19" t="s">
        <v>35</v>
      </c>
      <c r="E67" s="19" t="s">
        <v>35</v>
      </c>
      <c r="F67">
        <v>2</v>
      </c>
      <c r="G67">
        <v>3</v>
      </c>
      <c r="H67">
        <v>0.59950000000000003</v>
      </c>
      <c r="I67" s="19" t="s">
        <v>249</v>
      </c>
      <c r="J67" s="19" t="s">
        <v>29</v>
      </c>
      <c r="K67">
        <v>3</v>
      </c>
      <c r="L67">
        <v>2</v>
      </c>
      <c r="M67">
        <v>0.34</v>
      </c>
      <c r="N67" s="19" t="s">
        <v>29</v>
      </c>
      <c r="O67" s="19" t="s">
        <v>292</v>
      </c>
      <c r="P67" s="19" t="s">
        <v>284</v>
      </c>
      <c r="Q67" s="19" t="s">
        <v>285</v>
      </c>
      <c r="R67" s="19" t="s">
        <v>249</v>
      </c>
      <c r="S67" s="19" t="s">
        <v>248</v>
      </c>
      <c r="T67" s="19" t="s">
        <v>286</v>
      </c>
    </row>
    <row r="68" spans="1:20" x14ac:dyDescent="0.2">
      <c r="A68" s="1">
        <v>46002</v>
      </c>
      <c r="B68" s="2">
        <v>0.83333333333333337</v>
      </c>
      <c r="C68" s="19" t="s">
        <v>40</v>
      </c>
      <c r="D68" s="19" t="s">
        <v>21</v>
      </c>
      <c r="E68" s="19" t="s">
        <v>40</v>
      </c>
      <c r="F68">
        <v>3</v>
      </c>
      <c r="G68">
        <v>2</v>
      </c>
      <c r="H68">
        <v>0.61360000000000003</v>
      </c>
      <c r="I68" s="19" t="s">
        <v>249</v>
      </c>
      <c r="J68" s="19" t="s">
        <v>21</v>
      </c>
      <c r="K68">
        <v>3</v>
      </c>
      <c r="L68">
        <v>2</v>
      </c>
      <c r="M68">
        <v>-0.28000000000000003</v>
      </c>
      <c r="N68" s="19" t="s">
        <v>21</v>
      </c>
      <c r="O68" s="19" t="s">
        <v>291</v>
      </c>
      <c r="P68" s="19" t="s">
        <v>288</v>
      </c>
      <c r="Q68" s="19" t="s">
        <v>285</v>
      </c>
      <c r="R68" s="19" t="s">
        <v>249</v>
      </c>
      <c r="S68" s="19" t="s">
        <v>248</v>
      </c>
      <c r="T68" s="19" t="s">
        <v>286</v>
      </c>
    </row>
    <row r="69" spans="1:20" x14ac:dyDescent="0.2">
      <c r="A69" s="1">
        <v>46003</v>
      </c>
      <c r="B69" s="2">
        <v>0.875</v>
      </c>
      <c r="C69" s="19" t="s">
        <v>55</v>
      </c>
      <c r="D69" s="19" t="s">
        <v>32</v>
      </c>
      <c r="E69" s="19" t="s">
        <v>55</v>
      </c>
      <c r="F69">
        <v>4</v>
      </c>
      <c r="G69">
        <v>3</v>
      </c>
      <c r="H69">
        <v>0.70609999999999995</v>
      </c>
      <c r="I69" s="19" t="s">
        <v>249</v>
      </c>
      <c r="J69" s="19" t="s">
        <v>55</v>
      </c>
      <c r="K69">
        <v>3</v>
      </c>
      <c r="L69">
        <v>2</v>
      </c>
      <c r="M69">
        <v>0.71</v>
      </c>
      <c r="N69" s="19" t="s">
        <v>55</v>
      </c>
      <c r="O69" s="19" t="s">
        <v>283</v>
      </c>
      <c r="P69" s="19" t="s">
        <v>291</v>
      </c>
      <c r="Q69" s="19" t="s">
        <v>285</v>
      </c>
      <c r="R69" s="19" t="s">
        <v>248</v>
      </c>
      <c r="S69" s="19" t="s">
        <v>248</v>
      </c>
      <c r="T69" s="19" t="s">
        <v>286</v>
      </c>
    </row>
    <row r="70" spans="1:20" x14ac:dyDescent="0.2">
      <c r="A70" s="1">
        <v>46003</v>
      </c>
      <c r="B70" s="2">
        <v>0.83333333333333337</v>
      </c>
      <c r="C70" s="19" t="s">
        <v>35</v>
      </c>
      <c r="D70" s="19" t="s">
        <v>10</v>
      </c>
      <c r="E70" s="19" t="s">
        <v>10</v>
      </c>
      <c r="F70">
        <v>3</v>
      </c>
      <c r="G70">
        <v>6</v>
      </c>
      <c r="H70">
        <v>0.84450000000000003</v>
      </c>
      <c r="I70" s="19" t="s">
        <v>249</v>
      </c>
      <c r="J70" s="19" t="s">
        <v>10</v>
      </c>
      <c r="K70">
        <v>3</v>
      </c>
      <c r="L70">
        <v>2</v>
      </c>
      <c r="M70">
        <v>-0.93</v>
      </c>
      <c r="N70" s="19" t="s">
        <v>35</v>
      </c>
      <c r="O70" s="19" t="s">
        <v>291</v>
      </c>
      <c r="P70" s="19" t="s">
        <v>284</v>
      </c>
      <c r="Q70" s="19" t="s">
        <v>285</v>
      </c>
      <c r="R70" s="19" t="s">
        <v>249</v>
      </c>
      <c r="S70" s="19" t="s">
        <v>249</v>
      </c>
      <c r="T70" s="19" t="s">
        <v>286</v>
      </c>
    </row>
    <row r="71" spans="1:20" x14ac:dyDescent="0.2">
      <c r="A71" s="1">
        <v>46004</v>
      </c>
      <c r="B71" s="2">
        <v>0.79166666666666663</v>
      </c>
      <c r="C71" s="19" t="s">
        <v>27</v>
      </c>
      <c r="D71" s="19" t="s">
        <v>25</v>
      </c>
      <c r="E71" s="19" t="s">
        <v>25</v>
      </c>
      <c r="F71">
        <v>2</v>
      </c>
      <c r="G71">
        <v>3</v>
      </c>
      <c r="H71">
        <v>0.73609999999999998</v>
      </c>
      <c r="I71" s="19" t="s">
        <v>249</v>
      </c>
      <c r="J71" s="19" t="s">
        <v>25</v>
      </c>
      <c r="K71">
        <v>3</v>
      </c>
      <c r="L71">
        <v>2</v>
      </c>
      <c r="M71">
        <v>-0.39</v>
      </c>
      <c r="N71" s="19" t="s">
        <v>25</v>
      </c>
      <c r="O71" s="19" t="s">
        <v>291</v>
      </c>
      <c r="P71" s="19" t="s">
        <v>289</v>
      </c>
      <c r="Q71" s="19" t="s">
        <v>287</v>
      </c>
      <c r="R71" s="19" t="s">
        <v>248</v>
      </c>
      <c r="S71" s="19" t="s">
        <v>248</v>
      </c>
      <c r="T71" s="19" t="s">
        <v>286</v>
      </c>
    </row>
    <row r="72" spans="1:20" x14ac:dyDescent="0.2">
      <c r="A72" s="1">
        <v>46004</v>
      </c>
      <c r="B72" s="2">
        <v>0.83333333333333337</v>
      </c>
      <c r="C72" s="19" t="s">
        <v>39</v>
      </c>
      <c r="D72" s="19" t="s">
        <v>11</v>
      </c>
      <c r="E72" s="19" t="s">
        <v>39</v>
      </c>
      <c r="F72">
        <v>4</v>
      </c>
      <c r="G72">
        <v>3</v>
      </c>
      <c r="H72">
        <v>0.54620000000000002</v>
      </c>
      <c r="I72" s="19" t="s">
        <v>249</v>
      </c>
      <c r="J72" s="19" t="s">
        <v>39</v>
      </c>
      <c r="K72">
        <v>3</v>
      </c>
      <c r="L72">
        <v>2</v>
      </c>
      <c r="M72">
        <v>0.95</v>
      </c>
      <c r="N72" s="19" t="s">
        <v>11</v>
      </c>
      <c r="O72" s="19" t="s">
        <v>285</v>
      </c>
      <c r="P72" s="19" t="s">
        <v>289</v>
      </c>
      <c r="Q72" s="19" t="s">
        <v>285</v>
      </c>
      <c r="R72" s="19" t="s">
        <v>249</v>
      </c>
      <c r="S72" s="19" t="s">
        <v>249</v>
      </c>
      <c r="T72" s="19" t="s">
        <v>286</v>
      </c>
    </row>
    <row r="73" spans="1:20" x14ac:dyDescent="0.2">
      <c r="A73" s="1">
        <v>46004</v>
      </c>
      <c r="B73" s="2">
        <v>0.875</v>
      </c>
      <c r="C73" s="19" t="s">
        <v>12</v>
      </c>
      <c r="D73" s="19" t="s">
        <v>29</v>
      </c>
      <c r="E73" s="19" t="s">
        <v>12</v>
      </c>
      <c r="F73">
        <v>6</v>
      </c>
      <c r="G73">
        <v>2</v>
      </c>
      <c r="H73">
        <v>0.91220000000000001</v>
      </c>
      <c r="I73" s="19" t="s">
        <v>249</v>
      </c>
      <c r="J73" s="19" t="s">
        <v>12</v>
      </c>
      <c r="K73">
        <v>3</v>
      </c>
      <c r="L73">
        <v>2</v>
      </c>
      <c r="M73">
        <v>2.38</v>
      </c>
      <c r="N73" s="19" t="s">
        <v>12</v>
      </c>
      <c r="O73" s="19" t="s">
        <v>289</v>
      </c>
      <c r="P73" s="19" t="s">
        <v>284</v>
      </c>
      <c r="Q73" s="19" t="s">
        <v>285</v>
      </c>
      <c r="R73" s="19" t="s">
        <v>248</v>
      </c>
      <c r="S73" s="19" t="s">
        <v>248</v>
      </c>
      <c r="T73" s="19" t="s">
        <v>286</v>
      </c>
    </row>
    <row r="74" spans="1:20" x14ac:dyDescent="0.2">
      <c r="A74" s="1">
        <v>46004</v>
      </c>
      <c r="B74" s="2">
        <v>0.79166666666666663</v>
      </c>
      <c r="C74" s="19" t="s">
        <v>15</v>
      </c>
      <c r="D74" s="19" t="s">
        <v>18</v>
      </c>
      <c r="E74" s="19" t="s">
        <v>18</v>
      </c>
      <c r="F74">
        <v>1</v>
      </c>
      <c r="G74">
        <v>3</v>
      </c>
      <c r="H74">
        <v>0.72430000000000005</v>
      </c>
      <c r="I74" s="19" t="s">
        <v>249</v>
      </c>
      <c r="J74" s="19" t="s">
        <v>15</v>
      </c>
      <c r="K74">
        <v>3</v>
      </c>
      <c r="L74">
        <v>2</v>
      </c>
      <c r="M74">
        <v>0.53</v>
      </c>
      <c r="N74" s="19" t="s">
        <v>15</v>
      </c>
      <c r="O74" s="19" t="s">
        <v>283</v>
      </c>
      <c r="P74" s="19" t="s">
        <v>289</v>
      </c>
      <c r="Q74" s="19" t="s">
        <v>287</v>
      </c>
      <c r="R74" s="19" t="s">
        <v>249</v>
      </c>
      <c r="S74" s="19" t="s">
        <v>248</v>
      </c>
      <c r="T74" s="19" t="s">
        <v>286</v>
      </c>
    </row>
    <row r="75" spans="1:20" x14ac:dyDescent="0.2">
      <c r="A75" s="1">
        <v>46004</v>
      </c>
      <c r="B75" s="2">
        <v>0.52083333333333337</v>
      </c>
      <c r="C75" s="19" t="s">
        <v>24</v>
      </c>
      <c r="D75" s="19" t="s">
        <v>31</v>
      </c>
      <c r="E75" s="19" t="s">
        <v>31</v>
      </c>
      <c r="F75">
        <v>3</v>
      </c>
      <c r="G75">
        <v>4</v>
      </c>
      <c r="H75">
        <v>0.55169999999999997</v>
      </c>
      <c r="I75" s="19" t="s">
        <v>249</v>
      </c>
      <c r="J75" s="19" t="s">
        <v>31</v>
      </c>
      <c r="K75">
        <v>3</v>
      </c>
      <c r="L75">
        <v>2</v>
      </c>
      <c r="M75">
        <v>-0.35</v>
      </c>
      <c r="N75" s="19" t="s">
        <v>24</v>
      </c>
      <c r="O75" s="19" t="s">
        <v>289</v>
      </c>
      <c r="P75" s="19" t="s">
        <v>287</v>
      </c>
      <c r="Q75" s="19" t="s">
        <v>285</v>
      </c>
      <c r="R75" s="19" t="s">
        <v>249</v>
      </c>
      <c r="S75" s="19" t="s">
        <v>249</v>
      </c>
      <c r="T75" s="19" t="s">
        <v>286</v>
      </c>
    </row>
    <row r="76" spans="1:20" x14ac:dyDescent="0.2">
      <c r="A76" s="1">
        <v>46004</v>
      </c>
      <c r="B76" s="2">
        <v>0.83333333333333337</v>
      </c>
      <c r="C76" s="19" t="s">
        <v>10</v>
      </c>
      <c r="D76" s="19" t="s">
        <v>26</v>
      </c>
      <c r="E76" s="19" t="s">
        <v>26</v>
      </c>
      <c r="F76">
        <v>3</v>
      </c>
      <c r="G76">
        <v>4</v>
      </c>
      <c r="H76">
        <v>0.53810000000000002</v>
      </c>
      <c r="I76" s="19" t="s">
        <v>248</v>
      </c>
      <c r="J76" s="19" t="s">
        <v>10</v>
      </c>
      <c r="K76">
        <v>3</v>
      </c>
      <c r="L76">
        <v>2</v>
      </c>
      <c r="M76">
        <v>0.28000000000000003</v>
      </c>
      <c r="N76" s="19" t="s">
        <v>26</v>
      </c>
      <c r="O76" s="19" t="s">
        <v>285</v>
      </c>
      <c r="P76" s="19" t="s">
        <v>289</v>
      </c>
      <c r="Q76" s="19" t="s">
        <v>285</v>
      </c>
      <c r="R76" s="19" t="s">
        <v>248</v>
      </c>
      <c r="S76" s="19" t="s">
        <v>249</v>
      </c>
      <c r="T76" s="19" t="s">
        <v>286</v>
      </c>
    </row>
    <row r="77" spans="1:20" x14ac:dyDescent="0.2">
      <c r="A77" s="1">
        <v>46004</v>
      </c>
      <c r="B77" s="2">
        <v>0.91666666666666663</v>
      </c>
      <c r="C77" s="19" t="s">
        <v>13</v>
      </c>
      <c r="D77" s="19" t="s">
        <v>16</v>
      </c>
      <c r="E77" s="19" t="s">
        <v>13</v>
      </c>
      <c r="F77">
        <v>3</v>
      </c>
      <c r="G77">
        <v>1</v>
      </c>
      <c r="H77">
        <v>0.80530000000000002</v>
      </c>
      <c r="I77" s="19" t="s">
        <v>249</v>
      </c>
      <c r="J77" s="19" t="s">
        <v>13</v>
      </c>
      <c r="K77">
        <v>3</v>
      </c>
      <c r="L77">
        <v>2</v>
      </c>
      <c r="M77">
        <v>0.77</v>
      </c>
      <c r="N77" s="19" t="s">
        <v>16</v>
      </c>
      <c r="O77" s="19" t="s">
        <v>287</v>
      </c>
      <c r="P77" s="19" t="s">
        <v>284</v>
      </c>
      <c r="Q77" s="19" t="s">
        <v>287</v>
      </c>
      <c r="R77" s="19" t="s">
        <v>249</v>
      </c>
      <c r="S77" s="19" t="s">
        <v>249</v>
      </c>
      <c r="T77" s="19" t="s">
        <v>286</v>
      </c>
    </row>
    <row r="78" spans="1:20" x14ac:dyDescent="0.2">
      <c r="A78" s="1">
        <v>46004</v>
      </c>
      <c r="B78" s="2">
        <v>0.58333333333333337</v>
      </c>
      <c r="C78" s="19" t="s">
        <v>34</v>
      </c>
      <c r="D78" s="19" t="s">
        <v>36</v>
      </c>
      <c r="E78" s="19" t="s">
        <v>36</v>
      </c>
      <c r="F78">
        <v>3</v>
      </c>
      <c r="G78">
        <v>4</v>
      </c>
      <c r="H78">
        <v>0.67749999999999999</v>
      </c>
      <c r="I78" s="19" t="s">
        <v>248</v>
      </c>
      <c r="J78" s="19" t="s">
        <v>34</v>
      </c>
      <c r="K78">
        <v>3</v>
      </c>
      <c r="L78">
        <v>2</v>
      </c>
      <c r="M78">
        <v>0.41</v>
      </c>
      <c r="N78" s="19" t="s">
        <v>34</v>
      </c>
      <c r="O78" s="19" t="s">
        <v>291</v>
      </c>
      <c r="P78" s="19" t="s">
        <v>284</v>
      </c>
      <c r="Q78" s="19" t="s">
        <v>285</v>
      </c>
      <c r="R78" s="19" t="s">
        <v>249</v>
      </c>
      <c r="S78" s="19" t="s">
        <v>248</v>
      </c>
      <c r="T78" s="19" t="s">
        <v>286</v>
      </c>
    </row>
    <row r="79" spans="1:20" x14ac:dyDescent="0.2">
      <c r="A79" s="1">
        <v>46004</v>
      </c>
      <c r="B79" s="2">
        <v>0.79166666666666663</v>
      </c>
      <c r="C79" s="19" t="s">
        <v>40</v>
      </c>
      <c r="D79" s="19" t="s">
        <v>22</v>
      </c>
      <c r="E79" s="19" t="s">
        <v>22</v>
      </c>
      <c r="F79">
        <v>4</v>
      </c>
      <c r="G79">
        <v>5</v>
      </c>
      <c r="H79">
        <v>0.60980000000000001</v>
      </c>
      <c r="I79" s="19" t="s">
        <v>249</v>
      </c>
      <c r="J79" s="19" t="s">
        <v>22</v>
      </c>
      <c r="K79">
        <v>3</v>
      </c>
      <c r="L79">
        <v>2</v>
      </c>
      <c r="M79">
        <v>-1.01</v>
      </c>
      <c r="N79" s="19" t="s">
        <v>40</v>
      </c>
      <c r="O79" s="19" t="s">
        <v>283</v>
      </c>
      <c r="P79" s="19" t="s">
        <v>287</v>
      </c>
      <c r="Q79" s="19" t="s">
        <v>285</v>
      </c>
      <c r="R79" s="19" t="s">
        <v>249</v>
      </c>
      <c r="S79" s="19" t="s">
        <v>249</v>
      </c>
      <c r="T79" s="19" t="s">
        <v>286</v>
      </c>
    </row>
    <row r="80" spans="1:20" x14ac:dyDescent="0.2">
      <c r="A80" s="1">
        <v>46004</v>
      </c>
      <c r="B80" s="2">
        <v>0.625</v>
      </c>
      <c r="C80" s="19" t="s">
        <v>14</v>
      </c>
      <c r="D80" s="19" t="s">
        <v>33</v>
      </c>
      <c r="E80" s="19" t="s">
        <v>33</v>
      </c>
      <c r="F80">
        <v>3</v>
      </c>
      <c r="G80">
        <v>4</v>
      </c>
      <c r="H80">
        <v>0.5595</v>
      </c>
      <c r="I80" s="19" t="s">
        <v>249</v>
      </c>
      <c r="J80" s="19" t="s">
        <v>14</v>
      </c>
      <c r="K80">
        <v>3</v>
      </c>
      <c r="L80">
        <v>2</v>
      </c>
      <c r="M80">
        <v>0.51</v>
      </c>
      <c r="N80" s="19" t="s">
        <v>33</v>
      </c>
      <c r="O80" s="19" t="s">
        <v>283</v>
      </c>
      <c r="P80" s="19" t="s">
        <v>288</v>
      </c>
      <c r="Q80" s="19" t="s">
        <v>287</v>
      </c>
      <c r="R80" s="19" t="s">
        <v>248</v>
      </c>
      <c r="S80" s="19" t="s">
        <v>249</v>
      </c>
      <c r="T80" s="19" t="s">
        <v>286</v>
      </c>
    </row>
    <row r="81" spans="1:20" x14ac:dyDescent="0.2">
      <c r="A81" s="1">
        <v>46004</v>
      </c>
      <c r="B81" s="2">
        <v>0.79166666666666663</v>
      </c>
      <c r="C81" s="19" t="s">
        <v>28</v>
      </c>
      <c r="D81" s="19" t="s">
        <v>20</v>
      </c>
      <c r="E81" s="19" t="s">
        <v>20</v>
      </c>
      <c r="F81">
        <v>3</v>
      </c>
      <c r="G81">
        <v>4</v>
      </c>
      <c r="H81">
        <v>0.65100000000000002</v>
      </c>
      <c r="I81" s="19" t="s">
        <v>248</v>
      </c>
      <c r="J81" s="19" t="s">
        <v>20</v>
      </c>
      <c r="K81">
        <v>3</v>
      </c>
      <c r="L81">
        <v>2</v>
      </c>
      <c r="M81">
        <v>-0.59</v>
      </c>
      <c r="N81" s="19" t="s">
        <v>20</v>
      </c>
      <c r="O81" s="19" t="s">
        <v>284</v>
      </c>
      <c r="P81" s="19" t="s">
        <v>291</v>
      </c>
      <c r="Q81" s="19" t="s">
        <v>285</v>
      </c>
      <c r="R81" s="19" t="s">
        <v>248</v>
      </c>
      <c r="S81" s="19" t="s">
        <v>248</v>
      </c>
      <c r="T81" s="19" t="s">
        <v>286</v>
      </c>
    </row>
    <row r="82" spans="1:20" x14ac:dyDescent="0.2">
      <c r="A82" s="1">
        <v>46004</v>
      </c>
      <c r="B82" s="2">
        <v>0.79166666666666663</v>
      </c>
      <c r="C82" s="19" t="s">
        <v>19</v>
      </c>
      <c r="D82" s="19" t="s">
        <v>17</v>
      </c>
      <c r="E82" s="19" t="s">
        <v>19</v>
      </c>
      <c r="F82">
        <v>4</v>
      </c>
      <c r="G82">
        <v>3</v>
      </c>
      <c r="H82">
        <v>0.55420000000000003</v>
      </c>
      <c r="I82" s="19" t="s">
        <v>249</v>
      </c>
      <c r="J82" s="19" t="s">
        <v>19</v>
      </c>
      <c r="K82">
        <v>3</v>
      </c>
      <c r="L82">
        <v>2</v>
      </c>
      <c r="M82">
        <v>0.22</v>
      </c>
      <c r="N82" s="19" t="s">
        <v>17</v>
      </c>
      <c r="O82" s="19" t="s">
        <v>291</v>
      </c>
      <c r="P82" s="19" t="s">
        <v>288</v>
      </c>
      <c r="Q82" s="19" t="s">
        <v>285</v>
      </c>
      <c r="R82" s="19" t="s">
        <v>249</v>
      </c>
      <c r="S82" s="19" t="s">
        <v>249</v>
      </c>
      <c r="T82" s="19" t="s">
        <v>286</v>
      </c>
    </row>
    <row r="83" spans="1:20" x14ac:dyDescent="0.2">
      <c r="A83" s="1">
        <v>46004</v>
      </c>
      <c r="B83" s="2">
        <v>0.64583333333333337</v>
      </c>
      <c r="C83" s="19" t="s">
        <v>30</v>
      </c>
      <c r="D83" s="19" t="s">
        <v>37</v>
      </c>
      <c r="E83" s="19" t="s">
        <v>30</v>
      </c>
      <c r="F83">
        <v>3</v>
      </c>
      <c r="G83">
        <v>2</v>
      </c>
      <c r="H83">
        <v>0.72950000000000004</v>
      </c>
      <c r="I83" s="19" t="s">
        <v>249</v>
      </c>
      <c r="J83" s="19" t="s">
        <v>37</v>
      </c>
      <c r="K83">
        <v>3</v>
      </c>
      <c r="L83">
        <v>2</v>
      </c>
      <c r="M83">
        <v>-0.31</v>
      </c>
      <c r="N83" s="19" t="s">
        <v>30</v>
      </c>
      <c r="O83" s="19" t="s">
        <v>291</v>
      </c>
      <c r="P83" s="19" t="s">
        <v>284</v>
      </c>
      <c r="Q83" s="19" t="s">
        <v>287</v>
      </c>
      <c r="R83" s="19" t="s">
        <v>248</v>
      </c>
      <c r="S83" s="19" t="s">
        <v>249</v>
      </c>
      <c r="T83" s="19" t="s">
        <v>286</v>
      </c>
    </row>
    <row r="84" spans="1:20" x14ac:dyDescent="0.2">
      <c r="A84" s="1">
        <v>46005</v>
      </c>
      <c r="B84" s="2">
        <v>0.83333333333333337</v>
      </c>
      <c r="C84" s="19" t="s">
        <v>32</v>
      </c>
      <c r="D84" s="19" t="s">
        <v>23</v>
      </c>
      <c r="E84" s="19" t="s">
        <v>32</v>
      </c>
      <c r="F84">
        <v>4</v>
      </c>
      <c r="G84">
        <v>2</v>
      </c>
      <c r="H84">
        <v>0.73619999999999997</v>
      </c>
      <c r="I84" s="19" t="s">
        <v>249</v>
      </c>
      <c r="J84" s="19" t="s">
        <v>23</v>
      </c>
      <c r="K84">
        <v>3</v>
      </c>
      <c r="L84">
        <v>2</v>
      </c>
      <c r="M84">
        <v>-0.18</v>
      </c>
      <c r="N84" s="19" t="s">
        <v>23</v>
      </c>
      <c r="O84" s="19" t="s">
        <v>287</v>
      </c>
      <c r="P84" s="19" t="s">
        <v>291</v>
      </c>
      <c r="Q84" s="19" t="s">
        <v>285</v>
      </c>
      <c r="R84" s="19" t="s">
        <v>249</v>
      </c>
      <c r="S84" s="19" t="s">
        <v>248</v>
      </c>
      <c r="T84" s="19" t="s">
        <v>286</v>
      </c>
    </row>
    <row r="85" spans="1:20" x14ac:dyDescent="0.2">
      <c r="A85" s="1">
        <v>46005</v>
      </c>
      <c r="B85" s="2">
        <v>0.625</v>
      </c>
      <c r="C85" s="19" t="s">
        <v>14</v>
      </c>
      <c r="D85" s="19" t="s">
        <v>55</v>
      </c>
      <c r="E85" s="19" t="s">
        <v>14</v>
      </c>
      <c r="F85">
        <v>4</v>
      </c>
      <c r="G85">
        <v>3</v>
      </c>
      <c r="H85">
        <v>0.66879999999999995</v>
      </c>
      <c r="I85" s="19" t="s">
        <v>249</v>
      </c>
      <c r="J85" s="19" t="s">
        <v>14</v>
      </c>
      <c r="K85">
        <v>3</v>
      </c>
      <c r="L85">
        <v>2</v>
      </c>
      <c r="M85">
        <v>0.05</v>
      </c>
      <c r="N85" s="19" t="s">
        <v>55</v>
      </c>
      <c r="O85" s="19" t="s">
        <v>289</v>
      </c>
      <c r="P85" s="19" t="s">
        <v>283</v>
      </c>
      <c r="Q85" s="19" t="s">
        <v>287</v>
      </c>
      <c r="R85" s="19" t="s">
        <v>249</v>
      </c>
      <c r="S85" s="19" t="s">
        <v>249</v>
      </c>
      <c r="T85" s="19" t="s">
        <v>286</v>
      </c>
    </row>
    <row r="86" spans="1:20" x14ac:dyDescent="0.2">
      <c r="A86" s="1">
        <v>46005</v>
      </c>
      <c r="B86" s="2">
        <v>0.79166666666666663</v>
      </c>
      <c r="C86" s="19" t="s">
        <v>18</v>
      </c>
      <c r="D86" s="19" t="s">
        <v>17</v>
      </c>
      <c r="E86" s="19" t="s">
        <v>18</v>
      </c>
      <c r="F86">
        <v>4</v>
      </c>
      <c r="G86">
        <v>3</v>
      </c>
      <c r="H86">
        <v>0.51900000000000002</v>
      </c>
      <c r="I86" s="19" t="s">
        <v>249</v>
      </c>
      <c r="J86" s="19" t="s">
        <v>17</v>
      </c>
      <c r="K86">
        <v>3</v>
      </c>
      <c r="L86">
        <v>2</v>
      </c>
      <c r="M86">
        <v>-0.24</v>
      </c>
      <c r="N86" s="19" t="s">
        <v>18</v>
      </c>
      <c r="O86" s="19" t="s">
        <v>289</v>
      </c>
      <c r="P86" s="19" t="s">
        <v>287</v>
      </c>
      <c r="Q86" s="19" t="s">
        <v>285</v>
      </c>
      <c r="R86" s="19" t="s">
        <v>248</v>
      </c>
      <c r="S86" s="19" t="s">
        <v>249</v>
      </c>
      <c r="T86" s="19" t="s">
        <v>286</v>
      </c>
    </row>
    <row r="87" spans="1:20" x14ac:dyDescent="0.2">
      <c r="A87" s="1">
        <v>46005</v>
      </c>
      <c r="B87" s="2">
        <v>0.75</v>
      </c>
      <c r="C87" s="19" t="s">
        <v>34</v>
      </c>
      <c r="D87" s="19" t="s">
        <v>21</v>
      </c>
      <c r="E87" s="19" t="s">
        <v>21</v>
      </c>
      <c r="F87">
        <v>3</v>
      </c>
      <c r="G87">
        <v>4</v>
      </c>
      <c r="H87">
        <v>0.61240000000000006</v>
      </c>
      <c r="I87" s="19" t="s">
        <v>249</v>
      </c>
      <c r="J87" s="19" t="s">
        <v>21</v>
      </c>
      <c r="K87">
        <v>3</v>
      </c>
      <c r="L87">
        <v>2</v>
      </c>
      <c r="M87">
        <v>-0.06</v>
      </c>
      <c r="N87" s="19" t="s">
        <v>34</v>
      </c>
      <c r="O87" s="19" t="s">
        <v>288</v>
      </c>
      <c r="P87" s="19" t="s">
        <v>284</v>
      </c>
      <c r="Q87" s="19" t="s">
        <v>285</v>
      </c>
      <c r="R87" s="19" t="s">
        <v>249</v>
      </c>
      <c r="S87" s="19" t="s">
        <v>249</v>
      </c>
      <c r="T87" s="19" t="s">
        <v>286</v>
      </c>
    </row>
    <row r="88" spans="1:20" x14ac:dyDescent="0.2">
      <c r="A88" s="1">
        <v>46005</v>
      </c>
      <c r="B88" s="2">
        <v>0.52083333333333337</v>
      </c>
      <c r="C88" s="19" t="s">
        <v>24</v>
      </c>
      <c r="D88" s="19" t="s">
        <v>38</v>
      </c>
      <c r="E88" s="19" t="s">
        <v>24</v>
      </c>
      <c r="F88">
        <v>5</v>
      </c>
      <c r="G88">
        <v>4</v>
      </c>
      <c r="H88">
        <v>0.51690000000000003</v>
      </c>
      <c r="I88" s="19" t="s">
        <v>249</v>
      </c>
      <c r="J88" s="19" t="s">
        <v>24</v>
      </c>
      <c r="K88">
        <v>3</v>
      </c>
      <c r="L88">
        <v>2</v>
      </c>
      <c r="M88">
        <v>0.77</v>
      </c>
      <c r="N88" s="19" t="s">
        <v>38</v>
      </c>
      <c r="O88" s="19" t="s">
        <v>287</v>
      </c>
      <c r="P88" s="19" t="s">
        <v>284</v>
      </c>
      <c r="Q88" s="19" t="s">
        <v>285</v>
      </c>
      <c r="R88" s="19" t="s">
        <v>249</v>
      </c>
      <c r="S88" s="19" t="s">
        <v>249</v>
      </c>
      <c r="T88" s="19" t="s">
        <v>286</v>
      </c>
    </row>
    <row r="89" spans="1:20" x14ac:dyDescent="0.2">
      <c r="A89" s="1">
        <v>46005</v>
      </c>
      <c r="B89" s="2">
        <v>0.70833333333333337</v>
      </c>
      <c r="C89" s="19" t="s">
        <v>25</v>
      </c>
      <c r="D89" s="19" t="s">
        <v>27</v>
      </c>
      <c r="E89" s="19" t="s">
        <v>25</v>
      </c>
      <c r="F89">
        <v>4</v>
      </c>
      <c r="G89">
        <v>3</v>
      </c>
      <c r="H89">
        <v>0.50770000000000004</v>
      </c>
      <c r="I89" s="19" t="s">
        <v>249</v>
      </c>
      <c r="J89" s="19" t="s">
        <v>25</v>
      </c>
      <c r="K89">
        <v>3</v>
      </c>
      <c r="L89">
        <v>2</v>
      </c>
      <c r="M89">
        <v>0.56999999999999995</v>
      </c>
      <c r="N89" s="19" t="s">
        <v>25</v>
      </c>
      <c r="O89" s="19" t="s">
        <v>291</v>
      </c>
      <c r="P89" s="19" t="s">
        <v>284</v>
      </c>
      <c r="Q89" s="19" t="s">
        <v>287</v>
      </c>
      <c r="R89" s="19" t="s">
        <v>248</v>
      </c>
      <c r="S89" s="19" t="s">
        <v>248</v>
      </c>
      <c r="T89" s="19" t="s">
        <v>286</v>
      </c>
    </row>
    <row r="90" spans="1:20" x14ac:dyDescent="0.2">
      <c r="A90" s="1">
        <v>46006</v>
      </c>
      <c r="B90" s="2">
        <v>0.83333333333333337</v>
      </c>
      <c r="C90" s="19" t="s">
        <v>35</v>
      </c>
      <c r="D90" s="19" t="s">
        <v>29</v>
      </c>
      <c r="E90" s="19" t="s">
        <v>35</v>
      </c>
      <c r="F90">
        <v>3</v>
      </c>
      <c r="G90">
        <v>2</v>
      </c>
      <c r="H90">
        <v>0.61380000000000001</v>
      </c>
      <c r="I90" s="19" t="s">
        <v>249</v>
      </c>
      <c r="J90" s="19" t="s">
        <v>29</v>
      </c>
      <c r="K90">
        <v>3</v>
      </c>
      <c r="L90">
        <v>2</v>
      </c>
      <c r="M90">
        <v>-0.43</v>
      </c>
      <c r="N90" s="19" t="s">
        <v>29</v>
      </c>
      <c r="O90" s="19" t="s">
        <v>284</v>
      </c>
      <c r="P90" s="19" t="s">
        <v>283</v>
      </c>
      <c r="Q90" s="19" t="s">
        <v>285</v>
      </c>
      <c r="R90" s="19" t="s">
        <v>249</v>
      </c>
      <c r="S90" s="19" t="s">
        <v>248</v>
      </c>
      <c r="T90" s="19" t="s">
        <v>286</v>
      </c>
    </row>
    <row r="91" spans="1:20" x14ac:dyDescent="0.2">
      <c r="A91" s="1">
        <v>46006</v>
      </c>
      <c r="B91" s="2">
        <v>0.79166666666666663</v>
      </c>
      <c r="C91" s="19" t="s">
        <v>15</v>
      </c>
      <c r="D91" s="19" t="s">
        <v>31</v>
      </c>
      <c r="E91" s="19" t="s">
        <v>31</v>
      </c>
      <c r="F91">
        <v>2</v>
      </c>
      <c r="G91">
        <v>3</v>
      </c>
      <c r="H91">
        <v>0.80940000000000001</v>
      </c>
      <c r="I91" s="19" t="s">
        <v>249</v>
      </c>
      <c r="J91" s="19" t="s">
        <v>31</v>
      </c>
      <c r="K91">
        <v>3</v>
      </c>
      <c r="L91">
        <v>2</v>
      </c>
      <c r="M91">
        <v>-0.12</v>
      </c>
      <c r="N91" s="19" t="s">
        <v>31</v>
      </c>
      <c r="O91" s="19" t="s">
        <v>287</v>
      </c>
      <c r="P91" s="19" t="s">
        <v>289</v>
      </c>
      <c r="Q91" s="19" t="s">
        <v>285</v>
      </c>
      <c r="R91" s="19" t="s">
        <v>248</v>
      </c>
      <c r="S91" s="19" t="s">
        <v>248</v>
      </c>
      <c r="T91" s="19" t="s">
        <v>286</v>
      </c>
    </row>
    <row r="92" spans="1:20" x14ac:dyDescent="0.2">
      <c r="A92" s="1">
        <v>46006</v>
      </c>
      <c r="B92" s="2">
        <v>0.8125</v>
      </c>
      <c r="C92" s="19" t="s">
        <v>40</v>
      </c>
      <c r="D92" s="19" t="s">
        <v>36</v>
      </c>
      <c r="E92" s="19" t="s">
        <v>40</v>
      </c>
      <c r="F92">
        <v>5</v>
      </c>
      <c r="G92">
        <v>3</v>
      </c>
      <c r="H92">
        <v>0.67500000000000004</v>
      </c>
      <c r="I92" s="19" t="s">
        <v>249</v>
      </c>
      <c r="J92" s="19" t="s">
        <v>40</v>
      </c>
      <c r="K92">
        <v>3</v>
      </c>
      <c r="L92">
        <v>2</v>
      </c>
      <c r="M92">
        <v>0.18</v>
      </c>
      <c r="N92" s="19" t="s">
        <v>36</v>
      </c>
      <c r="O92" s="19" t="s">
        <v>284</v>
      </c>
      <c r="P92" s="19" t="s">
        <v>291</v>
      </c>
      <c r="Q92" s="19" t="s">
        <v>287</v>
      </c>
      <c r="R92" s="19" t="s">
        <v>249</v>
      </c>
      <c r="S92" s="19" t="s">
        <v>249</v>
      </c>
      <c r="T92" s="19" t="s">
        <v>286</v>
      </c>
    </row>
    <row r="93" spans="1:20" x14ac:dyDescent="0.2">
      <c r="A93" s="1">
        <v>46006</v>
      </c>
      <c r="B93" s="2">
        <v>0.83333333333333337</v>
      </c>
      <c r="C93" s="19" t="s">
        <v>39</v>
      </c>
      <c r="D93" s="19" t="s">
        <v>13</v>
      </c>
      <c r="E93" s="19" t="s">
        <v>13</v>
      </c>
      <c r="F93">
        <v>3</v>
      </c>
      <c r="G93">
        <v>4</v>
      </c>
      <c r="H93">
        <v>0.58589999999999998</v>
      </c>
      <c r="I93" s="19" t="s">
        <v>248</v>
      </c>
      <c r="J93" s="19" t="s">
        <v>39</v>
      </c>
      <c r="K93">
        <v>3</v>
      </c>
      <c r="L93">
        <v>2</v>
      </c>
      <c r="M93">
        <v>0.66</v>
      </c>
      <c r="N93" s="19" t="s">
        <v>39</v>
      </c>
      <c r="O93" s="19" t="s">
        <v>289</v>
      </c>
      <c r="P93" s="19" t="s">
        <v>287</v>
      </c>
      <c r="Q93" s="19" t="s">
        <v>285</v>
      </c>
      <c r="R93" s="19" t="s">
        <v>249</v>
      </c>
      <c r="S93" s="19" t="s">
        <v>248</v>
      </c>
      <c r="T93" s="19" t="s">
        <v>286</v>
      </c>
    </row>
    <row r="94" spans="1:20" x14ac:dyDescent="0.2">
      <c r="A94" s="1">
        <v>46006</v>
      </c>
      <c r="B94" s="2">
        <v>0.79166666666666663</v>
      </c>
      <c r="C94" s="19" t="s">
        <v>37</v>
      </c>
      <c r="D94" s="19" t="s">
        <v>11</v>
      </c>
      <c r="E94" s="19" t="s">
        <v>37</v>
      </c>
      <c r="F94">
        <v>4</v>
      </c>
      <c r="G94">
        <v>3</v>
      </c>
      <c r="H94">
        <v>0.50770000000000004</v>
      </c>
      <c r="I94" s="19" t="s">
        <v>249</v>
      </c>
      <c r="J94" s="19" t="s">
        <v>37</v>
      </c>
      <c r="K94">
        <v>3</v>
      </c>
      <c r="L94">
        <v>2</v>
      </c>
      <c r="M94">
        <v>0.81</v>
      </c>
      <c r="N94" s="19" t="s">
        <v>11</v>
      </c>
      <c r="O94" s="19" t="s">
        <v>284</v>
      </c>
      <c r="P94" s="19" t="s">
        <v>283</v>
      </c>
      <c r="Q94" s="19" t="s">
        <v>285</v>
      </c>
      <c r="R94" s="19" t="s">
        <v>249</v>
      </c>
      <c r="S94" s="19" t="s">
        <v>249</v>
      </c>
      <c r="T94" s="19" t="s">
        <v>286</v>
      </c>
    </row>
    <row r="95" spans="1:20" x14ac:dyDescent="0.2">
      <c r="A95" s="1">
        <v>46007</v>
      </c>
      <c r="B95" s="2">
        <v>0.79166666666666663</v>
      </c>
      <c r="C95" s="19" t="s">
        <v>18</v>
      </c>
      <c r="D95" s="19" t="s">
        <v>27</v>
      </c>
      <c r="E95" s="19" t="s">
        <v>27</v>
      </c>
      <c r="F95">
        <v>3</v>
      </c>
      <c r="G95">
        <v>5</v>
      </c>
      <c r="H95">
        <v>0.84399999999999997</v>
      </c>
      <c r="I95" s="19" t="s">
        <v>248</v>
      </c>
      <c r="J95" s="19" t="s">
        <v>27</v>
      </c>
      <c r="K95">
        <v>3</v>
      </c>
      <c r="L95">
        <v>2</v>
      </c>
      <c r="M95">
        <v>-0.4</v>
      </c>
      <c r="N95" s="19" t="s">
        <v>27</v>
      </c>
      <c r="O95" s="19" t="s">
        <v>287</v>
      </c>
      <c r="P95" s="19" t="s">
        <v>289</v>
      </c>
      <c r="Q95" s="19" t="s">
        <v>285</v>
      </c>
      <c r="R95" s="19" t="s">
        <v>248</v>
      </c>
      <c r="S95" s="19" t="s">
        <v>248</v>
      </c>
      <c r="T95" s="19" t="s">
        <v>286</v>
      </c>
    </row>
    <row r="96" spans="1:20" x14ac:dyDescent="0.2">
      <c r="A96" s="1">
        <v>46007</v>
      </c>
      <c r="B96" s="2">
        <v>0.83333333333333337</v>
      </c>
      <c r="C96" s="19" t="s">
        <v>34</v>
      </c>
      <c r="D96" s="19" t="s">
        <v>22</v>
      </c>
      <c r="E96" s="19" t="s">
        <v>22</v>
      </c>
      <c r="F96">
        <v>3</v>
      </c>
      <c r="G96">
        <v>4</v>
      </c>
      <c r="H96">
        <v>0.60750000000000004</v>
      </c>
      <c r="I96" s="19" t="s">
        <v>249</v>
      </c>
      <c r="J96" s="19" t="s">
        <v>22</v>
      </c>
      <c r="K96">
        <v>3</v>
      </c>
      <c r="L96">
        <v>2</v>
      </c>
      <c r="M96">
        <v>-0.33</v>
      </c>
      <c r="N96" s="19" t="s">
        <v>34</v>
      </c>
      <c r="O96" s="19" t="s">
        <v>283</v>
      </c>
      <c r="P96" s="19" t="s">
        <v>285</v>
      </c>
      <c r="Q96" s="19" t="s">
        <v>285</v>
      </c>
      <c r="R96" s="19" t="s">
        <v>249</v>
      </c>
      <c r="S96" s="19" t="s">
        <v>249</v>
      </c>
      <c r="T96" s="19" t="s">
        <v>286</v>
      </c>
    </row>
    <row r="97" spans="1:20" x14ac:dyDescent="0.2">
      <c r="A97" s="1">
        <v>46007</v>
      </c>
      <c r="B97" s="2">
        <v>0.8125</v>
      </c>
      <c r="C97" s="19" t="s">
        <v>14</v>
      </c>
      <c r="D97" s="19" t="s">
        <v>17</v>
      </c>
      <c r="E97" s="19" t="s">
        <v>17</v>
      </c>
      <c r="F97">
        <v>4</v>
      </c>
      <c r="G97">
        <v>5</v>
      </c>
      <c r="H97">
        <v>0.51959999999999995</v>
      </c>
      <c r="I97" s="19" t="s">
        <v>249</v>
      </c>
      <c r="J97" s="19" t="s">
        <v>14</v>
      </c>
      <c r="K97">
        <v>3</v>
      </c>
      <c r="L97">
        <v>2</v>
      </c>
      <c r="M97">
        <v>0.28999999999999998</v>
      </c>
      <c r="N97" s="19" t="s">
        <v>17</v>
      </c>
      <c r="O97" s="19" t="s">
        <v>289</v>
      </c>
      <c r="P97" s="19" t="s">
        <v>288</v>
      </c>
      <c r="Q97" s="19" t="s">
        <v>285</v>
      </c>
      <c r="R97" s="19" t="s">
        <v>248</v>
      </c>
      <c r="S97" s="19" t="s">
        <v>249</v>
      </c>
      <c r="T97" s="19" t="s">
        <v>286</v>
      </c>
    </row>
    <row r="98" spans="1:20" x14ac:dyDescent="0.2">
      <c r="A98" s="1">
        <v>46007</v>
      </c>
      <c r="B98" s="2">
        <v>0.79166666666666663</v>
      </c>
      <c r="C98" s="19" t="s">
        <v>21</v>
      </c>
      <c r="D98" s="19" t="s">
        <v>55</v>
      </c>
      <c r="E98" s="19" t="s">
        <v>21</v>
      </c>
      <c r="F98">
        <v>4</v>
      </c>
      <c r="G98">
        <v>3</v>
      </c>
      <c r="H98">
        <v>0.66569999999999996</v>
      </c>
      <c r="I98" s="19" t="s">
        <v>249</v>
      </c>
      <c r="J98" s="19" t="s">
        <v>21</v>
      </c>
      <c r="K98">
        <v>3</v>
      </c>
      <c r="L98">
        <v>2</v>
      </c>
      <c r="M98">
        <v>0.17</v>
      </c>
      <c r="N98" s="19" t="s">
        <v>21</v>
      </c>
      <c r="O98" s="19" t="s">
        <v>289</v>
      </c>
      <c r="P98" s="19" t="s">
        <v>287</v>
      </c>
      <c r="Q98" s="19" t="s">
        <v>285</v>
      </c>
      <c r="R98" s="19" t="s">
        <v>248</v>
      </c>
      <c r="S98" s="19" t="s">
        <v>248</v>
      </c>
      <c r="T98" s="19" t="s">
        <v>286</v>
      </c>
    </row>
    <row r="99" spans="1:20" x14ac:dyDescent="0.2">
      <c r="A99" s="1">
        <v>46007</v>
      </c>
      <c r="B99" s="2">
        <v>0.79166666666666663</v>
      </c>
      <c r="C99" s="19" t="s">
        <v>15</v>
      </c>
      <c r="D99" s="19" t="s">
        <v>38</v>
      </c>
      <c r="E99" s="19" t="s">
        <v>15</v>
      </c>
      <c r="F99">
        <v>3</v>
      </c>
      <c r="G99">
        <v>2</v>
      </c>
      <c r="H99">
        <v>0.67700000000000005</v>
      </c>
      <c r="I99" s="19" t="s">
        <v>249</v>
      </c>
      <c r="J99" s="19" t="s">
        <v>15</v>
      </c>
      <c r="K99">
        <v>3</v>
      </c>
      <c r="L99">
        <v>2</v>
      </c>
      <c r="M99">
        <v>0.74</v>
      </c>
      <c r="N99" s="19" t="s">
        <v>38</v>
      </c>
      <c r="O99" s="19" t="s">
        <v>285</v>
      </c>
      <c r="P99" s="19" t="s">
        <v>291</v>
      </c>
      <c r="Q99" s="19" t="s">
        <v>285</v>
      </c>
      <c r="R99" s="19" t="s">
        <v>249</v>
      </c>
      <c r="S99" s="19" t="s">
        <v>249</v>
      </c>
      <c r="T99" s="19" t="s">
        <v>286</v>
      </c>
    </row>
    <row r="100" spans="1:20" x14ac:dyDescent="0.2">
      <c r="A100" s="1">
        <v>46007</v>
      </c>
      <c r="B100" s="2">
        <v>0.91666666666666663</v>
      </c>
      <c r="C100" s="19" t="s">
        <v>33</v>
      </c>
      <c r="D100" s="19" t="s">
        <v>16</v>
      </c>
      <c r="E100" s="19" t="s">
        <v>33</v>
      </c>
      <c r="F100">
        <v>4</v>
      </c>
      <c r="G100">
        <v>2</v>
      </c>
      <c r="H100">
        <v>0.70199999999999996</v>
      </c>
      <c r="I100" s="19" t="s">
        <v>249</v>
      </c>
      <c r="J100" s="19" t="s">
        <v>33</v>
      </c>
      <c r="K100">
        <v>3</v>
      </c>
      <c r="L100">
        <v>2</v>
      </c>
      <c r="M100">
        <v>0.32</v>
      </c>
      <c r="N100" s="19" t="s">
        <v>33</v>
      </c>
      <c r="O100" s="19" t="s">
        <v>288</v>
      </c>
      <c r="P100" s="19" t="s">
        <v>291</v>
      </c>
      <c r="Q100" s="19" t="s">
        <v>285</v>
      </c>
      <c r="R100" s="19" t="s">
        <v>248</v>
      </c>
      <c r="S100" s="19" t="s">
        <v>248</v>
      </c>
      <c r="T100" s="19" t="s">
        <v>286</v>
      </c>
    </row>
    <row r="101" spans="1:20" x14ac:dyDescent="0.2">
      <c r="A101" s="1">
        <v>46007</v>
      </c>
      <c r="B101" s="2">
        <v>0.79166666666666663</v>
      </c>
      <c r="C101" s="19" t="s">
        <v>26</v>
      </c>
      <c r="D101" s="19" t="s">
        <v>30</v>
      </c>
      <c r="E101" s="19" t="s">
        <v>30</v>
      </c>
      <c r="F101">
        <v>3</v>
      </c>
      <c r="G101">
        <v>4</v>
      </c>
      <c r="H101">
        <v>0.70879999999999999</v>
      </c>
      <c r="I101" s="19" t="s">
        <v>249</v>
      </c>
      <c r="J101" s="19" t="s">
        <v>30</v>
      </c>
      <c r="K101">
        <v>3</v>
      </c>
      <c r="L101">
        <v>2</v>
      </c>
      <c r="M101">
        <v>-0.69</v>
      </c>
      <c r="N101" s="19" t="s">
        <v>26</v>
      </c>
      <c r="O101" s="19" t="s">
        <v>291</v>
      </c>
      <c r="P101" s="19" t="s">
        <v>284</v>
      </c>
      <c r="Q101" s="19" t="s">
        <v>285</v>
      </c>
      <c r="R101" s="19" t="s">
        <v>249</v>
      </c>
      <c r="S101" s="19" t="s">
        <v>249</v>
      </c>
      <c r="T101" s="19" t="s">
        <v>286</v>
      </c>
    </row>
    <row r="102" spans="1:20" x14ac:dyDescent="0.2">
      <c r="A102" s="1">
        <v>46007</v>
      </c>
      <c r="B102" s="2">
        <v>0.79166666666666663</v>
      </c>
      <c r="C102" s="19" t="s">
        <v>28</v>
      </c>
      <c r="D102" s="19" t="s">
        <v>31</v>
      </c>
      <c r="E102" s="19" t="s">
        <v>31</v>
      </c>
      <c r="F102">
        <v>3</v>
      </c>
      <c r="G102">
        <v>4</v>
      </c>
      <c r="H102">
        <v>0.55640000000000001</v>
      </c>
      <c r="I102" s="19" t="s">
        <v>249</v>
      </c>
      <c r="J102" s="19" t="s">
        <v>31</v>
      </c>
      <c r="K102">
        <v>3</v>
      </c>
      <c r="L102">
        <v>2</v>
      </c>
      <c r="M102">
        <v>-0.74</v>
      </c>
      <c r="N102" s="19" t="s">
        <v>28</v>
      </c>
      <c r="O102" s="19" t="s">
        <v>289</v>
      </c>
      <c r="P102" s="19" t="s">
        <v>291</v>
      </c>
      <c r="Q102" s="19" t="s">
        <v>287</v>
      </c>
      <c r="R102" s="19" t="s">
        <v>249</v>
      </c>
      <c r="S102" s="19" t="s">
        <v>249</v>
      </c>
      <c r="T102" s="19" t="s">
        <v>286</v>
      </c>
    </row>
    <row r="103" spans="1:20" x14ac:dyDescent="0.2">
      <c r="A103" s="1">
        <v>46007</v>
      </c>
      <c r="B103" s="2">
        <v>0.91666666666666663</v>
      </c>
      <c r="C103" s="19" t="s">
        <v>32</v>
      </c>
      <c r="D103" s="19" t="s">
        <v>12</v>
      </c>
      <c r="E103" s="19" t="s">
        <v>12</v>
      </c>
      <c r="F103">
        <v>1</v>
      </c>
      <c r="G103">
        <v>2</v>
      </c>
      <c r="H103">
        <v>0.81510000000000005</v>
      </c>
      <c r="I103" s="19" t="s">
        <v>249</v>
      </c>
      <c r="J103" s="19" t="s">
        <v>12</v>
      </c>
      <c r="K103">
        <v>3</v>
      </c>
      <c r="L103">
        <v>2</v>
      </c>
      <c r="M103">
        <v>-2.2999999999999998</v>
      </c>
      <c r="N103" s="19" t="s">
        <v>12</v>
      </c>
      <c r="O103" s="19" t="s">
        <v>291</v>
      </c>
      <c r="P103" s="19" t="s">
        <v>283</v>
      </c>
      <c r="Q103" s="19" t="s">
        <v>285</v>
      </c>
      <c r="R103" s="19" t="s">
        <v>248</v>
      </c>
      <c r="S103" s="19" t="s">
        <v>248</v>
      </c>
      <c r="T103" s="19" t="s">
        <v>286</v>
      </c>
    </row>
    <row r="104" spans="1:20" x14ac:dyDescent="0.2">
      <c r="A104" s="1">
        <v>46007</v>
      </c>
      <c r="B104" s="2">
        <v>0.79166666666666663</v>
      </c>
      <c r="C104" s="19" t="s">
        <v>19</v>
      </c>
      <c r="D104" s="19" t="s">
        <v>10</v>
      </c>
      <c r="E104" s="19" t="s">
        <v>19</v>
      </c>
      <c r="F104">
        <v>4</v>
      </c>
      <c r="G104">
        <v>3</v>
      </c>
      <c r="H104">
        <v>0.54720000000000002</v>
      </c>
      <c r="I104" s="19" t="s">
        <v>248</v>
      </c>
      <c r="J104" s="19" t="s">
        <v>19</v>
      </c>
      <c r="K104">
        <v>3</v>
      </c>
      <c r="L104">
        <v>2</v>
      </c>
      <c r="M104">
        <v>0.32</v>
      </c>
      <c r="N104" s="19" t="s">
        <v>19</v>
      </c>
      <c r="O104" s="19" t="s">
        <v>291</v>
      </c>
      <c r="P104" s="19" t="s">
        <v>284</v>
      </c>
      <c r="Q104" s="19" t="s">
        <v>285</v>
      </c>
      <c r="R104" s="19" t="s">
        <v>248</v>
      </c>
      <c r="S104" s="19" t="s">
        <v>248</v>
      </c>
      <c r="T104" s="19" t="s">
        <v>286</v>
      </c>
    </row>
    <row r="105" spans="1:20" x14ac:dyDescent="0.2">
      <c r="A105" s="1">
        <v>46008</v>
      </c>
      <c r="B105" s="2">
        <v>0.8125</v>
      </c>
      <c r="C105" s="19" t="s">
        <v>26</v>
      </c>
      <c r="D105" s="19" t="s">
        <v>55</v>
      </c>
      <c r="E105" s="19" t="s">
        <v>26</v>
      </c>
      <c r="F105">
        <v>4</v>
      </c>
      <c r="G105">
        <v>3</v>
      </c>
      <c r="H105">
        <v>0.78159999999999996</v>
      </c>
      <c r="I105" s="19" t="s">
        <v>249</v>
      </c>
      <c r="J105" s="19" t="s">
        <v>55</v>
      </c>
      <c r="K105">
        <v>3</v>
      </c>
      <c r="L105">
        <v>2</v>
      </c>
      <c r="M105">
        <v>-0.24</v>
      </c>
      <c r="N105" s="19" t="s">
        <v>55</v>
      </c>
      <c r="O105" s="19" t="s">
        <v>287</v>
      </c>
      <c r="P105" s="19" t="s">
        <v>289</v>
      </c>
      <c r="Q105" s="19" t="s">
        <v>285</v>
      </c>
      <c r="R105" s="19" t="s">
        <v>249</v>
      </c>
      <c r="S105" s="19" t="s">
        <v>248</v>
      </c>
      <c r="T105" s="19" t="s">
        <v>286</v>
      </c>
    </row>
    <row r="106" spans="1:20" x14ac:dyDescent="0.2">
      <c r="A106" s="1">
        <v>46008</v>
      </c>
      <c r="B106" s="2">
        <v>0.79166666666666663</v>
      </c>
      <c r="C106" s="19" t="s">
        <v>11</v>
      </c>
      <c r="D106" s="19" t="s">
        <v>13</v>
      </c>
      <c r="E106" s="19" t="s">
        <v>13</v>
      </c>
      <c r="F106">
        <v>3</v>
      </c>
      <c r="G106">
        <v>4</v>
      </c>
      <c r="H106">
        <v>0.58260000000000001</v>
      </c>
      <c r="I106" s="19" t="s">
        <v>249</v>
      </c>
      <c r="J106" s="19" t="s">
        <v>11</v>
      </c>
      <c r="K106">
        <v>3</v>
      </c>
      <c r="L106">
        <v>2</v>
      </c>
      <c r="M106">
        <v>0.27</v>
      </c>
      <c r="N106" s="19" t="s">
        <v>11</v>
      </c>
      <c r="O106" s="19" t="s">
        <v>291</v>
      </c>
      <c r="P106" s="19" t="s">
        <v>284</v>
      </c>
      <c r="Q106" s="19" t="s">
        <v>285</v>
      </c>
      <c r="R106" s="19" t="s">
        <v>249</v>
      </c>
      <c r="S106" s="19" t="s">
        <v>248</v>
      </c>
      <c r="T106" s="19" t="s">
        <v>286</v>
      </c>
    </row>
    <row r="107" spans="1:20" x14ac:dyDescent="0.2">
      <c r="A107" s="1">
        <v>46008</v>
      </c>
      <c r="B107" s="2">
        <v>0.83333333333333337</v>
      </c>
      <c r="C107" s="19" t="s">
        <v>29</v>
      </c>
      <c r="D107" s="19" t="s">
        <v>25</v>
      </c>
      <c r="E107" s="19" t="s">
        <v>25</v>
      </c>
      <c r="F107">
        <v>2</v>
      </c>
      <c r="G107">
        <v>3</v>
      </c>
      <c r="H107">
        <v>0.78949999999999998</v>
      </c>
      <c r="I107" s="19" t="s">
        <v>249</v>
      </c>
      <c r="J107" s="19" t="s">
        <v>25</v>
      </c>
      <c r="K107">
        <v>3</v>
      </c>
      <c r="L107">
        <v>2</v>
      </c>
      <c r="M107">
        <v>-1.1100000000000001</v>
      </c>
      <c r="N107" s="19" t="s">
        <v>25</v>
      </c>
      <c r="O107" s="19" t="s">
        <v>287</v>
      </c>
      <c r="P107" s="19" t="s">
        <v>289</v>
      </c>
      <c r="Q107" s="19" t="s">
        <v>285</v>
      </c>
      <c r="R107" s="19" t="s">
        <v>248</v>
      </c>
      <c r="S107" s="19" t="s">
        <v>248</v>
      </c>
      <c r="T107" s="19" t="s">
        <v>286</v>
      </c>
    </row>
    <row r="108" spans="1:20" x14ac:dyDescent="0.2">
      <c r="A108" s="1">
        <v>46008</v>
      </c>
      <c r="B108" s="2">
        <v>0.91666666666666663</v>
      </c>
      <c r="C108" s="19" t="s">
        <v>20</v>
      </c>
      <c r="D108" s="19" t="s">
        <v>24</v>
      </c>
      <c r="E108" s="19" t="s">
        <v>24</v>
      </c>
      <c r="F108">
        <v>3</v>
      </c>
      <c r="G108">
        <v>4</v>
      </c>
      <c r="H108">
        <v>0.62290000000000001</v>
      </c>
      <c r="I108" s="19" t="s">
        <v>249</v>
      </c>
      <c r="J108" s="19" t="s">
        <v>20</v>
      </c>
      <c r="K108">
        <v>3</v>
      </c>
      <c r="L108">
        <v>2</v>
      </c>
      <c r="M108">
        <v>0.4</v>
      </c>
      <c r="N108" s="19" t="s">
        <v>24</v>
      </c>
      <c r="O108" s="19" t="s">
        <v>287</v>
      </c>
      <c r="P108" s="19" t="s">
        <v>284</v>
      </c>
      <c r="Q108" s="19" t="s">
        <v>287</v>
      </c>
      <c r="R108" s="19" t="s">
        <v>248</v>
      </c>
      <c r="S108" s="19" t="s">
        <v>249</v>
      </c>
      <c r="T108" s="19" t="s">
        <v>286</v>
      </c>
    </row>
    <row r="109" spans="1:20" x14ac:dyDescent="0.2">
      <c r="A109" s="1">
        <v>46008</v>
      </c>
      <c r="B109" s="2">
        <v>0.83333333333333337</v>
      </c>
      <c r="C109" s="19" t="s">
        <v>35</v>
      </c>
      <c r="D109" s="19" t="s">
        <v>40</v>
      </c>
      <c r="E109" s="19" t="s">
        <v>40</v>
      </c>
      <c r="F109">
        <v>3</v>
      </c>
      <c r="G109">
        <v>4</v>
      </c>
      <c r="H109">
        <v>0.5867</v>
      </c>
      <c r="I109" s="19" t="s">
        <v>249</v>
      </c>
      <c r="J109" s="19" t="s">
        <v>40</v>
      </c>
      <c r="K109">
        <v>3</v>
      </c>
      <c r="L109">
        <v>2</v>
      </c>
      <c r="M109">
        <v>-1.06</v>
      </c>
      <c r="N109" s="19" t="s">
        <v>35</v>
      </c>
      <c r="O109" s="19" t="s">
        <v>287</v>
      </c>
      <c r="P109" s="19" t="s">
        <v>285</v>
      </c>
      <c r="Q109" s="19" t="s">
        <v>285</v>
      </c>
      <c r="R109" s="19" t="s">
        <v>249</v>
      </c>
      <c r="S109" s="19" t="s">
        <v>249</v>
      </c>
      <c r="T109" s="19" t="s">
        <v>286</v>
      </c>
    </row>
    <row r="110" spans="1:20" x14ac:dyDescent="0.2">
      <c r="A110" s="1">
        <v>46009</v>
      </c>
      <c r="B110" s="2">
        <v>0.79166666666666663</v>
      </c>
      <c r="C110" s="19" t="s">
        <v>28</v>
      </c>
      <c r="D110" s="19" t="s">
        <v>34</v>
      </c>
      <c r="E110" s="19" t="s">
        <v>34</v>
      </c>
      <c r="F110">
        <v>2</v>
      </c>
      <c r="G110">
        <v>3</v>
      </c>
      <c r="H110">
        <v>0.75509999999999999</v>
      </c>
      <c r="I110" s="19" t="s">
        <v>249</v>
      </c>
      <c r="J110" s="19" t="s">
        <v>34</v>
      </c>
      <c r="K110">
        <v>3</v>
      </c>
      <c r="L110">
        <v>2</v>
      </c>
      <c r="M110">
        <v>-0.85</v>
      </c>
      <c r="N110" s="19" t="s">
        <v>34</v>
      </c>
      <c r="O110" s="19" t="s">
        <v>284</v>
      </c>
      <c r="P110" s="19" t="s">
        <v>283</v>
      </c>
      <c r="Q110" s="19" t="s">
        <v>285</v>
      </c>
      <c r="R110" s="19" t="s">
        <v>248</v>
      </c>
      <c r="S110" s="19" t="s">
        <v>248</v>
      </c>
      <c r="T110" s="19" t="s">
        <v>286</v>
      </c>
    </row>
    <row r="111" spans="1:20" x14ac:dyDescent="0.2">
      <c r="A111" s="1">
        <v>46009</v>
      </c>
      <c r="B111" s="2">
        <v>0.79166666666666663</v>
      </c>
      <c r="C111" s="19" t="s">
        <v>36</v>
      </c>
      <c r="D111" s="19" t="s">
        <v>14</v>
      </c>
      <c r="E111" s="19" t="s">
        <v>14</v>
      </c>
      <c r="F111">
        <v>3</v>
      </c>
      <c r="G111">
        <v>4</v>
      </c>
      <c r="H111">
        <v>0.58830000000000005</v>
      </c>
      <c r="I111" s="19" t="s">
        <v>249</v>
      </c>
      <c r="J111" s="19" t="s">
        <v>14</v>
      </c>
      <c r="K111">
        <v>3</v>
      </c>
      <c r="L111">
        <v>2</v>
      </c>
      <c r="M111">
        <v>-0.03</v>
      </c>
      <c r="N111" s="19" t="s">
        <v>36</v>
      </c>
      <c r="O111" s="19" t="s">
        <v>289</v>
      </c>
      <c r="P111" s="19" t="s">
        <v>285</v>
      </c>
      <c r="Q111" s="19" t="s">
        <v>285</v>
      </c>
      <c r="R111" s="19" t="s">
        <v>249</v>
      </c>
      <c r="S111" s="19" t="s">
        <v>249</v>
      </c>
      <c r="T111" s="19" t="s">
        <v>286</v>
      </c>
    </row>
    <row r="112" spans="1:20" x14ac:dyDescent="0.2">
      <c r="A112" s="1">
        <v>46009</v>
      </c>
      <c r="B112" s="2">
        <v>0.8125</v>
      </c>
      <c r="C112" s="19" t="s">
        <v>23</v>
      </c>
      <c r="D112" s="19" t="s">
        <v>27</v>
      </c>
      <c r="E112" s="19" t="s">
        <v>27</v>
      </c>
      <c r="F112">
        <v>2</v>
      </c>
      <c r="G112">
        <v>3</v>
      </c>
      <c r="H112">
        <v>0.50270000000000004</v>
      </c>
      <c r="I112" s="19" t="s">
        <v>249</v>
      </c>
      <c r="J112" s="19" t="s">
        <v>27</v>
      </c>
      <c r="K112">
        <v>3</v>
      </c>
      <c r="L112">
        <v>2</v>
      </c>
      <c r="M112">
        <v>-0.48</v>
      </c>
      <c r="N112" s="19" t="s">
        <v>23</v>
      </c>
      <c r="O112" s="19" t="s">
        <v>283</v>
      </c>
      <c r="P112" s="19" t="s">
        <v>291</v>
      </c>
      <c r="Q112" s="19" t="s">
        <v>285</v>
      </c>
      <c r="R112" s="19" t="s">
        <v>249</v>
      </c>
      <c r="S112" s="19" t="s">
        <v>249</v>
      </c>
      <c r="T112" s="19" t="s">
        <v>286</v>
      </c>
    </row>
    <row r="113" spans="1:20" x14ac:dyDescent="0.2">
      <c r="A113" s="1">
        <v>46009</v>
      </c>
      <c r="B113" s="2">
        <v>0.83333333333333337</v>
      </c>
      <c r="C113" s="19" t="s">
        <v>35</v>
      </c>
      <c r="D113" s="19" t="s">
        <v>15</v>
      </c>
      <c r="E113" s="19" t="s">
        <v>15</v>
      </c>
      <c r="F113">
        <v>2</v>
      </c>
      <c r="G113">
        <v>4</v>
      </c>
      <c r="H113">
        <v>0.79800000000000004</v>
      </c>
      <c r="I113" s="19" t="s">
        <v>249</v>
      </c>
      <c r="J113" s="19" t="s">
        <v>15</v>
      </c>
      <c r="K113">
        <v>3</v>
      </c>
      <c r="L113">
        <v>2</v>
      </c>
      <c r="M113">
        <v>-0.96</v>
      </c>
      <c r="N113" s="19" t="s">
        <v>15</v>
      </c>
      <c r="O113" s="19" t="s">
        <v>287</v>
      </c>
      <c r="P113" s="19" t="s">
        <v>284</v>
      </c>
      <c r="Q113" s="19" t="s">
        <v>287</v>
      </c>
      <c r="R113" s="19" t="s">
        <v>248</v>
      </c>
      <c r="S113" s="19" t="s">
        <v>248</v>
      </c>
      <c r="T113" s="19" t="s">
        <v>286</v>
      </c>
    </row>
    <row r="114" spans="1:20" x14ac:dyDescent="0.2">
      <c r="A114" s="1">
        <v>46009</v>
      </c>
      <c r="B114" s="2">
        <v>0.79166666666666663</v>
      </c>
      <c r="C114" s="19" t="s">
        <v>37</v>
      </c>
      <c r="D114" s="19" t="s">
        <v>13</v>
      </c>
      <c r="E114" s="19" t="s">
        <v>13</v>
      </c>
      <c r="F114">
        <v>3</v>
      </c>
      <c r="G114">
        <v>4</v>
      </c>
      <c r="H114">
        <v>0.55379999999999996</v>
      </c>
      <c r="I114" s="19" t="s">
        <v>249</v>
      </c>
      <c r="J114" s="19" t="s">
        <v>37</v>
      </c>
      <c r="K114">
        <v>3</v>
      </c>
      <c r="L114">
        <v>2</v>
      </c>
      <c r="M114">
        <v>0.76</v>
      </c>
      <c r="N114" s="19" t="s">
        <v>13</v>
      </c>
      <c r="O114" s="19" t="s">
        <v>287</v>
      </c>
      <c r="P114" s="19" t="s">
        <v>284</v>
      </c>
      <c r="Q114" s="19" t="s">
        <v>285</v>
      </c>
      <c r="R114" s="19" t="s">
        <v>248</v>
      </c>
      <c r="S114" s="19" t="s">
        <v>249</v>
      </c>
      <c r="T114" s="19" t="s">
        <v>286</v>
      </c>
    </row>
    <row r="115" spans="1:20" x14ac:dyDescent="0.2">
      <c r="A115" s="1">
        <v>46009</v>
      </c>
      <c r="B115" s="2">
        <v>0.79166666666666663</v>
      </c>
      <c r="C115" s="19" t="s">
        <v>18</v>
      </c>
      <c r="D115" s="19" t="s">
        <v>10</v>
      </c>
      <c r="E115" s="19" t="s">
        <v>18</v>
      </c>
      <c r="F115">
        <v>4</v>
      </c>
      <c r="G115">
        <v>3</v>
      </c>
      <c r="H115">
        <v>0.72230000000000005</v>
      </c>
      <c r="I115" s="19" t="s">
        <v>248</v>
      </c>
      <c r="J115" s="19" t="s">
        <v>18</v>
      </c>
      <c r="K115">
        <v>3</v>
      </c>
      <c r="L115">
        <v>2</v>
      </c>
      <c r="M115">
        <v>0.03</v>
      </c>
      <c r="N115" s="19" t="s">
        <v>18</v>
      </c>
      <c r="O115" s="19" t="s">
        <v>289</v>
      </c>
      <c r="P115" s="19" t="s">
        <v>287</v>
      </c>
      <c r="Q115" s="19" t="s">
        <v>285</v>
      </c>
      <c r="R115" s="19" t="s">
        <v>248</v>
      </c>
      <c r="S115" s="19" t="s">
        <v>248</v>
      </c>
      <c r="T115" s="19" t="s">
        <v>286</v>
      </c>
    </row>
    <row r="116" spans="1:20" x14ac:dyDescent="0.2">
      <c r="A116" s="1">
        <v>46009</v>
      </c>
      <c r="B116" s="2">
        <v>0.875</v>
      </c>
      <c r="C116" s="19" t="s">
        <v>16</v>
      </c>
      <c r="D116" s="19" t="s">
        <v>32</v>
      </c>
      <c r="E116" s="19" t="s">
        <v>32</v>
      </c>
      <c r="F116">
        <v>3</v>
      </c>
      <c r="G116">
        <v>4</v>
      </c>
      <c r="H116">
        <v>0.76790000000000003</v>
      </c>
      <c r="I116" s="19" t="s">
        <v>249</v>
      </c>
      <c r="J116" s="19" t="s">
        <v>16</v>
      </c>
      <c r="K116">
        <v>3</v>
      </c>
      <c r="L116">
        <v>2</v>
      </c>
      <c r="M116">
        <v>0.16</v>
      </c>
      <c r="N116" s="19" t="s">
        <v>16</v>
      </c>
      <c r="O116" s="19" t="s">
        <v>289</v>
      </c>
      <c r="P116" s="19" t="s">
        <v>284</v>
      </c>
      <c r="Q116" s="19" t="s">
        <v>285</v>
      </c>
      <c r="R116" s="19" t="s">
        <v>249</v>
      </c>
      <c r="S116" s="19" t="s">
        <v>248</v>
      </c>
      <c r="T116" s="19" t="s">
        <v>286</v>
      </c>
    </row>
    <row r="117" spans="1:20" x14ac:dyDescent="0.2">
      <c r="A117" s="1">
        <v>46009</v>
      </c>
      <c r="B117" s="2">
        <v>0.79166666666666663</v>
      </c>
      <c r="C117" s="19" t="s">
        <v>22</v>
      </c>
      <c r="D117" s="19" t="s">
        <v>19</v>
      </c>
      <c r="E117" s="19" t="s">
        <v>22</v>
      </c>
      <c r="F117">
        <v>4</v>
      </c>
      <c r="G117">
        <v>3</v>
      </c>
      <c r="H117">
        <v>0.75260000000000005</v>
      </c>
      <c r="I117" s="19" t="s">
        <v>249</v>
      </c>
      <c r="J117" s="19" t="s">
        <v>22</v>
      </c>
      <c r="K117">
        <v>3</v>
      </c>
      <c r="L117">
        <v>2</v>
      </c>
      <c r="M117">
        <v>0.7</v>
      </c>
      <c r="N117" s="19" t="s">
        <v>22</v>
      </c>
      <c r="O117" s="19" t="s">
        <v>289</v>
      </c>
      <c r="P117" s="19" t="s">
        <v>285</v>
      </c>
      <c r="Q117" s="19" t="s">
        <v>285</v>
      </c>
      <c r="R117" s="19" t="s">
        <v>248</v>
      </c>
      <c r="S117" s="19" t="s">
        <v>248</v>
      </c>
      <c r="T117" s="19" t="s">
        <v>286</v>
      </c>
    </row>
    <row r="118" spans="1:20" x14ac:dyDescent="0.2">
      <c r="A118" s="1">
        <v>46009</v>
      </c>
      <c r="B118" s="2">
        <v>0.79166666666666663</v>
      </c>
      <c r="C118" s="19" t="s">
        <v>21</v>
      </c>
      <c r="D118" s="19" t="s">
        <v>17</v>
      </c>
      <c r="E118" s="19" t="s">
        <v>21</v>
      </c>
      <c r="F118">
        <v>4</v>
      </c>
      <c r="G118">
        <v>2</v>
      </c>
      <c r="H118">
        <v>0.83350000000000002</v>
      </c>
      <c r="I118" s="19" t="s">
        <v>249</v>
      </c>
      <c r="J118" s="19" t="s">
        <v>21</v>
      </c>
      <c r="K118">
        <v>3</v>
      </c>
      <c r="L118">
        <v>2</v>
      </c>
      <c r="M118">
        <v>0.49</v>
      </c>
      <c r="N118" s="19" t="s">
        <v>17</v>
      </c>
      <c r="O118" s="19" t="s">
        <v>287</v>
      </c>
      <c r="P118" s="19" t="s">
        <v>291</v>
      </c>
      <c r="Q118" s="19" t="s">
        <v>285</v>
      </c>
      <c r="R118" s="19" t="s">
        <v>249</v>
      </c>
      <c r="S118" s="19" t="s">
        <v>249</v>
      </c>
      <c r="T118" s="19" t="s">
        <v>286</v>
      </c>
    </row>
    <row r="119" spans="1:20" x14ac:dyDescent="0.2">
      <c r="A119" s="1">
        <v>46009</v>
      </c>
      <c r="B119" s="2">
        <v>0.91666666666666663</v>
      </c>
      <c r="C119" s="19" t="s">
        <v>33</v>
      </c>
      <c r="D119" s="19" t="s">
        <v>39</v>
      </c>
      <c r="E119" s="19" t="s">
        <v>39</v>
      </c>
      <c r="F119">
        <v>2</v>
      </c>
      <c r="G119">
        <v>4</v>
      </c>
      <c r="H119">
        <v>0.74929999999999997</v>
      </c>
      <c r="I119" s="19" t="s">
        <v>249</v>
      </c>
      <c r="J119" s="19" t="s">
        <v>39</v>
      </c>
      <c r="K119">
        <v>3</v>
      </c>
      <c r="L119">
        <v>2</v>
      </c>
      <c r="M119">
        <v>-0.81</v>
      </c>
      <c r="N119" s="19" t="s">
        <v>39</v>
      </c>
      <c r="O119" s="19" t="s">
        <v>291</v>
      </c>
      <c r="P119" s="19" t="s">
        <v>283</v>
      </c>
      <c r="Q119" s="19" t="s">
        <v>285</v>
      </c>
      <c r="R119" s="19" t="s">
        <v>248</v>
      </c>
      <c r="S119" s="19" t="s">
        <v>248</v>
      </c>
      <c r="T119" s="19" t="s">
        <v>286</v>
      </c>
    </row>
    <row r="120" spans="1:20" x14ac:dyDescent="0.2">
      <c r="A120" s="1">
        <v>46010</v>
      </c>
      <c r="B120" s="2">
        <v>0.79166666666666663</v>
      </c>
      <c r="C120" s="19" t="s">
        <v>30</v>
      </c>
      <c r="D120" s="19" t="s">
        <v>38</v>
      </c>
      <c r="E120" s="19" t="s">
        <v>38</v>
      </c>
      <c r="F120">
        <v>2</v>
      </c>
      <c r="G120">
        <v>3</v>
      </c>
      <c r="H120">
        <v>0.56710000000000005</v>
      </c>
      <c r="I120" s="19" t="s">
        <v>249</v>
      </c>
      <c r="J120" s="19" t="s">
        <v>30</v>
      </c>
      <c r="K120">
        <v>3</v>
      </c>
      <c r="L120">
        <v>2</v>
      </c>
      <c r="M120">
        <v>1.03</v>
      </c>
      <c r="N120" s="19" t="s">
        <v>38</v>
      </c>
      <c r="O120" s="19" t="s">
        <v>287</v>
      </c>
      <c r="P120" s="19" t="s">
        <v>289</v>
      </c>
      <c r="Q120" s="19" t="s">
        <v>285</v>
      </c>
      <c r="R120" s="19" t="s">
        <v>248</v>
      </c>
      <c r="S120" s="19" t="s">
        <v>249</v>
      </c>
      <c r="T120" s="19" t="s">
        <v>286</v>
      </c>
    </row>
    <row r="121" spans="1:20" x14ac:dyDescent="0.2">
      <c r="A121" s="1">
        <v>46010</v>
      </c>
      <c r="B121" s="2">
        <v>0.875</v>
      </c>
      <c r="C121" s="19" t="s">
        <v>12</v>
      </c>
      <c r="D121" s="19" t="s">
        <v>40</v>
      </c>
      <c r="E121" s="19" t="s">
        <v>12</v>
      </c>
      <c r="F121">
        <v>4</v>
      </c>
      <c r="G121">
        <v>2</v>
      </c>
      <c r="H121">
        <v>0.85950000000000004</v>
      </c>
      <c r="I121" s="19" t="s">
        <v>249</v>
      </c>
      <c r="J121" s="19" t="s">
        <v>12</v>
      </c>
      <c r="K121">
        <v>3</v>
      </c>
      <c r="L121">
        <v>2</v>
      </c>
      <c r="M121">
        <v>1.85</v>
      </c>
      <c r="N121" s="19" t="s">
        <v>12</v>
      </c>
      <c r="O121" s="19" t="s">
        <v>291</v>
      </c>
      <c r="P121" s="19" t="s">
        <v>284</v>
      </c>
      <c r="Q121" s="19" t="s">
        <v>285</v>
      </c>
      <c r="R121" s="19" t="s">
        <v>248</v>
      </c>
      <c r="S121" s="19" t="s">
        <v>248</v>
      </c>
      <c r="T121" s="19" t="s">
        <v>286</v>
      </c>
    </row>
    <row r="122" spans="1:20" x14ac:dyDescent="0.2">
      <c r="A122" s="1">
        <v>46010</v>
      </c>
      <c r="B122" s="2">
        <v>0.875</v>
      </c>
      <c r="C122" s="19" t="s">
        <v>55</v>
      </c>
      <c r="D122" s="19" t="s">
        <v>24</v>
      </c>
      <c r="E122" s="19" t="s">
        <v>24</v>
      </c>
      <c r="F122">
        <v>3</v>
      </c>
      <c r="G122">
        <v>4</v>
      </c>
      <c r="H122">
        <v>0.50349999999999995</v>
      </c>
      <c r="I122" s="19" t="s">
        <v>249</v>
      </c>
      <c r="J122" s="19" t="s">
        <v>55</v>
      </c>
      <c r="K122">
        <v>3</v>
      </c>
      <c r="L122">
        <v>2</v>
      </c>
      <c r="M122">
        <v>0.31</v>
      </c>
      <c r="N122" s="19" t="s">
        <v>24</v>
      </c>
      <c r="O122" s="19" t="s">
        <v>287</v>
      </c>
      <c r="P122" s="19" t="s">
        <v>284</v>
      </c>
      <c r="Q122" s="19" t="s">
        <v>285</v>
      </c>
      <c r="R122" s="19" t="s">
        <v>248</v>
      </c>
      <c r="S122" s="19" t="s">
        <v>249</v>
      </c>
      <c r="T122" s="19" t="s">
        <v>286</v>
      </c>
    </row>
    <row r="123" spans="1:20" x14ac:dyDescent="0.2">
      <c r="A123" s="1">
        <v>46010</v>
      </c>
      <c r="B123" s="2">
        <v>0.91666666666666663</v>
      </c>
      <c r="C123" s="19" t="s">
        <v>31</v>
      </c>
      <c r="D123" s="19" t="s">
        <v>39</v>
      </c>
      <c r="E123" s="19" t="s">
        <v>31</v>
      </c>
      <c r="F123">
        <v>5</v>
      </c>
      <c r="G123">
        <v>3</v>
      </c>
      <c r="H123">
        <v>0.64939999999999998</v>
      </c>
      <c r="I123" s="19" t="s">
        <v>249</v>
      </c>
      <c r="J123" s="19" t="s">
        <v>39</v>
      </c>
      <c r="K123">
        <v>3</v>
      </c>
      <c r="L123">
        <v>2</v>
      </c>
      <c r="M123">
        <v>-0.37</v>
      </c>
      <c r="N123" s="19" t="s">
        <v>39</v>
      </c>
      <c r="O123" s="19" t="s">
        <v>291</v>
      </c>
      <c r="P123" s="19" t="s">
        <v>1494</v>
      </c>
      <c r="Q123" s="19" t="s">
        <v>285</v>
      </c>
      <c r="R123" s="19" t="s">
        <v>249</v>
      </c>
      <c r="S123" s="19" t="s">
        <v>248</v>
      </c>
      <c r="T123" s="19" t="s">
        <v>286</v>
      </c>
    </row>
    <row r="124" spans="1:20" x14ac:dyDescent="0.2">
      <c r="A124" s="1">
        <v>46010</v>
      </c>
      <c r="B124" s="2">
        <v>0.79166666666666663</v>
      </c>
      <c r="C124" s="19" t="s">
        <v>11</v>
      </c>
      <c r="D124" s="19" t="s">
        <v>25</v>
      </c>
      <c r="E124" s="19" t="s">
        <v>11</v>
      </c>
      <c r="F124">
        <v>4</v>
      </c>
      <c r="G124">
        <v>3</v>
      </c>
      <c r="H124">
        <v>0.61499999999999999</v>
      </c>
      <c r="I124" s="19" t="s">
        <v>249</v>
      </c>
      <c r="J124" s="19" t="s">
        <v>25</v>
      </c>
      <c r="K124">
        <v>3</v>
      </c>
      <c r="L124">
        <v>2</v>
      </c>
      <c r="M124">
        <v>-0.47</v>
      </c>
      <c r="N124" s="19" t="s">
        <v>11</v>
      </c>
      <c r="O124" s="19" t="s">
        <v>289</v>
      </c>
      <c r="P124" s="19" t="s">
        <v>291</v>
      </c>
      <c r="Q124" s="19" t="s">
        <v>287</v>
      </c>
      <c r="R124" s="19" t="s">
        <v>248</v>
      </c>
      <c r="S124" s="19" t="s">
        <v>249</v>
      </c>
      <c r="T124" s="19" t="s">
        <v>286</v>
      </c>
    </row>
    <row r="125" spans="1:20" x14ac:dyDescent="0.2">
      <c r="A125" s="1">
        <v>46011</v>
      </c>
      <c r="B125" s="2">
        <v>0.625</v>
      </c>
      <c r="C125" s="19" t="s">
        <v>36</v>
      </c>
      <c r="D125" s="19" t="s">
        <v>10</v>
      </c>
      <c r="E125" s="19" t="s">
        <v>36</v>
      </c>
      <c r="F125">
        <v>3</v>
      </c>
      <c r="G125">
        <v>2</v>
      </c>
      <c r="H125">
        <v>0.54479999999999995</v>
      </c>
      <c r="I125" s="19" t="s">
        <v>249</v>
      </c>
      <c r="J125" s="19" t="s">
        <v>36</v>
      </c>
      <c r="K125">
        <v>3</v>
      </c>
      <c r="L125">
        <v>2</v>
      </c>
      <c r="M125">
        <v>0.51</v>
      </c>
      <c r="N125" s="19" t="s">
        <v>36</v>
      </c>
      <c r="O125" s="19" t="s">
        <v>288</v>
      </c>
      <c r="P125" s="19" t="s">
        <v>289</v>
      </c>
      <c r="Q125" s="19" t="s">
        <v>285</v>
      </c>
      <c r="R125" s="19" t="s">
        <v>248</v>
      </c>
      <c r="S125" s="19" t="s">
        <v>248</v>
      </c>
      <c r="T125" s="19" t="s">
        <v>286</v>
      </c>
    </row>
    <row r="126" spans="1:20" x14ac:dyDescent="0.2">
      <c r="A126" s="1">
        <v>46011</v>
      </c>
      <c r="B126" s="2">
        <v>0.70833333333333337</v>
      </c>
      <c r="C126" s="19" t="s">
        <v>23</v>
      </c>
      <c r="D126" s="19" t="s">
        <v>30</v>
      </c>
      <c r="E126" s="19" t="s">
        <v>30</v>
      </c>
      <c r="F126">
        <v>2</v>
      </c>
      <c r="G126">
        <v>3</v>
      </c>
      <c r="H126">
        <v>0.63270000000000004</v>
      </c>
      <c r="I126" s="19" t="s">
        <v>249</v>
      </c>
      <c r="J126" s="19" t="s">
        <v>30</v>
      </c>
      <c r="K126">
        <v>3</v>
      </c>
      <c r="L126">
        <v>2</v>
      </c>
      <c r="M126">
        <v>-0.45</v>
      </c>
      <c r="N126" s="19" t="s">
        <v>23</v>
      </c>
      <c r="O126" s="19" t="s">
        <v>291</v>
      </c>
      <c r="P126" s="19" t="s">
        <v>284</v>
      </c>
      <c r="Q126" s="19" t="s">
        <v>287</v>
      </c>
      <c r="R126" s="19" t="s">
        <v>249</v>
      </c>
      <c r="S126" s="19" t="s">
        <v>249</v>
      </c>
      <c r="T126" s="19" t="s">
        <v>286</v>
      </c>
    </row>
    <row r="127" spans="1:20" x14ac:dyDescent="0.2">
      <c r="A127" s="1">
        <v>46011</v>
      </c>
      <c r="B127" s="2">
        <v>0.52083333333333337</v>
      </c>
      <c r="C127" s="19" t="s">
        <v>22</v>
      </c>
      <c r="D127" s="19" t="s">
        <v>26</v>
      </c>
      <c r="E127" s="19" t="s">
        <v>22</v>
      </c>
      <c r="F127">
        <v>4</v>
      </c>
      <c r="G127">
        <v>3</v>
      </c>
      <c r="H127">
        <v>0.57709999999999995</v>
      </c>
      <c r="I127" s="19" t="s">
        <v>249</v>
      </c>
      <c r="J127" s="19" t="s">
        <v>22</v>
      </c>
      <c r="K127">
        <v>3</v>
      </c>
      <c r="L127">
        <v>2</v>
      </c>
      <c r="M127">
        <v>1.1000000000000001</v>
      </c>
      <c r="N127" s="19" t="s">
        <v>26</v>
      </c>
      <c r="O127" s="19" t="s">
        <v>284</v>
      </c>
      <c r="P127" s="19" t="s">
        <v>283</v>
      </c>
      <c r="Q127" s="19" t="s">
        <v>285</v>
      </c>
      <c r="R127" s="19" t="s">
        <v>249</v>
      </c>
      <c r="S127" s="19" t="s">
        <v>249</v>
      </c>
      <c r="T127" s="19" t="s">
        <v>286</v>
      </c>
    </row>
    <row r="128" spans="1:20" x14ac:dyDescent="0.2">
      <c r="A128" s="1">
        <v>46011</v>
      </c>
      <c r="B128" s="2">
        <v>0.91666666666666663</v>
      </c>
      <c r="C128" s="19" t="s">
        <v>33</v>
      </c>
      <c r="D128" s="19" t="s">
        <v>32</v>
      </c>
      <c r="E128" s="19" t="s">
        <v>33</v>
      </c>
      <c r="F128">
        <v>4</v>
      </c>
      <c r="G128">
        <v>3</v>
      </c>
      <c r="H128">
        <v>0.73929999999999996</v>
      </c>
      <c r="I128" s="19" t="s">
        <v>248</v>
      </c>
      <c r="J128" s="19" t="s">
        <v>33</v>
      </c>
      <c r="K128">
        <v>3</v>
      </c>
      <c r="L128">
        <v>2</v>
      </c>
      <c r="M128">
        <v>0.57999999999999996</v>
      </c>
      <c r="N128" s="19" t="s">
        <v>32</v>
      </c>
      <c r="O128" s="19" t="s">
        <v>284</v>
      </c>
      <c r="P128" s="19" t="s">
        <v>289</v>
      </c>
      <c r="Q128" s="19" t="s">
        <v>285</v>
      </c>
      <c r="R128" s="19" t="s">
        <v>249</v>
      </c>
      <c r="S128" s="19" t="s">
        <v>249</v>
      </c>
      <c r="T128" s="19" t="s">
        <v>286</v>
      </c>
    </row>
    <row r="129" spans="1:20" x14ac:dyDescent="0.2">
      <c r="A129" s="1">
        <v>46011</v>
      </c>
      <c r="B129" s="2">
        <v>0.79166666666666663</v>
      </c>
      <c r="C129" s="19" t="s">
        <v>21</v>
      </c>
      <c r="D129" s="19" t="s">
        <v>38</v>
      </c>
      <c r="E129" s="19" t="s">
        <v>38</v>
      </c>
      <c r="F129">
        <v>3</v>
      </c>
      <c r="G129">
        <v>4</v>
      </c>
      <c r="H129">
        <v>0.5171</v>
      </c>
      <c r="I129" s="19" t="s">
        <v>249</v>
      </c>
      <c r="J129" s="19" t="s">
        <v>21</v>
      </c>
      <c r="K129">
        <v>3</v>
      </c>
      <c r="L129">
        <v>2</v>
      </c>
      <c r="M129">
        <v>0.75</v>
      </c>
      <c r="N129" s="19" t="s">
        <v>38</v>
      </c>
      <c r="O129" s="19" t="s">
        <v>289</v>
      </c>
      <c r="P129" s="19" t="s">
        <v>283</v>
      </c>
      <c r="Q129" s="19" t="s">
        <v>287</v>
      </c>
      <c r="R129" s="19" t="s">
        <v>248</v>
      </c>
      <c r="S129" s="19" t="s">
        <v>249</v>
      </c>
      <c r="T129" s="19" t="s">
        <v>286</v>
      </c>
    </row>
    <row r="130" spans="1:20" x14ac:dyDescent="0.2">
      <c r="A130" s="1">
        <v>46011</v>
      </c>
      <c r="B130" s="2">
        <v>0.52083333333333337</v>
      </c>
      <c r="C130" s="19" t="s">
        <v>15</v>
      </c>
      <c r="D130" s="19" t="s">
        <v>27</v>
      </c>
      <c r="E130" s="19" t="s">
        <v>27</v>
      </c>
      <c r="F130">
        <v>1</v>
      </c>
      <c r="G130">
        <v>3</v>
      </c>
      <c r="H130">
        <v>0.91959999999999997</v>
      </c>
      <c r="I130" s="19" t="s">
        <v>249</v>
      </c>
      <c r="J130" s="19" t="s">
        <v>27</v>
      </c>
      <c r="K130">
        <v>3</v>
      </c>
      <c r="L130">
        <v>2</v>
      </c>
      <c r="M130">
        <v>-0.19</v>
      </c>
      <c r="N130" s="19" t="s">
        <v>15</v>
      </c>
      <c r="O130" s="19" t="s">
        <v>283</v>
      </c>
      <c r="P130" s="19" t="s">
        <v>289</v>
      </c>
      <c r="Q130" s="19" t="s">
        <v>287</v>
      </c>
      <c r="R130" s="19" t="s">
        <v>249</v>
      </c>
      <c r="S130" s="19" t="s">
        <v>249</v>
      </c>
      <c r="T130" s="19" t="s">
        <v>286</v>
      </c>
    </row>
    <row r="131" spans="1:20" x14ac:dyDescent="0.2">
      <c r="A131" s="1">
        <v>46011</v>
      </c>
      <c r="B131" s="2">
        <v>0.91666666666666663</v>
      </c>
      <c r="C131" s="19" t="s">
        <v>31</v>
      </c>
      <c r="D131" s="19" t="s">
        <v>28</v>
      </c>
      <c r="E131" s="19" t="s">
        <v>31</v>
      </c>
      <c r="F131">
        <v>5</v>
      </c>
      <c r="G131">
        <v>3</v>
      </c>
      <c r="H131">
        <v>0.74139999999999995</v>
      </c>
      <c r="I131" s="19" t="s">
        <v>249</v>
      </c>
      <c r="J131" s="19" t="s">
        <v>31</v>
      </c>
      <c r="K131">
        <v>3</v>
      </c>
      <c r="L131">
        <v>2</v>
      </c>
      <c r="M131">
        <v>0.68</v>
      </c>
      <c r="N131" s="19" t="s">
        <v>31</v>
      </c>
      <c r="O131" s="19" t="s">
        <v>289</v>
      </c>
      <c r="P131" s="19" t="s">
        <v>291</v>
      </c>
      <c r="Q131" s="19" t="s">
        <v>285</v>
      </c>
      <c r="R131" s="19" t="s">
        <v>248</v>
      </c>
      <c r="S131" s="19" t="s">
        <v>248</v>
      </c>
      <c r="T131" s="19" t="s">
        <v>286</v>
      </c>
    </row>
    <row r="132" spans="1:20" x14ac:dyDescent="0.2">
      <c r="A132" s="1">
        <v>46011</v>
      </c>
      <c r="B132" s="2">
        <v>0.79166666666666663</v>
      </c>
      <c r="C132" s="19" t="s">
        <v>18</v>
      </c>
      <c r="D132" s="19" t="s">
        <v>14</v>
      </c>
      <c r="E132" s="19" t="s">
        <v>14</v>
      </c>
      <c r="F132">
        <v>3</v>
      </c>
      <c r="G132">
        <v>4</v>
      </c>
      <c r="H132">
        <v>0.5988</v>
      </c>
      <c r="I132" s="19" t="s">
        <v>249</v>
      </c>
      <c r="J132" s="19" t="s">
        <v>14</v>
      </c>
      <c r="K132">
        <v>3</v>
      </c>
      <c r="L132">
        <v>2</v>
      </c>
      <c r="M132">
        <v>-0.11</v>
      </c>
      <c r="N132" s="19" t="s">
        <v>18</v>
      </c>
      <c r="O132" s="19" t="s">
        <v>289</v>
      </c>
      <c r="P132" s="19" t="s">
        <v>285</v>
      </c>
      <c r="Q132" s="19" t="s">
        <v>285</v>
      </c>
      <c r="R132" s="19" t="s">
        <v>249</v>
      </c>
      <c r="S132" s="19" t="s">
        <v>249</v>
      </c>
      <c r="T132" s="19" t="s">
        <v>286</v>
      </c>
    </row>
    <row r="133" spans="1:20" x14ac:dyDescent="0.2">
      <c r="A133" s="1">
        <v>46011</v>
      </c>
      <c r="B133" s="2">
        <v>0.79166666666666663</v>
      </c>
      <c r="C133" s="19" t="s">
        <v>37</v>
      </c>
      <c r="D133" s="19" t="s">
        <v>25</v>
      </c>
      <c r="E133" s="19" t="s">
        <v>25</v>
      </c>
      <c r="F133">
        <v>2</v>
      </c>
      <c r="G133">
        <v>3</v>
      </c>
      <c r="H133">
        <v>0.55740000000000001</v>
      </c>
      <c r="I133" s="19" t="s">
        <v>249</v>
      </c>
      <c r="J133" s="19" t="s">
        <v>25</v>
      </c>
      <c r="K133">
        <v>3</v>
      </c>
      <c r="L133">
        <v>2</v>
      </c>
      <c r="M133">
        <v>-0.03</v>
      </c>
      <c r="N133" s="19" t="s">
        <v>37</v>
      </c>
      <c r="O133" s="19" t="s">
        <v>288</v>
      </c>
      <c r="P133" s="19" t="s">
        <v>289</v>
      </c>
      <c r="Q133" s="19" t="s">
        <v>285</v>
      </c>
      <c r="R133" s="19" t="s">
        <v>249</v>
      </c>
      <c r="S133" s="19" t="s">
        <v>249</v>
      </c>
      <c r="T133" s="19" t="s">
        <v>286</v>
      </c>
    </row>
    <row r="134" spans="1:20" x14ac:dyDescent="0.2">
      <c r="A134" s="1">
        <v>46011</v>
      </c>
      <c r="B134" s="2">
        <v>0.79166666666666663</v>
      </c>
      <c r="C134" s="19" t="s">
        <v>29</v>
      </c>
      <c r="D134" s="19" t="s">
        <v>19</v>
      </c>
      <c r="E134" s="19" t="s">
        <v>29</v>
      </c>
      <c r="F134">
        <v>3</v>
      </c>
      <c r="G134">
        <v>2</v>
      </c>
      <c r="H134">
        <v>0.69740000000000002</v>
      </c>
      <c r="I134" s="19" t="s">
        <v>249</v>
      </c>
      <c r="J134" s="19" t="s">
        <v>19</v>
      </c>
      <c r="K134">
        <v>3</v>
      </c>
      <c r="L134">
        <v>2</v>
      </c>
      <c r="M134">
        <v>-0.41</v>
      </c>
      <c r="N134" s="19" t="s">
        <v>29</v>
      </c>
      <c r="O134" s="19" t="s">
        <v>283</v>
      </c>
      <c r="P134" s="19" t="s">
        <v>291</v>
      </c>
      <c r="Q134" s="19" t="s">
        <v>285</v>
      </c>
      <c r="R134" s="19" t="s">
        <v>248</v>
      </c>
      <c r="S134" s="19" t="s">
        <v>249</v>
      </c>
      <c r="T134" s="19" t="s">
        <v>286</v>
      </c>
    </row>
    <row r="135" spans="1:20" x14ac:dyDescent="0.2">
      <c r="A135" s="1">
        <v>46011</v>
      </c>
      <c r="B135" s="2">
        <v>0.91666666666666663</v>
      </c>
      <c r="C135" s="19" t="s">
        <v>16</v>
      </c>
      <c r="D135" s="19" t="s">
        <v>20</v>
      </c>
      <c r="E135" s="19" t="s">
        <v>20</v>
      </c>
      <c r="F135">
        <v>3</v>
      </c>
      <c r="G135">
        <v>4</v>
      </c>
      <c r="H135">
        <v>0.77259999999999995</v>
      </c>
      <c r="I135" s="19" t="s">
        <v>249</v>
      </c>
      <c r="J135" s="19" t="s">
        <v>20</v>
      </c>
      <c r="K135">
        <v>3</v>
      </c>
      <c r="L135">
        <v>2</v>
      </c>
      <c r="M135">
        <v>-0.65</v>
      </c>
      <c r="N135" s="19" t="s">
        <v>16</v>
      </c>
      <c r="O135" s="19" t="s">
        <v>288</v>
      </c>
      <c r="P135" s="19" t="s">
        <v>291</v>
      </c>
      <c r="Q135" s="19" t="s">
        <v>285</v>
      </c>
      <c r="R135" s="19" t="s">
        <v>249</v>
      </c>
      <c r="S135" s="19" t="s">
        <v>249</v>
      </c>
      <c r="T135" s="19" t="s">
        <v>286</v>
      </c>
    </row>
    <row r="136" spans="1:20" x14ac:dyDescent="0.2">
      <c r="A136" s="1">
        <v>46011</v>
      </c>
      <c r="B136" s="2">
        <v>0.625</v>
      </c>
      <c r="C136" s="19" t="s">
        <v>34</v>
      </c>
      <c r="D136" s="19" t="s">
        <v>17</v>
      </c>
      <c r="E136" s="19" t="s">
        <v>17</v>
      </c>
      <c r="F136">
        <v>4</v>
      </c>
      <c r="G136">
        <v>5</v>
      </c>
      <c r="H136">
        <v>0.55320000000000003</v>
      </c>
      <c r="I136" s="19" t="s">
        <v>248</v>
      </c>
      <c r="J136" s="19" t="s">
        <v>34</v>
      </c>
      <c r="K136">
        <v>3</v>
      </c>
      <c r="L136">
        <v>2</v>
      </c>
      <c r="M136">
        <v>0.67</v>
      </c>
      <c r="N136" s="19" t="s">
        <v>34</v>
      </c>
      <c r="O136" s="19" t="s">
        <v>283</v>
      </c>
      <c r="P136" s="19" t="s">
        <v>284</v>
      </c>
      <c r="Q136" s="19" t="s">
        <v>285</v>
      </c>
      <c r="R136" s="19" t="s">
        <v>249</v>
      </c>
      <c r="S136" s="19" t="s">
        <v>248</v>
      </c>
      <c r="T136" s="19" t="s">
        <v>286</v>
      </c>
    </row>
    <row r="137" spans="1:20" x14ac:dyDescent="0.2">
      <c r="A137" s="1">
        <v>46011</v>
      </c>
      <c r="B137" s="2">
        <v>0.75</v>
      </c>
      <c r="C137" s="19" t="s">
        <v>11</v>
      </c>
      <c r="D137" s="19" t="s">
        <v>35</v>
      </c>
      <c r="E137" s="19" t="s">
        <v>35</v>
      </c>
      <c r="F137">
        <v>4</v>
      </c>
      <c r="G137">
        <v>5</v>
      </c>
      <c r="H137">
        <v>0.5121</v>
      </c>
      <c r="I137" s="19" t="s">
        <v>249</v>
      </c>
      <c r="J137" s="19" t="s">
        <v>11</v>
      </c>
      <c r="K137">
        <v>3</v>
      </c>
      <c r="L137">
        <v>2</v>
      </c>
      <c r="M137">
        <v>1.4</v>
      </c>
      <c r="N137" s="19" t="s">
        <v>35</v>
      </c>
      <c r="O137" s="19" t="s">
        <v>284</v>
      </c>
      <c r="P137" s="19" t="s">
        <v>288</v>
      </c>
      <c r="Q137" s="19" t="s">
        <v>285</v>
      </c>
      <c r="R137" s="19" t="s">
        <v>248</v>
      </c>
      <c r="S137" s="19" t="s">
        <v>249</v>
      </c>
      <c r="T137" s="19" t="s">
        <v>286</v>
      </c>
    </row>
    <row r="138" spans="1:20" x14ac:dyDescent="0.2">
      <c r="A138" s="1">
        <v>46012</v>
      </c>
      <c r="B138" s="2">
        <v>0.79166666666666663</v>
      </c>
      <c r="C138" s="19" t="s">
        <v>55</v>
      </c>
      <c r="D138" s="19" t="s">
        <v>40</v>
      </c>
      <c r="E138" s="19" t="s">
        <v>55</v>
      </c>
      <c r="F138">
        <v>3</v>
      </c>
      <c r="G138">
        <v>2</v>
      </c>
      <c r="H138">
        <v>0.69499999999999995</v>
      </c>
      <c r="I138" s="19" t="s">
        <v>249</v>
      </c>
      <c r="J138" s="19" t="s">
        <v>55</v>
      </c>
      <c r="K138">
        <v>3</v>
      </c>
      <c r="L138">
        <v>2</v>
      </c>
      <c r="M138">
        <v>0.23</v>
      </c>
      <c r="N138" s="19" t="s">
        <v>55</v>
      </c>
      <c r="O138" s="19" t="s">
        <v>289</v>
      </c>
      <c r="P138" s="19" t="s">
        <v>291</v>
      </c>
      <c r="Q138" s="19" t="s">
        <v>287</v>
      </c>
      <c r="R138" s="19" t="s">
        <v>248</v>
      </c>
      <c r="S138" s="19" t="s">
        <v>248</v>
      </c>
      <c r="T138" s="19" t="s">
        <v>286</v>
      </c>
    </row>
    <row r="139" spans="1:20" x14ac:dyDescent="0.2">
      <c r="A139" s="1">
        <v>46012</v>
      </c>
      <c r="B139" s="2">
        <v>0.79166666666666663</v>
      </c>
      <c r="C139" s="19" t="s">
        <v>29</v>
      </c>
      <c r="D139" s="19" t="s">
        <v>15</v>
      </c>
      <c r="E139" s="19" t="s">
        <v>15</v>
      </c>
      <c r="F139">
        <v>2</v>
      </c>
      <c r="G139">
        <v>3</v>
      </c>
      <c r="H139">
        <v>0.60660000000000003</v>
      </c>
      <c r="I139" s="19" t="s">
        <v>249</v>
      </c>
      <c r="J139" s="19" t="s">
        <v>15</v>
      </c>
      <c r="K139">
        <v>3</v>
      </c>
      <c r="L139">
        <v>2</v>
      </c>
      <c r="M139">
        <v>-0.36</v>
      </c>
      <c r="N139" s="19" t="s">
        <v>29</v>
      </c>
      <c r="O139" s="19" t="s">
        <v>284</v>
      </c>
      <c r="P139" s="19" t="s">
        <v>287</v>
      </c>
      <c r="Q139" s="19" t="s">
        <v>285</v>
      </c>
      <c r="R139" s="19" t="s">
        <v>249</v>
      </c>
      <c r="S139" s="19" t="s">
        <v>249</v>
      </c>
      <c r="T139" s="19" t="s">
        <v>286</v>
      </c>
    </row>
    <row r="140" spans="1:20" x14ac:dyDescent="0.2">
      <c r="A140" s="1">
        <v>46012</v>
      </c>
      <c r="B140" s="2">
        <v>0.79166666666666663</v>
      </c>
      <c r="C140" s="19" t="s">
        <v>24</v>
      </c>
      <c r="D140" s="19" t="s">
        <v>23</v>
      </c>
      <c r="E140" s="19" t="s">
        <v>24</v>
      </c>
      <c r="F140">
        <v>4</v>
      </c>
      <c r="G140">
        <v>3</v>
      </c>
      <c r="H140">
        <v>0.79630000000000001</v>
      </c>
      <c r="I140" s="19" t="s">
        <v>249</v>
      </c>
      <c r="J140" s="19" t="s">
        <v>24</v>
      </c>
      <c r="K140">
        <v>3</v>
      </c>
      <c r="L140">
        <v>2</v>
      </c>
      <c r="M140">
        <v>0.14000000000000001</v>
      </c>
      <c r="N140" s="19" t="s">
        <v>23</v>
      </c>
      <c r="O140" s="19" t="s">
        <v>287</v>
      </c>
      <c r="P140" s="19" t="s">
        <v>291</v>
      </c>
      <c r="Q140" s="19" t="s">
        <v>285</v>
      </c>
      <c r="R140" s="19" t="s">
        <v>249</v>
      </c>
      <c r="S140" s="19" t="s">
        <v>249</v>
      </c>
      <c r="T140" s="19" t="s">
        <v>286</v>
      </c>
    </row>
    <row r="141" spans="1:20" x14ac:dyDescent="0.2">
      <c r="A141" s="1">
        <v>46012</v>
      </c>
      <c r="B141" s="2">
        <v>0.79166666666666663</v>
      </c>
      <c r="C141" s="19" t="s">
        <v>21</v>
      </c>
      <c r="D141" s="19" t="s">
        <v>36</v>
      </c>
      <c r="E141" s="19" t="s">
        <v>21</v>
      </c>
      <c r="F141">
        <v>4</v>
      </c>
      <c r="G141">
        <v>3</v>
      </c>
      <c r="H141">
        <v>0.69989999999999997</v>
      </c>
      <c r="I141" s="19" t="s">
        <v>248</v>
      </c>
      <c r="J141" s="19" t="s">
        <v>21</v>
      </c>
      <c r="K141">
        <v>3</v>
      </c>
      <c r="L141">
        <v>2</v>
      </c>
      <c r="M141">
        <v>0.21</v>
      </c>
      <c r="N141" s="19" t="s">
        <v>36</v>
      </c>
      <c r="O141" s="19" t="s">
        <v>284</v>
      </c>
      <c r="P141" s="19" t="s">
        <v>288</v>
      </c>
      <c r="Q141" s="19" t="s">
        <v>285</v>
      </c>
      <c r="R141" s="19" t="s">
        <v>249</v>
      </c>
      <c r="S141" s="19" t="s">
        <v>249</v>
      </c>
      <c r="T141" s="19" t="s">
        <v>286</v>
      </c>
    </row>
    <row r="142" spans="1:20" x14ac:dyDescent="0.2">
      <c r="A142" s="1">
        <v>46012</v>
      </c>
      <c r="B142" s="2">
        <v>0.83333333333333337</v>
      </c>
      <c r="C142" s="19" t="s">
        <v>17</v>
      </c>
      <c r="D142" s="19" t="s">
        <v>20</v>
      </c>
      <c r="E142" s="19" t="s">
        <v>17</v>
      </c>
      <c r="F142">
        <v>3</v>
      </c>
      <c r="G142">
        <v>2</v>
      </c>
      <c r="H142">
        <v>0.67889999999999995</v>
      </c>
      <c r="I142" s="19" t="s">
        <v>249</v>
      </c>
      <c r="J142" s="19" t="s">
        <v>20</v>
      </c>
      <c r="K142">
        <v>3</v>
      </c>
      <c r="L142">
        <v>2</v>
      </c>
      <c r="M142">
        <v>-0.09</v>
      </c>
      <c r="N142" s="19" t="s">
        <v>17</v>
      </c>
      <c r="O142" s="19" t="s">
        <v>289</v>
      </c>
      <c r="P142" s="19" t="s">
        <v>291</v>
      </c>
      <c r="Q142" s="19" t="s">
        <v>285</v>
      </c>
      <c r="R142" s="19" t="s">
        <v>248</v>
      </c>
      <c r="S142" s="19" t="s">
        <v>249</v>
      </c>
      <c r="T142" s="19" t="s">
        <v>286</v>
      </c>
    </row>
    <row r="143" spans="1:20" x14ac:dyDescent="0.2">
      <c r="A143" s="1">
        <v>46012</v>
      </c>
      <c r="B143" s="2">
        <v>0.75</v>
      </c>
      <c r="C143" s="19" t="s">
        <v>34</v>
      </c>
      <c r="D143" s="19" t="s">
        <v>12</v>
      </c>
      <c r="E143" s="19" t="s">
        <v>34</v>
      </c>
      <c r="F143">
        <v>4</v>
      </c>
      <c r="G143">
        <v>3</v>
      </c>
      <c r="H143">
        <v>0.91279999999999994</v>
      </c>
      <c r="I143" s="19" t="s">
        <v>248</v>
      </c>
      <c r="J143" s="19" t="s">
        <v>12</v>
      </c>
      <c r="K143">
        <v>3</v>
      </c>
      <c r="L143">
        <v>2</v>
      </c>
      <c r="M143">
        <v>-0.94</v>
      </c>
      <c r="N143" s="19" t="s">
        <v>12</v>
      </c>
      <c r="O143" s="19" t="s">
        <v>287</v>
      </c>
      <c r="P143" s="19" t="s">
        <v>283</v>
      </c>
      <c r="Q143" s="19" t="s">
        <v>285</v>
      </c>
      <c r="R143" s="19" t="s">
        <v>249</v>
      </c>
      <c r="S143" s="19" t="s">
        <v>248</v>
      </c>
      <c r="T143" s="19" t="s">
        <v>286</v>
      </c>
    </row>
    <row r="144" spans="1:20" x14ac:dyDescent="0.2">
      <c r="A144" s="1">
        <v>46012</v>
      </c>
      <c r="B144" s="2">
        <v>0.54166666666666663</v>
      </c>
      <c r="C144" s="19" t="s">
        <v>26</v>
      </c>
      <c r="D144" s="19" t="s">
        <v>22</v>
      </c>
      <c r="E144" s="19" t="s">
        <v>26</v>
      </c>
      <c r="F144">
        <v>5</v>
      </c>
      <c r="G144">
        <v>4</v>
      </c>
      <c r="H144">
        <v>0.50509999999999999</v>
      </c>
      <c r="I144" s="19" t="s">
        <v>249</v>
      </c>
      <c r="J144" s="19" t="s">
        <v>22</v>
      </c>
      <c r="K144">
        <v>3</v>
      </c>
      <c r="L144">
        <v>2</v>
      </c>
      <c r="M144">
        <v>-0.73</v>
      </c>
      <c r="N144" s="19" t="s">
        <v>26</v>
      </c>
      <c r="O144" s="19" t="s">
        <v>291</v>
      </c>
      <c r="P144" s="19" t="s">
        <v>284</v>
      </c>
      <c r="Q144" s="19" t="s">
        <v>287</v>
      </c>
      <c r="R144" s="19" t="s">
        <v>248</v>
      </c>
      <c r="S144" s="19" t="s">
        <v>249</v>
      </c>
      <c r="T144" s="19" t="s">
        <v>286</v>
      </c>
    </row>
    <row r="145" spans="1:20" x14ac:dyDescent="0.2">
      <c r="A145" s="1">
        <v>46012</v>
      </c>
      <c r="B145" s="2">
        <v>0.79166666666666663</v>
      </c>
      <c r="C145" s="19" t="s">
        <v>14</v>
      </c>
      <c r="D145" s="19" t="s">
        <v>18</v>
      </c>
      <c r="E145" s="19" t="s">
        <v>18</v>
      </c>
      <c r="F145">
        <v>2</v>
      </c>
      <c r="G145">
        <v>4</v>
      </c>
      <c r="H145">
        <v>0.80289999999999995</v>
      </c>
      <c r="I145" s="19" t="s">
        <v>249</v>
      </c>
      <c r="J145" s="19" t="s">
        <v>14</v>
      </c>
      <c r="K145">
        <v>3</v>
      </c>
      <c r="L145">
        <v>2</v>
      </c>
      <c r="M145">
        <v>0.01</v>
      </c>
      <c r="N145" s="19" t="s">
        <v>14</v>
      </c>
      <c r="O145" s="19" t="s">
        <v>289</v>
      </c>
      <c r="P145" s="19" t="s">
        <v>291</v>
      </c>
      <c r="Q145" s="19" t="s">
        <v>287</v>
      </c>
      <c r="R145" s="19" t="s">
        <v>249</v>
      </c>
      <c r="S145" s="19" t="s">
        <v>248</v>
      </c>
      <c r="T145" s="19" t="s">
        <v>286</v>
      </c>
    </row>
    <row r="146" spans="1:20" x14ac:dyDescent="0.2">
      <c r="A146" s="1">
        <v>46012</v>
      </c>
      <c r="B146" s="2">
        <v>0.79166666666666663</v>
      </c>
      <c r="C146" s="19" t="s">
        <v>39</v>
      </c>
      <c r="D146" s="19" t="s">
        <v>19</v>
      </c>
      <c r="E146" s="19" t="s">
        <v>39</v>
      </c>
      <c r="F146">
        <v>4</v>
      </c>
      <c r="G146">
        <v>3</v>
      </c>
      <c r="H146">
        <v>0.5847</v>
      </c>
      <c r="I146" s="19" t="s">
        <v>249</v>
      </c>
      <c r="J146" s="19" t="s">
        <v>39</v>
      </c>
      <c r="K146">
        <v>3</v>
      </c>
      <c r="L146">
        <v>2</v>
      </c>
      <c r="M146">
        <v>1.0900000000000001</v>
      </c>
      <c r="N146" s="19" t="s">
        <v>39</v>
      </c>
      <c r="O146" s="19" t="s">
        <v>283</v>
      </c>
      <c r="P146" s="19" t="s">
        <v>287</v>
      </c>
      <c r="Q146" s="19" t="s">
        <v>285</v>
      </c>
      <c r="R146" s="19" t="s">
        <v>248</v>
      </c>
      <c r="S146" s="19" t="s">
        <v>248</v>
      </c>
      <c r="T146" s="19" t="s">
        <v>286</v>
      </c>
    </row>
    <row r="147" spans="1:20" x14ac:dyDescent="0.2">
      <c r="A147" s="1">
        <v>46013</v>
      </c>
      <c r="B147" s="2">
        <v>0.79166666666666663</v>
      </c>
      <c r="C147" s="19" t="s">
        <v>37</v>
      </c>
      <c r="D147" s="19" t="s">
        <v>35</v>
      </c>
      <c r="E147" s="19" t="s">
        <v>37</v>
      </c>
      <c r="F147">
        <v>3</v>
      </c>
      <c r="G147">
        <v>2</v>
      </c>
      <c r="H147">
        <v>0.62280000000000002</v>
      </c>
      <c r="I147" s="19" t="s">
        <v>249</v>
      </c>
      <c r="J147" s="19" t="s">
        <v>37</v>
      </c>
      <c r="K147">
        <v>3</v>
      </c>
      <c r="L147">
        <v>2</v>
      </c>
      <c r="M147">
        <v>1.66</v>
      </c>
      <c r="N147" s="19" t="s">
        <v>37</v>
      </c>
      <c r="O147" s="19" t="s">
        <v>289</v>
      </c>
      <c r="P147" s="19" t="s">
        <v>287</v>
      </c>
      <c r="Q147" s="19" t="s">
        <v>285</v>
      </c>
      <c r="R147" s="19" t="s">
        <v>248</v>
      </c>
      <c r="S147" s="19" t="s">
        <v>248</v>
      </c>
      <c r="T147" s="19" t="s">
        <v>286</v>
      </c>
    </row>
    <row r="148" spans="1:20" x14ac:dyDescent="0.2">
      <c r="A148" s="1">
        <v>46013</v>
      </c>
      <c r="B148" s="2">
        <v>0.8125</v>
      </c>
      <c r="C148" s="19" t="s">
        <v>27</v>
      </c>
      <c r="D148" s="19" t="s">
        <v>38</v>
      </c>
      <c r="E148" s="19" t="s">
        <v>38</v>
      </c>
      <c r="F148">
        <v>2</v>
      </c>
      <c r="G148">
        <v>4</v>
      </c>
      <c r="H148">
        <v>0.83520000000000005</v>
      </c>
      <c r="I148" s="19" t="s">
        <v>249</v>
      </c>
      <c r="J148" s="19" t="s">
        <v>27</v>
      </c>
      <c r="K148">
        <v>3</v>
      </c>
      <c r="L148">
        <v>2</v>
      </c>
      <c r="M148">
        <v>0.57999999999999996</v>
      </c>
      <c r="N148" s="19" t="s">
        <v>27</v>
      </c>
      <c r="O148" s="19" t="s">
        <v>283</v>
      </c>
      <c r="P148" s="19" t="s">
        <v>284</v>
      </c>
      <c r="Q148" s="19" t="s">
        <v>285</v>
      </c>
      <c r="R148" s="19" t="s">
        <v>249</v>
      </c>
      <c r="S148" s="19" t="s">
        <v>248</v>
      </c>
      <c r="T148" s="19" t="s">
        <v>286</v>
      </c>
    </row>
    <row r="149" spans="1:20" x14ac:dyDescent="0.2">
      <c r="A149" s="1">
        <v>46013</v>
      </c>
      <c r="B149" s="2">
        <v>0.91666666666666663</v>
      </c>
      <c r="C149" s="19" t="s">
        <v>31</v>
      </c>
      <c r="D149" s="19" t="s">
        <v>32</v>
      </c>
      <c r="E149" s="19" t="s">
        <v>31</v>
      </c>
      <c r="F149">
        <v>5</v>
      </c>
      <c r="G149">
        <v>1</v>
      </c>
      <c r="H149">
        <v>0.85919999999999996</v>
      </c>
      <c r="I149" s="19" t="s">
        <v>249</v>
      </c>
      <c r="J149" s="19" t="s">
        <v>31</v>
      </c>
      <c r="K149">
        <v>3</v>
      </c>
      <c r="L149">
        <v>2</v>
      </c>
      <c r="M149">
        <v>0.88</v>
      </c>
      <c r="N149" s="19" t="s">
        <v>32</v>
      </c>
      <c r="O149" s="19" t="s">
        <v>287</v>
      </c>
      <c r="P149" s="19" t="s">
        <v>291</v>
      </c>
      <c r="Q149" s="19" t="s">
        <v>285</v>
      </c>
      <c r="R149" s="19" t="s">
        <v>249</v>
      </c>
      <c r="S149" s="19" t="s">
        <v>249</v>
      </c>
      <c r="T149" s="19" t="s">
        <v>286</v>
      </c>
    </row>
    <row r="150" spans="1:20" x14ac:dyDescent="0.2">
      <c r="A150" s="1">
        <v>46013</v>
      </c>
      <c r="B150" s="2">
        <v>0.91666666666666663</v>
      </c>
      <c r="C150" s="19" t="s">
        <v>13</v>
      </c>
      <c r="D150" s="19" t="s">
        <v>28</v>
      </c>
      <c r="E150" s="19" t="s">
        <v>13</v>
      </c>
      <c r="F150">
        <v>4</v>
      </c>
      <c r="G150">
        <v>2</v>
      </c>
      <c r="H150">
        <v>0.52090000000000003</v>
      </c>
      <c r="I150" s="19" t="s">
        <v>249</v>
      </c>
      <c r="J150" s="19" t="s">
        <v>13</v>
      </c>
      <c r="K150">
        <v>3</v>
      </c>
      <c r="L150">
        <v>2</v>
      </c>
      <c r="M150">
        <v>0.55000000000000004</v>
      </c>
      <c r="N150" s="19" t="s">
        <v>28</v>
      </c>
      <c r="O150" s="19" t="s">
        <v>287</v>
      </c>
      <c r="P150" s="19" t="s">
        <v>291</v>
      </c>
      <c r="Q150" s="19" t="s">
        <v>285</v>
      </c>
      <c r="R150" s="19" t="s">
        <v>249</v>
      </c>
      <c r="S150" s="19" t="s">
        <v>249</v>
      </c>
      <c r="T150" s="19" t="s">
        <v>286</v>
      </c>
    </row>
    <row r="151" spans="1:20" x14ac:dyDescent="0.2">
      <c r="A151" s="1">
        <v>46014</v>
      </c>
      <c r="B151" s="2">
        <v>0.79166666666666663</v>
      </c>
      <c r="C151" s="19" t="s">
        <v>25</v>
      </c>
      <c r="D151" s="19" t="s">
        <v>11</v>
      </c>
      <c r="E151" s="19" t="s">
        <v>25</v>
      </c>
      <c r="F151">
        <v>4</v>
      </c>
      <c r="G151">
        <v>3</v>
      </c>
      <c r="H151">
        <v>0.5484</v>
      </c>
      <c r="I151" s="19" t="s">
        <v>249</v>
      </c>
      <c r="J151" s="19" t="s">
        <v>25</v>
      </c>
      <c r="K151">
        <v>3</v>
      </c>
      <c r="L151">
        <v>2</v>
      </c>
      <c r="M151">
        <v>0.6</v>
      </c>
      <c r="N151" s="19" t="s">
        <v>11</v>
      </c>
      <c r="O151" s="19" t="s">
        <v>284</v>
      </c>
      <c r="P151" s="19" t="s">
        <v>283</v>
      </c>
      <c r="Q151" s="19" t="s">
        <v>285</v>
      </c>
      <c r="R151" s="19" t="s">
        <v>249</v>
      </c>
      <c r="S151" s="19" t="s">
        <v>249</v>
      </c>
      <c r="T151" s="19" t="s">
        <v>286</v>
      </c>
    </row>
    <row r="152" spans="1:20" x14ac:dyDescent="0.2">
      <c r="A152" s="1">
        <v>46014</v>
      </c>
      <c r="B152" s="2">
        <v>0.91666666666666663</v>
      </c>
      <c r="C152" s="19" t="s">
        <v>20</v>
      </c>
      <c r="D152" s="19" t="s">
        <v>33</v>
      </c>
      <c r="E152" s="19" t="s">
        <v>33</v>
      </c>
      <c r="F152">
        <v>3</v>
      </c>
      <c r="G152">
        <v>4</v>
      </c>
      <c r="H152">
        <v>0.67400000000000004</v>
      </c>
      <c r="I152" s="19" t="s">
        <v>248</v>
      </c>
      <c r="J152" s="19" t="s">
        <v>20</v>
      </c>
      <c r="K152">
        <v>3</v>
      </c>
      <c r="L152">
        <v>2</v>
      </c>
      <c r="M152">
        <v>0.42</v>
      </c>
      <c r="N152" s="19" t="s">
        <v>20</v>
      </c>
      <c r="O152" s="19" t="s">
        <v>292</v>
      </c>
      <c r="P152" s="19" t="s">
        <v>284</v>
      </c>
      <c r="Q152" s="19" t="s">
        <v>285</v>
      </c>
      <c r="R152" s="19" t="s">
        <v>249</v>
      </c>
      <c r="S152" s="19" t="s">
        <v>248</v>
      </c>
      <c r="T152" s="19" t="s">
        <v>286</v>
      </c>
    </row>
    <row r="153" spans="1:20" x14ac:dyDescent="0.2">
      <c r="A153" s="1">
        <v>46014</v>
      </c>
      <c r="B153" s="2">
        <v>0.79166666666666663</v>
      </c>
      <c r="C153" s="19" t="s">
        <v>36</v>
      </c>
      <c r="D153" s="19" t="s">
        <v>23</v>
      </c>
      <c r="E153" s="19" t="s">
        <v>36</v>
      </c>
      <c r="F153">
        <v>4</v>
      </c>
      <c r="G153">
        <v>3</v>
      </c>
      <c r="H153">
        <v>0.72799999999999998</v>
      </c>
      <c r="I153" s="19" t="s">
        <v>249</v>
      </c>
      <c r="J153" s="19" t="s">
        <v>36</v>
      </c>
      <c r="K153">
        <v>3</v>
      </c>
      <c r="L153">
        <v>2</v>
      </c>
      <c r="M153">
        <v>0.38</v>
      </c>
      <c r="N153" s="19" t="s">
        <v>23</v>
      </c>
      <c r="O153" s="19" t="s">
        <v>284</v>
      </c>
      <c r="P153" s="19" t="s">
        <v>291</v>
      </c>
      <c r="Q153" s="19" t="s">
        <v>287</v>
      </c>
      <c r="R153" s="19" t="s">
        <v>249</v>
      </c>
      <c r="S153" s="19" t="s">
        <v>249</v>
      </c>
      <c r="T153" s="19" t="s">
        <v>286</v>
      </c>
    </row>
    <row r="154" spans="1:20" x14ac:dyDescent="0.2">
      <c r="A154" s="1">
        <v>46014</v>
      </c>
      <c r="B154" s="2">
        <v>0.79166666666666663</v>
      </c>
      <c r="C154" s="19" t="s">
        <v>30</v>
      </c>
      <c r="D154" s="19" t="s">
        <v>24</v>
      </c>
      <c r="E154" s="19" t="s">
        <v>24</v>
      </c>
      <c r="F154">
        <v>3</v>
      </c>
      <c r="G154">
        <v>4</v>
      </c>
      <c r="H154">
        <v>0.6946</v>
      </c>
      <c r="I154" s="19" t="s">
        <v>249</v>
      </c>
      <c r="J154" s="19" t="s">
        <v>30</v>
      </c>
      <c r="K154">
        <v>3</v>
      </c>
      <c r="L154">
        <v>2</v>
      </c>
      <c r="M154">
        <v>0.33</v>
      </c>
      <c r="N154" s="19" t="s">
        <v>30</v>
      </c>
      <c r="O154" s="19" t="s">
        <v>284</v>
      </c>
      <c r="P154" s="19" t="s">
        <v>287</v>
      </c>
      <c r="Q154" s="19" t="s">
        <v>285</v>
      </c>
      <c r="R154" s="19" t="s">
        <v>249</v>
      </c>
      <c r="S154" s="19" t="s">
        <v>248</v>
      </c>
      <c r="T154" s="19" t="s">
        <v>286</v>
      </c>
    </row>
    <row r="155" spans="1:20" x14ac:dyDescent="0.2">
      <c r="A155" s="1">
        <v>46014</v>
      </c>
      <c r="B155" s="2">
        <v>0.79166666666666663</v>
      </c>
      <c r="C155" s="19" t="s">
        <v>22</v>
      </c>
      <c r="D155" s="19" t="s">
        <v>15</v>
      </c>
      <c r="E155" s="19" t="s">
        <v>15</v>
      </c>
      <c r="F155">
        <v>3</v>
      </c>
      <c r="G155">
        <v>4</v>
      </c>
      <c r="H155">
        <v>0.76980000000000004</v>
      </c>
      <c r="I155" s="19" t="s">
        <v>249</v>
      </c>
      <c r="J155" s="19" t="s">
        <v>22</v>
      </c>
      <c r="K155">
        <v>3</v>
      </c>
      <c r="L155">
        <v>2</v>
      </c>
      <c r="M155">
        <v>0.68</v>
      </c>
      <c r="N155" s="19" t="s">
        <v>15</v>
      </c>
      <c r="O155" s="19" t="s">
        <v>291</v>
      </c>
      <c r="P155" s="19" t="s">
        <v>292</v>
      </c>
      <c r="Q155" s="19" t="s">
        <v>285</v>
      </c>
      <c r="R155" s="19" t="s">
        <v>248</v>
      </c>
      <c r="S155" s="19" t="s">
        <v>249</v>
      </c>
      <c r="T155" s="19" t="s">
        <v>286</v>
      </c>
    </row>
    <row r="156" spans="1:20" x14ac:dyDescent="0.2">
      <c r="A156" s="1">
        <v>46014</v>
      </c>
      <c r="B156" s="2">
        <v>0.66666666666666663</v>
      </c>
      <c r="C156" s="19" t="s">
        <v>19</v>
      </c>
      <c r="D156" s="19" t="s">
        <v>14</v>
      </c>
      <c r="E156" s="19" t="s">
        <v>19</v>
      </c>
      <c r="F156">
        <v>4</v>
      </c>
      <c r="G156">
        <v>3</v>
      </c>
      <c r="H156">
        <v>0.72040000000000004</v>
      </c>
      <c r="I156" s="19" t="s">
        <v>249</v>
      </c>
      <c r="J156" s="19" t="s">
        <v>14</v>
      </c>
      <c r="K156">
        <v>3</v>
      </c>
      <c r="L156">
        <v>2</v>
      </c>
      <c r="M156">
        <v>-0.05</v>
      </c>
      <c r="N156" s="19" t="s">
        <v>19</v>
      </c>
      <c r="O156" s="19" t="s">
        <v>288</v>
      </c>
      <c r="P156" s="19" t="s">
        <v>291</v>
      </c>
      <c r="Q156" s="19" t="s">
        <v>285</v>
      </c>
      <c r="R156" s="19" t="s">
        <v>248</v>
      </c>
      <c r="S156" s="19" t="s">
        <v>249</v>
      </c>
      <c r="T156" s="19" t="s">
        <v>286</v>
      </c>
    </row>
    <row r="157" spans="1:20" x14ac:dyDescent="0.2">
      <c r="A157" s="1">
        <v>46014</v>
      </c>
      <c r="B157" s="2">
        <v>0.875</v>
      </c>
      <c r="C157" s="19" t="s">
        <v>17</v>
      </c>
      <c r="D157" s="19" t="s">
        <v>16</v>
      </c>
      <c r="E157" s="19" t="s">
        <v>16</v>
      </c>
      <c r="F157">
        <v>3</v>
      </c>
      <c r="G157">
        <v>4</v>
      </c>
      <c r="H157">
        <v>0.622</v>
      </c>
      <c r="I157" s="19" t="s">
        <v>248</v>
      </c>
      <c r="J157" s="19" t="s">
        <v>17</v>
      </c>
      <c r="K157">
        <v>3</v>
      </c>
      <c r="L157">
        <v>2</v>
      </c>
      <c r="M157">
        <v>0.43</v>
      </c>
      <c r="N157" s="19" t="s">
        <v>17</v>
      </c>
      <c r="O157" s="19" t="s">
        <v>283</v>
      </c>
      <c r="P157" s="19" t="s">
        <v>287</v>
      </c>
      <c r="Q157" s="19" t="s">
        <v>285</v>
      </c>
      <c r="R157" s="19" t="s">
        <v>249</v>
      </c>
      <c r="S157" s="19" t="s">
        <v>248</v>
      </c>
      <c r="T157" s="19" t="s">
        <v>286</v>
      </c>
    </row>
    <row r="158" spans="1:20" x14ac:dyDescent="0.2">
      <c r="A158" s="1">
        <v>46014</v>
      </c>
      <c r="B158" s="2">
        <v>0.91666666666666663</v>
      </c>
      <c r="C158" s="19" t="s">
        <v>13</v>
      </c>
      <c r="D158" s="19" t="s">
        <v>32</v>
      </c>
      <c r="E158" s="19" t="s">
        <v>32</v>
      </c>
      <c r="F158">
        <v>2</v>
      </c>
      <c r="G158">
        <v>3</v>
      </c>
      <c r="H158">
        <v>0.58230000000000004</v>
      </c>
      <c r="I158" s="19" t="s">
        <v>249</v>
      </c>
      <c r="J158" s="19" t="s">
        <v>13</v>
      </c>
      <c r="K158">
        <v>3</v>
      </c>
      <c r="L158">
        <v>2</v>
      </c>
      <c r="M158">
        <v>0.54</v>
      </c>
      <c r="N158" s="19" t="s">
        <v>32</v>
      </c>
      <c r="O158" s="19" t="s">
        <v>284</v>
      </c>
      <c r="P158" s="19" t="s">
        <v>291</v>
      </c>
      <c r="Q158" s="19" t="s">
        <v>285</v>
      </c>
      <c r="R158" s="19" t="s">
        <v>248</v>
      </c>
      <c r="S158" s="19" t="s">
        <v>249</v>
      </c>
      <c r="T158" s="19" t="s">
        <v>286</v>
      </c>
    </row>
    <row r="159" spans="1:20" x14ac:dyDescent="0.2">
      <c r="A159" s="1">
        <v>46014</v>
      </c>
      <c r="B159" s="2">
        <v>0.77083333333333337</v>
      </c>
      <c r="C159" s="19" t="s">
        <v>26</v>
      </c>
      <c r="D159" s="19" t="s">
        <v>39</v>
      </c>
      <c r="E159" s="19" t="s">
        <v>39</v>
      </c>
      <c r="F159">
        <v>3</v>
      </c>
      <c r="G159">
        <v>6</v>
      </c>
      <c r="H159">
        <v>0.59989999999999999</v>
      </c>
      <c r="I159" s="19" t="s">
        <v>249</v>
      </c>
      <c r="J159" s="19" t="s">
        <v>39</v>
      </c>
      <c r="K159">
        <v>3</v>
      </c>
      <c r="L159">
        <v>2</v>
      </c>
      <c r="M159">
        <v>-1.08</v>
      </c>
      <c r="N159" s="19" t="s">
        <v>26</v>
      </c>
      <c r="O159" s="19" t="s">
        <v>289</v>
      </c>
      <c r="P159" s="19" t="s">
        <v>291</v>
      </c>
      <c r="Q159" s="19" t="s">
        <v>287</v>
      </c>
      <c r="R159" s="19" t="s">
        <v>249</v>
      </c>
      <c r="S159" s="19" t="s">
        <v>249</v>
      </c>
      <c r="T159" s="19" t="s">
        <v>286</v>
      </c>
    </row>
    <row r="160" spans="1:20" x14ac:dyDescent="0.2">
      <c r="A160" s="1">
        <v>46014</v>
      </c>
      <c r="B160" s="2">
        <v>0.875</v>
      </c>
      <c r="C160" s="19" t="s">
        <v>10</v>
      </c>
      <c r="D160" s="19" t="s">
        <v>27</v>
      </c>
      <c r="E160" s="19" t="s">
        <v>27</v>
      </c>
      <c r="F160">
        <v>3</v>
      </c>
      <c r="G160">
        <v>4</v>
      </c>
      <c r="H160">
        <v>0.52180000000000004</v>
      </c>
      <c r="I160" s="19" t="s">
        <v>249</v>
      </c>
      <c r="J160" s="19" t="s">
        <v>27</v>
      </c>
      <c r="K160">
        <v>3</v>
      </c>
      <c r="L160">
        <v>2</v>
      </c>
      <c r="M160">
        <v>-0.59</v>
      </c>
      <c r="N160" s="19" t="s">
        <v>27</v>
      </c>
      <c r="O160" s="19" t="s">
        <v>287</v>
      </c>
      <c r="P160" s="19" t="s">
        <v>291</v>
      </c>
      <c r="Q160" s="19" t="s">
        <v>285</v>
      </c>
      <c r="R160" s="19" t="s">
        <v>248</v>
      </c>
      <c r="S160" s="19" t="s">
        <v>248</v>
      </c>
      <c r="T160" s="19" t="s">
        <v>286</v>
      </c>
    </row>
    <row r="161" spans="1:20" x14ac:dyDescent="0.2">
      <c r="A161" s="1">
        <v>46014</v>
      </c>
      <c r="B161" s="2">
        <v>0.83333333333333337</v>
      </c>
      <c r="C161" s="19" t="s">
        <v>34</v>
      </c>
      <c r="D161" s="19" t="s">
        <v>29</v>
      </c>
      <c r="E161" s="19" t="s">
        <v>34</v>
      </c>
      <c r="F161">
        <v>4</v>
      </c>
      <c r="G161">
        <v>3</v>
      </c>
      <c r="H161">
        <v>0.87450000000000006</v>
      </c>
      <c r="I161" s="19" t="s">
        <v>248</v>
      </c>
      <c r="J161" s="19" t="s">
        <v>34</v>
      </c>
      <c r="K161">
        <v>3</v>
      </c>
      <c r="L161">
        <v>2</v>
      </c>
      <c r="M161">
        <v>1.08</v>
      </c>
      <c r="N161" s="19" t="s">
        <v>29</v>
      </c>
      <c r="O161" s="19" t="s">
        <v>284</v>
      </c>
      <c r="P161" s="19" t="s">
        <v>291</v>
      </c>
      <c r="Q161" s="19" t="s">
        <v>287</v>
      </c>
      <c r="R161" s="19" t="s">
        <v>249</v>
      </c>
      <c r="S161" s="19" t="s">
        <v>249</v>
      </c>
      <c r="T161" s="19" t="s">
        <v>286</v>
      </c>
    </row>
    <row r="162" spans="1:20" x14ac:dyDescent="0.2">
      <c r="A162" s="1">
        <v>46014</v>
      </c>
      <c r="B162" s="2">
        <v>0.875</v>
      </c>
      <c r="C162" s="19" t="s">
        <v>12</v>
      </c>
      <c r="D162" s="19" t="s">
        <v>55</v>
      </c>
      <c r="E162" s="19" t="s">
        <v>12</v>
      </c>
      <c r="F162">
        <v>5</v>
      </c>
      <c r="G162">
        <v>1</v>
      </c>
      <c r="H162">
        <v>0.87890000000000001</v>
      </c>
      <c r="I162" s="19" t="s">
        <v>249</v>
      </c>
      <c r="J162" s="19" t="s">
        <v>12</v>
      </c>
      <c r="K162">
        <v>3</v>
      </c>
      <c r="L162">
        <v>2</v>
      </c>
      <c r="M162">
        <v>1.68</v>
      </c>
      <c r="N162" s="19" t="s">
        <v>12</v>
      </c>
      <c r="O162" s="19" t="s">
        <v>287</v>
      </c>
      <c r="P162" s="19" t="s">
        <v>285</v>
      </c>
      <c r="Q162" s="19" t="s">
        <v>285</v>
      </c>
      <c r="R162" s="19" t="s">
        <v>248</v>
      </c>
      <c r="S162" s="19" t="s">
        <v>248</v>
      </c>
      <c r="T162" s="19" t="s">
        <v>286</v>
      </c>
    </row>
    <row r="163" spans="1:20" x14ac:dyDescent="0.2">
      <c r="A163" s="1">
        <v>46014</v>
      </c>
      <c r="B163" s="2">
        <v>0.79166666666666663</v>
      </c>
      <c r="C163" s="19" t="s">
        <v>21</v>
      </c>
      <c r="D163" s="19" t="s">
        <v>18</v>
      </c>
      <c r="E163" s="19" t="s">
        <v>21</v>
      </c>
      <c r="F163">
        <v>4</v>
      </c>
      <c r="G163">
        <v>3</v>
      </c>
      <c r="H163">
        <v>0.67310000000000003</v>
      </c>
      <c r="I163" s="19" t="s">
        <v>249</v>
      </c>
      <c r="J163" s="19" t="s">
        <v>21</v>
      </c>
      <c r="K163">
        <v>3</v>
      </c>
      <c r="L163">
        <v>2</v>
      </c>
      <c r="M163">
        <v>0.36</v>
      </c>
      <c r="N163" s="19" t="s">
        <v>18</v>
      </c>
      <c r="O163" s="19" t="s">
        <v>284</v>
      </c>
      <c r="P163" s="19" t="s">
        <v>288</v>
      </c>
      <c r="Q163" s="19" t="s">
        <v>285</v>
      </c>
      <c r="R163" s="19" t="s">
        <v>249</v>
      </c>
      <c r="S163" s="19" t="s">
        <v>249</v>
      </c>
      <c r="T163" s="19" t="s">
        <v>286</v>
      </c>
    </row>
    <row r="164" spans="1:20" x14ac:dyDescent="0.2">
      <c r="A164" s="1">
        <v>46018</v>
      </c>
      <c r="B164" s="2">
        <v>0.79166666666666663</v>
      </c>
      <c r="C164" s="19" t="s">
        <v>24</v>
      </c>
      <c r="D164" s="19" t="s">
        <v>22</v>
      </c>
      <c r="E164" s="19" t="s">
        <v>24</v>
      </c>
      <c r="F164">
        <v>4</v>
      </c>
      <c r="G164">
        <v>3</v>
      </c>
      <c r="H164">
        <v>0.60270000000000001</v>
      </c>
      <c r="I164" s="19" t="s">
        <v>249</v>
      </c>
      <c r="J164" s="19" t="s">
        <v>22</v>
      </c>
      <c r="K164">
        <v>3</v>
      </c>
      <c r="L164">
        <v>2</v>
      </c>
      <c r="M164">
        <v>-0.38</v>
      </c>
      <c r="N164" s="19" t="s">
        <v>22</v>
      </c>
      <c r="O164" s="19" t="s">
        <v>291</v>
      </c>
      <c r="P164" s="19" t="s">
        <v>289</v>
      </c>
      <c r="Q164" s="19" t="s">
        <v>287</v>
      </c>
      <c r="R164" s="19" t="s">
        <v>249</v>
      </c>
      <c r="S164" s="19" t="s">
        <v>248</v>
      </c>
      <c r="T164" s="19" t="s">
        <v>286</v>
      </c>
    </row>
    <row r="165" spans="1:20" x14ac:dyDescent="0.2">
      <c r="A165" s="1">
        <v>46018</v>
      </c>
      <c r="B165" s="2">
        <v>0.75</v>
      </c>
      <c r="C165" s="19" t="s">
        <v>30</v>
      </c>
      <c r="D165" s="19" t="s">
        <v>15</v>
      </c>
      <c r="E165" s="19" t="s">
        <v>15</v>
      </c>
      <c r="F165">
        <v>3</v>
      </c>
      <c r="G165">
        <v>4</v>
      </c>
      <c r="H165">
        <v>0.59319999999999995</v>
      </c>
      <c r="I165" s="19" t="s">
        <v>249</v>
      </c>
      <c r="J165" s="19" t="s">
        <v>30</v>
      </c>
      <c r="K165">
        <v>3</v>
      </c>
      <c r="L165">
        <v>2</v>
      </c>
      <c r="M165">
        <v>0.28000000000000003</v>
      </c>
      <c r="N165" s="19" t="s">
        <v>30</v>
      </c>
      <c r="O165" s="19" t="s">
        <v>284</v>
      </c>
      <c r="P165" s="19" t="s">
        <v>285</v>
      </c>
      <c r="Q165" s="19" t="s">
        <v>285</v>
      </c>
      <c r="R165" s="19" t="s">
        <v>249</v>
      </c>
      <c r="S165" s="19" t="s">
        <v>248</v>
      </c>
      <c r="T165" s="19" t="s">
        <v>286</v>
      </c>
    </row>
    <row r="166" spans="1:20" x14ac:dyDescent="0.2">
      <c r="A166" s="1">
        <v>46018</v>
      </c>
      <c r="B166" s="2">
        <v>0.875</v>
      </c>
      <c r="C166" s="19" t="s">
        <v>13</v>
      </c>
      <c r="D166" s="19" t="s">
        <v>31</v>
      </c>
      <c r="E166" s="19" t="s">
        <v>31</v>
      </c>
      <c r="F166">
        <v>4</v>
      </c>
      <c r="G166">
        <v>5</v>
      </c>
      <c r="H166">
        <v>0.62739999999999996</v>
      </c>
      <c r="I166" s="19" t="s">
        <v>249</v>
      </c>
      <c r="J166" s="19" t="s">
        <v>31</v>
      </c>
      <c r="K166">
        <v>3</v>
      </c>
      <c r="L166">
        <v>2</v>
      </c>
      <c r="M166">
        <v>-0.17</v>
      </c>
      <c r="N166" s="19" t="s">
        <v>13</v>
      </c>
      <c r="O166" s="19" t="s">
        <v>288</v>
      </c>
      <c r="P166" s="19" t="s">
        <v>287</v>
      </c>
      <c r="Q166" s="19" t="s">
        <v>285</v>
      </c>
      <c r="R166" s="19" t="s">
        <v>249</v>
      </c>
      <c r="S166" s="19" t="s">
        <v>249</v>
      </c>
      <c r="T166" s="19" t="s">
        <v>286</v>
      </c>
    </row>
    <row r="167" spans="1:20" x14ac:dyDescent="0.2">
      <c r="A167" s="1">
        <v>46018</v>
      </c>
      <c r="B167" s="2">
        <v>0.83333333333333337</v>
      </c>
      <c r="C167" s="19" t="s">
        <v>35</v>
      </c>
      <c r="D167" s="19" t="s">
        <v>29</v>
      </c>
      <c r="E167" s="19" t="s">
        <v>29</v>
      </c>
      <c r="F167">
        <v>3</v>
      </c>
      <c r="G167">
        <v>4</v>
      </c>
      <c r="H167">
        <v>0.75290000000000001</v>
      </c>
      <c r="I167" s="19" t="s">
        <v>249</v>
      </c>
      <c r="J167" s="19" t="s">
        <v>29</v>
      </c>
      <c r="K167">
        <v>3</v>
      </c>
      <c r="L167">
        <v>2</v>
      </c>
      <c r="M167">
        <v>-0.54</v>
      </c>
      <c r="N167" s="19" t="s">
        <v>35</v>
      </c>
      <c r="O167" s="19" t="s">
        <v>291</v>
      </c>
      <c r="P167" s="19" t="s">
        <v>284</v>
      </c>
      <c r="Q167" s="19" t="s">
        <v>285</v>
      </c>
      <c r="R167" s="19" t="s">
        <v>249</v>
      </c>
      <c r="S167" s="19" t="s">
        <v>249</v>
      </c>
      <c r="T167" s="19" t="s">
        <v>286</v>
      </c>
    </row>
    <row r="168" spans="1:20" x14ac:dyDescent="0.2">
      <c r="A168" s="1">
        <v>46018</v>
      </c>
      <c r="B168" s="2">
        <v>0.79166666666666663</v>
      </c>
      <c r="C168" s="19" t="s">
        <v>23</v>
      </c>
      <c r="D168" s="19" t="s">
        <v>21</v>
      </c>
      <c r="E168" s="19" t="s">
        <v>23</v>
      </c>
      <c r="F168">
        <v>4</v>
      </c>
      <c r="G168">
        <v>3</v>
      </c>
      <c r="H168">
        <v>0.59740000000000004</v>
      </c>
      <c r="I168" s="19" t="s">
        <v>249</v>
      </c>
      <c r="J168" s="19" t="s">
        <v>21</v>
      </c>
      <c r="K168">
        <v>3</v>
      </c>
      <c r="L168">
        <v>2</v>
      </c>
      <c r="M168">
        <v>-0.01</v>
      </c>
      <c r="N168" s="19" t="s">
        <v>23</v>
      </c>
      <c r="O168" s="19" t="s">
        <v>289</v>
      </c>
      <c r="P168" s="19" t="s">
        <v>287</v>
      </c>
      <c r="Q168" s="19" t="s">
        <v>285</v>
      </c>
      <c r="R168" s="19" t="s">
        <v>248</v>
      </c>
      <c r="S168" s="19" t="s">
        <v>249</v>
      </c>
      <c r="T168" s="19" t="s">
        <v>286</v>
      </c>
    </row>
    <row r="169" spans="1:20" x14ac:dyDescent="0.2">
      <c r="A169" s="1">
        <v>46018</v>
      </c>
      <c r="B169" s="2">
        <v>0.79166666666666663</v>
      </c>
      <c r="C169" s="19" t="s">
        <v>19</v>
      </c>
      <c r="D169" s="19" t="s">
        <v>36</v>
      </c>
      <c r="E169" s="19" t="s">
        <v>36</v>
      </c>
      <c r="F169">
        <v>4</v>
      </c>
      <c r="G169">
        <v>5</v>
      </c>
      <c r="H169">
        <v>0.73709999999999998</v>
      </c>
      <c r="I169" s="19" t="s">
        <v>249</v>
      </c>
      <c r="J169" s="19" t="s">
        <v>36</v>
      </c>
      <c r="K169">
        <v>3</v>
      </c>
      <c r="L169">
        <v>2</v>
      </c>
      <c r="M169">
        <v>-0.33</v>
      </c>
      <c r="N169" s="19" t="s">
        <v>19</v>
      </c>
      <c r="O169" s="19" t="s">
        <v>292</v>
      </c>
      <c r="P169" s="19" t="s">
        <v>283</v>
      </c>
      <c r="Q169" s="19" t="s">
        <v>285</v>
      </c>
      <c r="R169" s="19" t="s">
        <v>249</v>
      </c>
      <c r="S169" s="19" t="s">
        <v>249</v>
      </c>
      <c r="T169" s="19" t="s">
        <v>286</v>
      </c>
    </row>
    <row r="170" spans="1:20" x14ac:dyDescent="0.2">
      <c r="A170" s="1">
        <v>46018</v>
      </c>
      <c r="B170" s="2">
        <v>0.79166666666666663</v>
      </c>
      <c r="C170" s="19" t="s">
        <v>11</v>
      </c>
      <c r="D170" s="19" t="s">
        <v>37</v>
      </c>
      <c r="E170" s="19" t="s">
        <v>37</v>
      </c>
      <c r="F170">
        <v>3</v>
      </c>
      <c r="G170">
        <v>4</v>
      </c>
      <c r="H170">
        <v>0.78510000000000002</v>
      </c>
      <c r="I170" s="19" t="s">
        <v>249</v>
      </c>
      <c r="J170" s="19" t="s">
        <v>37</v>
      </c>
      <c r="K170">
        <v>3</v>
      </c>
      <c r="L170">
        <v>2</v>
      </c>
      <c r="M170">
        <v>-0.45</v>
      </c>
      <c r="N170" s="19" t="s">
        <v>37</v>
      </c>
      <c r="O170" s="19" t="s">
        <v>284</v>
      </c>
      <c r="P170" s="19" t="s">
        <v>289</v>
      </c>
      <c r="Q170" s="19" t="s">
        <v>285</v>
      </c>
      <c r="R170" s="19" t="s">
        <v>248</v>
      </c>
      <c r="S170" s="19" t="s">
        <v>248</v>
      </c>
      <c r="T170" s="19" t="s">
        <v>286</v>
      </c>
    </row>
    <row r="171" spans="1:20" x14ac:dyDescent="0.2">
      <c r="A171" s="1">
        <v>46018</v>
      </c>
      <c r="B171" s="2">
        <v>0.83333333333333337</v>
      </c>
      <c r="C171" s="19" t="s">
        <v>39</v>
      </c>
      <c r="D171" s="19" t="s">
        <v>10</v>
      </c>
      <c r="E171" s="19" t="s">
        <v>39</v>
      </c>
      <c r="F171">
        <v>5</v>
      </c>
      <c r="G171">
        <v>1</v>
      </c>
      <c r="H171">
        <v>0.71579999999999999</v>
      </c>
      <c r="I171" s="19" t="s">
        <v>249</v>
      </c>
      <c r="J171" s="19" t="s">
        <v>39</v>
      </c>
      <c r="K171">
        <v>3</v>
      </c>
      <c r="L171">
        <v>2</v>
      </c>
      <c r="M171">
        <v>1.45</v>
      </c>
      <c r="N171" s="19" t="s">
        <v>10</v>
      </c>
      <c r="O171" s="19" t="s">
        <v>291</v>
      </c>
      <c r="P171" s="19" t="s">
        <v>289</v>
      </c>
      <c r="Q171" s="19" t="s">
        <v>287</v>
      </c>
      <c r="R171" s="19" t="s">
        <v>249</v>
      </c>
      <c r="S171" s="19" t="s">
        <v>249</v>
      </c>
      <c r="T171" s="19" t="s">
        <v>286</v>
      </c>
    </row>
    <row r="172" spans="1:20" x14ac:dyDescent="0.2">
      <c r="A172" s="1">
        <v>46018</v>
      </c>
      <c r="B172" s="2">
        <v>0.91666666666666663</v>
      </c>
      <c r="C172" s="19" t="s">
        <v>38</v>
      </c>
      <c r="D172" s="19" t="s">
        <v>33</v>
      </c>
      <c r="E172" s="19" t="s">
        <v>33</v>
      </c>
      <c r="F172">
        <v>3</v>
      </c>
      <c r="G172">
        <v>5</v>
      </c>
      <c r="H172">
        <v>0.71030000000000004</v>
      </c>
      <c r="I172" s="19" t="s">
        <v>249</v>
      </c>
      <c r="J172" s="19" t="s">
        <v>38</v>
      </c>
      <c r="K172">
        <v>3</v>
      </c>
      <c r="L172">
        <v>2</v>
      </c>
      <c r="M172">
        <v>0.02</v>
      </c>
      <c r="N172" s="19" t="s">
        <v>33</v>
      </c>
      <c r="O172" s="19" t="s">
        <v>291</v>
      </c>
      <c r="P172" s="19" t="s">
        <v>288</v>
      </c>
      <c r="Q172" s="19" t="s">
        <v>285</v>
      </c>
      <c r="R172" s="19" t="s">
        <v>248</v>
      </c>
      <c r="S172" s="19" t="s">
        <v>249</v>
      </c>
      <c r="T172" s="19" t="s">
        <v>286</v>
      </c>
    </row>
    <row r="173" spans="1:20" x14ac:dyDescent="0.2">
      <c r="A173" s="1">
        <v>46018</v>
      </c>
      <c r="B173" s="2">
        <v>0.79166666666666663</v>
      </c>
      <c r="C173" s="19" t="s">
        <v>40</v>
      </c>
      <c r="D173" s="19" t="s">
        <v>34</v>
      </c>
      <c r="E173" s="19" t="s">
        <v>34</v>
      </c>
      <c r="F173">
        <v>2</v>
      </c>
      <c r="G173">
        <v>3</v>
      </c>
      <c r="H173">
        <v>0.83430000000000004</v>
      </c>
      <c r="I173" s="19" t="s">
        <v>249</v>
      </c>
      <c r="J173" s="19" t="s">
        <v>34</v>
      </c>
      <c r="K173">
        <v>3</v>
      </c>
      <c r="L173">
        <v>2</v>
      </c>
      <c r="M173">
        <v>-0.52</v>
      </c>
      <c r="N173" s="19" t="s">
        <v>34</v>
      </c>
      <c r="O173" s="19" t="s">
        <v>291</v>
      </c>
      <c r="P173" s="19" t="s">
        <v>289</v>
      </c>
      <c r="Q173" s="19" t="s">
        <v>287</v>
      </c>
      <c r="R173" s="19" t="s">
        <v>248</v>
      </c>
      <c r="S173" s="19" t="s">
        <v>248</v>
      </c>
      <c r="T173" s="19" t="s">
        <v>286</v>
      </c>
    </row>
    <row r="174" spans="1:20" x14ac:dyDescent="0.2">
      <c r="A174" s="1">
        <v>46018</v>
      </c>
      <c r="B174" s="2">
        <v>0.79166666666666663</v>
      </c>
      <c r="C174" s="19" t="s">
        <v>25</v>
      </c>
      <c r="D174" s="19" t="s">
        <v>26</v>
      </c>
      <c r="E174" s="19" t="s">
        <v>25</v>
      </c>
      <c r="F174">
        <v>4</v>
      </c>
      <c r="G174">
        <v>3</v>
      </c>
      <c r="H174">
        <v>0.75470000000000004</v>
      </c>
      <c r="I174" s="19" t="s">
        <v>249</v>
      </c>
      <c r="J174" s="19" t="s">
        <v>25</v>
      </c>
      <c r="K174">
        <v>3</v>
      </c>
      <c r="L174">
        <v>2</v>
      </c>
      <c r="M174">
        <v>0.69</v>
      </c>
      <c r="N174" s="19" t="s">
        <v>25</v>
      </c>
      <c r="O174" s="19" t="s">
        <v>283</v>
      </c>
      <c r="P174" s="19" t="s">
        <v>284</v>
      </c>
      <c r="Q174" s="19" t="s">
        <v>285</v>
      </c>
      <c r="R174" s="19" t="s">
        <v>248</v>
      </c>
      <c r="S174" s="19" t="s">
        <v>248</v>
      </c>
      <c r="T174" s="19" t="s">
        <v>286</v>
      </c>
    </row>
    <row r="175" spans="1:20" x14ac:dyDescent="0.2">
      <c r="A175" s="1">
        <v>46018</v>
      </c>
      <c r="B175" s="2">
        <v>0.91666666666666663</v>
      </c>
      <c r="C175" s="19" t="s">
        <v>16</v>
      </c>
      <c r="D175" s="19" t="s">
        <v>17</v>
      </c>
      <c r="E175" s="19" t="s">
        <v>16</v>
      </c>
      <c r="F175">
        <v>4</v>
      </c>
      <c r="G175">
        <v>3</v>
      </c>
      <c r="H175">
        <v>0.62190000000000001</v>
      </c>
      <c r="I175" s="19" t="s">
        <v>249</v>
      </c>
      <c r="J175" s="19" t="s">
        <v>17</v>
      </c>
      <c r="K175">
        <v>3</v>
      </c>
      <c r="L175">
        <v>2</v>
      </c>
      <c r="M175">
        <v>-0.48</v>
      </c>
      <c r="N175" s="19" t="s">
        <v>16</v>
      </c>
      <c r="O175" s="19" t="s">
        <v>291</v>
      </c>
      <c r="P175" s="19" t="s">
        <v>284</v>
      </c>
      <c r="Q175" s="19" t="s">
        <v>285</v>
      </c>
      <c r="R175" s="19" t="s">
        <v>248</v>
      </c>
      <c r="S175" s="19" t="s">
        <v>249</v>
      </c>
      <c r="T175" s="19" t="s">
        <v>286</v>
      </c>
    </row>
    <row r="176" spans="1:20" x14ac:dyDescent="0.2">
      <c r="A176" s="1">
        <v>46018</v>
      </c>
      <c r="B176" s="2">
        <v>0.91666666666666663</v>
      </c>
      <c r="C176" s="19" t="s">
        <v>20</v>
      </c>
      <c r="D176" s="19" t="s">
        <v>12</v>
      </c>
      <c r="E176" s="19" t="s">
        <v>12</v>
      </c>
      <c r="F176">
        <v>2</v>
      </c>
      <c r="G176">
        <v>4</v>
      </c>
      <c r="H176">
        <v>0.76419999999999999</v>
      </c>
      <c r="I176" s="19" t="s">
        <v>249</v>
      </c>
      <c r="J176" s="19" t="s">
        <v>12</v>
      </c>
      <c r="K176">
        <v>3</v>
      </c>
      <c r="L176">
        <v>2</v>
      </c>
      <c r="M176">
        <v>-1.46</v>
      </c>
      <c r="N176" s="19" t="s">
        <v>12</v>
      </c>
      <c r="O176" s="19" t="s">
        <v>283</v>
      </c>
      <c r="P176" s="19" t="s">
        <v>288</v>
      </c>
      <c r="Q176" s="19" t="s">
        <v>287</v>
      </c>
      <c r="R176" s="19" t="s">
        <v>248</v>
      </c>
      <c r="S176" s="19" t="s">
        <v>248</v>
      </c>
      <c r="T176" s="19" t="s">
        <v>286</v>
      </c>
    </row>
    <row r="177" spans="1:20" x14ac:dyDescent="0.2">
      <c r="A177" s="1">
        <v>46019</v>
      </c>
      <c r="B177" s="2">
        <v>0.79166666666666663</v>
      </c>
      <c r="C177" s="19" t="s">
        <v>10</v>
      </c>
      <c r="D177" s="19" t="s">
        <v>14</v>
      </c>
      <c r="E177" s="19" t="s">
        <v>14</v>
      </c>
      <c r="F177">
        <v>2</v>
      </c>
      <c r="G177">
        <v>3</v>
      </c>
      <c r="H177">
        <v>0.61629999999999996</v>
      </c>
      <c r="I177" s="19" t="s">
        <v>249</v>
      </c>
      <c r="J177" s="19" t="s">
        <v>14</v>
      </c>
      <c r="K177">
        <v>3</v>
      </c>
      <c r="L177">
        <v>2</v>
      </c>
      <c r="M177">
        <v>-0.06</v>
      </c>
      <c r="N177" s="19" t="s">
        <v>14</v>
      </c>
      <c r="O177" s="19" t="s">
        <v>291</v>
      </c>
      <c r="P177" s="19" t="s">
        <v>292</v>
      </c>
      <c r="Q177" s="19" t="s">
        <v>285</v>
      </c>
      <c r="R177" s="19" t="s">
        <v>248</v>
      </c>
      <c r="S177" s="19" t="s">
        <v>248</v>
      </c>
      <c r="T177" s="19" t="s">
        <v>286</v>
      </c>
    </row>
    <row r="178" spans="1:20" x14ac:dyDescent="0.2">
      <c r="A178" s="1">
        <v>46019</v>
      </c>
      <c r="B178" s="2">
        <v>0.79166666666666663</v>
      </c>
      <c r="C178" s="19" t="s">
        <v>26</v>
      </c>
      <c r="D178" s="19" t="s">
        <v>19</v>
      </c>
      <c r="E178" s="19" t="s">
        <v>26</v>
      </c>
      <c r="F178">
        <v>5</v>
      </c>
      <c r="G178">
        <v>3</v>
      </c>
      <c r="H178">
        <v>0.89239999999999997</v>
      </c>
      <c r="I178" s="19" t="s">
        <v>249</v>
      </c>
      <c r="J178" s="19" t="s">
        <v>26</v>
      </c>
      <c r="K178">
        <v>3</v>
      </c>
      <c r="L178">
        <v>2</v>
      </c>
      <c r="M178">
        <v>0.09</v>
      </c>
      <c r="N178" s="19" t="s">
        <v>26</v>
      </c>
      <c r="O178" s="19" t="s">
        <v>291</v>
      </c>
      <c r="P178" s="19" t="s">
        <v>284</v>
      </c>
      <c r="Q178" s="19" t="s">
        <v>287</v>
      </c>
      <c r="R178" s="19" t="s">
        <v>248</v>
      </c>
      <c r="S178" s="19" t="s">
        <v>248</v>
      </c>
      <c r="T178" s="19" t="s">
        <v>286</v>
      </c>
    </row>
    <row r="179" spans="1:20" x14ac:dyDescent="0.2">
      <c r="A179" s="1">
        <v>46019</v>
      </c>
      <c r="B179" s="2">
        <v>0.70833333333333337</v>
      </c>
      <c r="C179" s="19" t="s">
        <v>37</v>
      </c>
      <c r="D179" s="19" t="s">
        <v>18</v>
      </c>
      <c r="E179" s="19" t="s">
        <v>18</v>
      </c>
      <c r="F179">
        <v>3</v>
      </c>
      <c r="G179">
        <v>4</v>
      </c>
      <c r="H179">
        <v>0.62360000000000004</v>
      </c>
      <c r="I179" s="19" t="s">
        <v>248</v>
      </c>
      <c r="J179" s="19" t="s">
        <v>37</v>
      </c>
      <c r="K179">
        <v>3</v>
      </c>
      <c r="L179">
        <v>2</v>
      </c>
      <c r="M179">
        <v>0.86</v>
      </c>
      <c r="N179" s="19" t="s">
        <v>37</v>
      </c>
      <c r="O179" s="19" t="s">
        <v>283</v>
      </c>
      <c r="P179" s="19" t="s">
        <v>289</v>
      </c>
      <c r="Q179" s="19" t="s">
        <v>287</v>
      </c>
      <c r="R179" s="19" t="s">
        <v>249</v>
      </c>
      <c r="S179" s="19" t="s">
        <v>248</v>
      </c>
      <c r="T179" s="19" t="s">
        <v>286</v>
      </c>
    </row>
    <row r="180" spans="1:20" x14ac:dyDescent="0.2">
      <c r="A180" s="1">
        <v>46019</v>
      </c>
      <c r="B180" s="2">
        <v>0.83333333333333337</v>
      </c>
      <c r="C180" s="19" t="s">
        <v>32</v>
      </c>
      <c r="D180" s="19" t="s">
        <v>27</v>
      </c>
      <c r="E180" s="19" t="s">
        <v>27</v>
      </c>
      <c r="F180">
        <v>2</v>
      </c>
      <c r="G180">
        <v>3</v>
      </c>
      <c r="H180">
        <v>0.63080000000000003</v>
      </c>
      <c r="I180" s="19" t="s">
        <v>249</v>
      </c>
      <c r="J180" s="19" t="s">
        <v>27</v>
      </c>
      <c r="K180">
        <v>3</v>
      </c>
      <c r="L180">
        <v>2</v>
      </c>
      <c r="M180">
        <v>-0.68</v>
      </c>
      <c r="N180" s="19" t="s">
        <v>32</v>
      </c>
      <c r="O180" s="19" t="s">
        <v>289</v>
      </c>
      <c r="P180" s="19" t="s">
        <v>287</v>
      </c>
      <c r="Q180" s="19" t="s">
        <v>285</v>
      </c>
      <c r="R180" s="19" t="s">
        <v>249</v>
      </c>
      <c r="S180" s="19" t="s">
        <v>249</v>
      </c>
      <c r="T180" s="19" t="s">
        <v>286</v>
      </c>
    </row>
    <row r="181" spans="1:20" x14ac:dyDescent="0.2">
      <c r="A181" s="1">
        <v>46019</v>
      </c>
      <c r="B181" s="2">
        <v>0.70833333333333337</v>
      </c>
      <c r="C181" s="19" t="s">
        <v>28</v>
      </c>
      <c r="D181" s="19" t="s">
        <v>30</v>
      </c>
      <c r="E181" s="19" t="s">
        <v>30</v>
      </c>
      <c r="F181">
        <v>3</v>
      </c>
      <c r="G181">
        <v>4</v>
      </c>
      <c r="H181">
        <v>0.55369999999999997</v>
      </c>
      <c r="I181" s="19" t="s">
        <v>249</v>
      </c>
      <c r="J181" s="19" t="s">
        <v>30</v>
      </c>
      <c r="K181">
        <v>3</v>
      </c>
      <c r="L181">
        <v>2</v>
      </c>
      <c r="M181">
        <v>-0.61</v>
      </c>
      <c r="N181" s="19" t="s">
        <v>28</v>
      </c>
      <c r="O181" s="19" t="s">
        <v>289</v>
      </c>
      <c r="P181" s="19" t="s">
        <v>284</v>
      </c>
      <c r="Q181" s="19" t="s">
        <v>285</v>
      </c>
      <c r="R181" s="19" t="s">
        <v>249</v>
      </c>
      <c r="S181" s="19" t="s">
        <v>249</v>
      </c>
      <c r="T181" s="19" t="s">
        <v>286</v>
      </c>
    </row>
    <row r="182" spans="1:20" x14ac:dyDescent="0.2">
      <c r="A182" s="1">
        <v>46020</v>
      </c>
      <c r="B182" s="2">
        <v>0.875</v>
      </c>
      <c r="C182" s="19" t="s">
        <v>55</v>
      </c>
      <c r="D182" s="19" t="s">
        <v>29</v>
      </c>
      <c r="E182" s="19" t="s">
        <v>55</v>
      </c>
      <c r="F182">
        <v>4</v>
      </c>
      <c r="G182">
        <v>2</v>
      </c>
      <c r="H182">
        <v>0.71530000000000005</v>
      </c>
      <c r="I182" s="19" t="s">
        <v>249</v>
      </c>
      <c r="J182" s="19" t="s">
        <v>55</v>
      </c>
      <c r="K182">
        <v>3</v>
      </c>
      <c r="L182">
        <v>2</v>
      </c>
      <c r="M182">
        <v>0.66</v>
      </c>
      <c r="N182" s="19" t="s">
        <v>29</v>
      </c>
      <c r="O182" s="19" t="s">
        <v>291</v>
      </c>
      <c r="P182" s="19" t="s">
        <v>289</v>
      </c>
      <c r="Q182" s="19" t="s">
        <v>285</v>
      </c>
      <c r="R182" s="19" t="s">
        <v>249</v>
      </c>
      <c r="S182" s="19" t="s">
        <v>249</v>
      </c>
      <c r="T182" s="19" t="s">
        <v>286</v>
      </c>
    </row>
    <row r="183" spans="1:20" x14ac:dyDescent="0.2">
      <c r="A183" s="1">
        <v>46020</v>
      </c>
      <c r="B183" s="2">
        <v>0.875</v>
      </c>
      <c r="C183" s="19" t="s">
        <v>16</v>
      </c>
      <c r="D183" s="19" t="s">
        <v>21</v>
      </c>
      <c r="E183" s="19" t="s">
        <v>16</v>
      </c>
      <c r="F183">
        <v>4</v>
      </c>
      <c r="G183">
        <v>2</v>
      </c>
      <c r="H183">
        <v>0.67530000000000001</v>
      </c>
      <c r="I183" s="19" t="s">
        <v>249</v>
      </c>
      <c r="J183" s="19" t="s">
        <v>21</v>
      </c>
      <c r="K183">
        <v>3</v>
      </c>
      <c r="L183">
        <v>2</v>
      </c>
      <c r="M183">
        <v>-0.24</v>
      </c>
      <c r="N183" s="19" t="s">
        <v>16</v>
      </c>
      <c r="O183" s="19" t="s">
        <v>284</v>
      </c>
      <c r="P183" s="19" t="s">
        <v>287</v>
      </c>
      <c r="Q183" s="19" t="s">
        <v>287</v>
      </c>
      <c r="R183" s="19" t="s">
        <v>248</v>
      </c>
      <c r="S183" s="19" t="s">
        <v>249</v>
      </c>
      <c r="T183" s="19" t="s">
        <v>286</v>
      </c>
    </row>
    <row r="184" spans="1:20" x14ac:dyDescent="0.2">
      <c r="A184" s="1">
        <v>46020</v>
      </c>
      <c r="B184" s="2">
        <v>0.79166666666666663</v>
      </c>
      <c r="C184" s="19" t="s">
        <v>25</v>
      </c>
      <c r="D184" s="19" t="s">
        <v>15</v>
      </c>
      <c r="E184" s="19" t="s">
        <v>15</v>
      </c>
      <c r="F184">
        <v>3</v>
      </c>
      <c r="G184">
        <v>4</v>
      </c>
      <c r="H184">
        <v>0.75149999999999995</v>
      </c>
      <c r="I184" s="19" t="s">
        <v>249</v>
      </c>
      <c r="J184" s="19" t="s">
        <v>25</v>
      </c>
      <c r="K184">
        <v>3</v>
      </c>
      <c r="L184">
        <v>2</v>
      </c>
      <c r="M184">
        <v>0.65</v>
      </c>
      <c r="N184" s="19" t="s">
        <v>25</v>
      </c>
      <c r="O184" s="19" t="s">
        <v>291</v>
      </c>
      <c r="P184" s="19" t="s">
        <v>284</v>
      </c>
      <c r="Q184" s="19" t="s">
        <v>287</v>
      </c>
      <c r="R184" s="19" t="s">
        <v>249</v>
      </c>
      <c r="S184" s="19" t="s">
        <v>248</v>
      </c>
      <c r="T184" s="19" t="s">
        <v>286</v>
      </c>
    </row>
    <row r="185" spans="1:20" x14ac:dyDescent="0.2">
      <c r="A185" s="1">
        <v>46020</v>
      </c>
      <c r="B185" s="2">
        <v>0.91666666666666663</v>
      </c>
      <c r="C185" s="19" t="s">
        <v>31</v>
      </c>
      <c r="D185" s="19" t="s">
        <v>33</v>
      </c>
      <c r="E185" s="19" t="s">
        <v>31</v>
      </c>
      <c r="F185">
        <v>4</v>
      </c>
      <c r="G185">
        <v>3</v>
      </c>
      <c r="H185">
        <v>0.65629999999999999</v>
      </c>
      <c r="I185" s="19" t="s">
        <v>249</v>
      </c>
      <c r="J185" s="19" t="s">
        <v>31</v>
      </c>
      <c r="K185">
        <v>3</v>
      </c>
      <c r="L185">
        <v>2</v>
      </c>
      <c r="M185">
        <v>0.36</v>
      </c>
      <c r="N185" s="19" t="s">
        <v>33</v>
      </c>
      <c r="O185" s="19" t="s">
        <v>289</v>
      </c>
      <c r="P185" s="19" t="s">
        <v>283</v>
      </c>
      <c r="Q185" s="19" t="s">
        <v>285</v>
      </c>
      <c r="R185" s="19" t="s">
        <v>249</v>
      </c>
      <c r="S185" s="19" t="s">
        <v>249</v>
      </c>
      <c r="T185" s="19" t="s">
        <v>286</v>
      </c>
    </row>
    <row r="186" spans="1:20" x14ac:dyDescent="0.2">
      <c r="A186" s="1">
        <v>46020</v>
      </c>
      <c r="B186" s="2">
        <v>0.875</v>
      </c>
      <c r="C186" s="19" t="s">
        <v>12</v>
      </c>
      <c r="D186" s="19" t="s">
        <v>13</v>
      </c>
      <c r="E186" s="19" t="s">
        <v>12</v>
      </c>
      <c r="F186">
        <v>6</v>
      </c>
      <c r="G186">
        <v>3</v>
      </c>
      <c r="H186">
        <v>0.82250000000000001</v>
      </c>
      <c r="I186" s="19" t="s">
        <v>249</v>
      </c>
      <c r="J186" s="19" t="s">
        <v>12</v>
      </c>
      <c r="K186">
        <v>3</v>
      </c>
      <c r="L186">
        <v>2</v>
      </c>
      <c r="M186">
        <v>1.79</v>
      </c>
      <c r="N186" s="19" t="s">
        <v>12</v>
      </c>
      <c r="O186" s="19" t="s">
        <v>283</v>
      </c>
      <c r="P186" s="19" t="s">
        <v>284</v>
      </c>
      <c r="Q186" s="19" t="s">
        <v>285</v>
      </c>
      <c r="R186" s="19" t="s">
        <v>248</v>
      </c>
      <c r="S186" s="19" t="s">
        <v>248</v>
      </c>
      <c r="T186" s="19" t="s">
        <v>286</v>
      </c>
    </row>
    <row r="187" spans="1:20" x14ac:dyDescent="0.2">
      <c r="A187" s="1">
        <v>46020</v>
      </c>
      <c r="B187" s="2">
        <v>0.79166666666666663</v>
      </c>
      <c r="C187" s="19" t="s">
        <v>11</v>
      </c>
      <c r="D187" s="19" t="s">
        <v>22</v>
      </c>
      <c r="E187" s="19" t="s">
        <v>11</v>
      </c>
      <c r="F187">
        <v>4</v>
      </c>
      <c r="G187">
        <v>3</v>
      </c>
      <c r="H187">
        <v>0.65490000000000004</v>
      </c>
      <c r="I187" s="19" t="s">
        <v>249</v>
      </c>
      <c r="J187" s="19" t="s">
        <v>22</v>
      </c>
      <c r="K187">
        <v>3</v>
      </c>
      <c r="L187">
        <v>2</v>
      </c>
      <c r="M187">
        <v>-0.23</v>
      </c>
      <c r="N187" s="19" t="s">
        <v>11</v>
      </c>
      <c r="O187" s="19" t="s">
        <v>283</v>
      </c>
      <c r="P187" s="19" t="s">
        <v>291</v>
      </c>
      <c r="Q187" s="19" t="s">
        <v>285</v>
      </c>
      <c r="R187" s="19" t="s">
        <v>248</v>
      </c>
      <c r="S187" s="19" t="s">
        <v>249</v>
      </c>
      <c r="T187" s="19" t="s">
        <v>286</v>
      </c>
    </row>
    <row r="188" spans="1:20" x14ac:dyDescent="0.2">
      <c r="A188" s="1">
        <v>46020</v>
      </c>
      <c r="B188" s="2">
        <v>0.91666666666666663</v>
      </c>
      <c r="C188" s="19" t="s">
        <v>20</v>
      </c>
      <c r="D188" s="19" t="s">
        <v>34</v>
      </c>
      <c r="E188" s="19" t="s">
        <v>34</v>
      </c>
      <c r="F188">
        <v>3</v>
      </c>
      <c r="G188">
        <v>4</v>
      </c>
      <c r="H188">
        <v>0.59099999999999997</v>
      </c>
      <c r="I188" s="19" t="s">
        <v>249</v>
      </c>
      <c r="J188" s="19" t="s">
        <v>34</v>
      </c>
      <c r="K188">
        <v>3</v>
      </c>
      <c r="L188">
        <v>2</v>
      </c>
      <c r="M188">
        <v>-0.21</v>
      </c>
      <c r="N188" s="19" t="s">
        <v>34</v>
      </c>
      <c r="O188" s="19" t="s">
        <v>284</v>
      </c>
      <c r="P188" s="19" t="s">
        <v>283</v>
      </c>
      <c r="Q188" s="19" t="s">
        <v>285</v>
      </c>
      <c r="R188" s="19" t="s">
        <v>248</v>
      </c>
      <c r="S188" s="19" t="s">
        <v>248</v>
      </c>
      <c r="T188" s="19" t="s">
        <v>286</v>
      </c>
    </row>
    <row r="189" spans="1:20" x14ac:dyDescent="0.2">
      <c r="A189" s="1">
        <v>46020</v>
      </c>
      <c r="B189" s="2">
        <v>0.79166666666666663</v>
      </c>
      <c r="C189" s="19" t="s">
        <v>36</v>
      </c>
      <c r="D189" s="19" t="s">
        <v>28</v>
      </c>
      <c r="E189" s="19" t="s">
        <v>28</v>
      </c>
      <c r="F189">
        <v>3</v>
      </c>
      <c r="G189">
        <v>4</v>
      </c>
      <c r="H189">
        <v>0.5101</v>
      </c>
      <c r="I189" s="19" t="s">
        <v>249</v>
      </c>
      <c r="J189" s="19" t="s">
        <v>36</v>
      </c>
      <c r="K189">
        <v>3</v>
      </c>
      <c r="L189">
        <v>2</v>
      </c>
      <c r="M189">
        <v>0.48</v>
      </c>
      <c r="N189" s="19" t="s">
        <v>28</v>
      </c>
      <c r="O189" s="19" t="s">
        <v>287</v>
      </c>
      <c r="P189" s="19" t="s">
        <v>289</v>
      </c>
      <c r="Q189" s="19" t="s">
        <v>285</v>
      </c>
      <c r="R189" s="19" t="s">
        <v>248</v>
      </c>
      <c r="S189" s="19" t="s">
        <v>249</v>
      </c>
      <c r="T189" s="19" t="s">
        <v>286</v>
      </c>
    </row>
    <row r="190" spans="1:20" x14ac:dyDescent="0.2">
      <c r="A190" s="1">
        <v>46020</v>
      </c>
      <c r="B190" s="2">
        <v>0.91666666666666663</v>
      </c>
      <c r="C190" s="19" t="s">
        <v>32</v>
      </c>
      <c r="D190" s="19" t="s">
        <v>38</v>
      </c>
      <c r="E190" s="19" t="s">
        <v>32</v>
      </c>
      <c r="F190">
        <v>4</v>
      </c>
      <c r="G190">
        <v>3</v>
      </c>
      <c r="H190">
        <v>0.51719999999999999</v>
      </c>
      <c r="I190" s="19" t="s">
        <v>249</v>
      </c>
      <c r="J190" s="19" t="s">
        <v>32</v>
      </c>
      <c r="K190">
        <v>3</v>
      </c>
      <c r="L190">
        <v>2</v>
      </c>
      <c r="M190">
        <v>0.21</v>
      </c>
      <c r="N190" s="19" t="s">
        <v>38</v>
      </c>
      <c r="O190" s="19" t="s">
        <v>284</v>
      </c>
      <c r="P190" s="19" t="s">
        <v>291</v>
      </c>
      <c r="Q190" s="19" t="s">
        <v>287</v>
      </c>
      <c r="R190" s="19" t="s">
        <v>249</v>
      </c>
      <c r="S190" s="19" t="s">
        <v>249</v>
      </c>
      <c r="T190" s="19" t="s">
        <v>286</v>
      </c>
    </row>
    <row r="191" spans="1:20" x14ac:dyDescent="0.2">
      <c r="A191" s="1">
        <v>46020</v>
      </c>
      <c r="B191" s="2">
        <v>0.8125</v>
      </c>
      <c r="C191" s="19" t="s">
        <v>40</v>
      </c>
      <c r="D191" s="19" t="s">
        <v>17</v>
      </c>
      <c r="E191" s="19" t="s">
        <v>17</v>
      </c>
      <c r="F191">
        <v>3</v>
      </c>
      <c r="G191">
        <v>4</v>
      </c>
      <c r="H191">
        <v>0.54410000000000003</v>
      </c>
      <c r="I191" s="19" t="s">
        <v>249</v>
      </c>
      <c r="J191" s="19" t="s">
        <v>17</v>
      </c>
      <c r="K191">
        <v>3</v>
      </c>
      <c r="L191">
        <v>2</v>
      </c>
      <c r="M191">
        <v>-0.05</v>
      </c>
      <c r="N191" s="19" t="s">
        <v>17</v>
      </c>
      <c r="O191" s="19" t="s">
        <v>287</v>
      </c>
      <c r="P191" s="19" t="s">
        <v>291</v>
      </c>
      <c r="Q191" s="19" t="s">
        <v>285</v>
      </c>
      <c r="R191" s="19" t="s">
        <v>248</v>
      </c>
      <c r="S191" s="19" t="s">
        <v>248</v>
      </c>
      <c r="T191" s="19" t="s">
        <v>286</v>
      </c>
    </row>
    <row r="192" spans="1:20" x14ac:dyDescent="0.2">
      <c r="A192" s="1">
        <v>46020</v>
      </c>
      <c r="B192" s="2">
        <v>0.83333333333333337</v>
      </c>
      <c r="C192" s="19" t="s">
        <v>35</v>
      </c>
      <c r="D192" s="19" t="s">
        <v>23</v>
      </c>
      <c r="E192" s="19" t="s">
        <v>35</v>
      </c>
      <c r="F192">
        <v>4</v>
      </c>
      <c r="G192">
        <v>3</v>
      </c>
      <c r="H192">
        <v>0.57420000000000004</v>
      </c>
      <c r="I192" s="19" t="s">
        <v>249</v>
      </c>
      <c r="J192" s="19" t="s">
        <v>23</v>
      </c>
      <c r="K192">
        <v>3</v>
      </c>
      <c r="L192">
        <v>2</v>
      </c>
      <c r="M192">
        <v>-0.86</v>
      </c>
      <c r="N192" s="19" t="s">
        <v>23</v>
      </c>
      <c r="O192" s="19" t="s">
        <v>284</v>
      </c>
      <c r="P192" s="19" t="s">
        <v>289</v>
      </c>
      <c r="Q192" s="19" t="s">
        <v>285</v>
      </c>
      <c r="R192" s="19" t="s">
        <v>249</v>
      </c>
      <c r="S192" s="19" t="s">
        <v>248</v>
      </c>
      <c r="T192" s="19" t="s">
        <v>286</v>
      </c>
    </row>
    <row r="193" spans="1:20" x14ac:dyDescent="0.2">
      <c r="A193" s="1">
        <v>46021</v>
      </c>
      <c r="B193" s="2">
        <v>0.91666666666666663</v>
      </c>
      <c r="C193" s="19" t="s">
        <v>38</v>
      </c>
      <c r="D193" s="19" t="s">
        <v>27</v>
      </c>
      <c r="E193" s="19" t="s">
        <v>27</v>
      </c>
      <c r="F193">
        <v>2</v>
      </c>
      <c r="G193">
        <v>4</v>
      </c>
      <c r="H193">
        <v>0.77549999999999997</v>
      </c>
      <c r="I193" s="19" t="s">
        <v>249</v>
      </c>
      <c r="J193" s="19" t="s">
        <v>27</v>
      </c>
      <c r="K193">
        <v>3</v>
      </c>
      <c r="L193">
        <v>2</v>
      </c>
      <c r="M193">
        <v>-0.59</v>
      </c>
      <c r="N193" s="19" t="s">
        <v>27</v>
      </c>
      <c r="O193" s="19" t="s">
        <v>291</v>
      </c>
      <c r="P193" s="19" t="s">
        <v>288</v>
      </c>
      <c r="Q193" s="19" t="s">
        <v>285</v>
      </c>
      <c r="R193" s="19" t="s">
        <v>248</v>
      </c>
      <c r="S193" s="19" t="s">
        <v>248</v>
      </c>
      <c r="T193" s="19" t="s">
        <v>286</v>
      </c>
    </row>
    <row r="194" spans="1:20" x14ac:dyDescent="0.2">
      <c r="A194" s="1">
        <v>46021</v>
      </c>
      <c r="B194" s="2">
        <v>0.79166666666666663</v>
      </c>
      <c r="C194" s="19" t="s">
        <v>14</v>
      </c>
      <c r="D194" s="19" t="s">
        <v>25</v>
      </c>
      <c r="E194" s="19" t="s">
        <v>25</v>
      </c>
      <c r="F194">
        <v>3</v>
      </c>
      <c r="G194">
        <v>4</v>
      </c>
      <c r="H194">
        <v>0.59460000000000002</v>
      </c>
      <c r="I194" s="19" t="s">
        <v>249</v>
      </c>
      <c r="J194" s="19" t="s">
        <v>25</v>
      </c>
      <c r="K194">
        <v>3</v>
      </c>
      <c r="L194">
        <v>2</v>
      </c>
      <c r="M194">
        <v>-0.68</v>
      </c>
      <c r="N194" s="19" t="s">
        <v>14</v>
      </c>
      <c r="O194" s="19" t="s">
        <v>283</v>
      </c>
      <c r="P194" s="19" t="s">
        <v>287</v>
      </c>
      <c r="Q194" s="19" t="s">
        <v>285</v>
      </c>
      <c r="R194" s="19" t="s">
        <v>249</v>
      </c>
      <c r="S194" s="19" t="s">
        <v>249</v>
      </c>
      <c r="T194" s="19" t="s">
        <v>286</v>
      </c>
    </row>
    <row r="195" spans="1:20" x14ac:dyDescent="0.2">
      <c r="A195" s="1">
        <v>46021</v>
      </c>
      <c r="B195" s="2">
        <v>0.85416666666666663</v>
      </c>
      <c r="C195" s="19" t="s">
        <v>10</v>
      </c>
      <c r="D195" s="19" t="s">
        <v>30</v>
      </c>
      <c r="E195" s="19" t="s">
        <v>30</v>
      </c>
      <c r="F195">
        <v>2</v>
      </c>
      <c r="G195">
        <v>3</v>
      </c>
      <c r="H195">
        <v>0.63029999999999997</v>
      </c>
      <c r="I195" s="19" t="s">
        <v>249</v>
      </c>
      <c r="J195" s="19" t="s">
        <v>30</v>
      </c>
      <c r="K195">
        <v>3</v>
      </c>
      <c r="L195">
        <v>2</v>
      </c>
      <c r="M195">
        <v>-0.67</v>
      </c>
      <c r="N195" s="19" t="s">
        <v>30</v>
      </c>
      <c r="O195" s="19" t="s">
        <v>284</v>
      </c>
      <c r="P195" s="19" t="s">
        <v>291</v>
      </c>
      <c r="Q195" s="19" t="s">
        <v>287</v>
      </c>
      <c r="R195" s="19" t="s">
        <v>248</v>
      </c>
      <c r="S195" s="19" t="s">
        <v>248</v>
      </c>
      <c r="T195" s="19" t="s">
        <v>286</v>
      </c>
    </row>
    <row r="196" spans="1:20" x14ac:dyDescent="0.2">
      <c r="A196" s="1">
        <v>46021</v>
      </c>
      <c r="B196" s="2">
        <v>0.79166666666666663</v>
      </c>
      <c r="C196" s="19" t="s">
        <v>19</v>
      </c>
      <c r="D196" s="19" t="s">
        <v>24</v>
      </c>
      <c r="E196" s="19" t="s">
        <v>24</v>
      </c>
      <c r="F196">
        <v>3</v>
      </c>
      <c r="G196">
        <v>4</v>
      </c>
      <c r="H196">
        <v>0.66710000000000003</v>
      </c>
      <c r="I196" s="19" t="s">
        <v>249</v>
      </c>
      <c r="J196" s="19" t="s">
        <v>24</v>
      </c>
      <c r="K196">
        <v>3</v>
      </c>
      <c r="L196">
        <v>2</v>
      </c>
      <c r="M196">
        <v>-0.08</v>
      </c>
      <c r="N196" s="19" t="s">
        <v>19</v>
      </c>
      <c r="O196" s="19" t="s">
        <v>289</v>
      </c>
      <c r="P196" s="19" t="s">
        <v>285</v>
      </c>
      <c r="Q196" s="19" t="s">
        <v>285</v>
      </c>
      <c r="R196" s="19" t="s">
        <v>249</v>
      </c>
      <c r="S196" s="19" t="s">
        <v>249</v>
      </c>
      <c r="T196" s="19" t="s">
        <v>286</v>
      </c>
    </row>
    <row r="197" spans="1:20" x14ac:dyDescent="0.2">
      <c r="A197" s="1">
        <v>46021</v>
      </c>
      <c r="B197" s="2">
        <v>0.79166666666666663</v>
      </c>
      <c r="C197" s="19" t="s">
        <v>11</v>
      </c>
      <c r="D197" s="19" t="s">
        <v>18</v>
      </c>
      <c r="E197" s="19" t="s">
        <v>18</v>
      </c>
      <c r="F197">
        <v>3</v>
      </c>
      <c r="G197">
        <v>5</v>
      </c>
      <c r="H197">
        <v>0.68310000000000004</v>
      </c>
      <c r="I197" s="19" t="s">
        <v>249</v>
      </c>
      <c r="J197" s="19" t="s">
        <v>11</v>
      </c>
      <c r="K197">
        <v>3</v>
      </c>
      <c r="L197">
        <v>2</v>
      </c>
      <c r="M197">
        <v>0.32</v>
      </c>
      <c r="N197" s="19" t="s">
        <v>18</v>
      </c>
      <c r="O197" s="19" t="s">
        <v>284</v>
      </c>
      <c r="P197" s="19" t="s">
        <v>291</v>
      </c>
      <c r="Q197" s="19" t="s">
        <v>287</v>
      </c>
      <c r="R197" s="19" t="s">
        <v>248</v>
      </c>
      <c r="S197" s="19" t="s">
        <v>249</v>
      </c>
      <c r="T197" s="19" t="s">
        <v>286</v>
      </c>
    </row>
    <row r="198" spans="1:20" x14ac:dyDescent="0.2">
      <c r="A198" s="1">
        <v>46022</v>
      </c>
      <c r="B198" s="2">
        <v>0.89583333333333337</v>
      </c>
      <c r="C198" s="19" t="s">
        <v>17</v>
      </c>
      <c r="D198" s="19" t="s">
        <v>21</v>
      </c>
      <c r="E198" s="19" t="s">
        <v>17</v>
      </c>
      <c r="F198">
        <v>4</v>
      </c>
      <c r="G198">
        <v>3</v>
      </c>
      <c r="H198">
        <v>0.6331</v>
      </c>
      <c r="I198" s="19" t="s">
        <v>249</v>
      </c>
      <c r="J198" s="19" t="s">
        <v>17</v>
      </c>
      <c r="K198">
        <v>3</v>
      </c>
      <c r="L198">
        <v>2</v>
      </c>
      <c r="M198">
        <v>0.3</v>
      </c>
      <c r="N198" s="19" t="s">
        <v>21</v>
      </c>
      <c r="O198" s="19" t="s">
        <v>284</v>
      </c>
      <c r="P198" s="19" t="s">
        <v>288</v>
      </c>
      <c r="Q198" s="19" t="s">
        <v>285</v>
      </c>
      <c r="R198" s="19" t="s">
        <v>249</v>
      </c>
      <c r="S198" s="19" t="s">
        <v>249</v>
      </c>
      <c r="T198" s="19" t="s">
        <v>286</v>
      </c>
    </row>
    <row r="199" spans="1:20" x14ac:dyDescent="0.2">
      <c r="A199" s="1">
        <v>46022</v>
      </c>
      <c r="B199" s="2">
        <v>0.66666666666666663</v>
      </c>
      <c r="C199" s="19" t="s">
        <v>31</v>
      </c>
      <c r="D199" s="19" t="s">
        <v>37</v>
      </c>
      <c r="E199" s="19" t="s">
        <v>37</v>
      </c>
      <c r="F199">
        <v>2</v>
      </c>
      <c r="G199">
        <v>4</v>
      </c>
      <c r="H199">
        <v>0.76780000000000004</v>
      </c>
      <c r="I199" s="19" t="s">
        <v>249</v>
      </c>
      <c r="J199" s="19" t="s">
        <v>37</v>
      </c>
      <c r="K199">
        <v>3</v>
      </c>
      <c r="L199">
        <v>2</v>
      </c>
      <c r="M199">
        <v>-0.71</v>
      </c>
      <c r="N199" s="19" t="s">
        <v>37</v>
      </c>
      <c r="O199" s="19" t="s">
        <v>291</v>
      </c>
      <c r="P199" s="19" t="s">
        <v>289</v>
      </c>
      <c r="Q199" s="19" t="s">
        <v>287</v>
      </c>
      <c r="R199" s="19" t="s">
        <v>248</v>
      </c>
      <c r="S199" s="19" t="s">
        <v>248</v>
      </c>
      <c r="T199" s="19" t="s">
        <v>286</v>
      </c>
    </row>
    <row r="200" spans="1:20" x14ac:dyDescent="0.2">
      <c r="A200" s="1">
        <v>46022</v>
      </c>
      <c r="B200" s="2">
        <v>0.83333333333333337</v>
      </c>
      <c r="C200" s="19" t="s">
        <v>39</v>
      </c>
      <c r="D200" s="19" t="s">
        <v>23</v>
      </c>
      <c r="E200" s="19" t="s">
        <v>39</v>
      </c>
      <c r="F200">
        <v>4</v>
      </c>
      <c r="G200">
        <v>3</v>
      </c>
      <c r="H200">
        <v>0.78620000000000001</v>
      </c>
      <c r="I200" s="19" t="s">
        <v>249</v>
      </c>
      <c r="J200" s="19" t="s">
        <v>39</v>
      </c>
      <c r="K200">
        <v>3</v>
      </c>
      <c r="L200">
        <v>2</v>
      </c>
      <c r="M200">
        <v>0.91</v>
      </c>
      <c r="N200" s="19" t="s">
        <v>23</v>
      </c>
      <c r="O200" s="19" t="s">
        <v>287</v>
      </c>
      <c r="P200" s="19" t="s">
        <v>289</v>
      </c>
      <c r="Q200" s="19" t="s">
        <v>285</v>
      </c>
      <c r="R200" s="19" t="s">
        <v>249</v>
      </c>
      <c r="S200" s="19" t="s">
        <v>249</v>
      </c>
      <c r="T200" s="19" t="s">
        <v>286</v>
      </c>
    </row>
    <row r="201" spans="1:20" x14ac:dyDescent="0.2">
      <c r="A201" s="1">
        <v>46022</v>
      </c>
      <c r="B201" s="2">
        <v>0.79166666666666663</v>
      </c>
      <c r="C201" s="19" t="s">
        <v>28</v>
      </c>
      <c r="D201" s="19" t="s">
        <v>24</v>
      </c>
      <c r="E201" s="19" t="s">
        <v>24</v>
      </c>
      <c r="F201">
        <v>3</v>
      </c>
      <c r="G201">
        <v>4</v>
      </c>
      <c r="H201">
        <v>0.67300000000000004</v>
      </c>
      <c r="I201" s="19" t="s">
        <v>249</v>
      </c>
      <c r="J201" s="19" t="s">
        <v>24</v>
      </c>
      <c r="K201">
        <v>3</v>
      </c>
      <c r="L201">
        <v>2</v>
      </c>
      <c r="M201">
        <v>-0.12</v>
      </c>
      <c r="N201" s="19" t="s">
        <v>24</v>
      </c>
      <c r="O201" s="19" t="s">
        <v>284</v>
      </c>
      <c r="P201" s="19" t="s">
        <v>291</v>
      </c>
      <c r="Q201" s="19" t="s">
        <v>285</v>
      </c>
      <c r="R201" s="19" t="s">
        <v>248</v>
      </c>
      <c r="S201" s="19" t="s">
        <v>248</v>
      </c>
      <c r="T201" s="19" t="s">
        <v>286</v>
      </c>
    </row>
    <row r="202" spans="1:20" x14ac:dyDescent="0.2">
      <c r="A202" s="1">
        <v>46022</v>
      </c>
      <c r="B202" s="2">
        <v>0.77083333333333337</v>
      </c>
      <c r="C202" s="19" t="s">
        <v>26</v>
      </c>
      <c r="D202" s="19" t="s">
        <v>40</v>
      </c>
      <c r="E202" s="19" t="s">
        <v>26</v>
      </c>
      <c r="F202">
        <v>5</v>
      </c>
      <c r="G202">
        <v>4</v>
      </c>
      <c r="H202">
        <v>0.53749999999999998</v>
      </c>
      <c r="I202" s="19" t="s">
        <v>249</v>
      </c>
      <c r="J202" s="19" t="s">
        <v>26</v>
      </c>
      <c r="K202">
        <v>3</v>
      </c>
      <c r="L202">
        <v>2</v>
      </c>
      <c r="M202">
        <v>0.04</v>
      </c>
      <c r="N202" s="19" t="s">
        <v>26</v>
      </c>
      <c r="O202" s="19" t="s">
        <v>284</v>
      </c>
      <c r="P202" s="19" t="s">
        <v>287</v>
      </c>
      <c r="Q202" s="19" t="s">
        <v>285</v>
      </c>
      <c r="R202" s="19" t="s">
        <v>248</v>
      </c>
      <c r="S202" s="19" t="s">
        <v>248</v>
      </c>
      <c r="T202" s="19" t="s">
        <v>286</v>
      </c>
    </row>
    <row r="203" spans="1:20" x14ac:dyDescent="0.2">
      <c r="A203" s="1">
        <v>46022</v>
      </c>
      <c r="B203" s="2">
        <v>0.625</v>
      </c>
      <c r="C203" s="19" t="s">
        <v>20</v>
      </c>
      <c r="D203" s="19" t="s">
        <v>29</v>
      </c>
      <c r="E203" s="19" t="s">
        <v>20</v>
      </c>
      <c r="F203">
        <v>4</v>
      </c>
      <c r="G203">
        <v>3</v>
      </c>
      <c r="H203">
        <v>0.66679999999999995</v>
      </c>
      <c r="I203" s="19" t="s">
        <v>248</v>
      </c>
      <c r="J203" s="19" t="s">
        <v>20</v>
      </c>
      <c r="K203">
        <v>3</v>
      </c>
      <c r="L203">
        <v>2</v>
      </c>
      <c r="M203">
        <v>0.59</v>
      </c>
      <c r="N203" s="19" t="s">
        <v>29</v>
      </c>
      <c r="O203" s="19" t="s">
        <v>284</v>
      </c>
      <c r="P203" s="19" t="s">
        <v>289</v>
      </c>
      <c r="Q203" s="19" t="s">
        <v>285</v>
      </c>
      <c r="R203" s="19" t="s">
        <v>249</v>
      </c>
      <c r="S203" s="19" t="s">
        <v>249</v>
      </c>
      <c r="T203" s="19" t="s">
        <v>286</v>
      </c>
    </row>
    <row r="204" spans="1:20" x14ac:dyDescent="0.2">
      <c r="A204" s="1">
        <v>46022</v>
      </c>
      <c r="B204" s="2">
        <v>0.875</v>
      </c>
      <c r="C204" s="19" t="s">
        <v>12</v>
      </c>
      <c r="D204" s="19" t="s">
        <v>35</v>
      </c>
      <c r="E204" s="19" t="s">
        <v>12</v>
      </c>
      <c r="F204">
        <v>3</v>
      </c>
      <c r="G204">
        <v>2</v>
      </c>
      <c r="H204">
        <v>0.87290000000000001</v>
      </c>
      <c r="I204" s="19" t="s">
        <v>249</v>
      </c>
      <c r="J204" s="19" t="s">
        <v>12</v>
      </c>
      <c r="K204">
        <v>3</v>
      </c>
      <c r="L204">
        <v>2</v>
      </c>
      <c r="M204">
        <v>2.8</v>
      </c>
      <c r="N204" s="19" t="s">
        <v>12</v>
      </c>
      <c r="O204" s="19" t="s">
        <v>288</v>
      </c>
      <c r="P204" s="19" t="s">
        <v>287</v>
      </c>
      <c r="Q204" s="19" t="s">
        <v>285</v>
      </c>
      <c r="R204" s="19" t="s">
        <v>248</v>
      </c>
      <c r="S204" s="19" t="s">
        <v>248</v>
      </c>
      <c r="T204" s="19" t="s">
        <v>286</v>
      </c>
    </row>
    <row r="205" spans="1:20" x14ac:dyDescent="0.2">
      <c r="A205" s="1">
        <v>46022</v>
      </c>
      <c r="B205" s="2">
        <v>0.52083333333333337</v>
      </c>
      <c r="C205" s="19" t="s">
        <v>22</v>
      </c>
      <c r="D205" s="19" t="s">
        <v>15</v>
      </c>
      <c r="E205" s="19" t="s">
        <v>15</v>
      </c>
      <c r="F205">
        <v>3</v>
      </c>
      <c r="G205">
        <v>5</v>
      </c>
      <c r="H205">
        <v>0.80369999999999997</v>
      </c>
      <c r="I205" s="19" t="s">
        <v>249</v>
      </c>
      <c r="J205" s="19" t="s">
        <v>22</v>
      </c>
      <c r="K205">
        <v>3</v>
      </c>
      <c r="L205">
        <v>2</v>
      </c>
      <c r="M205">
        <v>0.46</v>
      </c>
      <c r="N205" s="19" t="s">
        <v>22</v>
      </c>
      <c r="O205" s="19" t="s">
        <v>288</v>
      </c>
      <c r="P205" s="19" t="s">
        <v>291</v>
      </c>
      <c r="Q205" s="19" t="s">
        <v>285</v>
      </c>
      <c r="R205" s="19" t="s">
        <v>249</v>
      </c>
      <c r="S205" s="19" t="s">
        <v>248</v>
      </c>
      <c r="T205" s="19" t="s">
        <v>286</v>
      </c>
    </row>
    <row r="206" spans="1:20" x14ac:dyDescent="0.2">
      <c r="A206" s="1">
        <v>46022</v>
      </c>
      <c r="B206" s="2">
        <v>0.89583333333333337</v>
      </c>
      <c r="C206" s="19" t="s">
        <v>16</v>
      </c>
      <c r="D206" s="19" t="s">
        <v>27</v>
      </c>
      <c r="E206" s="19" t="s">
        <v>16</v>
      </c>
      <c r="F206">
        <v>5</v>
      </c>
      <c r="G206">
        <v>2</v>
      </c>
      <c r="H206">
        <v>0.67779999999999996</v>
      </c>
      <c r="I206" s="19" t="s">
        <v>249</v>
      </c>
      <c r="J206" s="19" t="s">
        <v>27</v>
      </c>
      <c r="K206">
        <v>3</v>
      </c>
      <c r="L206">
        <v>2</v>
      </c>
      <c r="M206">
        <v>-0.49</v>
      </c>
      <c r="N206" s="19" t="s">
        <v>16</v>
      </c>
      <c r="O206" s="19" t="s">
        <v>283</v>
      </c>
      <c r="P206" s="19" t="s">
        <v>287</v>
      </c>
      <c r="Q206" s="19" t="s">
        <v>285</v>
      </c>
      <c r="R206" s="19" t="s">
        <v>248</v>
      </c>
      <c r="S206" s="19" t="s">
        <v>249</v>
      </c>
      <c r="T206" s="19" t="s">
        <v>286</v>
      </c>
    </row>
    <row r="207" spans="1:20" x14ac:dyDescent="0.2">
      <c r="A207" s="1">
        <v>46022</v>
      </c>
      <c r="B207" s="2">
        <v>0.66666666666666663</v>
      </c>
      <c r="C207" s="19" t="s">
        <v>33</v>
      </c>
      <c r="D207" s="19" t="s">
        <v>34</v>
      </c>
      <c r="E207" s="19" t="s">
        <v>34</v>
      </c>
      <c r="F207">
        <v>2</v>
      </c>
      <c r="G207">
        <v>3</v>
      </c>
      <c r="H207">
        <v>0.72799999999999998</v>
      </c>
      <c r="I207" s="19" t="s">
        <v>249</v>
      </c>
      <c r="J207" s="19" t="s">
        <v>34</v>
      </c>
      <c r="K207">
        <v>3</v>
      </c>
      <c r="L207">
        <v>2</v>
      </c>
      <c r="M207">
        <v>-0.8</v>
      </c>
      <c r="N207" s="19" t="s">
        <v>33</v>
      </c>
      <c r="O207" s="19" t="s">
        <v>289</v>
      </c>
      <c r="P207" s="19" t="s">
        <v>291</v>
      </c>
      <c r="Q207" s="19" t="s">
        <v>287</v>
      </c>
      <c r="R207" s="19" t="s">
        <v>249</v>
      </c>
      <c r="S207" s="19" t="s">
        <v>249</v>
      </c>
      <c r="T207" s="19" t="s">
        <v>286</v>
      </c>
    </row>
    <row r="208" spans="1:20" x14ac:dyDescent="0.2">
      <c r="A208" s="1">
        <v>46023</v>
      </c>
      <c r="B208" s="2">
        <v>0.79166666666666663</v>
      </c>
      <c r="C208" s="19" t="s">
        <v>19</v>
      </c>
      <c r="D208" s="19" t="s">
        <v>40</v>
      </c>
      <c r="E208" s="19" t="s">
        <v>19</v>
      </c>
      <c r="F208">
        <v>4</v>
      </c>
      <c r="G208">
        <v>2</v>
      </c>
      <c r="H208">
        <v>0.74609999999999999</v>
      </c>
      <c r="I208" s="19" t="s">
        <v>249</v>
      </c>
      <c r="J208" s="19" t="s">
        <v>19</v>
      </c>
      <c r="K208">
        <v>3</v>
      </c>
      <c r="L208">
        <v>2</v>
      </c>
      <c r="M208">
        <v>0.14000000000000001</v>
      </c>
      <c r="N208" s="19" t="s">
        <v>19</v>
      </c>
      <c r="O208" s="19" t="s">
        <v>288</v>
      </c>
      <c r="P208" s="19" t="s">
        <v>283</v>
      </c>
      <c r="Q208" s="19" t="s">
        <v>285</v>
      </c>
      <c r="R208" s="19" t="s">
        <v>248</v>
      </c>
      <c r="S208" s="19" t="s">
        <v>248</v>
      </c>
      <c r="T208" s="19" t="s">
        <v>286</v>
      </c>
    </row>
    <row r="209" spans="1:20" x14ac:dyDescent="0.2">
      <c r="A209" s="1">
        <v>46023</v>
      </c>
      <c r="B209" s="2">
        <v>0.85416666666666663</v>
      </c>
      <c r="C209" s="19" t="s">
        <v>10</v>
      </c>
      <c r="D209" s="19" t="s">
        <v>39</v>
      </c>
      <c r="E209" s="19" t="s">
        <v>39</v>
      </c>
      <c r="F209">
        <v>2</v>
      </c>
      <c r="G209">
        <v>3</v>
      </c>
      <c r="H209">
        <v>0.7883</v>
      </c>
      <c r="I209" s="19" t="s">
        <v>249</v>
      </c>
      <c r="J209" s="19" t="s">
        <v>39</v>
      </c>
      <c r="K209">
        <v>3</v>
      </c>
      <c r="L209">
        <v>2</v>
      </c>
      <c r="M209">
        <v>-1.2</v>
      </c>
      <c r="N209" s="19" t="s">
        <v>10</v>
      </c>
      <c r="O209" s="19" t="s">
        <v>289</v>
      </c>
      <c r="P209" s="19" t="s">
        <v>291</v>
      </c>
      <c r="Q209" s="19" t="s">
        <v>285</v>
      </c>
      <c r="R209" s="19" t="s">
        <v>249</v>
      </c>
      <c r="S209" s="19" t="s">
        <v>249</v>
      </c>
      <c r="T209" s="19" t="s">
        <v>286</v>
      </c>
    </row>
    <row r="210" spans="1:20" x14ac:dyDescent="0.2">
      <c r="A210" s="1">
        <v>46023</v>
      </c>
      <c r="B210" s="2">
        <v>0.79166666666666663</v>
      </c>
      <c r="C210" s="19" t="s">
        <v>13</v>
      </c>
      <c r="D210" s="19" t="s">
        <v>37</v>
      </c>
      <c r="E210" s="19" t="s">
        <v>37</v>
      </c>
      <c r="F210">
        <v>2</v>
      </c>
      <c r="G210">
        <v>3</v>
      </c>
      <c r="H210">
        <v>0.71709999999999996</v>
      </c>
      <c r="I210" s="19" t="s">
        <v>249</v>
      </c>
      <c r="J210" s="19" t="s">
        <v>37</v>
      </c>
      <c r="K210">
        <v>3</v>
      </c>
      <c r="L210">
        <v>2</v>
      </c>
      <c r="M210">
        <v>-0.66</v>
      </c>
      <c r="N210" s="19" t="s">
        <v>37</v>
      </c>
      <c r="O210" s="19" t="s">
        <v>291</v>
      </c>
      <c r="P210" s="19" t="s">
        <v>283</v>
      </c>
      <c r="Q210" s="19" t="s">
        <v>285</v>
      </c>
      <c r="R210" s="19" t="s">
        <v>248</v>
      </c>
      <c r="S210" s="19" t="s">
        <v>248</v>
      </c>
      <c r="T210" s="19" t="s">
        <v>286</v>
      </c>
    </row>
    <row r="211" spans="1:20" x14ac:dyDescent="0.2">
      <c r="A211" s="1">
        <v>46023</v>
      </c>
      <c r="B211" s="2">
        <v>0.79166666666666663</v>
      </c>
      <c r="C211" s="19" t="s">
        <v>25</v>
      </c>
      <c r="D211" s="19" t="s">
        <v>18</v>
      </c>
      <c r="E211" s="19" t="s">
        <v>18</v>
      </c>
      <c r="F211">
        <v>4</v>
      </c>
      <c r="G211">
        <v>5</v>
      </c>
      <c r="H211">
        <v>0.57499999999999996</v>
      </c>
      <c r="I211" s="19" t="s">
        <v>249</v>
      </c>
      <c r="J211" s="19" t="s">
        <v>25</v>
      </c>
      <c r="K211">
        <v>3</v>
      </c>
      <c r="L211">
        <v>2</v>
      </c>
      <c r="M211">
        <v>0.56999999999999995</v>
      </c>
      <c r="N211" s="19" t="s">
        <v>18</v>
      </c>
      <c r="O211" s="19" t="s">
        <v>283</v>
      </c>
      <c r="P211" s="19" t="s">
        <v>292</v>
      </c>
      <c r="Q211" s="19" t="s">
        <v>285</v>
      </c>
      <c r="R211" s="19" t="s">
        <v>248</v>
      </c>
      <c r="S211" s="19" t="s">
        <v>249</v>
      </c>
      <c r="T211" s="19" t="s">
        <v>286</v>
      </c>
    </row>
    <row r="212" spans="1:20" x14ac:dyDescent="0.2">
      <c r="A212" s="1">
        <v>46023</v>
      </c>
      <c r="B212" s="2">
        <v>0.91666666666666663</v>
      </c>
      <c r="C212" s="19" t="s">
        <v>32</v>
      </c>
      <c r="D212" s="19" t="s">
        <v>29</v>
      </c>
      <c r="E212" s="19" t="s">
        <v>32</v>
      </c>
      <c r="F212">
        <v>3</v>
      </c>
      <c r="G212">
        <v>2</v>
      </c>
      <c r="H212">
        <v>0.54830000000000001</v>
      </c>
      <c r="I212" s="19" t="s">
        <v>249</v>
      </c>
      <c r="J212" s="19" t="s">
        <v>29</v>
      </c>
      <c r="K212">
        <v>3</v>
      </c>
      <c r="L212">
        <v>2</v>
      </c>
      <c r="M212">
        <v>-0.04</v>
      </c>
      <c r="N212" s="19" t="s">
        <v>32</v>
      </c>
      <c r="O212" s="19" t="s">
        <v>289</v>
      </c>
      <c r="P212" s="19" t="s">
        <v>287</v>
      </c>
      <c r="Q212" s="19" t="s">
        <v>285</v>
      </c>
      <c r="R212" s="19" t="s">
        <v>248</v>
      </c>
      <c r="S212" s="19" t="s">
        <v>249</v>
      </c>
      <c r="T212" s="19" t="s">
        <v>286</v>
      </c>
    </row>
    <row r="213" spans="1:20" x14ac:dyDescent="0.2">
      <c r="A213" s="1">
        <v>46023</v>
      </c>
      <c r="B213" s="2">
        <v>0.79166666666666663</v>
      </c>
      <c r="C213" s="19" t="s">
        <v>14</v>
      </c>
      <c r="D213" s="19" t="s">
        <v>26</v>
      </c>
      <c r="E213" s="19" t="s">
        <v>26</v>
      </c>
      <c r="F213">
        <v>3</v>
      </c>
      <c r="G213">
        <v>4</v>
      </c>
      <c r="H213">
        <v>0.62039999999999995</v>
      </c>
      <c r="I213" s="19" t="s">
        <v>249</v>
      </c>
      <c r="J213" s="19" t="s">
        <v>14</v>
      </c>
      <c r="K213">
        <v>3</v>
      </c>
      <c r="L213">
        <v>2</v>
      </c>
      <c r="M213">
        <v>0.15</v>
      </c>
      <c r="N213" s="19" t="s">
        <v>14</v>
      </c>
      <c r="O213" s="19" t="s">
        <v>289</v>
      </c>
      <c r="P213" s="19" t="s">
        <v>291</v>
      </c>
      <c r="Q213" s="19" t="s">
        <v>287</v>
      </c>
      <c r="R213" s="19" t="s">
        <v>249</v>
      </c>
      <c r="S213" s="19" t="s">
        <v>248</v>
      </c>
      <c r="T213" s="19" t="s">
        <v>286</v>
      </c>
    </row>
    <row r="214" spans="1:20" x14ac:dyDescent="0.2">
      <c r="A214" s="1">
        <v>46023</v>
      </c>
      <c r="B214" s="2">
        <v>0.625</v>
      </c>
      <c r="C214" s="19" t="s">
        <v>30</v>
      </c>
      <c r="D214" s="19" t="s">
        <v>55</v>
      </c>
      <c r="E214" s="19" t="s">
        <v>30</v>
      </c>
      <c r="F214">
        <v>3</v>
      </c>
      <c r="G214">
        <v>2</v>
      </c>
      <c r="H214">
        <v>0.56630000000000003</v>
      </c>
      <c r="I214" s="19" t="s">
        <v>249</v>
      </c>
      <c r="J214" s="19" t="s">
        <v>30</v>
      </c>
      <c r="K214">
        <v>3</v>
      </c>
      <c r="L214">
        <v>2</v>
      </c>
      <c r="M214">
        <v>0.17</v>
      </c>
      <c r="N214" s="19" t="s">
        <v>55</v>
      </c>
      <c r="O214" s="19" t="s">
        <v>284</v>
      </c>
      <c r="P214" s="19" t="s">
        <v>292</v>
      </c>
      <c r="Q214" s="19" t="s">
        <v>285</v>
      </c>
      <c r="R214" s="19" t="s">
        <v>249</v>
      </c>
      <c r="S214" s="19" t="s">
        <v>249</v>
      </c>
      <c r="T214" s="19" t="s">
        <v>286</v>
      </c>
    </row>
    <row r="215" spans="1:20" x14ac:dyDescent="0.2">
      <c r="A215" s="1">
        <v>46023</v>
      </c>
      <c r="B215" s="2">
        <v>0.54166666666666663</v>
      </c>
      <c r="C215" s="19" t="s">
        <v>36</v>
      </c>
      <c r="D215" s="19" t="s">
        <v>22</v>
      </c>
      <c r="E215" s="19" t="s">
        <v>22</v>
      </c>
      <c r="F215">
        <v>3</v>
      </c>
      <c r="G215">
        <v>4</v>
      </c>
      <c r="H215">
        <v>0.62760000000000005</v>
      </c>
      <c r="I215" s="19" t="s">
        <v>249</v>
      </c>
      <c r="J215" s="19" t="s">
        <v>22</v>
      </c>
      <c r="K215">
        <v>3</v>
      </c>
      <c r="L215">
        <v>2</v>
      </c>
      <c r="M215">
        <v>-0.37</v>
      </c>
      <c r="N215" s="19" t="s">
        <v>36</v>
      </c>
      <c r="O215" s="19" t="s">
        <v>289</v>
      </c>
      <c r="P215" s="19" t="s">
        <v>291</v>
      </c>
      <c r="Q215" s="19" t="s">
        <v>285</v>
      </c>
      <c r="R215" s="19" t="s">
        <v>249</v>
      </c>
      <c r="S215" s="19" t="s">
        <v>249</v>
      </c>
      <c r="T215" s="19" t="s">
        <v>286</v>
      </c>
    </row>
    <row r="216" spans="1:20" x14ac:dyDescent="0.2">
      <c r="A216" s="1">
        <v>46024</v>
      </c>
      <c r="B216" s="2">
        <v>0.9375</v>
      </c>
      <c r="C216" s="19" t="s">
        <v>38</v>
      </c>
      <c r="D216" s="19" t="s">
        <v>32</v>
      </c>
      <c r="E216" s="19" t="s">
        <v>32</v>
      </c>
      <c r="F216">
        <v>2</v>
      </c>
      <c r="G216">
        <v>3</v>
      </c>
      <c r="H216">
        <v>0.76480000000000004</v>
      </c>
      <c r="I216" s="19" t="s">
        <v>249</v>
      </c>
      <c r="J216" s="19" t="s">
        <v>32</v>
      </c>
      <c r="K216">
        <v>3</v>
      </c>
      <c r="L216">
        <v>2</v>
      </c>
      <c r="M216">
        <v>-0.12</v>
      </c>
      <c r="N216" s="19" t="s">
        <v>32</v>
      </c>
      <c r="O216" s="19" t="s">
        <v>291</v>
      </c>
      <c r="P216" s="19" t="s">
        <v>289</v>
      </c>
      <c r="Q216" s="19" t="s">
        <v>287</v>
      </c>
      <c r="R216" s="19" t="s">
        <v>248</v>
      </c>
      <c r="S216" s="19" t="s">
        <v>248</v>
      </c>
      <c r="T216" s="19" t="s">
        <v>286</v>
      </c>
    </row>
    <row r="217" spans="1:20" x14ac:dyDescent="0.2">
      <c r="A217" s="1">
        <v>46024</v>
      </c>
      <c r="B217" s="2">
        <v>0.83333333333333337</v>
      </c>
      <c r="C217" s="19" t="s">
        <v>11</v>
      </c>
      <c r="D217" s="19" t="s">
        <v>15</v>
      </c>
      <c r="E217" s="19" t="s">
        <v>11</v>
      </c>
      <c r="F217">
        <v>5</v>
      </c>
      <c r="G217">
        <v>4</v>
      </c>
      <c r="H217">
        <v>0.52010000000000001</v>
      </c>
      <c r="I217" s="19" t="s">
        <v>249</v>
      </c>
      <c r="J217" s="19" t="s">
        <v>11</v>
      </c>
      <c r="K217">
        <v>3</v>
      </c>
      <c r="L217">
        <v>2</v>
      </c>
      <c r="M217">
        <v>0.27</v>
      </c>
      <c r="N217" s="19" t="s">
        <v>15</v>
      </c>
      <c r="O217" s="19" t="s">
        <v>287</v>
      </c>
      <c r="P217" s="19" t="s">
        <v>283</v>
      </c>
      <c r="Q217" s="19" t="s">
        <v>285</v>
      </c>
      <c r="R217" s="19" t="s">
        <v>249</v>
      </c>
      <c r="S217" s="19" t="s">
        <v>249</v>
      </c>
      <c r="T217" s="19" t="s">
        <v>286</v>
      </c>
    </row>
    <row r="218" spans="1:20" x14ac:dyDescent="0.2">
      <c r="A218" s="1">
        <v>46024</v>
      </c>
      <c r="B218" s="2">
        <v>0.9375</v>
      </c>
      <c r="C218" s="19" t="s">
        <v>31</v>
      </c>
      <c r="D218" s="19" t="s">
        <v>34</v>
      </c>
      <c r="E218" s="19" t="s">
        <v>34</v>
      </c>
      <c r="F218">
        <v>3</v>
      </c>
      <c r="G218">
        <v>6</v>
      </c>
      <c r="H218">
        <v>0.51370000000000005</v>
      </c>
      <c r="I218" s="19" t="s">
        <v>249</v>
      </c>
      <c r="J218" s="19" t="s">
        <v>34</v>
      </c>
      <c r="K218">
        <v>3</v>
      </c>
      <c r="L218">
        <v>2</v>
      </c>
      <c r="M218">
        <v>-0.52</v>
      </c>
      <c r="N218" s="19" t="s">
        <v>34</v>
      </c>
      <c r="O218" s="19" t="s">
        <v>284</v>
      </c>
      <c r="P218" s="19" t="s">
        <v>283</v>
      </c>
      <c r="Q218" s="19" t="s">
        <v>285</v>
      </c>
      <c r="R218" s="19" t="s">
        <v>248</v>
      </c>
      <c r="S218" s="19" t="s">
        <v>248</v>
      </c>
      <c r="T218" s="19" t="s">
        <v>286</v>
      </c>
    </row>
    <row r="219" spans="1:20" x14ac:dyDescent="0.2">
      <c r="A219" s="1">
        <v>46024</v>
      </c>
      <c r="B219" s="2">
        <v>0.625</v>
      </c>
      <c r="C219" s="19" t="s">
        <v>35</v>
      </c>
      <c r="D219" s="19" t="s">
        <v>20</v>
      </c>
      <c r="E219" s="19" t="s">
        <v>20</v>
      </c>
      <c r="F219">
        <v>2</v>
      </c>
      <c r="G219">
        <v>4</v>
      </c>
      <c r="H219">
        <v>0.9012</v>
      </c>
      <c r="I219" s="19" t="s">
        <v>249</v>
      </c>
      <c r="J219" s="19" t="s">
        <v>20</v>
      </c>
      <c r="K219">
        <v>3</v>
      </c>
      <c r="L219">
        <v>2</v>
      </c>
      <c r="M219">
        <v>-1.03</v>
      </c>
      <c r="N219" s="19" t="s">
        <v>35</v>
      </c>
      <c r="O219" s="19" t="s">
        <v>289</v>
      </c>
      <c r="P219" s="19" t="s">
        <v>291</v>
      </c>
      <c r="Q219" s="19" t="s">
        <v>285</v>
      </c>
      <c r="R219" s="19" t="s">
        <v>249</v>
      </c>
      <c r="S219" s="19" t="s">
        <v>249</v>
      </c>
      <c r="T219" s="19" t="s">
        <v>286</v>
      </c>
    </row>
    <row r="220" spans="1:20" x14ac:dyDescent="0.2">
      <c r="A220" s="1">
        <v>46025</v>
      </c>
      <c r="B220" s="2">
        <v>0.91666666666666663</v>
      </c>
      <c r="C220" s="19" t="s">
        <v>38</v>
      </c>
      <c r="D220" s="19" t="s">
        <v>21</v>
      </c>
      <c r="E220" s="19" t="s">
        <v>21</v>
      </c>
      <c r="F220">
        <v>2</v>
      </c>
      <c r="G220">
        <v>3</v>
      </c>
      <c r="H220">
        <v>0.84850000000000003</v>
      </c>
      <c r="I220" s="19" t="s">
        <v>249</v>
      </c>
      <c r="J220" s="19" t="s">
        <v>21</v>
      </c>
      <c r="K220">
        <v>3</v>
      </c>
      <c r="L220">
        <v>2</v>
      </c>
      <c r="M220">
        <v>-0.47</v>
      </c>
      <c r="N220" s="19" t="s">
        <v>21</v>
      </c>
      <c r="O220" s="19" t="s">
        <v>284</v>
      </c>
      <c r="P220" s="19" t="s">
        <v>291</v>
      </c>
      <c r="Q220" s="19" t="s">
        <v>287</v>
      </c>
      <c r="R220" s="19" t="s">
        <v>248</v>
      </c>
      <c r="S220" s="19" t="s">
        <v>248</v>
      </c>
      <c r="T220" s="19" t="s">
        <v>286</v>
      </c>
    </row>
    <row r="221" spans="1:20" x14ac:dyDescent="0.2">
      <c r="A221" s="1">
        <v>46025</v>
      </c>
      <c r="B221" s="2">
        <v>0.625</v>
      </c>
      <c r="C221" s="19" t="s">
        <v>24</v>
      </c>
      <c r="D221" s="19" t="s">
        <v>55</v>
      </c>
      <c r="E221" s="19" t="s">
        <v>24</v>
      </c>
      <c r="F221">
        <v>4</v>
      </c>
      <c r="G221">
        <v>3</v>
      </c>
      <c r="H221">
        <v>0.62829999999999997</v>
      </c>
      <c r="I221" s="19" t="s">
        <v>249</v>
      </c>
      <c r="J221" s="19" t="s">
        <v>55</v>
      </c>
      <c r="K221">
        <v>3</v>
      </c>
      <c r="L221">
        <v>2</v>
      </c>
      <c r="M221">
        <v>-0.32</v>
      </c>
      <c r="N221" s="19" t="s">
        <v>24</v>
      </c>
      <c r="O221" s="19" t="s">
        <v>289</v>
      </c>
      <c r="P221" s="19" t="s">
        <v>287</v>
      </c>
      <c r="Q221" s="19" t="s">
        <v>285</v>
      </c>
      <c r="R221" s="19" t="s">
        <v>248</v>
      </c>
      <c r="S221" s="19" t="s">
        <v>249</v>
      </c>
      <c r="T221" s="19" t="s">
        <v>286</v>
      </c>
    </row>
    <row r="222" spans="1:20" x14ac:dyDescent="0.2">
      <c r="A222" s="1">
        <v>46025</v>
      </c>
      <c r="B222" s="2">
        <v>0.66666666666666663</v>
      </c>
      <c r="C222" s="19" t="s">
        <v>33</v>
      </c>
      <c r="D222" s="19" t="s">
        <v>37</v>
      </c>
      <c r="E222" s="19" t="s">
        <v>37</v>
      </c>
      <c r="F222">
        <v>2</v>
      </c>
      <c r="G222">
        <v>4</v>
      </c>
      <c r="H222">
        <v>0.76839999999999997</v>
      </c>
      <c r="I222" s="19" t="s">
        <v>249</v>
      </c>
      <c r="J222" s="19" t="s">
        <v>37</v>
      </c>
      <c r="K222">
        <v>3</v>
      </c>
      <c r="L222">
        <v>2</v>
      </c>
      <c r="M222">
        <v>-0.9</v>
      </c>
      <c r="N222" s="19" t="s">
        <v>37</v>
      </c>
      <c r="O222" s="19" t="s">
        <v>291</v>
      </c>
      <c r="P222" s="19" t="s">
        <v>292</v>
      </c>
      <c r="Q222" s="19" t="s">
        <v>285</v>
      </c>
      <c r="R222" s="19" t="s">
        <v>248</v>
      </c>
      <c r="S222" s="19" t="s">
        <v>248</v>
      </c>
      <c r="T222" s="19" t="s">
        <v>286</v>
      </c>
    </row>
    <row r="223" spans="1:20" x14ac:dyDescent="0.2">
      <c r="A223" s="1">
        <v>46025</v>
      </c>
      <c r="B223" s="2">
        <v>0.875</v>
      </c>
      <c r="C223" s="19" t="s">
        <v>13</v>
      </c>
      <c r="D223" s="19" t="s">
        <v>34</v>
      </c>
      <c r="E223" s="19" t="s">
        <v>34</v>
      </c>
      <c r="F223">
        <v>1</v>
      </c>
      <c r="G223">
        <v>3</v>
      </c>
      <c r="H223">
        <v>0.93779999999999997</v>
      </c>
      <c r="I223" s="19" t="s">
        <v>249</v>
      </c>
      <c r="J223" s="19" t="s">
        <v>34</v>
      </c>
      <c r="K223">
        <v>3</v>
      </c>
      <c r="L223">
        <v>2</v>
      </c>
      <c r="M223">
        <v>-0.57999999999999996</v>
      </c>
      <c r="N223" s="19" t="s">
        <v>13</v>
      </c>
      <c r="O223" s="19" t="s">
        <v>283</v>
      </c>
      <c r="P223" s="19" t="s">
        <v>289</v>
      </c>
      <c r="Q223" s="19" t="s">
        <v>287</v>
      </c>
      <c r="R223" s="19" t="s">
        <v>249</v>
      </c>
      <c r="S223" s="19" t="s">
        <v>249</v>
      </c>
      <c r="T223" s="19" t="s">
        <v>286</v>
      </c>
    </row>
    <row r="224" spans="1:20" x14ac:dyDescent="0.2">
      <c r="A224" s="1">
        <v>46025</v>
      </c>
      <c r="B224" s="2">
        <v>0.79166666666666663</v>
      </c>
      <c r="C224" s="19" t="s">
        <v>16</v>
      </c>
      <c r="D224" s="19" t="s">
        <v>29</v>
      </c>
      <c r="E224" s="19" t="s">
        <v>16</v>
      </c>
      <c r="F224">
        <v>4</v>
      </c>
      <c r="G224">
        <v>3</v>
      </c>
      <c r="H224">
        <v>0.71840000000000004</v>
      </c>
      <c r="I224" s="19" t="s">
        <v>249</v>
      </c>
      <c r="J224" s="19" t="s">
        <v>16</v>
      </c>
      <c r="K224">
        <v>3</v>
      </c>
      <c r="L224">
        <v>2</v>
      </c>
      <c r="M224">
        <v>0.17</v>
      </c>
      <c r="N224" s="19" t="s">
        <v>29</v>
      </c>
      <c r="O224" s="19" t="s">
        <v>291</v>
      </c>
      <c r="P224" s="19" t="s">
        <v>289</v>
      </c>
      <c r="Q224" s="19" t="s">
        <v>285</v>
      </c>
      <c r="R224" s="19" t="s">
        <v>249</v>
      </c>
      <c r="S224" s="19" t="s">
        <v>249</v>
      </c>
      <c r="T224" s="19" t="s">
        <v>286</v>
      </c>
    </row>
    <row r="225" spans="1:20" x14ac:dyDescent="0.2">
      <c r="A225" s="1">
        <v>46025</v>
      </c>
      <c r="B225" s="2">
        <v>0.79166666666666663</v>
      </c>
      <c r="C225" s="19" t="s">
        <v>25</v>
      </c>
      <c r="D225" s="19" t="s">
        <v>12</v>
      </c>
      <c r="E225" s="19" t="s">
        <v>25</v>
      </c>
      <c r="F225">
        <v>5</v>
      </c>
      <c r="G225">
        <v>4</v>
      </c>
      <c r="H225">
        <v>0.51919999999999999</v>
      </c>
      <c r="I225" s="19" t="s">
        <v>249</v>
      </c>
      <c r="J225" s="19" t="s">
        <v>12</v>
      </c>
      <c r="K225">
        <v>3</v>
      </c>
      <c r="L225">
        <v>2</v>
      </c>
      <c r="M225">
        <v>-1.34</v>
      </c>
      <c r="N225" s="19" t="s">
        <v>12</v>
      </c>
      <c r="O225" s="19" t="s">
        <v>291</v>
      </c>
      <c r="P225" s="19" t="s">
        <v>283</v>
      </c>
      <c r="Q225" s="19" t="s">
        <v>285</v>
      </c>
      <c r="R225" s="19" t="s">
        <v>249</v>
      </c>
      <c r="S225" s="19" t="s">
        <v>248</v>
      </c>
      <c r="T225" s="19" t="s">
        <v>286</v>
      </c>
    </row>
    <row r="226" spans="1:20" x14ac:dyDescent="0.2">
      <c r="A226" s="1">
        <v>46025</v>
      </c>
      <c r="B226" s="2">
        <v>0.79166666666666663</v>
      </c>
      <c r="C226" s="19" t="s">
        <v>22</v>
      </c>
      <c r="D226" s="19" t="s">
        <v>10</v>
      </c>
      <c r="E226" s="19" t="s">
        <v>22</v>
      </c>
      <c r="F226">
        <v>3</v>
      </c>
      <c r="G226">
        <v>2</v>
      </c>
      <c r="H226">
        <v>0.77210000000000001</v>
      </c>
      <c r="I226" s="19" t="s">
        <v>249</v>
      </c>
      <c r="J226" s="19" t="s">
        <v>22</v>
      </c>
      <c r="K226">
        <v>3</v>
      </c>
      <c r="L226">
        <v>2</v>
      </c>
      <c r="M226">
        <v>0.93</v>
      </c>
      <c r="N226" s="19" t="s">
        <v>10</v>
      </c>
      <c r="O226" s="19" t="s">
        <v>284</v>
      </c>
      <c r="P226" s="19" t="s">
        <v>291</v>
      </c>
      <c r="Q226" s="19" t="s">
        <v>287</v>
      </c>
      <c r="R226" s="19" t="s">
        <v>249</v>
      </c>
      <c r="S226" s="19" t="s">
        <v>249</v>
      </c>
      <c r="T226" s="19" t="s">
        <v>286</v>
      </c>
    </row>
    <row r="227" spans="1:20" x14ac:dyDescent="0.2">
      <c r="A227" s="1">
        <v>46025</v>
      </c>
      <c r="B227" s="2">
        <v>0.79166666666666663</v>
      </c>
      <c r="C227" s="19" t="s">
        <v>30</v>
      </c>
      <c r="D227" s="19" t="s">
        <v>19</v>
      </c>
      <c r="E227" s="19" t="s">
        <v>30</v>
      </c>
      <c r="F227">
        <v>4</v>
      </c>
      <c r="G227">
        <v>3</v>
      </c>
      <c r="H227">
        <v>0.622</v>
      </c>
      <c r="I227" s="19" t="s">
        <v>249</v>
      </c>
      <c r="J227" s="19" t="s">
        <v>30</v>
      </c>
      <c r="K227">
        <v>3</v>
      </c>
      <c r="L227">
        <v>2</v>
      </c>
      <c r="M227">
        <v>0.27</v>
      </c>
      <c r="N227" s="19" t="s">
        <v>30</v>
      </c>
      <c r="O227" s="19" t="s">
        <v>289</v>
      </c>
      <c r="P227" s="19" t="s">
        <v>291</v>
      </c>
      <c r="Q227" s="19" t="s">
        <v>287</v>
      </c>
      <c r="R227" s="19" t="s">
        <v>248</v>
      </c>
      <c r="S227" s="19" t="s">
        <v>248</v>
      </c>
      <c r="T227" s="19" t="s">
        <v>286</v>
      </c>
    </row>
    <row r="228" spans="1:20" x14ac:dyDescent="0.2">
      <c r="A228" s="1">
        <v>46025</v>
      </c>
      <c r="B228" s="2">
        <v>0.79166666666666663</v>
      </c>
      <c r="C228" s="19" t="s">
        <v>36</v>
      </c>
      <c r="D228" s="19" t="s">
        <v>40</v>
      </c>
      <c r="E228" s="19" t="s">
        <v>36</v>
      </c>
      <c r="F228">
        <v>3</v>
      </c>
      <c r="G228">
        <v>2</v>
      </c>
      <c r="H228">
        <v>0.71260000000000001</v>
      </c>
      <c r="I228" s="19" t="s">
        <v>249</v>
      </c>
      <c r="J228" s="19" t="s">
        <v>36</v>
      </c>
      <c r="K228">
        <v>3</v>
      </c>
      <c r="L228">
        <v>2</v>
      </c>
      <c r="M228">
        <v>0.27</v>
      </c>
      <c r="N228" s="19" t="s">
        <v>36</v>
      </c>
      <c r="O228" s="19" t="s">
        <v>289</v>
      </c>
      <c r="P228" s="19" t="s">
        <v>284</v>
      </c>
      <c r="Q228" s="19" t="s">
        <v>285</v>
      </c>
      <c r="R228" s="19" t="s">
        <v>248</v>
      </c>
      <c r="S228" s="19" t="s">
        <v>248</v>
      </c>
      <c r="T228" s="19" t="s">
        <v>286</v>
      </c>
    </row>
    <row r="229" spans="1:20" x14ac:dyDescent="0.2">
      <c r="A229" s="1">
        <v>46025</v>
      </c>
      <c r="B229" s="2">
        <v>0.66666666666666663</v>
      </c>
      <c r="C229" s="19" t="s">
        <v>35</v>
      </c>
      <c r="D229" s="19" t="s">
        <v>18</v>
      </c>
      <c r="E229" s="19" t="s">
        <v>18</v>
      </c>
      <c r="F229">
        <v>3</v>
      </c>
      <c r="G229">
        <v>4</v>
      </c>
      <c r="H229">
        <v>0.63329999999999997</v>
      </c>
      <c r="I229" s="19" t="s">
        <v>249</v>
      </c>
      <c r="J229" s="19" t="s">
        <v>18</v>
      </c>
      <c r="K229">
        <v>3</v>
      </c>
      <c r="L229">
        <v>2</v>
      </c>
      <c r="M229">
        <v>-0.95</v>
      </c>
      <c r="N229" s="19" t="s">
        <v>35</v>
      </c>
      <c r="O229" s="19" t="s">
        <v>284</v>
      </c>
      <c r="P229" s="19" t="s">
        <v>285</v>
      </c>
      <c r="Q229" s="19" t="s">
        <v>285</v>
      </c>
      <c r="R229" s="19" t="s">
        <v>249</v>
      </c>
      <c r="S229" s="19" t="s">
        <v>249</v>
      </c>
      <c r="T229" s="19" t="s">
        <v>286</v>
      </c>
    </row>
    <row r="230" spans="1:20" x14ac:dyDescent="0.2">
      <c r="A230" s="1">
        <v>46025</v>
      </c>
      <c r="B230" s="2">
        <v>0.625</v>
      </c>
      <c r="C230" s="19" t="s">
        <v>28</v>
      </c>
      <c r="D230" s="19" t="s">
        <v>23</v>
      </c>
      <c r="E230" s="19" t="s">
        <v>28</v>
      </c>
      <c r="F230">
        <v>4</v>
      </c>
      <c r="G230">
        <v>3</v>
      </c>
      <c r="H230">
        <v>0.62</v>
      </c>
      <c r="I230" s="19" t="s">
        <v>249</v>
      </c>
      <c r="J230" s="19" t="s">
        <v>23</v>
      </c>
      <c r="K230">
        <v>3</v>
      </c>
      <c r="L230">
        <v>2</v>
      </c>
      <c r="M230">
        <v>-0.32</v>
      </c>
      <c r="N230" s="19" t="s">
        <v>28</v>
      </c>
      <c r="O230" s="19" t="s">
        <v>283</v>
      </c>
      <c r="P230" s="19" t="s">
        <v>287</v>
      </c>
      <c r="Q230" s="19" t="s">
        <v>285</v>
      </c>
      <c r="R230" s="19" t="s">
        <v>248</v>
      </c>
      <c r="S230" s="19" t="s">
        <v>249</v>
      </c>
      <c r="T230" s="19" t="s">
        <v>286</v>
      </c>
    </row>
    <row r="231" spans="1:20" x14ac:dyDescent="0.2">
      <c r="A231" s="1">
        <v>46025</v>
      </c>
      <c r="B231" s="2">
        <v>0.64583333333333337</v>
      </c>
      <c r="C231" s="19" t="s">
        <v>17</v>
      </c>
      <c r="D231" s="19" t="s">
        <v>27</v>
      </c>
      <c r="E231" s="19" t="s">
        <v>17</v>
      </c>
      <c r="F231">
        <v>4</v>
      </c>
      <c r="G231">
        <v>3</v>
      </c>
      <c r="H231">
        <v>0.68379999999999996</v>
      </c>
      <c r="I231" s="19" t="s">
        <v>249</v>
      </c>
      <c r="J231" s="19" t="s">
        <v>27</v>
      </c>
      <c r="K231">
        <v>3</v>
      </c>
      <c r="L231">
        <v>2</v>
      </c>
      <c r="M231">
        <v>-0.03</v>
      </c>
      <c r="N231" s="19" t="s">
        <v>27</v>
      </c>
      <c r="O231" s="19" t="s">
        <v>284</v>
      </c>
      <c r="P231" s="19" t="s">
        <v>283</v>
      </c>
      <c r="Q231" s="19" t="s">
        <v>285</v>
      </c>
      <c r="R231" s="19" t="s">
        <v>249</v>
      </c>
      <c r="S231" s="19" t="s">
        <v>248</v>
      </c>
      <c r="T231" s="19" t="s">
        <v>286</v>
      </c>
    </row>
    <row r="232" spans="1:20" x14ac:dyDescent="0.2">
      <c r="A232" s="1">
        <v>46025</v>
      </c>
      <c r="B232" s="2">
        <v>0.5</v>
      </c>
      <c r="C232" s="19" t="s">
        <v>26</v>
      </c>
      <c r="D232" s="19" t="s">
        <v>14</v>
      </c>
      <c r="E232" s="19" t="s">
        <v>26</v>
      </c>
      <c r="F232">
        <v>4</v>
      </c>
      <c r="G232">
        <v>3</v>
      </c>
      <c r="H232">
        <v>0.8014</v>
      </c>
      <c r="I232" s="19" t="s">
        <v>249</v>
      </c>
      <c r="J232" s="19" t="s">
        <v>14</v>
      </c>
      <c r="K232">
        <v>3</v>
      </c>
      <c r="L232">
        <v>2</v>
      </c>
      <c r="M232">
        <v>-0.06</v>
      </c>
      <c r="N232" s="19" t="s">
        <v>14</v>
      </c>
      <c r="O232" s="19" t="s">
        <v>287</v>
      </c>
      <c r="P232" s="19" t="s">
        <v>289</v>
      </c>
      <c r="Q232" s="19" t="s">
        <v>285</v>
      </c>
      <c r="R232" s="19" t="s">
        <v>249</v>
      </c>
      <c r="S232" s="19" t="s">
        <v>248</v>
      </c>
      <c r="T232" s="19" t="s">
        <v>286</v>
      </c>
    </row>
    <row r="233" spans="1:20" x14ac:dyDescent="0.2">
      <c r="A233" s="1">
        <v>46026</v>
      </c>
      <c r="B233" s="2">
        <v>0.58333333333333337</v>
      </c>
      <c r="C233" s="19" t="s">
        <v>39</v>
      </c>
      <c r="D233" s="19" t="s">
        <v>18</v>
      </c>
      <c r="E233" s="19" t="s">
        <v>39</v>
      </c>
      <c r="F233">
        <v>4</v>
      </c>
      <c r="G233">
        <v>3</v>
      </c>
      <c r="H233">
        <v>0.61960000000000004</v>
      </c>
      <c r="I233" s="19" t="s">
        <v>249</v>
      </c>
      <c r="J233" s="19" t="s">
        <v>39</v>
      </c>
      <c r="K233">
        <v>3</v>
      </c>
      <c r="L233">
        <v>2</v>
      </c>
      <c r="M233">
        <v>0.73</v>
      </c>
      <c r="N233" s="19" t="s">
        <v>18</v>
      </c>
      <c r="O233" s="19" t="s">
        <v>291</v>
      </c>
      <c r="P233" s="19" t="s">
        <v>289</v>
      </c>
      <c r="Q233" s="19" t="s">
        <v>287</v>
      </c>
      <c r="R233" s="19" t="s">
        <v>249</v>
      </c>
      <c r="S233" s="19" t="s">
        <v>249</v>
      </c>
      <c r="T233" s="19" t="s">
        <v>286</v>
      </c>
    </row>
    <row r="234" spans="1:20" x14ac:dyDescent="0.2">
      <c r="A234" s="1">
        <v>46026</v>
      </c>
      <c r="B234" s="2">
        <v>0.70833333333333337</v>
      </c>
      <c r="C234" s="19" t="s">
        <v>11</v>
      </c>
      <c r="D234" s="19" t="s">
        <v>12</v>
      </c>
      <c r="E234" s="19" t="s">
        <v>11</v>
      </c>
      <c r="F234">
        <v>5</v>
      </c>
      <c r="G234">
        <v>4</v>
      </c>
      <c r="H234">
        <v>0.54</v>
      </c>
      <c r="I234" s="19" t="s">
        <v>248</v>
      </c>
      <c r="J234" s="19" t="s">
        <v>12</v>
      </c>
      <c r="K234">
        <v>3</v>
      </c>
      <c r="L234">
        <v>2</v>
      </c>
      <c r="M234">
        <v>-1.71</v>
      </c>
      <c r="N234" s="19" t="s">
        <v>11</v>
      </c>
      <c r="O234" s="19" t="s">
        <v>284</v>
      </c>
      <c r="P234" s="19" t="s">
        <v>287</v>
      </c>
      <c r="Q234" s="19" t="s">
        <v>285</v>
      </c>
      <c r="R234" s="19" t="s">
        <v>248</v>
      </c>
      <c r="S234" s="19" t="s">
        <v>249</v>
      </c>
      <c r="T234" s="19" t="s">
        <v>286</v>
      </c>
    </row>
    <row r="235" spans="1:20" x14ac:dyDescent="0.2">
      <c r="A235" s="1">
        <v>46026</v>
      </c>
      <c r="B235" s="2">
        <v>0.79166666666666663</v>
      </c>
      <c r="C235" s="19" t="s">
        <v>10</v>
      </c>
      <c r="D235" s="19" t="s">
        <v>20</v>
      </c>
      <c r="E235" s="19" t="s">
        <v>20</v>
      </c>
      <c r="F235">
        <v>2</v>
      </c>
      <c r="G235">
        <v>3</v>
      </c>
      <c r="H235">
        <v>0.81279999999999997</v>
      </c>
      <c r="I235" s="19" t="s">
        <v>249</v>
      </c>
      <c r="J235" s="19" t="s">
        <v>20</v>
      </c>
      <c r="K235">
        <v>3</v>
      </c>
      <c r="L235">
        <v>2</v>
      </c>
      <c r="M235">
        <v>-0.43</v>
      </c>
      <c r="N235" s="19" t="s">
        <v>10</v>
      </c>
      <c r="O235" s="19" t="s">
        <v>291</v>
      </c>
      <c r="P235" s="19" t="s">
        <v>284</v>
      </c>
      <c r="Q235" s="19" t="s">
        <v>287</v>
      </c>
      <c r="R235" s="19" t="s">
        <v>249</v>
      </c>
      <c r="S235" s="19" t="s">
        <v>249</v>
      </c>
      <c r="T235" s="19" t="s">
        <v>286</v>
      </c>
    </row>
    <row r="236" spans="1:20" x14ac:dyDescent="0.2">
      <c r="A236" s="1">
        <v>46026</v>
      </c>
      <c r="B236" s="2">
        <v>0.625</v>
      </c>
      <c r="C236" s="19" t="s">
        <v>28</v>
      </c>
      <c r="D236" s="19" t="s">
        <v>14</v>
      </c>
      <c r="E236" s="19" t="s">
        <v>14</v>
      </c>
      <c r="F236">
        <v>3</v>
      </c>
      <c r="G236">
        <v>4</v>
      </c>
      <c r="H236">
        <v>0.80030000000000001</v>
      </c>
      <c r="I236" s="19" t="s">
        <v>248</v>
      </c>
      <c r="J236" s="19" t="s">
        <v>14</v>
      </c>
      <c r="K236">
        <v>3</v>
      </c>
      <c r="L236">
        <v>2</v>
      </c>
      <c r="M236">
        <v>-0.17</v>
      </c>
      <c r="N236" s="19" t="s">
        <v>14</v>
      </c>
      <c r="O236" s="19" t="s">
        <v>289</v>
      </c>
      <c r="P236" s="19" t="s">
        <v>283</v>
      </c>
      <c r="Q236" s="19" t="s">
        <v>287</v>
      </c>
      <c r="R236" s="19" t="s">
        <v>248</v>
      </c>
      <c r="S236" s="19" t="s">
        <v>248</v>
      </c>
      <c r="T236" s="19" t="s">
        <v>286</v>
      </c>
    </row>
    <row r="237" spans="1:20" x14ac:dyDescent="0.2">
      <c r="A237" s="1">
        <v>46026</v>
      </c>
      <c r="B237" s="2">
        <v>0.79166666666666663</v>
      </c>
      <c r="C237" s="19" t="s">
        <v>24</v>
      </c>
      <c r="D237" s="19" t="s">
        <v>25</v>
      </c>
      <c r="E237" s="19" t="s">
        <v>25</v>
      </c>
      <c r="F237">
        <v>2</v>
      </c>
      <c r="G237">
        <v>4</v>
      </c>
      <c r="H237">
        <v>0.55349999999999999</v>
      </c>
      <c r="I237" s="19" t="s">
        <v>249</v>
      </c>
      <c r="J237" s="19" t="s">
        <v>25</v>
      </c>
      <c r="K237">
        <v>3</v>
      </c>
      <c r="L237">
        <v>2</v>
      </c>
      <c r="M237">
        <v>-0.46</v>
      </c>
      <c r="N237" s="19" t="s">
        <v>25</v>
      </c>
      <c r="O237" s="19" t="s">
        <v>287</v>
      </c>
      <c r="P237" s="19" t="s">
        <v>291</v>
      </c>
      <c r="Q237" s="19" t="s">
        <v>285</v>
      </c>
      <c r="R237" s="19" t="s">
        <v>248</v>
      </c>
      <c r="S237" s="19" t="s">
        <v>248</v>
      </c>
      <c r="T237" s="19" t="s">
        <v>286</v>
      </c>
    </row>
    <row r="238" spans="1:20" x14ac:dyDescent="0.2">
      <c r="A238" s="1">
        <v>46027</v>
      </c>
      <c r="B238" s="2">
        <v>0.79166666666666663</v>
      </c>
      <c r="C238" s="19" t="s">
        <v>15</v>
      </c>
      <c r="D238" s="19" t="s">
        <v>55</v>
      </c>
      <c r="E238" s="19" t="s">
        <v>55</v>
      </c>
      <c r="F238">
        <v>2</v>
      </c>
      <c r="G238">
        <v>3</v>
      </c>
      <c r="H238">
        <v>0.69230000000000003</v>
      </c>
      <c r="I238" s="19" t="s">
        <v>249</v>
      </c>
      <c r="J238" s="19" t="s">
        <v>55</v>
      </c>
      <c r="K238">
        <v>3</v>
      </c>
      <c r="L238">
        <v>2</v>
      </c>
      <c r="M238">
        <v>-7.0000000000000007E-2</v>
      </c>
      <c r="N238" s="19" t="s">
        <v>55</v>
      </c>
      <c r="O238" s="19" t="s">
        <v>284</v>
      </c>
      <c r="P238" s="19" t="s">
        <v>291</v>
      </c>
      <c r="Q238" s="19" t="s">
        <v>287</v>
      </c>
      <c r="R238" s="19" t="s">
        <v>248</v>
      </c>
      <c r="S238" s="19" t="s">
        <v>248</v>
      </c>
      <c r="T238" s="19" t="s">
        <v>286</v>
      </c>
    </row>
    <row r="239" spans="1:20" x14ac:dyDescent="0.2">
      <c r="A239" s="1">
        <v>46027</v>
      </c>
      <c r="B239" s="2">
        <v>0.79166666666666663</v>
      </c>
      <c r="C239" s="19" t="s">
        <v>22</v>
      </c>
      <c r="D239" s="19" t="s">
        <v>31</v>
      </c>
      <c r="E239" s="19" t="s">
        <v>31</v>
      </c>
      <c r="F239">
        <v>3</v>
      </c>
      <c r="G239">
        <v>4</v>
      </c>
      <c r="H239">
        <v>0.52459999999999996</v>
      </c>
      <c r="I239" s="19" t="s">
        <v>249</v>
      </c>
      <c r="J239" s="19" t="s">
        <v>22</v>
      </c>
      <c r="K239">
        <v>3</v>
      </c>
      <c r="L239">
        <v>2</v>
      </c>
      <c r="M239">
        <v>0.56000000000000005</v>
      </c>
      <c r="N239" s="19" t="s">
        <v>22</v>
      </c>
      <c r="O239" s="19" t="s">
        <v>292</v>
      </c>
      <c r="P239" s="19" t="s">
        <v>289</v>
      </c>
      <c r="Q239" s="19" t="s">
        <v>285</v>
      </c>
      <c r="R239" s="19" t="s">
        <v>249</v>
      </c>
      <c r="S239" s="19" t="s">
        <v>248</v>
      </c>
      <c r="T239" s="19" t="s">
        <v>286</v>
      </c>
    </row>
    <row r="240" spans="1:20" x14ac:dyDescent="0.2">
      <c r="A240" s="1">
        <v>46027</v>
      </c>
      <c r="B240" s="2">
        <v>0.8125</v>
      </c>
      <c r="C240" s="19" t="s">
        <v>36</v>
      </c>
      <c r="D240" s="19" t="s">
        <v>26</v>
      </c>
      <c r="E240" s="19" t="s">
        <v>26</v>
      </c>
      <c r="F240">
        <v>3</v>
      </c>
      <c r="G240">
        <v>4</v>
      </c>
      <c r="H240">
        <v>0.58299999999999996</v>
      </c>
      <c r="I240" s="19" t="s">
        <v>249</v>
      </c>
      <c r="J240" s="19" t="s">
        <v>36</v>
      </c>
      <c r="K240">
        <v>3</v>
      </c>
      <c r="L240">
        <v>2</v>
      </c>
      <c r="M240">
        <v>0.36</v>
      </c>
      <c r="N240" s="19" t="s">
        <v>26</v>
      </c>
      <c r="O240" s="19" t="s">
        <v>291</v>
      </c>
      <c r="P240" s="19" t="s">
        <v>283</v>
      </c>
      <c r="Q240" s="19" t="s">
        <v>285</v>
      </c>
      <c r="R240" s="19" t="s">
        <v>248</v>
      </c>
      <c r="S240" s="19" t="s">
        <v>249</v>
      </c>
      <c r="T240" s="19" t="s">
        <v>286</v>
      </c>
    </row>
    <row r="241" spans="1:20" x14ac:dyDescent="0.2">
      <c r="A241" s="1">
        <v>46027</v>
      </c>
      <c r="B241" s="2">
        <v>0.89583333333333337</v>
      </c>
      <c r="C241" s="19" t="s">
        <v>16</v>
      </c>
      <c r="D241" s="19" t="s">
        <v>32</v>
      </c>
      <c r="E241" s="19" t="s">
        <v>16</v>
      </c>
      <c r="F241">
        <v>4</v>
      </c>
      <c r="G241">
        <v>2</v>
      </c>
      <c r="H241">
        <v>0.86470000000000002</v>
      </c>
      <c r="I241" s="19" t="s">
        <v>249</v>
      </c>
      <c r="J241" s="19" t="s">
        <v>16</v>
      </c>
      <c r="K241">
        <v>3</v>
      </c>
      <c r="L241">
        <v>2</v>
      </c>
      <c r="M241">
        <v>0.09</v>
      </c>
      <c r="N241" s="19" t="s">
        <v>32</v>
      </c>
      <c r="O241" s="19" t="s">
        <v>287</v>
      </c>
      <c r="P241" s="19" t="s">
        <v>283</v>
      </c>
      <c r="Q241" s="19" t="s">
        <v>285</v>
      </c>
      <c r="R241" s="19" t="s">
        <v>249</v>
      </c>
      <c r="S241" s="19" t="s">
        <v>249</v>
      </c>
      <c r="T241" s="19" t="s">
        <v>286</v>
      </c>
    </row>
    <row r="242" spans="1:20" x14ac:dyDescent="0.2">
      <c r="A242" s="1">
        <v>46027</v>
      </c>
      <c r="B242" s="2">
        <v>0.9375</v>
      </c>
      <c r="C242" s="19" t="s">
        <v>13</v>
      </c>
      <c r="D242" s="19" t="s">
        <v>34</v>
      </c>
      <c r="E242" s="19" t="s">
        <v>34</v>
      </c>
      <c r="F242">
        <v>1</v>
      </c>
      <c r="G242">
        <v>4</v>
      </c>
      <c r="H242">
        <v>0.94830000000000003</v>
      </c>
      <c r="I242" s="19" t="s">
        <v>249</v>
      </c>
      <c r="J242" s="19" t="s">
        <v>34</v>
      </c>
      <c r="K242">
        <v>3</v>
      </c>
      <c r="L242">
        <v>2</v>
      </c>
      <c r="M242">
        <v>-0.49</v>
      </c>
      <c r="N242" s="19" t="s">
        <v>13</v>
      </c>
      <c r="O242" s="19" t="s">
        <v>289</v>
      </c>
      <c r="P242" s="19" t="s">
        <v>284</v>
      </c>
      <c r="Q242" s="19" t="s">
        <v>285</v>
      </c>
      <c r="R242" s="19" t="s">
        <v>249</v>
      </c>
      <c r="S242" s="19" t="s">
        <v>249</v>
      </c>
      <c r="T242" s="19" t="s">
        <v>286</v>
      </c>
    </row>
    <row r="243" spans="1:20" x14ac:dyDescent="0.2">
      <c r="A243" s="1">
        <v>46028</v>
      </c>
      <c r="B243" s="2">
        <v>0.79166666666666663</v>
      </c>
      <c r="C243" s="19" t="s">
        <v>25</v>
      </c>
      <c r="D243" s="19" t="s">
        <v>39</v>
      </c>
      <c r="E243" s="19" t="s">
        <v>25</v>
      </c>
      <c r="F243">
        <v>6</v>
      </c>
      <c r="G243">
        <v>5</v>
      </c>
      <c r="H243">
        <v>0.62119999999999997</v>
      </c>
      <c r="I243" s="19" t="s">
        <v>249</v>
      </c>
      <c r="J243" s="19" t="s">
        <v>39</v>
      </c>
      <c r="K243">
        <v>3</v>
      </c>
      <c r="L243">
        <v>2</v>
      </c>
      <c r="M243">
        <v>-0.2</v>
      </c>
      <c r="N243" s="19" t="s">
        <v>25</v>
      </c>
      <c r="O243" s="19" t="s">
        <v>288</v>
      </c>
      <c r="P243" s="19" t="s">
        <v>291</v>
      </c>
      <c r="Q243" s="19" t="s">
        <v>285</v>
      </c>
      <c r="R243" s="19" t="s">
        <v>248</v>
      </c>
      <c r="S243" s="19" t="s">
        <v>249</v>
      </c>
      <c r="T243" s="19" t="s">
        <v>286</v>
      </c>
    </row>
    <row r="244" spans="1:20" x14ac:dyDescent="0.2">
      <c r="A244" s="1">
        <v>46028</v>
      </c>
      <c r="B244" s="2">
        <v>0.91666666666666663</v>
      </c>
      <c r="C244" s="19" t="s">
        <v>32</v>
      </c>
      <c r="D244" s="19" t="s">
        <v>21</v>
      </c>
      <c r="E244" s="19" t="s">
        <v>21</v>
      </c>
      <c r="F244">
        <v>2</v>
      </c>
      <c r="G244">
        <v>3</v>
      </c>
      <c r="H244">
        <v>0.54420000000000002</v>
      </c>
      <c r="I244" s="19" t="s">
        <v>249</v>
      </c>
      <c r="J244" s="19" t="s">
        <v>21</v>
      </c>
      <c r="K244">
        <v>3</v>
      </c>
      <c r="L244">
        <v>2</v>
      </c>
      <c r="M244">
        <v>-0.15</v>
      </c>
      <c r="N244" s="19" t="s">
        <v>32</v>
      </c>
      <c r="O244" s="19" t="s">
        <v>292</v>
      </c>
      <c r="P244" s="19" t="s">
        <v>289</v>
      </c>
      <c r="Q244" s="19" t="s">
        <v>285</v>
      </c>
      <c r="R244" s="19" t="s">
        <v>249</v>
      </c>
      <c r="S244" s="19" t="s">
        <v>249</v>
      </c>
      <c r="T244" s="19" t="s">
        <v>286</v>
      </c>
    </row>
    <row r="245" spans="1:20" x14ac:dyDescent="0.2">
      <c r="A245" s="1">
        <v>46028</v>
      </c>
      <c r="B245" s="2">
        <v>0.8125</v>
      </c>
      <c r="C245" s="19" t="s">
        <v>19</v>
      </c>
      <c r="D245" s="19" t="s">
        <v>11</v>
      </c>
      <c r="E245" s="19" t="s">
        <v>11</v>
      </c>
      <c r="F245">
        <v>3</v>
      </c>
      <c r="G245">
        <v>4</v>
      </c>
      <c r="H245">
        <v>0.60119999999999996</v>
      </c>
      <c r="I245" s="19" t="s">
        <v>249</v>
      </c>
      <c r="J245" s="19" t="s">
        <v>11</v>
      </c>
      <c r="K245">
        <v>3</v>
      </c>
      <c r="L245">
        <v>2</v>
      </c>
      <c r="M245">
        <v>-0.09</v>
      </c>
      <c r="N245" s="19" t="s">
        <v>19</v>
      </c>
      <c r="O245" s="19" t="s">
        <v>289</v>
      </c>
      <c r="P245" s="19" t="s">
        <v>287</v>
      </c>
      <c r="Q245" s="19" t="s">
        <v>285</v>
      </c>
      <c r="R245" s="19" t="s">
        <v>249</v>
      </c>
      <c r="S245" s="19" t="s">
        <v>249</v>
      </c>
      <c r="T245" s="19" t="s">
        <v>286</v>
      </c>
    </row>
    <row r="246" spans="1:20" x14ac:dyDescent="0.2">
      <c r="A246" s="1">
        <v>46028</v>
      </c>
      <c r="B246" s="2">
        <v>0.83333333333333337</v>
      </c>
      <c r="C246" s="19" t="s">
        <v>40</v>
      </c>
      <c r="D246" s="19" t="s">
        <v>20</v>
      </c>
      <c r="E246" s="19" t="s">
        <v>40</v>
      </c>
      <c r="F246">
        <v>3</v>
      </c>
      <c r="G246">
        <v>2</v>
      </c>
      <c r="H246">
        <v>0.60250000000000004</v>
      </c>
      <c r="I246" s="19" t="s">
        <v>249</v>
      </c>
      <c r="J246" s="19" t="s">
        <v>20</v>
      </c>
      <c r="K246">
        <v>3</v>
      </c>
      <c r="L246">
        <v>2</v>
      </c>
      <c r="M246">
        <v>-0.15</v>
      </c>
      <c r="N246" s="19" t="s">
        <v>20</v>
      </c>
      <c r="O246" s="19" t="s">
        <v>291</v>
      </c>
      <c r="P246" s="19" t="s">
        <v>289</v>
      </c>
      <c r="Q246" s="19" t="s">
        <v>287</v>
      </c>
      <c r="R246" s="19" t="s">
        <v>249</v>
      </c>
      <c r="S246" s="19" t="s">
        <v>248</v>
      </c>
      <c r="T246" s="19" t="s">
        <v>286</v>
      </c>
    </row>
    <row r="247" spans="1:20" x14ac:dyDescent="0.2">
      <c r="A247" s="1">
        <v>46028</v>
      </c>
      <c r="B247" s="2">
        <v>0.79166666666666663</v>
      </c>
      <c r="C247" s="19" t="s">
        <v>23</v>
      </c>
      <c r="D247" s="19" t="s">
        <v>38</v>
      </c>
      <c r="E247" s="19" t="s">
        <v>23</v>
      </c>
      <c r="F247">
        <v>4</v>
      </c>
      <c r="G247">
        <v>3</v>
      </c>
      <c r="H247">
        <v>0.5484</v>
      </c>
      <c r="I247" s="19" t="s">
        <v>249</v>
      </c>
      <c r="J247" s="19" t="s">
        <v>23</v>
      </c>
      <c r="K247">
        <v>3</v>
      </c>
      <c r="L247">
        <v>2</v>
      </c>
      <c r="M247">
        <v>0.66</v>
      </c>
      <c r="N247" s="19" t="s">
        <v>23</v>
      </c>
      <c r="O247" s="19" t="s">
        <v>283</v>
      </c>
      <c r="P247" s="19" t="s">
        <v>291</v>
      </c>
      <c r="Q247" s="19" t="s">
        <v>285</v>
      </c>
      <c r="R247" s="19" t="s">
        <v>248</v>
      </c>
      <c r="S247" s="19" t="s">
        <v>248</v>
      </c>
      <c r="T247" s="19" t="s">
        <v>286</v>
      </c>
    </row>
    <row r="248" spans="1:20" x14ac:dyDescent="0.2">
      <c r="A248" s="1">
        <v>46028</v>
      </c>
      <c r="B248" s="2">
        <v>0.875</v>
      </c>
      <c r="C248" s="19" t="s">
        <v>17</v>
      </c>
      <c r="D248" s="19" t="s">
        <v>29</v>
      </c>
      <c r="E248" s="19" t="s">
        <v>17</v>
      </c>
      <c r="F248">
        <v>4</v>
      </c>
      <c r="G248">
        <v>3</v>
      </c>
      <c r="H248">
        <v>0.67930000000000001</v>
      </c>
      <c r="I248" s="19" t="s">
        <v>248</v>
      </c>
      <c r="J248" s="19" t="s">
        <v>17</v>
      </c>
      <c r="K248">
        <v>3</v>
      </c>
      <c r="L248">
        <v>2</v>
      </c>
      <c r="M248">
        <v>0.36</v>
      </c>
      <c r="N248" s="19" t="s">
        <v>17</v>
      </c>
      <c r="O248" s="19" t="s">
        <v>288</v>
      </c>
      <c r="P248" s="19" t="s">
        <v>284</v>
      </c>
      <c r="Q248" s="19" t="s">
        <v>285</v>
      </c>
      <c r="R248" s="19" t="s">
        <v>248</v>
      </c>
      <c r="S248" s="19" t="s">
        <v>248</v>
      </c>
      <c r="T248" s="19" t="s">
        <v>286</v>
      </c>
    </row>
    <row r="249" spans="1:20" x14ac:dyDescent="0.2">
      <c r="A249" s="1">
        <v>46028</v>
      </c>
      <c r="B249" s="2">
        <v>0.79166666666666663</v>
      </c>
      <c r="C249" s="19" t="s">
        <v>37</v>
      </c>
      <c r="D249" s="19" t="s">
        <v>12</v>
      </c>
      <c r="E249" s="19" t="s">
        <v>12</v>
      </c>
      <c r="F249">
        <v>2</v>
      </c>
      <c r="G249">
        <v>3</v>
      </c>
      <c r="H249">
        <v>0.54349999999999998</v>
      </c>
      <c r="I249" s="19" t="s">
        <v>249</v>
      </c>
      <c r="J249" s="19" t="s">
        <v>12</v>
      </c>
      <c r="K249">
        <v>3</v>
      </c>
      <c r="L249">
        <v>2</v>
      </c>
      <c r="M249">
        <v>-0.87</v>
      </c>
      <c r="N249" s="19" t="s">
        <v>37</v>
      </c>
      <c r="O249" s="19" t="s">
        <v>289</v>
      </c>
      <c r="P249" s="19" t="s">
        <v>284</v>
      </c>
      <c r="Q249" s="19" t="s">
        <v>285</v>
      </c>
      <c r="R249" s="19" t="s">
        <v>249</v>
      </c>
      <c r="S249" s="19" t="s">
        <v>249</v>
      </c>
      <c r="T249" s="19" t="s">
        <v>286</v>
      </c>
    </row>
    <row r="250" spans="1:20" x14ac:dyDescent="0.2">
      <c r="A250" s="1">
        <v>46028</v>
      </c>
      <c r="B250" s="2">
        <v>0.91666666666666663</v>
      </c>
      <c r="C250" s="19" t="s">
        <v>33</v>
      </c>
      <c r="D250" s="19" t="s">
        <v>28</v>
      </c>
      <c r="E250" s="19" t="s">
        <v>33</v>
      </c>
      <c r="F250">
        <v>5</v>
      </c>
      <c r="G250">
        <v>4</v>
      </c>
      <c r="H250">
        <v>0.59719999999999995</v>
      </c>
      <c r="I250" s="19" t="s">
        <v>249</v>
      </c>
      <c r="J250" s="19" t="s">
        <v>28</v>
      </c>
      <c r="K250">
        <v>3</v>
      </c>
      <c r="L250">
        <v>2</v>
      </c>
      <c r="M250">
        <v>-0.09</v>
      </c>
      <c r="N250" s="19" t="s">
        <v>33</v>
      </c>
      <c r="O250" s="19" t="s">
        <v>283</v>
      </c>
      <c r="P250" s="19" t="s">
        <v>284</v>
      </c>
      <c r="Q250" s="19" t="s">
        <v>285</v>
      </c>
      <c r="R250" s="19" t="s">
        <v>248</v>
      </c>
      <c r="S250" s="19" t="s">
        <v>249</v>
      </c>
      <c r="T250" s="19" t="s">
        <v>286</v>
      </c>
    </row>
    <row r="251" spans="1:20" x14ac:dyDescent="0.2">
      <c r="A251" s="1">
        <v>46028</v>
      </c>
      <c r="B251" s="2">
        <v>0.79166666666666663</v>
      </c>
      <c r="C251" s="19" t="s">
        <v>27</v>
      </c>
      <c r="D251" s="19" t="s">
        <v>31</v>
      </c>
      <c r="E251" s="19" t="s">
        <v>27</v>
      </c>
      <c r="F251">
        <v>3</v>
      </c>
      <c r="G251">
        <v>2</v>
      </c>
      <c r="H251">
        <v>0.59240000000000004</v>
      </c>
      <c r="I251" s="19" t="s">
        <v>249</v>
      </c>
      <c r="J251" s="19" t="s">
        <v>27</v>
      </c>
      <c r="K251">
        <v>3</v>
      </c>
      <c r="L251">
        <v>2</v>
      </c>
      <c r="M251">
        <v>0.43</v>
      </c>
      <c r="N251" s="19" t="s">
        <v>27</v>
      </c>
      <c r="O251" s="19" t="s">
        <v>283</v>
      </c>
      <c r="P251" s="19" t="s">
        <v>284</v>
      </c>
      <c r="Q251" s="19" t="s">
        <v>285</v>
      </c>
      <c r="R251" s="19" t="s">
        <v>248</v>
      </c>
      <c r="S251" s="19" t="s">
        <v>248</v>
      </c>
      <c r="T251" s="19" t="s">
        <v>286</v>
      </c>
    </row>
    <row r="252" spans="1:20" x14ac:dyDescent="0.2">
      <c r="A252" s="1">
        <v>46028</v>
      </c>
      <c r="B252" s="2">
        <v>0.8125</v>
      </c>
      <c r="C252" s="19" t="s">
        <v>30</v>
      </c>
      <c r="D252" s="19" t="s">
        <v>24</v>
      </c>
      <c r="E252" s="19" t="s">
        <v>30</v>
      </c>
      <c r="F252">
        <v>4</v>
      </c>
      <c r="G252">
        <v>3</v>
      </c>
      <c r="H252">
        <v>0.63380000000000003</v>
      </c>
      <c r="I252" s="19" t="s">
        <v>249</v>
      </c>
      <c r="J252" s="19" t="s">
        <v>30</v>
      </c>
      <c r="K252">
        <v>3</v>
      </c>
      <c r="L252">
        <v>2</v>
      </c>
      <c r="M252">
        <v>0.28000000000000003</v>
      </c>
      <c r="N252" s="19" t="s">
        <v>30</v>
      </c>
      <c r="O252" s="19" t="s">
        <v>290</v>
      </c>
      <c r="P252" s="19" t="s">
        <v>285</v>
      </c>
      <c r="Q252" s="19" t="s">
        <v>285</v>
      </c>
      <c r="R252" s="19" t="s">
        <v>248</v>
      </c>
      <c r="S252" s="19" t="s">
        <v>248</v>
      </c>
      <c r="T252" s="19" t="s">
        <v>286</v>
      </c>
    </row>
    <row r="253" spans="1:20" x14ac:dyDescent="0.2">
      <c r="A253" s="1">
        <v>46029</v>
      </c>
      <c r="B253" s="2">
        <v>0.79166666666666663</v>
      </c>
      <c r="C253" s="19" t="s">
        <v>22</v>
      </c>
      <c r="D253" s="19" t="s">
        <v>39</v>
      </c>
      <c r="E253" s="19" t="s">
        <v>39</v>
      </c>
      <c r="F253">
        <v>3</v>
      </c>
      <c r="G253">
        <v>4</v>
      </c>
      <c r="H253">
        <v>0.50209999999999999</v>
      </c>
      <c r="I253" s="19" t="s">
        <v>249</v>
      </c>
      <c r="J253" s="19" t="s">
        <v>39</v>
      </c>
      <c r="K253">
        <v>3</v>
      </c>
      <c r="L253">
        <v>2</v>
      </c>
      <c r="M253">
        <v>-0.06</v>
      </c>
      <c r="N253" s="19" t="s">
        <v>39</v>
      </c>
      <c r="O253" s="19" t="s">
        <v>287</v>
      </c>
      <c r="P253" s="19" t="s">
        <v>289</v>
      </c>
      <c r="Q253" s="19" t="s">
        <v>285</v>
      </c>
      <c r="R253" s="19" t="s">
        <v>248</v>
      </c>
      <c r="S253" s="19" t="s">
        <v>248</v>
      </c>
      <c r="T253" s="19" t="s">
        <v>286</v>
      </c>
    </row>
    <row r="254" spans="1:20" x14ac:dyDescent="0.2">
      <c r="A254" s="1">
        <v>46029</v>
      </c>
      <c r="B254" s="2">
        <v>0.9375</v>
      </c>
      <c r="C254" s="19" t="s">
        <v>13</v>
      </c>
      <c r="D254" s="19" t="s">
        <v>33</v>
      </c>
      <c r="E254" s="19" t="s">
        <v>33</v>
      </c>
      <c r="F254">
        <v>3</v>
      </c>
      <c r="G254">
        <v>4</v>
      </c>
      <c r="H254">
        <v>0.64629999999999999</v>
      </c>
      <c r="I254" s="19" t="s">
        <v>249</v>
      </c>
      <c r="J254" s="19" t="s">
        <v>13</v>
      </c>
      <c r="K254">
        <v>3</v>
      </c>
      <c r="L254">
        <v>2</v>
      </c>
      <c r="M254">
        <v>0.4</v>
      </c>
      <c r="N254" s="19" t="s">
        <v>33</v>
      </c>
      <c r="O254" s="19" t="s">
        <v>291</v>
      </c>
      <c r="P254" s="19" t="s">
        <v>289</v>
      </c>
      <c r="Q254" s="19" t="s">
        <v>287</v>
      </c>
      <c r="R254" s="19" t="s">
        <v>248</v>
      </c>
      <c r="S254" s="19" t="s">
        <v>249</v>
      </c>
      <c r="T254" s="19" t="s">
        <v>286</v>
      </c>
    </row>
    <row r="255" spans="1:20" x14ac:dyDescent="0.2">
      <c r="A255" s="1">
        <v>46029</v>
      </c>
      <c r="B255" s="2">
        <v>0.89583333333333337</v>
      </c>
      <c r="C255" s="19" t="s">
        <v>10</v>
      </c>
      <c r="D255" s="19" t="s">
        <v>35</v>
      </c>
      <c r="E255" s="19" t="s">
        <v>10</v>
      </c>
      <c r="F255">
        <v>4</v>
      </c>
      <c r="G255">
        <v>3</v>
      </c>
      <c r="H255">
        <v>0.52110000000000001</v>
      </c>
      <c r="I255" s="19" t="s">
        <v>249</v>
      </c>
      <c r="J255" s="19" t="s">
        <v>10</v>
      </c>
      <c r="K255">
        <v>3</v>
      </c>
      <c r="L255">
        <v>2</v>
      </c>
      <c r="M255">
        <v>0.64</v>
      </c>
      <c r="N255" s="19" t="s">
        <v>10</v>
      </c>
      <c r="O255" s="19" t="s">
        <v>292</v>
      </c>
      <c r="P255" s="19" t="s">
        <v>291</v>
      </c>
      <c r="Q255" s="19" t="s">
        <v>285</v>
      </c>
      <c r="R255" s="19" t="s">
        <v>248</v>
      </c>
      <c r="S255" s="19" t="s">
        <v>248</v>
      </c>
      <c r="T255" s="19" t="s">
        <v>286</v>
      </c>
    </row>
    <row r="256" spans="1:20" x14ac:dyDescent="0.2">
      <c r="A256" s="1">
        <v>46029</v>
      </c>
      <c r="B256" s="2">
        <v>0.89583333333333337</v>
      </c>
      <c r="C256" s="19" t="s">
        <v>55</v>
      </c>
      <c r="D256" s="19" t="s">
        <v>36</v>
      </c>
      <c r="E256" s="19" t="s">
        <v>36</v>
      </c>
      <c r="F256">
        <v>4</v>
      </c>
      <c r="G256">
        <v>5</v>
      </c>
      <c r="H256">
        <v>0.53620000000000001</v>
      </c>
      <c r="I256" s="19" t="s">
        <v>249</v>
      </c>
      <c r="J256" s="19" t="s">
        <v>55</v>
      </c>
      <c r="K256">
        <v>3</v>
      </c>
      <c r="L256">
        <v>2</v>
      </c>
      <c r="M256">
        <v>0.27</v>
      </c>
      <c r="N256" s="19" t="s">
        <v>55</v>
      </c>
      <c r="O256" s="19" t="s">
        <v>291</v>
      </c>
      <c r="P256" s="19" t="s">
        <v>287</v>
      </c>
      <c r="Q256" s="19" t="s">
        <v>285</v>
      </c>
      <c r="R256" s="19" t="s">
        <v>249</v>
      </c>
      <c r="S256" s="19" t="s">
        <v>248</v>
      </c>
      <c r="T256" s="19" t="s">
        <v>286</v>
      </c>
    </row>
    <row r="257" spans="1:20" x14ac:dyDescent="0.2">
      <c r="A257" s="1">
        <v>46029</v>
      </c>
      <c r="B257" s="2">
        <v>0.8125</v>
      </c>
      <c r="C257" s="19" t="s">
        <v>18</v>
      </c>
      <c r="D257" s="19" t="s">
        <v>16</v>
      </c>
      <c r="E257" s="19" t="s">
        <v>18</v>
      </c>
      <c r="F257">
        <v>4</v>
      </c>
      <c r="G257">
        <v>2</v>
      </c>
      <c r="H257">
        <v>0.73640000000000005</v>
      </c>
      <c r="I257" s="19" t="s">
        <v>249</v>
      </c>
      <c r="J257" s="19" t="s">
        <v>18</v>
      </c>
      <c r="K257">
        <v>3</v>
      </c>
      <c r="L257">
        <v>2</v>
      </c>
      <c r="M257">
        <v>0.55000000000000004</v>
      </c>
      <c r="N257" s="19" t="s">
        <v>18</v>
      </c>
      <c r="O257" s="19" t="s">
        <v>289</v>
      </c>
      <c r="P257" s="19" t="s">
        <v>287</v>
      </c>
      <c r="Q257" s="19" t="s">
        <v>285</v>
      </c>
      <c r="R257" s="19" t="s">
        <v>248</v>
      </c>
      <c r="S257" s="19" t="s">
        <v>248</v>
      </c>
      <c r="T257" s="19" t="s">
        <v>286</v>
      </c>
    </row>
    <row r="258" spans="1:20" x14ac:dyDescent="0.2">
      <c r="A258" s="1">
        <v>46030</v>
      </c>
      <c r="B258" s="2">
        <v>0.79166666666666663</v>
      </c>
      <c r="C258" s="19" t="s">
        <v>18</v>
      </c>
      <c r="D258" s="19" t="s">
        <v>11</v>
      </c>
      <c r="E258" s="19" t="s">
        <v>11</v>
      </c>
      <c r="F258">
        <v>3</v>
      </c>
      <c r="G258">
        <v>4</v>
      </c>
      <c r="H258">
        <v>0.51329999999999998</v>
      </c>
      <c r="I258" s="19" t="s">
        <v>249</v>
      </c>
      <c r="J258" s="19" t="s">
        <v>18</v>
      </c>
      <c r="K258">
        <v>3</v>
      </c>
      <c r="L258">
        <v>2</v>
      </c>
      <c r="M258">
        <v>0.19</v>
      </c>
      <c r="N258" s="19" t="s">
        <v>18</v>
      </c>
      <c r="O258" s="19" t="s">
        <v>288</v>
      </c>
      <c r="P258" s="19" t="s">
        <v>284</v>
      </c>
      <c r="Q258" s="19" t="s">
        <v>285</v>
      </c>
      <c r="R258" s="19" t="s">
        <v>249</v>
      </c>
      <c r="S258" s="19" t="s">
        <v>248</v>
      </c>
      <c r="T258" s="19" t="s">
        <v>286</v>
      </c>
    </row>
    <row r="259" spans="1:20" x14ac:dyDescent="0.2">
      <c r="A259" s="1">
        <v>46030</v>
      </c>
      <c r="B259" s="2">
        <v>0.79166666666666663</v>
      </c>
      <c r="C259" s="19" t="s">
        <v>27</v>
      </c>
      <c r="D259" s="19" t="s">
        <v>19</v>
      </c>
      <c r="E259" s="19" t="s">
        <v>19</v>
      </c>
      <c r="F259">
        <v>3</v>
      </c>
      <c r="G259">
        <v>4</v>
      </c>
      <c r="H259">
        <v>0.5877</v>
      </c>
      <c r="I259" s="19" t="s">
        <v>249</v>
      </c>
      <c r="J259" s="19" t="s">
        <v>27</v>
      </c>
      <c r="K259">
        <v>3</v>
      </c>
      <c r="L259">
        <v>2</v>
      </c>
      <c r="M259">
        <v>0.35</v>
      </c>
      <c r="N259" s="19" t="s">
        <v>19</v>
      </c>
      <c r="O259" s="19" t="s">
        <v>287</v>
      </c>
      <c r="P259" s="19" t="s">
        <v>284</v>
      </c>
      <c r="Q259" s="19" t="s">
        <v>287</v>
      </c>
      <c r="R259" s="19" t="s">
        <v>248</v>
      </c>
      <c r="S259" s="19" t="s">
        <v>249</v>
      </c>
      <c r="T259" s="19" t="s">
        <v>286</v>
      </c>
    </row>
    <row r="260" spans="1:20" x14ac:dyDescent="0.2">
      <c r="A260" s="1">
        <v>46030</v>
      </c>
      <c r="B260" s="2">
        <v>0.79166666666666663</v>
      </c>
      <c r="C260" s="19" t="s">
        <v>26</v>
      </c>
      <c r="D260" s="19" t="s">
        <v>38</v>
      </c>
      <c r="E260" s="19" t="s">
        <v>26</v>
      </c>
      <c r="F260">
        <v>4</v>
      </c>
      <c r="G260">
        <v>3</v>
      </c>
      <c r="H260">
        <v>0.63100000000000001</v>
      </c>
      <c r="I260" s="19" t="s">
        <v>249</v>
      </c>
      <c r="J260" s="19" t="s">
        <v>26</v>
      </c>
      <c r="K260">
        <v>3</v>
      </c>
      <c r="L260">
        <v>2</v>
      </c>
      <c r="M260">
        <v>0.56999999999999995</v>
      </c>
      <c r="N260" s="19" t="s">
        <v>26</v>
      </c>
      <c r="O260" s="19" t="s">
        <v>283</v>
      </c>
      <c r="P260" s="19" t="s">
        <v>287</v>
      </c>
      <c r="Q260" s="19" t="s">
        <v>285</v>
      </c>
      <c r="R260" s="19" t="s">
        <v>248</v>
      </c>
      <c r="S260" s="19" t="s">
        <v>248</v>
      </c>
      <c r="T260" s="19" t="s">
        <v>286</v>
      </c>
    </row>
    <row r="261" spans="1:20" x14ac:dyDescent="0.2">
      <c r="A261" s="1">
        <v>46030</v>
      </c>
      <c r="B261" s="2">
        <v>0.91666666666666663</v>
      </c>
      <c r="C261" s="19" t="s">
        <v>20</v>
      </c>
      <c r="D261" s="19" t="s">
        <v>28</v>
      </c>
      <c r="E261" s="19" t="s">
        <v>28</v>
      </c>
      <c r="F261">
        <v>3</v>
      </c>
      <c r="G261">
        <v>4</v>
      </c>
      <c r="H261">
        <v>0.51880000000000004</v>
      </c>
      <c r="I261" s="19" t="s">
        <v>248</v>
      </c>
      <c r="J261" s="19" t="s">
        <v>20</v>
      </c>
      <c r="K261">
        <v>3</v>
      </c>
      <c r="L261">
        <v>2</v>
      </c>
      <c r="M261">
        <v>0.38</v>
      </c>
      <c r="N261" s="19" t="s">
        <v>20</v>
      </c>
      <c r="O261" s="19" t="s">
        <v>283</v>
      </c>
      <c r="P261" s="19" t="s">
        <v>291</v>
      </c>
      <c r="Q261" s="19" t="s">
        <v>285</v>
      </c>
      <c r="R261" s="19" t="s">
        <v>249</v>
      </c>
      <c r="S261" s="19" t="s">
        <v>248</v>
      </c>
      <c r="T261" s="19" t="s">
        <v>286</v>
      </c>
    </row>
    <row r="262" spans="1:20" x14ac:dyDescent="0.2">
      <c r="A262" s="1">
        <v>46030</v>
      </c>
      <c r="B262" s="2">
        <v>0.79166666666666663</v>
      </c>
      <c r="C262" s="19" t="s">
        <v>15</v>
      </c>
      <c r="D262" s="19" t="s">
        <v>23</v>
      </c>
      <c r="E262" s="19" t="s">
        <v>23</v>
      </c>
      <c r="F262">
        <v>2</v>
      </c>
      <c r="G262">
        <v>3</v>
      </c>
      <c r="H262">
        <v>0.88</v>
      </c>
      <c r="I262" s="19" t="s">
        <v>249</v>
      </c>
      <c r="J262" s="19" t="s">
        <v>15</v>
      </c>
      <c r="K262">
        <v>3</v>
      </c>
      <c r="L262">
        <v>2</v>
      </c>
      <c r="M262">
        <v>0.09</v>
      </c>
      <c r="N262" s="19" t="s">
        <v>23</v>
      </c>
      <c r="O262" s="19" t="s">
        <v>284</v>
      </c>
      <c r="P262" s="19" t="s">
        <v>283</v>
      </c>
      <c r="Q262" s="19" t="s">
        <v>285</v>
      </c>
      <c r="R262" s="19" t="s">
        <v>248</v>
      </c>
      <c r="S262" s="19" t="s">
        <v>249</v>
      </c>
      <c r="T262" s="19" t="s">
        <v>286</v>
      </c>
    </row>
    <row r="263" spans="1:20" x14ac:dyDescent="0.2">
      <c r="A263" s="1">
        <v>46030</v>
      </c>
      <c r="B263" s="2">
        <v>0.91666666666666663</v>
      </c>
      <c r="C263" s="19" t="s">
        <v>32</v>
      </c>
      <c r="D263" s="19" t="s">
        <v>34</v>
      </c>
      <c r="E263" s="19" t="s">
        <v>34</v>
      </c>
      <c r="F263">
        <v>2</v>
      </c>
      <c r="G263">
        <v>3</v>
      </c>
      <c r="H263">
        <v>0.878</v>
      </c>
      <c r="I263" s="19" t="s">
        <v>249</v>
      </c>
      <c r="J263" s="19" t="s">
        <v>34</v>
      </c>
      <c r="K263">
        <v>3</v>
      </c>
      <c r="L263">
        <v>2</v>
      </c>
      <c r="M263">
        <v>-0.52</v>
      </c>
      <c r="N263" s="19" t="s">
        <v>34</v>
      </c>
      <c r="O263" s="19" t="s">
        <v>284</v>
      </c>
      <c r="P263" s="19" t="s">
        <v>291</v>
      </c>
      <c r="Q263" s="19" t="s">
        <v>287</v>
      </c>
      <c r="R263" s="19" t="s">
        <v>248</v>
      </c>
      <c r="S263" s="19" t="s">
        <v>248</v>
      </c>
      <c r="T263" s="19" t="s">
        <v>286</v>
      </c>
    </row>
    <row r="264" spans="1:20" x14ac:dyDescent="0.2">
      <c r="A264" s="1">
        <v>46030</v>
      </c>
      <c r="B264" s="2">
        <v>0.83333333333333337</v>
      </c>
      <c r="C264" s="19" t="s">
        <v>29</v>
      </c>
      <c r="D264" s="19" t="s">
        <v>30</v>
      </c>
      <c r="E264" s="19" t="s">
        <v>30</v>
      </c>
      <c r="F264">
        <v>3</v>
      </c>
      <c r="G264">
        <v>4</v>
      </c>
      <c r="H264">
        <v>0.55769999999999997</v>
      </c>
      <c r="I264" s="19" t="s">
        <v>249</v>
      </c>
      <c r="J264" s="19" t="s">
        <v>30</v>
      </c>
      <c r="K264">
        <v>3</v>
      </c>
      <c r="L264">
        <v>2</v>
      </c>
      <c r="M264">
        <v>-0.65</v>
      </c>
      <c r="N264" s="19" t="s">
        <v>29</v>
      </c>
      <c r="O264" s="19" t="s">
        <v>284</v>
      </c>
      <c r="P264" s="19" t="s">
        <v>287</v>
      </c>
      <c r="Q264" s="19" t="s">
        <v>287</v>
      </c>
      <c r="R264" s="19" t="s">
        <v>249</v>
      </c>
      <c r="S264" s="19" t="s">
        <v>249</v>
      </c>
      <c r="T264" s="19" t="s">
        <v>286</v>
      </c>
    </row>
    <row r="265" spans="1:20" x14ac:dyDescent="0.2">
      <c r="A265" s="1">
        <v>46030</v>
      </c>
      <c r="B265" s="2">
        <v>0.79166666666666663</v>
      </c>
      <c r="C265" s="19" t="s">
        <v>25</v>
      </c>
      <c r="D265" s="19" t="s">
        <v>31</v>
      </c>
      <c r="E265" s="19" t="s">
        <v>25</v>
      </c>
      <c r="F265">
        <v>6</v>
      </c>
      <c r="G265">
        <v>5</v>
      </c>
      <c r="H265">
        <v>0.51129999999999998</v>
      </c>
      <c r="I265" s="19" t="s">
        <v>249</v>
      </c>
      <c r="J265" s="19" t="s">
        <v>25</v>
      </c>
      <c r="K265">
        <v>3</v>
      </c>
      <c r="L265">
        <v>2</v>
      </c>
      <c r="M265">
        <v>0.82</v>
      </c>
      <c r="N265" s="19" t="s">
        <v>25</v>
      </c>
      <c r="O265" s="19" t="s">
        <v>283</v>
      </c>
      <c r="P265" s="19" t="s">
        <v>284</v>
      </c>
      <c r="Q265" s="19" t="s">
        <v>285</v>
      </c>
      <c r="R265" s="19" t="s">
        <v>248</v>
      </c>
      <c r="S265" s="19" t="s">
        <v>248</v>
      </c>
      <c r="T265" s="19" t="s">
        <v>286</v>
      </c>
    </row>
    <row r="266" spans="1:20" x14ac:dyDescent="0.2">
      <c r="A266" s="1">
        <v>46030</v>
      </c>
      <c r="B266" s="2">
        <v>0.875</v>
      </c>
      <c r="C266" s="19" t="s">
        <v>12</v>
      </c>
      <c r="D266" s="19" t="s">
        <v>36</v>
      </c>
      <c r="E266" s="19" t="s">
        <v>12</v>
      </c>
      <c r="F266">
        <v>5</v>
      </c>
      <c r="G266">
        <v>1</v>
      </c>
      <c r="H266">
        <v>0.96279999999999999</v>
      </c>
      <c r="I266" s="19" t="s">
        <v>249</v>
      </c>
      <c r="J266" s="19" t="s">
        <v>12</v>
      </c>
      <c r="K266">
        <v>3</v>
      </c>
      <c r="L266">
        <v>2</v>
      </c>
      <c r="M266">
        <v>1.81</v>
      </c>
      <c r="N266" s="19" t="s">
        <v>12</v>
      </c>
      <c r="O266" s="19" t="s">
        <v>1494</v>
      </c>
      <c r="P266" s="19" t="s">
        <v>284</v>
      </c>
      <c r="Q266" s="19" t="s">
        <v>285</v>
      </c>
      <c r="R266" s="19" t="s">
        <v>248</v>
      </c>
      <c r="S266" s="19" t="s">
        <v>248</v>
      </c>
      <c r="T266" s="19" t="s">
        <v>286</v>
      </c>
    </row>
    <row r="267" spans="1:20" x14ac:dyDescent="0.2">
      <c r="A267" s="1">
        <v>46030</v>
      </c>
      <c r="B267" s="2">
        <v>0.83333333333333337</v>
      </c>
      <c r="C267" s="19" t="s">
        <v>40</v>
      </c>
      <c r="D267" s="19" t="s">
        <v>17</v>
      </c>
      <c r="E267" s="19" t="s">
        <v>17</v>
      </c>
      <c r="F267">
        <v>3</v>
      </c>
      <c r="G267">
        <v>4</v>
      </c>
      <c r="H267">
        <v>0.59899999999999998</v>
      </c>
      <c r="I267" s="19" t="s">
        <v>249</v>
      </c>
      <c r="J267" s="19" t="s">
        <v>17</v>
      </c>
      <c r="K267">
        <v>3</v>
      </c>
      <c r="L267">
        <v>2</v>
      </c>
      <c r="M267">
        <v>-0.14000000000000001</v>
      </c>
      <c r="N267" s="19" t="s">
        <v>17</v>
      </c>
      <c r="O267" s="19" t="s">
        <v>291</v>
      </c>
      <c r="P267" s="19" t="s">
        <v>289</v>
      </c>
      <c r="Q267" s="19" t="s">
        <v>285</v>
      </c>
      <c r="R267" s="19" t="s">
        <v>248</v>
      </c>
      <c r="S267" s="19" t="s">
        <v>248</v>
      </c>
      <c r="T267" s="19" t="s">
        <v>286</v>
      </c>
    </row>
    <row r="268" spans="1:20" x14ac:dyDescent="0.2">
      <c r="A268" s="1">
        <v>46030</v>
      </c>
      <c r="B268" s="2">
        <v>0.79166666666666663</v>
      </c>
      <c r="C268" s="19" t="s">
        <v>21</v>
      </c>
      <c r="D268" s="19" t="s">
        <v>16</v>
      </c>
      <c r="E268" s="19" t="s">
        <v>21</v>
      </c>
      <c r="F268">
        <v>3</v>
      </c>
      <c r="G268">
        <v>2</v>
      </c>
      <c r="H268">
        <v>0.7903</v>
      </c>
      <c r="I268" s="19" t="s">
        <v>249</v>
      </c>
      <c r="J268" s="19" t="s">
        <v>21</v>
      </c>
      <c r="K268">
        <v>3</v>
      </c>
      <c r="L268">
        <v>2</v>
      </c>
      <c r="M268">
        <v>0.48</v>
      </c>
      <c r="N268" s="19" t="s">
        <v>21</v>
      </c>
      <c r="O268" s="19" t="s">
        <v>289</v>
      </c>
      <c r="P268" s="19" t="s">
        <v>287</v>
      </c>
      <c r="Q268" s="19" t="s">
        <v>285</v>
      </c>
      <c r="R268" s="19" t="s">
        <v>248</v>
      </c>
      <c r="S268" s="19" t="s">
        <v>248</v>
      </c>
      <c r="T268" s="19" t="s">
        <v>286</v>
      </c>
    </row>
    <row r="269" spans="1:20" x14ac:dyDescent="0.2">
      <c r="A269" s="1">
        <v>46030</v>
      </c>
      <c r="B269" s="2">
        <v>0.79166666666666663</v>
      </c>
      <c r="C269" s="19" t="s">
        <v>14</v>
      </c>
      <c r="D269" s="19" t="s">
        <v>24</v>
      </c>
      <c r="E269" s="19" t="s">
        <v>24</v>
      </c>
      <c r="F269">
        <v>3</v>
      </c>
      <c r="G269">
        <v>4</v>
      </c>
      <c r="H269">
        <v>0.74209999999999998</v>
      </c>
      <c r="I269" s="19" t="s">
        <v>249</v>
      </c>
      <c r="J269" s="19" t="s">
        <v>14</v>
      </c>
      <c r="K269">
        <v>3</v>
      </c>
      <c r="L269">
        <v>2</v>
      </c>
      <c r="M269">
        <v>0.47</v>
      </c>
      <c r="N269" s="19" t="s">
        <v>14</v>
      </c>
      <c r="O269" s="19" t="s">
        <v>289</v>
      </c>
      <c r="P269" s="19" t="s">
        <v>287</v>
      </c>
      <c r="Q269" s="19" t="s">
        <v>285</v>
      </c>
      <c r="R269" s="19" t="s">
        <v>249</v>
      </c>
      <c r="S269" s="19" t="s">
        <v>248</v>
      </c>
      <c r="T269" s="19" t="s">
        <v>286</v>
      </c>
    </row>
    <row r="270" spans="1:20" x14ac:dyDescent="0.2">
      <c r="A270" s="1">
        <v>46031</v>
      </c>
      <c r="B270" s="2">
        <v>0.83333333333333337</v>
      </c>
      <c r="C270" s="19" t="s">
        <v>10</v>
      </c>
      <c r="D270" s="19" t="s">
        <v>22</v>
      </c>
      <c r="E270" s="19" t="s">
        <v>10</v>
      </c>
      <c r="F270">
        <v>3</v>
      </c>
      <c r="G270">
        <v>2</v>
      </c>
      <c r="H270">
        <v>0.58899999999999997</v>
      </c>
      <c r="I270" s="19" t="s">
        <v>249</v>
      </c>
      <c r="J270" s="19" t="s">
        <v>22</v>
      </c>
      <c r="K270">
        <v>3</v>
      </c>
      <c r="L270">
        <v>2</v>
      </c>
      <c r="M270">
        <v>-0.56000000000000005</v>
      </c>
      <c r="N270" s="19" t="s">
        <v>22</v>
      </c>
      <c r="O270" s="19" t="s">
        <v>287</v>
      </c>
      <c r="P270" s="19" t="s">
        <v>283</v>
      </c>
      <c r="Q270" s="19" t="s">
        <v>285</v>
      </c>
      <c r="R270" s="19" t="s">
        <v>249</v>
      </c>
      <c r="S270" s="19" t="s">
        <v>248</v>
      </c>
      <c r="T270" s="19" t="s">
        <v>286</v>
      </c>
    </row>
    <row r="271" spans="1:20" x14ac:dyDescent="0.2">
      <c r="A271" s="1">
        <v>46031</v>
      </c>
      <c r="B271" s="2">
        <v>0.875</v>
      </c>
      <c r="C271" s="19" t="s">
        <v>55</v>
      </c>
      <c r="D271" s="19" t="s">
        <v>35</v>
      </c>
      <c r="E271" s="19" t="s">
        <v>55</v>
      </c>
      <c r="F271">
        <v>3</v>
      </c>
      <c r="G271">
        <v>2</v>
      </c>
      <c r="H271">
        <v>0.54969999999999997</v>
      </c>
      <c r="I271" s="19" t="s">
        <v>249</v>
      </c>
      <c r="J271" s="19" t="s">
        <v>55</v>
      </c>
      <c r="K271">
        <v>3</v>
      </c>
      <c r="L271">
        <v>2</v>
      </c>
      <c r="M271">
        <v>1.32</v>
      </c>
      <c r="N271" s="19" t="s">
        <v>55</v>
      </c>
      <c r="O271" s="19" t="s">
        <v>289</v>
      </c>
      <c r="P271" s="19" t="s">
        <v>284</v>
      </c>
      <c r="Q271" s="19" t="s">
        <v>285</v>
      </c>
      <c r="R271" s="19" t="s">
        <v>248</v>
      </c>
      <c r="S271" s="19" t="s">
        <v>248</v>
      </c>
      <c r="T271" s="19" t="s">
        <v>286</v>
      </c>
    </row>
    <row r="272" spans="1:20" x14ac:dyDescent="0.2">
      <c r="A272" s="1">
        <v>46031</v>
      </c>
      <c r="B272" s="2">
        <v>0.83333333333333337</v>
      </c>
      <c r="C272" s="19" t="s">
        <v>40</v>
      </c>
      <c r="D272" s="19" t="s">
        <v>13</v>
      </c>
      <c r="E272" s="19" t="s">
        <v>40</v>
      </c>
      <c r="F272">
        <v>4</v>
      </c>
      <c r="G272">
        <v>3</v>
      </c>
      <c r="H272">
        <v>0.57879999999999998</v>
      </c>
      <c r="I272" s="19" t="s">
        <v>249</v>
      </c>
      <c r="J272" s="19" t="s">
        <v>13</v>
      </c>
      <c r="K272">
        <v>3</v>
      </c>
      <c r="L272">
        <v>2</v>
      </c>
      <c r="M272">
        <v>-0.13</v>
      </c>
      <c r="N272" s="19" t="s">
        <v>40</v>
      </c>
      <c r="O272" s="19" t="s">
        <v>283</v>
      </c>
      <c r="P272" s="19" t="s">
        <v>287</v>
      </c>
      <c r="Q272" s="19" t="s">
        <v>285</v>
      </c>
      <c r="R272" s="19" t="s">
        <v>248</v>
      </c>
      <c r="S272" s="19" t="s">
        <v>249</v>
      </c>
      <c r="T272" s="19" t="s">
        <v>286</v>
      </c>
    </row>
    <row r="273" spans="1:20" x14ac:dyDescent="0.2">
      <c r="A273" s="1">
        <v>46032</v>
      </c>
      <c r="B273" s="2">
        <v>0.66666666666666663</v>
      </c>
      <c r="C273" s="19" t="s">
        <v>33</v>
      </c>
      <c r="D273" s="19" t="s">
        <v>39</v>
      </c>
      <c r="E273" s="19" t="s">
        <v>39</v>
      </c>
      <c r="F273">
        <v>3</v>
      </c>
      <c r="G273">
        <v>5</v>
      </c>
      <c r="H273">
        <v>0.80640000000000001</v>
      </c>
      <c r="I273" s="19" t="s">
        <v>249</v>
      </c>
      <c r="J273" s="19" t="s">
        <v>39</v>
      </c>
      <c r="K273">
        <v>3</v>
      </c>
      <c r="L273">
        <v>2</v>
      </c>
      <c r="M273">
        <v>-0.76</v>
      </c>
      <c r="N273" s="19" t="s">
        <v>33</v>
      </c>
      <c r="O273" s="19" t="s">
        <v>283</v>
      </c>
      <c r="P273" s="19" t="s">
        <v>289</v>
      </c>
      <c r="Q273" s="19" t="s">
        <v>287</v>
      </c>
      <c r="R273" s="19" t="s">
        <v>249</v>
      </c>
      <c r="S273" s="19" t="s">
        <v>249</v>
      </c>
      <c r="T273" s="19" t="s">
        <v>286</v>
      </c>
    </row>
    <row r="274" spans="1:20" x14ac:dyDescent="0.2">
      <c r="A274" s="1">
        <v>46032</v>
      </c>
      <c r="B274" s="2">
        <v>0.79166666666666663</v>
      </c>
      <c r="C274" s="19" t="s">
        <v>19</v>
      </c>
      <c r="D274" s="19" t="s">
        <v>38</v>
      </c>
      <c r="E274" s="19" t="s">
        <v>19</v>
      </c>
      <c r="F274">
        <v>4</v>
      </c>
      <c r="G274">
        <v>3</v>
      </c>
      <c r="H274">
        <v>0.67830000000000001</v>
      </c>
      <c r="I274" s="19" t="s">
        <v>249</v>
      </c>
      <c r="J274" s="19" t="s">
        <v>19</v>
      </c>
      <c r="K274">
        <v>3</v>
      </c>
      <c r="L274">
        <v>2</v>
      </c>
      <c r="M274">
        <v>0.85</v>
      </c>
      <c r="N274" s="19" t="s">
        <v>19</v>
      </c>
      <c r="O274" s="19" t="s">
        <v>283</v>
      </c>
      <c r="P274" s="19" t="s">
        <v>285</v>
      </c>
      <c r="Q274" s="19" t="s">
        <v>285</v>
      </c>
      <c r="R274" s="19" t="s">
        <v>248</v>
      </c>
      <c r="S274" s="19" t="s">
        <v>248</v>
      </c>
      <c r="T274" s="19" t="s">
        <v>286</v>
      </c>
    </row>
    <row r="275" spans="1:20" x14ac:dyDescent="0.2">
      <c r="A275" s="1">
        <v>46032</v>
      </c>
      <c r="B275" s="2">
        <v>0.79166666666666663</v>
      </c>
      <c r="C275" s="19" t="s">
        <v>36</v>
      </c>
      <c r="D275" s="19" t="s">
        <v>11</v>
      </c>
      <c r="E275" s="19" t="s">
        <v>36</v>
      </c>
      <c r="F275">
        <v>4</v>
      </c>
      <c r="G275">
        <v>3</v>
      </c>
      <c r="H275">
        <v>0.60099999999999998</v>
      </c>
      <c r="I275" s="19" t="s">
        <v>249</v>
      </c>
      <c r="J275" s="19" t="s">
        <v>36</v>
      </c>
      <c r="K275">
        <v>3</v>
      </c>
      <c r="L275">
        <v>2</v>
      </c>
      <c r="M275">
        <v>0.11</v>
      </c>
      <c r="N275" s="19" t="s">
        <v>11</v>
      </c>
      <c r="O275" s="19" t="s">
        <v>284</v>
      </c>
      <c r="P275" s="19" t="s">
        <v>291</v>
      </c>
      <c r="Q275" s="19" t="s">
        <v>285</v>
      </c>
      <c r="R275" s="19" t="s">
        <v>249</v>
      </c>
      <c r="S275" s="19" t="s">
        <v>249</v>
      </c>
      <c r="T275" s="19" t="s">
        <v>286</v>
      </c>
    </row>
    <row r="276" spans="1:20" x14ac:dyDescent="0.2">
      <c r="A276" s="1">
        <v>46032</v>
      </c>
      <c r="B276" s="2">
        <v>0.91666666666666663</v>
      </c>
      <c r="C276" s="19" t="s">
        <v>20</v>
      </c>
      <c r="D276" s="19" t="s">
        <v>35</v>
      </c>
      <c r="E276" s="19" t="s">
        <v>20</v>
      </c>
      <c r="F276">
        <v>4</v>
      </c>
      <c r="G276">
        <v>3</v>
      </c>
      <c r="H276">
        <v>0.60719999999999996</v>
      </c>
      <c r="I276" s="19" t="s">
        <v>249</v>
      </c>
      <c r="J276" s="19" t="s">
        <v>20</v>
      </c>
      <c r="K276">
        <v>3</v>
      </c>
      <c r="L276">
        <v>2</v>
      </c>
      <c r="M276">
        <v>1.19</v>
      </c>
      <c r="N276" s="19" t="s">
        <v>20</v>
      </c>
      <c r="O276" s="19" t="s">
        <v>289</v>
      </c>
      <c r="P276" s="19" t="s">
        <v>284</v>
      </c>
      <c r="Q276" s="19" t="s">
        <v>285</v>
      </c>
      <c r="R276" s="19" t="s">
        <v>248</v>
      </c>
      <c r="S276" s="19" t="s">
        <v>248</v>
      </c>
      <c r="T276" s="19" t="s">
        <v>286</v>
      </c>
    </row>
    <row r="277" spans="1:20" x14ac:dyDescent="0.2">
      <c r="A277" s="1">
        <v>46032</v>
      </c>
      <c r="B277" s="2">
        <v>0.79166666666666663</v>
      </c>
      <c r="C277" s="19" t="s">
        <v>23</v>
      </c>
      <c r="D277" s="19" t="s">
        <v>31</v>
      </c>
      <c r="E277" s="19" t="s">
        <v>23</v>
      </c>
      <c r="F277">
        <v>4</v>
      </c>
      <c r="G277">
        <v>2</v>
      </c>
      <c r="H277">
        <v>0.53600000000000003</v>
      </c>
      <c r="I277" s="19" t="s">
        <v>249</v>
      </c>
      <c r="J277" s="19" t="s">
        <v>23</v>
      </c>
      <c r="K277">
        <v>3</v>
      </c>
      <c r="L277">
        <v>2</v>
      </c>
      <c r="M277">
        <v>0.55000000000000004</v>
      </c>
      <c r="N277" s="19" t="s">
        <v>23</v>
      </c>
      <c r="O277" s="19" t="s">
        <v>283</v>
      </c>
      <c r="P277" s="19" t="s">
        <v>291</v>
      </c>
      <c r="Q277" s="19" t="s">
        <v>285</v>
      </c>
      <c r="R277" s="19" t="s">
        <v>248</v>
      </c>
      <c r="S277" s="19" t="s">
        <v>248</v>
      </c>
      <c r="T277" s="19" t="s">
        <v>286</v>
      </c>
    </row>
    <row r="278" spans="1:20" x14ac:dyDescent="0.2">
      <c r="A278" s="1">
        <v>46032</v>
      </c>
      <c r="B278" s="2">
        <v>0.64583333333333337</v>
      </c>
      <c r="C278" s="19" t="s">
        <v>14</v>
      </c>
      <c r="D278" s="19" t="s">
        <v>16</v>
      </c>
      <c r="E278" s="19" t="s">
        <v>14</v>
      </c>
      <c r="F278">
        <v>4</v>
      </c>
      <c r="G278">
        <v>2</v>
      </c>
      <c r="H278">
        <v>0.74260000000000004</v>
      </c>
      <c r="I278" s="19" t="s">
        <v>249</v>
      </c>
      <c r="J278" s="19" t="s">
        <v>14</v>
      </c>
      <c r="K278">
        <v>3</v>
      </c>
      <c r="L278">
        <v>2</v>
      </c>
      <c r="M278">
        <v>0.78</v>
      </c>
      <c r="N278" s="19" t="s">
        <v>16</v>
      </c>
      <c r="O278" s="19" t="s">
        <v>287</v>
      </c>
      <c r="P278" s="19" t="s">
        <v>284</v>
      </c>
      <c r="Q278" s="19" t="s">
        <v>285</v>
      </c>
      <c r="R278" s="19" t="s">
        <v>249</v>
      </c>
      <c r="S278" s="19" t="s">
        <v>249</v>
      </c>
      <c r="T278" s="19" t="s">
        <v>286</v>
      </c>
    </row>
    <row r="279" spans="1:20" x14ac:dyDescent="0.2">
      <c r="A279" s="1">
        <v>46032</v>
      </c>
      <c r="B279" s="2">
        <v>0.54166666666666663</v>
      </c>
      <c r="C279" s="19" t="s">
        <v>21</v>
      </c>
      <c r="D279" s="19" t="s">
        <v>15</v>
      </c>
      <c r="E279" s="19" t="s">
        <v>15</v>
      </c>
      <c r="F279">
        <v>3</v>
      </c>
      <c r="G279">
        <v>4</v>
      </c>
      <c r="H279">
        <v>0.67290000000000005</v>
      </c>
      <c r="I279" s="19" t="s">
        <v>249</v>
      </c>
      <c r="J279" s="19" t="s">
        <v>21</v>
      </c>
      <c r="K279">
        <v>3</v>
      </c>
      <c r="L279">
        <v>2</v>
      </c>
      <c r="M279">
        <v>0.13</v>
      </c>
      <c r="N279" s="19" t="s">
        <v>21</v>
      </c>
      <c r="O279" s="19" t="s">
        <v>1796</v>
      </c>
      <c r="P279" s="19" t="s">
        <v>284</v>
      </c>
      <c r="Q279" s="19" t="s">
        <v>285</v>
      </c>
      <c r="R279" s="19" t="s">
        <v>249</v>
      </c>
      <c r="S279" s="19" t="s">
        <v>248</v>
      </c>
      <c r="T279" s="19" t="s">
        <v>286</v>
      </c>
    </row>
    <row r="280" spans="1:20" x14ac:dyDescent="0.2">
      <c r="A280" s="1">
        <v>46032</v>
      </c>
      <c r="B280" s="2">
        <v>0.66666666666666663</v>
      </c>
      <c r="C280" s="19" t="s">
        <v>12</v>
      </c>
      <c r="D280" s="19" t="s">
        <v>28</v>
      </c>
      <c r="E280" s="19" t="s">
        <v>12</v>
      </c>
      <c r="F280">
        <v>3</v>
      </c>
      <c r="G280">
        <v>1</v>
      </c>
      <c r="H280">
        <v>0.90700000000000003</v>
      </c>
      <c r="I280" s="19" t="s">
        <v>249</v>
      </c>
      <c r="J280" s="19" t="s">
        <v>12</v>
      </c>
      <c r="K280">
        <v>3</v>
      </c>
      <c r="L280">
        <v>2</v>
      </c>
      <c r="M280">
        <v>2.19</v>
      </c>
      <c r="N280" s="19" t="s">
        <v>12</v>
      </c>
      <c r="O280" s="19" t="s">
        <v>289</v>
      </c>
      <c r="P280" s="19" t="s">
        <v>285</v>
      </c>
      <c r="Q280" s="19" t="s">
        <v>285</v>
      </c>
      <c r="R280" s="19" t="s">
        <v>248</v>
      </c>
      <c r="S280" s="19" t="s">
        <v>248</v>
      </c>
      <c r="T280" s="19" t="s">
        <v>286</v>
      </c>
    </row>
    <row r="281" spans="1:20" x14ac:dyDescent="0.2">
      <c r="A281" s="1">
        <v>46032</v>
      </c>
      <c r="B281" s="2">
        <v>0.79166666666666663</v>
      </c>
      <c r="C281" s="19" t="s">
        <v>27</v>
      </c>
      <c r="D281" s="19" t="s">
        <v>37</v>
      </c>
      <c r="E281" s="19" t="s">
        <v>37</v>
      </c>
      <c r="F281">
        <v>2</v>
      </c>
      <c r="G281">
        <v>3</v>
      </c>
      <c r="H281">
        <v>0.88600000000000001</v>
      </c>
      <c r="I281" s="19" t="s">
        <v>249</v>
      </c>
      <c r="J281" s="19" t="s">
        <v>37</v>
      </c>
      <c r="K281">
        <v>3</v>
      </c>
      <c r="L281">
        <v>2</v>
      </c>
      <c r="M281">
        <v>-0.51</v>
      </c>
      <c r="N281" s="19" t="s">
        <v>37</v>
      </c>
      <c r="O281" s="19" t="s">
        <v>284</v>
      </c>
      <c r="P281" s="19" t="s">
        <v>292</v>
      </c>
      <c r="Q281" s="19" t="s">
        <v>285</v>
      </c>
      <c r="R281" s="19" t="s">
        <v>248</v>
      </c>
      <c r="S281" s="19" t="s">
        <v>248</v>
      </c>
      <c r="T281" s="19" t="s">
        <v>286</v>
      </c>
    </row>
    <row r="282" spans="1:20" x14ac:dyDescent="0.2">
      <c r="A282" s="1">
        <v>46032</v>
      </c>
      <c r="B282" s="2">
        <v>0.83333333333333337</v>
      </c>
      <c r="C282" s="19" t="s">
        <v>29</v>
      </c>
      <c r="D282" s="19" t="s">
        <v>10</v>
      </c>
      <c r="E282" s="19" t="s">
        <v>29</v>
      </c>
      <c r="F282">
        <v>4</v>
      </c>
      <c r="G282">
        <v>3</v>
      </c>
      <c r="H282">
        <v>0.75119999999999998</v>
      </c>
      <c r="I282" s="19" t="s">
        <v>249</v>
      </c>
      <c r="J282" s="19" t="s">
        <v>29</v>
      </c>
      <c r="K282">
        <v>3</v>
      </c>
      <c r="L282">
        <v>2</v>
      </c>
      <c r="M282">
        <v>0.13</v>
      </c>
      <c r="N282" s="19" t="s">
        <v>10</v>
      </c>
      <c r="O282" s="19" t="s">
        <v>285</v>
      </c>
      <c r="P282" s="19" t="s">
        <v>291</v>
      </c>
      <c r="Q282" s="19" t="s">
        <v>285</v>
      </c>
      <c r="R282" s="19" t="s">
        <v>249</v>
      </c>
      <c r="S282" s="19" t="s">
        <v>249</v>
      </c>
      <c r="T282" s="19" t="s">
        <v>286</v>
      </c>
    </row>
    <row r="283" spans="1:20" x14ac:dyDescent="0.2">
      <c r="A283" s="1">
        <v>46032</v>
      </c>
      <c r="B283" s="2">
        <v>0.79166666666666663</v>
      </c>
      <c r="C283" s="19" t="s">
        <v>25</v>
      </c>
      <c r="D283" s="19" t="s">
        <v>32</v>
      </c>
      <c r="E283" s="19" t="s">
        <v>25</v>
      </c>
      <c r="F283">
        <v>4</v>
      </c>
      <c r="G283">
        <v>3</v>
      </c>
      <c r="H283">
        <v>0.6603</v>
      </c>
      <c r="I283" s="19" t="s">
        <v>249</v>
      </c>
      <c r="J283" s="19" t="s">
        <v>25</v>
      </c>
      <c r="K283">
        <v>3</v>
      </c>
      <c r="L283">
        <v>2</v>
      </c>
      <c r="M283">
        <v>0.82</v>
      </c>
      <c r="N283" s="19" t="s">
        <v>25</v>
      </c>
      <c r="O283" s="19" t="s">
        <v>291</v>
      </c>
      <c r="P283" s="19" t="s">
        <v>284</v>
      </c>
      <c r="Q283" s="19" t="s">
        <v>285</v>
      </c>
      <c r="R283" s="19" t="s">
        <v>248</v>
      </c>
      <c r="S283" s="19" t="s">
        <v>248</v>
      </c>
      <c r="T283" s="19" t="s">
        <v>286</v>
      </c>
    </row>
    <row r="284" spans="1:20" x14ac:dyDescent="0.2">
      <c r="A284" s="1">
        <v>46032</v>
      </c>
      <c r="B284" s="2">
        <v>0.83333333333333337</v>
      </c>
      <c r="C284" s="19" t="s">
        <v>34</v>
      </c>
      <c r="D284" s="19" t="s">
        <v>30</v>
      </c>
      <c r="E284" s="19" t="s">
        <v>30</v>
      </c>
      <c r="F284">
        <v>3</v>
      </c>
      <c r="G284">
        <v>4</v>
      </c>
      <c r="H284">
        <v>0.50819999999999999</v>
      </c>
      <c r="I284" s="19" t="s">
        <v>249</v>
      </c>
      <c r="J284" s="19" t="s">
        <v>34</v>
      </c>
      <c r="K284">
        <v>3</v>
      </c>
      <c r="L284">
        <v>2</v>
      </c>
      <c r="M284">
        <v>0.35</v>
      </c>
      <c r="N284" s="19" t="s">
        <v>30</v>
      </c>
      <c r="O284" s="19" t="s">
        <v>291</v>
      </c>
      <c r="P284" s="19" t="s">
        <v>289</v>
      </c>
      <c r="Q284" s="19" t="s">
        <v>287</v>
      </c>
      <c r="R284" s="19" t="s">
        <v>248</v>
      </c>
      <c r="S284" s="19" t="s">
        <v>249</v>
      </c>
      <c r="T284" s="19" t="s">
        <v>286</v>
      </c>
    </row>
    <row r="285" spans="1:20" x14ac:dyDescent="0.2">
      <c r="A285" s="1">
        <v>46032</v>
      </c>
      <c r="B285" s="2">
        <v>0.79166666666666663</v>
      </c>
      <c r="C285" s="19" t="s">
        <v>18</v>
      </c>
      <c r="D285" s="19" t="s">
        <v>26</v>
      </c>
      <c r="E285" s="19" t="s">
        <v>18</v>
      </c>
      <c r="F285">
        <v>5</v>
      </c>
      <c r="G285">
        <v>4</v>
      </c>
      <c r="H285">
        <v>0.5161</v>
      </c>
      <c r="I285" s="19" t="s">
        <v>249</v>
      </c>
      <c r="J285" s="19" t="s">
        <v>18</v>
      </c>
      <c r="K285">
        <v>3</v>
      </c>
      <c r="L285">
        <v>2</v>
      </c>
      <c r="M285">
        <v>0.39</v>
      </c>
      <c r="N285" s="19" t="s">
        <v>26</v>
      </c>
      <c r="O285" s="19" t="s">
        <v>285</v>
      </c>
      <c r="P285" s="19" t="s">
        <v>289</v>
      </c>
      <c r="Q285" s="19" t="s">
        <v>285</v>
      </c>
      <c r="R285" s="19" t="s">
        <v>249</v>
      </c>
      <c r="S285" s="19" t="s">
        <v>249</v>
      </c>
      <c r="T285" s="19" t="s">
        <v>286</v>
      </c>
    </row>
    <row r="286" spans="1:20" x14ac:dyDescent="0.2">
      <c r="A286" s="1">
        <v>46032</v>
      </c>
      <c r="B286" s="2">
        <v>0.91666666666666663</v>
      </c>
      <c r="C286" s="19" t="s">
        <v>17</v>
      </c>
      <c r="D286" s="19" t="s">
        <v>13</v>
      </c>
      <c r="E286" s="19" t="s">
        <v>17</v>
      </c>
      <c r="F286">
        <v>4</v>
      </c>
      <c r="G286">
        <v>3</v>
      </c>
      <c r="H286">
        <v>0.52880000000000005</v>
      </c>
      <c r="I286" s="19" t="s">
        <v>248</v>
      </c>
      <c r="J286" s="19" t="s">
        <v>17</v>
      </c>
      <c r="K286">
        <v>3</v>
      </c>
      <c r="L286">
        <v>2</v>
      </c>
      <c r="M286">
        <v>0.28000000000000003</v>
      </c>
      <c r="N286" s="19" t="s">
        <v>13</v>
      </c>
      <c r="O286" s="19" t="s">
        <v>291</v>
      </c>
      <c r="P286" s="19" t="s">
        <v>289</v>
      </c>
      <c r="Q286" s="19" t="s">
        <v>287</v>
      </c>
      <c r="R286" s="19" t="s">
        <v>249</v>
      </c>
      <c r="S286" s="19" t="s">
        <v>249</v>
      </c>
      <c r="T286" s="19" t="s">
        <v>286</v>
      </c>
    </row>
    <row r="287" spans="1:20" x14ac:dyDescent="0.2">
      <c r="A287" s="1">
        <v>46033</v>
      </c>
      <c r="B287" s="2">
        <v>0.70833333333333337</v>
      </c>
      <c r="C287" s="19" t="s">
        <v>21</v>
      </c>
      <c r="D287" s="19" t="s">
        <v>14</v>
      </c>
      <c r="E287" s="19" t="s">
        <v>21</v>
      </c>
      <c r="F287">
        <v>4</v>
      </c>
      <c r="G287">
        <v>3</v>
      </c>
      <c r="H287">
        <v>0.5968</v>
      </c>
      <c r="I287" s="19" t="s">
        <v>249</v>
      </c>
      <c r="J287" s="19" t="s">
        <v>21</v>
      </c>
      <c r="K287">
        <v>3</v>
      </c>
      <c r="L287">
        <v>2</v>
      </c>
      <c r="M287">
        <v>0.19</v>
      </c>
      <c r="N287" s="19" t="s">
        <v>21</v>
      </c>
      <c r="O287" s="19" t="s">
        <v>287</v>
      </c>
      <c r="P287" s="19" t="s">
        <v>285</v>
      </c>
      <c r="Q287" s="19" t="s">
        <v>285</v>
      </c>
      <c r="R287" s="19" t="s">
        <v>248</v>
      </c>
      <c r="S287" s="19" t="s">
        <v>248</v>
      </c>
      <c r="T287" s="19" t="s">
        <v>286</v>
      </c>
    </row>
    <row r="288" spans="1:20" x14ac:dyDescent="0.2">
      <c r="A288" s="1">
        <v>46033</v>
      </c>
      <c r="B288" s="2">
        <v>0.79166666666666663</v>
      </c>
      <c r="C288" s="19" t="s">
        <v>55</v>
      </c>
      <c r="D288" s="19" t="s">
        <v>28</v>
      </c>
      <c r="E288" s="19" t="s">
        <v>55</v>
      </c>
      <c r="F288">
        <v>4</v>
      </c>
      <c r="G288">
        <v>3</v>
      </c>
      <c r="H288">
        <v>0.5736</v>
      </c>
      <c r="I288" s="19" t="s">
        <v>249</v>
      </c>
      <c r="J288" s="19" t="s">
        <v>55</v>
      </c>
      <c r="K288">
        <v>3</v>
      </c>
      <c r="L288">
        <v>2</v>
      </c>
      <c r="M288">
        <v>0.7</v>
      </c>
      <c r="N288" s="19" t="s">
        <v>28</v>
      </c>
      <c r="O288" s="19" t="s">
        <v>284</v>
      </c>
      <c r="P288" s="19" t="s">
        <v>291</v>
      </c>
      <c r="Q288" s="19" t="s">
        <v>287</v>
      </c>
      <c r="R288" s="19" t="s">
        <v>249</v>
      </c>
      <c r="S288" s="19" t="s">
        <v>249</v>
      </c>
      <c r="T288" s="19" t="s">
        <v>286</v>
      </c>
    </row>
    <row r="289" spans="1:20" x14ac:dyDescent="0.2">
      <c r="A289" s="1">
        <v>46033</v>
      </c>
      <c r="B289" s="2">
        <v>0.83333333333333337</v>
      </c>
      <c r="C289" s="19" t="s">
        <v>33</v>
      </c>
      <c r="D289" s="19" t="s">
        <v>20</v>
      </c>
      <c r="E289" s="19" t="s">
        <v>20</v>
      </c>
      <c r="F289">
        <v>3</v>
      </c>
      <c r="G289">
        <v>4</v>
      </c>
      <c r="H289">
        <v>0.52929999999999999</v>
      </c>
      <c r="I289" s="19" t="s">
        <v>248</v>
      </c>
      <c r="J289" s="19" t="s">
        <v>20</v>
      </c>
      <c r="K289">
        <v>3</v>
      </c>
      <c r="L289">
        <v>2</v>
      </c>
      <c r="M289">
        <v>-0.13</v>
      </c>
      <c r="N289" s="19" t="s">
        <v>20</v>
      </c>
      <c r="O289" s="19" t="s">
        <v>284</v>
      </c>
      <c r="P289" s="19" t="s">
        <v>292</v>
      </c>
      <c r="Q289" s="19" t="s">
        <v>285</v>
      </c>
      <c r="R289" s="19" t="s">
        <v>248</v>
      </c>
      <c r="S289" s="19" t="s">
        <v>248</v>
      </c>
      <c r="T289" s="19" t="s">
        <v>286</v>
      </c>
    </row>
    <row r="290" spans="1:20" x14ac:dyDescent="0.2">
      <c r="A290" s="1">
        <v>46033</v>
      </c>
      <c r="B290" s="2">
        <v>0.58333333333333337</v>
      </c>
      <c r="C290" s="19" t="s">
        <v>40</v>
      </c>
      <c r="D290" s="19" t="s">
        <v>24</v>
      </c>
      <c r="E290" s="19" t="s">
        <v>24</v>
      </c>
      <c r="F290">
        <v>3</v>
      </c>
      <c r="G290">
        <v>4</v>
      </c>
      <c r="H290">
        <v>0.66759999999999997</v>
      </c>
      <c r="I290" s="19" t="s">
        <v>249</v>
      </c>
      <c r="J290" s="19" t="s">
        <v>40</v>
      </c>
      <c r="K290">
        <v>3</v>
      </c>
      <c r="L290">
        <v>2</v>
      </c>
      <c r="M290">
        <v>0.28999999999999998</v>
      </c>
      <c r="N290" s="19" t="s">
        <v>40</v>
      </c>
      <c r="O290" s="19" t="s">
        <v>289</v>
      </c>
      <c r="P290" s="19" t="s">
        <v>291</v>
      </c>
      <c r="Q290" s="19" t="s">
        <v>285</v>
      </c>
      <c r="R290" s="19" t="s">
        <v>249</v>
      </c>
      <c r="S290" s="19" t="s">
        <v>248</v>
      </c>
      <c r="T290" s="19" t="s">
        <v>286</v>
      </c>
    </row>
    <row r="291" spans="1:20" x14ac:dyDescent="0.2">
      <c r="A291" s="1">
        <v>46033</v>
      </c>
      <c r="B291" s="2">
        <v>0.79166666666666663</v>
      </c>
      <c r="C291" s="19" t="s">
        <v>29</v>
      </c>
      <c r="D291" s="19" t="s">
        <v>22</v>
      </c>
      <c r="E291" s="19" t="s">
        <v>29</v>
      </c>
      <c r="F291">
        <v>4</v>
      </c>
      <c r="G291">
        <v>3</v>
      </c>
      <c r="H291">
        <v>0.57699999999999996</v>
      </c>
      <c r="I291" s="19" t="s">
        <v>249</v>
      </c>
      <c r="J291" s="19" t="s">
        <v>22</v>
      </c>
      <c r="K291">
        <v>3</v>
      </c>
      <c r="L291">
        <v>2</v>
      </c>
      <c r="M291">
        <v>-0.78</v>
      </c>
      <c r="N291" s="19" t="s">
        <v>29</v>
      </c>
      <c r="O291" s="19" t="s">
        <v>291</v>
      </c>
      <c r="P291" s="19" t="s">
        <v>284</v>
      </c>
      <c r="Q291" s="19" t="s">
        <v>285</v>
      </c>
      <c r="R291" s="19" t="s">
        <v>248</v>
      </c>
      <c r="S291" s="19" t="s">
        <v>249</v>
      </c>
      <c r="T291" s="19" t="s">
        <v>286</v>
      </c>
    </row>
    <row r="292" spans="1:20" x14ac:dyDescent="0.2">
      <c r="A292" s="1">
        <v>46034</v>
      </c>
      <c r="B292" s="2">
        <v>0.8125</v>
      </c>
      <c r="C292" s="19" t="s">
        <v>18</v>
      </c>
      <c r="D292" s="19" t="s">
        <v>38</v>
      </c>
      <c r="E292" s="19" t="s">
        <v>18</v>
      </c>
      <c r="F292">
        <v>4</v>
      </c>
      <c r="G292">
        <v>2</v>
      </c>
      <c r="H292">
        <v>0.76570000000000005</v>
      </c>
      <c r="I292" s="19" t="s">
        <v>249</v>
      </c>
      <c r="J292" s="19" t="s">
        <v>18</v>
      </c>
      <c r="K292">
        <v>3</v>
      </c>
      <c r="L292">
        <v>2</v>
      </c>
      <c r="M292">
        <v>0.99</v>
      </c>
      <c r="N292" s="19" t="s">
        <v>18</v>
      </c>
      <c r="O292" s="19" t="s">
        <v>288</v>
      </c>
      <c r="P292" s="19" t="s">
        <v>291</v>
      </c>
      <c r="Q292" s="19" t="s">
        <v>285</v>
      </c>
      <c r="R292" s="19" t="s">
        <v>248</v>
      </c>
      <c r="S292" s="19" t="s">
        <v>248</v>
      </c>
      <c r="T292" s="19" t="s">
        <v>286</v>
      </c>
    </row>
    <row r="293" spans="1:20" x14ac:dyDescent="0.2">
      <c r="A293" s="1">
        <v>46034</v>
      </c>
      <c r="B293" s="2">
        <v>0.79166666666666663</v>
      </c>
      <c r="C293" s="19" t="s">
        <v>15</v>
      </c>
      <c r="D293" s="19" t="s">
        <v>32</v>
      </c>
      <c r="E293" s="19" t="s">
        <v>32</v>
      </c>
      <c r="F293">
        <v>2</v>
      </c>
      <c r="G293">
        <v>3</v>
      </c>
      <c r="H293">
        <v>0.79149999999999998</v>
      </c>
      <c r="I293" s="19" t="s">
        <v>249</v>
      </c>
      <c r="J293" s="19" t="s">
        <v>15</v>
      </c>
      <c r="K293">
        <v>3</v>
      </c>
      <c r="L293">
        <v>2</v>
      </c>
      <c r="M293">
        <v>0.12</v>
      </c>
      <c r="N293" s="19" t="s">
        <v>32</v>
      </c>
      <c r="O293" s="19" t="s">
        <v>284</v>
      </c>
      <c r="P293" s="19" t="s">
        <v>289</v>
      </c>
      <c r="Q293" s="19" t="s">
        <v>285</v>
      </c>
      <c r="R293" s="19" t="s">
        <v>248</v>
      </c>
      <c r="S293" s="19" t="s">
        <v>249</v>
      </c>
      <c r="T293" s="19" t="s">
        <v>286</v>
      </c>
    </row>
    <row r="294" spans="1:20" x14ac:dyDescent="0.2">
      <c r="A294" s="1">
        <v>46034</v>
      </c>
      <c r="B294" s="2">
        <v>0.79166666666666663</v>
      </c>
      <c r="C294" s="19" t="s">
        <v>23</v>
      </c>
      <c r="D294" s="19" t="s">
        <v>11</v>
      </c>
      <c r="E294" s="19" t="s">
        <v>23</v>
      </c>
      <c r="F294">
        <v>4</v>
      </c>
      <c r="G294">
        <v>2</v>
      </c>
      <c r="H294">
        <v>0.75890000000000002</v>
      </c>
      <c r="I294" s="19" t="s">
        <v>249</v>
      </c>
      <c r="J294" s="19" t="s">
        <v>23</v>
      </c>
      <c r="K294">
        <v>3</v>
      </c>
      <c r="L294">
        <v>2</v>
      </c>
      <c r="M294">
        <v>0.34</v>
      </c>
      <c r="N294" s="19" t="s">
        <v>11</v>
      </c>
      <c r="O294" s="19" t="s">
        <v>291</v>
      </c>
      <c r="P294" s="19" t="s">
        <v>289</v>
      </c>
      <c r="Q294" s="19" t="s">
        <v>285</v>
      </c>
      <c r="R294" s="19" t="s">
        <v>249</v>
      </c>
      <c r="S294" s="19" t="s">
        <v>249</v>
      </c>
      <c r="T294" s="19" t="s">
        <v>286</v>
      </c>
    </row>
    <row r="295" spans="1:20" x14ac:dyDescent="0.2">
      <c r="A295" s="1">
        <v>46034</v>
      </c>
      <c r="B295" s="2">
        <v>0.91666666666666663</v>
      </c>
      <c r="C295" s="19" t="s">
        <v>12</v>
      </c>
      <c r="D295" s="19" t="s">
        <v>19</v>
      </c>
      <c r="E295" s="19" t="s">
        <v>12</v>
      </c>
      <c r="F295">
        <v>5</v>
      </c>
      <c r="G295">
        <v>2</v>
      </c>
      <c r="H295">
        <v>0.90039999999999998</v>
      </c>
      <c r="I295" s="19" t="s">
        <v>249</v>
      </c>
      <c r="J295" s="19" t="s">
        <v>12</v>
      </c>
      <c r="K295">
        <v>3</v>
      </c>
      <c r="L295">
        <v>2</v>
      </c>
      <c r="M295">
        <v>1.81</v>
      </c>
      <c r="N295" s="19" t="s">
        <v>19</v>
      </c>
      <c r="O295" s="19" t="s">
        <v>291</v>
      </c>
      <c r="P295" s="19" t="s">
        <v>289</v>
      </c>
      <c r="Q295" s="19" t="s">
        <v>287</v>
      </c>
      <c r="R295" s="19" t="s">
        <v>249</v>
      </c>
      <c r="S295" s="19" t="s">
        <v>249</v>
      </c>
      <c r="T295" s="19" t="s">
        <v>286</v>
      </c>
    </row>
    <row r="296" spans="1:20" x14ac:dyDescent="0.2">
      <c r="A296" s="1">
        <v>46034</v>
      </c>
      <c r="B296" s="2">
        <v>0.79166666666666663</v>
      </c>
      <c r="C296" s="19" t="s">
        <v>26</v>
      </c>
      <c r="D296" s="19" t="s">
        <v>25</v>
      </c>
      <c r="E296" s="19" t="s">
        <v>26</v>
      </c>
      <c r="F296">
        <v>4</v>
      </c>
      <c r="G296">
        <v>3</v>
      </c>
      <c r="H296">
        <v>0.63759999999999994</v>
      </c>
      <c r="I296" s="19" t="s">
        <v>249</v>
      </c>
      <c r="J296" s="19" t="s">
        <v>25</v>
      </c>
      <c r="K296">
        <v>3</v>
      </c>
      <c r="L296">
        <v>2</v>
      </c>
      <c r="M296">
        <v>-0.36</v>
      </c>
      <c r="N296" s="19" t="s">
        <v>26</v>
      </c>
      <c r="O296" s="19" t="s">
        <v>289</v>
      </c>
      <c r="P296" s="19" t="s">
        <v>291</v>
      </c>
      <c r="Q296" s="19" t="s">
        <v>287</v>
      </c>
      <c r="R296" s="19" t="s">
        <v>248</v>
      </c>
      <c r="S296" s="19" t="s">
        <v>249</v>
      </c>
      <c r="T296" s="19" t="s">
        <v>286</v>
      </c>
    </row>
    <row r="297" spans="1:20" x14ac:dyDescent="0.2">
      <c r="A297" s="1">
        <v>46034</v>
      </c>
      <c r="B297" s="2">
        <v>0.79166666666666663</v>
      </c>
      <c r="C297" s="19" t="s">
        <v>27</v>
      </c>
      <c r="D297" s="19" t="s">
        <v>37</v>
      </c>
      <c r="E297" s="19" t="s">
        <v>37</v>
      </c>
      <c r="F297">
        <v>2</v>
      </c>
      <c r="G297">
        <v>5</v>
      </c>
      <c r="H297">
        <v>0.94599999999999995</v>
      </c>
      <c r="I297" s="19" t="s">
        <v>249</v>
      </c>
      <c r="J297" s="19" t="s">
        <v>37</v>
      </c>
      <c r="K297">
        <v>3</v>
      </c>
      <c r="L297">
        <v>2</v>
      </c>
      <c r="M297">
        <v>-0.72</v>
      </c>
      <c r="N297" s="19" t="s">
        <v>37</v>
      </c>
      <c r="O297" s="19" t="s">
        <v>287</v>
      </c>
      <c r="P297" s="19" t="s">
        <v>283</v>
      </c>
      <c r="Q297" s="19" t="s">
        <v>285</v>
      </c>
      <c r="R297" s="19" t="s">
        <v>248</v>
      </c>
      <c r="S297" s="19" t="s">
        <v>248</v>
      </c>
      <c r="T297" s="19" t="s">
        <v>286</v>
      </c>
    </row>
    <row r="298" spans="1:20" x14ac:dyDescent="0.2">
      <c r="A298" s="1">
        <v>46034</v>
      </c>
      <c r="B298" s="2">
        <v>0.91666666666666663</v>
      </c>
      <c r="C298" s="19" t="s">
        <v>13</v>
      </c>
      <c r="D298" s="19" t="s">
        <v>39</v>
      </c>
      <c r="E298" s="19" t="s">
        <v>13</v>
      </c>
      <c r="F298">
        <v>5</v>
      </c>
      <c r="G298">
        <v>4</v>
      </c>
      <c r="H298">
        <v>0.53180000000000005</v>
      </c>
      <c r="I298" s="19" t="s">
        <v>249</v>
      </c>
      <c r="J298" s="19" t="s">
        <v>39</v>
      </c>
      <c r="K298">
        <v>3</v>
      </c>
      <c r="L298">
        <v>2</v>
      </c>
      <c r="M298">
        <v>-0.52</v>
      </c>
      <c r="N298" s="19" t="s">
        <v>39</v>
      </c>
      <c r="O298" s="19" t="s">
        <v>287</v>
      </c>
      <c r="P298" s="19" t="s">
        <v>291</v>
      </c>
      <c r="Q298" s="19" t="s">
        <v>285</v>
      </c>
      <c r="R298" s="19" t="s">
        <v>249</v>
      </c>
      <c r="S298" s="19" t="s">
        <v>248</v>
      </c>
      <c r="T298" s="19" t="s">
        <v>286</v>
      </c>
    </row>
    <row r="299" spans="1:20" x14ac:dyDescent="0.2">
      <c r="A299" s="1">
        <v>46034</v>
      </c>
      <c r="B299" s="2">
        <v>0.85416666666666663</v>
      </c>
      <c r="C299" s="19" t="s">
        <v>10</v>
      </c>
      <c r="D299" s="19" t="s">
        <v>17</v>
      </c>
      <c r="E299" s="19" t="s">
        <v>10</v>
      </c>
      <c r="F299">
        <v>4</v>
      </c>
      <c r="G299">
        <v>3</v>
      </c>
      <c r="H299">
        <v>0.51800000000000002</v>
      </c>
      <c r="I299" s="19" t="s">
        <v>249</v>
      </c>
      <c r="J299" s="19" t="s">
        <v>17</v>
      </c>
      <c r="K299">
        <v>3</v>
      </c>
      <c r="L299">
        <v>2</v>
      </c>
      <c r="M299">
        <v>-0.22</v>
      </c>
      <c r="N299" s="19" t="s">
        <v>17</v>
      </c>
      <c r="O299" s="19" t="s">
        <v>287</v>
      </c>
      <c r="P299" s="19" t="s">
        <v>289</v>
      </c>
      <c r="Q299" s="19" t="s">
        <v>285</v>
      </c>
      <c r="R299" s="19" t="s">
        <v>249</v>
      </c>
      <c r="S299" s="19" t="s">
        <v>248</v>
      </c>
      <c r="T299" s="19" t="s">
        <v>286</v>
      </c>
    </row>
    <row r="300" spans="1:20" x14ac:dyDescent="0.2">
      <c r="A300" s="1">
        <v>46034</v>
      </c>
      <c r="B300" s="2">
        <v>0.83333333333333337</v>
      </c>
      <c r="C300" s="19" t="s">
        <v>34</v>
      </c>
      <c r="D300" s="19" t="s">
        <v>24</v>
      </c>
      <c r="E300" s="19" t="s">
        <v>34</v>
      </c>
      <c r="F300">
        <v>4</v>
      </c>
      <c r="G300">
        <v>3</v>
      </c>
      <c r="H300">
        <v>0.62450000000000006</v>
      </c>
      <c r="I300" s="19" t="s">
        <v>248</v>
      </c>
      <c r="J300" s="19" t="s">
        <v>34</v>
      </c>
      <c r="K300">
        <v>3</v>
      </c>
      <c r="L300">
        <v>2</v>
      </c>
      <c r="M300">
        <v>0.91</v>
      </c>
      <c r="N300" s="19" t="s">
        <v>24</v>
      </c>
      <c r="O300" s="19" t="s">
        <v>284</v>
      </c>
      <c r="P300" s="19" t="s">
        <v>283</v>
      </c>
      <c r="Q300" s="19" t="s">
        <v>285</v>
      </c>
      <c r="R300" s="19" t="s">
        <v>249</v>
      </c>
      <c r="S300" s="19" t="s">
        <v>249</v>
      </c>
      <c r="T300" s="19" t="s">
        <v>286</v>
      </c>
    </row>
    <row r="301" spans="1:20" x14ac:dyDescent="0.2">
      <c r="A301" s="1">
        <v>46035</v>
      </c>
      <c r="B301" s="2">
        <v>0.91666666666666663</v>
      </c>
      <c r="C301" s="19" t="s">
        <v>55</v>
      </c>
      <c r="D301" s="19" t="s">
        <v>19</v>
      </c>
      <c r="E301" s="19" t="s">
        <v>55</v>
      </c>
      <c r="F301">
        <v>4</v>
      </c>
      <c r="G301">
        <v>2</v>
      </c>
      <c r="H301">
        <v>0.7389</v>
      </c>
      <c r="I301" s="19" t="s">
        <v>249</v>
      </c>
      <c r="J301" s="19" t="s">
        <v>55</v>
      </c>
      <c r="K301">
        <v>3</v>
      </c>
      <c r="L301">
        <v>2</v>
      </c>
      <c r="M301">
        <v>0.11</v>
      </c>
      <c r="N301" s="19" t="s">
        <v>55</v>
      </c>
      <c r="O301" s="19" t="s">
        <v>288</v>
      </c>
      <c r="P301" s="19" t="s">
        <v>287</v>
      </c>
      <c r="Q301" s="19" t="s">
        <v>285</v>
      </c>
      <c r="R301" s="19" t="s">
        <v>248</v>
      </c>
      <c r="S301" s="19" t="s">
        <v>248</v>
      </c>
      <c r="T301" s="19" t="s">
        <v>286</v>
      </c>
    </row>
    <row r="302" spans="1:20" x14ac:dyDescent="0.2">
      <c r="A302" s="1">
        <v>46035</v>
      </c>
      <c r="B302" s="2">
        <v>0.83333333333333337</v>
      </c>
      <c r="C302" s="19" t="s">
        <v>40</v>
      </c>
      <c r="D302" s="19" t="s">
        <v>30</v>
      </c>
      <c r="E302" s="19" t="s">
        <v>30</v>
      </c>
      <c r="F302">
        <v>3</v>
      </c>
      <c r="G302">
        <v>4</v>
      </c>
      <c r="H302">
        <v>0.52470000000000006</v>
      </c>
      <c r="I302" s="19" t="s">
        <v>249</v>
      </c>
      <c r="J302" s="19" t="s">
        <v>30</v>
      </c>
      <c r="K302">
        <v>3</v>
      </c>
      <c r="L302">
        <v>2</v>
      </c>
      <c r="M302">
        <v>-0.37</v>
      </c>
      <c r="N302" s="19" t="s">
        <v>40</v>
      </c>
      <c r="O302" s="19" t="s">
        <v>283</v>
      </c>
      <c r="P302" s="19" t="s">
        <v>289</v>
      </c>
      <c r="Q302" s="19" t="s">
        <v>285</v>
      </c>
      <c r="R302" s="19" t="s">
        <v>249</v>
      </c>
      <c r="S302" s="19" t="s">
        <v>249</v>
      </c>
      <c r="T302" s="19" t="s">
        <v>286</v>
      </c>
    </row>
    <row r="303" spans="1:20" x14ac:dyDescent="0.2">
      <c r="A303" s="1">
        <v>46035</v>
      </c>
      <c r="B303" s="2">
        <v>0.79166666666666663</v>
      </c>
      <c r="C303" s="19" t="s">
        <v>36</v>
      </c>
      <c r="D303" s="19" t="s">
        <v>38</v>
      </c>
      <c r="E303" s="19" t="s">
        <v>38</v>
      </c>
      <c r="F303">
        <v>3</v>
      </c>
      <c r="G303">
        <v>4</v>
      </c>
      <c r="H303">
        <v>0.51249999999999996</v>
      </c>
      <c r="I303" s="19" t="s">
        <v>248</v>
      </c>
      <c r="J303" s="19" t="s">
        <v>36</v>
      </c>
      <c r="K303">
        <v>3</v>
      </c>
      <c r="L303">
        <v>2</v>
      </c>
      <c r="M303">
        <v>0.81</v>
      </c>
      <c r="N303" s="19" t="s">
        <v>36</v>
      </c>
      <c r="O303" s="19" t="s">
        <v>284</v>
      </c>
      <c r="P303" s="19" t="s">
        <v>287</v>
      </c>
      <c r="Q303" s="19" t="s">
        <v>285</v>
      </c>
      <c r="R303" s="19" t="s">
        <v>249</v>
      </c>
      <c r="S303" s="19" t="s">
        <v>248</v>
      </c>
      <c r="T303" s="19" t="s">
        <v>286</v>
      </c>
    </row>
    <row r="304" spans="1:20" x14ac:dyDescent="0.2">
      <c r="A304" s="1">
        <v>46035</v>
      </c>
      <c r="B304" s="2">
        <v>0.79166666666666663</v>
      </c>
      <c r="C304" s="19" t="s">
        <v>14</v>
      </c>
      <c r="D304" s="19" t="s">
        <v>37</v>
      </c>
      <c r="E304" s="19" t="s">
        <v>37</v>
      </c>
      <c r="F304">
        <v>2</v>
      </c>
      <c r="G304">
        <v>6</v>
      </c>
      <c r="H304">
        <v>0.95299999999999996</v>
      </c>
      <c r="I304" s="19" t="s">
        <v>249</v>
      </c>
      <c r="J304" s="19" t="s">
        <v>37</v>
      </c>
      <c r="K304">
        <v>3</v>
      </c>
      <c r="L304">
        <v>2</v>
      </c>
      <c r="M304">
        <v>-0.85</v>
      </c>
      <c r="N304" s="19" t="s">
        <v>37</v>
      </c>
      <c r="O304" s="19" t="s">
        <v>287</v>
      </c>
      <c r="P304" s="19" t="s">
        <v>284</v>
      </c>
      <c r="Q304" s="19" t="s">
        <v>287</v>
      </c>
      <c r="R304" s="19" t="s">
        <v>248</v>
      </c>
      <c r="S304" s="19" t="s">
        <v>248</v>
      </c>
      <c r="T304" s="19" t="s">
        <v>286</v>
      </c>
    </row>
    <row r="305" spans="1:20" x14ac:dyDescent="0.2">
      <c r="A305" s="1">
        <v>46035</v>
      </c>
      <c r="B305" s="2">
        <v>0.79166666666666663</v>
      </c>
      <c r="C305" s="19" t="s">
        <v>22</v>
      </c>
      <c r="D305" s="19" t="s">
        <v>18</v>
      </c>
      <c r="E305" s="19" t="s">
        <v>18</v>
      </c>
      <c r="F305">
        <v>3</v>
      </c>
      <c r="G305">
        <v>4</v>
      </c>
      <c r="H305">
        <v>0.74860000000000004</v>
      </c>
      <c r="I305" s="19" t="s">
        <v>249</v>
      </c>
      <c r="J305" s="19" t="s">
        <v>22</v>
      </c>
      <c r="K305">
        <v>3</v>
      </c>
      <c r="L305">
        <v>2</v>
      </c>
      <c r="M305">
        <v>0.37</v>
      </c>
      <c r="N305" s="19" t="s">
        <v>22</v>
      </c>
      <c r="O305" s="19" t="s">
        <v>291</v>
      </c>
      <c r="P305" s="19" t="s">
        <v>284</v>
      </c>
      <c r="Q305" s="19" t="s">
        <v>287</v>
      </c>
      <c r="R305" s="19" t="s">
        <v>249</v>
      </c>
      <c r="S305" s="19" t="s">
        <v>248</v>
      </c>
      <c r="T305" s="19" t="s">
        <v>286</v>
      </c>
    </row>
    <row r="306" spans="1:20" x14ac:dyDescent="0.2">
      <c r="A306" s="1">
        <v>46035</v>
      </c>
      <c r="B306" s="2">
        <v>0.8125</v>
      </c>
      <c r="C306" s="19" t="s">
        <v>21</v>
      </c>
      <c r="D306" s="19" t="s">
        <v>26</v>
      </c>
      <c r="E306" s="19" t="s">
        <v>21</v>
      </c>
      <c r="F306">
        <v>4</v>
      </c>
      <c r="G306">
        <v>3</v>
      </c>
      <c r="H306">
        <v>0.56379999999999997</v>
      </c>
      <c r="I306" s="19" t="s">
        <v>249</v>
      </c>
      <c r="J306" s="19" t="s">
        <v>21</v>
      </c>
      <c r="K306">
        <v>3</v>
      </c>
      <c r="L306">
        <v>2</v>
      </c>
      <c r="M306">
        <v>0.2</v>
      </c>
      <c r="N306" s="19" t="s">
        <v>21</v>
      </c>
      <c r="O306" s="19" t="s">
        <v>291</v>
      </c>
      <c r="P306" s="19" t="s">
        <v>285</v>
      </c>
      <c r="Q306" s="19" t="s">
        <v>285</v>
      </c>
      <c r="R306" s="19" t="s">
        <v>248</v>
      </c>
      <c r="S306" s="19" t="s">
        <v>248</v>
      </c>
      <c r="T306" s="19" t="s">
        <v>286</v>
      </c>
    </row>
    <row r="307" spans="1:20" x14ac:dyDescent="0.2">
      <c r="A307" s="1">
        <v>46035</v>
      </c>
      <c r="B307" s="2">
        <v>0.83333333333333337</v>
      </c>
      <c r="C307" s="19" t="s">
        <v>29</v>
      </c>
      <c r="D307" s="19" t="s">
        <v>17</v>
      </c>
      <c r="E307" s="19" t="s">
        <v>29</v>
      </c>
      <c r="F307">
        <v>4</v>
      </c>
      <c r="G307">
        <v>3</v>
      </c>
      <c r="H307">
        <v>0.67030000000000001</v>
      </c>
      <c r="I307" s="19" t="s">
        <v>249</v>
      </c>
      <c r="J307" s="19" t="s">
        <v>17</v>
      </c>
      <c r="K307">
        <v>3</v>
      </c>
      <c r="L307">
        <v>2</v>
      </c>
      <c r="M307">
        <v>-0.42</v>
      </c>
      <c r="N307" s="19" t="s">
        <v>29</v>
      </c>
      <c r="O307" s="19" t="s">
        <v>289</v>
      </c>
      <c r="P307" s="19" t="s">
        <v>291</v>
      </c>
      <c r="Q307" s="19" t="s">
        <v>287</v>
      </c>
      <c r="R307" s="19" t="s">
        <v>248</v>
      </c>
      <c r="S307" s="19" t="s">
        <v>249</v>
      </c>
      <c r="T307" s="19" t="s">
        <v>286</v>
      </c>
    </row>
    <row r="308" spans="1:20" x14ac:dyDescent="0.2">
      <c r="A308" s="1">
        <v>46035</v>
      </c>
      <c r="B308" s="2">
        <v>0.91666666666666663</v>
      </c>
      <c r="C308" s="19" t="s">
        <v>31</v>
      </c>
      <c r="D308" s="19" t="s">
        <v>39</v>
      </c>
      <c r="E308" s="19" t="s">
        <v>39</v>
      </c>
      <c r="F308">
        <v>3</v>
      </c>
      <c r="G308">
        <v>7</v>
      </c>
      <c r="H308">
        <v>0.84099999999999997</v>
      </c>
      <c r="I308" s="19" t="s">
        <v>249</v>
      </c>
      <c r="J308" s="19" t="s">
        <v>39</v>
      </c>
      <c r="K308">
        <v>3</v>
      </c>
      <c r="L308">
        <v>2</v>
      </c>
      <c r="M308">
        <v>-0.84</v>
      </c>
      <c r="N308" s="19" t="s">
        <v>31</v>
      </c>
      <c r="O308" s="19" t="s">
        <v>291</v>
      </c>
      <c r="P308" s="19" t="s">
        <v>287</v>
      </c>
      <c r="Q308" s="19" t="s">
        <v>285</v>
      </c>
      <c r="R308" s="19" t="s">
        <v>249</v>
      </c>
      <c r="S308" s="19" t="s">
        <v>249</v>
      </c>
      <c r="T308" s="19" t="s">
        <v>286</v>
      </c>
    </row>
    <row r="309" spans="1:20" x14ac:dyDescent="0.2">
      <c r="A309" s="1">
        <v>46035</v>
      </c>
      <c r="B309" s="2">
        <v>0.8125</v>
      </c>
      <c r="C309" s="19" t="s">
        <v>35</v>
      </c>
      <c r="D309" s="19" t="s">
        <v>25</v>
      </c>
      <c r="E309" s="19" t="s">
        <v>25</v>
      </c>
      <c r="F309">
        <v>2</v>
      </c>
      <c r="G309">
        <v>4</v>
      </c>
      <c r="H309">
        <v>0.88229999999999997</v>
      </c>
      <c r="I309" s="19" t="s">
        <v>249</v>
      </c>
      <c r="J309" s="19" t="s">
        <v>25</v>
      </c>
      <c r="K309">
        <v>3</v>
      </c>
      <c r="L309">
        <v>2</v>
      </c>
      <c r="M309">
        <v>-1.41</v>
      </c>
      <c r="N309" s="19" t="s">
        <v>35</v>
      </c>
      <c r="O309" s="19" t="s">
        <v>291</v>
      </c>
      <c r="P309" s="19" t="s">
        <v>285</v>
      </c>
      <c r="Q309" s="19" t="s">
        <v>285</v>
      </c>
      <c r="R309" s="19" t="s">
        <v>249</v>
      </c>
      <c r="S309" s="19" t="s">
        <v>249</v>
      </c>
      <c r="T309" s="19" t="s">
        <v>286</v>
      </c>
    </row>
    <row r="310" spans="1:20" x14ac:dyDescent="0.2">
      <c r="A310" s="1">
        <v>46035</v>
      </c>
      <c r="B310" s="2">
        <v>0.79166666666666663</v>
      </c>
      <c r="C310" s="19" t="s">
        <v>28</v>
      </c>
      <c r="D310" s="19" t="s">
        <v>16</v>
      </c>
      <c r="E310" s="19" t="s">
        <v>28</v>
      </c>
      <c r="F310">
        <v>4</v>
      </c>
      <c r="G310">
        <v>3</v>
      </c>
      <c r="H310">
        <v>0.75800000000000001</v>
      </c>
      <c r="I310" s="19" t="s">
        <v>249</v>
      </c>
      <c r="J310" s="19" t="s">
        <v>28</v>
      </c>
      <c r="K310">
        <v>3</v>
      </c>
      <c r="L310">
        <v>2</v>
      </c>
      <c r="M310">
        <v>0.3</v>
      </c>
      <c r="N310" s="19" t="s">
        <v>28</v>
      </c>
      <c r="O310" s="19" t="s">
        <v>283</v>
      </c>
      <c r="P310" s="19" t="s">
        <v>291</v>
      </c>
      <c r="Q310" s="19" t="s">
        <v>285</v>
      </c>
      <c r="R310" s="19" t="s">
        <v>248</v>
      </c>
      <c r="S310" s="19" t="s">
        <v>248</v>
      </c>
      <c r="T310" s="19" t="s">
        <v>286</v>
      </c>
    </row>
    <row r="311" spans="1:20" x14ac:dyDescent="0.2">
      <c r="A311" s="1">
        <v>46036</v>
      </c>
      <c r="B311" s="2">
        <v>0.8125</v>
      </c>
      <c r="C311" s="19" t="s">
        <v>15</v>
      </c>
      <c r="D311" s="19" t="s">
        <v>36</v>
      </c>
      <c r="E311" s="19" t="s">
        <v>36</v>
      </c>
      <c r="F311">
        <v>3</v>
      </c>
      <c r="G311">
        <v>4</v>
      </c>
      <c r="H311">
        <v>0.58830000000000005</v>
      </c>
      <c r="I311" s="19" t="s">
        <v>249</v>
      </c>
      <c r="J311" s="19" t="s">
        <v>15</v>
      </c>
      <c r="K311">
        <v>3</v>
      </c>
      <c r="L311">
        <v>2</v>
      </c>
      <c r="M311">
        <v>0.01</v>
      </c>
      <c r="N311" s="19" t="s">
        <v>36</v>
      </c>
      <c r="O311" s="19" t="s">
        <v>289</v>
      </c>
      <c r="P311" s="19" t="s">
        <v>1494</v>
      </c>
      <c r="Q311" s="19" t="s">
        <v>285</v>
      </c>
      <c r="R311" s="19" t="s">
        <v>248</v>
      </c>
      <c r="S311" s="19" t="s">
        <v>249</v>
      </c>
      <c r="T311" s="19" t="s">
        <v>286</v>
      </c>
    </row>
    <row r="312" spans="1:20" x14ac:dyDescent="0.2">
      <c r="A312" s="1">
        <v>46036</v>
      </c>
      <c r="B312" s="2">
        <v>0.8125</v>
      </c>
      <c r="C312" s="19" t="s">
        <v>23</v>
      </c>
      <c r="D312" s="19" t="s">
        <v>27</v>
      </c>
      <c r="E312" s="19" t="s">
        <v>23</v>
      </c>
      <c r="F312">
        <v>4</v>
      </c>
      <c r="G312">
        <v>3</v>
      </c>
      <c r="H312">
        <v>0.81810000000000005</v>
      </c>
      <c r="I312" s="19" t="s">
        <v>249</v>
      </c>
      <c r="J312" s="19" t="s">
        <v>23</v>
      </c>
      <c r="K312">
        <v>3</v>
      </c>
      <c r="L312">
        <v>2</v>
      </c>
      <c r="M312">
        <v>0.23</v>
      </c>
      <c r="N312" s="19" t="s">
        <v>23</v>
      </c>
      <c r="O312" s="19" t="s">
        <v>283</v>
      </c>
      <c r="P312" s="19" t="s">
        <v>284</v>
      </c>
      <c r="Q312" s="19" t="s">
        <v>285</v>
      </c>
      <c r="R312" s="19" t="s">
        <v>248</v>
      </c>
      <c r="S312" s="19" t="s">
        <v>248</v>
      </c>
      <c r="T312" s="19" t="s">
        <v>286</v>
      </c>
    </row>
    <row r="313" spans="1:20" x14ac:dyDescent="0.2">
      <c r="A313" s="1">
        <v>46036</v>
      </c>
      <c r="B313" s="2">
        <v>0.91666666666666663</v>
      </c>
      <c r="C313" s="19" t="s">
        <v>13</v>
      </c>
      <c r="D313" s="19" t="s">
        <v>20</v>
      </c>
      <c r="E313" s="19" t="s">
        <v>20</v>
      </c>
      <c r="F313">
        <v>2</v>
      </c>
      <c r="G313">
        <v>3</v>
      </c>
      <c r="H313">
        <v>0.84589999999999999</v>
      </c>
      <c r="I313" s="19" t="s">
        <v>249</v>
      </c>
      <c r="J313" s="19" t="s">
        <v>20</v>
      </c>
      <c r="K313">
        <v>3</v>
      </c>
      <c r="L313">
        <v>2</v>
      </c>
      <c r="M313">
        <v>-0.12</v>
      </c>
      <c r="N313" s="19" t="s">
        <v>20</v>
      </c>
      <c r="O313" s="19" t="s">
        <v>284</v>
      </c>
      <c r="P313" s="19" t="s">
        <v>291</v>
      </c>
      <c r="Q313" s="19" t="s">
        <v>287</v>
      </c>
      <c r="R313" s="19" t="s">
        <v>248</v>
      </c>
      <c r="S313" s="19" t="s">
        <v>248</v>
      </c>
      <c r="T313" s="19" t="s">
        <v>286</v>
      </c>
    </row>
    <row r="314" spans="1:20" x14ac:dyDescent="0.2">
      <c r="A314" s="1">
        <v>46036</v>
      </c>
      <c r="B314" s="2">
        <v>0.79166666666666663</v>
      </c>
      <c r="C314" s="19" t="s">
        <v>24</v>
      </c>
      <c r="D314" s="19" t="s">
        <v>32</v>
      </c>
      <c r="E314" s="19" t="s">
        <v>32</v>
      </c>
      <c r="F314">
        <v>3</v>
      </c>
      <c r="G314">
        <v>4</v>
      </c>
      <c r="H314">
        <v>0.54290000000000005</v>
      </c>
      <c r="I314" s="19" t="s">
        <v>249</v>
      </c>
      <c r="J314" s="19" t="s">
        <v>24</v>
      </c>
      <c r="K314">
        <v>3</v>
      </c>
      <c r="L314">
        <v>2</v>
      </c>
      <c r="M314">
        <v>0.03</v>
      </c>
      <c r="N314" s="19" t="s">
        <v>24</v>
      </c>
      <c r="O314" s="19" t="s">
        <v>291</v>
      </c>
      <c r="P314" s="19" t="s">
        <v>284</v>
      </c>
      <c r="Q314" s="19" t="s">
        <v>287</v>
      </c>
      <c r="R314" s="19" t="s">
        <v>249</v>
      </c>
      <c r="S314" s="19" t="s">
        <v>248</v>
      </c>
      <c r="T314" s="19" t="s">
        <v>286</v>
      </c>
    </row>
    <row r="315" spans="1:20" x14ac:dyDescent="0.2">
      <c r="A315" s="1">
        <v>46037</v>
      </c>
      <c r="B315" s="2">
        <v>0.89583333333333337</v>
      </c>
      <c r="C315" s="19" t="s">
        <v>20</v>
      </c>
      <c r="D315" s="19" t="s">
        <v>19</v>
      </c>
      <c r="E315" s="19" t="s">
        <v>19</v>
      </c>
      <c r="F315">
        <v>3</v>
      </c>
      <c r="G315">
        <v>4</v>
      </c>
      <c r="H315">
        <v>0.51100000000000001</v>
      </c>
      <c r="I315" s="19" t="s">
        <v>249</v>
      </c>
      <c r="J315" s="19" t="s">
        <v>20</v>
      </c>
      <c r="K315">
        <v>3</v>
      </c>
      <c r="L315">
        <v>2</v>
      </c>
      <c r="M315">
        <v>0.23</v>
      </c>
      <c r="N315" s="19" t="s">
        <v>20</v>
      </c>
      <c r="O315" s="19" t="s">
        <v>288</v>
      </c>
      <c r="P315" s="19" t="s">
        <v>283</v>
      </c>
      <c r="Q315" s="19" t="s">
        <v>287</v>
      </c>
      <c r="R315" s="19" t="s">
        <v>249</v>
      </c>
      <c r="S315" s="19" t="s">
        <v>248</v>
      </c>
      <c r="T315" s="19" t="s">
        <v>286</v>
      </c>
    </row>
    <row r="316" spans="1:20" x14ac:dyDescent="0.2">
      <c r="A316" s="1">
        <v>46037</v>
      </c>
      <c r="B316" s="2">
        <v>0.875</v>
      </c>
      <c r="C316" s="19" t="s">
        <v>17</v>
      </c>
      <c r="D316" s="19" t="s">
        <v>30</v>
      </c>
      <c r="E316" s="19" t="s">
        <v>30</v>
      </c>
      <c r="F316">
        <v>3</v>
      </c>
      <c r="G316">
        <v>4</v>
      </c>
      <c r="H316">
        <v>0.53639999999999999</v>
      </c>
      <c r="I316" s="19" t="s">
        <v>249</v>
      </c>
      <c r="J316" s="19" t="s">
        <v>30</v>
      </c>
      <c r="K316">
        <v>3</v>
      </c>
      <c r="L316">
        <v>2</v>
      </c>
      <c r="M316">
        <v>-0.12</v>
      </c>
      <c r="N316" s="19" t="s">
        <v>30</v>
      </c>
      <c r="O316" s="19" t="s">
        <v>285</v>
      </c>
      <c r="P316" s="19" t="s">
        <v>287</v>
      </c>
      <c r="Q316" s="19" t="s">
        <v>285</v>
      </c>
      <c r="R316" s="19" t="s">
        <v>248</v>
      </c>
      <c r="S316" s="19" t="s">
        <v>248</v>
      </c>
      <c r="T316" s="19" t="s">
        <v>286</v>
      </c>
    </row>
    <row r="317" spans="1:20" x14ac:dyDescent="0.2">
      <c r="A317" s="1">
        <v>46037</v>
      </c>
      <c r="B317" s="2">
        <v>0.79166666666666663</v>
      </c>
      <c r="C317" s="19" t="s">
        <v>28</v>
      </c>
      <c r="D317" s="19" t="s">
        <v>38</v>
      </c>
      <c r="E317" s="19" t="s">
        <v>28</v>
      </c>
      <c r="F317">
        <v>4</v>
      </c>
      <c r="G317">
        <v>3</v>
      </c>
      <c r="H317">
        <v>0.62949999999999995</v>
      </c>
      <c r="I317" s="19" t="s">
        <v>249</v>
      </c>
      <c r="J317" s="19" t="s">
        <v>28</v>
      </c>
      <c r="K317">
        <v>3</v>
      </c>
      <c r="L317">
        <v>2</v>
      </c>
      <c r="M317">
        <v>0.72</v>
      </c>
      <c r="N317" s="19" t="s">
        <v>28</v>
      </c>
      <c r="O317" s="19" t="s">
        <v>289</v>
      </c>
      <c r="P317" s="19" t="s">
        <v>287</v>
      </c>
      <c r="Q317" s="19" t="s">
        <v>285</v>
      </c>
      <c r="R317" s="19" t="s">
        <v>248</v>
      </c>
      <c r="S317" s="19" t="s">
        <v>248</v>
      </c>
      <c r="T317" s="19" t="s">
        <v>286</v>
      </c>
    </row>
    <row r="318" spans="1:20" x14ac:dyDescent="0.2">
      <c r="A318" s="1">
        <v>46037</v>
      </c>
      <c r="B318" s="2">
        <v>0.85416666666666663</v>
      </c>
      <c r="C318" s="19" t="s">
        <v>10</v>
      </c>
      <c r="D318" s="19" t="s">
        <v>16</v>
      </c>
      <c r="E318" s="19" t="s">
        <v>10</v>
      </c>
      <c r="F318">
        <v>4</v>
      </c>
      <c r="G318">
        <v>3</v>
      </c>
      <c r="H318">
        <v>0.77349999999999997</v>
      </c>
      <c r="I318" s="19" t="s">
        <v>249</v>
      </c>
      <c r="J318" s="19" t="s">
        <v>10</v>
      </c>
      <c r="K318">
        <v>3</v>
      </c>
      <c r="L318">
        <v>2</v>
      </c>
      <c r="M318">
        <v>0.25</v>
      </c>
      <c r="N318" s="19" t="s">
        <v>16</v>
      </c>
      <c r="O318" s="19" t="s">
        <v>287</v>
      </c>
      <c r="P318" s="19" t="s">
        <v>291</v>
      </c>
      <c r="Q318" s="19" t="s">
        <v>285</v>
      </c>
      <c r="R318" s="19" t="s">
        <v>249</v>
      </c>
      <c r="S318" s="19" t="s">
        <v>249</v>
      </c>
      <c r="T318" s="19" t="s">
        <v>286</v>
      </c>
    </row>
    <row r="319" spans="1:20" x14ac:dyDescent="0.2">
      <c r="A319" s="1">
        <v>46037</v>
      </c>
      <c r="B319" s="2">
        <v>0.79166666666666663</v>
      </c>
      <c r="C319" s="19" t="s">
        <v>14</v>
      </c>
      <c r="D319" s="19" t="s">
        <v>27</v>
      </c>
      <c r="E319" s="19" t="s">
        <v>27</v>
      </c>
      <c r="F319">
        <v>4</v>
      </c>
      <c r="G319">
        <v>5</v>
      </c>
      <c r="H319">
        <v>0.52329999999999999</v>
      </c>
      <c r="I319" s="19" t="s">
        <v>249</v>
      </c>
      <c r="J319" s="19" t="s">
        <v>14</v>
      </c>
      <c r="K319">
        <v>3</v>
      </c>
      <c r="L319">
        <v>2</v>
      </c>
      <c r="M319">
        <v>0.22</v>
      </c>
      <c r="N319" s="19" t="s">
        <v>14</v>
      </c>
      <c r="O319" s="19" t="s">
        <v>288</v>
      </c>
      <c r="P319" s="19" t="s">
        <v>291</v>
      </c>
      <c r="Q319" s="19" t="s">
        <v>285</v>
      </c>
      <c r="R319" s="19" t="s">
        <v>249</v>
      </c>
      <c r="S319" s="19" t="s">
        <v>248</v>
      </c>
      <c r="T319" s="19" t="s">
        <v>286</v>
      </c>
    </row>
    <row r="320" spans="1:20" x14ac:dyDescent="0.2">
      <c r="A320" s="1">
        <v>46037</v>
      </c>
      <c r="B320" s="2">
        <v>0.79166666666666663</v>
      </c>
      <c r="C320" s="19" t="s">
        <v>23</v>
      </c>
      <c r="D320" s="19" t="s">
        <v>18</v>
      </c>
      <c r="E320" s="19" t="s">
        <v>23</v>
      </c>
      <c r="F320">
        <v>5</v>
      </c>
      <c r="G320">
        <v>4</v>
      </c>
      <c r="H320">
        <v>0.56359999999999999</v>
      </c>
      <c r="I320" s="19" t="s">
        <v>249</v>
      </c>
      <c r="J320" s="19" t="s">
        <v>23</v>
      </c>
      <c r="K320">
        <v>3</v>
      </c>
      <c r="L320">
        <v>2</v>
      </c>
      <c r="M320">
        <v>0.2</v>
      </c>
      <c r="N320" s="19" t="s">
        <v>23</v>
      </c>
      <c r="O320" s="19" t="s">
        <v>283</v>
      </c>
      <c r="P320" s="19" t="s">
        <v>291</v>
      </c>
      <c r="Q320" s="19" t="s">
        <v>285</v>
      </c>
      <c r="R320" s="19" t="s">
        <v>248</v>
      </c>
      <c r="S320" s="19" t="s">
        <v>248</v>
      </c>
      <c r="T320" s="19" t="s">
        <v>286</v>
      </c>
    </row>
    <row r="321" spans="1:20" x14ac:dyDescent="0.2">
      <c r="A321" s="1">
        <v>46037</v>
      </c>
      <c r="B321" s="2">
        <v>0.83333333333333337</v>
      </c>
      <c r="C321" s="19" t="s">
        <v>34</v>
      </c>
      <c r="D321" s="19" t="s">
        <v>40</v>
      </c>
      <c r="E321" s="19" t="s">
        <v>40</v>
      </c>
      <c r="F321">
        <v>3</v>
      </c>
      <c r="G321">
        <v>4</v>
      </c>
      <c r="H321">
        <v>0.62229999999999996</v>
      </c>
      <c r="I321" s="19" t="s">
        <v>248</v>
      </c>
      <c r="J321" s="19" t="s">
        <v>34</v>
      </c>
      <c r="K321">
        <v>3</v>
      </c>
      <c r="L321">
        <v>2</v>
      </c>
      <c r="M321">
        <v>0.63</v>
      </c>
      <c r="N321" s="19" t="s">
        <v>40</v>
      </c>
      <c r="O321" s="19" t="s">
        <v>284</v>
      </c>
      <c r="P321" s="19" t="s">
        <v>288</v>
      </c>
      <c r="Q321" s="19" t="s">
        <v>285</v>
      </c>
      <c r="R321" s="19" t="s">
        <v>248</v>
      </c>
      <c r="S321" s="19" t="s">
        <v>249</v>
      </c>
      <c r="T321" s="19" t="s">
        <v>286</v>
      </c>
    </row>
    <row r="322" spans="1:20" x14ac:dyDescent="0.2">
      <c r="A322" s="1">
        <v>46037</v>
      </c>
      <c r="B322" s="2">
        <v>0.875</v>
      </c>
      <c r="C322" s="19" t="s">
        <v>55</v>
      </c>
      <c r="D322" s="19" t="s">
        <v>39</v>
      </c>
      <c r="E322" s="19" t="s">
        <v>39</v>
      </c>
      <c r="F322">
        <v>3</v>
      </c>
      <c r="G322">
        <v>4</v>
      </c>
      <c r="H322">
        <v>0.56899999999999995</v>
      </c>
      <c r="I322" s="19" t="s">
        <v>249</v>
      </c>
      <c r="J322" s="19" t="s">
        <v>39</v>
      </c>
      <c r="K322">
        <v>3</v>
      </c>
      <c r="L322">
        <v>2</v>
      </c>
      <c r="M322">
        <v>-0.12</v>
      </c>
      <c r="N322" s="19" t="s">
        <v>55</v>
      </c>
      <c r="O322" s="19" t="s">
        <v>284</v>
      </c>
      <c r="P322" s="19" t="s">
        <v>287</v>
      </c>
      <c r="Q322" s="19" t="s">
        <v>285</v>
      </c>
      <c r="R322" s="19" t="s">
        <v>249</v>
      </c>
      <c r="S322" s="19" t="s">
        <v>249</v>
      </c>
      <c r="T322" s="19" t="s">
        <v>286</v>
      </c>
    </row>
    <row r="323" spans="1:20" x14ac:dyDescent="0.2">
      <c r="A323" s="1">
        <v>46037</v>
      </c>
      <c r="B323" s="2">
        <v>0.79166666666666663</v>
      </c>
      <c r="C323" s="19" t="s">
        <v>21</v>
      </c>
      <c r="D323" s="19" t="s">
        <v>32</v>
      </c>
      <c r="E323" s="19" t="s">
        <v>21</v>
      </c>
      <c r="F323">
        <v>3</v>
      </c>
      <c r="G323">
        <v>2</v>
      </c>
      <c r="H323">
        <v>0.71240000000000003</v>
      </c>
      <c r="I323" s="19" t="s">
        <v>249</v>
      </c>
      <c r="J323" s="19" t="s">
        <v>21</v>
      </c>
      <c r="K323">
        <v>3</v>
      </c>
      <c r="L323">
        <v>2</v>
      </c>
      <c r="M323">
        <v>0.53</v>
      </c>
      <c r="N323" s="19" t="s">
        <v>21</v>
      </c>
      <c r="O323" s="19" t="s">
        <v>289</v>
      </c>
      <c r="P323" s="19" t="s">
        <v>284</v>
      </c>
      <c r="Q323" s="19" t="s">
        <v>285</v>
      </c>
      <c r="R323" s="19" t="s">
        <v>248</v>
      </c>
      <c r="S323" s="19" t="s">
        <v>248</v>
      </c>
      <c r="T323" s="19" t="s">
        <v>286</v>
      </c>
    </row>
    <row r="324" spans="1:20" x14ac:dyDescent="0.2">
      <c r="A324" s="1">
        <v>46037</v>
      </c>
      <c r="B324" s="2">
        <v>0.79166666666666663</v>
      </c>
      <c r="C324" s="19" t="s">
        <v>22</v>
      </c>
      <c r="D324" s="19" t="s">
        <v>33</v>
      </c>
      <c r="E324" s="19" t="s">
        <v>22</v>
      </c>
      <c r="F324">
        <v>4</v>
      </c>
      <c r="G324">
        <v>3</v>
      </c>
      <c r="H324">
        <v>0.53859999999999997</v>
      </c>
      <c r="I324" s="19" t="s">
        <v>249</v>
      </c>
      <c r="J324" s="19" t="s">
        <v>22</v>
      </c>
      <c r="K324">
        <v>3</v>
      </c>
      <c r="L324">
        <v>2</v>
      </c>
      <c r="M324">
        <v>0.84</v>
      </c>
      <c r="N324" s="19" t="s">
        <v>33</v>
      </c>
      <c r="O324" s="19" t="s">
        <v>284</v>
      </c>
      <c r="P324" s="19" t="s">
        <v>291</v>
      </c>
      <c r="Q324" s="19" t="s">
        <v>285</v>
      </c>
      <c r="R324" s="19" t="s">
        <v>249</v>
      </c>
      <c r="S324" s="19" t="s">
        <v>249</v>
      </c>
      <c r="T324" s="19" t="s">
        <v>286</v>
      </c>
    </row>
    <row r="325" spans="1:20" x14ac:dyDescent="0.2">
      <c r="A325" s="1">
        <v>46038</v>
      </c>
      <c r="B325" s="2">
        <v>0.83333333333333337</v>
      </c>
      <c r="C325" s="19" t="s">
        <v>35</v>
      </c>
      <c r="D325" s="19" t="s">
        <v>37</v>
      </c>
      <c r="E325" s="19" t="s">
        <v>37</v>
      </c>
      <c r="F325">
        <v>2</v>
      </c>
      <c r="G325">
        <v>4</v>
      </c>
      <c r="H325">
        <v>0.92679999999999996</v>
      </c>
      <c r="I325" s="19" t="s">
        <v>249</v>
      </c>
      <c r="J325" s="19" t="s">
        <v>37</v>
      </c>
      <c r="K325">
        <v>3</v>
      </c>
      <c r="L325">
        <v>2</v>
      </c>
      <c r="M325">
        <v>-1.83</v>
      </c>
      <c r="N325" s="19" t="s">
        <v>35</v>
      </c>
      <c r="O325" s="19" t="s">
        <v>291</v>
      </c>
      <c r="P325" s="19" t="s">
        <v>284</v>
      </c>
      <c r="Q325" s="19" t="s">
        <v>287</v>
      </c>
      <c r="R325" s="19" t="s">
        <v>249</v>
      </c>
      <c r="S325" s="19" t="s">
        <v>249</v>
      </c>
      <c r="T325" s="19" t="s">
        <v>286</v>
      </c>
    </row>
    <row r="326" spans="1:20" x14ac:dyDescent="0.2">
      <c r="A326" s="1">
        <v>46038</v>
      </c>
      <c r="B326" s="2">
        <v>0.9375</v>
      </c>
      <c r="C326" s="19" t="s">
        <v>13</v>
      </c>
      <c r="D326" s="19" t="s">
        <v>31</v>
      </c>
      <c r="E326" s="19" t="s">
        <v>13</v>
      </c>
      <c r="F326">
        <v>4</v>
      </c>
      <c r="G326">
        <v>2</v>
      </c>
      <c r="H326">
        <v>0.76439999999999997</v>
      </c>
      <c r="I326" s="19" t="s">
        <v>249</v>
      </c>
      <c r="J326" s="19" t="s">
        <v>13</v>
      </c>
      <c r="K326">
        <v>3</v>
      </c>
      <c r="L326">
        <v>2</v>
      </c>
      <c r="M326">
        <v>0.28999999999999998</v>
      </c>
      <c r="N326" s="19" t="s">
        <v>31</v>
      </c>
      <c r="O326" s="19" t="s">
        <v>284</v>
      </c>
      <c r="P326" s="19" t="s">
        <v>291</v>
      </c>
      <c r="Q326" s="19" t="s">
        <v>287</v>
      </c>
      <c r="R326" s="19" t="s">
        <v>249</v>
      </c>
      <c r="S326" s="19" t="s">
        <v>249</v>
      </c>
      <c r="T326" s="19" t="s">
        <v>286</v>
      </c>
    </row>
    <row r="327" spans="1:20" x14ac:dyDescent="0.2">
      <c r="A327" s="1">
        <v>46038</v>
      </c>
      <c r="B327" s="2">
        <v>0.875</v>
      </c>
      <c r="C327" s="19" t="s">
        <v>12</v>
      </c>
      <c r="D327" s="19" t="s">
        <v>29</v>
      </c>
      <c r="E327" s="19" t="s">
        <v>12</v>
      </c>
      <c r="F327">
        <v>4</v>
      </c>
      <c r="G327">
        <v>2</v>
      </c>
      <c r="H327">
        <v>0.97899999999999998</v>
      </c>
      <c r="I327" s="19" t="s">
        <v>249</v>
      </c>
      <c r="J327" s="19" t="s">
        <v>12</v>
      </c>
      <c r="K327">
        <v>3</v>
      </c>
      <c r="L327">
        <v>2</v>
      </c>
      <c r="M327">
        <v>2.33</v>
      </c>
      <c r="N327" s="19" t="s">
        <v>29</v>
      </c>
      <c r="O327" s="19" t="s">
        <v>291</v>
      </c>
      <c r="P327" s="19" t="s">
        <v>292</v>
      </c>
      <c r="Q327" s="19" t="s">
        <v>285</v>
      </c>
      <c r="R327" s="19" t="s">
        <v>249</v>
      </c>
      <c r="S327" s="19" t="s">
        <v>249</v>
      </c>
      <c r="T327" s="19" t="s">
        <v>286</v>
      </c>
    </row>
    <row r="328" spans="1:20" x14ac:dyDescent="0.2">
      <c r="A328" s="1">
        <v>46038</v>
      </c>
      <c r="B328" s="2">
        <v>0.79166666666666663</v>
      </c>
      <c r="C328" s="19" t="s">
        <v>25</v>
      </c>
      <c r="D328" s="19" t="s">
        <v>11</v>
      </c>
      <c r="E328" s="19" t="s">
        <v>25</v>
      </c>
      <c r="F328">
        <v>4</v>
      </c>
      <c r="G328">
        <v>3</v>
      </c>
      <c r="H328">
        <v>0.51819999999999999</v>
      </c>
      <c r="I328" s="19" t="s">
        <v>249</v>
      </c>
      <c r="J328" s="19" t="s">
        <v>25</v>
      </c>
      <c r="K328">
        <v>3</v>
      </c>
      <c r="L328">
        <v>2</v>
      </c>
      <c r="M328">
        <v>0.55000000000000004</v>
      </c>
      <c r="N328" s="19" t="s">
        <v>25</v>
      </c>
      <c r="O328" s="19" t="s">
        <v>290</v>
      </c>
      <c r="P328" s="19" t="s">
        <v>287</v>
      </c>
      <c r="Q328" s="19" t="s">
        <v>285</v>
      </c>
      <c r="R328" s="19" t="s">
        <v>248</v>
      </c>
      <c r="S328" s="19" t="s">
        <v>248</v>
      </c>
      <c r="T328" s="19" t="s">
        <v>286</v>
      </c>
    </row>
    <row r="329" spans="1:20" x14ac:dyDescent="0.2">
      <c r="A329" s="1">
        <v>46038</v>
      </c>
      <c r="B329" s="2">
        <v>0.79166666666666663</v>
      </c>
      <c r="C329" s="19" t="s">
        <v>26</v>
      </c>
      <c r="D329" s="19" t="s">
        <v>33</v>
      </c>
      <c r="E329" s="19" t="s">
        <v>26</v>
      </c>
      <c r="F329">
        <v>4</v>
      </c>
      <c r="G329">
        <v>3</v>
      </c>
      <c r="H329">
        <v>0.52869999999999995</v>
      </c>
      <c r="I329" s="19" t="s">
        <v>249</v>
      </c>
      <c r="J329" s="19" t="s">
        <v>26</v>
      </c>
      <c r="K329">
        <v>3</v>
      </c>
      <c r="L329">
        <v>2</v>
      </c>
      <c r="M329">
        <v>0.41</v>
      </c>
      <c r="N329" s="19" t="s">
        <v>26</v>
      </c>
      <c r="O329" s="19" t="s">
        <v>289</v>
      </c>
      <c r="P329" s="19" t="s">
        <v>284</v>
      </c>
      <c r="Q329" s="19" t="s">
        <v>285</v>
      </c>
      <c r="R329" s="19" t="s">
        <v>248</v>
      </c>
      <c r="S329" s="19" t="s">
        <v>248</v>
      </c>
      <c r="T329" s="19" t="s">
        <v>286</v>
      </c>
    </row>
    <row r="330" spans="1:20" x14ac:dyDescent="0.2">
      <c r="A330" s="1">
        <v>46039</v>
      </c>
      <c r="B330" s="2">
        <v>0.91666666666666663</v>
      </c>
      <c r="C330" s="19" t="s">
        <v>31</v>
      </c>
      <c r="D330" s="19" t="s">
        <v>13</v>
      </c>
      <c r="E330" s="19" t="s">
        <v>13</v>
      </c>
      <c r="F330">
        <v>3</v>
      </c>
      <c r="G330">
        <v>4</v>
      </c>
      <c r="H330">
        <v>0.51929999999999998</v>
      </c>
      <c r="I330" s="19" t="s">
        <v>249</v>
      </c>
      <c r="J330" s="19" t="s">
        <v>31</v>
      </c>
      <c r="K330">
        <v>3</v>
      </c>
      <c r="L330">
        <v>2</v>
      </c>
      <c r="M330">
        <v>0.05</v>
      </c>
      <c r="N330" s="19" t="s">
        <v>31</v>
      </c>
      <c r="O330" s="19" t="s">
        <v>284</v>
      </c>
      <c r="P330" s="19" t="s">
        <v>287</v>
      </c>
      <c r="Q330" s="19" t="s">
        <v>287</v>
      </c>
      <c r="R330" s="19" t="s">
        <v>249</v>
      </c>
      <c r="S330" s="19" t="s">
        <v>248</v>
      </c>
      <c r="T330" s="19" t="s">
        <v>286</v>
      </c>
    </row>
    <row r="331" spans="1:20" x14ac:dyDescent="0.2">
      <c r="A331" s="1">
        <v>46039</v>
      </c>
      <c r="B331" s="2">
        <v>0.91666666666666663</v>
      </c>
      <c r="C331" s="19" t="s">
        <v>38</v>
      </c>
      <c r="D331" s="19" t="s">
        <v>17</v>
      </c>
      <c r="E331" s="19" t="s">
        <v>38</v>
      </c>
      <c r="F331">
        <v>4</v>
      </c>
      <c r="G331">
        <v>3</v>
      </c>
      <c r="H331">
        <v>0.60319999999999996</v>
      </c>
      <c r="I331" s="19" t="s">
        <v>248</v>
      </c>
      <c r="J331" s="19" t="s">
        <v>17</v>
      </c>
      <c r="K331">
        <v>3</v>
      </c>
      <c r="L331">
        <v>2</v>
      </c>
      <c r="M331">
        <v>-0.77</v>
      </c>
      <c r="N331" s="19" t="s">
        <v>17</v>
      </c>
      <c r="O331" s="19" t="s">
        <v>285</v>
      </c>
      <c r="P331" s="19" t="s">
        <v>288</v>
      </c>
      <c r="Q331" s="19" t="s">
        <v>285</v>
      </c>
      <c r="R331" s="19" t="s">
        <v>249</v>
      </c>
      <c r="S331" s="19" t="s">
        <v>248</v>
      </c>
      <c r="T331" s="19" t="s">
        <v>286</v>
      </c>
    </row>
    <row r="332" spans="1:20" x14ac:dyDescent="0.2">
      <c r="A332" s="1">
        <v>46039</v>
      </c>
      <c r="B332" s="2">
        <v>0.79166666666666663</v>
      </c>
      <c r="C332" s="19" t="s">
        <v>14</v>
      </c>
      <c r="D332" s="19" t="s">
        <v>28</v>
      </c>
      <c r="E332" s="19" t="s">
        <v>28</v>
      </c>
      <c r="F332">
        <v>4</v>
      </c>
      <c r="G332">
        <v>5</v>
      </c>
      <c r="H332">
        <v>0.55930000000000002</v>
      </c>
      <c r="I332" s="19" t="s">
        <v>249</v>
      </c>
      <c r="J332" s="19" t="s">
        <v>14</v>
      </c>
      <c r="K332">
        <v>3</v>
      </c>
      <c r="L332">
        <v>2</v>
      </c>
      <c r="M332">
        <v>0.46</v>
      </c>
      <c r="N332" s="19" t="s">
        <v>28</v>
      </c>
      <c r="O332" s="19" t="s">
        <v>291</v>
      </c>
      <c r="P332" s="19" t="s">
        <v>289</v>
      </c>
      <c r="Q332" s="19" t="s">
        <v>287</v>
      </c>
      <c r="R332" s="19" t="s">
        <v>248</v>
      </c>
      <c r="S332" s="19" t="s">
        <v>249</v>
      </c>
      <c r="T332" s="19" t="s">
        <v>286</v>
      </c>
    </row>
    <row r="333" spans="1:20" x14ac:dyDescent="0.2">
      <c r="A333" s="1">
        <v>46039</v>
      </c>
      <c r="B333" s="2">
        <v>0.79166666666666663</v>
      </c>
      <c r="C333" s="19" t="s">
        <v>40</v>
      </c>
      <c r="D333" s="19" t="s">
        <v>19</v>
      </c>
      <c r="E333" s="19" t="s">
        <v>40</v>
      </c>
      <c r="F333">
        <v>6</v>
      </c>
      <c r="G333">
        <v>3</v>
      </c>
      <c r="H333">
        <v>0.73760000000000003</v>
      </c>
      <c r="I333" s="19" t="s">
        <v>249</v>
      </c>
      <c r="J333" s="19" t="s">
        <v>40</v>
      </c>
      <c r="K333">
        <v>3</v>
      </c>
      <c r="L333">
        <v>2</v>
      </c>
      <c r="M333">
        <v>0.04</v>
      </c>
      <c r="N333" s="19" t="s">
        <v>19</v>
      </c>
      <c r="O333" s="19" t="s">
        <v>291</v>
      </c>
      <c r="P333" s="19" t="s">
        <v>289</v>
      </c>
      <c r="Q333" s="19" t="s">
        <v>287</v>
      </c>
      <c r="R333" s="19" t="s">
        <v>249</v>
      </c>
      <c r="S333" s="19" t="s">
        <v>249</v>
      </c>
      <c r="T333" s="19" t="s">
        <v>286</v>
      </c>
    </row>
    <row r="334" spans="1:20" x14ac:dyDescent="0.2">
      <c r="A334" s="1">
        <v>46039</v>
      </c>
      <c r="B334" s="2">
        <v>0.54166666666666663</v>
      </c>
      <c r="C334" s="19" t="s">
        <v>27</v>
      </c>
      <c r="D334" s="19" t="s">
        <v>15</v>
      </c>
      <c r="E334" s="19" t="s">
        <v>15</v>
      </c>
      <c r="F334">
        <v>2</v>
      </c>
      <c r="G334">
        <v>3</v>
      </c>
      <c r="H334">
        <v>0.85519999999999996</v>
      </c>
      <c r="I334" s="19" t="s">
        <v>248</v>
      </c>
      <c r="J334" s="19" t="s">
        <v>27</v>
      </c>
      <c r="K334">
        <v>3</v>
      </c>
      <c r="L334">
        <v>2</v>
      </c>
      <c r="M334">
        <v>0.37</v>
      </c>
      <c r="N334" s="19" t="s">
        <v>15</v>
      </c>
      <c r="O334" s="19" t="s">
        <v>291</v>
      </c>
      <c r="P334" s="19" t="s">
        <v>288</v>
      </c>
      <c r="Q334" s="19" t="s">
        <v>285</v>
      </c>
      <c r="R334" s="19" t="s">
        <v>248</v>
      </c>
      <c r="S334" s="19" t="s">
        <v>249</v>
      </c>
      <c r="T334" s="19" t="s">
        <v>286</v>
      </c>
    </row>
    <row r="335" spans="1:20" x14ac:dyDescent="0.2">
      <c r="A335" s="1">
        <v>46039</v>
      </c>
      <c r="B335" s="2">
        <v>0.625</v>
      </c>
      <c r="C335" s="19" t="s">
        <v>16</v>
      </c>
      <c r="D335" s="19" t="s">
        <v>30</v>
      </c>
      <c r="E335" s="19" t="s">
        <v>16</v>
      </c>
      <c r="F335">
        <v>4</v>
      </c>
      <c r="G335">
        <v>3</v>
      </c>
      <c r="H335">
        <v>0.6351</v>
      </c>
      <c r="I335" s="19" t="s">
        <v>249</v>
      </c>
      <c r="J335" s="19" t="s">
        <v>30</v>
      </c>
      <c r="K335">
        <v>3</v>
      </c>
      <c r="L335">
        <v>2</v>
      </c>
      <c r="M335">
        <v>-0.62</v>
      </c>
      <c r="N335" s="19" t="s">
        <v>16</v>
      </c>
      <c r="O335" s="19" t="s">
        <v>289</v>
      </c>
      <c r="P335" s="19" t="s">
        <v>284</v>
      </c>
      <c r="Q335" s="19" t="s">
        <v>285</v>
      </c>
      <c r="R335" s="19" t="s">
        <v>248</v>
      </c>
      <c r="S335" s="19" t="s">
        <v>249</v>
      </c>
      <c r="T335" s="19" t="s">
        <v>286</v>
      </c>
    </row>
    <row r="336" spans="1:20" x14ac:dyDescent="0.2">
      <c r="A336" s="1">
        <v>46039</v>
      </c>
      <c r="B336" s="2">
        <v>0.52083333333333337</v>
      </c>
      <c r="C336" s="19" t="s">
        <v>23</v>
      </c>
      <c r="D336" s="19" t="s">
        <v>34</v>
      </c>
      <c r="E336" s="19" t="s">
        <v>23</v>
      </c>
      <c r="F336">
        <v>4</v>
      </c>
      <c r="G336">
        <v>2</v>
      </c>
      <c r="H336">
        <v>0.66069999999999995</v>
      </c>
      <c r="I336" s="19" t="s">
        <v>249</v>
      </c>
      <c r="J336" s="19" t="s">
        <v>23</v>
      </c>
      <c r="K336">
        <v>3</v>
      </c>
      <c r="L336">
        <v>2</v>
      </c>
      <c r="M336">
        <v>7.0000000000000007E-2</v>
      </c>
      <c r="N336" s="19" t="s">
        <v>34</v>
      </c>
      <c r="O336" s="19" t="s">
        <v>289</v>
      </c>
      <c r="P336" s="19" t="s">
        <v>283</v>
      </c>
      <c r="Q336" s="19" t="s">
        <v>287</v>
      </c>
      <c r="R336" s="19" t="s">
        <v>249</v>
      </c>
      <c r="S336" s="19" t="s">
        <v>249</v>
      </c>
      <c r="T336" s="19" t="s">
        <v>286</v>
      </c>
    </row>
    <row r="337" spans="1:20" x14ac:dyDescent="0.2">
      <c r="A337" s="1">
        <v>46039</v>
      </c>
      <c r="B337" s="2">
        <v>0.70833333333333337</v>
      </c>
      <c r="C337" s="19" t="s">
        <v>55</v>
      </c>
      <c r="D337" s="19" t="s">
        <v>32</v>
      </c>
      <c r="E337" s="19" t="s">
        <v>55</v>
      </c>
      <c r="F337">
        <v>4</v>
      </c>
      <c r="G337">
        <v>3</v>
      </c>
      <c r="H337">
        <v>0.52669999999999995</v>
      </c>
      <c r="I337" s="19" t="s">
        <v>249</v>
      </c>
      <c r="J337" s="19" t="s">
        <v>55</v>
      </c>
      <c r="K337">
        <v>3</v>
      </c>
      <c r="L337">
        <v>2</v>
      </c>
      <c r="M337">
        <v>0.68</v>
      </c>
      <c r="N337" s="19" t="s">
        <v>55</v>
      </c>
      <c r="O337" s="19" t="s">
        <v>288</v>
      </c>
      <c r="P337" s="19" t="s">
        <v>291</v>
      </c>
      <c r="Q337" s="19" t="s">
        <v>285</v>
      </c>
      <c r="R337" s="19" t="s">
        <v>248</v>
      </c>
      <c r="S337" s="19" t="s">
        <v>248</v>
      </c>
      <c r="T337" s="19" t="s">
        <v>286</v>
      </c>
    </row>
    <row r="338" spans="1:20" x14ac:dyDescent="0.2">
      <c r="A338" s="1">
        <v>46039</v>
      </c>
      <c r="B338" s="2">
        <v>0.83333333333333337</v>
      </c>
      <c r="C338" s="19" t="s">
        <v>10</v>
      </c>
      <c r="D338" s="19" t="s">
        <v>21</v>
      </c>
      <c r="E338" s="19" t="s">
        <v>21</v>
      </c>
      <c r="F338">
        <v>3</v>
      </c>
      <c r="G338">
        <v>4</v>
      </c>
      <c r="H338">
        <v>0.64539999999999997</v>
      </c>
      <c r="I338" s="19" t="s">
        <v>249</v>
      </c>
      <c r="J338" s="19" t="s">
        <v>21</v>
      </c>
      <c r="K338">
        <v>3</v>
      </c>
      <c r="L338">
        <v>2</v>
      </c>
      <c r="M338">
        <v>-0.54</v>
      </c>
      <c r="N338" s="19" t="s">
        <v>21</v>
      </c>
      <c r="O338" s="19" t="s">
        <v>284</v>
      </c>
      <c r="P338" s="19" t="s">
        <v>283</v>
      </c>
      <c r="Q338" s="19" t="s">
        <v>285</v>
      </c>
      <c r="R338" s="19" t="s">
        <v>248</v>
      </c>
      <c r="S338" s="19" t="s">
        <v>248</v>
      </c>
      <c r="T338" s="19" t="s">
        <v>286</v>
      </c>
    </row>
    <row r="339" spans="1:20" x14ac:dyDescent="0.2">
      <c r="A339" s="1">
        <v>46039</v>
      </c>
      <c r="B339" s="2">
        <v>0.91666666666666663</v>
      </c>
      <c r="C339" s="19" t="s">
        <v>20</v>
      </c>
      <c r="D339" s="19" t="s">
        <v>29</v>
      </c>
      <c r="E339" s="19" t="s">
        <v>20</v>
      </c>
      <c r="F339">
        <v>4</v>
      </c>
      <c r="G339">
        <v>3</v>
      </c>
      <c r="H339">
        <v>0.6472</v>
      </c>
      <c r="I339" s="19" t="s">
        <v>248</v>
      </c>
      <c r="J339" s="19" t="s">
        <v>20</v>
      </c>
      <c r="K339">
        <v>3</v>
      </c>
      <c r="L339">
        <v>2</v>
      </c>
      <c r="M339">
        <v>0.66</v>
      </c>
      <c r="N339" s="19" t="s">
        <v>20</v>
      </c>
      <c r="O339" s="19" t="s">
        <v>292</v>
      </c>
      <c r="P339" s="19" t="s">
        <v>284</v>
      </c>
      <c r="Q339" s="19" t="s">
        <v>285</v>
      </c>
      <c r="R339" s="19" t="s">
        <v>248</v>
      </c>
      <c r="S339" s="19" t="s">
        <v>248</v>
      </c>
      <c r="T339" s="19" t="s">
        <v>286</v>
      </c>
    </row>
    <row r="340" spans="1:20" x14ac:dyDescent="0.2">
      <c r="A340" s="1">
        <v>46039</v>
      </c>
      <c r="B340" s="2">
        <v>0.79166666666666663</v>
      </c>
      <c r="C340" s="19" t="s">
        <v>24</v>
      </c>
      <c r="D340" s="19" t="s">
        <v>25</v>
      </c>
      <c r="E340" s="19" t="s">
        <v>25</v>
      </c>
      <c r="F340">
        <v>3</v>
      </c>
      <c r="G340">
        <v>4</v>
      </c>
      <c r="H340">
        <v>0.64549999999999996</v>
      </c>
      <c r="I340" s="19" t="s">
        <v>249</v>
      </c>
      <c r="J340" s="19" t="s">
        <v>25</v>
      </c>
      <c r="K340">
        <v>3</v>
      </c>
      <c r="L340">
        <v>2</v>
      </c>
      <c r="M340">
        <v>-0.62</v>
      </c>
      <c r="N340" s="19" t="s">
        <v>25</v>
      </c>
      <c r="O340" s="19" t="s">
        <v>287</v>
      </c>
      <c r="P340" s="19" t="s">
        <v>289</v>
      </c>
      <c r="Q340" s="19" t="s">
        <v>285</v>
      </c>
      <c r="R340" s="19" t="s">
        <v>248</v>
      </c>
      <c r="S340" s="19" t="s">
        <v>248</v>
      </c>
      <c r="T340" s="19" t="s">
        <v>286</v>
      </c>
    </row>
    <row r="341" spans="1:20" x14ac:dyDescent="0.2">
      <c r="A341" s="1">
        <v>46039</v>
      </c>
      <c r="B341" s="2">
        <v>0.79166666666666663</v>
      </c>
      <c r="C341" s="19" t="s">
        <v>22</v>
      </c>
      <c r="D341" s="19" t="s">
        <v>11</v>
      </c>
      <c r="E341" s="19" t="s">
        <v>22</v>
      </c>
      <c r="F341">
        <v>4</v>
      </c>
      <c r="G341">
        <v>3</v>
      </c>
      <c r="H341">
        <v>0.504</v>
      </c>
      <c r="I341" s="19" t="s">
        <v>249</v>
      </c>
      <c r="J341" s="19" t="s">
        <v>22</v>
      </c>
      <c r="K341">
        <v>3</v>
      </c>
      <c r="L341">
        <v>2</v>
      </c>
      <c r="M341">
        <v>0.69</v>
      </c>
      <c r="N341" s="19" t="s">
        <v>11</v>
      </c>
      <c r="O341" s="19" t="s">
        <v>284</v>
      </c>
      <c r="P341" s="19" t="s">
        <v>283</v>
      </c>
      <c r="Q341" s="19" t="s">
        <v>285</v>
      </c>
      <c r="R341" s="19" t="s">
        <v>249</v>
      </c>
      <c r="S341" s="19" t="s">
        <v>249</v>
      </c>
      <c r="T341" s="19" t="s">
        <v>286</v>
      </c>
    </row>
    <row r="342" spans="1:20" x14ac:dyDescent="0.2">
      <c r="A342" s="1">
        <v>46039</v>
      </c>
      <c r="B342" s="2">
        <v>0.79166666666666663</v>
      </c>
      <c r="C342" s="19" t="s">
        <v>36</v>
      </c>
      <c r="D342" s="19" t="s">
        <v>18</v>
      </c>
      <c r="E342" s="19" t="s">
        <v>18</v>
      </c>
      <c r="F342">
        <v>3</v>
      </c>
      <c r="G342">
        <v>4</v>
      </c>
      <c r="H342">
        <v>0.55120000000000002</v>
      </c>
      <c r="I342" s="19" t="s">
        <v>248</v>
      </c>
      <c r="J342" s="19" t="s">
        <v>36</v>
      </c>
      <c r="K342">
        <v>3</v>
      </c>
      <c r="L342">
        <v>2</v>
      </c>
      <c r="M342">
        <v>0.04</v>
      </c>
      <c r="N342" s="19" t="s">
        <v>18</v>
      </c>
      <c r="O342" s="19" t="s">
        <v>283</v>
      </c>
      <c r="P342" s="19" t="s">
        <v>288</v>
      </c>
      <c r="Q342" s="19" t="s">
        <v>287</v>
      </c>
      <c r="R342" s="19" t="s">
        <v>248</v>
      </c>
      <c r="S342" s="19" t="s">
        <v>249</v>
      </c>
      <c r="T342" s="19" t="s">
        <v>286</v>
      </c>
    </row>
    <row r="343" spans="1:20" x14ac:dyDescent="0.2">
      <c r="A343" s="1">
        <v>46040</v>
      </c>
      <c r="B343" s="2">
        <v>0.83333333333333337</v>
      </c>
      <c r="C343" s="19" t="s">
        <v>17</v>
      </c>
      <c r="D343" s="19" t="s">
        <v>35</v>
      </c>
      <c r="E343" s="19" t="s">
        <v>17</v>
      </c>
      <c r="F343">
        <v>4</v>
      </c>
      <c r="G343">
        <v>2</v>
      </c>
      <c r="H343">
        <v>0.72270000000000001</v>
      </c>
      <c r="I343" s="19" t="s">
        <v>249</v>
      </c>
      <c r="J343" s="19" t="s">
        <v>17</v>
      </c>
      <c r="K343">
        <v>3</v>
      </c>
      <c r="L343">
        <v>2</v>
      </c>
      <c r="M343">
        <v>1.05</v>
      </c>
      <c r="N343" s="19" t="s">
        <v>17</v>
      </c>
      <c r="O343" s="19" t="s">
        <v>283</v>
      </c>
      <c r="P343" s="19" t="s">
        <v>285</v>
      </c>
      <c r="Q343" s="19" t="s">
        <v>285</v>
      </c>
      <c r="R343" s="19" t="s">
        <v>248</v>
      </c>
      <c r="S343" s="19" t="s">
        <v>248</v>
      </c>
      <c r="T343" s="19" t="s">
        <v>286</v>
      </c>
    </row>
    <row r="344" spans="1:20" x14ac:dyDescent="0.2">
      <c r="A344" s="1">
        <v>46040</v>
      </c>
      <c r="B344" s="2">
        <v>0.58333333333333337</v>
      </c>
      <c r="C344" s="19" t="s">
        <v>39</v>
      </c>
      <c r="D344" s="19" t="s">
        <v>37</v>
      </c>
      <c r="E344" s="19" t="s">
        <v>37</v>
      </c>
      <c r="F344">
        <v>3</v>
      </c>
      <c r="G344">
        <v>4</v>
      </c>
      <c r="H344">
        <v>0.54430000000000001</v>
      </c>
      <c r="I344" s="19" t="s">
        <v>249</v>
      </c>
      <c r="J344" s="19" t="s">
        <v>37</v>
      </c>
      <c r="K344">
        <v>3</v>
      </c>
      <c r="L344">
        <v>2</v>
      </c>
      <c r="M344">
        <v>-0.27</v>
      </c>
      <c r="N344" s="19" t="s">
        <v>37</v>
      </c>
      <c r="O344" s="19" t="s">
        <v>287</v>
      </c>
      <c r="P344" s="19" t="s">
        <v>289</v>
      </c>
      <c r="Q344" s="19" t="s">
        <v>285</v>
      </c>
      <c r="R344" s="19" t="s">
        <v>248</v>
      </c>
      <c r="S344" s="19" t="s">
        <v>248</v>
      </c>
      <c r="T344" s="19" t="s">
        <v>286</v>
      </c>
    </row>
    <row r="345" spans="1:20" x14ac:dyDescent="0.2">
      <c r="A345" s="1">
        <v>46040</v>
      </c>
      <c r="B345" s="2">
        <v>0.70833333333333337</v>
      </c>
      <c r="C345" s="19" t="s">
        <v>26</v>
      </c>
      <c r="D345" s="19" t="s">
        <v>36</v>
      </c>
      <c r="E345" s="19" t="s">
        <v>26</v>
      </c>
      <c r="F345">
        <v>5</v>
      </c>
      <c r="G345">
        <v>4</v>
      </c>
      <c r="H345">
        <v>0.72550000000000003</v>
      </c>
      <c r="I345" s="19" t="s">
        <v>249</v>
      </c>
      <c r="J345" s="19" t="s">
        <v>26</v>
      </c>
      <c r="K345">
        <v>3</v>
      </c>
      <c r="L345">
        <v>2</v>
      </c>
      <c r="M345">
        <v>0.21</v>
      </c>
      <c r="N345" s="19" t="s">
        <v>26</v>
      </c>
      <c r="O345" s="19" t="s">
        <v>289</v>
      </c>
      <c r="P345" s="19" t="s">
        <v>291</v>
      </c>
      <c r="Q345" s="19" t="s">
        <v>287</v>
      </c>
      <c r="R345" s="19" t="s">
        <v>248</v>
      </c>
      <c r="S345" s="19" t="s">
        <v>248</v>
      </c>
      <c r="T345" s="19" t="s">
        <v>286</v>
      </c>
    </row>
    <row r="346" spans="1:20" x14ac:dyDescent="0.2">
      <c r="A346" s="1">
        <v>46041</v>
      </c>
      <c r="B346" s="2">
        <v>0.66666666666666663</v>
      </c>
      <c r="C346" s="19" t="s">
        <v>12</v>
      </c>
      <c r="D346" s="19" t="s">
        <v>22</v>
      </c>
      <c r="E346" s="19" t="s">
        <v>12</v>
      </c>
      <c r="F346">
        <v>4</v>
      </c>
      <c r="G346">
        <v>1</v>
      </c>
      <c r="H346">
        <v>0.94540000000000002</v>
      </c>
      <c r="I346" s="19" t="s">
        <v>249</v>
      </c>
      <c r="J346" s="19" t="s">
        <v>12</v>
      </c>
      <c r="K346">
        <v>3</v>
      </c>
      <c r="L346">
        <v>2</v>
      </c>
      <c r="M346">
        <v>1.47</v>
      </c>
      <c r="N346" s="19" t="s">
        <v>12</v>
      </c>
      <c r="O346" s="19" t="s">
        <v>283</v>
      </c>
      <c r="P346" s="19" t="s">
        <v>284</v>
      </c>
      <c r="Q346" s="19" t="s">
        <v>285</v>
      </c>
      <c r="R346" s="19" t="s">
        <v>248</v>
      </c>
      <c r="S346" s="19" t="s">
        <v>248</v>
      </c>
      <c r="T346" s="19" t="s">
        <v>286</v>
      </c>
    </row>
    <row r="347" spans="1:20" x14ac:dyDescent="0.2">
      <c r="A347" s="1">
        <v>46041</v>
      </c>
      <c r="B347" s="2">
        <v>0.91666666666666663</v>
      </c>
      <c r="C347" s="19" t="s">
        <v>31</v>
      </c>
      <c r="D347" s="19" t="s">
        <v>15</v>
      </c>
      <c r="E347" s="19" t="s">
        <v>31</v>
      </c>
      <c r="F347">
        <v>4</v>
      </c>
      <c r="G347">
        <v>3</v>
      </c>
      <c r="H347">
        <v>0.68420000000000003</v>
      </c>
      <c r="I347" s="19" t="s">
        <v>249</v>
      </c>
      <c r="J347" s="19" t="s">
        <v>31</v>
      </c>
      <c r="K347">
        <v>3</v>
      </c>
      <c r="L347">
        <v>2</v>
      </c>
      <c r="M347">
        <v>0.16</v>
      </c>
      <c r="N347" s="19" t="s">
        <v>31</v>
      </c>
      <c r="O347" s="19" t="s">
        <v>283</v>
      </c>
      <c r="P347" s="19" t="s">
        <v>291</v>
      </c>
      <c r="Q347" s="19" t="s">
        <v>285</v>
      </c>
      <c r="R347" s="19" t="s">
        <v>248</v>
      </c>
      <c r="S347" s="19" t="s">
        <v>248</v>
      </c>
      <c r="T347" s="19" t="s">
        <v>286</v>
      </c>
    </row>
    <row r="348" spans="1:20" x14ac:dyDescent="0.2">
      <c r="A348" s="1">
        <v>46041</v>
      </c>
      <c r="B348" s="2">
        <v>0.875</v>
      </c>
      <c r="C348" s="19" t="s">
        <v>16</v>
      </c>
      <c r="D348" s="19" t="s">
        <v>24</v>
      </c>
      <c r="E348" s="19" t="s">
        <v>16</v>
      </c>
      <c r="F348">
        <v>4</v>
      </c>
      <c r="G348">
        <v>3</v>
      </c>
      <c r="H348">
        <v>0.59799999999999998</v>
      </c>
      <c r="I348" s="19" t="s">
        <v>249</v>
      </c>
      <c r="J348" s="19" t="s">
        <v>16</v>
      </c>
      <c r="K348">
        <v>3</v>
      </c>
      <c r="L348">
        <v>2</v>
      </c>
      <c r="M348">
        <v>0.02</v>
      </c>
      <c r="N348" s="19" t="s">
        <v>24</v>
      </c>
      <c r="O348" s="19" t="s">
        <v>287</v>
      </c>
      <c r="P348" s="19" t="s">
        <v>284</v>
      </c>
      <c r="Q348" s="19" t="s">
        <v>287</v>
      </c>
      <c r="R348" s="19" t="s">
        <v>249</v>
      </c>
      <c r="S348" s="19" t="s">
        <v>249</v>
      </c>
      <c r="T348" s="19" t="s">
        <v>286</v>
      </c>
    </row>
    <row r="349" spans="1:20" x14ac:dyDescent="0.2">
      <c r="A349" s="1">
        <v>46041</v>
      </c>
      <c r="B349" s="2">
        <v>0.5625</v>
      </c>
      <c r="C349" s="19" t="s">
        <v>25</v>
      </c>
      <c r="D349" s="19" t="s">
        <v>23</v>
      </c>
      <c r="E349" s="19" t="s">
        <v>25</v>
      </c>
      <c r="F349">
        <v>4</v>
      </c>
      <c r="G349">
        <v>3</v>
      </c>
      <c r="H349">
        <v>0.71020000000000005</v>
      </c>
      <c r="I349" s="19" t="s">
        <v>249</v>
      </c>
      <c r="J349" s="19" t="s">
        <v>25</v>
      </c>
      <c r="K349">
        <v>3</v>
      </c>
      <c r="L349">
        <v>2</v>
      </c>
      <c r="M349">
        <v>0.51</v>
      </c>
      <c r="N349" s="19" t="s">
        <v>25</v>
      </c>
      <c r="O349" s="19" t="s">
        <v>284</v>
      </c>
      <c r="P349" s="19" t="s">
        <v>287</v>
      </c>
      <c r="Q349" s="19" t="s">
        <v>285</v>
      </c>
      <c r="R349" s="19" t="s">
        <v>248</v>
      </c>
      <c r="S349" s="19" t="s">
        <v>248</v>
      </c>
      <c r="T349" s="19" t="s">
        <v>286</v>
      </c>
    </row>
    <row r="350" spans="1:20" x14ac:dyDescent="0.2">
      <c r="A350" s="1">
        <v>46041</v>
      </c>
      <c r="B350" s="2">
        <v>0.83333333333333337</v>
      </c>
      <c r="C350" s="19" t="s">
        <v>20</v>
      </c>
      <c r="D350" s="19" t="s">
        <v>27</v>
      </c>
      <c r="E350" s="19" t="s">
        <v>27</v>
      </c>
      <c r="F350">
        <v>4</v>
      </c>
      <c r="G350">
        <v>5</v>
      </c>
      <c r="H350">
        <v>0.55069999999999997</v>
      </c>
      <c r="I350" s="19" t="s">
        <v>249</v>
      </c>
      <c r="J350" s="19" t="s">
        <v>20</v>
      </c>
      <c r="K350">
        <v>3</v>
      </c>
      <c r="L350">
        <v>2</v>
      </c>
      <c r="M350">
        <v>0.57999999999999996</v>
      </c>
      <c r="N350" s="19" t="s">
        <v>27</v>
      </c>
      <c r="O350" s="19" t="s">
        <v>287</v>
      </c>
      <c r="P350" s="19" t="s">
        <v>284</v>
      </c>
      <c r="Q350" s="19" t="s">
        <v>285</v>
      </c>
      <c r="R350" s="19" t="s">
        <v>248</v>
      </c>
      <c r="S350" s="19" t="s">
        <v>249</v>
      </c>
      <c r="T350" s="19" t="s">
        <v>286</v>
      </c>
    </row>
    <row r="351" spans="1:20" x14ac:dyDescent="0.2">
      <c r="A351" s="1">
        <v>46041</v>
      </c>
      <c r="B351" s="2">
        <v>0.70833333333333337</v>
      </c>
      <c r="C351" s="19" t="s">
        <v>32</v>
      </c>
      <c r="D351" s="19" t="s">
        <v>14</v>
      </c>
      <c r="E351" s="19" t="s">
        <v>32</v>
      </c>
      <c r="F351">
        <v>3</v>
      </c>
      <c r="G351">
        <v>2</v>
      </c>
      <c r="H351">
        <v>0.51019999999999999</v>
      </c>
      <c r="I351" s="19" t="s">
        <v>249</v>
      </c>
      <c r="J351" s="19" t="s">
        <v>14</v>
      </c>
      <c r="K351">
        <v>3</v>
      </c>
      <c r="L351">
        <v>2</v>
      </c>
      <c r="M351">
        <v>-0.26</v>
      </c>
      <c r="N351" s="19" t="s">
        <v>14</v>
      </c>
      <c r="O351" s="19" t="s">
        <v>291</v>
      </c>
      <c r="P351" s="19" t="s">
        <v>288</v>
      </c>
      <c r="Q351" s="19" t="s">
        <v>285</v>
      </c>
      <c r="R351" s="19" t="s">
        <v>249</v>
      </c>
      <c r="S351" s="19" t="s">
        <v>248</v>
      </c>
      <c r="T351" s="19" t="s">
        <v>286</v>
      </c>
    </row>
    <row r="352" spans="1:20" x14ac:dyDescent="0.2">
      <c r="A352" s="1">
        <v>46041</v>
      </c>
      <c r="B352" s="2">
        <v>0.79166666666666663</v>
      </c>
      <c r="C352" s="19" t="s">
        <v>11</v>
      </c>
      <c r="D352" s="19" t="s">
        <v>33</v>
      </c>
      <c r="E352" s="19" t="s">
        <v>11</v>
      </c>
      <c r="F352">
        <v>4</v>
      </c>
      <c r="G352">
        <v>3</v>
      </c>
      <c r="H352">
        <v>0.60429999999999995</v>
      </c>
      <c r="I352" s="19" t="s">
        <v>249</v>
      </c>
      <c r="J352" s="19" t="s">
        <v>11</v>
      </c>
      <c r="K352">
        <v>3</v>
      </c>
      <c r="L352">
        <v>2</v>
      </c>
      <c r="M352">
        <v>0.32</v>
      </c>
      <c r="N352" s="19" t="s">
        <v>33</v>
      </c>
      <c r="O352" s="19" t="s">
        <v>287</v>
      </c>
      <c r="P352" s="19" t="s">
        <v>289</v>
      </c>
      <c r="Q352" s="19" t="s">
        <v>285</v>
      </c>
      <c r="R352" s="19" t="s">
        <v>249</v>
      </c>
      <c r="S352" s="19" t="s">
        <v>249</v>
      </c>
      <c r="T352" s="19" t="s">
        <v>286</v>
      </c>
    </row>
    <row r="353" spans="1:20" x14ac:dyDescent="0.2">
      <c r="A353" s="1">
        <v>46041</v>
      </c>
      <c r="B353" s="2">
        <v>0.8125</v>
      </c>
      <c r="C353" s="19" t="s">
        <v>19</v>
      </c>
      <c r="D353" s="19" t="s">
        <v>34</v>
      </c>
      <c r="E353" s="19" t="s">
        <v>34</v>
      </c>
      <c r="F353">
        <v>2</v>
      </c>
      <c r="G353">
        <v>3</v>
      </c>
      <c r="H353">
        <v>0.63160000000000005</v>
      </c>
      <c r="I353" s="19" t="s">
        <v>249</v>
      </c>
      <c r="J353" s="19" t="s">
        <v>34</v>
      </c>
      <c r="K353">
        <v>3</v>
      </c>
      <c r="L353">
        <v>2</v>
      </c>
      <c r="M353">
        <v>-7.0000000000000007E-2</v>
      </c>
      <c r="N353" s="19" t="s">
        <v>34</v>
      </c>
      <c r="O353" s="19" t="s">
        <v>291</v>
      </c>
      <c r="P353" s="19" t="s">
        <v>288</v>
      </c>
      <c r="Q353" s="19" t="s">
        <v>285</v>
      </c>
      <c r="R353" s="19" t="s">
        <v>248</v>
      </c>
      <c r="S353" s="19" t="s">
        <v>248</v>
      </c>
      <c r="T353" s="19" t="s">
        <v>286</v>
      </c>
    </row>
    <row r="354" spans="1:20" x14ac:dyDescent="0.2">
      <c r="A354" s="1">
        <v>46041</v>
      </c>
      <c r="B354" s="2">
        <v>0.91666666666666663</v>
      </c>
      <c r="C354" s="19" t="s">
        <v>38</v>
      </c>
      <c r="D354" s="19" t="s">
        <v>30</v>
      </c>
      <c r="E354" s="19" t="s">
        <v>30</v>
      </c>
      <c r="F354">
        <v>1</v>
      </c>
      <c r="G354">
        <v>5</v>
      </c>
      <c r="H354">
        <v>0.88460000000000005</v>
      </c>
      <c r="I354" s="19" t="s">
        <v>249</v>
      </c>
      <c r="J354" s="19" t="s">
        <v>30</v>
      </c>
      <c r="K354">
        <v>3</v>
      </c>
      <c r="L354">
        <v>2</v>
      </c>
      <c r="M354">
        <v>-1.1200000000000001</v>
      </c>
      <c r="N354" s="19" t="s">
        <v>30</v>
      </c>
      <c r="O354" s="19" t="s">
        <v>291</v>
      </c>
      <c r="P354" s="19" t="s">
        <v>289</v>
      </c>
      <c r="Q354" s="19" t="s">
        <v>285</v>
      </c>
      <c r="R354" s="19" t="s">
        <v>248</v>
      </c>
      <c r="S354" s="19" t="s">
        <v>248</v>
      </c>
      <c r="T354" s="19" t="s">
        <v>286</v>
      </c>
    </row>
    <row r="355" spans="1:20" x14ac:dyDescent="0.2">
      <c r="A355" s="1">
        <v>46041</v>
      </c>
      <c r="B355" s="2">
        <v>0.85416666666666663</v>
      </c>
      <c r="C355" s="19" t="s">
        <v>10</v>
      </c>
      <c r="D355" s="19" t="s">
        <v>40</v>
      </c>
      <c r="E355" s="19" t="s">
        <v>10</v>
      </c>
      <c r="F355">
        <v>4</v>
      </c>
      <c r="G355">
        <v>3</v>
      </c>
      <c r="H355">
        <v>0.52829999999999999</v>
      </c>
      <c r="I355" s="19" t="s">
        <v>249</v>
      </c>
      <c r="J355" s="19" t="s">
        <v>40</v>
      </c>
      <c r="K355">
        <v>3</v>
      </c>
      <c r="L355">
        <v>2</v>
      </c>
      <c r="M355">
        <v>-0.32</v>
      </c>
      <c r="N355" s="19" t="s">
        <v>10</v>
      </c>
      <c r="O355" s="19" t="s">
        <v>284</v>
      </c>
      <c r="P355" s="19" t="s">
        <v>285</v>
      </c>
      <c r="Q355" s="19" t="s">
        <v>285</v>
      </c>
      <c r="R355" s="19" t="s">
        <v>248</v>
      </c>
      <c r="S355" s="19" t="s">
        <v>249</v>
      </c>
      <c r="T355" s="19" t="s">
        <v>286</v>
      </c>
    </row>
    <row r="356" spans="1:20" x14ac:dyDescent="0.2">
      <c r="A356" s="1">
        <v>46042</v>
      </c>
      <c r="B356" s="2">
        <v>0.79166666666666663</v>
      </c>
      <c r="C356" s="19" t="s">
        <v>28</v>
      </c>
      <c r="D356" s="19" t="s">
        <v>36</v>
      </c>
      <c r="E356" s="19" t="s">
        <v>36</v>
      </c>
      <c r="F356">
        <v>3</v>
      </c>
      <c r="G356">
        <v>4</v>
      </c>
      <c r="H356">
        <v>0.61529999999999996</v>
      </c>
      <c r="I356" s="19" t="s">
        <v>249</v>
      </c>
      <c r="J356" s="19" t="s">
        <v>28</v>
      </c>
      <c r="K356">
        <v>3</v>
      </c>
      <c r="L356">
        <v>2</v>
      </c>
      <c r="M356">
        <v>0.03</v>
      </c>
      <c r="N356" s="19" t="s">
        <v>36</v>
      </c>
      <c r="O356" s="19" t="s">
        <v>287</v>
      </c>
      <c r="P356" s="19" t="s">
        <v>289</v>
      </c>
      <c r="Q356" s="19" t="s">
        <v>285</v>
      </c>
      <c r="R356" s="19" t="s">
        <v>248</v>
      </c>
      <c r="S356" s="19" t="s">
        <v>249</v>
      </c>
      <c r="T356" s="19" t="s">
        <v>286</v>
      </c>
    </row>
    <row r="357" spans="1:20" x14ac:dyDescent="0.2">
      <c r="A357" s="1">
        <v>46042</v>
      </c>
      <c r="B357" s="2">
        <v>0.8125</v>
      </c>
      <c r="C357" s="19" t="s">
        <v>39</v>
      </c>
      <c r="D357" s="19" t="s">
        <v>21</v>
      </c>
      <c r="E357" s="19" t="s">
        <v>39</v>
      </c>
      <c r="F357">
        <v>4</v>
      </c>
      <c r="G357">
        <v>3</v>
      </c>
      <c r="H357">
        <v>0.61499999999999999</v>
      </c>
      <c r="I357" s="19" t="s">
        <v>249</v>
      </c>
      <c r="J357" s="19" t="s">
        <v>39</v>
      </c>
      <c r="K357">
        <v>3</v>
      </c>
      <c r="L357">
        <v>2</v>
      </c>
      <c r="M357">
        <v>0.31</v>
      </c>
      <c r="N357" s="19" t="s">
        <v>39</v>
      </c>
      <c r="O357" s="19" t="s">
        <v>288</v>
      </c>
      <c r="P357" s="19" t="s">
        <v>284</v>
      </c>
      <c r="Q357" s="19" t="s">
        <v>285</v>
      </c>
      <c r="R357" s="19" t="s">
        <v>248</v>
      </c>
      <c r="S357" s="19" t="s">
        <v>248</v>
      </c>
      <c r="T357" s="19" t="s">
        <v>286</v>
      </c>
    </row>
    <row r="358" spans="1:20" x14ac:dyDescent="0.2">
      <c r="A358" s="1">
        <v>46042</v>
      </c>
      <c r="B358" s="2">
        <v>0.91666666666666663</v>
      </c>
      <c r="C358" s="19" t="s">
        <v>13</v>
      </c>
      <c r="D358" s="19" t="s">
        <v>15</v>
      </c>
      <c r="E358" s="19" t="s">
        <v>15</v>
      </c>
      <c r="F358">
        <v>2</v>
      </c>
      <c r="G358">
        <v>4</v>
      </c>
      <c r="H358">
        <v>0.70779999999999998</v>
      </c>
      <c r="I358" s="19" t="s">
        <v>249</v>
      </c>
      <c r="J358" s="19" t="s">
        <v>13</v>
      </c>
      <c r="K358">
        <v>3</v>
      </c>
      <c r="L358">
        <v>2</v>
      </c>
      <c r="M358">
        <v>0.25</v>
      </c>
      <c r="N358" s="19" t="s">
        <v>13</v>
      </c>
      <c r="O358" s="19" t="s">
        <v>289</v>
      </c>
      <c r="P358" s="19" t="s">
        <v>291</v>
      </c>
      <c r="Q358" s="19" t="s">
        <v>285</v>
      </c>
      <c r="R358" s="19" t="s">
        <v>249</v>
      </c>
      <c r="S358" s="19" t="s">
        <v>248</v>
      </c>
      <c r="T358" s="19" t="s">
        <v>286</v>
      </c>
    </row>
    <row r="359" spans="1:20" x14ac:dyDescent="0.2">
      <c r="A359" s="1">
        <v>46042</v>
      </c>
      <c r="B359" s="2">
        <v>0.83333333333333337</v>
      </c>
      <c r="C359" s="19" t="s">
        <v>40</v>
      </c>
      <c r="D359" s="19" t="s">
        <v>35</v>
      </c>
      <c r="E359" s="19" t="s">
        <v>40</v>
      </c>
      <c r="F359">
        <v>3</v>
      </c>
      <c r="G359">
        <v>2</v>
      </c>
      <c r="H359">
        <v>0.71179999999999999</v>
      </c>
      <c r="I359" s="19" t="s">
        <v>249</v>
      </c>
      <c r="J359" s="19" t="s">
        <v>40</v>
      </c>
      <c r="K359">
        <v>3</v>
      </c>
      <c r="L359">
        <v>2</v>
      </c>
      <c r="M359">
        <v>0.99</v>
      </c>
      <c r="N359" s="19" t="s">
        <v>40</v>
      </c>
      <c r="O359" s="19" t="s">
        <v>291</v>
      </c>
      <c r="P359" s="19" t="s">
        <v>287</v>
      </c>
      <c r="Q359" s="19" t="s">
        <v>285</v>
      </c>
      <c r="R359" s="19" t="s">
        <v>248</v>
      </c>
      <c r="S359" s="19" t="s">
        <v>248</v>
      </c>
      <c r="T359" s="19" t="s">
        <v>286</v>
      </c>
    </row>
    <row r="360" spans="1:20" x14ac:dyDescent="0.2">
      <c r="A360" s="1">
        <v>46042</v>
      </c>
      <c r="B360" s="2">
        <v>0.83333333333333337</v>
      </c>
      <c r="C360" s="19" t="s">
        <v>29</v>
      </c>
      <c r="D360" s="19" t="s">
        <v>23</v>
      </c>
      <c r="E360" s="19" t="s">
        <v>29</v>
      </c>
      <c r="F360">
        <v>4</v>
      </c>
      <c r="G360">
        <v>2</v>
      </c>
      <c r="H360">
        <v>0.63970000000000005</v>
      </c>
      <c r="I360" s="19" t="s">
        <v>249</v>
      </c>
      <c r="J360" s="19" t="s">
        <v>23</v>
      </c>
      <c r="K360">
        <v>3</v>
      </c>
      <c r="L360">
        <v>2</v>
      </c>
      <c r="M360">
        <v>-0.46</v>
      </c>
      <c r="N360" s="19" t="s">
        <v>23</v>
      </c>
      <c r="O360" s="19" t="s">
        <v>291</v>
      </c>
      <c r="P360" s="19" t="s">
        <v>283</v>
      </c>
      <c r="Q360" s="19" t="s">
        <v>285</v>
      </c>
      <c r="R360" s="19" t="s">
        <v>249</v>
      </c>
      <c r="S360" s="19" t="s">
        <v>248</v>
      </c>
      <c r="T360" s="19" t="s">
        <v>286</v>
      </c>
    </row>
    <row r="361" spans="1:20" x14ac:dyDescent="0.2">
      <c r="A361" s="1">
        <v>46042</v>
      </c>
      <c r="B361" s="2">
        <v>0.91666666666666663</v>
      </c>
      <c r="C361" s="19" t="s">
        <v>17</v>
      </c>
      <c r="D361" s="19" t="s">
        <v>24</v>
      </c>
      <c r="E361" s="19" t="s">
        <v>24</v>
      </c>
      <c r="F361">
        <v>4</v>
      </c>
      <c r="G361">
        <v>5</v>
      </c>
      <c r="H361">
        <v>0.50339999999999996</v>
      </c>
      <c r="I361" s="19" t="s">
        <v>249</v>
      </c>
      <c r="J361" s="19" t="s">
        <v>17</v>
      </c>
      <c r="K361">
        <v>3</v>
      </c>
      <c r="L361">
        <v>2</v>
      </c>
      <c r="M361">
        <v>0.57999999999999996</v>
      </c>
      <c r="N361" s="19" t="s">
        <v>24</v>
      </c>
      <c r="O361" s="19" t="s">
        <v>287</v>
      </c>
      <c r="P361" s="19" t="s">
        <v>284</v>
      </c>
      <c r="Q361" s="19" t="s">
        <v>285</v>
      </c>
      <c r="R361" s="19" t="s">
        <v>248</v>
      </c>
      <c r="S361" s="19" t="s">
        <v>249</v>
      </c>
      <c r="T361" s="19" t="s">
        <v>286</v>
      </c>
    </row>
    <row r="362" spans="1:20" x14ac:dyDescent="0.2">
      <c r="A362" s="1">
        <v>46042</v>
      </c>
      <c r="B362" s="2">
        <v>0.79166666666666663</v>
      </c>
      <c r="C362" s="19" t="s">
        <v>37</v>
      </c>
      <c r="D362" s="19" t="s">
        <v>33</v>
      </c>
      <c r="E362" s="19" t="s">
        <v>37</v>
      </c>
      <c r="F362">
        <v>3</v>
      </c>
      <c r="G362">
        <v>2</v>
      </c>
      <c r="H362">
        <v>0.5917</v>
      </c>
      <c r="I362" s="19" t="s">
        <v>249</v>
      </c>
      <c r="J362" s="19" t="s">
        <v>37</v>
      </c>
      <c r="K362">
        <v>3</v>
      </c>
      <c r="L362">
        <v>2</v>
      </c>
      <c r="M362">
        <v>1.38</v>
      </c>
      <c r="N362" s="19" t="s">
        <v>37</v>
      </c>
      <c r="O362" s="19" t="s">
        <v>289</v>
      </c>
      <c r="P362" s="19" t="s">
        <v>287</v>
      </c>
      <c r="Q362" s="19" t="s">
        <v>285</v>
      </c>
      <c r="R362" s="19" t="s">
        <v>248</v>
      </c>
      <c r="S362" s="19" t="s">
        <v>248</v>
      </c>
      <c r="T362" s="19" t="s">
        <v>286</v>
      </c>
    </row>
    <row r="363" spans="1:20" x14ac:dyDescent="0.2">
      <c r="A363" s="1">
        <v>46042</v>
      </c>
      <c r="B363" s="2">
        <v>0.79166666666666663</v>
      </c>
      <c r="C363" s="19" t="s">
        <v>18</v>
      </c>
      <c r="D363" s="19" t="s">
        <v>34</v>
      </c>
      <c r="E363" s="19" t="s">
        <v>34</v>
      </c>
      <c r="F363">
        <v>3</v>
      </c>
      <c r="G363">
        <v>4</v>
      </c>
      <c r="H363">
        <v>0.61460000000000004</v>
      </c>
      <c r="I363" s="19" t="s">
        <v>249</v>
      </c>
      <c r="J363" s="19" t="s">
        <v>34</v>
      </c>
      <c r="K363">
        <v>3</v>
      </c>
      <c r="L363">
        <v>2</v>
      </c>
      <c r="M363">
        <v>-0.15</v>
      </c>
      <c r="N363" s="19" t="s">
        <v>18</v>
      </c>
      <c r="O363" s="19" t="s">
        <v>289</v>
      </c>
      <c r="P363" s="19" t="s">
        <v>291</v>
      </c>
      <c r="Q363" s="19" t="s">
        <v>285</v>
      </c>
      <c r="R363" s="19" t="s">
        <v>249</v>
      </c>
      <c r="S363" s="19" t="s">
        <v>249</v>
      </c>
      <c r="T363" s="19" t="s">
        <v>286</v>
      </c>
    </row>
    <row r="364" spans="1:20" x14ac:dyDescent="0.2">
      <c r="A364" s="1">
        <v>46043</v>
      </c>
      <c r="B364" s="2">
        <v>0.79166666666666663</v>
      </c>
      <c r="C364" s="19" t="s">
        <v>19</v>
      </c>
      <c r="D364" s="19" t="s">
        <v>26</v>
      </c>
      <c r="E364" s="19" t="s">
        <v>26</v>
      </c>
      <c r="F364">
        <v>4</v>
      </c>
      <c r="G364">
        <v>5</v>
      </c>
      <c r="H364">
        <v>0.59689999999999999</v>
      </c>
      <c r="I364" s="19" t="s">
        <v>249</v>
      </c>
      <c r="J364" s="19" t="s">
        <v>19</v>
      </c>
      <c r="K364">
        <v>3</v>
      </c>
      <c r="L364">
        <v>2</v>
      </c>
      <c r="M364">
        <v>0.12</v>
      </c>
      <c r="N364" s="19" t="s">
        <v>26</v>
      </c>
      <c r="O364" s="19" t="s">
        <v>287</v>
      </c>
      <c r="P364" s="19" t="s">
        <v>284</v>
      </c>
      <c r="Q364" s="19" t="s">
        <v>287</v>
      </c>
      <c r="R364" s="19" t="s">
        <v>248</v>
      </c>
      <c r="S364" s="19" t="s">
        <v>249</v>
      </c>
      <c r="T364" s="19" t="s">
        <v>286</v>
      </c>
    </row>
    <row r="365" spans="1:20" x14ac:dyDescent="0.2">
      <c r="A365" s="1">
        <v>46043</v>
      </c>
      <c r="B365" s="2">
        <v>0.91666666666666663</v>
      </c>
      <c r="C365" s="19" t="s">
        <v>38</v>
      </c>
      <c r="D365" s="19" t="s">
        <v>22</v>
      </c>
      <c r="E365" s="19" t="s">
        <v>22</v>
      </c>
      <c r="F365">
        <v>2</v>
      </c>
      <c r="G365">
        <v>4</v>
      </c>
      <c r="H365">
        <v>0.84079999999999999</v>
      </c>
      <c r="I365" s="19" t="s">
        <v>249</v>
      </c>
      <c r="J365" s="19" t="s">
        <v>22</v>
      </c>
      <c r="K365">
        <v>3</v>
      </c>
      <c r="L365">
        <v>2</v>
      </c>
      <c r="M365">
        <v>-1.1100000000000001</v>
      </c>
      <c r="N365" s="19" t="s">
        <v>38</v>
      </c>
      <c r="O365" s="19" t="s">
        <v>289</v>
      </c>
      <c r="P365" s="19" t="s">
        <v>291</v>
      </c>
      <c r="Q365" s="19" t="s">
        <v>285</v>
      </c>
      <c r="R365" s="19" t="s">
        <v>249</v>
      </c>
      <c r="S365" s="19" t="s">
        <v>249</v>
      </c>
      <c r="T365" s="19" t="s">
        <v>286</v>
      </c>
    </row>
    <row r="366" spans="1:20" x14ac:dyDescent="0.2">
      <c r="A366" s="1">
        <v>46043</v>
      </c>
      <c r="B366" s="2">
        <v>0.89583333333333337</v>
      </c>
      <c r="C366" s="19" t="s">
        <v>32</v>
      </c>
      <c r="D366" s="19" t="s">
        <v>30</v>
      </c>
      <c r="E366" s="19" t="s">
        <v>30</v>
      </c>
      <c r="F366">
        <v>3</v>
      </c>
      <c r="G366">
        <v>4</v>
      </c>
      <c r="H366">
        <v>0.69310000000000005</v>
      </c>
      <c r="I366" s="19" t="s">
        <v>249</v>
      </c>
      <c r="J366" s="19" t="s">
        <v>30</v>
      </c>
      <c r="K366">
        <v>3</v>
      </c>
      <c r="L366">
        <v>2</v>
      </c>
      <c r="M366">
        <v>-0.43</v>
      </c>
      <c r="N366" s="19" t="s">
        <v>32</v>
      </c>
      <c r="O366" s="19" t="s">
        <v>289</v>
      </c>
      <c r="P366" s="19" t="s">
        <v>287</v>
      </c>
      <c r="Q366" s="19" t="s">
        <v>285</v>
      </c>
      <c r="R366" s="19" t="s">
        <v>249</v>
      </c>
      <c r="S366" s="19" t="s">
        <v>249</v>
      </c>
      <c r="T366" s="19" t="s">
        <v>286</v>
      </c>
    </row>
    <row r="367" spans="1:20" x14ac:dyDescent="0.2">
      <c r="A367" s="1">
        <v>46043</v>
      </c>
      <c r="B367" s="2">
        <v>0.875</v>
      </c>
      <c r="C367" s="19" t="s">
        <v>12</v>
      </c>
      <c r="D367" s="19" t="s">
        <v>31</v>
      </c>
      <c r="E367" s="19" t="s">
        <v>12</v>
      </c>
      <c r="F367">
        <v>5</v>
      </c>
      <c r="G367">
        <v>1</v>
      </c>
      <c r="H367">
        <v>0.96020000000000005</v>
      </c>
      <c r="I367" s="19" t="s">
        <v>249</v>
      </c>
      <c r="J367" s="19" t="s">
        <v>12</v>
      </c>
      <c r="K367">
        <v>3</v>
      </c>
      <c r="L367">
        <v>2</v>
      </c>
      <c r="M367">
        <v>1.96</v>
      </c>
      <c r="N367" s="19" t="s">
        <v>31</v>
      </c>
      <c r="O367" s="19" t="s">
        <v>287</v>
      </c>
      <c r="P367" s="19" t="s">
        <v>284</v>
      </c>
      <c r="Q367" s="19" t="s">
        <v>287</v>
      </c>
      <c r="R367" s="19" t="s">
        <v>249</v>
      </c>
      <c r="S367" s="19" t="s">
        <v>249</v>
      </c>
      <c r="T367" s="19" t="s">
        <v>286</v>
      </c>
    </row>
    <row r="368" spans="1:20" x14ac:dyDescent="0.2">
      <c r="A368" s="1">
        <v>46043</v>
      </c>
      <c r="B368" s="2">
        <v>0.89583333333333337</v>
      </c>
      <c r="C368" s="19" t="s">
        <v>16</v>
      </c>
      <c r="D368" s="19" t="s">
        <v>14</v>
      </c>
      <c r="E368" s="19" t="s">
        <v>16</v>
      </c>
      <c r="F368">
        <v>4</v>
      </c>
      <c r="G368">
        <v>3</v>
      </c>
      <c r="H368">
        <v>0.61180000000000001</v>
      </c>
      <c r="I368" s="19" t="s">
        <v>249</v>
      </c>
      <c r="J368" s="19" t="s">
        <v>14</v>
      </c>
      <c r="K368">
        <v>3</v>
      </c>
      <c r="L368">
        <v>2</v>
      </c>
      <c r="M368">
        <v>-0.43</v>
      </c>
      <c r="N368" s="19" t="s">
        <v>14</v>
      </c>
      <c r="O368" s="19" t="s">
        <v>287</v>
      </c>
      <c r="P368" s="19" t="s">
        <v>289</v>
      </c>
      <c r="Q368" s="19" t="s">
        <v>285</v>
      </c>
      <c r="R368" s="19" t="s">
        <v>249</v>
      </c>
      <c r="S368" s="19" t="s">
        <v>248</v>
      </c>
      <c r="T368" s="19" t="s">
        <v>286</v>
      </c>
    </row>
    <row r="369" spans="1:20" x14ac:dyDescent="0.2">
      <c r="A369" s="1">
        <v>46043</v>
      </c>
      <c r="B369" s="2">
        <v>0.875</v>
      </c>
      <c r="C369" s="19" t="s">
        <v>55</v>
      </c>
      <c r="D369" s="19" t="s">
        <v>27</v>
      </c>
      <c r="E369" s="19" t="s">
        <v>55</v>
      </c>
      <c r="F369">
        <v>4</v>
      </c>
      <c r="G369">
        <v>3</v>
      </c>
      <c r="H369">
        <v>0.68020000000000003</v>
      </c>
      <c r="I369" s="19" t="s">
        <v>249</v>
      </c>
      <c r="J369" s="19" t="s">
        <v>55</v>
      </c>
      <c r="K369">
        <v>3</v>
      </c>
      <c r="L369">
        <v>2</v>
      </c>
      <c r="M369">
        <v>0.63</v>
      </c>
      <c r="N369" s="19" t="s">
        <v>55</v>
      </c>
      <c r="O369" s="19" t="s">
        <v>283</v>
      </c>
      <c r="P369" s="19" t="s">
        <v>289</v>
      </c>
      <c r="Q369" s="19" t="s">
        <v>287</v>
      </c>
      <c r="R369" s="19" t="s">
        <v>248</v>
      </c>
      <c r="S369" s="19" t="s">
        <v>248</v>
      </c>
      <c r="T369" s="19" t="s">
        <v>286</v>
      </c>
    </row>
    <row r="370" spans="1:20" x14ac:dyDescent="0.2">
      <c r="A370" s="1">
        <v>46044</v>
      </c>
      <c r="B370" s="2">
        <v>0.83333333333333337</v>
      </c>
      <c r="C370" s="19" t="s">
        <v>29</v>
      </c>
      <c r="D370" s="19" t="s">
        <v>36</v>
      </c>
      <c r="E370" s="19" t="s">
        <v>36</v>
      </c>
      <c r="F370">
        <v>3</v>
      </c>
      <c r="G370">
        <v>4</v>
      </c>
      <c r="H370">
        <v>0.51690000000000003</v>
      </c>
      <c r="I370" s="19" t="s">
        <v>249</v>
      </c>
      <c r="J370" s="19" t="s">
        <v>36</v>
      </c>
      <c r="K370">
        <v>3</v>
      </c>
      <c r="L370">
        <v>2</v>
      </c>
      <c r="M370">
        <v>-0.28999999999999998</v>
      </c>
      <c r="N370" s="19" t="s">
        <v>29</v>
      </c>
      <c r="O370" s="19" t="s">
        <v>283</v>
      </c>
      <c r="P370" s="19" t="s">
        <v>291</v>
      </c>
      <c r="Q370" s="19" t="s">
        <v>285</v>
      </c>
      <c r="R370" s="19" t="s">
        <v>249</v>
      </c>
      <c r="S370" s="19" t="s">
        <v>249</v>
      </c>
      <c r="T370" s="19" t="s">
        <v>286</v>
      </c>
    </row>
    <row r="371" spans="1:20" x14ac:dyDescent="0.2">
      <c r="A371" s="1">
        <v>46044</v>
      </c>
      <c r="B371" s="2">
        <v>0.79166666666666663</v>
      </c>
      <c r="C371" s="19" t="s">
        <v>25</v>
      </c>
      <c r="D371" s="19" t="s">
        <v>10</v>
      </c>
      <c r="E371" s="19" t="s">
        <v>25</v>
      </c>
      <c r="F371">
        <v>4</v>
      </c>
      <c r="G371">
        <v>3</v>
      </c>
      <c r="H371">
        <v>0.749</v>
      </c>
      <c r="I371" s="19" t="s">
        <v>249</v>
      </c>
      <c r="J371" s="19" t="s">
        <v>25</v>
      </c>
      <c r="K371">
        <v>3</v>
      </c>
      <c r="L371">
        <v>2</v>
      </c>
      <c r="M371">
        <v>1.1499999999999999</v>
      </c>
      <c r="N371" s="19" t="s">
        <v>10</v>
      </c>
      <c r="O371" s="19" t="s">
        <v>291</v>
      </c>
      <c r="P371" s="19" t="s">
        <v>289</v>
      </c>
      <c r="Q371" s="19" t="s">
        <v>287</v>
      </c>
      <c r="R371" s="19" t="s">
        <v>249</v>
      </c>
      <c r="S371" s="19" t="s">
        <v>249</v>
      </c>
      <c r="T371" s="19" t="s">
        <v>286</v>
      </c>
    </row>
    <row r="372" spans="1:20" x14ac:dyDescent="0.2">
      <c r="A372" s="1">
        <v>46044</v>
      </c>
      <c r="B372" s="2">
        <v>0.79166666666666663</v>
      </c>
      <c r="C372" s="19" t="s">
        <v>21</v>
      </c>
      <c r="D372" s="19" t="s">
        <v>20</v>
      </c>
      <c r="E372" s="19" t="s">
        <v>21</v>
      </c>
      <c r="F372">
        <v>4</v>
      </c>
      <c r="G372">
        <v>2</v>
      </c>
      <c r="H372">
        <v>0.64539999999999997</v>
      </c>
      <c r="I372" s="19" t="s">
        <v>249</v>
      </c>
      <c r="J372" s="19" t="s">
        <v>21</v>
      </c>
      <c r="K372">
        <v>3</v>
      </c>
      <c r="L372">
        <v>2</v>
      </c>
      <c r="M372">
        <v>0.1</v>
      </c>
      <c r="N372" s="19" t="s">
        <v>21</v>
      </c>
      <c r="O372" s="19" t="s">
        <v>289</v>
      </c>
      <c r="P372" s="19" t="s">
        <v>291</v>
      </c>
      <c r="Q372" s="19" t="s">
        <v>285</v>
      </c>
      <c r="R372" s="19" t="s">
        <v>248</v>
      </c>
      <c r="S372" s="19" t="s">
        <v>248</v>
      </c>
      <c r="T372" s="19" t="s">
        <v>286</v>
      </c>
    </row>
    <row r="373" spans="1:20" x14ac:dyDescent="0.2">
      <c r="A373" s="1">
        <v>46044</v>
      </c>
      <c r="B373" s="2">
        <v>0.79166666666666663</v>
      </c>
      <c r="C373" s="19" t="s">
        <v>28</v>
      </c>
      <c r="D373" s="19" t="s">
        <v>39</v>
      </c>
      <c r="E373" s="19" t="s">
        <v>39</v>
      </c>
      <c r="F373">
        <v>3</v>
      </c>
      <c r="G373">
        <v>4</v>
      </c>
      <c r="H373">
        <v>0.72750000000000004</v>
      </c>
      <c r="I373" s="19" t="s">
        <v>249</v>
      </c>
      <c r="J373" s="19" t="s">
        <v>39</v>
      </c>
      <c r="K373">
        <v>3</v>
      </c>
      <c r="L373">
        <v>2</v>
      </c>
      <c r="M373">
        <v>-0.66</v>
      </c>
      <c r="N373" s="19" t="s">
        <v>28</v>
      </c>
      <c r="O373" s="19" t="s">
        <v>287</v>
      </c>
      <c r="P373" s="19" t="s">
        <v>285</v>
      </c>
      <c r="Q373" s="19" t="s">
        <v>285</v>
      </c>
      <c r="R373" s="19" t="s">
        <v>249</v>
      </c>
      <c r="S373" s="19" t="s">
        <v>249</v>
      </c>
      <c r="T373" s="19" t="s">
        <v>286</v>
      </c>
    </row>
    <row r="374" spans="1:20" x14ac:dyDescent="0.2">
      <c r="A374" s="1">
        <v>46044</v>
      </c>
      <c r="B374" s="2">
        <v>0.89583333333333337</v>
      </c>
      <c r="C374" s="19" t="s">
        <v>34</v>
      </c>
      <c r="D374" s="19" t="s">
        <v>26</v>
      </c>
      <c r="E374" s="19" t="s">
        <v>34</v>
      </c>
      <c r="F374">
        <v>4</v>
      </c>
      <c r="G374">
        <v>3</v>
      </c>
      <c r="H374">
        <v>0.54690000000000005</v>
      </c>
      <c r="I374" s="19" t="s">
        <v>248</v>
      </c>
      <c r="J374" s="19" t="s">
        <v>34</v>
      </c>
      <c r="K374">
        <v>3</v>
      </c>
      <c r="L374">
        <v>2</v>
      </c>
      <c r="M374">
        <v>0.39</v>
      </c>
      <c r="N374" s="19" t="s">
        <v>34</v>
      </c>
      <c r="O374" s="19" t="s">
        <v>289</v>
      </c>
      <c r="P374" s="19" t="s">
        <v>291</v>
      </c>
      <c r="Q374" s="19" t="s">
        <v>287</v>
      </c>
      <c r="R374" s="19" t="s">
        <v>248</v>
      </c>
      <c r="S374" s="19" t="s">
        <v>248</v>
      </c>
      <c r="T374" s="19" t="s">
        <v>286</v>
      </c>
    </row>
    <row r="375" spans="1:20" x14ac:dyDescent="0.2">
      <c r="A375" s="1">
        <v>46044</v>
      </c>
      <c r="B375" s="2">
        <v>0.875</v>
      </c>
      <c r="C375" s="19" t="s">
        <v>17</v>
      </c>
      <c r="D375" s="19" t="s">
        <v>14</v>
      </c>
      <c r="E375" s="19" t="s">
        <v>17</v>
      </c>
      <c r="F375">
        <v>4</v>
      </c>
      <c r="G375">
        <v>3</v>
      </c>
      <c r="H375">
        <v>0.68830000000000002</v>
      </c>
      <c r="I375" s="19" t="s">
        <v>249</v>
      </c>
      <c r="J375" s="19" t="s">
        <v>17</v>
      </c>
      <c r="K375">
        <v>3</v>
      </c>
      <c r="L375">
        <v>2</v>
      </c>
      <c r="M375">
        <v>0.1</v>
      </c>
      <c r="N375" s="19" t="s">
        <v>14</v>
      </c>
      <c r="O375" s="19" t="s">
        <v>284</v>
      </c>
      <c r="P375" s="19" t="s">
        <v>288</v>
      </c>
      <c r="Q375" s="19" t="s">
        <v>285</v>
      </c>
      <c r="R375" s="19" t="s">
        <v>249</v>
      </c>
      <c r="S375" s="19" t="s">
        <v>249</v>
      </c>
      <c r="T375" s="19" t="s">
        <v>286</v>
      </c>
    </row>
    <row r="376" spans="1:20" x14ac:dyDescent="0.2">
      <c r="A376" s="1">
        <v>46044</v>
      </c>
      <c r="B376" s="2">
        <v>0.83333333333333337</v>
      </c>
      <c r="C376" s="19" t="s">
        <v>40</v>
      </c>
      <c r="D376" s="19" t="s">
        <v>11</v>
      </c>
      <c r="E376" s="19" t="s">
        <v>11</v>
      </c>
      <c r="F376">
        <v>3</v>
      </c>
      <c r="G376">
        <v>4</v>
      </c>
      <c r="H376">
        <v>0.56410000000000005</v>
      </c>
      <c r="I376" s="19" t="s">
        <v>249</v>
      </c>
      <c r="J376" s="19" t="s">
        <v>40</v>
      </c>
      <c r="K376">
        <v>3</v>
      </c>
      <c r="L376">
        <v>2</v>
      </c>
      <c r="M376">
        <v>0.24</v>
      </c>
      <c r="N376" s="19" t="s">
        <v>11</v>
      </c>
      <c r="O376" s="19" t="s">
        <v>287</v>
      </c>
      <c r="P376" s="19" t="s">
        <v>284</v>
      </c>
      <c r="Q376" s="19" t="s">
        <v>287</v>
      </c>
      <c r="R376" s="19" t="s">
        <v>248</v>
      </c>
      <c r="S376" s="19" t="s">
        <v>249</v>
      </c>
      <c r="T376" s="19" t="s">
        <v>286</v>
      </c>
    </row>
    <row r="377" spans="1:20" x14ac:dyDescent="0.2">
      <c r="A377" s="1">
        <v>46044</v>
      </c>
      <c r="B377" s="2">
        <v>0.79166666666666663</v>
      </c>
      <c r="C377" s="19" t="s">
        <v>18</v>
      </c>
      <c r="D377" s="19" t="s">
        <v>23</v>
      </c>
      <c r="E377" s="19" t="s">
        <v>18</v>
      </c>
      <c r="F377">
        <v>4</v>
      </c>
      <c r="G377">
        <v>3</v>
      </c>
      <c r="H377">
        <v>0.74329999999999996</v>
      </c>
      <c r="I377" s="19" t="s">
        <v>249</v>
      </c>
      <c r="J377" s="19" t="s">
        <v>18</v>
      </c>
      <c r="K377">
        <v>3</v>
      </c>
      <c r="L377">
        <v>2</v>
      </c>
      <c r="M377">
        <v>0.03</v>
      </c>
      <c r="N377" s="19" t="s">
        <v>23</v>
      </c>
      <c r="O377" s="19" t="s">
        <v>284</v>
      </c>
      <c r="P377" s="19" t="s">
        <v>289</v>
      </c>
      <c r="Q377" s="19" t="s">
        <v>285</v>
      </c>
      <c r="R377" s="19" t="s">
        <v>249</v>
      </c>
      <c r="S377" s="19" t="s">
        <v>249</v>
      </c>
      <c r="T377" s="19" t="s">
        <v>286</v>
      </c>
    </row>
    <row r="378" spans="1:20" x14ac:dyDescent="0.2">
      <c r="A378" s="1">
        <v>46045</v>
      </c>
      <c r="B378" s="2">
        <v>0.79166666666666663</v>
      </c>
      <c r="C378" s="19" t="s">
        <v>10</v>
      </c>
      <c r="D378" s="19" t="s">
        <v>37</v>
      </c>
      <c r="E378" s="19" t="s">
        <v>37</v>
      </c>
      <c r="F378">
        <v>2</v>
      </c>
      <c r="G378">
        <v>4</v>
      </c>
      <c r="H378">
        <v>0.84140000000000004</v>
      </c>
      <c r="I378" s="19" t="s">
        <v>249</v>
      </c>
      <c r="J378" s="19" t="s">
        <v>37</v>
      </c>
      <c r="K378">
        <v>3</v>
      </c>
      <c r="L378">
        <v>2</v>
      </c>
      <c r="M378">
        <v>-1.32</v>
      </c>
      <c r="N378" s="19" t="s">
        <v>37</v>
      </c>
      <c r="O378" s="19" t="s">
        <v>287</v>
      </c>
      <c r="P378" s="19" t="s">
        <v>284</v>
      </c>
      <c r="Q378" s="19" t="s">
        <v>287</v>
      </c>
      <c r="R378" s="19" t="s">
        <v>248</v>
      </c>
      <c r="S378" s="19" t="s">
        <v>248</v>
      </c>
      <c r="T378" s="19" t="s">
        <v>286</v>
      </c>
    </row>
    <row r="379" spans="1:20" x14ac:dyDescent="0.2">
      <c r="A379" s="1">
        <v>46045</v>
      </c>
      <c r="B379" s="2">
        <v>0.875</v>
      </c>
      <c r="C379" s="19" t="s">
        <v>12</v>
      </c>
      <c r="D379" s="19" t="s">
        <v>27</v>
      </c>
      <c r="E379" s="19" t="s">
        <v>12</v>
      </c>
      <c r="F379">
        <v>5</v>
      </c>
      <c r="G379">
        <v>1</v>
      </c>
      <c r="H379">
        <v>0.92430000000000001</v>
      </c>
      <c r="I379" s="19" t="s">
        <v>249</v>
      </c>
      <c r="J379" s="19" t="s">
        <v>12</v>
      </c>
      <c r="K379">
        <v>3</v>
      </c>
      <c r="L379">
        <v>2</v>
      </c>
      <c r="M379">
        <v>1.84</v>
      </c>
      <c r="N379" s="19" t="s">
        <v>27</v>
      </c>
      <c r="O379" s="19" t="s">
        <v>291</v>
      </c>
      <c r="P379" s="19" t="s">
        <v>292</v>
      </c>
      <c r="Q379" s="19" t="s">
        <v>285</v>
      </c>
      <c r="R379" s="19" t="s">
        <v>249</v>
      </c>
      <c r="S379" s="19" t="s">
        <v>249</v>
      </c>
      <c r="T379" s="19" t="s">
        <v>286</v>
      </c>
    </row>
    <row r="380" spans="1:20" x14ac:dyDescent="0.2">
      <c r="A380" s="1">
        <v>46045</v>
      </c>
      <c r="B380" s="2">
        <v>0.875</v>
      </c>
      <c r="C380" s="19" t="s">
        <v>16</v>
      </c>
      <c r="D380" s="19" t="s">
        <v>22</v>
      </c>
      <c r="E380" s="19" t="s">
        <v>16</v>
      </c>
      <c r="F380">
        <v>3</v>
      </c>
      <c r="G380">
        <v>2</v>
      </c>
      <c r="H380">
        <v>0.65200000000000002</v>
      </c>
      <c r="I380" s="19" t="s">
        <v>249</v>
      </c>
      <c r="J380" s="19" t="s">
        <v>22</v>
      </c>
      <c r="K380">
        <v>3</v>
      </c>
      <c r="L380">
        <v>2</v>
      </c>
      <c r="M380">
        <v>-0.56000000000000005</v>
      </c>
      <c r="N380" s="19" t="s">
        <v>22</v>
      </c>
      <c r="O380" s="19" t="s">
        <v>287</v>
      </c>
      <c r="P380" s="19" t="s">
        <v>291</v>
      </c>
      <c r="Q380" s="19" t="s">
        <v>285</v>
      </c>
      <c r="R380" s="19" t="s">
        <v>249</v>
      </c>
      <c r="S380" s="19" t="s">
        <v>248</v>
      </c>
      <c r="T380" s="19" t="s">
        <v>286</v>
      </c>
    </row>
    <row r="381" spans="1:20" x14ac:dyDescent="0.2">
      <c r="A381" s="1">
        <v>46045</v>
      </c>
      <c r="B381" s="2">
        <v>0.79166666666666663</v>
      </c>
      <c r="C381" s="19" t="s">
        <v>19</v>
      </c>
      <c r="D381" s="19" t="s">
        <v>20</v>
      </c>
      <c r="E381" s="19" t="s">
        <v>19</v>
      </c>
      <c r="F381">
        <v>4</v>
      </c>
      <c r="G381">
        <v>3</v>
      </c>
      <c r="H381">
        <v>0.62209999999999999</v>
      </c>
      <c r="I381" s="19" t="s">
        <v>249</v>
      </c>
      <c r="J381" s="19" t="s">
        <v>20</v>
      </c>
      <c r="K381">
        <v>3</v>
      </c>
      <c r="L381">
        <v>2</v>
      </c>
      <c r="M381">
        <v>-0.1</v>
      </c>
      <c r="N381" s="19" t="s">
        <v>20</v>
      </c>
      <c r="O381" s="19" t="s">
        <v>291</v>
      </c>
      <c r="P381" s="19" t="s">
        <v>288</v>
      </c>
      <c r="Q381" s="19" t="s">
        <v>285</v>
      </c>
      <c r="R381" s="19" t="s">
        <v>249</v>
      </c>
      <c r="S381" s="19" t="s">
        <v>248</v>
      </c>
      <c r="T381" s="19" t="s">
        <v>286</v>
      </c>
    </row>
    <row r="382" spans="1:20" x14ac:dyDescent="0.2">
      <c r="A382" s="1">
        <v>46045</v>
      </c>
      <c r="B382" s="2">
        <v>0.91666666666666663</v>
      </c>
      <c r="C382" s="19" t="s">
        <v>32</v>
      </c>
      <c r="D382" s="19" t="s">
        <v>31</v>
      </c>
      <c r="E382" s="19" t="s">
        <v>32</v>
      </c>
      <c r="F382">
        <v>3</v>
      </c>
      <c r="G382">
        <v>2</v>
      </c>
      <c r="H382">
        <v>0.79500000000000004</v>
      </c>
      <c r="I382" s="19" t="s">
        <v>249</v>
      </c>
      <c r="J382" s="19" t="s">
        <v>32</v>
      </c>
      <c r="K382">
        <v>3</v>
      </c>
      <c r="L382">
        <v>2</v>
      </c>
      <c r="M382">
        <v>0.01</v>
      </c>
      <c r="N382" s="19" t="s">
        <v>31</v>
      </c>
      <c r="O382" s="19" t="s">
        <v>284</v>
      </c>
      <c r="P382" s="19" t="s">
        <v>289</v>
      </c>
      <c r="Q382" s="19" t="s">
        <v>285</v>
      </c>
      <c r="R382" s="19" t="s">
        <v>249</v>
      </c>
      <c r="S382" s="19" t="s">
        <v>249</v>
      </c>
      <c r="T382" s="19" t="s">
        <v>286</v>
      </c>
    </row>
    <row r="383" spans="1:20" x14ac:dyDescent="0.2">
      <c r="A383" s="1">
        <v>46045</v>
      </c>
      <c r="B383" s="2">
        <v>0.83333333333333337</v>
      </c>
      <c r="C383" s="19" t="s">
        <v>39</v>
      </c>
      <c r="D383" s="19" t="s">
        <v>35</v>
      </c>
      <c r="E383" s="19" t="s">
        <v>39</v>
      </c>
      <c r="F383">
        <v>4</v>
      </c>
      <c r="G383">
        <v>3</v>
      </c>
      <c r="H383">
        <v>0.73329999999999995</v>
      </c>
      <c r="I383" s="19" t="s">
        <v>249</v>
      </c>
      <c r="J383" s="19" t="s">
        <v>39</v>
      </c>
      <c r="K383">
        <v>3</v>
      </c>
      <c r="L383">
        <v>2</v>
      </c>
      <c r="M383">
        <v>1.62</v>
      </c>
      <c r="N383" s="19" t="s">
        <v>39</v>
      </c>
      <c r="O383" s="19" t="s">
        <v>291</v>
      </c>
      <c r="P383" s="19" t="s">
        <v>284</v>
      </c>
      <c r="Q383" s="19" t="s">
        <v>285</v>
      </c>
      <c r="R383" s="19" t="s">
        <v>248</v>
      </c>
      <c r="S383" s="19" t="s">
        <v>248</v>
      </c>
      <c r="T383" s="19" t="s">
        <v>286</v>
      </c>
    </row>
    <row r="384" spans="1:20" x14ac:dyDescent="0.2">
      <c r="A384" s="1">
        <v>46045</v>
      </c>
      <c r="B384" s="2">
        <v>0.91666666666666663</v>
      </c>
      <c r="C384" s="19" t="s">
        <v>33</v>
      </c>
      <c r="D384" s="19" t="s">
        <v>15</v>
      </c>
      <c r="E384" s="19" t="s">
        <v>15</v>
      </c>
      <c r="F384">
        <v>3</v>
      </c>
      <c r="G384">
        <v>4</v>
      </c>
      <c r="H384">
        <v>0.65349999999999997</v>
      </c>
      <c r="I384" s="19" t="s">
        <v>249</v>
      </c>
      <c r="J384" s="19" t="s">
        <v>33</v>
      </c>
      <c r="K384">
        <v>3</v>
      </c>
      <c r="L384">
        <v>2</v>
      </c>
      <c r="M384">
        <v>0.15</v>
      </c>
      <c r="N384" s="19" t="s">
        <v>33</v>
      </c>
      <c r="O384" s="19" t="s">
        <v>291</v>
      </c>
      <c r="P384" s="19" t="s">
        <v>287</v>
      </c>
      <c r="Q384" s="19" t="s">
        <v>285</v>
      </c>
      <c r="R384" s="19" t="s">
        <v>249</v>
      </c>
      <c r="S384" s="19" t="s">
        <v>248</v>
      </c>
      <c r="T384" s="19" t="s">
        <v>286</v>
      </c>
    </row>
    <row r="385" spans="1:20" x14ac:dyDescent="0.2">
      <c r="A385" s="1">
        <v>46045</v>
      </c>
      <c r="B385" s="2">
        <v>0.91666666666666663</v>
      </c>
      <c r="C385" s="19" t="s">
        <v>38</v>
      </c>
      <c r="D385" s="19" t="s">
        <v>24</v>
      </c>
      <c r="E385" s="19" t="s">
        <v>24</v>
      </c>
      <c r="F385">
        <v>3</v>
      </c>
      <c r="G385">
        <v>4</v>
      </c>
      <c r="H385">
        <v>0.73699999999999999</v>
      </c>
      <c r="I385" s="19" t="s">
        <v>249</v>
      </c>
      <c r="J385" s="19" t="s">
        <v>24</v>
      </c>
      <c r="K385">
        <v>3</v>
      </c>
      <c r="L385">
        <v>2</v>
      </c>
      <c r="M385">
        <v>-0.59</v>
      </c>
      <c r="N385" s="19" t="s">
        <v>24</v>
      </c>
      <c r="O385" s="19" t="s">
        <v>289</v>
      </c>
      <c r="P385" s="19" t="s">
        <v>283</v>
      </c>
      <c r="Q385" s="19" t="s">
        <v>285</v>
      </c>
      <c r="R385" s="19" t="s">
        <v>248</v>
      </c>
      <c r="S385" s="19" t="s">
        <v>248</v>
      </c>
      <c r="T385" s="19" t="s">
        <v>286</v>
      </c>
    </row>
    <row r="386" spans="1:20" x14ac:dyDescent="0.2">
      <c r="A386" s="1">
        <v>46046</v>
      </c>
      <c r="B386" s="2">
        <v>0.875</v>
      </c>
      <c r="C386" s="19" t="s">
        <v>34</v>
      </c>
      <c r="D386" s="19" t="s">
        <v>11</v>
      </c>
      <c r="E386" s="19" t="s">
        <v>11</v>
      </c>
      <c r="F386">
        <v>3</v>
      </c>
      <c r="G386">
        <v>4</v>
      </c>
      <c r="H386">
        <v>0.61229999999999996</v>
      </c>
      <c r="I386" s="19" t="s">
        <v>249</v>
      </c>
      <c r="J386" s="19" t="s">
        <v>34</v>
      </c>
      <c r="K386">
        <v>3</v>
      </c>
      <c r="L386">
        <v>2</v>
      </c>
      <c r="M386">
        <v>0.61</v>
      </c>
      <c r="N386" s="19" t="s">
        <v>11</v>
      </c>
      <c r="O386" s="19" t="s">
        <v>291</v>
      </c>
      <c r="P386" s="19" t="s">
        <v>289</v>
      </c>
      <c r="Q386" s="19" t="s">
        <v>287</v>
      </c>
      <c r="R386" s="19" t="s">
        <v>248</v>
      </c>
      <c r="S386" s="19" t="s">
        <v>249</v>
      </c>
      <c r="T386" s="19" t="s">
        <v>286</v>
      </c>
    </row>
    <row r="387" spans="1:20" x14ac:dyDescent="0.2">
      <c r="A387" s="1">
        <v>46046</v>
      </c>
      <c r="B387" s="2">
        <v>0.79166666666666663</v>
      </c>
      <c r="C387" s="19" t="s">
        <v>40</v>
      </c>
      <c r="D387" s="19" t="s">
        <v>26</v>
      </c>
      <c r="E387" s="19" t="s">
        <v>26</v>
      </c>
      <c r="F387">
        <v>3</v>
      </c>
      <c r="G387">
        <v>4</v>
      </c>
      <c r="H387">
        <v>0.84389999999999998</v>
      </c>
      <c r="I387" s="19" t="s">
        <v>249</v>
      </c>
      <c r="J387" s="19" t="s">
        <v>26</v>
      </c>
      <c r="K387">
        <v>3</v>
      </c>
      <c r="L387">
        <v>2</v>
      </c>
      <c r="M387">
        <v>-0.05</v>
      </c>
      <c r="N387" s="19" t="s">
        <v>26</v>
      </c>
      <c r="O387" s="19" t="s">
        <v>287</v>
      </c>
      <c r="P387" s="19" t="s">
        <v>283</v>
      </c>
      <c r="Q387" s="19" t="s">
        <v>285</v>
      </c>
      <c r="R387" s="19" t="s">
        <v>248</v>
      </c>
      <c r="S387" s="19" t="s">
        <v>248</v>
      </c>
      <c r="T387" s="19" t="s">
        <v>286</v>
      </c>
    </row>
    <row r="388" spans="1:20" x14ac:dyDescent="0.2">
      <c r="A388" s="1">
        <v>46046</v>
      </c>
      <c r="B388" s="2">
        <v>0.83333333333333337</v>
      </c>
      <c r="C388" s="19" t="s">
        <v>35</v>
      </c>
      <c r="D388" s="19" t="s">
        <v>13</v>
      </c>
      <c r="E388" s="19" t="s">
        <v>13</v>
      </c>
      <c r="F388">
        <v>2</v>
      </c>
      <c r="G388">
        <v>3</v>
      </c>
      <c r="H388">
        <v>0.71340000000000003</v>
      </c>
      <c r="I388" s="19" t="s">
        <v>248</v>
      </c>
      <c r="J388" s="19" t="s">
        <v>13</v>
      </c>
      <c r="K388">
        <v>3</v>
      </c>
      <c r="L388">
        <v>2</v>
      </c>
      <c r="M388">
        <v>-0.72</v>
      </c>
      <c r="N388" s="19" t="s">
        <v>13</v>
      </c>
      <c r="O388" s="19" t="s">
        <v>289</v>
      </c>
      <c r="P388" s="19" t="s">
        <v>283</v>
      </c>
      <c r="Q388" s="19" t="s">
        <v>287</v>
      </c>
      <c r="R388" s="19" t="s">
        <v>248</v>
      </c>
      <c r="S388" s="19" t="s">
        <v>248</v>
      </c>
      <c r="T388" s="19" t="s">
        <v>286</v>
      </c>
    </row>
    <row r="389" spans="1:20" x14ac:dyDescent="0.2">
      <c r="A389" s="1">
        <v>46046</v>
      </c>
      <c r="B389" s="2">
        <v>0.79166666666666663</v>
      </c>
      <c r="C389" s="19" t="s">
        <v>28</v>
      </c>
      <c r="D389" s="19" t="s">
        <v>37</v>
      </c>
      <c r="E389" s="19" t="s">
        <v>37</v>
      </c>
      <c r="F389">
        <v>2</v>
      </c>
      <c r="G389">
        <v>4</v>
      </c>
      <c r="H389">
        <v>0.86760000000000004</v>
      </c>
      <c r="I389" s="19" t="s">
        <v>249</v>
      </c>
      <c r="J389" s="19" t="s">
        <v>37</v>
      </c>
      <c r="K389">
        <v>3</v>
      </c>
      <c r="L389">
        <v>2</v>
      </c>
      <c r="M389">
        <v>-1.1299999999999999</v>
      </c>
      <c r="N389" s="19" t="s">
        <v>28</v>
      </c>
      <c r="O389" s="19" t="s">
        <v>1494</v>
      </c>
      <c r="P389" s="19" t="s">
        <v>283</v>
      </c>
      <c r="Q389" s="19" t="s">
        <v>285</v>
      </c>
      <c r="R389" s="19" t="s">
        <v>249</v>
      </c>
      <c r="S389" s="19" t="s">
        <v>249</v>
      </c>
      <c r="T389" s="19" t="s">
        <v>286</v>
      </c>
    </row>
    <row r="390" spans="1:20" x14ac:dyDescent="0.2">
      <c r="A390" s="1">
        <v>46046</v>
      </c>
      <c r="B390" s="2">
        <v>0.91666666666666663</v>
      </c>
      <c r="C390" s="19" t="s">
        <v>17</v>
      </c>
      <c r="D390" s="19" t="s">
        <v>22</v>
      </c>
      <c r="E390" s="19" t="s">
        <v>17</v>
      </c>
      <c r="F390">
        <v>5</v>
      </c>
      <c r="G390">
        <v>4</v>
      </c>
      <c r="H390">
        <v>0.63849999999999996</v>
      </c>
      <c r="I390" s="19" t="s">
        <v>249</v>
      </c>
      <c r="J390" s="19" t="s">
        <v>22</v>
      </c>
      <c r="K390">
        <v>3</v>
      </c>
      <c r="L390">
        <v>2</v>
      </c>
      <c r="M390">
        <v>-0.04</v>
      </c>
      <c r="N390" s="19" t="s">
        <v>17</v>
      </c>
      <c r="O390" s="19" t="s">
        <v>288</v>
      </c>
      <c r="P390" s="19" t="s">
        <v>283</v>
      </c>
      <c r="Q390" s="19" t="s">
        <v>287</v>
      </c>
      <c r="R390" s="19" t="s">
        <v>248</v>
      </c>
      <c r="S390" s="19" t="s">
        <v>249</v>
      </c>
      <c r="T390" s="19" t="s">
        <v>286</v>
      </c>
    </row>
    <row r="391" spans="1:20" x14ac:dyDescent="0.2">
      <c r="A391" s="1">
        <v>46046</v>
      </c>
      <c r="B391" s="2">
        <v>0.79166666666666663</v>
      </c>
      <c r="C391" s="19" t="s">
        <v>36</v>
      </c>
      <c r="D391" s="19" t="s">
        <v>25</v>
      </c>
      <c r="E391" s="19" t="s">
        <v>25</v>
      </c>
      <c r="F391">
        <v>3</v>
      </c>
      <c r="G391">
        <v>4</v>
      </c>
      <c r="H391">
        <v>0.77159999999999995</v>
      </c>
      <c r="I391" s="19" t="s">
        <v>249</v>
      </c>
      <c r="J391" s="19" t="s">
        <v>25</v>
      </c>
      <c r="K391">
        <v>3</v>
      </c>
      <c r="L391">
        <v>2</v>
      </c>
      <c r="M391">
        <v>-0.5</v>
      </c>
      <c r="N391" s="19" t="s">
        <v>25</v>
      </c>
      <c r="O391" s="19" t="s">
        <v>287</v>
      </c>
      <c r="P391" s="19" t="s">
        <v>289</v>
      </c>
      <c r="Q391" s="19" t="s">
        <v>285</v>
      </c>
      <c r="R391" s="19" t="s">
        <v>248</v>
      </c>
      <c r="S391" s="19" t="s">
        <v>248</v>
      </c>
      <c r="T391" s="19" t="s">
        <v>286</v>
      </c>
    </row>
    <row r="392" spans="1:20" x14ac:dyDescent="0.2">
      <c r="A392" s="1">
        <v>46046</v>
      </c>
      <c r="B392" s="2">
        <v>0.54166666666666663</v>
      </c>
      <c r="C392" s="19" t="s">
        <v>30</v>
      </c>
      <c r="D392" s="19" t="s">
        <v>23</v>
      </c>
      <c r="E392" s="19" t="s">
        <v>30</v>
      </c>
      <c r="F392">
        <v>4</v>
      </c>
      <c r="G392">
        <v>3</v>
      </c>
      <c r="H392">
        <v>0.65369999999999995</v>
      </c>
      <c r="I392" s="19" t="s">
        <v>249</v>
      </c>
      <c r="J392" s="19" t="s">
        <v>30</v>
      </c>
      <c r="K392">
        <v>3</v>
      </c>
      <c r="L392">
        <v>2</v>
      </c>
      <c r="M392">
        <v>0.05</v>
      </c>
      <c r="N392" s="19" t="s">
        <v>23</v>
      </c>
      <c r="O392" s="19" t="s">
        <v>285</v>
      </c>
      <c r="P392" s="19" t="s">
        <v>283</v>
      </c>
      <c r="Q392" s="19" t="s">
        <v>285</v>
      </c>
      <c r="R392" s="19" t="s">
        <v>249</v>
      </c>
      <c r="S392" s="19" t="s">
        <v>249</v>
      </c>
      <c r="T392" s="19" t="s">
        <v>286</v>
      </c>
    </row>
    <row r="393" spans="1:20" x14ac:dyDescent="0.2">
      <c r="A393" s="1">
        <v>46046</v>
      </c>
      <c r="B393" s="2">
        <v>0.64583333333333337</v>
      </c>
      <c r="C393" s="19" t="s">
        <v>29</v>
      </c>
      <c r="D393" s="19" t="s">
        <v>55</v>
      </c>
      <c r="E393" s="19" t="s">
        <v>29</v>
      </c>
      <c r="F393">
        <v>4</v>
      </c>
      <c r="G393">
        <v>3</v>
      </c>
      <c r="H393">
        <v>0.76770000000000005</v>
      </c>
      <c r="I393" s="19" t="s">
        <v>249</v>
      </c>
      <c r="J393" s="19" t="s">
        <v>55</v>
      </c>
      <c r="K393">
        <v>3</v>
      </c>
      <c r="L393">
        <v>2</v>
      </c>
      <c r="M393">
        <v>-0.67</v>
      </c>
      <c r="N393" s="19" t="s">
        <v>55</v>
      </c>
      <c r="O393" s="19" t="s">
        <v>284</v>
      </c>
      <c r="P393" s="19" t="s">
        <v>283</v>
      </c>
      <c r="Q393" s="19" t="s">
        <v>285</v>
      </c>
      <c r="R393" s="19" t="s">
        <v>249</v>
      </c>
      <c r="S393" s="19" t="s">
        <v>248</v>
      </c>
      <c r="T393" s="19" t="s">
        <v>286</v>
      </c>
    </row>
    <row r="394" spans="1:20" x14ac:dyDescent="0.2">
      <c r="A394" s="1">
        <v>46046</v>
      </c>
      <c r="B394" s="2">
        <v>0.79166666666666663</v>
      </c>
      <c r="C394" s="19" t="s">
        <v>21</v>
      </c>
      <c r="D394" s="19" t="s">
        <v>18</v>
      </c>
      <c r="E394" s="19" t="s">
        <v>18</v>
      </c>
      <c r="F394">
        <v>3</v>
      </c>
      <c r="G394">
        <v>4</v>
      </c>
      <c r="H394">
        <v>0.68920000000000003</v>
      </c>
      <c r="I394" s="19" t="s">
        <v>249</v>
      </c>
      <c r="J394" s="19" t="s">
        <v>21</v>
      </c>
      <c r="K394">
        <v>3</v>
      </c>
      <c r="L394">
        <v>2</v>
      </c>
      <c r="M394">
        <v>0.28999999999999998</v>
      </c>
      <c r="N394" s="19" t="s">
        <v>21</v>
      </c>
      <c r="O394" s="19" t="s">
        <v>289</v>
      </c>
      <c r="P394" s="19" t="s">
        <v>291</v>
      </c>
      <c r="Q394" s="19" t="s">
        <v>285</v>
      </c>
      <c r="R394" s="19" t="s">
        <v>249</v>
      </c>
      <c r="S394" s="19" t="s">
        <v>248</v>
      </c>
      <c r="T394" s="19" t="s">
        <v>286</v>
      </c>
    </row>
    <row r="395" spans="1:20" x14ac:dyDescent="0.2">
      <c r="A395" s="1">
        <v>46047</v>
      </c>
      <c r="B395" s="2">
        <v>0.83333333333333337</v>
      </c>
      <c r="C395" s="19" t="s">
        <v>16</v>
      </c>
      <c r="D395" s="19" t="s">
        <v>31</v>
      </c>
      <c r="E395" s="19" t="s">
        <v>16</v>
      </c>
      <c r="F395">
        <v>3</v>
      </c>
      <c r="G395">
        <v>2</v>
      </c>
      <c r="H395">
        <v>0.68459999999999999</v>
      </c>
      <c r="I395" s="19" t="s">
        <v>249</v>
      </c>
      <c r="J395" s="19" t="s">
        <v>31</v>
      </c>
      <c r="K395">
        <v>3</v>
      </c>
      <c r="L395">
        <v>2</v>
      </c>
      <c r="M395">
        <v>-0.31</v>
      </c>
      <c r="N395" s="19" t="s">
        <v>31</v>
      </c>
      <c r="O395" s="19" t="s">
        <v>291</v>
      </c>
      <c r="P395" s="19" t="s">
        <v>289</v>
      </c>
      <c r="Q395" s="19" t="s">
        <v>287</v>
      </c>
      <c r="R395" s="19" t="s">
        <v>249</v>
      </c>
      <c r="S395" s="19" t="s">
        <v>248</v>
      </c>
      <c r="T395" s="19" t="s">
        <v>286</v>
      </c>
    </row>
    <row r="396" spans="1:20" x14ac:dyDescent="0.2">
      <c r="A396" s="1">
        <v>46047</v>
      </c>
      <c r="B396" s="2">
        <v>0.70833333333333337</v>
      </c>
      <c r="C396" s="19" t="s">
        <v>36</v>
      </c>
      <c r="D396" s="19" t="s">
        <v>20</v>
      </c>
      <c r="E396" s="19" t="s">
        <v>20</v>
      </c>
      <c r="F396">
        <v>2</v>
      </c>
      <c r="G396">
        <v>3</v>
      </c>
      <c r="H396">
        <v>0.66369999999999996</v>
      </c>
      <c r="I396" s="19" t="s">
        <v>248</v>
      </c>
      <c r="J396" s="19" t="s">
        <v>20</v>
      </c>
      <c r="K396">
        <v>3</v>
      </c>
      <c r="L396">
        <v>2</v>
      </c>
      <c r="M396">
        <v>-0.3</v>
      </c>
      <c r="N396" s="19" t="s">
        <v>36</v>
      </c>
      <c r="O396" s="19" t="s">
        <v>292</v>
      </c>
      <c r="P396" s="19" t="s">
        <v>287</v>
      </c>
      <c r="Q396" s="19" t="s">
        <v>285</v>
      </c>
      <c r="R396" s="19" t="s">
        <v>249</v>
      </c>
      <c r="S396" s="19" t="s">
        <v>249</v>
      </c>
      <c r="T396" s="19" t="s">
        <v>286</v>
      </c>
    </row>
    <row r="397" spans="1:20" x14ac:dyDescent="0.2">
      <c r="A397" s="1">
        <v>46047</v>
      </c>
      <c r="B397" s="2">
        <v>0.66666666666666663</v>
      </c>
      <c r="C397" s="19" t="s">
        <v>32</v>
      </c>
      <c r="D397" s="19" t="s">
        <v>24</v>
      </c>
      <c r="E397" s="19" t="s">
        <v>24</v>
      </c>
      <c r="F397">
        <v>3</v>
      </c>
      <c r="G397">
        <v>4</v>
      </c>
      <c r="H397">
        <v>0.5827</v>
      </c>
      <c r="I397" s="19" t="s">
        <v>249</v>
      </c>
      <c r="J397" s="19" t="s">
        <v>32</v>
      </c>
      <c r="K397">
        <v>3</v>
      </c>
      <c r="L397">
        <v>2</v>
      </c>
      <c r="M397">
        <v>0.05</v>
      </c>
      <c r="N397" s="19" t="s">
        <v>32</v>
      </c>
      <c r="O397" s="19" t="s">
        <v>289</v>
      </c>
      <c r="P397" s="19" t="s">
        <v>284</v>
      </c>
      <c r="Q397" s="19" t="s">
        <v>285</v>
      </c>
      <c r="R397" s="19" t="s">
        <v>249</v>
      </c>
      <c r="S397" s="19" t="s">
        <v>248</v>
      </c>
      <c r="T397" s="19" t="s">
        <v>286</v>
      </c>
    </row>
    <row r="398" spans="1:20" x14ac:dyDescent="0.2">
      <c r="A398" s="1">
        <v>46047</v>
      </c>
      <c r="B398" s="2">
        <v>0.79166666666666663</v>
      </c>
      <c r="C398" s="19" t="s">
        <v>10</v>
      </c>
      <c r="D398" s="19" t="s">
        <v>11</v>
      </c>
      <c r="E398" s="19" t="s">
        <v>11</v>
      </c>
      <c r="F398">
        <v>3</v>
      </c>
      <c r="G398">
        <v>4</v>
      </c>
      <c r="H398">
        <v>0.81389999999999996</v>
      </c>
      <c r="I398" s="19" t="s">
        <v>249</v>
      </c>
      <c r="J398" s="19" t="s">
        <v>11</v>
      </c>
      <c r="K398">
        <v>3</v>
      </c>
      <c r="L398">
        <v>2</v>
      </c>
      <c r="M398">
        <v>-0.18</v>
      </c>
      <c r="N398" s="19" t="s">
        <v>11</v>
      </c>
      <c r="O398" s="19" t="s">
        <v>287</v>
      </c>
      <c r="P398" s="19" t="s">
        <v>283</v>
      </c>
      <c r="Q398" s="19" t="s">
        <v>285</v>
      </c>
      <c r="R398" s="19" t="s">
        <v>248</v>
      </c>
      <c r="S398" s="19" t="s">
        <v>248</v>
      </c>
      <c r="T398" s="19" t="s">
        <v>286</v>
      </c>
    </row>
    <row r="399" spans="1:20" x14ac:dyDescent="0.2">
      <c r="A399" s="1">
        <v>46047</v>
      </c>
      <c r="B399" s="2">
        <v>0.75</v>
      </c>
      <c r="C399" s="19" t="s">
        <v>38</v>
      </c>
      <c r="D399" s="19" t="s">
        <v>14</v>
      </c>
      <c r="E399" s="19" t="s">
        <v>14</v>
      </c>
      <c r="F399">
        <v>1</v>
      </c>
      <c r="G399">
        <v>4</v>
      </c>
      <c r="H399">
        <v>0.71379999999999999</v>
      </c>
      <c r="I399" s="19" t="s">
        <v>249</v>
      </c>
      <c r="J399" s="19" t="s">
        <v>14</v>
      </c>
      <c r="K399">
        <v>3</v>
      </c>
      <c r="L399">
        <v>2</v>
      </c>
      <c r="M399">
        <v>-1.1599999999999999</v>
      </c>
      <c r="N399" s="19" t="s">
        <v>14</v>
      </c>
      <c r="O399" s="19" t="s">
        <v>284</v>
      </c>
      <c r="P399" s="19" t="s">
        <v>291</v>
      </c>
      <c r="Q399" s="19" t="s">
        <v>285</v>
      </c>
      <c r="R399" s="19" t="s">
        <v>248</v>
      </c>
      <c r="S399" s="19" t="s">
        <v>248</v>
      </c>
      <c r="T399" s="19" t="s">
        <v>286</v>
      </c>
    </row>
    <row r="400" spans="1:20" x14ac:dyDescent="0.2">
      <c r="A400" s="1">
        <v>46047</v>
      </c>
      <c r="B400" s="2">
        <v>0.5625</v>
      </c>
      <c r="C400" s="19" t="s">
        <v>19</v>
      </c>
      <c r="D400" s="19" t="s">
        <v>12</v>
      </c>
      <c r="E400" s="19" t="s">
        <v>12</v>
      </c>
      <c r="F400">
        <v>3</v>
      </c>
      <c r="G400">
        <v>4</v>
      </c>
      <c r="H400">
        <v>0.5665</v>
      </c>
      <c r="I400" s="19" t="s">
        <v>249</v>
      </c>
      <c r="J400" s="19" t="s">
        <v>12</v>
      </c>
      <c r="K400">
        <v>3</v>
      </c>
      <c r="L400">
        <v>2</v>
      </c>
      <c r="M400">
        <v>-1.4</v>
      </c>
      <c r="N400" s="19" t="s">
        <v>12</v>
      </c>
      <c r="O400" s="19" t="s">
        <v>287</v>
      </c>
      <c r="P400" s="19" t="s">
        <v>289</v>
      </c>
      <c r="Q400" s="19" t="s">
        <v>285</v>
      </c>
      <c r="R400" s="19" t="s">
        <v>248</v>
      </c>
      <c r="S400" s="19" t="s">
        <v>248</v>
      </c>
      <c r="T400" s="19" t="s">
        <v>286</v>
      </c>
    </row>
    <row r="401" spans="1:20" x14ac:dyDescent="0.2">
      <c r="A401" s="1">
        <v>46048</v>
      </c>
      <c r="B401" s="2">
        <v>0.85416666666666663</v>
      </c>
      <c r="C401" s="19" t="s">
        <v>17</v>
      </c>
      <c r="D401" s="19" t="s">
        <v>31</v>
      </c>
      <c r="E401" s="19" t="s">
        <v>31</v>
      </c>
      <c r="F401">
        <v>4</v>
      </c>
      <c r="G401">
        <v>5</v>
      </c>
      <c r="H401">
        <v>0.55489999999999995</v>
      </c>
      <c r="I401" s="19" t="s">
        <v>249</v>
      </c>
      <c r="J401" s="19" t="s">
        <v>17</v>
      </c>
      <c r="K401">
        <v>3</v>
      </c>
      <c r="L401">
        <v>2</v>
      </c>
      <c r="M401">
        <v>0.27</v>
      </c>
      <c r="N401" s="19" t="s">
        <v>17</v>
      </c>
      <c r="O401" s="19" t="s">
        <v>292</v>
      </c>
      <c r="P401" s="19" t="s">
        <v>289</v>
      </c>
      <c r="Q401" s="19" t="s">
        <v>285</v>
      </c>
      <c r="R401" s="19" t="s">
        <v>249</v>
      </c>
      <c r="S401" s="19" t="s">
        <v>248</v>
      </c>
      <c r="T401" s="19" t="s">
        <v>286</v>
      </c>
    </row>
    <row r="402" spans="1:20" x14ac:dyDescent="0.2">
      <c r="A402" s="1">
        <v>46048</v>
      </c>
      <c r="B402" s="2">
        <v>0.79166666666666663</v>
      </c>
      <c r="C402" s="19" t="s">
        <v>28</v>
      </c>
      <c r="D402" s="19" t="s">
        <v>13</v>
      </c>
      <c r="E402" s="19" t="s">
        <v>28</v>
      </c>
      <c r="F402">
        <v>4</v>
      </c>
      <c r="G402">
        <v>3</v>
      </c>
      <c r="H402">
        <v>0.52700000000000002</v>
      </c>
      <c r="I402" s="19" t="s">
        <v>249</v>
      </c>
      <c r="J402" s="19" t="s">
        <v>28</v>
      </c>
      <c r="K402">
        <v>3</v>
      </c>
      <c r="L402">
        <v>2</v>
      </c>
      <c r="M402">
        <v>0.11</v>
      </c>
      <c r="N402" s="19" t="s">
        <v>60</v>
      </c>
      <c r="O402" s="19" t="s">
        <v>60</v>
      </c>
      <c r="P402" s="19" t="s">
        <v>60</v>
      </c>
      <c r="Q402" s="19" t="s">
        <v>60</v>
      </c>
      <c r="R402" s="19" t="s">
        <v>60</v>
      </c>
      <c r="S402" s="19" t="s">
        <v>60</v>
      </c>
      <c r="T402" s="19" t="s">
        <v>281</v>
      </c>
    </row>
    <row r="403" spans="1:20" x14ac:dyDescent="0.2">
      <c r="A403" s="1">
        <v>46048</v>
      </c>
      <c r="B403" s="2">
        <v>0.79166666666666663</v>
      </c>
      <c r="C403" s="19" t="s">
        <v>37</v>
      </c>
      <c r="D403" s="19" t="s">
        <v>55</v>
      </c>
      <c r="E403" s="19" t="s">
        <v>37</v>
      </c>
      <c r="F403">
        <v>4</v>
      </c>
      <c r="G403">
        <v>3</v>
      </c>
      <c r="H403">
        <v>0.54020000000000001</v>
      </c>
      <c r="I403" s="19" t="s">
        <v>249</v>
      </c>
      <c r="J403" s="19" t="s">
        <v>37</v>
      </c>
      <c r="K403">
        <v>3</v>
      </c>
      <c r="L403">
        <v>2</v>
      </c>
      <c r="M403">
        <v>0.63</v>
      </c>
      <c r="N403" s="19" t="s">
        <v>37</v>
      </c>
      <c r="O403" s="19" t="s">
        <v>284</v>
      </c>
      <c r="P403" s="19" t="s">
        <v>285</v>
      </c>
      <c r="Q403" s="19" t="s">
        <v>285</v>
      </c>
      <c r="R403" s="19" t="s">
        <v>248</v>
      </c>
      <c r="S403" s="19" t="s">
        <v>248</v>
      </c>
      <c r="T403" s="19" t="s">
        <v>286</v>
      </c>
    </row>
    <row r="404" spans="1:20" x14ac:dyDescent="0.2">
      <c r="A404" s="1">
        <v>46048</v>
      </c>
      <c r="B404" s="2">
        <v>0.79166666666666663</v>
      </c>
      <c r="C404" s="19" t="s">
        <v>27</v>
      </c>
      <c r="D404" s="19" t="s">
        <v>30</v>
      </c>
      <c r="E404" s="19" t="s">
        <v>27</v>
      </c>
      <c r="F404">
        <v>4</v>
      </c>
      <c r="G404">
        <v>3</v>
      </c>
      <c r="H404">
        <v>0.76300000000000001</v>
      </c>
      <c r="I404" s="19" t="s">
        <v>248</v>
      </c>
      <c r="J404" s="19" t="s">
        <v>30</v>
      </c>
      <c r="K404">
        <v>3</v>
      </c>
      <c r="L404">
        <v>2</v>
      </c>
      <c r="M404">
        <v>-0.01</v>
      </c>
      <c r="N404" s="19" t="s">
        <v>30</v>
      </c>
      <c r="O404" s="19" t="s">
        <v>285</v>
      </c>
      <c r="P404" s="19" t="s">
        <v>289</v>
      </c>
      <c r="Q404" s="19" t="s">
        <v>285</v>
      </c>
      <c r="R404" s="19" t="s">
        <v>249</v>
      </c>
      <c r="S404" s="19" t="s">
        <v>248</v>
      </c>
      <c r="T404" s="19" t="s">
        <v>286</v>
      </c>
    </row>
    <row r="405" spans="1:20" x14ac:dyDescent="0.2">
      <c r="A405" s="1">
        <v>46048</v>
      </c>
      <c r="B405" s="2">
        <v>0.79166666666666663</v>
      </c>
      <c r="C405" s="19" t="s">
        <v>15</v>
      </c>
      <c r="D405" s="19" t="s">
        <v>21</v>
      </c>
      <c r="E405" s="19" t="s">
        <v>21</v>
      </c>
      <c r="F405">
        <v>2</v>
      </c>
      <c r="G405">
        <v>3</v>
      </c>
      <c r="H405">
        <v>0.90429999999999999</v>
      </c>
      <c r="I405" s="19" t="s">
        <v>249</v>
      </c>
      <c r="J405" s="19" t="s">
        <v>21</v>
      </c>
      <c r="K405">
        <v>3</v>
      </c>
      <c r="L405">
        <v>2</v>
      </c>
      <c r="M405">
        <v>-0.49</v>
      </c>
      <c r="N405" s="19" t="s">
        <v>15</v>
      </c>
      <c r="O405" s="19" t="s">
        <v>289</v>
      </c>
      <c r="P405" s="19" t="s">
        <v>291</v>
      </c>
      <c r="Q405" s="19" t="s">
        <v>287</v>
      </c>
      <c r="R405" s="19" t="s">
        <v>249</v>
      </c>
      <c r="S405" s="19" t="s">
        <v>249</v>
      </c>
      <c r="T405" s="19" t="s">
        <v>286</v>
      </c>
    </row>
    <row r="406" spans="1:20" x14ac:dyDescent="0.2">
      <c r="A406" s="1">
        <v>46049</v>
      </c>
      <c r="B406" s="2">
        <v>0.79166666666666663</v>
      </c>
      <c r="C406" s="19" t="s">
        <v>11</v>
      </c>
      <c r="D406" s="19" t="s">
        <v>55</v>
      </c>
      <c r="E406" s="19" t="s">
        <v>11</v>
      </c>
      <c r="F406">
        <v>4</v>
      </c>
      <c r="G406">
        <v>3</v>
      </c>
      <c r="H406">
        <v>0.53049999999999997</v>
      </c>
      <c r="I406" s="19" t="s">
        <v>249</v>
      </c>
      <c r="J406" s="19" t="s">
        <v>55</v>
      </c>
      <c r="K406">
        <v>3</v>
      </c>
      <c r="L406">
        <v>2</v>
      </c>
      <c r="M406">
        <v>-0.35</v>
      </c>
      <c r="N406" s="19" t="s">
        <v>55</v>
      </c>
      <c r="O406" s="19" t="s">
        <v>291</v>
      </c>
      <c r="P406" s="19" t="s">
        <v>289</v>
      </c>
      <c r="Q406" s="19" t="s">
        <v>285</v>
      </c>
      <c r="R406" s="19" t="s">
        <v>249</v>
      </c>
      <c r="S406" s="19" t="s">
        <v>248</v>
      </c>
      <c r="T406" s="19" t="s">
        <v>286</v>
      </c>
    </row>
    <row r="407" spans="1:20" x14ac:dyDescent="0.2">
      <c r="A407" s="1">
        <v>46049</v>
      </c>
      <c r="B407" s="2">
        <v>0.79166666666666663</v>
      </c>
      <c r="C407" s="19" t="s">
        <v>19</v>
      </c>
      <c r="D407" s="19" t="s">
        <v>23</v>
      </c>
      <c r="E407" s="19" t="s">
        <v>19</v>
      </c>
      <c r="F407">
        <v>4</v>
      </c>
      <c r="G407">
        <v>3</v>
      </c>
      <c r="H407">
        <v>0.65949999999999998</v>
      </c>
      <c r="I407" s="19" t="s">
        <v>248</v>
      </c>
      <c r="J407" s="19" t="s">
        <v>23</v>
      </c>
      <c r="K407">
        <v>3</v>
      </c>
      <c r="L407">
        <v>2</v>
      </c>
      <c r="M407">
        <v>-0.3</v>
      </c>
      <c r="N407" s="19" t="s">
        <v>23</v>
      </c>
      <c r="O407" s="19" t="s">
        <v>289</v>
      </c>
      <c r="P407" s="19" t="s">
        <v>292</v>
      </c>
      <c r="Q407" s="19" t="s">
        <v>285</v>
      </c>
      <c r="R407" s="19" t="s">
        <v>249</v>
      </c>
      <c r="S407" s="19" t="s">
        <v>248</v>
      </c>
      <c r="T407" s="19" t="s">
        <v>286</v>
      </c>
    </row>
    <row r="408" spans="1:20" x14ac:dyDescent="0.2">
      <c r="A408" s="1">
        <v>46049</v>
      </c>
      <c r="B408" s="2">
        <v>0.83333333333333337</v>
      </c>
      <c r="C408" s="19" t="s">
        <v>34</v>
      </c>
      <c r="D408" s="19" t="s">
        <v>10</v>
      </c>
      <c r="E408" s="19" t="s">
        <v>34</v>
      </c>
      <c r="F408">
        <v>4</v>
      </c>
      <c r="G408">
        <v>3</v>
      </c>
      <c r="H408">
        <v>0.5554</v>
      </c>
      <c r="I408" s="19" t="s">
        <v>248</v>
      </c>
      <c r="J408" s="19" t="s">
        <v>34</v>
      </c>
      <c r="K408">
        <v>3</v>
      </c>
      <c r="L408">
        <v>2</v>
      </c>
      <c r="M408">
        <v>0.89</v>
      </c>
      <c r="N408" s="19" t="s">
        <v>34</v>
      </c>
      <c r="O408" s="19" t="s">
        <v>289</v>
      </c>
      <c r="P408" s="19" t="s">
        <v>291</v>
      </c>
      <c r="Q408" s="19" t="s">
        <v>287</v>
      </c>
      <c r="R408" s="19" t="s">
        <v>248</v>
      </c>
      <c r="S408" s="19" t="s">
        <v>248</v>
      </c>
      <c r="T408" s="19" t="s">
        <v>286</v>
      </c>
    </row>
    <row r="409" spans="1:20" x14ac:dyDescent="0.2">
      <c r="A409" s="1">
        <v>46049</v>
      </c>
      <c r="B409" s="2">
        <v>0.83333333333333337</v>
      </c>
      <c r="C409" s="19" t="s">
        <v>35</v>
      </c>
      <c r="D409" s="19" t="s">
        <v>39</v>
      </c>
      <c r="E409" s="19" t="s">
        <v>39</v>
      </c>
      <c r="F409">
        <v>2</v>
      </c>
      <c r="G409">
        <v>3</v>
      </c>
      <c r="H409">
        <v>0.69899999999999995</v>
      </c>
      <c r="I409" s="19" t="s">
        <v>249</v>
      </c>
      <c r="J409" s="19" t="s">
        <v>39</v>
      </c>
      <c r="K409">
        <v>3</v>
      </c>
      <c r="L409">
        <v>2</v>
      </c>
      <c r="M409">
        <v>-1.39</v>
      </c>
      <c r="N409" s="19" t="s">
        <v>39</v>
      </c>
      <c r="O409" s="19" t="s">
        <v>291</v>
      </c>
      <c r="P409" s="19" t="s">
        <v>289</v>
      </c>
      <c r="Q409" s="19" t="s">
        <v>285</v>
      </c>
      <c r="R409" s="19" t="s">
        <v>248</v>
      </c>
      <c r="S409" s="19" t="s">
        <v>248</v>
      </c>
      <c r="T409" s="19" t="s">
        <v>286</v>
      </c>
    </row>
    <row r="410" spans="1:20" x14ac:dyDescent="0.2">
      <c r="A410" s="1">
        <v>46049</v>
      </c>
      <c r="B410" s="2">
        <v>0.79166666666666663</v>
      </c>
      <c r="C410" s="19" t="s">
        <v>21</v>
      </c>
      <c r="D410" s="19" t="s">
        <v>29</v>
      </c>
      <c r="E410" s="19" t="s">
        <v>21</v>
      </c>
      <c r="F410">
        <v>4</v>
      </c>
      <c r="G410">
        <v>3</v>
      </c>
      <c r="H410">
        <v>0.78100000000000003</v>
      </c>
      <c r="I410" s="19" t="s">
        <v>249</v>
      </c>
      <c r="J410" s="19" t="s">
        <v>21</v>
      </c>
      <c r="K410">
        <v>3</v>
      </c>
      <c r="L410">
        <v>2</v>
      </c>
      <c r="M410">
        <v>0.78</v>
      </c>
      <c r="N410" s="19" t="s">
        <v>21</v>
      </c>
      <c r="O410" s="19" t="s">
        <v>291</v>
      </c>
      <c r="P410" s="19" t="s">
        <v>284</v>
      </c>
      <c r="Q410" s="19" t="s">
        <v>287</v>
      </c>
      <c r="R410" s="19" t="s">
        <v>248</v>
      </c>
      <c r="S410" s="19" t="s">
        <v>248</v>
      </c>
      <c r="T410" s="19" t="s">
        <v>286</v>
      </c>
    </row>
    <row r="411" spans="1:20" x14ac:dyDescent="0.2">
      <c r="A411" s="1">
        <v>46049</v>
      </c>
      <c r="B411" s="2">
        <v>0.79166666666666663</v>
      </c>
      <c r="C411" s="19" t="s">
        <v>18</v>
      </c>
      <c r="D411" s="19" t="s">
        <v>20</v>
      </c>
      <c r="E411" s="19" t="s">
        <v>18</v>
      </c>
      <c r="F411">
        <v>4</v>
      </c>
      <c r="G411">
        <v>3</v>
      </c>
      <c r="H411">
        <v>0.56420000000000003</v>
      </c>
      <c r="I411" s="19" t="s">
        <v>249</v>
      </c>
      <c r="J411" s="19" t="s">
        <v>20</v>
      </c>
      <c r="K411">
        <v>3</v>
      </c>
      <c r="L411">
        <v>2</v>
      </c>
      <c r="M411">
        <v>-0.01</v>
      </c>
      <c r="N411" s="19" t="s">
        <v>18</v>
      </c>
      <c r="O411" s="19" t="s">
        <v>291</v>
      </c>
      <c r="P411" s="19" t="s">
        <v>284</v>
      </c>
      <c r="Q411" s="19" t="s">
        <v>287</v>
      </c>
      <c r="R411" s="19" t="s">
        <v>248</v>
      </c>
      <c r="S411" s="19" t="s">
        <v>249</v>
      </c>
      <c r="T411" s="19" t="s">
        <v>286</v>
      </c>
    </row>
    <row r="412" spans="1:20" x14ac:dyDescent="0.2">
      <c r="A412" s="1">
        <v>46049</v>
      </c>
      <c r="B412" s="2">
        <v>0.91666666666666663</v>
      </c>
      <c r="C412" s="19" t="s">
        <v>32</v>
      </c>
      <c r="D412" s="19" t="s">
        <v>22</v>
      </c>
      <c r="E412" s="19" t="s">
        <v>22</v>
      </c>
      <c r="F412">
        <v>3</v>
      </c>
      <c r="G412">
        <v>4</v>
      </c>
      <c r="H412">
        <v>0.54390000000000005</v>
      </c>
      <c r="I412" s="19" t="s">
        <v>249</v>
      </c>
      <c r="J412" s="19" t="s">
        <v>22</v>
      </c>
      <c r="K412">
        <v>3</v>
      </c>
      <c r="L412">
        <v>2</v>
      </c>
      <c r="M412">
        <v>-0.36</v>
      </c>
      <c r="N412" s="19" t="s">
        <v>32</v>
      </c>
      <c r="O412" s="19" t="s">
        <v>283</v>
      </c>
      <c r="P412" s="19" t="s">
        <v>287</v>
      </c>
      <c r="Q412" s="19" t="s">
        <v>285</v>
      </c>
      <c r="R412" s="19" t="s">
        <v>249</v>
      </c>
      <c r="S412" s="19" t="s">
        <v>249</v>
      </c>
      <c r="T412" s="19" t="s">
        <v>286</v>
      </c>
    </row>
    <row r="413" spans="1:20" x14ac:dyDescent="0.2">
      <c r="A413" s="1">
        <v>46049</v>
      </c>
      <c r="B413" s="2">
        <v>0.79166666666666663</v>
      </c>
      <c r="C413" s="19" t="s">
        <v>24</v>
      </c>
      <c r="D413" s="19" t="s">
        <v>40</v>
      </c>
      <c r="E413" s="19" t="s">
        <v>24</v>
      </c>
      <c r="F413">
        <v>4</v>
      </c>
      <c r="G413">
        <v>3</v>
      </c>
      <c r="H413">
        <v>0.51039999999999996</v>
      </c>
      <c r="I413" s="19" t="s">
        <v>249</v>
      </c>
      <c r="J413" s="19" t="s">
        <v>24</v>
      </c>
      <c r="K413">
        <v>3</v>
      </c>
      <c r="L413">
        <v>2</v>
      </c>
      <c r="M413">
        <v>0.01</v>
      </c>
      <c r="N413" s="19" t="s">
        <v>40</v>
      </c>
      <c r="O413" s="19" t="s">
        <v>291</v>
      </c>
      <c r="P413" s="19" t="s">
        <v>289</v>
      </c>
      <c r="Q413" s="19" t="s">
        <v>285</v>
      </c>
      <c r="R413" s="19" t="s">
        <v>249</v>
      </c>
      <c r="S413" s="19" t="s">
        <v>249</v>
      </c>
      <c r="T413" s="19" t="s">
        <v>286</v>
      </c>
    </row>
    <row r="414" spans="1:20" x14ac:dyDescent="0.2">
      <c r="A414" s="1">
        <v>46049</v>
      </c>
      <c r="B414" s="2">
        <v>0.91666666666666663</v>
      </c>
      <c r="C414" s="19" t="s">
        <v>38</v>
      </c>
      <c r="D414" s="19" t="s">
        <v>33</v>
      </c>
      <c r="E414" s="19" t="s">
        <v>33</v>
      </c>
      <c r="F414">
        <v>3</v>
      </c>
      <c r="G414">
        <v>5</v>
      </c>
      <c r="H414">
        <v>0.87190000000000001</v>
      </c>
      <c r="I414" s="19" t="s">
        <v>249</v>
      </c>
      <c r="J414" s="19" t="s">
        <v>33</v>
      </c>
      <c r="K414">
        <v>3</v>
      </c>
      <c r="L414">
        <v>2</v>
      </c>
      <c r="M414">
        <v>-0.61</v>
      </c>
      <c r="N414" s="19" t="s">
        <v>33</v>
      </c>
      <c r="O414" s="19" t="s">
        <v>284</v>
      </c>
      <c r="P414" s="19" t="s">
        <v>283</v>
      </c>
      <c r="Q414" s="19" t="s">
        <v>285</v>
      </c>
      <c r="R414" s="19" t="s">
        <v>248</v>
      </c>
      <c r="S414" s="19" t="s">
        <v>248</v>
      </c>
      <c r="T414" s="19" t="s">
        <v>286</v>
      </c>
    </row>
    <row r="415" spans="1:20" x14ac:dyDescent="0.2">
      <c r="A415" s="1">
        <v>46049</v>
      </c>
      <c r="B415" s="2">
        <v>0.79166666666666663</v>
      </c>
      <c r="C415" s="19" t="s">
        <v>26</v>
      </c>
      <c r="D415" s="19" t="s">
        <v>13</v>
      </c>
      <c r="E415" s="19" t="s">
        <v>26</v>
      </c>
      <c r="F415">
        <v>4</v>
      </c>
      <c r="G415">
        <v>3</v>
      </c>
      <c r="H415">
        <v>0.60440000000000005</v>
      </c>
      <c r="I415" s="19" t="s">
        <v>249</v>
      </c>
      <c r="J415" s="19" t="s">
        <v>26</v>
      </c>
      <c r="K415">
        <v>3</v>
      </c>
      <c r="L415">
        <v>2</v>
      </c>
      <c r="M415">
        <v>0.37</v>
      </c>
      <c r="N415" s="19" t="s">
        <v>13</v>
      </c>
      <c r="O415" s="19" t="s">
        <v>287</v>
      </c>
      <c r="P415" s="19" t="s">
        <v>291</v>
      </c>
      <c r="Q415" s="19" t="s">
        <v>285</v>
      </c>
      <c r="R415" s="19" t="s">
        <v>249</v>
      </c>
      <c r="S415" s="19" t="s">
        <v>249</v>
      </c>
      <c r="T415" s="19" t="s">
        <v>286</v>
      </c>
    </row>
    <row r="416" spans="1:20" x14ac:dyDescent="0.2">
      <c r="A416" s="1">
        <v>46050</v>
      </c>
      <c r="B416" s="2">
        <v>0.79166666666666663</v>
      </c>
      <c r="C416" s="19" t="s">
        <v>28</v>
      </c>
      <c r="D416" s="19" t="s">
        <v>27</v>
      </c>
      <c r="E416" s="19" t="s">
        <v>27</v>
      </c>
      <c r="F416">
        <v>3</v>
      </c>
      <c r="G416">
        <v>4</v>
      </c>
      <c r="H416">
        <v>0.59870000000000001</v>
      </c>
      <c r="I416" s="19" t="s">
        <v>249</v>
      </c>
      <c r="J416" s="19" t="s">
        <v>28</v>
      </c>
      <c r="K416">
        <v>3</v>
      </c>
      <c r="L416">
        <v>2</v>
      </c>
      <c r="M416">
        <v>0.06</v>
      </c>
      <c r="N416" s="19" t="s">
        <v>28</v>
      </c>
      <c r="O416" s="19" t="s">
        <v>283</v>
      </c>
      <c r="P416" s="19" t="s">
        <v>291</v>
      </c>
      <c r="Q416" s="19" t="s">
        <v>285</v>
      </c>
      <c r="R416" s="19" t="s">
        <v>249</v>
      </c>
      <c r="S416" s="19" t="s">
        <v>248</v>
      </c>
      <c r="T416" s="19" t="s">
        <v>286</v>
      </c>
    </row>
    <row r="417" spans="1:20" x14ac:dyDescent="0.2">
      <c r="A417" s="1">
        <v>46050</v>
      </c>
      <c r="B417" s="2">
        <v>0.8125</v>
      </c>
      <c r="C417" s="19" t="s">
        <v>36</v>
      </c>
      <c r="D417" s="19" t="s">
        <v>12</v>
      </c>
      <c r="E417" s="19" t="s">
        <v>12</v>
      </c>
      <c r="F417">
        <v>3</v>
      </c>
      <c r="G417">
        <v>4</v>
      </c>
      <c r="H417">
        <v>0.78369999999999995</v>
      </c>
      <c r="I417" s="19" t="s">
        <v>249</v>
      </c>
      <c r="J417" s="19" t="s">
        <v>12</v>
      </c>
      <c r="K417">
        <v>3</v>
      </c>
      <c r="L417">
        <v>2</v>
      </c>
      <c r="M417">
        <v>-1.4</v>
      </c>
      <c r="N417" s="19" t="s">
        <v>36</v>
      </c>
      <c r="O417" s="19" t="s">
        <v>283</v>
      </c>
      <c r="P417" s="19" t="s">
        <v>284</v>
      </c>
      <c r="Q417" s="19" t="s">
        <v>285</v>
      </c>
      <c r="R417" s="19" t="s">
        <v>249</v>
      </c>
      <c r="S417" s="19" t="s">
        <v>249</v>
      </c>
      <c r="T417" s="19" t="s">
        <v>286</v>
      </c>
    </row>
    <row r="418" spans="1:20" x14ac:dyDescent="0.2">
      <c r="A418" s="1">
        <v>46050</v>
      </c>
      <c r="B418" s="2">
        <v>0.8125</v>
      </c>
      <c r="C418" s="19" t="s">
        <v>30</v>
      </c>
      <c r="D418" s="19" t="s">
        <v>15</v>
      </c>
      <c r="E418" s="19" t="s">
        <v>30</v>
      </c>
      <c r="F418">
        <v>3</v>
      </c>
      <c r="G418">
        <v>2</v>
      </c>
      <c r="H418">
        <v>0.66790000000000005</v>
      </c>
      <c r="I418" s="19" t="s">
        <v>249</v>
      </c>
      <c r="J418" s="19" t="s">
        <v>30</v>
      </c>
      <c r="K418">
        <v>3</v>
      </c>
      <c r="L418">
        <v>2</v>
      </c>
      <c r="M418">
        <v>0.56999999999999995</v>
      </c>
      <c r="N418" s="19" t="s">
        <v>30</v>
      </c>
      <c r="O418" s="19" t="s">
        <v>283</v>
      </c>
      <c r="P418" s="19" t="s">
        <v>284</v>
      </c>
      <c r="Q418" s="19" t="s">
        <v>285</v>
      </c>
      <c r="R418" s="19" t="s">
        <v>248</v>
      </c>
      <c r="S418" s="19" t="s">
        <v>248</v>
      </c>
      <c r="T418" s="19" t="s">
        <v>286</v>
      </c>
    </row>
    <row r="419" spans="1:20" x14ac:dyDescent="0.2">
      <c r="A419" s="1">
        <v>46051</v>
      </c>
      <c r="B419" s="2">
        <v>0.875</v>
      </c>
      <c r="C419" s="19" t="s">
        <v>17</v>
      </c>
      <c r="D419" s="19" t="s">
        <v>33</v>
      </c>
      <c r="E419" s="19" t="s">
        <v>33</v>
      </c>
      <c r="F419">
        <v>4</v>
      </c>
      <c r="G419">
        <v>5</v>
      </c>
      <c r="H419">
        <v>0.62839999999999996</v>
      </c>
      <c r="I419" s="19" t="s">
        <v>249</v>
      </c>
      <c r="J419" s="19" t="s">
        <v>17</v>
      </c>
      <c r="K419">
        <v>3</v>
      </c>
      <c r="L419">
        <v>2</v>
      </c>
      <c r="M419">
        <v>0.46</v>
      </c>
      <c r="N419" s="19" t="s">
        <v>17</v>
      </c>
      <c r="O419" s="19" t="s">
        <v>289</v>
      </c>
      <c r="P419" s="19" t="s">
        <v>291</v>
      </c>
      <c r="Q419" s="19" t="s">
        <v>287</v>
      </c>
      <c r="R419" s="19" t="s">
        <v>249</v>
      </c>
      <c r="S419" s="19" t="s">
        <v>248</v>
      </c>
      <c r="T419" s="19" t="s">
        <v>286</v>
      </c>
    </row>
    <row r="420" spans="1:20" x14ac:dyDescent="0.2">
      <c r="A420" s="1">
        <v>46051</v>
      </c>
      <c r="B420" s="2">
        <v>0.79166666666666663</v>
      </c>
      <c r="C420" s="19" t="s">
        <v>18</v>
      </c>
      <c r="D420" s="19" t="s">
        <v>12</v>
      </c>
      <c r="E420" s="19" t="s">
        <v>12</v>
      </c>
      <c r="F420">
        <v>3</v>
      </c>
      <c r="G420">
        <v>4</v>
      </c>
      <c r="H420">
        <v>0.70699999999999996</v>
      </c>
      <c r="I420" s="19" t="s">
        <v>249</v>
      </c>
      <c r="J420" s="19" t="s">
        <v>12</v>
      </c>
      <c r="K420">
        <v>3</v>
      </c>
      <c r="L420">
        <v>2</v>
      </c>
      <c r="M420">
        <v>-1.23</v>
      </c>
      <c r="N420" s="19" t="s">
        <v>18</v>
      </c>
      <c r="O420" s="19" t="s">
        <v>292</v>
      </c>
      <c r="P420" s="19" t="s">
        <v>291</v>
      </c>
      <c r="Q420" s="19" t="s">
        <v>285</v>
      </c>
      <c r="R420" s="19" t="s">
        <v>249</v>
      </c>
      <c r="S420" s="19" t="s">
        <v>249</v>
      </c>
      <c r="T420" s="19" t="s">
        <v>286</v>
      </c>
    </row>
    <row r="421" spans="1:20" x14ac:dyDescent="0.2">
      <c r="A421" s="1">
        <v>46051</v>
      </c>
      <c r="B421" s="2">
        <v>0.83333333333333337</v>
      </c>
      <c r="C421" s="19" t="s">
        <v>35</v>
      </c>
      <c r="D421" s="19" t="s">
        <v>11</v>
      </c>
      <c r="E421" s="19" t="s">
        <v>11</v>
      </c>
      <c r="F421">
        <v>3</v>
      </c>
      <c r="G421">
        <v>4</v>
      </c>
      <c r="H421">
        <v>0.72970000000000002</v>
      </c>
      <c r="I421" s="19" t="s">
        <v>249</v>
      </c>
      <c r="J421" s="19" t="s">
        <v>11</v>
      </c>
      <c r="K421">
        <v>3</v>
      </c>
      <c r="L421">
        <v>2</v>
      </c>
      <c r="M421">
        <v>-0.78</v>
      </c>
      <c r="N421" s="19" t="s">
        <v>35</v>
      </c>
      <c r="O421" s="19" t="s">
        <v>283</v>
      </c>
      <c r="P421" s="19" t="s">
        <v>289</v>
      </c>
      <c r="Q421" s="19" t="s">
        <v>285</v>
      </c>
      <c r="R421" s="19" t="s">
        <v>249</v>
      </c>
      <c r="S421" s="19" t="s">
        <v>249</v>
      </c>
      <c r="T421" s="19" t="s">
        <v>286</v>
      </c>
    </row>
    <row r="422" spans="1:20" x14ac:dyDescent="0.2">
      <c r="A422" s="1">
        <v>46051</v>
      </c>
      <c r="B422" s="2">
        <v>0.91666666666666663</v>
      </c>
      <c r="C422" s="19" t="s">
        <v>38</v>
      </c>
      <c r="D422" s="19" t="s">
        <v>31</v>
      </c>
      <c r="E422" s="19" t="s">
        <v>31</v>
      </c>
      <c r="F422">
        <v>3</v>
      </c>
      <c r="G422">
        <v>5</v>
      </c>
      <c r="H422">
        <v>0.82079999999999997</v>
      </c>
      <c r="I422" s="19" t="s">
        <v>249</v>
      </c>
      <c r="J422" s="19" t="s">
        <v>31</v>
      </c>
      <c r="K422">
        <v>3</v>
      </c>
      <c r="L422">
        <v>2</v>
      </c>
      <c r="M422">
        <v>-0.77</v>
      </c>
      <c r="N422" s="19" t="s">
        <v>38</v>
      </c>
      <c r="O422" s="19" t="s">
        <v>284</v>
      </c>
      <c r="P422" s="19" t="s">
        <v>285</v>
      </c>
      <c r="Q422" s="19" t="s">
        <v>285</v>
      </c>
      <c r="R422" s="19" t="s">
        <v>249</v>
      </c>
      <c r="S422" s="19" t="s">
        <v>249</v>
      </c>
      <c r="T422" s="19" t="s">
        <v>286</v>
      </c>
    </row>
    <row r="423" spans="1:20" x14ac:dyDescent="0.2">
      <c r="A423" s="1">
        <v>46051</v>
      </c>
      <c r="B423" s="2">
        <v>0.79166666666666663</v>
      </c>
      <c r="C423" s="19" t="s">
        <v>14</v>
      </c>
      <c r="D423" s="19" t="s">
        <v>10</v>
      </c>
      <c r="E423" s="19" t="s">
        <v>14</v>
      </c>
      <c r="F423">
        <v>4</v>
      </c>
      <c r="G423">
        <v>3</v>
      </c>
      <c r="H423">
        <v>0.74890000000000001</v>
      </c>
      <c r="I423" s="19" t="s">
        <v>249</v>
      </c>
      <c r="J423" s="19" t="s">
        <v>14</v>
      </c>
      <c r="K423">
        <v>3</v>
      </c>
      <c r="L423">
        <v>2</v>
      </c>
      <c r="M423">
        <v>0.86</v>
      </c>
      <c r="N423" s="19" t="s">
        <v>14</v>
      </c>
      <c r="O423" s="19" t="s">
        <v>288</v>
      </c>
      <c r="P423" s="19" t="s">
        <v>284</v>
      </c>
      <c r="Q423" s="19" t="s">
        <v>285</v>
      </c>
      <c r="R423" s="19" t="s">
        <v>248</v>
      </c>
      <c r="S423" s="19" t="s">
        <v>248</v>
      </c>
      <c r="T423" s="19" t="s">
        <v>286</v>
      </c>
    </row>
    <row r="424" spans="1:20" x14ac:dyDescent="0.2">
      <c r="A424" s="1">
        <v>46051</v>
      </c>
      <c r="B424" s="2">
        <v>0.79166666666666663</v>
      </c>
      <c r="C424" s="19" t="s">
        <v>37</v>
      </c>
      <c r="D424" s="19" t="s">
        <v>40</v>
      </c>
      <c r="E424" s="19" t="s">
        <v>37</v>
      </c>
      <c r="F424">
        <v>3</v>
      </c>
      <c r="G424">
        <v>1</v>
      </c>
      <c r="H424">
        <v>0.75980000000000003</v>
      </c>
      <c r="I424" s="19" t="s">
        <v>249</v>
      </c>
      <c r="J424" s="19" t="s">
        <v>37</v>
      </c>
      <c r="K424">
        <v>3</v>
      </c>
      <c r="L424">
        <v>2</v>
      </c>
      <c r="M424">
        <v>1.23</v>
      </c>
      <c r="N424" s="19" t="s">
        <v>37</v>
      </c>
      <c r="O424" s="19" t="s">
        <v>289</v>
      </c>
      <c r="P424" s="19" t="s">
        <v>287</v>
      </c>
      <c r="Q424" s="19" t="s">
        <v>285</v>
      </c>
      <c r="R424" s="19" t="s">
        <v>248</v>
      </c>
      <c r="S424" s="19" t="s">
        <v>248</v>
      </c>
      <c r="T424" s="19" t="s">
        <v>286</v>
      </c>
    </row>
    <row r="425" spans="1:20" x14ac:dyDescent="0.2">
      <c r="A425" s="1">
        <v>46051</v>
      </c>
      <c r="B425" s="2">
        <v>0.8125</v>
      </c>
      <c r="C425" s="19" t="s">
        <v>26</v>
      </c>
      <c r="D425" s="19" t="s">
        <v>22</v>
      </c>
      <c r="E425" s="19" t="s">
        <v>26</v>
      </c>
      <c r="F425">
        <v>4</v>
      </c>
      <c r="G425">
        <v>3</v>
      </c>
      <c r="H425">
        <v>0.78110000000000002</v>
      </c>
      <c r="I425" s="19" t="s">
        <v>248</v>
      </c>
      <c r="J425" s="19" t="s">
        <v>26</v>
      </c>
      <c r="K425">
        <v>3</v>
      </c>
      <c r="L425">
        <v>2</v>
      </c>
      <c r="M425">
        <v>0.05</v>
      </c>
      <c r="N425" s="19" t="s">
        <v>22</v>
      </c>
      <c r="O425" s="19" t="s">
        <v>291</v>
      </c>
      <c r="P425" s="19" t="s">
        <v>289</v>
      </c>
      <c r="Q425" s="19" t="s">
        <v>287</v>
      </c>
      <c r="R425" s="19" t="s">
        <v>249</v>
      </c>
      <c r="S425" s="19" t="s">
        <v>249</v>
      </c>
      <c r="T425" s="19" t="s">
        <v>286</v>
      </c>
    </row>
    <row r="426" spans="1:20" x14ac:dyDescent="0.2">
      <c r="A426" s="1">
        <v>46051</v>
      </c>
      <c r="B426" s="2">
        <v>0.83333333333333337</v>
      </c>
      <c r="C426" s="19" t="s">
        <v>34</v>
      </c>
      <c r="D426" s="19" t="s">
        <v>16</v>
      </c>
      <c r="E426" s="19" t="s">
        <v>34</v>
      </c>
      <c r="F426">
        <v>3</v>
      </c>
      <c r="G426">
        <v>2</v>
      </c>
      <c r="H426">
        <v>0.75570000000000004</v>
      </c>
      <c r="I426" s="19" t="s">
        <v>249</v>
      </c>
      <c r="J426" s="19" t="s">
        <v>34</v>
      </c>
      <c r="K426">
        <v>3</v>
      </c>
      <c r="L426">
        <v>2</v>
      </c>
      <c r="M426">
        <v>0.93</v>
      </c>
      <c r="N426" s="19" t="s">
        <v>34</v>
      </c>
      <c r="O426" s="19" t="s">
        <v>289</v>
      </c>
      <c r="P426" s="19" t="s">
        <v>287</v>
      </c>
      <c r="Q426" s="19" t="s">
        <v>285</v>
      </c>
      <c r="R426" s="19" t="s">
        <v>248</v>
      </c>
      <c r="S426" s="19" t="s">
        <v>248</v>
      </c>
      <c r="T426" s="19" t="s">
        <v>286</v>
      </c>
    </row>
    <row r="427" spans="1:20" x14ac:dyDescent="0.2">
      <c r="A427" s="1">
        <v>46051</v>
      </c>
      <c r="B427" s="2">
        <v>0.91666666666666663</v>
      </c>
      <c r="C427" s="19" t="s">
        <v>20</v>
      </c>
      <c r="D427" s="19" t="s">
        <v>39</v>
      </c>
      <c r="E427" s="19" t="s">
        <v>39</v>
      </c>
      <c r="F427">
        <v>3</v>
      </c>
      <c r="G427">
        <v>4</v>
      </c>
      <c r="H427">
        <v>0.70030000000000003</v>
      </c>
      <c r="I427" s="19" t="s">
        <v>249</v>
      </c>
      <c r="J427" s="19" t="s">
        <v>39</v>
      </c>
      <c r="K427">
        <v>3</v>
      </c>
      <c r="L427">
        <v>2</v>
      </c>
      <c r="M427">
        <v>-0.25</v>
      </c>
      <c r="N427" s="19" t="s">
        <v>39</v>
      </c>
      <c r="O427" s="19" t="s">
        <v>289</v>
      </c>
      <c r="P427" s="19" t="s">
        <v>283</v>
      </c>
      <c r="Q427" s="19" t="s">
        <v>287</v>
      </c>
      <c r="R427" s="19" t="s">
        <v>248</v>
      </c>
      <c r="S427" s="19" t="s">
        <v>248</v>
      </c>
      <c r="T427" s="19" t="s">
        <v>286</v>
      </c>
    </row>
    <row r="428" spans="1:20" x14ac:dyDescent="0.2">
      <c r="A428" s="1">
        <v>46051</v>
      </c>
      <c r="B428" s="2">
        <v>0.79166666666666663</v>
      </c>
      <c r="C428" s="19" t="s">
        <v>23</v>
      </c>
      <c r="D428" s="19" t="s">
        <v>13</v>
      </c>
      <c r="E428" s="19" t="s">
        <v>13</v>
      </c>
      <c r="F428">
        <v>3</v>
      </c>
      <c r="G428">
        <v>4</v>
      </c>
      <c r="H428">
        <v>0.57179999999999997</v>
      </c>
      <c r="I428" s="19" t="s">
        <v>249</v>
      </c>
      <c r="J428" s="19" t="s">
        <v>23</v>
      </c>
      <c r="K428">
        <v>3</v>
      </c>
      <c r="L428">
        <v>2</v>
      </c>
      <c r="M428">
        <v>0.6</v>
      </c>
      <c r="N428" s="19" t="s">
        <v>23</v>
      </c>
      <c r="O428" s="19" t="s">
        <v>289</v>
      </c>
      <c r="P428" s="19" t="s">
        <v>287</v>
      </c>
      <c r="Q428" s="19" t="s">
        <v>285</v>
      </c>
      <c r="R428" s="19" t="s">
        <v>249</v>
      </c>
      <c r="S428" s="19" t="s">
        <v>248</v>
      </c>
      <c r="T428" s="19" t="s">
        <v>286</v>
      </c>
    </row>
    <row r="429" spans="1:20" x14ac:dyDescent="0.2">
      <c r="A429" s="1">
        <v>46051</v>
      </c>
      <c r="B429" s="2">
        <v>0.79166666666666663</v>
      </c>
      <c r="C429" s="19" t="s">
        <v>21</v>
      </c>
      <c r="D429" s="19" t="s">
        <v>27</v>
      </c>
      <c r="E429" s="19" t="s">
        <v>21</v>
      </c>
      <c r="F429">
        <v>4</v>
      </c>
      <c r="G429">
        <v>3</v>
      </c>
      <c r="H429">
        <v>0.65529999999999999</v>
      </c>
      <c r="I429" s="19" t="s">
        <v>249</v>
      </c>
      <c r="J429" s="19" t="s">
        <v>21</v>
      </c>
      <c r="K429">
        <v>3</v>
      </c>
      <c r="L429">
        <v>2</v>
      </c>
      <c r="M429">
        <v>0.48</v>
      </c>
      <c r="N429" s="19" t="s">
        <v>21</v>
      </c>
      <c r="O429" s="19" t="s">
        <v>288</v>
      </c>
      <c r="P429" s="19" t="s">
        <v>291</v>
      </c>
      <c r="Q429" s="19" t="s">
        <v>285</v>
      </c>
      <c r="R429" s="19" t="s">
        <v>248</v>
      </c>
      <c r="S429" s="19" t="s">
        <v>248</v>
      </c>
      <c r="T429" s="19" t="s">
        <v>286</v>
      </c>
    </row>
    <row r="430" spans="1:20" x14ac:dyDescent="0.2">
      <c r="A430" s="1">
        <v>46051</v>
      </c>
      <c r="B430" s="2">
        <v>0.91666666666666663</v>
      </c>
      <c r="C430" s="19" t="s">
        <v>32</v>
      </c>
      <c r="D430" s="19" t="s">
        <v>19</v>
      </c>
      <c r="E430" s="19" t="s">
        <v>19</v>
      </c>
      <c r="F430">
        <v>3</v>
      </c>
      <c r="G430">
        <v>4</v>
      </c>
      <c r="H430">
        <v>0.56710000000000005</v>
      </c>
      <c r="I430" s="19" t="s">
        <v>249</v>
      </c>
      <c r="J430" s="19" t="s">
        <v>32</v>
      </c>
      <c r="K430">
        <v>3</v>
      </c>
      <c r="L430">
        <v>2</v>
      </c>
      <c r="M430">
        <v>0.06</v>
      </c>
      <c r="N430" s="19" t="s">
        <v>32</v>
      </c>
      <c r="O430" s="19" t="s">
        <v>283</v>
      </c>
      <c r="P430" s="19" t="s">
        <v>284</v>
      </c>
      <c r="Q430" s="19" t="s">
        <v>285</v>
      </c>
      <c r="R430" s="19" t="s">
        <v>249</v>
      </c>
      <c r="S430" s="19" t="s">
        <v>248</v>
      </c>
      <c r="T430" s="19" t="s">
        <v>286</v>
      </c>
    </row>
    <row r="431" spans="1:20" x14ac:dyDescent="0.2">
      <c r="A431" s="1">
        <v>46051</v>
      </c>
      <c r="B431" s="2">
        <v>0.79166666666666663</v>
      </c>
      <c r="C431" s="19" t="s">
        <v>24</v>
      </c>
      <c r="D431" s="19" t="s">
        <v>29</v>
      </c>
      <c r="E431" s="19" t="s">
        <v>29</v>
      </c>
      <c r="F431">
        <v>3</v>
      </c>
      <c r="G431">
        <v>4</v>
      </c>
      <c r="H431">
        <v>0.66669999999999996</v>
      </c>
      <c r="I431" s="19" t="s">
        <v>249</v>
      </c>
      <c r="J431" s="19" t="s">
        <v>24</v>
      </c>
      <c r="K431">
        <v>3</v>
      </c>
      <c r="L431">
        <v>2</v>
      </c>
      <c r="M431">
        <v>0.28000000000000003</v>
      </c>
      <c r="N431" s="19" t="s">
        <v>24</v>
      </c>
      <c r="O431" s="19" t="s">
        <v>291</v>
      </c>
      <c r="P431" s="19" t="s">
        <v>284</v>
      </c>
      <c r="Q431" s="19" t="s">
        <v>287</v>
      </c>
      <c r="R431" s="19" t="s">
        <v>249</v>
      </c>
      <c r="S431" s="19" t="s">
        <v>248</v>
      </c>
      <c r="T431" s="19" t="s">
        <v>286</v>
      </c>
    </row>
    <row r="432" spans="1:20" x14ac:dyDescent="0.2">
      <c r="A432" s="1">
        <v>46051</v>
      </c>
      <c r="B432" s="2">
        <v>0.79166666666666663</v>
      </c>
      <c r="C432" s="19" t="s">
        <v>15</v>
      </c>
      <c r="D432" s="19" t="s">
        <v>30</v>
      </c>
      <c r="E432" s="19" t="s">
        <v>30</v>
      </c>
      <c r="F432">
        <v>2</v>
      </c>
      <c r="G432">
        <v>4</v>
      </c>
      <c r="H432">
        <v>0.83120000000000005</v>
      </c>
      <c r="I432" s="19" t="s">
        <v>249</v>
      </c>
      <c r="J432" s="19" t="s">
        <v>30</v>
      </c>
      <c r="K432">
        <v>3</v>
      </c>
      <c r="L432">
        <v>2</v>
      </c>
      <c r="M432">
        <v>-0.45</v>
      </c>
      <c r="N432" s="19" t="s">
        <v>30</v>
      </c>
      <c r="O432" s="19" t="s">
        <v>287</v>
      </c>
      <c r="P432" s="19" t="s">
        <v>284</v>
      </c>
      <c r="Q432" s="19" t="s">
        <v>285</v>
      </c>
      <c r="R432" s="19" t="s">
        <v>248</v>
      </c>
      <c r="S432" s="19" t="s">
        <v>248</v>
      </c>
      <c r="T432" s="19" t="s">
        <v>286</v>
      </c>
    </row>
    <row r="433" spans="1:20" x14ac:dyDescent="0.2">
      <c r="A433" s="1">
        <v>46051</v>
      </c>
      <c r="B433" s="2">
        <v>0.79166666666666663</v>
      </c>
      <c r="C433" s="19" t="s">
        <v>25</v>
      </c>
      <c r="D433" s="19" t="s">
        <v>55</v>
      </c>
      <c r="E433" s="19" t="s">
        <v>55</v>
      </c>
      <c r="F433">
        <v>3</v>
      </c>
      <c r="G433">
        <v>4</v>
      </c>
      <c r="H433">
        <v>0.51739999999999997</v>
      </c>
      <c r="I433" s="19" t="s">
        <v>249</v>
      </c>
      <c r="J433" s="19" t="s">
        <v>25</v>
      </c>
      <c r="K433">
        <v>3</v>
      </c>
      <c r="L433">
        <v>2</v>
      </c>
      <c r="M433">
        <v>0.28000000000000003</v>
      </c>
      <c r="N433" s="19" t="s">
        <v>25</v>
      </c>
      <c r="O433" s="19" t="s">
        <v>283</v>
      </c>
      <c r="P433" s="19" t="s">
        <v>289</v>
      </c>
      <c r="Q433" s="19" t="s">
        <v>285</v>
      </c>
      <c r="R433" s="19" t="s">
        <v>249</v>
      </c>
      <c r="S433" s="19" t="s">
        <v>248</v>
      </c>
      <c r="T433" s="19" t="s">
        <v>286</v>
      </c>
    </row>
    <row r="434" spans="1:20" x14ac:dyDescent="0.2">
      <c r="A434" s="1">
        <v>46052</v>
      </c>
      <c r="B434" s="2">
        <v>0.85416666666666663</v>
      </c>
      <c r="C434" s="19" t="s">
        <v>10</v>
      </c>
      <c r="D434" s="19" t="s">
        <v>28</v>
      </c>
      <c r="E434" s="19" t="s">
        <v>28</v>
      </c>
      <c r="F434">
        <v>3</v>
      </c>
      <c r="G434">
        <v>4</v>
      </c>
      <c r="H434">
        <v>0.56020000000000003</v>
      </c>
      <c r="I434" s="19" t="s">
        <v>249</v>
      </c>
      <c r="J434" s="19" t="s">
        <v>28</v>
      </c>
      <c r="K434">
        <v>3</v>
      </c>
      <c r="L434">
        <v>2</v>
      </c>
      <c r="M434">
        <v>-0.31</v>
      </c>
      <c r="N434" s="19" t="s">
        <v>28</v>
      </c>
      <c r="O434" s="19" t="s">
        <v>284</v>
      </c>
      <c r="P434" s="19" t="s">
        <v>289</v>
      </c>
      <c r="Q434" s="19" t="s">
        <v>285</v>
      </c>
      <c r="R434" s="19" t="s">
        <v>248</v>
      </c>
      <c r="S434" s="19" t="s">
        <v>248</v>
      </c>
      <c r="T434" s="19" t="s">
        <v>286</v>
      </c>
    </row>
    <row r="435" spans="1:20" x14ac:dyDescent="0.2">
      <c r="A435" s="1">
        <v>46053</v>
      </c>
      <c r="B435" s="2">
        <v>0.79166666666666663</v>
      </c>
      <c r="C435" s="19" t="s">
        <v>30</v>
      </c>
      <c r="D435" s="19" t="s">
        <v>29</v>
      </c>
      <c r="E435" s="19" t="s">
        <v>30</v>
      </c>
      <c r="F435">
        <v>3</v>
      </c>
      <c r="G435">
        <v>2</v>
      </c>
      <c r="H435">
        <v>0.68589999999999995</v>
      </c>
      <c r="I435" s="19" t="s">
        <v>248</v>
      </c>
      <c r="J435" s="19" t="s">
        <v>30</v>
      </c>
      <c r="K435">
        <v>3</v>
      </c>
      <c r="L435">
        <v>2</v>
      </c>
      <c r="M435">
        <v>0.83</v>
      </c>
      <c r="N435" s="19" t="s">
        <v>29</v>
      </c>
      <c r="O435" s="19" t="s">
        <v>291</v>
      </c>
      <c r="P435" s="19" t="s">
        <v>289</v>
      </c>
      <c r="Q435" s="19" t="s">
        <v>285</v>
      </c>
      <c r="R435" s="19" t="s">
        <v>249</v>
      </c>
      <c r="S435" s="19" t="s">
        <v>249</v>
      </c>
      <c r="T435" s="19" t="s">
        <v>286</v>
      </c>
    </row>
    <row r="436" spans="1:20" x14ac:dyDescent="0.2">
      <c r="A436" s="1">
        <v>46053</v>
      </c>
      <c r="B436" s="2">
        <v>0.54166666666666663</v>
      </c>
      <c r="C436" s="19" t="s">
        <v>26</v>
      </c>
      <c r="D436" s="19" t="s">
        <v>12</v>
      </c>
      <c r="E436" s="19" t="s">
        <v>12</v>
      </c>
      <c r="F436">
        <v>3</v>
      </c>
      <c r="G436">
        <v>4</v>
      </c>
      <c r="H436">
        <v>0.56869999999999998</v>
      </c>
      <c r="I436" s="19" t="s">
        <v>249</v>
      </c>
      <c r="J436" s="19" t="s">
        <v>12</v>
      </c>
      <c r="K436">
        <v>3</v>
      </c>
      <c r="L436">
        <v>2</v>
      </c>
      <c r="M436">
        <v>-1.1100000000000001</v>
      </c>
      <c r="N436" s="19" t="s">
        <v>12</v>
      </c>
      <c r="O436" s="19" t="s">
        <v>285</v>
      </c>
      <c r="P436" s="19" t="s">
        <v>283</v>
      </c>
      <c r="Q436" s="19" t="s">
        <v>285</v>
      </c>
      <c r="R436" s="19" t="s">
        <v>248</v>
      </c>
      <c r="S436" s="19" t="s">
        <v>248</v>
      </c>
      <c r="T436" s="19" t="s">
        <v>286</v>
      </c>
    </row>
    <row r="437" spans="1:20" x14ac:dyDescent="0.2">
      <c r="A437" s="1">
        <v>46053</v>
      </c>
      <c r="B437" s="2">
        <v>0.91666666666666663</v>
      </c>
      <c r="C437" s="19" t="s">
        <v>17</v>
      </c>
      <c r="D437" s="19" t="s">
        <v>34</v>
      </c>
      <c r="E437" s="19" t="s">
        <v>34</v>
      </c>
      <c r="F437">
        <v>2</v>
      </c>
      <c r="G437">
        <v>4</v>
      </c>
      <c r="H437">
        <v>0.86750000000000005</v>
      </c>
      <c r="I437" s="19" t="s">
        <v>249</v>
      </c>
      <c r="J437" s="19" t="s">
        <v>34</v>
      </c>
      <c r="K437">
        <v>3</v>
      </c>
      <c r="L437">
        <v>2</v>
      </c>
      <c r="M437">
        <v>-0.05</v>
      </c>
      <c r="N437" s="19" t="s">
        <v>34</v>
      </c>
      <c r="O437" s="19" t="s">
        <v>291</v>
      </c>
      <c r="P437" s="19" t="s">
        <v>292</v>
      </c>
      <c r="Q437" s="19" t="s">
        <v>285</v>
      </c>
      <c r="R437" s="19" t="s">
        <v>248</v>
      </c>
      <c r="S437" s="19" t="s">
        <v>248</v>
      </c>
      <c r="T437" s="19" t="s">
        <v>286</v>
      </c>
    </row>
    <row r="438" spans="1:20" x14ac:dyDescent="0.2">
      <c r="A438" s="1">
        <v>46053</v>
      </c>
      <c r="B438" s="2">
        <v>0.66666666666666663</v>
      </c>
      <c r="C438" s="19" t="s">
        <v>16</v>
      </c>
      <c r="D438" s="19" t="s">
        <v>33</v>
      </c>
      <c r="E438" s="19" t="s">
        <v>16</v>
      </c>
      <c r="F438">
        <v>4</v>
      </c>
      <c r="G438">
        <v>3</v>
      </c>
      <c r="H438">
        <v>0.65849999999999997</v>
      </c>
      <c r="I438" s="19" t="s">
        <v>249</v>
      </c>
      <c r="J438" s="19" t="s">
        <v>33</v>
      </c>
      <c r="K438">
        <v>3</v>
      </c>
      <c r="L438">
        <v>2</v>
      </c>
      <c r="M438">
        <v>-0.2</v>
      </c>
      <c r="N438" s="19" t="s">
        <v>16</v>
      </c>
      <c r="O438" s="19" t="s">
        <v>291</v>
      </c>
      <c r="P438" s="19" t="s">
        <v>284</v>
      </c>
      <c r="Q438" s="19" t="s">
        <v>285</v>
      </c>
      <c r="R438" s="19" t="s">
        <v>248</v>
      </c>
      <c r="S438" s="19" t="s">
        <v>249</v>
      </c>
      <c r="T438" s="19" t="s">
        <v>286</v>
      </c>
    </row>
    <row r="439" spans="1:20" x14ac:dyDescent="0.2">
      <c r="A439" s="1">
        <v>46053</v>
      </c>
      <c r="B439" s="2">
        <v>0.79166666666666663</v>
      </c>
      <c r="C439" s="19" t="s">
        <v>23</v>
      </c>
      <c r="D439" s="19" t="s">
        <v>18</v>
      </c>
      <c r="E439" s="19" t="s">
        <v>23</v>
      </c>
      <c r="F439">
        <v>4</v>
      </c>
      <c r="G439">
        <v>3</v>
      </c>
      <c r="H439">
        <v>0.85770000000000002</v>
      </c>
      <c r="I439" s="19" t="s">
        <v>249</v>
      </c>
      <c r="J439" s="19" t="s">
        <v>23</v>
      </c>
      <c r="K439">
        <v>3</v>
      </c>
      <c r="L439">
        <v>2</v>
      </c>
      <c r="M439">
        <v>0.4</v>
      </c>
      <c r="N439" s="19" t="s">
        <v>18</v>
      </c>
      <c r="O439" s="19" t="s">
        <v>284</v>
      </c>
      <c r="P439" s="19" t="s">
        <v>289</v>
      </c>
      <c r="Q439" s="19" t="s">
        <v>285</v>
      </c>
      <c r="R439" s="19" t="s">
        <v>249</v>
      </c>
      <c r="S439" s="19" t="s">
        <v>249</v>
      </c>
      <c r="T439" s="19" t="s">
        <v>286</v>
      </c>
    </row>
    <row r="440" spans="1:20" x14ac:dyDescent="0.2">
      <c r="A440" s="1">
        <v>46053</v>
      </c>
      <c r="B440" s="2">
        <v>0.66666666666666663</v>
      </c>
      <c r="C440" s="19" t="s">
        <v>11</v>
      </c>
      <c r="D440" s="19" t="s">
        <v>40</v>
      </c>
      <c r="E440" s="19" t="s">
        <v>40</v>
      </c>
      <c r="F440">
        <v>2</v>
      </c>
      <c r="G440">
        <v>3</v>
      </c>
      <c r="H440">
        <v>0.54100000000000004</v>
      </c>
      <c r="I440" s="19" t="s">
        <v>249</v>
      </c>
      <c r="J440" s="19" t="s">
        <v>11</v>
      </c>
      <c r="K440">
        <v>3</v>
      </c>
      <c r="L440">
        <v>2</v>
      </c>
      <c r="M440">
        <v>0.21</v>
      </c>
      <c r="N440" s="19" t="s">
        <v>40</v>
      </c>
      <c r="O440" s="19" t="s">
        <v>287</v>
      </c>
      <c r="P440" s="19" t="s">
        <v>284</v>
      </c>
      <c r="Q440" s="19" t="s">
        <v>285</v>
      </c>
      <c r="R440" s="19" t="s">
        <v>248</v>
      </c>
      <c r="S440" s="19" t="s">
        <v>249</v>
      </c>
      <c r="T440" s="19" t="s">
        <v>286</v>
      </c>
    </row>
    <row r="441" spans="1:20" x14ac:dyDescent="0.2">
      <c r="A441" s="1">
        <v>46053</v>
      </c>
      <c r="B441" s="2">
        <v>0.70833333333333337</v>
      </c>
      <c r="C441" s="19" t="s">
        <v>22</v>
      </c>
      <c r="D441" s="19" t="s">
        <v>25</v>
      </c>
      <c r="E441" s="19" t="s">
        <v>25</v>
      </c>
      <c r="F441">
        <v>3</v>
      </c>
      <c r="G441">
        <v>4</v>
      </c>
      <c r="H441">
        <v>0.81299999999999994</v>
      </c>
      <c r="I441" s="19" t="s">
        <v>248</v>
      </c>
      <c r="J441" s="19" t="s">
        <v>25</v>
      </c>
      <c r="K441">
        <v>3</v>
      </c>
      <c r="L441">
        <v>2</v>
      </c>
      <c r="M441">
        <v>-0.28999999999999998</v>
      </c>
      <c r="N441" s="19" t="s">
        <v>22</v>
      </c>
      <c r="O441" s="19" t="s">
        <v>289</v>
      </c>
      <c r="P441" s="19" t="s">
        <v>291</v>
      </c>
      <c r="Q441" s="19" t="s">
        <v>287</v>
      </c>
      <c r="R441" s="19" t="s">
        <v>249</v>
      </c>
      <c r="S441" s="19" t="s">
        <v>249</v>
      </c>
      <c r="T441" s="19" t="s">
        <v>286</v>
      </c>
    </row>
    <row r="442" spans="1:20" x14ac:dyDescent="0.2">
      <c r="A442" s="1">
        <v>46053</v>
      </c>
      <c r="B442" s="2">
        <v>0.79166666666666663</v>
      </c>
      <c r="C442" s="19" t="s">
        <v>35</v>
      </c>
      <c r="D442" s="19" t="s">
        <v>28</v>
      </c>
      <c r="E442" s="19" t="s">
        <v>28</v>
      </c>
      <c r="F442">
        <v>2</v>
      </c>
      <c r="G442">
        <v>4</v>
      </c>
      <c r="H442">
        <v>0.62419999999999998</v>
      </c>
      <c r="I442" s="19" t="s">
        <v>249</v>
      </c>
      <c r="J442" s="19" t="s">
        <v>28</v>
      </c>
      <c r="K442">
        <v>3</v>
      </c>
      <c r="L442">
        <v>2</v>
      </c>
      <c r="M442">
        <v>-0.75</v>
      </c>
      <c r="N442" s="19" t="s">
        <v>28</v>
      </c>
      <c r="O442" s="19" t="s">
        <v>291</v>
      </c>
      <c r="P442" s="19" t="s">
        <v>283</v>
      </c>
      <c r="Q442" s="19" t="s">
        <v>285</v>
      </c>
      <c r="R442" s="19" t="s">
        <v>248</v>
      </c>
      <c r="S442" s="19" t="s">
        <v>248</v>
      </c>
      <c r="T442" s="19" t="s">
        <v>286</v>
      </c>
    </row>
    <row r="443" spans="1:20" x14ac:dyDescent="0.2">
      <c r="A443" s="1">
        <v>46053</v>
      </c>
      <c r="B443" s="2">
        <v>0.79166666666666663</v>
      </c>
      <c r="C443" s="19" t="s">
        <v>36</v>
      </c>
      <c r="D443" s="19" t="s">
        <v>24</v>
      </c>
      <c r="E443" s="19" t="s">
        <v>24</v>
      </c>
      <c r="F443">
        <v>3</v>
      </c>
      <c r="G443">
        <v>4</v>
      </c>
      <c r="H443">
        <v>0.68100000000000005</v>
      </c>
      <c r="I443" s="19" t="s">
        <v>249</v>
      </c>
      <c r="J443" s="19" t="s">
        <v>36</v>
      </c>
      <c r="K443">
        <v>3</v>
      </c>
      <c r="L443">
        <v>2</v>
      </c>
      <c r="M443">
        <v>0.49</v>
      </c>
      <c r="N443" s="19" t="s">
        <v>36</v>
      </c>
      <c r="O443" s="19" t="s">
        <v>289</v>
      </c>
      <c r="P443" s="19" t="s">
        <v>287</v>
      </c>
      <c r="Q443" s="19" t="s">
        <v>285</v>
      </c>
      <c r="R443" s="19" t="s">
        <v>249</v>
      </c>
      <c r="S443" s="19" t="s">
        <v>248</v>
      </c>
      <c r="T443" s="19" t="s">
        <v>286</v>
      </c>
    </row>
    <row r="444" spans="1:20" x14ac:dyDescent="0.2">
      <c r="A444" s="1">
        <v>46053</v>
      </c>
      <c r="B444" s="2">
        <v>0.52083333333333337</v>
      </c>
      <c r="C444" s="19" t="s">
        <v>27</v>
      </c>
      <c r="D444" s="19" t="s">
        <v>13</v>
      </c>
      <c r="E444" s="19" t="s">
        <v>27</v>
      </c>
      <c r="F444">
        <v>3</v>
      </c>
      <c r="G444">
        <v>2</v>
      </c>
      <c r="H444">
        <v>0.54200000000000004</v>
      </c>
      <c r="I444" s="19" t="s">
        <v>249</v>
      </c>
      <c r="J444" s="19" t="s">
        <v>27</v>
      </c>
      <c r="K444">
        <v>3</v>
      </c>
      <c r="L444">
        <v>2</v>
      </c>
      <c r="M444">
        <v>0.11</v>
      </c>
      <c r="N444" s="19" t="s">
        <v>13</v>
      </c>
      <c r="O444" s="19" t="s">
        <v>284</v>
      </c>
      <c r="P444" s="19" t="s">
        <v>291</v>
      </c>
      <c r="Q444" s="19" t="s">
        <v>287</v>
      </c>
      <c r="R444" s="19" t="s">
        <v>249</v>
      </c>
      <c r="S444" s="19" t="s">
        <v>249</v>
      </c>
      <c r="T444" s="19" t="s">
        <v>286</v>
      </c>
    </row>
    <row r="445" spans="1:20" x14ac:dyDescent="0.2">
      <c r="A445" s="1">
        <v>46053</v>
      </c>
      <c r="B445" s="2">
        <v>0.79166666666666663</v>
      </c>
      <c r="C445" s="19" t="s">
        <v>38</v>
      </c>
      <c r="D445" s="19" t="s">
        <v>19</v>
      </c>
      <c r="E445" s="19" t="s">
        <v>19</v>
      </c>
      <c r="F445">
        <v>3</v>
      </c>
      <c r="G445">
        <v>4</v>
      </c>
      <c r="H445">
        <v>0.53469999999999995</v>
      </c>
      <c r="I445" s="19" t="s">
        <v>249</v>
      </c>
      <c r="J445" s="19" t="s">
        <v>19</v>
      </c>
      <c r="K445">
        <v>3</v>
      </c>
      <c r="L445">
        <v>2</v>
      </c>
      <c r="M445">
        <v>-0.64</v>
      </c>
      <c r="N445" s="19" t="s">
        <v>19</v>
      </c>
      <c r="O445" s="19" t="s">
        <v>284</v>
      </c>
      <c r="P445" s="19" t="s">
        <v>291</v>
      </c>
      <c r="Q445" s="19" t="s">
        <v>287</v>
      </c>
      <c r="R445" s="19" t="s">
        <v>248</v>
      </c>
      <c r="S445" s="19" t="s">
        <v>248</v>
      </c>
      <c r="T445" s="19" t="s">
        <v>286</v>
      </c>
    </row>
    <row r="446" spans="1:20" x14ac:dyDescent="0.2">
      <c r="A446" s="1">
        <v>46053</v>
      </c>
      <c r="B446" s="2">
        <v>0.64583333333333337</v>
      </c>
      <c r="C446" s="19" t="s">
        <v>14</v>
      </c>
      <c r="D446" s="19" t="s">
        <v>15</v>
      </c>
      <c r="E446" s="19" t="s">
        <v>15</v>
      </c>
      <c r="F446">
        <v>2</v>
      </c>
      <c r="G446">
        <v>4</v>
      </c>
      <c r="H446">
        <v>0.7097</v>
      </c>
      <c r="I446" s="19" t="s">
        <v>249</v>
      </c>
      <c r="J446" s="19" t="s">
        <v>14</v>
      </c>
      <c r="K446">
        <v>3</v>
      </c>
      <c r="L446">
        <v>2</v>
      </c>
      <c r="M446">
        <v>0.82</v>
      </c>
      <c r="N446" s="19" t="s">
        <v>14</v>
      </c>
      <c r="O446" s="19" t="s">
        <v>288</v>
      </c>
      <c r="P446" s="19" t="s">
        <v>283</v>
      </c>
      <c r="Q446" s="19" t="s">
        <v>285</v>
      </c>
      <c r="R446" s="19" t="s">
        <v>249</v>
      </c>
      <c r="S446" s="19" t="s">
        <v>248</v>
      </c>
      <c r="T446" s="19" t="s">
        <v>286</v>
      </c>
    </row>
    <row r="447" spans="1:20" x14ac:dyDescent="0.2">
      <c r="A447" s="1">
        <v>46053</v>
      </c>
      <c r="B447" s="2">
        <v>0.91666666666666663</v>
      </c>
      <c r="C447" s="19" t="s">
        <v>20</v>
      </c>
      <c r="D447" s="19" t="s">
        <v>32</v>
      </c>
      <c r="E447" s="19" t="s">
        <v>32</v>
      </c>
      <c r="F447">
        <v>4</v>
      </c>
      <c r="G447">
        <v>5</v>
      </c>
      <c r="H447">
        <v>0.65110000000000001</v>
      </c>
      <c r="I447" s="19" t="s">
        <v>248</v>
      </c>
      <c r="J447" s="19" t="s">
        <v>20</v>
      </c>
      <c r="K447">
        <v>3</v>
      </c>
      <c r="L447">
        <v>2</v>
      </c>
      <c r="M447">
        <v>0.38</v>
      </c>
      <c r="N447" s="19" t="s">
        <v>32</v>
      </c>
      <c r="O447" s="19" t="s">
        <v>284</v>
      </c>
      <c r="P447" s="19" t="s">
        <v>291</v>
      </c>
      <c r="Q447" s="19" t="s">
        <v>285</v>
      </c>
      <c r="R447" s="19" t="s">
        <v>248</v>
      </c>
      <c r="S447" s="19" t="s">
        <v>249</v>
      </c>
      <c r="T447" s="19" t="s">
        <v>286</v>
      </c>
    </row>
    <row r="448" spans="1:20" x14ac:dyDescent="0.2">
      <c r="A448" s="1">
        <v>46053</v>
      </c>
      <c r="B448" s="2">
        <v>0.875</v>
      </c>
      <c r="C448" s="19" t="s">
        <v>55</v>
      </c>
      <c r="D448" s="19" t="s">
        <v>39</v>
      </c>
      <c r="E448" s="19" t="s">
        <v>55</v>
      </c>
      <c r="F448">
        <v>4</v>
      </c>
      <c r="G448">
        <v>3</v>
      </c>
      <c r="H448">
        <v>0.83840000000000003</v>
      </c>
      <c r="I448" s="19" t="s">
        <v>249</v>
      </c>
      <c r="J448" s="19" t="s">
        <v>55</v>
      </c>
      <c r="K448">
        <v>3</v>
      </c>
      <c r="L448">
        <v>2</v>
      </c>
      <c r="M448">
        <v>0</v>
      </c>
      <c r="N448" s="19" t="s">
        <v>39</v>
      </c>
      <c r="O448" s="19" t="s">
        <v>284</v>
      </c>
      <c r="P448" s="19" t="s">
        <v>291</v>
      </c>
      <c r="Q448" s="19" t="s">
        <v>285</v>
      </c>
      <c r="R448" s="19" t="s">
        <v>249</v>
      </c>
      <c r="S448" s="19" t="s">
        <v>249</v>
      </c>
      <c r="T448" s="19" t="s">
        <v>286</v>
      </c>
    </row>
    <row r="449" spans="1:20" x14ac:dyDescent="0.2">
      <c r="A449" s="1">
        <v>46054</v>
      </c>
      <c r="B449" s="2">
        <v>0.54166666666666663</v>
      </c>
      <c r="C449" s="19" t="s">
        <v>37</v>
      </c>
      <c r="D449" s="19" t="s">
        <v>21</v>
      </c>
      <c r="E449" s="19" t="s">
        <v>37</v>
      </c>
      <c r="F449">
        <v>4</v>
      </c>
      <c r="G449">
        <v>2</v>
      </c>
      <c r="H449">
        <v>0.82509999999999994</v>
      </c>
      <c r="I449" s="19" t="s">
        <v>249</v>
      </c>
      <c r="J449" s="19" t="s">
        <v>37</v>
      </c>
      <c r="K449">
        <v>3</v>
      </c>
      <c r="L449">
        <v>2</v>
      </c>
      <c r="M449">
        <v>0.83</v>
      </c>
      <c r="N449" s="19" t="s">
        <v>37</v>
      </c>
      <c r="O449" s="19" t="s">
        <v>288</v>
      </c>
      <c r="P449" s="19" t="s">
        <v>283</v>
      </c>
      <c r="Q449" s="19" t="s">
        <v>287</v>
      </c>
      <c r="R449" s="19" t="s">
        <v>248</v>
      </c>
      <c r="S449" s="19" t="s">
        <v>248</v>
      </c>
      <c r="T449" s="19" t="s">
        <v>286</v>
      </c>
    </row>
    <row r="450" spans="1:20" x14ac:dyDescent="0.2">
      <c r="A450" s="1">
        <v>46054</v>
      </c>
      <c r="B450" s="2">
        <v>0.625</v>
      </c>
      <c r="C450" s="19" t="s">
        <v>25</v>
      </c>
      <c r="D450" s="19" t="s">
        <v>13</v>
      </c>
      <c r="E450" s="19" t="s">
        <v>25</v>
      </c>
      <c r="F450">
        <v>5</v>
      </c>
      <c r="G450">
        <v>3</v>
      </c>
      <c r="H450">
        <v>0.54059999999999997</v>
      </c>
      <c r="I450" s="19" t="s">
        <v>249</v>
      </c>
      <c r="J450" s="19" t="s">
        <v>25</v>
      </c>
      <c r="K450">
        <v>3</v>
      </c>
      <c r="L450">
        <v>2</v>
      </c>
      <c r="M450">
        <v>0.81</v>
      </c>
      <c r="N450" s="19" t="s">
        <v>25</v>
      </c>
      <c r="O450" s="19" t="s">
        <v>291</v>
      </c>
      <c r="P450" s="19" t="s">
        <v>284</v>
      </c>
      <c r="Q450" s="19" t="s">
        <v>287</v>
      </c>
      <c r="R450" s="19" t="s">
        <v>248</v>
      </c>
      <c r="S450" s="19" t="s">
        <v>248</v>
      </c>
      <c r="T450" s="19" t="s">
        <v>286</v>
      </c>
    </row>
    <row r="451" spans="1:20" x14ac:dyDescent="0.2">
      <c r="A451" s="1">
        <v>46054</v>
      </c>
      <c r="B451" s="2">
        <v>0.89583333333333337</v>
      </c>
      <c r="C451" s="19" t="s">
        <v>31</v>
      </c>
      <c r="D451" s="19" t="s">
        <v>20</v>
      </c>
      <c r="E451" s="19" t="s">
        <v>31</v>
      </c>
      <c r="F451">
        <v>4</v>
      </c>
      <c r="G451">
        <v>3</v>
      </c>
      <c r="H451">
        <v>0.60799999999999998</v>
      </c>
      <c r="I451" s="19" t="s">
        <v>249</v>
      </c>
      <c r="J451" s="19" t="s">
        <v>20</v>
      </c>
      <c r="K451">
        <v>3</v>
      </c>
      <c r="L451">
        <v>2</v>
      </c>
      <c r="M451">
        <v>-0.16</v>
      </c>
      <c r="N451" s="19" t="s">
        <v>31</v>
      </c>
      <c r="O451" s="19" t="s">
        <v>289</v>
      </c>
      <c r="P451" s="19" t="s">
        <v>291</v>
      </c>
      <c r="Q451" s="19" t="s">
        <v>285</v>
      </c>
      <c r="R451" s="19" t="s">
        <v>248</v>
      </c>
      <c r="S451" s="19" t="s">
        <v>249</v>
      </c>
      <c r="T451" s="19" t="s">
        <v>286</v>
      </c>
    </row>
    <row r="452" spans="1:20" x14ac:dyDescent="0.2">
      <c r="A452" s="1">
        <v>46055</v>
      </c>
      <c r="B452" s="2">
        <v>0.85416666666666663</v>
      </c>
      <c r="C452" s="19" t="s">
        <v>10</v>
      </c>
      <c r="D452" s="19" t="s">
        <v>33</v>
      </c>
      <c r="E452" s="19" t="s">
        <v>33</v>
      </c>
      <c r="F452">
        <v>3</v>
      </c>
      <c r="G452">
        <v>4</v>
      </c>
      <c r="H452">
        <v>0.68240000000000001</v>
      </c>
      <c r="I452" s="19" t="s">
        <v>249</v>
      </c>
      <c r="J452" s="19" t="s">
        <v>33</v>
      </c>
      <c r="K452">
        <v>3</v>
      </c>
      <c r="L452">
        <v>2</v>
      </c>
      <c r="M452">
        <v>-0.21</v>
      </c>
      <c r="N452" s="19" t="s">
        <v>10</v>
      </c>
      <c r="O452" s="19" t="s">
        <v>288</v>
      </c>
      <c r="P452" s="19" t="s">
        <v>291</v>
      </c>
      <c r="Q452" s="19" t="s">
        <v>285</v>
      </c>
      <c r="R452" s="19" t="s">
        <v>249</v>
      </c>
      <c r="S452" s="19" t="s">
        <v>249</v>
      </c>
      <c r="T452" s="19" t="s">
        <v>286</v>
      </c>
    </row>
    <row r="453" spans="1:20" x14ac:dyDescent="0.2">
      <c r="A453" s="1">
        <v>46055</v>
      </c>
      <c r="B453" s="2">
        <v>0.875</v>
      </c>
      <c r="C453" s="19" t="s">
        <v>12</v>
      </c>
      <c r="D453" s="19" t="s">
        <v>26</v>
      </c>
      <c r="E453" s="19" t="s">
        <v>12</v>
      </c>
      <c r="F453">
        <v>6</v>
      </c>
      <c r="G453">
        <v>2</v>
      </c>
      <c r="H453">
        <v>0.86619999999999997</v>
      </c>
      <c r="I453" s="19" t="s">
        <v>249</v>
      </c>
      <c r="J453" s="19" t="s">
        <v>12</v>
      </c>
      <c r="K453">
        <v>3</v>
      </c>
      <c r="L453">
        <v>2</v>
      </c>
      <c r="M453">
        <v>1.51</v>
      </c>
      <c r="N453" s="19" t="s">
        <v>26</v>
      </c>
      <c r="O453" s="19" t="s">
        <v>285</v>
      </c>
      <c r="P453" s="19" t="s">
        <v>284</v>
      </c>
      <c r="Q453" s="19" t="s">
        <v>285</v>
      </c>
      <c r="R453" s="19" t="s">
        <v>249</v>
      </c>
      <c r="S453" s="19" t="s">
        <v>249</v>
      </c>
      <c r="T453" s="19" t="s">
        <v>286</v>
      </c>
    </row>
    <row r="454" spans="1:20" x14ac:dyDescent="0.2">
      <c r="A454" s="1">
        <v>46055</v>
      </c>
      <c r="B454" s="2">
        <v>0.91666666666666663</v>
      </c>
      <c r="C454" s="19" t="s">
        <v>16</v>
      </c>
      <c r="D454" s="19" t="s">
        <v>19</v>
      </c>
      <c r="E454" s="19" t="s">
        <v>19</v>
      </c>
      <c r="F454">
        <v>3</v>
      </c>
      <c r="G454">
        <v>4</v>
      </c>
      <c r="H454">
        <v>0.54320000000000002</v>
      </c>
      <c r="I454" s="19" t="s">
        <v>249</v>
      </c>
      <c r="J454" s="19" t="s">
        <v>19</v>
      </c>
      <c r="K454">
        <v>3</v>
      </c>
      <c r="L454">
        <v>2</v>
      </c>
      <c r="M454">
        <v>-0.24</v>
      </c>
      <c r="N454" s="19" t="s">
        <v>19</v>
      </c>
      <c r="O454" s="19" t="s">
        <v>284</v>
      </c>
      <c r="P454" s="19" t="s">
        <v>289</v>
      </c>
      <c r="Q454" s="19" t="s">
        <v>285</v>
      </c>
      <c r="R454" s="19" t="s">
        <v>248</v>
      </c>
      <c r="S454" s="19" t="s">
        <v>248</v>
      </c>
      <c r="T454" s="19" t="s">
        <v>286</v>
      </c>
    </row>
    <row r="455" spans="1:20" x14ac:dyDescent="0.2">
      <c r="A455" s="1">
        <v>46055</v>
      </c>
      <c r="B455" s="2">
        <v>0.8125</v>
      </c>
      <c r="C455" s="19" t="s">
        <v>34</v>
      </c>
      <c r="D455" s="19" t="s">
        <v>18</v>
      </c>
      <c r="E455" s="19" t="s">
        <v>34</v>
      </c>
      <c r="F455">
        <v>4</v>
      </c>
      <c r="G455">
        <v>3</v>
      </c>
      <c r="H455">
        <v>0.50680000000000003</v>
      </c>
      <c r="I455" s="19" t="s">
        <v>248</v>
      </c>
      <c r="J455" s="19" t="s">
        <v>34</v>
      </c>
      <c r="K455">
        <v>3</v>
      </c>
      <c r="L455">
        <v>2</v>
      </c>
      <c r="M455">
        <v>0.32</v>
      </c>
      <c r="N455" s="19" t="s">
        <v>34</v>
      </c>
      <c r="O455" s="19" t="s">
        <v>289</v>
      </c>
      <c r="P455" s="19" t="s">
        <v>291</v>
      </c>
      <c r="Q455" s="19" t="s">
        <v>287</v>
      </c>
      <c r="R455" s="19" t="s">
        <v>248</v>
      </c>
      <c r="S455" s="19" t="s">
        <v>248</v>
      </c>
      <c r="T455" s="19" t="s">
        <v>286</v>
      </c>
    </row>
    <row r="456" spans="1:20" x14ac:dyDescent="0.2">
      <c r="A456" s="1">
        <v>46055</v>
      </c>
      <c r="B456" s="2">
        <v>0.85416666666666663</v>
      </c>
      <c r="C456" s="19" t="s">
        <v>39</v>
      </c>
      <c r="D456" s="19" t="s">
        <v>40</v>
      </c>
      <c r="E456" s="19" t="s">
        <v>39</v>
      </c>
      <c r="F456">
        <v>5</v>
      </c>
      <c r="G456">
        <v>4</v>
      </c>
      <c r="H456">
        <v>0.50249999999999995</v>
      </c>
      <c r="I456" s="19" t="s">
        <v>249</v>
      </c>
      <c r="J456" s="19" t="s">
        <v>39</v>
      </c>
      <c r="K456">
        <v>3</v>
      </c>
      <c r="L456">
        <v>2</v>
      </c>
      <c r="M456">
        <v>0.83</v>
      </c>
      <c r="N456" s="19" t="s">
        <v>39</v>
      </c>
      <c r="O456" s="19" t="s">
        <v>289</v>
      </c>
      <c r="P456" s="19" t="s">
        <v>291</v>
      </c>
      <c r="Q456" s="19" t="s">
        <v>287</v>
      </c>
      <c r="R456" s="19" t="s">
        <v>248</v>
      </c>
      <c r="S456" s="19" t="s">
        <v>248</v>
      </c>
      <c r="T456" s="19" t="s">
        <v>286</v>
      </c>
    </row>
    <row r="457" spans="1:20" x14ac:dyDescent="0.2">
      <c r="A457" s="1">
        <v>46055</v>
      </c>
      <c r="B457" s="2">
        <v>0.79166666666666663</v>
      </c>
      <c r="C457" s="19" t="s">
        <v>11</v>
      </c>
      <c r="D457" s="19" t="s">
        <v>23</v>
      </c>
      <c r="E457" s="19" t="s">
        <v>23</v>
      </c>
      <c r="F457">
        <v>3</v>
      </c>
      <c r="G457">
        <v>4</v>
      </c>
      <c r="H457">
        <v>0.57620000000000005</v>
      </c>
      <c r="I457" s="19" t="s">
        <v>249</v>
      </c>
      <c r="J457" s="19" t="s">
        <v>23</v>
      </c>
      <c r="K457">
        <v>3</v>
      </c>
      <c r="L457">
        <v>2</v>
      </c>
      <c r="M457">
        <v>-0.41</v>
      </c>
      <c r="N457" s="19" t="s">
        <v>23</v>
      </c>
      <c r="O457" s="19" t="s">
        <v>291</v>
      </c>
      <c r="P457" s="19" t="s">
        <v>283</v>
      </c>
      <c r="Q457" s="19" t="s">
        <v>285</v>
      </c>
      <c r="R457" s="19" t="s">
        <v>248</v>
      </c>
      <c r="S457" s="19" t="s">
        <v>248</v>
      </c>
      <c r="T457" s="19" t="s">
        <v>286</v>
      </c>
    </row>
    <row r="458" spans="1:20" x14ac:dyDescent="0.2">
      <c r="A458" s="1">
        <v>46055</v>
      </c>
      <c r="B458" s="2">
        <v>0.79166666666666663</v>
      </c>
      <c r="C458" s="19" t="s">
        <v>14</v>
      </c>
      <c r="D458" s="19" t="s">
        <v>36</v>
      </c>
      <c r="E458" s="19" t="s">
        <v>36</v>
      </c>
      <c r="F458">
        <v>4</v>
      </c>
      <c r="G458">
        <v>5</v>
      </c>
      <c r="H458">
        <v>0.55530000000000002</v>
      </c>
      <c r="I458" s="19" t="s">
        <v>248</v>
      </c>
      <c r="J458" s="19" t="s">
        <v>14</v>
      </c>
      <c r="K458">
        <v>3</v>
      </c>
      <c r="L458">
        <v>2</v>
      </c>
      <c r="M458">
        <v>0.32</v>
      </c>
      <c r="N458" s="19" t="s">
        <v>36</v>
      </c>
      <c r="O458" s="19" t="s">
        <v>284</v>
      </c>
      <c r="P458" s="19" t="s">
        <v>291</v>
      </c>
      <c r="Q458" s="19" t="s">
        <v>285</v>
      </c>
      <c r="R458" s="19" t="s">
        <v>248</v>
      </c>
      <c r="S458" s="19" t="s">
        <v>249</v>
      </c>
      <c r="T458" s="19" t="s">
        <v>286</v>
      </c>
    </row>
    <row r="459" spans="1:20" x14ac:dyDescent="0.2">
      <c r="A459" s="1">
        <v>46055</v>
      </c>
      <c r="B459" s="2">
        <v>0.89583333333333337</v>
      </c>
      <c r="C459" s="19" t="s">
        <v>55</v>
      </c>
      <c r="D459" s="19" t="s">
        <v>38</v>
      </c>
      <c r="E459" s="19" t="s">
        <v>38</v>
      </c>
      <c r="F459">
        <v>4</v>
      </c>
      <c r="G459">
        <v>5</v>
      </c>
      <c r="H459">
        <v>0.59319999999999995</v>
      </c>
      <c r="I459" s="19" t="s">
        <v>249</v>
      </c>
      <c r="J459" s="19" t="s">
        <v>55</v>
      </c>
      <c r="K459">
        <v>3</v>
      </c>
      <c r="L459">
        <v>2</v>
      </c>
      <c r="M459">
        <v>1.45</v>
      </c>
      <c r="N459" s="19" t="s">
        <v>55</v>
      </c>
      <c r="O459" s="19" t="s">
        <v>288</v>
      </c>
      <c r="P459" s="19" t="s">
        <v>284</v>
      </c>
      <c r="Q459" s="19" t="s">
        <v>285</v>
      </c>
      <c r="R459" s="19" t="s">
        <v>249</v>
      </c>
      <c r="S459" s="19" t="s">
        <v>248</v>
      </c>
      <c r="T459" s="19" t="s">
        <v>286</v>
      </c>
    </row>
    <row r="460" spans="1:20" x14ac:dyDescent="0.2">
      <c r="A460" s="1">
        <v>46055</v>
      </c>
      <c r="B460" s="2">
        <v>0.83333333333333337</v>
      </c>
      <c r="C460" s="19" t="s">
        <v>29</v>
      </c>
      <c r="D460" s="19" t="s">
        <v>35</v>
      </c>
      <c r="E460" s="19" t="s">
        <v>29</v>
      </c>
      <c r="F460">
        <v>6</v>
      </c>
      <c r="G460">
        <v>2</v>
      </c>
      <c r="H460">
        <v>0.92949999999999999</v>
      </c>
      <c r="I460" s="19" t="s">
        <v>249</v>
      </c>
      <c r="J460" s="19" t="s">
        <v>29</v>
      </c>
      <c r="K460">
        <v>3</v>
      </c>
      <c r="L460">
        <v>2</v>
      </c>
      <c r="M460">
        <v>0.64</v>
      </c>
      <c r="N460" s="19" t="s">
        <v>29</v>
      </c>
      <c r="O460" s="19" t="s">
        <v>288</v>
      </c>
      <c r="P460" s="19" t="s">
        <v>283</v>
      </c>
      <c r="Q460" s="19" t="s">
        <v>285</v>
      </c>
      <c r="R460" s="19" t="s">
        <v>248</v>
      </c>
      <c r="S460" s="19" t="s">
        <v>248</v>
      </c>
      <c r="T460" s="19" t="s">
        <v>286</v>
      </c>
    </row>
    <row r="461" spans="1:20" x14ac:dyDescent="0.2">
      <c r="A461" s="1">
        <v>46055</v>
      </c>
      <c r="B461" s="2">
        <v>0.79166666666666663</v>
      </c>
      <c r="C461" s="19" t="s">
        <v>22</v>
      </c>
      <c r="D461" s="19" t="s">
        <v>30</v>
      </c>
      <c r="E461" s="19" t="s">
        <v>30</v>
      </c>
      <c r="F461">
        <v>3</v>
      </c>
      <c r="G461">
        <v>4</v>
      </c>
      <c r="H461">
        <v>0.5615</v>
      </c>
      <c r="I461" s="19" t="s">
        <v>249</v>
      </c>
      <c r="J461" s="19" t="s">
        <v>22</v>
      </c>
      <c r="K461">
        <v>3</v>
      </c>
      <c r="L461">
        <v>2</v>
      </c>
      <c r="M461">
        <v>0.13</v>
      </c>
      <c r="N461" s="19" t="s">
        <v>22</v>
      </c>
      <c r="O461" s="19" t="s">
        <v>289</v>
      </c>
      <c r="P461" s="19" t="s">
        <v>287</v>
      </c>
      <c r="Q461" s="19" t="s">
        <v>285</v>
      </c>
      <c r="R461" s="19" t="s">
        <v>249</v>
      </c>
      <c r="S461" s="19" t="s">
        <v>248</v>
      </c>
      <c r="T461" s="19" t="s">
        <v>286</v>
      </c>
    </row>
    <row r="462" spans="1:20" x14ac:dyDescent="0.2">
      <c r="A462" s="1">
        <v>46056</v>
      </c>
      <c r="B462" s="2">
        <v>0.91666666666666663</v>
      </c>
      <c r="C462" s="19" t="s">
        <v>31</v>
      </c>
      <c r="D462" s="19" t="s">
        <v>32</v>
      </c>
      <c r="E462" s="19" t="s">
        <v>32</v>
      </c>
      <c r="F462">
        <v>3</v>
      </c>
      <c r="G462">
        <v>4</v>
      </c>
      <c r="H462">
        <v>0.52349999999999997</v>
      </c>
      <c r="I462" s="19" t="s">
        <v>249</v>
      </c>
      <c r="J462" s="19" t="s">
        <v>31</v>
      </c>
      <c r="K462">
        <v>3</v>
      </c>
      <c r="L462">
        <v>2</v>
      </c>
      <c r="M462">
        <v>0.05</v>
      </c>
      <c r="N462" s="19" t="s">
        <v>31</v>
      </c>
      <c r="O462" s="19" t="s">
        <v>289</v>
      </c>
      <c r="P462" s="19" t="s">
        <v>284</v>
      </c>
      <c r="Q462" s="19" t="s">
        <v>285</v>
      </c>
      <c r="R462" s="19" t="s">
        <v>249</v>
      </c>
      <c r="S462" s="19" t="s">
        <v>248</v>
      </c>
      <c r="T462" s="19" t="s">
        <v>286</v>
      </c>
    </row>
    <row r="463" spans="1:20" x14ac:dyDescent="0.2">
      <c r="A463" s="1">
        <v>46056</v>
      </c>
      <c r="B463" s="2">
        <v>0.79166666666666663</v>
      </c>
      <c r="C463" s="19" t="s">
        <v>27</v>
      </c>
      <c r="D463" s="19" t="s">
        <v>22</v>
      </c>
      <c r="E463" s="19" t="s">
        <v>27</v>
      </c>
      <c r="F463">
        <v>4</v>
      </c>
      <c r="G463">
        <v>3</v>
      </c>
      <c r="H463">
        <v>0.58689999999999998</v>
      </c>
      <c r="I463" s="19" t="s">
        <v>249</v>
      </c>
      <c r="J463" s="19" t="s">
        <v>22</v>
      </c>
      <c r="K463">
        <v>3</v>
      </c>
      <c r="L463">
        <v>2</v>
      </c>
      <c r="M463">
        <v>-0.31</v>
      </c>
      <c r="N463" s="19" t="s">
        <v>27</v>
      </c>
      <c r="O463" s="19" t="s">
        <v>289</v>
      </c>
      <c r="P463" s="19" t="s">
        <v>284</v>
      </c>
      <c r="Q463" s="19" t="s">
        <v>285</v>
      </c>
      <c r="R463" s="19" t="s">
        <v>248</v>
      </c>
      <c r="S463" s="19" t="s">
        <v>249</v>
      </c>
      <c r="T463" s="19" t="s">
        <v>286</v>
      </c>
    </row>
    <row r="464" spans="1:20" x14ac:dyDescent="0.2">
      <c r="A464" s="1">
        <v>46056</v>
      </c>
      <c r="B464" s="2">
        <v>0.79166666666666663</v>
      </c>
      <c r="C464" s="19" t="s">
        <v>25</v>
      </c>
      <c r="D464" s="19" t="s">
        <v>36</v>
      </c>
      <c r="E464" s="19" t="s">
        <v>25</v>
      </c>
      <c r="F464">
        <v>5</v>
      </c>
      <c r="G464">
        <v>3</v>
      </c>
      <c r="H464">
        <v>0.54659999999999997</v>
      </c>
      <c r="I464" s="19" t="s">
        <v>249</v>
      </c>
      <c r="J464" s="19" t="s">
        <v>25</v>
      </c>
      <c r="K464">
        <v>3</v>
      </c>
      <c r="L464">
        <v>2</v>
      </c>
      <c r="M464">
        <v>0.53</v>
      </c>
      <c r="N464" s="19" t="s">
        <v>25</v>
      </c>
      <c r="O464" s="19" t="s">
        <v>289</v>
      </c>
      <c r="P464" s="19" t="s">
        <v>291</v>
      </c>
      <c r="Q464" s="19" t="s">
        <v>285</v>
      </c>
      <c r="R464" s="19" t="s">
        <v>248</v>
      </c>
      <c r="S464" s="19" t="s">
        <v>248</v>
      </c>
      <c r="T464" s="19" t="s">
        <v>286</v>
      </c>
    </row>
    <row r="465" spans="1:20" x14ac:dyDescent="0.2">
      <c r="A465" s="1">
        <v>46056</v>
      </c>
      <c r="B465" s="2">
        <v>0.85416666666666663</v>
      </c>
      <c r="C465" s="19" t="s">
        <v>17</v>
      </c>
      <c r="D465" s="19" t="s">
        <v>19</v>
      </c>
      <c r="E465" s="19" t="s">
        <v>17</v>
      </c>
      <c r="F465">
        <v>5</v>
      </c>
      <c r="G465">
        <v>3</v>
      </c>
      <c r="H465">
        <v>0.73119999999999996</v>
      </c>
      <c r="I465" s="19" t="s">
        <v>249</v>
      </c>
      <c r="J465" s="19" t="s">
        <v>17</v>
      </c>
      <c r="K465">
        <v>3</v>
      </c>
      <c r="L465">
        <v>2</v>
      </c>
      <c r="M465">
        <v>0.35</v>
      </c>
      <c r="N465" s="19" t="s">
        <v>19</v>
      </c>
      <c r="O465" s="19" t="s">
        <v>284</v>
      </c>
      <c r="P465" s="19" t="s">
        <v>283</v>
      </c>
      <c r="Q465" s="19" t="s">
        <v>285</v>
      </c>
      <c r="R465" s="19" t="s">
        <v>249</v>
      </c>
      <c r="S465" s="19" t="s">
        <v>249</v>
      </c>
      <c r="T465" s="19" t="s">
        <v>286</v>
      </c>
    </row>
    <row r="466" spans="1:20" x14ac:dyDescent="0.2">
      <c r="A466" s="1">
        <v>46056</v>
      </c>
      <c r="B466" s="2">
        <v>0.8125</v>
      </c>
      <c r="C466" s="19" t="s">
        <v>30</v>
      </c>
      <c r="D466" s="19" t="s">
        <v>14</v>
      </c>
      <c r="E466" s="19" t="s">
        <v>30</v>
      </c>
      <c r="F466">
        <v>4</v>
      </c>
      <c r="G466">
        <v>3</v>
      </c>
      <c r="H466">
        <v>0.50719999999999998</v>
      </c>
      <c r="I466" s="19" t="s">
        <v>249</v>
      </c>
      <c r="J466" s="19" t="s">
        <v>14</v>
      </c>
      <c r="K466">
        <v>3</v>
      </c>
      <c r="L466">
        <v>2</v>
      </c>
      <c r="M466">
        <v>-7.0000000000000007E-2</v>
      </c>
      <c r="N466" s="19" t="s">
        <v>30</v>
      </c>
      <c r="O466" s="19" t="s">
        <v>283</v>
      </c>
      <c r="P466" s="19" t="s">
        <v>289</v>
      </c>
      <c r="Q466" s="19" t="s">
        <v>287</v>
      </c>
      <c r="R466" s="19" t="s">
        <v>248</v>
      </c>
      <c r="S466" s="19" t="s">
        <v>249</v>
      </c>
      <c r="T466" s="19" t="s">
        <v>286</v>
      </c>
    </row>
    <row r="467" spans="1:20" x14ac:dyDescent="0.2">
      <c r="A467" s="1">
        <v>46056</v>
      </c>
      <c r="B467" s="2">
        <v>0.8125</v>
      </c>
      <c r="C467" s="19" t="s">
        <v>37</v>
      </c>
      <c r="D467" s="19" t="s">
        <v>23</v>
      </c>
      <c r="E467" s="19" t="s">
        <v>37</v>
      </c>
      <c r="F467">
        <v>4</v>
      </c>
      <c r="G467">
        <v>3</v>
      </c>
      <c r="H467">
        <v>0.58799999999999997</v>
      </c>
      <c r="I467" s="19" t="s">
        <v>249</v>
      </c>
      <c r="J467" s="19" t="s">
        <v>37</v>
      </c>
      <c r="K467">
        <v>3</v>
      </c>
      <c r="L467">
        <v>2</v>
      </c>
      <c r="M467">
        <v>0.69</v>
      </c>
      <c r="N467" s="19" t="s">
        <v>37</v>
      </c>
      <c r="O467" s="19" t="s">
        <v>289</v>
      </c>
      <c r="P467" s="19" t="s">
        <v>291</v>
      </c>
      <c r="Q467" s="19" t="s">
        <v>287</v>
      </c>
      <c r="R467" s="19" t="s">
        <v>248</v>
      </c>
      <c r="S467" s="19" t="s">
        <v>248</v>
      </c>
      <c r="T467" s="19" t="s">
        <v>286</v>
      </c>
    </row>
    <row r="468" spans="1:20" x14ac:dyDescent="0.2">
      <c r="A468" s="1">
        <v>46056</v>
      </c>
      <c r="B468" s="2">
        <v>0.79166666666666663</v>
      </c>
      <c r="C468" s="19" t="s">
        <v>24</v>
      </c>
      <c r="D468" s="19" t="s">
        <v>28</v>
      </c>
      <c r="E468" s="19" t="s">
        <v>28</v>
      </c>
      <c r="F468">
        <v>3</v>
      </c>
      <c r="G468">
        <v>4</v>
      </c>
      <c r="H468">
        <v>0.56610000000000005</v>
      </c>
      <c r="I468" s="19" t="s">
        <v>249</v>
      </c>
      <c r="J468" s="19" t="s">
        <v>28</v>
      </c>
      <c r="K468">
        <v>3</v>
      </c>
      <c r="L468">
        <v>2</v>
      </c>
      <c r="M468">
        <v>-0.16</v>
      </c>
      <c r="N468" s="19" t="s">
        <v>28</v>
      </c>
      <c r="O468" s="19" t="s">
        <v>285</v>
      </c>
      <c r="P468" s="19" t="s">
        <v>291</v>
      </c>
      <c r="Q468" s="19" t="s">
        <v>285</v>
      </c>
      <c r="R468" s="19" t="s">
        <v>248</v>
      </c>
      <c r="S468" s="19" t="s">
        <v>248</v>
      </c>
      <c r="T468" s="19" t="s">
        <v>286</v>
      </c>
    </row>
    <row r="469" spans="1:20" x14ac:dyDescent="0.2">
      <c r="A469" s="1">
        <v>46057</v>
      </c>
      <c r="B469" s="2">
        <v>0.83333333333333337</v>
      </c>
      <c r="C469" s="19" t="s">
        <v>29</v>
      </c>
      <c r="D469" s="19" t="s">
        <v>34</v>
      </c>
      <c r="E469" s="19" t="s">
        <v>34</v>
      </c>
      <c r="F469">
        <v>3</v>
      </c>
      <c r="G469">
        <v>4</v>
      </c>
      <c r="H469">
        <v>0.68169999999999997</v>
      </c>
      <c r="I469" s="19" t="s">
        <v>249</v>
      </c>
      <c r="J469" s="19" t="s">
        <v>34</v>
      </c>
      <c r="K469">
        <v>3</v>
      </c>
      <c r="L469">
        <v>2</v>
      </c>
      <c r="M469">
        <v>-0.74</v>
      </c>
      <c r="N469" s="19" t="s">
        <v>34</v>
      </c>
      <c r="O469" s="19" t="s">
        <v>283</v>
      </c>
      <c r="P469" s="19" t="s">
        <v>288</v>
      </c>
      <c r="Q469" s="19" t="s">
        <v>287</v>
      </c>
      <c r="R469" s="19" t="s">
        <v>248</v>
      </c>
      <c r="S469" s="19" t="s">
        <v>248</v>
      </c>
      <c r="T469" s="19" t="s">
        <v>286</v>
      </c>
    </row>
    <row r="470" spans="1:20" x14ac:dyDescent="0.2">
      <c r="A470" s="1">
        <v>46057</v>
      </c>
      <c r="B470" s="2">
        <v>0.91666666666666663</v>
      </c>
      <c r="C470" s="19" t="s">
        <v>20</v>
      </c>
      <c r="D470" s="19" t="s">
        <v>38</v>
      </c>
      <c r="E470" s="19" t="s">
        <v>20</v>
      </c>
      <c r="F470">
        <v>4</v>
      </c>
      <c r="G470">
        <v>2</v>
      </c>
      <c r="H470">
        <v>0.87429999999999997</v>
      </c>
      <c r="I470" s="19" t="s">
        <v>249</v>
      </c>
      <c r="J470" s="19" t="s">
        <v>20</v>
      </c>
      <c r="K470">
        <v>3</v>
      </c>
      <c r="L470">
        <v>2</v>
      </c>
      <c r="M470">
        <v>1.21</v>
      </c>
      <c r="N470" s="19" t="s">
        <v>20</v>
      </c>
      <c r="O470" s="19" t="s">
        <v>283</v>
      </c>
      <c r="P470" s="19" t="s">
        <v>284</v>
      </c>
      <c r="Q470" s="19" t="s">
        <v>285</v>
      </c>
      <c r="R470" s="19" t="s">
        <v>248</v>
      </c>
      <c r="S470" s="19" t="s">
        <v>248</v>
      </c>
      <c r="T470" s="19" t="s">
        <v>286</v>
      </c>
    </row>
    <row r="471" spans="1:20" x14ac:dyDescent="0.2">
      <c r="A471" s="1">
        <v>46057</v>
      </c>
      <c r="B471" s="2">
        <v>0.79166666666666663</v>
      </c>
      <c r="C471" s="19" t="s">
        <v>40</v>
      </c>
      <c r="D471" s="19" t="s">
        <v>18</v>
      </c>
      <c r="E471" s="19" t="s">
        <v>18</v>
      </c>
      <c r="F471">
        <v>3</v>
      </c>
      <c r="G471">
        <v>4</v>
      </c>
      <c r="H471">
        <v>0.74219999999999997</v>
      </c>
      <c r="I471" s="19" t="s">
        <v>249</v>
      </c>
      <c r="J471" s="19" t="s">
        <v>18</v>
      </c>
      <c r="K471">
        <v>3</v>
      </c>
      <c r="L471">
        <v>2</v>
      </c>
      <c r="M471">
        <v>-0.25</v>
      </c>
      <c r="N471" s="19" t="s">
        <v>18</v>
      </c>
      <c r="O471" s="19" t="s">
        <v>287</v>
      </c>
      <c r="P471" s="19" t="s">
        <v>283</v>
      </c>
      <c r="Q471" s="19" t="s">
        <v>285</v>
      </c>
      <c r="R471" s="19" t="s">
        <v>248</v>
      </c>
      <c r="S471" s="19" t="s">
        <v>248</v>
      </c>
      <c r="T471" s="19" t="s">
        <v>286</v>
      </c>
    </row>
    <row r="472" spans="1:20" x14ac:dyDescent="0.2">
      <c r="A472" s="1">
        <v>46057</v>
      </c>
      <c r="B472" s="2">
        <v>0.875</v>
      </c>
      <c r="C472" s="19" t="s">
        <v>55</v>
      </c>
      <c r="D472" s="19" t="s">
        <v>26</v>
      </c>
      <c r="E472" s="19" t="s">
        <v>55</v>
      </c>
      <c r="F472">
        <v>4</v>
      </c>
      <c r="G472">
        <v>3</v>
      </c>
      <c r="H472">
        <v>0.56610000000000005</v>
      </c>
      <c r="I472" s="19" t="s">
        <v>249</v>
      </c>
      <c r="J472" s="19" t="s">
        <v>55</v>
      </c>
      <c r="K472">
        <v>3</v>
      </c>
      <c r="L472">
        <v>2</v>
      </c>
      <c r="M472">
        <v>0.47</v>
      </c>
      <c r="N472" s="19" t="s">
        <v>55</v>
      </c>
      <c r="O472" s="19" t="s">
        <v>289</v>
      </c>
      <c r="P472" s="19" t="s">
        <v>287</v>
      </c>
      <c r="Q472" s="19" t="s">
        <v>285</v>
      </c>
      <c r="R472" s="19" t="s">
        <v>248</v>
      </c>
      <c r="S472" s="19" t="s">
        <v>248</v>
      </c>
      <c r="T472" s="19" t="s">
        <v>286</v>
      </c>
    </row>
    <row r="473" spans="1:20" x14ac:dyDescent="0.2">
      <c r="A473" s="1">
        <v>46057</v>
      </c>
      <c r="B473" s="2">
        <v>0.91666666666666663</v>
      </c>
      <c r="C473" s="19" t="s">
        <v>13</v>
      </c>
      <c r="D473" s="19" t="s">
        <v>32</v>
      </c>
      <c r="E473" s="19" t="s">
        <v>32</v>
      </c>
      <c r="F473">
        <v>3</v>
      </c>
      <c r="G473">
        <v>4</v>
      </c>
      <c r="H473">
        <v>0.8034</v>
      </c>
      <c r="I473" s="19" t="s">
        <v>249</v>
      </c>
      <c r="J473" s="19" t="s">
        <v>13</v>
      </c>
      <c r="K473">
        <v>3</v>
      </c>
      <c r="L473">
        <v>2</v>
      </c>
      <c r="M473">
        <v>0.12</v>
      </c>
      <c r="N473" s="19" t="s">
        <v>32</v>
      </c>
      <c r="O473" s="19" t="s">
        <v>284</v>
      </c>
      <c r="P473" s="19" t="s">
        <v>289</v>
      </c>
      <c r="Q473" s="19" t="s">
        <v>285</v>
      </c>
      <c r="R473" s="19" t="s">
        <v>248</v>
      </c>
      <c r="S473" s="19" t="s">
        <v>249</v>
      </c>
      <c r="T473" s="19" t="s">
        <v>286</v>
      </c>
    </row>
    <row r="474" spans="1:20" x14ac:dyDescent="0.2">
      <c r="A474" s="1">
        <v>46057</v>
      </c>
      <c r="B474" s="2">
        <v>0.79166666666666663</v>
      </c>
      <c r="C474" s="19" t="s">
        <v>11</v>
      </c>
      <c r="D474" s="19" t="s">
        <v>21</v>
      </c>
      <c r="E474" s="19" t="s">
        <v>21</v>
      </c>
      <c r="F474">
        <v>3</v>
      </c>
      <c r="G474">
        <v>4</v>
      </c>
      <c r="H474">
        <v>0.60950000000000004</v>
      </c>
      <c r="I474" s="19" t="s">
        <v>249</v>
      </c>
      <c r="J474" s="19" t="s">
        <v>21</v>
      </c>
      <c r="K474">
        <v>3</v>
      </c>
      <c r="L474">
        <v>2</v>
      </c>
      <c r="M474">
        <v>-0.31</v>
      </c>
      <c r="N474" s="19" t="s">
        <v>11</v>
      </c>
      <c r="O474" s="19" t="s">
        <v>283</v>
      </c>
      <c r="P474" s="19" t="s">
        <v>289</v>
      </c>
      <c r="Q474" s="19" t="s">
        <v>287</v>
      </c>
      <c r="R474" s="19" t="s">
        <v>249</v>
      </c>
      <c r="S474" s="19" t="s">
        <v>249</v>
      </c>
      <c r="T474" s="19" t="s">
        <v>286</v>
      </c>
    </row>
    <row r="475" spans="1:20" x14ac:dyDescent="0.2">
      <c r="A475" s="1">
        <v>46057</v>
      </c>
      <c r="B475" s="2">
        <v>0.875</v>
      </c>
      <c r="C475" s="19" t="s">
        <v>12</v>
      </c>
      <c r="D475" s="19" t="s">
        <v>33</v>
      </c>
      <c r="E475" s="19" t="s">
        <v>12</v>
      </c>
      <c r="F475">
        <v>5</v>
      </c>
      <c r="G475">
        <v>1</v>
      </c>
      <c r="H475">
        <v>0.82369999999999999</v>
      </c>
      <c r="I475" s="19" t="s">
        <v>249</v>
      </c>
      <c r="J475" s="19" t="s">
        <v>12</v>
      </c>
      <c r="K475">
        <v>3</v>
      </c>
      <c r="L475">
        <v>2</v>
      </c>
      <c r="M475">
        <v>1.75</v>
      </c>
      <c r="N475" s="19" t="s">
        <v>12</v>
      </c>
      <c r="O475" s="19" t="s">
        <v>289</v>
      </c>
      <c r="P475" s="19" t="s">
        <v>284</v>
      </c>
      <c r="Q475" s="19" t="s">
        <v>285</v>
      </c>
      <c r="R475" s="19" t="s">
        <v>248</v>
      </c>
      <c r="S475" s="19" t="s">
        <v>248</v>
      </c>
      <c r="T475" s="19" t="s">
        <v>286</v>
      </c>
    </row>
    <row r="476" spans="1:20" x14ac:dyDescent="0.2">
      <c r="A476" s="1">
        <v>46057</v>
      </c>
      <c r="B476" s="2">
        <v>0.79166666666666663</v>
      </c>
      <c r="C476" s="19" t="s">
        <v>28</v>
      </c>
      <c r="D476" s="19" t="s">
        <v>10</v>
      </c>
      <c r="E476" s="19" t="s">
        <v>28</v>
      </c>
      <c r="F476">
        <v>4</v>
      </c>
      <c r="G476">
        <v>3</v>
      </c>
      <c r="H476">
        <v>0.66</v>
      </c>
      <c r="I476" s="19" t="s">
        <v>249</v>
      </c>
      <c r="J476" s="19" t="s">
        <v>28</v>
      </c>
      <c r="K476">
        <v>3</v>
      </c>
      <c r="L476">
        <v>2</v>
      </c>
      <c r="M476">
        <v>0.65</v>
      </c>
      <c r="N476" s="19" t="s">
        <v>28</v>
      </c>
      <c r="O476" s="19" t="s">
        <v>289</v>
      </c>
      <c r="P476" s="19" t="s">
        <v>285</v>
      </c>
      <c r="Q476" s="19" t="s">
        <v>285</v>
      </c>
      <c r="R476" s="19" t="s">
        <v>248</v>
      </c>
      <c r="S476" s="19" t="s">
        <v>248</v>
      </c>
      <c r="T476" s="19" t="s">
        <v>286</v>
      </c>
    </row>
    <row r="477" spans="1:20" x14ac:dyDescent="0.2">
      <c r="A477" s="1">
        <v>46057</v>
      </c>
      <c r="B477" s="2">
        <v>0.89583333333333337</v>
      </c>
      <c r="C477" s="19" t="s">
        <v>39</v>
      </c>
      <c r="D477" s="19" t="s">
        <v>35</v>
      </c>
      <c r="E477" s="19" t="s">
        <v>39</v>
      </c>
      <c r="F477">
        <v>4</v>
      </c>
      <c r="G477">
        <v>2</v>
      </c>
      <c r="H477">
        <v>0.90139999999999998</v>
      </c>
      <c r="I477" s="19" t="s">
        <v>249</v>
      </c>
      <c r="J477" s="19" t="s">
        <v>39</v>
      </c>
      <c r="K477">
        <v>3</v>
      </c>
      <c r="L477">
        <v>2</v>
      </c>
      <c r="M477">
        <v>1.64</v>
      </c>
      <c r="N477" s="19" t="s">
        <v>39</v>
      </c>
      <c r="O477" s="19" t="s">
        <v>283</v>
      </c>
      <c r="P477" s="19" t="s">
        <v>289</v>
      </c>
      <c r="Q477" s="19" t="s">
        <v>285</v>
      </c>
      <c r="R477" s="19" t="s">
        <v>248</v>
      </c>
      <c r="S477" s="19" t="s">
        <v>248</v>
      </c>
      <c r="T477" s="19" t="s">
        <v>286</v>
      </c>
    </row>
    <row r="478" spans="1:20" x14ac:dyDescent="0.2">
      <c r="A478" s="1">
        <v>46057</v>
      </c>
      <c r="B478" s="2">
        <v>0.91666666666666663</v>
      </c>
      <c r="C478" s="19" t="s">
        <v>16</v>
      </c>
      <c r="D478" s="19" t="s">
        <v>17</v>
      </c>
      <c r="E478" s="19" t="s">
        <v>16</v>
      </c>
      <c r="F478">
        <v>4</v>
      </c>
      <c r="G478">
        <v>3</v>
      </c>
      <c r="H478">
        <v>0.83</v>
      </c>
      <c r="I478" s="19" t="s">
        <v>249</v>
      </c>
      <c r="J478" s="19" t="s">
        <v>17</v>
      </c>
      <c r="K478">
        <v>3</v>
      </c>
      <c r="L478">
        <v>2</v>
      </c>
      <c r="M478">
        <v>-0.47</v>
      </c>
      <c r="N478" s="19" t="s">
        <v>16</v>
      </c>
      <c r="O478" s="19" t="s">
        <v>289</v>
      </c>
      <c r="P478" s="19" t="s">
        <v>291</v>
      </c>
      <c r="Q478" s="19" t="s">
        <v>285</v>
      </c>
      <c r="R478" s="19" t="s">
        <v>248</v>
      </c>
      <c r="S478" s="19" t="s">
        <v>249</v>
      </c>
      <c r="T478" s="19" t="s">
        <v>286</v>
      </c>
    </row>
    <row r="479" spans="1:20" x14ac:dyDescent="0.2">
      <c r="A479" s="1">
        <v>46058</v>
      </c>
      <c r="B479" s="2">
        <v>0.79166666666666663</v>
      </c>
      <c r="C479" s="19" t="s">
        <v>22</v>
      </c>
      <c r="D479" s="19" t="s">
        <v>29</v>
      </c>
      <c r="E479" s="19" t="s">
        <v>22</v>
      </c>
      <c r="F479">
        <v>4</v>
      </c>
      <c r="G479">
        <v>3</v>
      </c>
      <c r="H479">
        <v>0.57110000000000005</v>
      </c>
      <c r="I479" s="19" t="s">
        <v>249</v>
      </c>
      <c r="J479" s="19" t="s">
        <v>22</v>
      </c>
      <c r="K479">
        <v>3</v>
      </c>
      <c r="L479">
        <v>2</v>
      </c>
      <c r="M479">
        <v>0.76</v>
      </c>
      <c r="N479" s="19" t="s">
        <v>22</v>
      </c>
      <c r="O479" s="19" t="s">
        <v>289</v>
      </c>
      <c r="P479" s="19" t="s">
        <v>284</v>
      </c>
      <c r="Q479" s="19" t="s">
        <v>285</v>
      </c>
      <c r="R479" s="19" t="s">
        <v>248</v>
      </c>
      <c r="S479" s="19" t="s">
        <v>248</v>
      </c>
      <c r="T479" s="19" t="s">
        <v>286</v>
      </c>
    </row>
    <row r="480" spans="1:20" x14ac:dyDescent="0.2">
      <c r="A480" s="1">
        <v>46058</v>
      </c>
      <c r="B480" s="2">
        <v>0.8125</v>
      </c>
      <c r="C480" s="19" t="s">
        <v>37</v>
      </c>
      <c r="D480" s="19" t="s">
        <v>11</v>
      </c>
      <c r="E480" s="19" t="s">
        <v>11</v>
      </c>
      <c r="F480">
        <v>4</v>
      </c>
      <c r="G480">
        <v>5</v>
      </c>
      <c r="H480">
        <v>0.55230000000000001</v>
      </c>
      <c r="I480" s="19" t="s">
        <v>249</v>
      </c>
      <c r="J480" s="19" t="s">
        <v>37</v>
      </c>
      <c r="K480">
        <v>3</v>
      </c>
      <c r="L480">
        <v>2</v>
      </c>
      <c r="M480">
        <v>1.26</v>
      </c>
      <c r="N480" s="19" t="s">
        <v>37</v>
      </c>
      <c r="O480" s="19" t="s">
        <v>288</v>
      </c>
      <c r="P480" s="19" t="s">
        <v>287</v>
      </c>
      <c r="Q480" s="19" t="s">
        <v>285</v>
      </c>
      <c r="R480" s="19" t="s">
        <v>249</v>
      </c>
      <c r="S480" s="19" t="s">
        <v>248</v>
      </c>
      <c r="T480" s="19" t="s">
        <v>286</v>
      </c>
    </row>
    <row r="481" spans="1:20" x14ac:dyDescent="0.2">
      <c r="A481" s="1">
        <v>46058</v>
      </c>
      <c r="B481" s="2">
        <v>0.79166666666666663</v>
      </c>
      <c r="C481" s="19" t="s">
        <v>27</v>
      </c>
      <c r="D481" s="19" t="s">
        <v>36</v>
      </c>
      <c r="E481" s="19" t="s">
        <v>36</v>
      </c>
      <c r="F481">
        <v>3</v>
      </c>
      <c r="G481">
        <v>4</v>
      </c>
      <c r="H481">
        <v>0.56640000000000001</v>
      </c>
      <c r="I481" s="19" t="s">
        <v>248</v>
      </c>
      <c r="J481" s="19" t="s">
        <v>36</v>
      </c>
      <c r="K481">
        <v>3</v>
      </c>
      <c r="L481">
        <v>2</v>
      </c>
      <c r="M481">
        <v>-0.18</v>
      </c>
      <c r="N481" s="19" t="s">
        <v>36</v>
      </c>
      <c r="O481" s="19" t="s">
        <v>287</v>
      </c>
      <c r="P481" s="19" t="s">
        <v>284</v>
      </c>
      <c r="Q481" s="19" t="s">
        <v>287</v>
      </c>
      <c r="R481" s="19" t="s">
        <v>248</v>
      </c>
      <c r="S481" s="19" t="s">
        <v>248</v>
      </c>
      <c r="T481" s="19" t="s">
        <v>286</v>
      </c>
    </row>
    <row r="482" spans="1:20" x14ac:dyDescent="0.2">
      <c r="A482" s="1">
        <v>46058</v>
      </c>
      <c r="B482" s="2">
        <v>0.91666666666666663</v>
      </c>
      <c r="C482" s="19" t="s">
        <v>20</v>
      </c>
      <c r="D482" s="19" t="s">
        <v>13</v>
      </c>
      <c r="E482" s="19" t="s">
        <v>13</v>
      </c>
      <c r="F482">
        <v>3</v>
      </c>
      <c r="G482">
        <v>4</v>
      </c>
      <c r="H482">
        <v>0.77810000000000001</v>
      </c>
      <c r="I482" s="19" t="s">
        <v>249</v>
      </c>
      <c r="J482" s="19" t="s">
        <v>20</v>
      </c>
      <c r="K482">
        <v>3</v>
      </c>
      <c r="L482">
        <v>2</v>
      </c>
      <c r="M482">
        <v>0.42</v>
      </c>
      <c r="N482" s="19" t="s">
        <v>20</v>
      </c>
      <c r="O482" s="19" t="s">
        <v>289</v>
      </c>
      <c r="P482" s="19" t="s">
        <v>287</v>
      </c>
      <c r="Q482" s="19" t="s">
        <v>285</v>
      </c>
      <c r="R482" s="19" t="s">
        <v>249</v>
      </c>
      <c r="S482" s="19" t="s">
        <v>248</v>
      </c>
      <c r="T482" s="19" t="s">
        <v>286</v>
      </c>
    </row>
    <row r="483" spans="1:20" x14ac:dyDescent="0.2">
      <c r="A483" s="1">
        <v>46058</v>
      </c>
      <c r="B483" s="2">
        <v>0.79166666666666663</v>
      </c>
      <c r="C483" s="19" t="s">
        <v>24</v>
      </c>
      <c r="D483" s="19" t="s">
        <v>30</v>
      </c>
      <c r="E483" s="19" t="s">
        <v>30</v>
      </c>
      <c r="F483">
        <v>3</v>
      </c>
      <c r="G483">
        <v>4</v>
      </c>
      <c r="H483">
        <v>0.64849999999999997</v>
      </c>
      <c r="I483" s="19" t="s">
        <v>248</v>
      </c>
      <c r="J483" s="19" t="s">
        <v>30</v>
      </c>
      <c r="K483">
        <v>3</v>
      </c>
      <c r="L483">
        <v>2</v>
      </c>
      <c r="M483">
        <v>-0.37</v>
      </c>
      <c r="N483" s="19" t="s">
        <v>30</v>
      </c>
      <c r="O483" s="19" t="s">
        <v>287</v>
      </c>
      <c r="P483" s="19" t="s">
        <v>291</v>
      </c>
      <c r="Q483" s="19" t="s">
        <v>285</v>
      </c>
      <c r="R483" s="19" t="s">
        <v>248</v>
      </c>
      <c r="S483" s="19" t="s">
        <v>248</v>
      </c>
      <c r="T483" s="19" t="s">
        <v>286</v>
      </c>
    </row>
    <row r="484" spans="1:20" x14ac:dyDescent="0.2">
      <c r="A484" s="1">
        <v>46058</v>
      </c>
      <c r="B484" s="2">
        <v>0.79166666666666663</v>
      </c>
      <c r="C484" s="19" t="s">
        <v>23</v>
      </c>
      <c r="D484" s="19" t="s">
        <v>14</v>
      </c>
      <c r="E484" s="19" t="s">
        <v>23</v>
      </c>
      <c r="F484">
        <v>4</v>
      </c>
      <c r="G484">
        <v>3</v>
      </c>
      <c r="H484">
        <v>0.5847</v>
      </c>
      <c r="I484" s="19" t="s">
        <v>249</v>
      </c>
      <c r="J484" s="19" t="s">
        <v>23</v>
      </c>
      <c r="K484">
        <v>3</v>
      </c>
      <c r="L484">
        <v>2</v>
      </c>
      <c r="M484">
        <v>0.25</v>
      </c>
      <c r="N484" s="19" t="s">
        <v>14</v>
      </c>
      <c r="O484" s="19" t="s">
        <v>284</v>
      </c>
      <c r="P484" s="19" t="s">
        <v>283</v>
      </c>
      <c r="Q484" s="19" t="s">
        <v>285</v>
      </c>
      <c r="R484" s="19" t="s">
        <v>249</v>
      </c>
      <c r="S484" s="19" t="s">
        <v>249</v>
      </c>
      <c r="T484" s="19" t="s">
        <v>286</v>
      </c>
    </row>
    <row r="485" spans="1:20" x14ac:dyDescent="0.2">
      <c r="A485" s="1">
        <v>46058</v>
      </c>
      <c r="B485" s="2">
        <v>0.79166666666666663</v>
      </c>
      <c r="C485" s="19" t="s">
        <v>15</v>
      </c>
      <c r="D485" s="19" t="s">
        <v>25</v>
      </c>
      <c r="E485" s="19" t="s">
        <v>25</v>
      </c>
      <c r="F485">
        <v>1</v>
      </c>
      <c r="G485">
        <v>3</v>
      </c>
      <c r="H485">
        <v>0.69410000000000005</v>
      </c>
      <c r="I485" s="19" t="s">
        <v>249</v>
      </c>
      <c r="J485" s="19" t="s">
        <v>25</v>
      </c>
      <c r="K485">
        <v>3</v>
      </c>
      <c r="L485">
        <v>2</v>
      </c>
      <c r="M485">
        <v>-0.81</v>
      </c>
      <c r="N485" s="19" t="s">
        <v>25</v>
      </c>
      <c r="O485" s="19" t="s">
        <v>285</v>
      </c>
      <c r="P485" s="19" t="s">
        <v>284</v>
      </c>
      <c r="Q485" s="19" t="s">
        <v>285</v>
      </c>
      <c r="R485" s="19" t="s">
        <v>248</v>
      </c>
      <c r="S485" s="19" t="s">
        <v>248</v>
      </c>
      <c r="T485" s="19" t="s">
        <v>286</v>
      </c>
    </row>
    <row r="486" spans="1:20" x14ac:dyDescent="0.2">
      <c r="A486" s="1">
        <v>46078</v>
      </c>
      <c r="B486" s="2">
        <v>0.91666666666666663</v>
      </c>
      <c r="C486" s="19" t="s">
        <v>38</v>
      </c>
      <c r="D486" s="19" t="s">
        <v>40</v>
      </c>
      <c r="E486" s="19" t="s">
        <v>40</v>
      </c>
      <c r="F486">
        <v>3</v>
      </c>
      <c r="G486">
        <v>4</v>
      </c>
      <c r="H486">
        <v>0.76</v>
      </c>
      <c r="I486" s="19" t="s">
        <v>249</v>
      </c>
      <c r="J486" s="19" t="s">
        <v>40</v>
      </c>
      <c r="K486">
        <v>3</v>
      </c>
      <c r="L486">
        <v>2</v>
      </c>
      <c r="M486">
        <v>-0.67</v>
      </c>
      <c r="N486" s="19" t="s">
        <v>40</v>
      </c>
      <c r="O486" s="19" t="s">
        <v>284</v>
      </c>
      <c r="P486" s="19" t="s">
        <v>291</v>
      </c>
      <c r="Q486" s="19" t="s">
        <v>287</v>
      </c>
      <c r="R486" s="19" t="s">
        <v>248</v>
      </c>
      <c r="S486" s="19" t="s">
        <v>248</v>
      </c>
      <c r="T486" s="19" t="s">
        <v>286</v>
      </c>
    </row>
    <row r="487" spans="1:20" x14ac:dyDescent="0.2">
      <c r="A487" s="1">
        <v>46078</v>
      </c>
      <c r="B487" s="2">
        <v>0.8125</v>
      </c>
      <c r="C487" s="19" t="s">
        <v>37</v>
      </c>
      <c r="D487" s="19" t="s">
        <v>19</v>
      </c>
      <c r="E487" s="19" t="s">
        <v>37</v>
      </c>
      <c r="F487">
        <v>4</v>
      </c>
      <c r="G487">
        <v>2</v>
      </c>
      <c r="H487">
        <v>0.81769999999999998</v>
      </c>
      <c r="I487" s="19" t="s">
        <v>249</v>
      </c>
      <c r="J487" s="19" t="s">
        <v>37</v>
      </c>
      <c r="K487">
        <v>3</v>
      </c>
      <c r="L487">
        <v>2</v>
      </c>
      <c r="M487">
        <v>1.26</v>
      </c>
      <c r="N487" s="19" t="s">
        <v>37</v>
      </c>
      <c r="O487" s="19" t="s">
        <v>289</v>
      </c>
      <c r="P487" s="19" t="s">
        <v>284</v>
      </c>
      <c r="Q487" s="19" t="s">
        <v>285</v>
      </c>
      <c r="R487" s="19" t="s">
        <v>248</v>
      </c>
      <c r="S487" s="19" t="s">
        <v>248</v>
      </c>
      <c r="T487" s="19" t="s">
        <v>286</v>
      </c>
    </row>
    <row r="488" spans="1:20" x14ac:dyDescent="0.2">
      <c r="A488" s="1">
        <v>46078</v>
      </c>
      <c r="B488" s="2">
        <v>0.875</v>
      </c>
      <c r="C488" s="19" t="s">
        <v>55</v>
      </c>
      <c r="D488" s="19" t="s">
        <v>12</v>
      </c>
      <c r="E488" s="19" t="s">
        <v>55</v>
      </c>
      <c r="F488">
        <v>4</v>
      </c>
      <c r="G488">
        <v>3</v>
      </c>
      <c r="H488">
        <v>0.76029999999999998</v>
      </c>
      <c r="I488" s="19" t="s">
        <v>248</v>
      </c>
      <c r="J488" s="19" t="s">
        <v>12</v>
      </c>
      <c r="K488">
        <v>3</v>
      </c>
      <c r="L488">
        <v>2</v>
      </c>
      <c r="M488">
        <v>-0.75</v>
      </c>
      <c r="N488" s="19" t="s">
        <v>12</v>
      </c>
      <c r="O488" s="19" t="s">
        <v>284</v>
      </c>
      <c r="P488" s="19" t="s">
        <v>289</v>
      </c>
      <c r="Q488" s="19" t="s">
        <v>285</v>
      </c>
      <c r="R488" s="19" t="s">
        <v>249</v>
      </c>
      <c r="S488" s="19" t="s">
        <v>248</v>
      </c>
      <c r="T488" s="19" t="s">
        <v>286</v>
      </c>
    </row>
    <row r="489" spans="1:20" x14ac:dyDescent="0.2">
      <c r="A489" s="1">
        <v>46078</v>
      </c>
      <c r="B489" s="2">
        <v>0.79166666666666663</v>
      </c>
      <c r="C489" s="19" t="s">
        <v>24</v>
      </c>
      <c r="D489" s="19" t="s">
        <v>23</v>
      </c>
      <c r="E489" s="19" t="s">
        <v>23</v>
      </c>
      <c r="F489">
        <v>2</v>
      </c>
      <c r="G489">
        <v>3</v>
      </c>
      <c r="H489">
        <v>0.80369999999999997</v>
      </c>
      <c r="I489" s="19" t="s">
        <v>249</v>
      </c>
      <c r="J489" s="19" t="s">
        <v>23</v>
      </c>
      <c r="K489">
        <v>3</v>
      </c>
      <c r="L489">
        <v>2</v>
      </c>
      <c r="M489">
        <v>-0.62</v>
      </c>
      <c r="N489" s="19" t="s">
        <v>23</v>
      </c>
      <c r="O489" s="19" t="s">
        <v>287</v>
      </c>
      <c r="P489" s="19" t="s">
        <v>284</v>
      </c>
      <c r="Q489" s="19" t="s">
        <v>285</v>
      </c>
      <c r="R489" s="19" t="s">
        <v>248</v>
      </c>
      <c r="S489" s="19" t="s">
        <v>248</v>
      </c>
      <c r="T489" s="19" t="s">
        <v>286</v>
      </c>
    </row>
    <row r="490" spans="1:20" x14ac:dyDescent="0.2">
      <c r="A490" s="1">
        <v>46078</v>
      </c>
      <c r="B490" s="2">
        <v>0.9375</v>
      </c>
      <c r="C490" s="19" t="s">
        <v>31</v>
      </c>
      <c r="D490" s="19" t="s">
        <v>17</v>
      </c>
      <c r="E490" s="19" t="s">
        <v>31</v>
      </c>
      <c r="F490">
        <v>4</v>
      </c>
      <c r="G490">
        <v>3</v>
      </c>
      <c r="H490">
        <v>0.65690000000000004</v>
      </c>
      <c r="I490" s="19" t="s">
        <v>249</v>
      </c>
      <c r="J490" s="19" t="s">
        <v>17</v>
      </c>
      <c r="K490">
        <v>3</v>
      </c>
      <c r="L490">
        <v>2</v>
      </c>
      <c r="M490">
        <v>-0.01</v>
      </c>
      <c r="N490" s="19" t="s">
        <v>31</v>
      </c>
      <c r="O490" s="19" t="s">
        <v>288</v>
      </c>
      <c r="P490" s="19" t="s">
        <v>283</v>
      </c>
      <c r="Q490" s="19" t="s">
        <v>285</v>
      </c>
      <c r="R490" s="19" t="s">
        <v>248</v>
      </c>
      <c r="S490" s="19" t="s">
        <v>249</v>
      </c>
      <c r="T490" s="19" t="s">
        <v>286</v>
      </c>
    </row>
    <row r="491" spans="1:20" x14ac:dyDescent="0.2">
      <c r="A491" s="1">
        <v>46078</v>
      </c>
      <c r="B491" s="2">
        <v>0.91666666666666663</v>
      </c>
      <c r="C491" s="19" t="s">
        <v>13</v>
      </c>
      <c r="D491" s="19" t="s">
        <v>20</v>
      </c>
      <c r="E491" s="19" t="s">
        <v>20</v>
      </c>
      <c r="F491">
        <v>2</v>
      </c>
      <c r="G491">
        <v>3</v>
      </c>
      <c r="H491">
        <v>0.81799999999999995</v>
      </c>
      <c r="I491" s="19" t="s">
        <v>249</v>
      </c>
      <c r="J491" s="19" t="s">
        <v>20</v>
      </c>
      <c r="K491">
        <v>3</v>
      </c>
      <c r="L491">
        <v>2</v>
      </c>
      <c r="M491">
        <v>-0.25</v>
      </c>
      <c r="N491" s="19" t="s">
        <v>20</v>
      </c>
      <c r="O491" s="19" t="s">
        <v>289</v>
      </c>
      <c r="P491" s="19" t="s">
        <v>288</v>
      </c>
      <c r="Q491" s="19" t="s">
        <v>285</v>
      </c>
      <c r="R491" s="19" t="s">
        <v>248</v>
      </c>
      <c r="S491" s="19" t="s">
        <v>248</v>
      </c>
      <c r="T491" s="19" t="s">
        <v>286</v>
      </c>
    </row>
    <row r="492" spans="1:20" x14ac:dyDescent="0.2">
      <c r="A492" s="1">
        <v>46078</v>
      </c>
      <c r="B492" s="2">
        <v>0.79166666666666663</v>
      </c>
      <c r="C492" s="19" t="s">
        <v>22</v>
      </c>
      <c r="D492" s="19" t="s">
        <v>27</v>
      </c>
      <c r="E492" s="19" t="s">
        <v>22</v>
      </c>
      <c r="F492">
        <v>4</v>
      </c>
      <c r="G492">
        <v>3</v>
      </c>
      <c r="H492">
        <v>0.69010000000000005</v>
      </c>
      <c r="I492" s="19" t="s">
        <v>249</v>
      </c>
      <c r="J492" s="19" t="s">
        <v>22</v>
      </c>
      <c r="K492">
        <v>3</v>
      </c>
      <c r="L492">
        <v>2</v>
      </c>
      <c r="M492">
        <v>0.51</v>
      </c>
      <c r="N492" s="19" t="s">
        <v>22</v>
      </c>
      <c r="O492" s="19" t="s">
        <v>291</v>
      </c>
      <c r="P492" s="19" t="s">
        <v>287</v>
      </c>
      <c r="Q492" s="19" t="s">
        <v>285</v>
      </c>
      <c r="R492" s="19" t="s">
        <v>248</v>
      </c>
      <c r="S492" s="19" t="s">
        <v>248</v>
      </c>
      <c r="T492" s="19" t="s">
        <v>286</v>
      </c>
    </row>
    <row r="493" spans="1:20" x14ac:dyDescent="0.2">
      <c r="A493" s="1">
        <v>46078</v>
      </c>
      <c r="B493" s="2">
        <v>0.83333333333333337</v>
      </c>
      <c r="C493" s="19" t="s">
        <v>39</v>
      </c>
      <c r="D493" s="19" t="s">
        <v>32</v>
      </c>
      <c r="E493" s="19" t="s">
        <v>39</v>
      </c>
      <c r="F493">
        <v>3</v>
      </c>
      <c r="G493">
        <v>2</v>
      </c>
      <c r="H493">
        <v>0.77339999999999998</v>
      </c>
      <c r="I493" s="19" t="s">
        <v>249</v>
      </c>
      <c r="J493" s="19" t="s">
        <v>39</v>
      </c>
      <c r="K493">
        <v>3</v>
      </c>
      <c r="L493">
        <v>2</v>
      </c>
      <c r="M493">
        <v>0.75</v>
      </c>
      <c r="N493" s="19" t="s">
        <v>39</v>
      </c>
      <c r="O493" s="19" t="s">
        <v>289</v>
      </c>
      <c r="P493" s="19" t="s">
        <v>287</v>
      </c>
      <c r="Q493" s="19" t="s">
        <v>285</v>
      </c>
      <c r="R493" s="19" t="s">
        <v>248</v>
      </c>
      <c r="S493" s="19" t="s">
        <v>248</v>
      </c>
      <c r="T493" s="19" t="s">
        <v>286</v>
      </c>
    </row>
    <row r="494" spans="1:20" x14ac:dyDescent="0.2">
      <c r="A494" s="1">
        <v>46079</v>
      </c>
      <c r="B494" s="2">
        <v>0.79166666666666663</v>
      </c>
      <c r="C494" s="19" t="s">
        <v>14</v>
      </c>
      <c r="D494" s="19" t="s">
        <v>24</v>
      </c>
      <c r="E494" s="19" t="s">
        <v>14</v>
      </c>
      <c r="F494">
        <v>3</v>
      </c>
      <c r="G494">
        <v>2</v>
      </c>
      <c r="H494">
        <v>0.5917</v>
      </c>
      <c r="I494" s="19" t="s">
        <v>249</v>
      </c>
      <c r="J494" s="19" t="s">
        <v>14</v>
      </c>
      <c r="K494">
        <v>3</v>
      </c>
      <c r="L494">
        <v>2</v>
      </c>
      <c r="M494">
        <v>0.87</v>
      </c>
      <c r="N494" s="19" t="s">
        <v>60</v>
      </c>
      <c r="O494" s="19" t="s">
        <v>60</v>
      </c>
      <c r="P494" s="19" t="s">
        <v>60</v>
      </c>
      <c r="Q494" s="19" t="s">
        <v>60</v>
      </c>
      <c r="R494" s="19" t="s">
        <v>60</v>
      </c>
      <c r="S494" s="19" t="s">
        <v>60</v>
      </c>
      <c r="T494" s="19" t="s">
        <v>281</v>
      </c>
    </row>
    <row r="495" spans="1:20" x14ac:dyDescent="0.2">
      <c r="A495" s="1">
        <v>46079</v>
      </c>
      <c r="B495" s="2">
        <v>0.91666666666666663</v>
      </c>
      <c r="C495" s="19" t="s">
        <v>33</v>
      </c>
      <c r="D495" s="19" t="s">
        <v>16</v>
      </c>
      <c r="E495" s="19" t="s">
        <v>33</v>
      </c>
      <c r="F495">
        <v>5</v>
      </c>
      <c r="G495">
        <v>3</v>
      </c>
      <c r="H495">
        <v>0.88380000000000003</v>
      </c>
      <c r="I495" s="19" t="s">
        <v>249</v>
      </c>
      <c r="J495" s="19" t="s">
        <v>33</v>
      </c>
      <c r="K495">
        <v>3</v>
      </c>
      <c r="L495">
        <v>2</v>
      </c>
      <c r="M495">
        <v>0.36</v>
      </c>
      <c r="N495" s="19" t="s">
        <v>60</v>
      </c>
      <c r="O495" s="19" t="s">
        <v>60</v>
      </c>
      <c r="P495" s="19" t="s">
        <v>60</v>
      </c>
      <c r="Q495" s="19" t="s">
        <v>60</v>
      </c>
      <c r="R495" s="19" t="s">
        <v>60</v>
      </c>
      <c r="S495" s="19" t="s">
        <v>60</v>
      </c>
      <c r="T495" s="19" t="s">
        <v>281</v>
      </c>
    </row>
    <row r="496" spans="1:20" x14ac:dyDescent="0.2">
      <c r="A496" s="1">
        <v>46079</v>
      </c>
      <c r="B496" s="2">
        <v>0.79166666666666663</v>
      </c>
      <c r="C496" s="19" t="s">
        <v>21</v>
      </c>
      <c r="D496" s="19" t="s">
        <v>28</v>
      </c>
      <c r="E496" s="19" t="s">
        <v>21</v>
      </c>
      <c r="F496">
        <v>4</v>
      </c>
      <c r="G496">
        <v>3</v>
      </c>
      <c r="H496">
        <v>0.73809999999999998</v>
      </c>
      <c r="I496" s="19" t="s">
        <v>249</v>
      </c>
      <c r="J496" s="19" t="s">
        <v>21</v>
      </c>
      <c r="K496">
        <v>3</v>
      </c>
      <c r="L496">
        <v>2</v>
      </c>
      <c r="M496">
        <v>0.31</v>
      </c>
      <c r="N496" s="19" t="s">
        <v>60</v>
      </c>
      <c r="O496" s="19" t="s">
        <v>60</v>
      </c>
      <c r="P496" s="19" t="s">
        <v>60</v>
      </c>
      <c r="Q496" s="19" t="s">
        <v>60</v>
      </c>
      <c r="R496" s="19" t="s">
        <v>60</v>
      </c>
      <c r="S496" s="19" t="s">
        <v>60</v>
      </c>
      <c r="T496" s="19" t="s">
        <v>281</v>
      </c>
    </row>
    <row r="497" spans="1:20" x14ac:dyDescent="0.2">
      <c r="A497" s="1">
        <v>46079</v>
      </c>
      <c r="B497" s="2">
        <v>0.79166666666666663</v>
      </c>
      <c r="C497" s="19" t="s">
        <v>25</v>
      </c>
      <c r="D497" s="19" t="s">
        <v>37</v>
      </c>
      <c r="E497" s="19" t="s">
        <v>37</v>
      </c>
      <c r="F497">
        <v>3</v>
      </c>
      <c r="G497">
        <v>4</v>
      </c>
      <c r="H497">
        <v>0.59409999999999996</v>
      </c>
      <c r="I497" s="19" t="s">
        <v>249</v>
      </c>
      <c r="J497" s="19" t="s">
        <v>37</v>
      </c>
      <c r="K497">
        <v>3</v>
      </c>
      <c r="L497">
        <v>2</v>
      </c>
      <c r="M497">
        <v>-0.35</v>
      </c>
      <c r="N497" s="19" t="s">
        <v>60</v>
      </c>
      <c r="O497" s="19" t="s">
        <v>60</v>
      </c>
      <c r="P497" s="19" t="s">
        <v>60</v>
      </c>
      <c r="Q497" s="19" t="s">
        <v>60</v>
      </c>
      <c r="R497" s="19" t="s">
        <v>60</v>
      </c>
      <c r="S497" s="19" t="s">
        <v>60</v>
      </c>
      <c r="T497" s="19" t="s">
        <v>281</v>
      </c>
    </row>
    <row r="498" spans="1:20" x14ac:dyDescent="0.2">
      <c r="A498" s="1">
        <v>46079</v>
      </c>
      <c r="B498" s="2">
        <v>0.875</v>
      </c>
      <c r="C498" s="19" t="s">
        <v>12</v>
      </c>
      <c r="D498" s="19" t="s">
        <v>34</v>
      </c>
      <c r="E498" s="19" t="s">
        <v>12</v>
      </c>
      <c r="F498">
        <v>5</v>
      </c>
      <c r="G498">
        <v>3</v>
      </c>
      <c r="H498">
        <v>0.74029999999999996</v>
      </c>
      <c r="I498" s="19" t="s">
        <v>249</v>
      </c>
      <c r="J498" s="19" t="s">
        <v>12</v>
      </c>
      <c r="K498">
        <v>3</v>
      </c>
      <c r="L498">
        <v>2</v>
      </c>
      <c r="M498">
        <v>1.04</v>
      </c>
      <c r="N498" s="19" t="s">
        <v>60</v>
      </c>
      <c r="O498" s="19" t="s">
        <v>60</v>
      </c>
      <c r="P498" s="19" t="s">
        <v>60</v>
      </c>
      <c r="Q498" s="19" t="s">
        <v>60</v>
      </c>
      <c r="R498" s="19" t="s">
        <v>60</v>
      </c>
      <c r="S498" s="19" t="s">
        <v>60</v>
      </c>
      <c r="T498" s="19" t="s">
        <v>281</v>
      </c>
    </row>
    <row r="499" spans="1:20" x14ac:dyDescent="0.2">
      <c r="A499" s="1">
        <v>46079</v>
      </c>
      <c r="B499" s="2">
        <v>0.79166666666666663</v>
      </c>
      <c r="C499" s="19" t="s">
        <v>11</v>
      </c>
      <c r="D499" s="19" t="s">
        <v>19</v>
      </c>
      <c r="E499" s="19" t="s">
        <v>19</v>
      </c>
      <c r="F499">
        <v>3</v>
      </c>
      <c r="G499">
        <v>4</v>
      </c>
      <c r="H499">
        <v>0.68049999999999999</v>
      </c>
      <c r="I499" s="19" t="s">
        <v>249</v>
      </c>
      <c r="J499" s="19" t="s">
        <v>19</v>
      </c>
      <c r="K499">
        <v>3</v>
      </c>
      <c r="L499">
        <v>2</v>
      </c>
      <c r="M499">
        <v>0</v>
      </c>
      <c r="N499" s="19" t="s">
        <v>60</v>
      </c>
      <c r="O499" s="19" t="s">
        <v>60</v>
      </c>
      <c r="P499" s="19" t="s">
        <v>60</v>
      </c>
      <c r="Q499" s="19" t="s">
        <v>60</v>
      </c>
      <c r="R499" s="19" t="s">
        <v>60</v>
      </c>
      <c r="S499" s="19" t="s">
        <v>60</v>
      </c>
      <c r="T499" s="19" t="s">
        <v>281</v>
      </c>
    </row>
    <row r="500" spans="1:20" x14ac:dyDescent="0.2">
      <c r="A500" s="1">
        <v>46079</v>
      </c>
      <c r="B500" s="2">
        <v>0.9375</v>
      </c>
      <c r="C500" s="19" t="s">
        <v>13</v>
      </c>
      <c r="D500" s="19" t="s">
        <v>17</v>
      </c>
      <c r="E500" s="19" t="s">
        <v>17</v>
      </c>
      <c r="F500">
        <v>3</v>
      </c>
      <c r="G500">
        <v>4</v>
      </c>
      <c r="H500">
        <v>0.74009999999999998</v>
      </c>
      <c r="I500" s="19" t="s">
        <v>249</v>
      </c>
      <c r="J500" s="19" t="s">
        <v>17</v>
      </c>
      <c r="K500">
        <v>3</v>
      </c>
      <c r="L500">
        <v>2</v>
      </c>
      <c r="M500">
        <v>-0.09</v>
      </c>
      <c r="N500" s="19" t="s">
        <v>60</v>
      </c>
      <c r="O500" s="19" t="s">
        <v>60</v>
      </c>
      <c r="P500" s="19" t="s">
        <v>60</v>
      </c>
      <c r="Q500" s="19" t="s">
        <v>60</v>
      </c>
      <c r="R500" s="19" t="s">
        <v>60</v>
      </c>
      <c r="S500" s="19" t="s">
        <v>60</v>
      </c>
      <c r="T500" s="19" t="s">
        <v>281</v>
      </c>
    </row>
    <row r="501" spans="1:20" x14ac:dyDescent="0.2">
      <c r="A501" s="1">
        <v>46079</v>
      </c>
      <c r="B501" s="2">
        <v>0.79166666666666663</v>
      </c>
      <c r="C501" s="19" t="s">
        <v>18</v>
      </c>
      <c r="D501" s="19" t="s">
        <v>30</v>
      </c>
      <c r="E501" s="19" t="s">
        <v>18</v>
      </c>
      <c r="F501">
        <v>4</v>
      </c>
      <c r="G501">
        <v>3</v>
      </c>
      <c r="H501">
        <v>0.58179999999999998</v>
      </c>
      <c r="I501" s="19" t="s">
        <v>249</v>
      </c>
      <c r="J501" s="19" t="s">
        <v>18</v>
      </c>
      <c r="K501">
        <v>3</v>
      </c>
      <c r="L501">
        <v>2</v>
      </c>
      <c r="M501">
        <v>0.23</v>
      </c>
      <c r="N501" s="19" t="s">
        <v>60</v>
      </c>
      <c r="O501" s="19" t="s">
        <v>60</v>
      </c>
      <c r="P501" s="19" t="s">
        <v>60</v>
      </c>
      <c r="Q501" s="19" t="s">
        <v>60</v>
      </c>
      <c r="R501" s="19" t="s">
        <v>60</v>
      </c>
      <c r="S501" s="19" t="s">
        <v>60</v>
      </c>
      <c r="T501" s="19" t="s">
        <v>281</v>
      </c>
    </row>
    <row r="502" spans="1:20" x14ac:dyDescent="0.2">
      <c r="A502" s="1">
        <v>46079</v>
      </c>
      <c r="B502" s="2">
        <v>0.83333333333333337</v>
      </c>
      <c r="C502" s="19" t="s">
        <v>29</v>
      </c>
      <c r="D502" s="19" t="s">
        <v>10</v>
      </c>
      <c r="E502" s="19" t="s">
        <v>10</v>
      </c>
      <c r="F502">
        <v>3</v>
      </c>
      <c r="G502">
        <v>4</v>
      </c>
      <c r="H502">
        <v>0.51649999999999996</v>
      </c>
      <c r="I502" s="19" t="s">
        <v>249</v>
      </c>
      <c r="J502" s="19" t="s">
        <v>29</v>
      </c>
      <c r="K502">
        <v>3</v>
      </c>
      <c r="L502">
        <v>2</v>
      </c>
      <c r="M502">
        <v>0.23</v>
      </c>
      <c r="N502" s="19" t="s">
        <v>60</v>
      </c>
      <c r="O502" s="19" t="s">
        <v>60</v>
      </c>
      <c r="P502" s="19" t="s">
        <v>60</v>
      </c>
      <c r="Q502" s="19" t="s">
        <v>60</v>
      </c>
      <c r="R502" s="19" t="s">
        <v>60</v>
      </c>
      <c r="S502" s="19" t="s">
        <v>60</v>
      </c>
      <c r="T502" s="19" t="s">
        <v>281</v>
      </c>
    </row>
    <row r="503" spans="1:20" x14ac:dyDescent="0.2">
      <c r="A503" s="1">
        <v>46079</v>
      </c>
      <c r="B503" s="2">
        <v>0.83333333333333337</v>
      </c>
      <c r="C503" s="19" t="s">
        <v>15</v>
      </c>
      <c r="D503" s="19" t="s">
        <v>27</v>
      </c>
      <c r="E503" s="19" t="s">
        <v>15</v>
      </c>
      <c r="F503">
        <v>5</v>
      </c>
      <c r="G503">
        <v>4</v>
      </c>
      <c r="H503">
        <v>0.55979999999999996</v>
      </c>
      <c r="I503" s="19" t="s">
        <v>248</v>
      </c>
      <c r="J503" s="19" t="s">
        <v>27</v>
      </c>
      <c r="K503">
        <v>3</v>
      </c>
      <c r="L503">
        <v>2</v>
      </c>
      <c r="M503">
        <v>-0.08</v>
      </c>
      <c r="N503" s="19" t="s">
        <v>60</v>
      </c>
      <c r="O503" s="19" t="s">
        <v>60</v>
      </c>
      <c r="P503" s="19" t="s">
        <v>60</v>
      </c>
      <c r="Q503" s="19" t="s">
        <v>60</v>
      </c>
      <c r="R503" s="19" t="s">
        <v>60</v>
      </c>
      <c r="S503" s="19" t="s">
        <v>60</v>
      </c>
      <c r="T503" s="19" t="s">
        <v>281</v>
      </c>
    </row>
    <row r="504" spans="1:20" x14ac:dyDescent="0.2">
      <c r="A504" s="1">
        <v>46079</v>
      </c>
      <c r="B504" s="2">
        <v>0.79166666666666663</v>
      </c>
      <c r="C504" s="19" t="s">
        <v>36</v>
      </c>
      <c r="D504" s="19" t="s">
        <v>26</v>
      </c>
      <c r="E504" s="19" t="s">
        <v>26</v>
      </c>
      <c r="F504">
        <v>3</v>
      </c>
      <c r="G504">
        <v>4</v>
      </c>
      <c r="H504">
        <v>0.82199999999999995</v>
      </c>
      <c r="I504" s="19" t="s">
        <v>249</v>
      </c>
      <c r="J504" s="19" t="s">
        <v>36</v>
      </c>
      <c r="K504">
        <v>3</v>
      </c>
      <c r="L504">
        <v>2</v>
      </c>
      <c r="M504">
        <v>0.27</v>
      </c>
      <c r="N504" s="19" t="s">
        <v>60</v>
      </c>
      <c r="O504" s="19" t="s">
        <v>60</v>
      </c>
      <c r="P504" s="19" t="s">
        <v>60</v>
      </c>
      <c r="Q504" s="19" t="s">
        <v>60</v>
      </c>
      <c r="R504" s="19" t="s">
        <v>60</v>
      </c>
      <c r="S504" s="19" t="s">
        <v>60</v>
      </c>
      <c r="T504" s="19" t="s">
        <v>281</v>
      </c>
    </row>
    <row r="505" spans="1:20" x14ac:dyDescent="0.2">
      <c r="A505" s="1">
        <v>46079</v>
      </c>
      <c r="B505" s="2">
        <v>0.83333333333333337</v>
      </c>
      <c r="C505" s="19" t="s">
        <v>35</v>
      </c>
      <c r="D505" s="19" t="s">
        <v>32</v>
      </c>
      <c r="E505" s="19" t="s">
        <v>32</v>
      </c>
      <c r="F505">
        <v>2</v>
      </c>
      <c r="G505">
        <v>3</v>
      </c>
      <c r="H505">
        <v>0.79139999999999999</v>
      </c>
      <c r="I505" s="19" t="s">
        <v>248</v>
      </c>
      <c r="J505" s="19" t="s">
        <v>32</v>
      </c>
      <c r="K505">
        <v>3</v>
      </c>
      <c r="L505">
        <v>2</v>
      </c>
      <c r="M505">
        <v>-0.74</v>
      </c>
      <c r="N505" s="19" t="s">
        <v>60</v>
      </c>
      <c r="O505" s="19" t="s">
        <v>60</v>
      </c>
      <c r="P505" s="19" t="s">
        <v>60</v>
      </c>
      <c r="Q505" s="19" t="s">
        <v>60</v>
      </c>
      <c r="R505" s="19" t="s">
        <v>60</v>
      </c>
      <c r="S505" s="19" t="s">
        <v>60</v>
      </c>
      <c r="T505" s="19" t="s">
        <v>281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6F1F-43A5-E345-AD7E-899D63CA7079}">
  <dimension ref="A1:AE1030"/>
  <sheetViews>
    <sheetView zoomScale="87" workbookViewId="0">
      <selection activeCell="N67" sqref="N67"/>
    </sheetView>
  </sheetViews>
  <sheetFormatPr baseColWidth="10" defaultRowHeight="16" x14ac:dyDescent="0.2"/>
  <cols>
    <col min="1" max="1" width="6.33203125" bestFit="1" customWidth="1"/>
    <col min="2" max="2" width="23" bestFit="1" customWidth="1"/>
    <col min="3" max="3" width="7.33203125" bestFit="1" customWidth="1"/>
    <col min="4" max="4" width="8.6640625" bestFit="1" customWidth="1"/>
    <col min="5" max="5" width="7" bestFit="1" customWidth="1"/>
    <col min="6" max="6" width="6.33203125" bestFit="1" customWidth="1"/>
    <col min="7" max="8" width="5.33203125" bestFit="1" customWidth="1"/>
    <col min="9" max="9" width="7" bestFit="1" customWidth="1"/>
    <col min="10" max="10" width="6.5" bestFit="1" customWidth="1"/>
    <col min="11" max="11" width="7" bestFit="1" customWidth="1"/>
    <col min="12" max="12" width="12.83203125" bestFit="1" customWidth="1"/>
    <col min="13" max="14" width="13" bestFit="1" customWidth="1"/>
    <col min="15" max="15" width="13.6640625" bestFit="1" customWidth="1"/>
    <col min="16" max="16" width="13" bestFit="1" customWidth="1"/>
    <col min="17" max="17" width="13.1640625" bestFit="1" customWidth="1"/>
    <col min="18" max="18" width="13.33203125" bestFit="1" customWidth="1"/>
    <col min="19" max="19" width="7.6640625" bestFit="1" customWidth="1"/>
    <col min="20" max="20" width="8.1640625" bestFit="1" customWidth="1"/>
    <col min="21" max="21" width="7.33203125" bestFit="1" customWidth="1"/>
    <col min="22" max="22" width="7.6640625" bestFit="1" customWidth="1"/>
    <col min="23" max="23" width="8.1640625" bestFit="1" customWidth="1"/>
    <col min="24" max="24" width="8" bestFit="1" customWidth="1"/>
    <col min="25" max="25" width="7.5" bestFit="1" customWidth="1"/>
    <col min="26" max="26" width="8" bestFit="1" customWidth="1"/>
    <col min="27" max="27" width="7.5" bestFit="1" customWidth="1"/>
    <col min="28" max="28" width="7" bestFit="1" customWidth="1"/>
    <col min="29" max="29" width="8.33203125" bestFit="1" customWidth="1"/>
    <col min="30" max="30" width="7.83203125" bestFit="1" customWidth="1"/>
    <col min="31" max="31" width="10.1640625" bestFit="1" customWidth="1"/>
  </cols>
  <sheetData>
    <row r="1" spans="1:31" x14ac:dyDescent="0.2">
      <c r="A1" t="s">
        <v>293</v>
      </c>
      <c r="B1" t="s">
        <v>294</v>
      </c>
      <c r="C1" t="s">
        <v>295</v>
      </c>
      <c r="D1" t="s">
        <v>56</v>
      </c>
      <c r="E1" t="s">
        <v>296</v>
      </c>
      <c r="F1" t="s">
        <v>57</v>
      </c>
      <c r="G1" t="s">
        <v>3</v>
      </c>
      <c r="H1" t="s">
        <v>297</v>
      </c>
      <c r="I1" t="s">
        <v>166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  <c r="R1" t="s">
        <v>306</v>
      </c>
      <c r="S1" t="s">
        <v>307</v>
      </c>
      <c r="T1" t="s">
        <v>308</v>
      </c>
      <c r="U1" t="s">
        <v>309</v>
      </c>
      <c r="V1" t="s">
        <v>310</v>
      </c>
      <c r="W1" t="s">
        <v>311</v>
      </c>
      <c r="X1" t="s">
        <v>312</v>
      </c>
      <c r="Y1" t="s">
        <v>313</v>
      </c>
      <c r="Z1" t="s">
        <v>314</v>
      </c>
      <c r="AA1" t="s">
        <v>315</v>
      </c>
      <c r="AB1" t="s">
        <v>316</v>
      </c>
      <c r="AC1" t="s">
        <v>317</v>
      </c>
      <c r="AD1" t="s">
        <v>318</v>
      </c>
      <c r="AE1" t="s">
        <v>319</v>
      </c>
    </row>
    <row r="2" spans="1:31" x14ac:dyDescent="0.2">
      <c r="A2">
        <v>1</v>
      </c>
      <c r="B2" s="19" t="s">
        <v>326</v>
      </c>
      <c r="C2">
        <v>29</v>
      </c>
      <c r="D2" s="19" t="s">
        <v>327</v>
      </c>
      <c r="E2" s="19" t="s">
        <v>322</v>
      </c>
      <c r="F2">
        <v>59</v>
      </c>
      <c r="G2">
        <v>34</v>
      </c>
      <c r="H2">
        <v>64</v>
      </c>
      <c r="I2">
        <v>98</v>
      </c>
      <c r="J2">
        <v>13</v>
      </c>
      <c r="K2">
        <v>24</v>
      </c>
      <c r="L2">
        <v>23</v>
      </c>
      <c r="M2">
        <v>10</v>
      </c>
      <c r="N2">
        <v>1</v>
      </c>
      <c r="O2">
        <v>2</v>
      </c>
      <c r="P2">
        <v>34</v>
      </c>
      <c r="Q2">
        <v>29</v>
      </c>
      <c r="R2">
        <v>1</v>
      </c>
      <c r="S2">
        <v>222</v>
      </c>
      <c r="T2">
        <v>15.3</v>
      </c>
      <c r="U2">
        <v>380</v>
      </c>
      <c r="V2" s="19" t="s">
        <v>2380</v>
      </c>
      <c r="W2" s="19" t="s">
        <v>2381</v>
      </c>
      <c r="X2">
        <v>317</v>
      </c>
      <c r="Y2">
        <v>356</v>
      </c>
      <c r="Z2">
        <v>47.1</v>
      </c>
      <c r="AA2">
        <v>23</v>
      </c>
      <c r="AB2">
        <v>26</v>
      </c>
      <c r="AC2">
        <v>22</v>
      </c>
      <c r="AD2">
        <v>89</v>
      </c>
      <c r="AE2" s="19" t="s">
        <v>60</v>
      </c>
    </row>
    <row r="3" spans="1:31" x14ac:dyDescent="0.2">
      <c r="A3">
        <v>2</v>
      </c>
      <c r="B3" s="19" t="s">
        <v>349</v>
      </c>
      <c r="C3">
        <v>32</v>
      </c>
      <c r="D3" s="19" t="s">
        <v>350</v>
      </c>
      <c r="E3" s="19" t="s">
        <v>334</v>
      </c>
      <c r="F3">
        <v>52</v>
      </c>
      <c r="G3">
        <v>30</v>
      </c>
      <c r="H3">
        <v>64</v>
      </c>
      <c r="I3">
        <v>94</v>
      </c>
      <c r="J3">
        <v>33</v>
      </c>
      <c r="K3">
        <v>36</v>
      </c>
      <c r="L3">
        <v>24</v>
      </c>
      <c r="M3">
        <v>6</v>
      </c>
      <c r="N3">
        <v>0</v>
      </c>
      <c r="O3">
        <v>5</v>
      </c>
      <c r="P3">
        <v>41</v>
      </c>
      <c r="Q3">
        <v>23</v>
      </c>
      <c r="R3">
        <v>0</v>
      </c>
      <c r="S3">
        <v>158</v>
      </c>
      <c r="T3">
        <v>19</v>
      </c>
      <c r="U3">
        <v>372</v>
      </c>
      <c r="V3" s="19" t="s">
        <v>2382</v>
      </c>
      <c r="W3" s="19" t="s">
        <v>1683</v>
      </c>
      <c r="X3">
        <v>0</v>
      </c>
      <c r="Y3">
        <v>2</v>
      </c>
      <c r="Z3">
        <v>0</v>
      </c>
      <c r="AA3">
        <v>24</v>
      </c>
      <c r="AB3">
        <v>24</v>
      </c>
      <c r="AC3">
        <v>15</v>
      </c>
      <c r="AD3">
        <v>86</v>
      </c>
      <c r="AE3" s="19" t="s">
        <v>60</v>
      </c>
    </row>
    <row r="4" spans="1:31" x14ac:dyDescent="0.2">
      <c r="A4">
        <v>3</v>
      </c>
      <c r="B4" s="19" t="s">
        <v>320</v>
      </c>
      <c r="C4">
        <v>30</v>
      </c>
      <c r="D4" s="19" t="s">
        <v>321</v>
      </c>
      <c r="E4" s="19" t="s">
        <v>322</v>
      </c>
      <c r="F4">
        <v>55</v>
      </c>
      <c r="G4">
        <v>40</v>
      </c>
      <c r="H4">
        <v>53</v>
      </c>
      <c r="I4">
        <v>93</v>
      </c>
      <c r="J4">
        <v>48</v>
      </c>
      <c r="K4">
        <v>18</v>
      </c>
      <c r="L4">
        <v>32</v>
      </c>
      <c r="M4">
        <v>8</v>
      </c>
      <c r="N4">
        <v>0</v>
      </c>
      <c r="O4">
        <v>5</v>
      </c>
      <c r="P4">
        <v>39</v>
      </c>
      <c r="Q4">
        <v>14</v>
      </c>
      <c r="R4">
        <v>0</v>
      </c>
      <c r="S4">
        <v>244</v>
      </c>
      <c r="T4">
        <v>16.399999999999999</v>
      </c>
      <c r="U4">
        <v>412</v>
      </c>
      <c r="V4" s="19" t="s">
        <v>2171</v>
      </c>
      <c r="W4" s="19" t="s">
        <v>1648</v>
      </c>
      <c r="X4">
        <v>516</v>
      </c>
      <c r="Y4">
        <v>496</v>
      </c>
      <c r="Z4">
        <v>51</v>
      </c>
      <c r="AA4">
        <v>29</v>
      </c>
      <c r="AB4">
        <v>45</v>
      </c>
      <c r="AC4">
        <v>16</v>
      </c>
      <c r="AD4">
        <v>115</v>
      </c>
      <c r="AE4" s="19" t="s">
        <v>60</v>
      </c>
    </row>
    <row r="5" spans="1:31" x14ac:dyDescent="0.2">
      <c r="A5">
        <v>4</v>
      </c>
      <c r="B5" s="19" t="s">
        <v>323</v>
      </c>
      <c r="C5">
        <v>19</v>
      </c>
      <c r="D5" s="19" t="s">
        <v>324</v>
      </c>
      <c r="E5" s="19" t="s">
        <v>325</v>
      </c>
      <c r="F5">
        <v>55</v>
      </c>
      <c r="G5">
        <v>28</v>
      </c>
      <c r="H5">
        <v>53</v>
      </c>
      <c r="I5">
        <v>81</v>
      </c>
      <c r="J5">
        <v>10</v>
      </c>
      <c r="K5">
        <v>32</v>
      </c>
      <c r="L5">
        <v>23</v>
      </c>
      <c r="M5">
        <v>5</v>
      </c>
      <c r="N5">
        <v>0</v>
      </c>
      <c r="O5">
        <v>4</v>
      </c>
      <c r="P5">
        <v>34</v>
      </c>
      <c r="Q5">
        <v>19</v>
      </c>
      <c r="R5">
        <v>0</v>
      </c>
      <c r="S5">
        <v>190</v>
      </c>
      <c r="T5">
        <v>14.7</v>
      </c>
      <c r="U5">
        <v>365</v>
      </c>
      <c r="V5" s="19" t="s">
        <v>2172</v>
      </c>
      <c r="W5" s="19" t="s">
        <v>1616</v>
      </c>
      <c r="X5">
        <v>425</v>
      </c>
      <c r="Y5">
        <v>435</v>
      </c>
      <c r="Z5">
        <v>49.4</v>
      </c>
      <c r="AA5">
        <v>34</v>
      </c>
      <c r="AB5">
        <v>29</v>
      </c>
      <c r="AC5">
        <v>32</v>
      </c>
      <c r="AD5">
        <v>89</v>
      </c>
      <c r="AE5" s="19" t="s">
        <v>60</v>
      </c>
    </row>
    <row r="6" spans="1:31" x14ac:dyDescent="0.2">
      <c r="A6">
        <v>5</v>
      </c>
      <c r="B6" s="19" t="s">
        <v>340</v>
      </c>
      <c r="C6">
        <v>30</v>
      </c>
      <c r="D6" s="19" t="s">
        <v>327</v>
      </c>
      <c r="E6" s="19" t="s">
        <v>322</v>
      </c>
      <c r="F6">
        <v>56</v>
      </c>
      <c r="G6">
        <v>29</v>
      </c>
      <c r="H6">
        <v>51</v>
      </c>
      <c r="I6">
        <v>80</v>
      </c>
      <c r="J6">
        <v>10</v>
      </c>
      <c r="K6">
        <v>24</v>
      </c>
      <c r="L6">
        <v>15</v>
      </c>
      <c r="M6">
        <v>13</v>
      </c>
      <c r="N6">
        <v>1</v>
      </c>
      <c r="O6">
        <v>2</v>
      </c>
      <c r="P6">
        <v>30</v>
      </c>
      <c r="Q6">
        <v>21</v>
      </c>
      <c r="R6">
        <v>0</v>
      </c>
      <c r="S6">
        <v>164</v>
      </c>
      <c r="T6">
        <v>17.7</v>
      </c>
      <c r="U6">
        <v>330</v>
      </c>
      <c r="V6" s="19" t="s">
        <v>2383</v>
      </c>
      <c r="W6" s="19" t="s">
        <v>2384</v>
      </c>
      <c r="X6">
        <v>537</v>
      </c>
      <c r="Y6">
        <v>415</v>
      </c>
      <c r="Z6">
        <v>56.4</v>
      </c>
      <c r="AA6">
        <v>14</v>
      </c>
      <c r="AB6">
        <v>27</v>
      </c>
      <c r="AC6">
        <v>23</v>
      </c>
      <c r="AD6">
        <v>91</v>
      </c>
      <c r="AE6" s="19" t="s">
        <v>60</v>
      </c>
    </row>
    <row r="7" spans="1:31" x14ac:dyDescent="0.2">
      <c r="A7">
        <v>6</v>
      </c>
      <c r="B7" s="19" t="s">
        <v>384</v>
      </c>
      <c r="C7">
        <v>29</v>
      </c>
      <c r="D7" s="19" t="s">
        <v>353</v>
      </c>
      <c r="E7" s="19" t="s">
        <v>334</v>
      </c>
      <c r="F7">
        <v>52</v>
      </c>
      <c r="G7">
        <v>22</v>
      </c>
      <c r="H7">
        <v>49</v>
      </c>
      <c r="I7">
        <v>71</v>
      </c>
      <c r="J7">
        <v>2</v>
      </c>
      <c r="K7">
        <v>40</v>
      </c>
      <c r="L7">
        <v>13</v>
      </c>
      <c r="M7">
        <v>9</v>
      </c>
      <c r="N7">
        <v>0</v>
      </c>
      <c r="O7">
        <v>4</v>
      </c>
      <c r="P7">
        <v>32</v>
      </c>
      <c r="Q7">
        <v>17</v>
      </c>
      <c r="R7">
        <v>0</v>
      </c>
      <c r="S7">
        <v>183</v>
      </c>
      <c r="T7">
        <v>12</v>
      </c>
      <c r="U7">
        <v>405</v>
      </c>
      <c r="V7" s="19" t="s">
        <v>2173</v>
      </c>
      <c r="W7" s="19" t="s">
        <v>1873</v>
      </c>
      <c r="X7">
        <v>1</v>
      </c>
      <c r="Y7">
        <v>4</v>
      </c>
      <c r="Z7">
        <v>20</v>
      </c>
      <c r="AA7">
        <v>20</v>
      </c>
      <c r="AB7">
        <v>61</v>
      </c>
      <c r="AC7">
        <v>20</v>
      </c>
      <c r="AD7">
        <v>95</v>
      </c>
      <c r="AE7" s="19" t="s">
        <v>60</v>
      </c>
    </row>
    <row r="8" spans="1:31" x14ac:dyDescent="0.2">
      <c r="A8">
        <v>7</v>
      </c>
      <c r="B8" s="19" t="s">
        <v>354</v>
      </c>
      <c r="C8">
        <v>28</v>
      </c>
      <c r="D8" s="19" t="s">
        <v>355</v>
      </c>
      <c r="E8" s="19" t="s">
        <v>338</v>
      </c>
      <c r="F8">
        <v>58</v>
      </c>
      <c r="G8">
        <v>32</v>
      </c>
      <c r="H8">
        <v>38</v>
      </c>
      <c r="I8">
        <v>70</v>
      </c>
      <c r="J8">
        <v>9</v>
      </c>
      <c r="K8">
        <v>20</v>
      </c>
      <c r="L8">
        <v>19</v>
      </c>
      <c r="M8">
        <v>13</v>
      </c>
      <c r="N8">
        <v>0</v>
      </c>
      <c r="O8">
        <v>4</v>
      </c>
      <c r="P8">
        <v>26</v>
      </c>
      <c r="Q8">
        <v>12</v>
      </c>
      <c r="R8">
        <v>0</v>
      </c>
      <c r="S8">
        <v>205</v>
      </c>
      <c r="T8">
        <v>15.6</v>
      </c>
      <c r="U8">
        <v>396</v>
      </c>
      <c r="V8" s="19" t="s">
        <v>2174</v>
      </c>
      <c r="W8" s="19" t="s">
        <v>1960</v>
      </c>
      <c r="X8">
        <v>0</v>
      </c>
      <c r="Y8">
        <v>2</v>
      </c>
      <c r="Z8">
        <v>0</v>
      </c>
      <c r="AA8">
        <v>20</v>
      </c>
      <c r="AB8">
        <v>35</v>
      </c>
      <c r="AC8">
        <v>18</v>
      </c>
      <c r="AD8">
        <v>83</v>
      </c>
      <c r="AE8" s="19" t="s">
        <v>60</v>
      </c>
    </row>
    <row r="9" spans="1:31" x14ac:dyDescent="0.2">
      <c r="A9">
        <v>8</v>
      </c>
      <c r="B9" s="19" t="s">
        <v>343</v>
      </c>
      <c r="C9">
        <v>32</v>
      </c>
      <c r="D9" s="19" t="s">
        <v>344</v>
      </c>
      <c r="E9" s="19" t="s">
        <v>322</v>
      </c>
      <c r="F9">
        <v>57</v>
      </c>
      <c r="G9">
        <v>27</v>
      </c>
      <c r="H9">
        <v>43</v>
      </c>
      <c r="I9">
        <v>70</v>
      </c>
      <c r="J9">
        <v>2</v>
      </c>
      <c r="K9">
        <v>22</v>
      </c>
      <c r="L9">
        <v>20</v>
      </c>
      <c r="M9">
        <v>7</v>
      </c>
      <c r="N9">
        <v>0</v>
      </c>
      <c r="O9">
        <v>4</v>
      </c>
      <c r="P9">
        <v>33</v>
      </c>
      <c r="Q9">
        <v>9</v>
      </c>
      <c r="R9">
        <v>1</v>
      </c>
      <c r="S9">
        <v>119</v>
      </c>
      <c r="T9">
        <v>22.7</v>
      </c>
      <c r="U9">
        <v>223</v>
      </c>
      <c r="V9" s="19" t="s">
        <v>2385</v>
      </c>
      <c r="W9" s="19" t="s">
        <v>2386</v>
      </c>
      <c r="X9">
        <v>414</v>
      </c>
      <c r="Y9">
        <v>485</v>
      </c>
      <c r="Z9">
        <v>46.1</v>
      </c>
      <c r="AA9">
        <v>30</v>
      </c>
      <c r="AB9">
        <v>23</v>
      </c>
      <c r="AC9">
        <v>16</v>
      </c>
      <c r="AD9">
        <v>78</v>
      </c>
      <c r="AE9" s="19" t="s">
        <v>60</v>
      </c>
    </row>
    <row r="10" spans="1:31" x14ac:dyDescent="0.2">
      <c r="A10">
        <v>9</v>
      </c>
      <c r="B10" s="19" t="s">
        <v>332</v>
      </c>
      <c r="C10">
        <v>29</v>
      </c>
      <c r="D10" s="19" t="s">
        <v>333</v>
      </c>
      <c r="E10" s="19" t="s">
        <v>334</v>
      </c>
      <c r="F10">
        <v>54</v>
      </c>
      <c r="G10">
        <v>20</v>
      </c>
      <c r="H10">
        <v>49</v>
      </c>
      <c r="I10">
        <v>69</v>
      </c>
      <c r="J10">
        <v>2</v>
      </c>
      <c r="K10">
        <v>87</v>
      </c>
      <c r="L10">
        <v>15</v>
      </c>
      <c r="M10">
        <v>5</v>
      </c>
      <c r="N10">
        <v>0</v>
      </c>
      <c r="O10">
        <v>1</v>
      </c>
      <c r="P10">
        <v>24</v>
      </c>
      <c r="Q10">
        <v>25</v>
      </c>
      <c r="R10">
        <v>0</v>
      </c>
      <c r="S10">
        <v>126</v>
      </c>
      <c r="T10">
        <v>15.9</v>
      </c>
      <c r="U10">
        <v>255</v>
      </c>
      <c r="V10" s="19" t="s">
        <v>2175</v>
      </c>
      <c r="W10" s="19" t="s">
        <v>1671</v>
      </c>
      <c r="X10">
        <v>32</v>
      </c>
      <c r="Y10">
        <v>32</v>
      </c>
      <c r="Z10">
        <v>50</v>
      </c>
      <c r="AA10">
        <v>27</v>
      </c>
      <c r="AB10">
        <v>38</v>
      </c>
      <c r="AC10">
        <v>18</v>
      </c>
      <c r="AD10">
        <v>66</v>
      </c>
      <c r="AE10" s="19" t="s">
        <v>60</v>
      </c>
    </row>
    <row r="11" spans="1:31" x14ac:dyDescent="0.2">
      <c r="A11">
        <v>10</v>
      </c>
      <c r="B11" s="19" t="s">
        <v>341</v>
      </c>
      <c r="C11">
        <v>29</v>
      </c>
      <c r="D11" s="19" t="s">
        <v>342</v>
      </c>
      <c r="E11" s="19" t="s">
        <v>322</v>
      </c>
      <c r="F11">
        <v>50</v>
      </c>
      <c r="G11">
        <v>21</v>
      </c>
      <c r="H11">
        <v>47</v>
      </c>
      <c r="I11">
        <v>68</v>
      </c>
      <c r="J11">
        <v>18</v>
      </c>
      <c r="K11">
        <v>10</v>
      </c>
      <c r="L11">
        <v>21</v>
      </c>
      <c r="M11">
        <v>0</v>
      </c>
      <c r="N11">
        <v>0</v>
      </c>
      <c r="O11">
        <v>5</v>
      </c>
      <c r="P11">
        <v>24</v>
      </c>
      <c r="Q11">
        <v>23</v>
      </c>
      <c r="R11">
        <v>0</v>
      </c>
      <c r="S11">
        <v>187</v>
      </c>
      <c r="T11">
        <v>11.2</v>
      </c>
      <c r="U11">
        <v>321</v>
      </c>
      <c r="V11" s="19" t="s">
        <v>2387</v>
      </c>
      <c r="W11" s="19" t="s">
        <v>2388</v>
      </c>
      <c r="X11">
        <v>390</v>
      </c>
      <c r="Y11">
        <v>430</v>
      </c>
      <c r="Z11">
        <v>47.6</v>
      </c>
      <c r="AA11">
        <v>30</v>
      </c>
      <c r="AB11">
        <v>30</v>
      </c>
      <c r="AC11">
        <v>23</v>
      </c>
      <c r="AD11">
        <v>90</v>
      </c>
      <c r="AE11" s="19" t="s">
        <v>60</v>
      </c>
    </row>
    <row r="12" spans="1:31" x14ac:dyDescent="0.2">
      <c r="A12">
        <v>11</v>
      </c>
      <c r="B12" s="19" t="s">
        <v>337</v>
      </c>
      <c r="C12">
        <v>26</v>
      </c>
      <c r="D12" s="19" t="s">
        <v>333</v>
      </c>
      <c r="E12" s="19" t="s">
        <v>338</v>
      </c>
      <c r="F12">
        <v>58</v>
      </c>
      <c r="G12">
        <v>32</v>
      </c>
      <c r="H12">
        <v>34</v>
      </c>
      <c r="I12">
        <v>66</v>
      </c>
      <c r="J12">
        <v>20</v>
      </c>
      <c r="K12">
        <v>22</v>
      </c>
      <c r="L12">
        <v>21</v>
      </c>
      <c r="M12">
        <v>11</v>
      </c>
      <c r="N12">
        <v>0</v>
      </c>
      <c r="O12">
        <v>5</v>
      </c>
      <c r="P12">
        <v>18</v>
      </c>
      <c r="Q12">
        <v>16</v>
      </c>
      <c r="R12">
        <v>0</v>
      </c>
      <c r="S12">
        <v>208</v>
      </c>
      <c r="T12">
        <v>15.4</v>
      </c>
      <c r="U12">
        <v>384</v>
      </c>
      <c r="V12" s="19" t="s">
        <v>2389</v>
      </c>
      <c r="W12" s="19" t="s">
        <v>2390</v>
      </c>
      <c r="X12">
        <v>0</v>
      </c>
      <c r="Y12">
        <v>2</v>
      </c>
      <c r="Z12">
        <v>0</v>
      </c>
      <c r="AA12">
        <v>22</v>
      </c>
      <c r="AB12">
        <v>39</v>
      </c>
      <c r="AC12">
        <v>17</v>
      </c>
      <c r="AD12">
        <v>78</v>
      </c>
      <c r="AE12" s="19" t="s">
        <v>60</v>
      </c>
    </row>
    <row r="13" spans="1:31" x14ac:dyDescent="0.2">
      <c r="A13">
        <v>12</v>
      </c>
      <c r="B13" s="19" t="s">
        <v>389</v>
      </c>
      <c r="C13">
        <v>26</v>
      </c>
      <c r="D13" s="19" t="s">
        <v>327</v>
      </c>
      <c r="E13" s="19" t="s">
        <v>347</v>
      </c>
      <c r="F13">
        <v>59</v>
      </c>
      <c r="G13">
        <v>16</v>
      </c>
      <c r="H13">
        <v>49</v>
      </c>
      <c r="I13">
        <v>65</v>
      </c>
      <c r="J13">
        <v>13</v>
      </c>
      <c r="K13">
        <v>24</v>
      </c>
      <c r="L13">
        <v>10</v>
      </c>
      <c r="M13">
        <v>6</v>
      </c>
      <c r="N13">
        <v>0</v>
      </c>
      <c r="O13">
        <v>3</v>
      </c>
      <c r="P13">
        <v>32</v>
      </c>
      <c r="Q13">
        <v>16</v>
      </c>
      <c r="R13">
        <v>1</v>
      </c>
      <c r="S13">
        <v>164</v>
      </c>
      <c r="T13">
        <v>9.8000000000000007</v>
      </c>
      <c r="U13">
        <v>332</v>
      </c>
      <c r="V13" s="19" t="s">
        <v>2391</v>
      </c>
      <c r="W13" s="19" t="s">
        <v>2392</v>
      </c>
      <c r="X13">
        <v>0</v>
      </c>
      <c r="Y13">
        <v>0</v>
      </c>
      <c r="AA13">
        <v>79</v>
      </c>
      <c r="AB13">
        <v>23</v>
      </c>
      <c r="AC13">
        <v>29</v>
      </c>
      <c r="AD13">
        <v>88</v>
      </c>
      <c r="AE13" s="19" t="s">
        <v>60</v>
      </c>
    </row>
    <row r="14" spans="1:31" x14ac:dyDescent="0.2">
      <c r="A14">
        <v>13</v>
      </c>
      <c r="B14" s="19" t="s">
        <v>345</v>
      </c>
      <c r="C14">
        <v>29</v>
      </c>
      <c r="D14" s="19" t="s">
        <v>344</v>
      </c>
      <c r="E14" s="19" t="s">
        <v>338</v>
      </c>
      <c r="F14">
        <v>57</v>
      </c>
      <c r="G14">
        <v>26</v>
      </c>
      <c r="H14">
        <v>39</v>
      </c>
      <c r="I14">
        <v>65</v>
      </c>
      <c r="J14">
        <v>-1</v>
      </c>
      <c r="K14">
        <v>14</v>
      </c>
      <c r="L14">
        <v>21</v>
      </c>
      <c r="M14">
        <v>3</v>
      </c>
      <c r="N14">
        <v>2</v>
      </c>
      <c r="O14">
        <v>1</v>
      </c>
      <c r="P14">
        <v>27</v>
      </c>
      <c r="Q14">
        <v>11</v>
      </c>
      <c r="R14">
        <v>1</v>
      </c>
      <c r="S14">
        <v>189</v>
      </c>
      <c r="T14">
        <v>13.8</v>
      </c>
      <c r="U14">
        <v>331</v>
      </c>
      <c r="V14" s="19" t="s">
        <v>2393</v>
      </c>
      <c r="W14" s="19" t="s">
        <v>1868</v>
      </c>
      <c r="X14">
        <v>0</v>
      </c>
      <c r="Y14">
        <v>0</v>
      </c>
      <c r="AA14">
        <v>9</v>
      </c>
      <c r="AB14">
        <v>15</v>
      </c>
      <c r="AC14">
        <v>12</v>
      </c>
      <c r="AD14">
        <v>50</v>
      </c>
      <c r="AE14" s="19" t="s">
        <v>60</v>
      </c>
    </row>
    <row r="15" spans="1:31" x14ac:dyDescent="0.2">
      <c r="A15">
        <v>14</v>
      </c>
      <c r="B15" s="19" t="s">
        <v>360</v>
      </c>
      <c r="C15">
        <v>26</v>
      </c>
      <c r="D15" s="19" t="s">
        <v>361</v>
      </c>
      <c r="E15" s="19" t="s">
        <v>322</v>
      </c>
      <c r="F15">
        <v>57</v>
      </c>
      <c r="G15">
        <v>18</v>
      </c>
      <c r="H15">
        <v>47</v>
      </c>
      <c r="I15">
        <v>65</v>
      </c>
      <c r="J15">
        <v>25</v>
      </c>
      <c r="K15">
        <v>10</v>
      </c>
      <c r="L15">
        <v>7</v>
      </c>
      <c r="M15">
        <v>10</v>
      </c>
      <c r="N15">
        <v>1</v>
      </c>
      <c r="O15">
        <v>1</v>
      </c>
      <c r="P15">
        <v>26</v>
      </c>
      <c r="Q15">
        <v>21</v>
      </c>
      <c r="R15">
        <v>0</v>
      </c>
      <c r="S15">
        <v>119</v>
      </c>
      <c r="T15">
        <v>15.1</v>
      </c>
      <c r="U15">
        <v>261</v>
      </c>
      <c r="V15" s="19" t="s">
        <v>2176</v>
      </c>
      <c r="W15" s="19" t="s">
        <v>1655</v>
      </c>
      <c r="X15">
        <v>493</v>
      </c>
      <c r="Y15">
        <v>505</v>
      </c>
      <c r="Z15">
        <v>49.4</v>
      </c>
      <c r="AA15">
        <v>48</v>
      </c>
      <c r="AB15">
        <v>45</v>
      </c>
      <c r="AC15">
        <v>19</v>
      </c>
      <c r="AD15">
        <v>49</v>
      </c>
      <c r="AE15" s="19" t="s">
        <v>60</v>
      </c>
    </row>
    <row r="16" spans="1:31" x14ac:dyDescent="0.2">
      <c r="A16">
        <v>15</v>
      </c>
      <c r="B16" s="19" t="s">
        <v>330</v>
      </c>
      <c r="C16">
        <v>27</v>
      </c>
      <c r="D16" s="19" t="s">
        <v>321</v>
      </c>
      <c r="E16" s="19" t="s">
        <v>322</v>
      </c>
      <c r="F16">
        <v>53</v>
      </c>
      <c r="G16">
        <v>23</v>
      </c>
      <c r="H16">
        <v>41</v>
      </c>
      <c r="I16">
        <v>64</v>
      </c>
      <c r="J16">
        <v>36</v>
      </c>
      <c r="K16">
        <v>28</v>
      </c>
      <c r="L16">
        <v>18</v>
      </c>
      <c r="M16">
        <v>5</v>
      </c>
      <c r="N16">
        <v>0</v>
      </c>
      <c r="O16">
        <v>0</v>
      </c>
      <c r="P16">
        <v>34</v>
      </c>
      <c r="Q16">
        <v>7</v>
      </c>
      <c r="R16">
        <v>0</v>
      </c>
      <c r="S16">
        <v>127</v>
      </c>
      <c r="T16">
        <v>18.100000000000001</v>
      </c>
      <c r="U16">
        <v>269</v>
      </c>
      <c r="V16" s="19" t="s">
        <v>2394</v>
      </c>
      <c r="W16" s="19" t="s">
        <v>2395</v>
      </c>
      <c r="X16">
        <v>9</v>
      </c>
      <c r="Y16">
        <v>11</v>
      </c>
      <c r="Z16">
        <v>45</v>
      </c>
      <c r="AA16">
        <v>19</v>
      </c>
      <c r="AB16">
        <v>57</v>
      </c>
      <c r="AC16">
        <v>15</v>
      </c>
      <c r="AD16">
        <v>87</v>
      </c>
      <c r="AE16" s="19" t="s">
        <v>60</v>
      </c>
    </row>
    <row r="17" spans="1:31" x14ac:dyDescent="0.2">
      <c r="A17">
        <v>16</v>
      </c>
      <c r="B17" s="19" t="s">
        <v>365</v>
      </c>
      <c r="C17">
        <v>24</v>
      </c>
      <c r="D17" s="19" t="s">
        <v>355</v>
      </c>
      <c r="E17" s="19" t="s">
        <v>338</v>
      </c>
      <c r="F17">
        <v>54</v>
      </c>
      <c r="G17">
        <v>32</v>
      </c>
      <c r="H17">
        <v>30</v>
      </c>
      <c r="I17">
        <v>62</v>
      </c>
      <c r="J17">
        <v>14</v>
      </c>
      <c r="K17">
        <v>26</v>
      </c>
      <c r="L17">
        <v>20</v>
      </c>
      <c r="M17">
        <v>9</v>
      </c>
      <c r="N17">
        <v>3</v>
      </c>
      <c r="O17">
        <v>3</v>
      </c>
      <c r="P17">
        <v>20</v>
      </c>
      <c r="Q17">
        <v>10</v>
      </c>
      <c r="R17">
        <v>0</v>
      </c>
      <c r="S17">
        <v>173</v>
      </c>
      <c r="T17">
        <v>18.5</v>
      </c>
      <c r="U17">
        <v>363</v>
      </c>
      <c r="V17" s="19" t="s">
        <v>2046</v>
      </c>
      <c r="W17" s="19" t="s">
        <v>1847</v>
      </c>
      <c r="X17">
        <v>43</v>
      </c>
      <c r="Y17">
        <v>51</v>
      </c>
      <c r="Z17">
        <v>45.7</v>
      </c>
      <c r="AA17">
        <v>33</v>
      </c>
      <c r="AB17">
        <v>40</v>
      </c>
      <c r="AC17">
        <v>23</v>
      </c>
      <c r="AD17">
        <v>61</v>
      </c>
      <c r="AE17" s="19" t="s">
        <v>60</v>
      </c>
    </row>
    <row r="18" spans="1:31" x14ac:dyDescent="0.2">
      <c r="A18">
        <v>17</v>
      </c>
      <c r="B18" s="19" t="s">
        <v>376</v>
      </c>
      <c r="C18">
        <v>28</v>
      </c>
      <c r="D18" s="19" t="s">
        <v>377</v>
      </c>
      <c r="E18" s="19" t="s">
        <v>347</v>
      </c>
      <c r="F18">
        <v>52</v>
      </c>
      <c r="G18">
        <v>20</v>
      </c>
      <c r="H18">
        <v>42</v>
      </c>
      <c r="I18">
        <v>62</v>
      </c>
      <c r="J18">
        <v>8</v>
      </c>
      <c r="K18">
        <v>12</v>
      </c>
      <c r="L18">
        <v>17</v>
      </c>
      <c r="M18">
        <v>3</v>
      </c>
      <c r="N18">
        <v>0</v>
      </c>
      <c r="O18">
        <v>2</v>
      </c>
      <c r="P18">
        <v>29</v>
      </c>
      <c r="Q18">
        <v>12</v>
      </c>
      <c r="R18">
        <v>1</v>
      </c>
      <c r="S18">
        <v>183</v>
      </c>
      <c r="T18">
        <v>10.9</v>
      </c>
      <c r="U18">
        <v>393</v>
      </c>
      <c r="V18" s="19" t="s">
        <v>2177</v>
      </c>
      <c r="W18" s="19" t="s">
        <v>2178</v>
      </c>
      <c r="X18">
        <v>0</v>
      </c>
      <c r="Y18">
        <v>0</v>
      </c>
      <c r="AA18">
        <v>65</v>
      </c>
      <c r="AB18">
        <v>21</v>
      </c>
      <c r="AC18">
        <v>25</v>
      </c>
      <c r="AD18">
        <v>83</v>
      </c>
      <c r="AE18" s="19" t="s">
        <v>60</v>
      </c>
    </row>
    <row r="19" spans="1:31" x14ac:dyDescent="0.2">
      <c r="A19">
        <v>18</v>
      </c>
      <c r="B19" s="19" t="s">
        <v>348</v>
      </c>
      <c r="C19">
        <v>22</v>
      </c>
      <c r="D19" s="19" t="s">
        <v>333</v>
      </c>
      <c r="E19" s="19" t="s">
        <v>322</v>
      </c>
      <c r="F19">
        <v>58</v>
      </c>
      <c r="G19">
        <v>31</v>
      </c>
      <c r="H19">
        <v>30</v>
      </c>
      <c r="I19">
        <v>61</v>
      </c>
      <c r="J19">
        <v>-3</v>
      </c>
      <c r="K19">
        <v>16</v>
      </c>
      <c r="L19">
        <v>12</v>
      </c>
      <c r="M19">
        <v>19</v>
      </c>
      <c r="N19">
        <v>0</v>
      </c>
      <c r="O19">
        <v>3</v>
      </c>
      <c r="P19">
        <v>19</v>
      </c>
      <c r="Q19">
        <v>11</v>
      </c>
      <c r="R19">
        <v>0</v>
      </c>
      <c r="S19">
        <v>152</v>
      </c>
      <c r="T19">
        <v>20.399999999999999</v>
      </c>
      <c r="U19">
        <v>288</v>
      </c>
      <c r="V19" s="19" t="s">
        <v>2396</v>
      </c>
      <c r="W19" s="19" t="s">
        <v>616</v>
      </c>
      <c r="X19">
        <v>270</v>
      </c>
      <c r="Y19">
        <v>299</v>
      </c>
      <c r="Z19">
        <v>47.5</v>
      </c>
      <c r="AA19">
        <v>43</v>
      </c>
      <c r="AB19">
        <v>27</v>
      </c>
      <c r="AC19">
        <v>18</v>
      </c>
      <c r="AD19">
        <v>36</v>
      </c>
      <c r="AE19" s="19" t="s">
        <v>60</v>
      </c>
    </row>
    <row r="20" spans="1:31" x14ac:dyDescent="0.2">
      <c r="A20">
        <v>19</v>
      </c>
      <c r="B20" s="19" t="s">
        <v>420</v>
      </c>
      <c r="C20">
        <v>24</v>
      </c>
      <c r="D20" s="19" t="s">
        <v>412</v>
      </c>
      <c r="E20" s="19" t="s">
        <v>338</v>
      </c>
      <c r="F20">
        <v>57</v>
      </c>
      <c r="G20">
        <v>28</v>
      </c>
      <c r="H20">
        <v>33</v>
      </c>
      <c r="I20">
        <v>61</v>
      </c>
      <c r="J20">
        <v>6</v>
      </c>
      <c r="K20">
        <v>31</v>
      </c>
      <c r="L20">
        <v>20</v>
      </c>
      <c r="M20">
        <v>7</v>
      </c>
      <c r="N20">
        <v>1</v>
      </c>
      <c r="O20">
        <v>5</v>
      </c>
      <c r="P20">
        <v>21</v>
      </c>
      <c r="Q20">
        <v>12</v>
      </c>
      <c r="R20">
        <v>0</v>
      </c>
      <c r="S20">
        <v>145</v>
      </c>
      <c r="T20">
        <v>19.3</v>
      </c>
      <c r="U20">
        <v>261</v>
      </c>
      <c r="V20" s="19" t="s">
        <v>2397</v>
      </c>
      <c r="W20" s="19" t="s">
        <v>2398</v>
      </c>
      <c r="X20">
        <v>267</v>
      </c>
      <c r="Y20">
        <v>231</v>
      </c>
      <c r="Z20">
        <v>53.6</v>
      </c>
      <c r="AA20">
        <v>38</v>
      </c>
      <c r="AB20">
        <v>89</v>
      </c>
      <c r="AC20">
        <v>25</v>
      </c>
      <c r="AD20">
        <v>76</v>
      </c>
      <c r="AE20" s="19" t="s">
        <v>60</v>
      </c>
    </row>
    <row r="21" spans="1:31" x14ac:dyDescent="0.2">
      <c r="A21">
        <v>20</v>
      </c>
      <c r="B21" s="19" t="s">
        <v>447</v>
      </c>
      <c r="C21">
        <v>28</v>
      </c>
      <c r="D21" s="19" t="s">
        <v>423</v>
      </c>
      <c r="E21" s="19" t="s">
        <v>322</v>
      </c>
      <c r="F21">
        <v>58</v>
      </c>
      <c r="G21">
        <v>31</v>
      </c>
      <c r="H21">
        <v>30</v>
      </c>
      <c r="I21">
        <v>61</v>
      </c>
      <c r="J21">
        <v>-6</v>
      </c>
      <c r="K21">
        <v>27</v>
      </c>
      <c r="L21">
        <v>26</v>
      </c>
      <c r="M21">
        <v>5</v>
      </c>
      <c r="N21">
        <v>0</v>
      </c>
      <c r="O21">
        <v>3</v>
      </c>
      <c r="P21">
        <v>18</v>
      </c>
      <c r="Q21">
        <v>12</v>
      </c>
      <c r="R21">
        <v>0</v>
      </c>
      <c r="S21">
        <v>207</v>
      </c>
      <c r="T21">
        <v>15</v>
      </c>
      <c r="U21">
        <v>402</v>
      </c>
      <c r="V21" s="19" t="s">
        <v>2399</v>
      </c>
      <c r="W21" s="19" t="s">
        <v>1831</v>
      </c>
      <c r="X21">
        <v>297</v>
      </c>
      <c r="Y21">
        <v>353</v>
      </c>
      <c r="Z21">
        <v>45.7</v>
      </c>
      <c r="AA21">
        <v>35</v>
      </c>
      <c r="AB21">
        <v>55</v>
      </c>
      <c r="AC21">
        <v>21</v>
      </c>
      <c r="AD21">
        <v>53</v>
      </c>
      <c r="AE21" s="19" t="s">
        <v>60</v>
      </c>
    </row>
    <row r="22" spans="1:31" x14ac:dyDescent="0.2">
      <c r="A22">
        <v>21</v>
      </c>
      <c r="B22" s="19" t="s">
        <v>386</v>
      </c>
      <c r="C22">
        <v>31</v>
      </c>
      <c r="D22" s="19" t="s">
        <v>350</v>
      </c>
      <c r="E22" s="19" t="s">
        <v>322</v>
      </c>
      <c r="F22">
        <v>56</v>
      </c>
      <c r="G22">
        <v>26</v>
      </c>
      <c r="H22">
        <v>34</v>
      </c>
      <c r="I22">
        <v>60</v>
      </c>
      <c r="J22">
        <v>13</v>
      </c>
      <c r="K22">
        <v>33</v>
      </c>
      <c r="L22">
        <v>18</v>
      </c>
      <c r="M22">
        <v>6</v>
      </c>
      <c r="N22">
        <v>2</v>
      </c>
      <c r="O22">
        <v>5</v>
      </c>
      <c r="P22">
        <v>18</v>
      </c>
      <c r="Q22">
        <v>16</v>
      </c>
      <c r="R22">
        <v>0</v>
      </c>
      <c r="S22">
        <v>147</v>
      </c>
      <c r="T22">
        <v>17.7</v>
      </c>
      <c r="U22">
        <v>263</v>
      </c>
      <c r="V22" s="19" t="s">
        <v>2400</v>
      </c>
      <c r="W22" s="19" t="s">
        <v>2398</v>
      </c>
      <c r="X22">
        <v>122</v>
      </c>
      <c r="Y22">
        <v>144</v>
      </c>
      <c r="Z22">
        <v>45.9</v>
      </c>
      <c r="AA22">
        <v>31</v>
      </c>
      <c r="AB22">
        <v>23</v>
      </c>
      <c r="AC22">
        <v>19</v>
      </c>
      <c r="AD22">
        <v>51</v>
      </c>
      <c r="AE22" s="19" t="s">
        <v>60</v>
      </c>
    </row>
    <row r="23" spans="1:31" x14ac:dyDescent="0.2">
      <c r="A23">
        <v>22</v>
      </c>
      <c r="B23" s="19" t="s">
        <v>371</v>
      </c>
      <c r="C23">
        <v>23</v>
      </c>
      <c r="D23" s="19" t="s">
        <v>368</v>
      </c>
      <c r="E23" s="19" t="s">
        <v>338</v>
      </c>
      <c r="F23">
        <v>56</v>
      </c>
      <c r="G23">
        <v>19</v>
      </c>
      <c r="H23">
        <v>41</v>
      </c>
      <c r="I23">
        <v>60</v>
      </c>
      <c r="J23">
        <v>10</v>
      </c>
      <c r="K23">
        <v>12</v>
      </c>
      <c r="L23">
        <v>14</v>
      </c>
      <c r="M23">
        <v>5</v>
      </c>
      <c r="N23">
        <v>0</v>
      </c>
      <c r="O23">
        <v>5</v>
      </c>
      <c r="P23">
        <v>24</v>
      </c>
      <c r="Q23">
        <v>17</v>
      </c>
      <c r="R23">
        <v>0</v>
      </c>
      <c r="S23">
        <v>122</v>
      </c>
      <c r="T23">
        <v>15.6</v>
      </c>
      <c r="U23">
        <v>252</v>
      </c>
      <c r="V23" s="19" t="s">
        <v>2179</v>
      </c>
      <c r="W23" s="19" t="s">
        <v>1708</v>
      </c>
      <c r="X23">
        <v>1</v>
      </c>
      <c r="Y23">
        <v>0</v>
      </c>
      <c r="Z23">
        <v>100</v>
      </c>
      <c r="AA23">
        <v>24</v>
      </c>
      <c r="AB23">
        <v>30</v>
      </c>
      <c r="AC23">
        <v>24</v>
      </c>
      <c r="AD23">
        <v>55</v>
      </c>
      <c r="AE23" s="19" t="s">
        <v>60</v>
      </c>
    </row>
    <row r="24" spans="1:31" x14ac:dyDescent="0.2">
      <c r="A24">
        <v>23</v>
      </c>
      <c r="B24" s="19" t="s">
        <v>467</v>
      </c>
      <c r="C24">
        <v>33</v>
      </c>
      <c r="D24" s="19" t="s">
        <v>342</v>
      </c>
      <c r="E24" s="19" t="s">
        <v>334</v>
      </c>
      <c r="F24">
        <v>41</v>
      </c>
      <c r="G24">
        <v>21</v>
      </c>
      <c r="H24">
        <v>39</v>
      </c>
      <c r="I24">
        <v>60</v>
      </c>
      <c r="J24">
        <v>18</v>
      </c>
      <c r="K24">
        <v>7</v>
      </c>
      <c r="L24">
        <v>14</v>
      </c>
      <c r="M24">
        <v>7</v>
      </c>
      <c r="N24">
        <v>0</v>
      </c>
      <c r="O24">
        <v>4</v>
      </c>
      <c r="P24">
        <v>23</v>
      </c>
      <c r="Q24">
        <v>15</v>
      </c>
      <c r="R24">
        <v>1</v>
      </c>
      <c r="S24">
        <v>92</v>
      </c>
      <c r="T24">
        <v>22.8</v>
      </c>
      <c r="U24">
        <v>163</v>
      </c>
      <c r="V24" s="19" t="s">
        <v>2401</v>
      </c>
      <c r="W24" s="19" t="s">
        <v>1962</v>
      </c>
      <c r="X24">
        <v>3</v>
      </c>
      <c r="Y24">
        <v>8</v>
      </c>
      <c r="Z24">
        <v>27.3</v>
      </c>
      <c r="AA24">
        <v>34</v>
      </c>
      <c r="AB24">
        <v>17</v>
      </c>
      <c r="AC24">
        <v>20</v>
      </c>
      <c r="AD24">
        <v>46</v>
      </c>
      <c r="AE24" s="19" t="s">
        <v>60</v>
      </c>
    </row>
    <row r="25" spans="1:31" x14ac:dyDescent="0.2">
      <c r="A25">
        <v>24</v>
      </c>
      <c r="B25" s="19" t="s">
        <v>372</v>
      </c>
      <c r="C25">
        <v>38</v>
      </c>
      <c r="D25" s="19" t="s">
        <v>373</v>
      </c>
      <c r="E25" s="19" t="s">
        <v>322</v>
      </c>
      <c r="F25">
        <v>56</v>
      </c>
      <c r="G25">
        <v>27</v>
      </c>
      <c r="H25">
        <v>32</v>
      </c>
      <c r="I25">
        <v>59</v>
      </c>
      <c r="J25">
        <v>1</v>
      </c>
      <c r="K25">
        <v>38</v>
      </c>
      <c r="L25">
        <v>17</v>
      </c>
      <c r="M25">
        <v>10</v>
      </c>
      <c r="N25">
        <v>0</v>
      </c>
      <c r="O25">
        <v>4</v>
      </c>
      <c r="P25">
        <v>22</v>
      </c>
      <c r="Q25">
        <v>10</v>
      </c>
      <c r="R25">
        <v>0</v>
      </c>
      <c r="S25">
        <v>132</v>
      </c>
      <c r="T25">
        <v>20.5</v>
      </c>
      <c r="U25">
        <v>240</v>
      </c>
      <c r="V25" s="19" t="s">
        <v>2402</v>
      </c>
      <c r="W25" s="19" t="s">
        <v>2007</v>
      </c>
      <c r="X25">
        <v>649</v>
      </c>
      <c r="Y25">
        <v>522</v>
      </c>
      <c r="Z25">
        <v>55.4</v>
      </c>
      <c r="AA25">
        <v>23</v>
      </c>
      <c r="AB25">
        <v>50</v>
      </c>
      <c r="AC25">
        <v>22</v>
      </c>
      <c r="AD25">
        <v>61</v>
      </c>
      <c r="AE25" s="19" t="s">
        <v>60</v>
      </c>
    </row>
    <row r="26" spans="1:31" x14ac:dyDescent="0.2">
      <c r="A26">
        <v>25</v>
      </c>
      <c r="B26" s="19" t="s">
        <v>358</v>
      </c>
      <c r="C26">
        <v>34</v>
      </c>
      <c r="D26" s="19" t="s">
        <v>933</v>
      </c>
      <c r="E26" s="19" t="s">
        <v>338</v>
      </c>
      <c r="F26">
        <v>53</v>
      </c>
      <c r="G26">
        <v>19</v>
      </c>
      <c r="H26">
        <v>40</v>
      </c>
      <c r="I26">
        <v>59</v>
      </c>
      <c r="J26">
        <v>-16</v>
      </c>
      <c r="K26">
        <v>16</v>
      </c>
      <c r="L26">
        <v>17</v>
      </c>
      <c r="M26">
        <v>2</v>
      </c>
      <c r="N26">
        <v>0</v>
      </c>
      <c r="O26">
        <v>3</v>
      </c>
      <c r="P26">
        <v>24</v>
      </c>
      <c r="Q26">
        <v>16</v>
      </c>
      <c r="R26">
        <v>0</v>
      </c>
      <c r="S26">
        <v>161</v>
      </c>
      <c r="T26">
        <v>11.8</v>
      </c>
      <c r="U26">
        <v>368</v>
      </c>
      <c r="V26" s="19" t="s">
        <v>2403</v>
      </c>
      <c r="W26" s="19" t="s">
        <v>1628</v>
      </c>
      <c r="X26">
        <v>1</v>
      </c>
      <c r="Y26">
        <v>0</v>
      </c>
      <c r="Z26">
        <v>100</v>
      </c>
      <c r="AA26">
        <v>11</v>
      </c>
      <c r="AB26">
        <v>8</v>
      </c>
      <c r="AC26">
        <v>15</v>
      </c>
      <c r="AD26">
        <v>69</v>
      </c>
      <c r="AE26" s="19" t="s">
        <v>60</v>
      </c>
    </row>
    <row r="27" spans="1:31" x14ac:dyDescent="0.2">
      <c r="A27">
        <v>25</v>
      </c>
      <c r="B27" s="19" t="s">
        <v>358</v>
      </c>
      <c r="C27">
        <v>34</v>
      </c>
      <c r="D27" s="19" t="s">
        <v>359</v>
      </c>
      <c r="E27" s="19" t="s">
        <v>338</v>
      </c>
      <c r="F27">
        <v>52</v>
      </c>
      <c r="G27">
        <v>19</v>
      </c>
      <c r="H27">
        <v>38</v>
      </c>
      <c r="I27">
        <v>57</v>
      </c>
      <c r="J27">
        <v>-16</v>
      </c>
      <c r="K27">
        <v>14</v>
      </c>
      <c r="L27">
        <v>17</v>
      </c>
      <c r="M27">
        <v>2</v>
      </c>
      <c r="N27">
        <v>0</v>
      </c>
      <c r="O27">
        <v>3</v>
      </c>
      <c r="P27">
        <v>23</v>
      </c>
      <c r="Q27">
        <v>15</v>
      </c>
      <c r="R27">
        <v>0</v>
      </c>
      <c r="S27">
        <v>158</v>
      </c>
      <c r="T27">
        <v>12</v>
      </c>
      <c r="U27">
        <v>361</v>
      </c>
      <c r="V27" s="19" t="s">
        <v>2056</v>
      </c>
      <c r="W27" s="19" t="s">
        <v>1628</v>
      </c>
      <c r="X27">
        <v>1</v>
      </c>
      <c r="Y27">
        <v>0</v>
      </c>
      <c r="Z27">
        <v>100</v>
      </c>
      <c r="AA27">
        <v>11</v>
      </c>
      <c r="AB27">
        <v>8</v>
      </c>
      <c r="AC27">
        <v>15</v>
      </c>
      <c r="AD27">
        <v>69</v>
      </c>
      <c r="AE27" s="19" t="s">
        <v>60</v>
      </c>
    </row>
    <row r="28" spans="1:31" x14ac:dyDescent="0.2">
      <c r="A28">
        <v>25</v>
      </c>
      <c r="B28" s="19" t="s">
        <v>358</v>
      </c>
      <c r="C28">
        <v>34</v>
      </c>
      <c r="D28" s="19" t="s">
        <v>415</v>
      </c>
      <c r="E28" s="19" t="s">
        <v>338</v>
      </c>
      <c r="F28">
        <v>1</v>
      </c>
      <c r="G28">
        <v>0</v>
      </c>
      <c r="H28">
        <v>2</v>
      </c>
      <c r="I28">
        <v>2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3</v>
      </c>
      <c r="T28">
        <v>0</v>
      </c>
      <c r="U28">
        <v>7</v>
      </c>
      <c r="V28" s="19" t="s">
        <v>1478</v>
      </c>
      <c r="W28" s="19" t="s">
        <v>1478</v>
      </c>
      <c r="X28">
        <v>0</v>
      </c>
      <c r="Y28">
        <v>0</v>
      </c>
      <c r="AA28">
        <v>0</v>
      </c>
      <c r="AB28">
        <v>0</v>
      </c>
      <c r="AC28">
        <v>0</v>
      </c>
      <c r="AD28">
        <v>0</v>
      </c>
      <c r="AE28" s="19" t="s">
        <v>60</v>
      </c>
    </row>
    <row r="29" spans="1:31" x14ac:dyDescent="0.2">
      <c r="A29">
        <v>26</v>
      </c>
      <c r="B29" s="19" t="s">
        <v>441</v>
      </c>
      <c r="C29">
        <v>21</v>
      </c>
      <c r="D29" s="19" t="s">
        <v>361</v>
      </c>
      <c r="E29" s="19" t="s">
        <v>347</v>
      </c>
      <c r="F29">
        <v>57</v>
      </c>
      <c r="G29">
        <v>10</v>
      </c>
      <c r="H29">
        <v>48</v>
      </c>
      <c r="I29">
        <v>58</v>
      </c>
      <c r="J29">
        <v>22</v>
      </c>
      <c r="K29">
        <v>24</v>
      </c>
      <c r="L29">
        <v>9</v>
      </c>
      <c r="M29">
        <v>1</v>
      </c>
      <c r="N29">
        <v>0</v>
      </c>
      <c r="O29">
        <v>3</v>
      </c>
      <c r="P29">
        <v>33</v>
      </c>
      <c r="Q29">
        <v>15</v>
      </c>
      <c r="R29">
        <v>0</v>
      </c>
      <c r="S29">
        <v>91</v>
      </c>
      <c r="T29">
        <v>11</v>
      </c>
      <c r="U29">
        <v>211</v>
      </c>
      <c r="V29" s="19" t="s">
        <v>2180</v>
      </c>
      <c r="W29" s="19" t="s">
        <v>1884</v>
      </c>
      <c r="X29">
        <v>0</v>
      </c>
      <c r="Y29">
        <v>0</v>
      </c>
      <c r="AA29">
        <v>90</v>
      </c>
      <c r="AB29">
        <v>23</v>
      </c>
      <c r="AC29">
        <v>26</v>
      </c>
      <c r="AD29">
        <v>60</v>
      </c>
      <c r="AE29" s="19" t="s">
        <v>60</v>
      </c>
    </row>
    <row r="30" spans="1:31" x14ac:dyDescent="0.2">
      <c r="A30">
        <v>27</v>
      </c>
      <c r="B30" s="19" t="s">
        <v>346</v>
      </c>
      <c r="C30">
        <v>27</v>
      </c>
      <c r="D30" s="19" t="s">
        <v>321</v>
      </c>
      <c r="E30" s="19" t="s">
        <v>347</v>
      </c>
      <c r="F30">
        <v>56</v>
      </c>
      <c r="G30">
        <v>15</v>
      </c>
      <c r="H30">
        <v>43</v>
      </c>
      <c r="I30">
        <v>58</v>
      </c>
      <c r="J30">
        <v>27</v>
      </c>
      <c r="K30">
        <v>20</v>
      </c>
      <c r="L30">
        <v>13</v>
      </c>
      <c r="M30">
        <v>2</v>
      </c>
      <c r="N30">
        <v>0</v>
      </c>
      <c r="O30">
        <v>4</v>
      </c>
      <c r="P30">
        <v>25</v>
      </c>
      <c r="Q30">
        <v>18</v>
      </c>
      <c r="R30">
        <v>0</v>
      </c>
      <c r="S30">
        <v>150</v>
      </c>
      <c r="T30">
        <v>10</v>
      </c>
      <c r="U30">
        <v>413</v>
      </c>
      <c r="V30" s="19" t="s">
        <v>2404</v>
      </c>
      <c r="W30" s="19" t="s">
        <v>2405</v>
      </c>
      <c r="X30">
        <v>0</v>
      </c>
      <c r="Y30">
        <v>0</v>
      </c>
      <c r="AA30">
        <v>92</v>
      </c>
      <c r="AB30">
        <v>28</v>
      </c>
      <c r="AC30">
        <v>32</v>
      </c>
      <c r="AD30">
        <v>59</v>
      </c>
      <c r="AE30" s="19" t="s">
        <v>60</v>
      </c>
    </row>
    <row r="31" spans="1:31" x14ac:dyDescent="0.2">
      <c r="A31">
        <v>28</v>
      </c>
      <c r="B31" s="19" t="s">
        <v>390</v>
      </c>
      <c r="C31">
        <v>28</v>
      </c>
      <c r="D31" s="19" t="s">
        <v>342</v>
      </c>
      <c r="E31" s="19" t="s">
        <v>334</v>
      </c>
      <c r="F31">
        <v>57</v>
      </c>
      <c r="G31">
        <v>16</v>
      </c>
      <c r="H31">
        <v>42</v>
      </c>
      <c r="I31">
        <v>58</v>
      </c>
      <c r="J31">
        <v>13</v>
      </c>
      <c r="K31">
        <v>16</v>
      </c>
      <c r="L31">
        <v>12</v>
      </c>
      <c r="M31">
        <v>4</v>
      </c>
      <c r="N31">
        <v>0</v>
      </c>
      <c r="O31">
        <v>0</v>
      </c>
      <c r="P31">
        <v>29</v>
      </c>
      <c r="Q31">
        <v>13</v>
      </c>
      <c r="R31">
        <v>0</v>
      </c>
      <c r="S31">
        <v>115</v>
      </c>
      <c r="T31">
        <v>13.9</v>
      </c>
      <c r="U31">
        <v>252</v>
      </c>
      <c r="V31" s="19" t="s">
        <v>2406</v>
      </c>
      <c r="W31" s="19" t="s">
        <v>2407</v>
      </c>
      <c r="X31">
        <v>91</v>
      </c>
      <c r="Y31">
        <v>142</v>
      </c>
      <c r="Z31">
        <v>39.1</v>
      </c>
      <c r="AA31">
        <v>35</v>
      </c>
      <c r="AB31">
        <v>20</v>
      </c>
      <c r="AC31">
        <v>26</v>
      </c>
      <c r="AD31">
        <v>76</v>
      </c>
      <c r="AE31" s="19" t="s">
        <v>60</v>
      </c>
    </row>
    <row r="32" spans="1:31" x14ac:dyDescent="0.2">
      <c r="A32">
        <v>29</v>
      </c>
      <c r="B32" s="19" t="s">
        <v>392</v>
      </c>
      <c r="C32">
        <v>28</v>
      </c>
      <c r="D32" s="19" t="s">
        <v>393</v>
      </c>
      <c r="E32" s="19" t="s">
        <v>325</v>
      </c>
      <c r="F32">
        <v>57</v>
      </c>
      <c r="G32">
        <v>20</v>
      </c>
      <c r="H32">
        <v>37</v>
      </c>
      <c r="I32">
        <v>57</v>
      </c>
      <c r="J32">
        <v>12</v>
      </c>
      <c r="K32">
        <v>30</v>
      </c>
      <c r="L32">
        <v>15</v>
      </c>
      <c r="M32">
        <v>4</v>
      </c>
      <c r="N32">
        <v>1</v>
      </c>
      <c r="O32">
        <v>3</v>
      </c>
      <c r="P32">
        <v>22</v>
      </c>
      <c r="Q32">
        <v>13</v>
      </c>
      <c r="R32">
        <v>2</v>
      </c>
      <c r="S32">
        <v>128</v>
      </c>
      <c r="T32">
        <v>15.6</v>
      </c>
      <c r="U32">
        <v>277</v>
      </c>
      <c r="V32" s="19" t="s">
        <v>2408</v>
      </c>
      <c r="W32" s="19" t="s">
        <v>2409</v>
      </c>
      <c r="X32">
        <v>436</v>
      </c>
      <c r="Y32">
        <v>426</v>
      </c>
      <c r="Z32">
        <v>50.6</v>
      </c>
      <c r="AA32">
        <v>17</v>
      </c>
      <c r="AB32">
        <v>51</v>
      </c>
      <c r="AC32">
        <v>24</v>
      </c>
      <c r="AD32">
        <v>77</v>
      </c>
      <c r="AE32" s="19" t="s">
        <v>60</v>
      </c>
    </row>
    <row r="33" spans="1:31" x14ac:dyDescent="0.2">
      <c r="A33">
        <v>30</v>
      </c>
      <c r="B33" s="19" t="s">
        <v>366</v>
      </c>
      <c r="C33">
        <v>25</v>
      </c>
      <c r="D33" s="19" t="s">
        <v>361</v>
      </c>
      <c r="E33" s="19" t="s">
        <v>334</v>
      </c>
      <c r="F33">
        <v>57</v>
      </c>
      <c r="G33">
        <v>32</v>
      </c>
      <c r="H33">
        <v>25</v>
      </c>
      <c r="I33">
        <v>57</v>
      </c>
      <c r="J33">
        <v>19</v>
      </c>
      <c r="K33">
        <v>14</v>
      </c>
      <c r="L33">
        <v>25</v>
      </c>
      <c r="M33">
        <v>7</v>
      </c>
      <c r="N33">
        <v>0</v>
      </c>
      <c r="O33">
        <v>8</v>
      </c>
      <c r="P33">
        <v>12</v>
      </c>
      <c r="Q33">
        <v>13</v>
      </c>
      <c r="R33">
        <v>0</v>
      </c>
      <c r="S33">
        <v>171</v>
      </c>
      <c r="T33">
        <v>18.7</v>
      </c>
      <c r="U33">
        <v>316</v>
      </c>
      <c r="V33" s="19" t="s">
        <v>2181</v>
      </c>
      <c r="W33" s="19" t="s">
        <v>1576</v>
      </c>
      <c r="X33">
        <v>6</v>
      </c>
      <c r="Y33">
        <v>10</v>
      </c>
      <c r="Z33">
        <v>37.5</v>
      </c>
      <c r="AA33">
        <v>14</v>
      </c>
      <c r="AB33">
        <v>43</v>
      </c>
      <c r="AC33">
        <v>19</v>
      </c>
      <c r="AD33">
        <v>36</v>
      </c>
      <c r="AE33" s="19" t="s">
        <v>60</v>
      </c>
    </row>
    <row r="34" spans="1:31" x14ac:dyDescent="0.2">
      <c r="A34">
        <v>31</v>
      </c>
      <c r="B34" s="19" t="s">
        <v>374</v>
      </c>
      <c r="C34">
        <v>28</v>
      </c>
      <c r="D34" s="19" t="s">
        <v>368</v>
      </c>
      <c r="E34" s="19" t="s">
        <v>334</v>
      </c>
      <c r="F34">
        <v>58</v>
      </c>
      <c r="G34">
        <v>30</v>
      </c>
      <c r="H34">
        <v>27</v>
      </c>
      <c r="I34">
        <v>57</v>
      </c>
      <c r="J34">
        <v>1</v>
      </c>
      <c r="K34">
        <v>10</v>
      </c>
      <c r="L34">
        <v>19</v>
      </c>
      <c r="M34">
        <v>11</v>
      </c>
      <c r="N34">
        <v>0</v>
      </c>
      <c r="O34">
        <v>5</v>
      </c>
      <c r="P34">
        <v>21</v>
      </c>
      <c r="Q34">
        <v>6</v>
      </c>
      <c r="R34">
        <v>0</v>
      </c>
      <c r="S34">
        <v>205</v>
      </c>
      <c r="T34">
        <v>14.6</v>
      </c>
      <c r="U34">
        <v>409</v>
      </c>
      <c r="V34" s="19" t="s">
        <v>2020</v>
      </c>
      <c r="W34" s="19" t="s">
        <v>611</v>
      </c>
      <c r="X34">
        <v>17</v>
      </c>
      <c r="Y34">
        <v>24</v>
      </c>
      <c r="Z34">
        <v>41.5</v>
      </c>
      <c r="AA34">
        <v>25</v>
      </c>
      <c r="AB34">
        <v>27</v>
      </c>
      <c r="AC34">
        <v>26</v>
      </c>
      <c r="AD34">
        <v>59</v>
      </c>
      <c r="AE34" s="19" t="s">
        <v>60</v>
      </c>
    </row>
    <row r="35" spans="1:31" x14ac:dyDescent="0.2">
      <c r="A35">
        <v>32</v>
      </c>
      <c r="B35" s="19" t="s">
        <v>439</v>
      </c>
      <c r="C35">
        <v>26</v>
      </c>
      <c r="D35" s="19" t="s">
        <v>933</v>
      </c>
      <c r="E35" s="19" t="s">
        <v>347</v>
      </c>
      <c r="F35">
        <v>52</v>
      </c>
      <c r="G35">
        <v>5</v>
      </c>
      <c r="H35">
        <v>52</v>
      </c>
      <c r="I35">
        <v>57</v>
      </c>
      <c r="J35">
        <v>-1</v>
      </c>
      <c r="K35">
        <v>24</v>
      </c>
      <c r="L35">
        <v>3</v>
      </c>
      <c r="M35">
        <v>2</v>
      </c>
      <c r="N35">
        <v>0</v>
      </c>
      <c r="O35">
        <v>1</v>
      </c>
      <c r="P35">
        <v>29</v>
      </c>
      <c r="Q35">
        <v>23</v>
      </c>
      <c r="R35">
        <v>0</v>
      </c>
      <c r="S35">
        <v>143</v>
      </c>
      <c r="T35">
        <v>3.5</v>
      </c>
      <c r="U35">
        <v>348</v>
      </c>
      <c r="V35" s="19" t="s">
        <v>2182</v>
      </c>
      <c r="W35" s="19" t="s">
        <v>1304</v>
      </c>
      <c r="X35">
        <v>0</v>
      </c>
      <c r="Y35">
        <v>0</v>
      </c>
      <c r="AA35">
        <v>59</v>
      </c>
      <c r="AB35">
        <v>5</v>
      </c>
      <c r="AC35">
        <v>22</v>
      </c>
      <c r="AD35">
        <v>77</v>
      </c>
      <c r="AE35" s="19" t="s">
        <v>60</v>
      </c>
    </row>
    <row r="36" spans="1:31" x14ac:dyDescent="0.2">
      <c r="A36">
        <v>32</v>
      </c>
      <c r="B36" s="19" t="s">
        <v>439</v>
      </c>
      <c r="C36">
        <v>26</v>
      </c>
      <c r="D36" s="19" t="s">
        <v>440</v>
      </c>
      <c r="E36" s="19" t="s">
        <v>347</v>
      </c>
      <c r="F36">
        <v>26</v>
      </c>
      <c r="G36">
        <v>2</v>
      </c>
      <c r="H36">
        <v>21</v>
      </c>
      <c r="I36">
        <v>23</v>
      </c>
      <c r="J36">
        <v>-10</v>
      </c>
      <c r="K36">
        <v>12</v>
      </c>
      <c r="L36">
        <v>0</v>
      </c>
      <c r="M36">
        <v>2</v>
      </c>
      <c r="N36">
        <v>0</v>
      </c>
      <c r="O36">
        <v>0</v>
      </c>
      <c r="P36">
        <v>11</v>
      </c>
      <c r="Q36">
        <v>10</v>
      </c>
      <c r="R36">
        <v>0</v>
      </c>
      <c r="S36">
        <v>74</v>
      </c>
      <c r="T36">
        <v>2.7</v>
      </c>
      <c r="U36">
        <v>190</v>
      </c>
      <c r="V36" s="19" t="s">
        <v>1497</v>
      </c>
      <c r="W36" s="19" t="s">
        <v>1498</v>
      </c>
      <c r="X36">
        <v>0</v>
      </c>
      <c r="Y36">
        <v>0</v>
      </c>
      <c r="AA36">
        <v>32</v>
      </c>
      <c r="AB36">
        <v>1</v>
      </c>
      <c r="AC36">
        <v>10</v>
      </c>
      <c r="AD36">
        <v>41</v>
      </c>
      <c r="AE36" s="19" t="s">
        <v>60</v>
      </c>
    </row>
    <row r="37" spans="1:31" x14ac:dyDescent="0.2">
      <c r="A37">
        <v>32</v>
      </c>
      <c r="B37" s="19" t="s">
        <v>439</v>
      </c>
      <c r="C37">
        <v>26</v>
      </c>
      <c r="D37" s="19" t="s">
        <v>355</v>
      </c>
      <c r="E37" s="19" t="s">
        <v>347</v>
      </c>
      <c r="F37">
        <v>26</v>
      </c>
      <c r="G37">
        <v>3</v>
      </c>
      <c r="H37">
        <v>31</v>
      </c>
      <c r="I37">
        <v>34</v>
      </c>
      <c r="J37">
        <v>9</v>
      </c>
      <c r="K37">
        <v>12</v>
      </c>
      <c r="L37">
        <v>3</v>
      </c>
      <c r="M37">
        <v>0</v>
      </c>
      <c r="N37">
        <v>0</v>
      </c>
      <c r="O37">
        <v>1</v>
      </c>
      <c r="P37">
        <v>18</v>
      </c>
      <c r="Q37">
        <v>13</v>
      </c>
      <c r="R37">
        <v>0</v>
      </c>
      <c r="S37">
        <v>69</v>
      </c>
      <c r="T37">
        <v>4.3</v>
      </c>
      <c r="U37">
        <v>158</v>
      </c>
      <c r="V37" s="19" t="s">
        <v>2183</v>
      </c>
      <c r="W37" s="19" t="s">
        <v>2184</v>
      </c>
      <c r="X37">
        <v>0</v>
      </c>
      <c r="Y37">
        <v>0</v>
      </c>
      <c r="AA37">
        <v>27</v>
      </c>
      <c r="AB37">
        <v>4</v>
      </c>
      <c r="AC37">
        <v>12</v>
      </c>
      <c r="AD37">
        <v>36</v>
      </c>
      <c r="AE37" s="19" t="s">
        <v>60</v>
      </c>
    </row>
    <row r="38" spans="1:31" x14ac:dyDescent="0.2">
      <c r="A38">
        <v>33</v>
      </c>
      <c r="B38" s="19" t="s">
        <v>451</v>
      </c>
      <c r="C38">
        <v>34</v>
      </c>
      <c r="D38" s="19" t="s">
        <v>452</v>
      </c>
      <c r="E38" s="19" t="s">
        <v>322</v>
      </c>
      <c r="F38">
        <v>57</v>
      </c>
      <c r="G38">
        <v>20</v>
      </c>
      <c r="H38">
        <v>36</v>
      </c>
      <c r="I38">
        <v>56</v>
      </c>
      <c r="J38">
        <v>8</v>
      </c>
      <c r="K38">
        <v>12</v>
      </c>
      <c r="L38">
        <v>15</v>
      </c>
      <c r="M38">
        <v>3</v>
      </c>
      <c r="N38">
        <v>2</v>
      </c>
      <c r="O38">
        <v>5</v>
      </c>
      <c r="P38">
        <v>24</v>
      </c>
      <c r="Q38">
        <v>12</v>
      </c>
      <c r="R38">
        <v>0</v>
      </c>
      <c r="S38">
        <v>104</v>
      </c>
      <c r="T38">
        <v>19.2</v>
      </c>
      <c r="U38">
        <v>175</v>
      </c>
      <c r="V38" s="19" t="s">
        <v>2410</v>
      </c>
      <c r="W38" s="19" t="s">
        <v>2411</v>
      </c>
      <c r="X38">
        <v>536</v>
      </c>
      <c r="Y38">
        <v>433</v>
      </c>
      <c r="Z38">
        <v>55.3</v>
      </c>
      <c r="AA38">
        <v>44</v>
      </c>
      <c r="AB38">
        <v>10</v>
      </c>
      <c r="AC38">
        <v>38</v>
      </c>
      <c r="AD38">
        <v>37</v>
      </c>
      <c r="AE38" s="19" t="s">
        <v>60</v>
      </c>
    </row>
    <row r="39" spans="1:31" x14ac:dyDescent="0.2">
      <c r="A39">
        <v>34</v>
      </c>
      <c r="B39" s="19" t="s">
        <v>400</v>
      </c>
      <c r="C39">
        <v>27</v>
      </c>
      <c r="D39" s="19" t="s">
        <v>401</v>
      </c>
      <c r="E39" s="19" t="s">
        <v>322</v>
      </c>
      <c r="F39">
        <v>58</v>
      </c>
      <c r="G39">
        <v>17</v>
      </c>
      <c r="H39">
        <v>38</v>
      </c>
      <c r="I39">
        <v>55</v>
      </c>
      <c r="J39">
        <v>20</v>
      </c>
      <c r="K39">
        <v>16</v>
      </c>
      <c r="L39">
        <v>16</v>
      </c>
      <c r="M39">
        <v>1</v>
      </c>
      <c r="N39">
        <v>0</v>
      </c>
      <c r="O39">
        <v>4</v>
      </c>
      <c r="P39">
        <v>23</v>
      </c>
      <c r="Q39">
        <v>15</v>
      </c>
      <c r="R39">
        <v>0</v>
      </c>
      <c r="S39">
        <v>157</v>
      </c>
      <c r="T39">
        <v>10.8</v>
      </c>
      <c r="U39">
        <v>289</v>
      </c>
      <c r="V39" s="19" t="s">
        <v>2412</v>
      </c>
      <c r="W39" s="19" t="s">
        <v>1483</v>
      </c>
      <c r="X39">
        <v>12</v>
      </c>
      <c r="Y39">
        <v>17</v>
      </c>
      <c r="Z39">
        <v>41.4</v>
      </c>
      <c r="AA39">
        <v>24</v>
      </c>
      <c r="AB39">
        <v>8</v>
      </c>
      <c r="AC39">
        <v>18</v>
      </c>
      <c r="AD39">
        <v>66</v>
      </c>
      <c r="AE39" s="19" t="s">
        <v>60</v>
      </c>
    </row>
    <row r="40" spans="1:31" x14ac:dyDescent="0.2">
      <c r="A40">
        <v>35</v>
      </c>
      <c r="B40" s="19" t="s">
        <v>391</v>
      </c>
      <c r="C40">
        <v>30</v>
      </c>
      <c r="D40" s="19" t="s">
        <v>370</v>
      </c>
      <c r="E40" s="19" t="s">
        <v>322</v>
      </c>
      <c r="F40">
        <v>57</v>
      </c>
      <c r="G40">
        <v>27</v>
      </c>
      <c r="H40">
        <v>28</v>
      </c>
      <c r="I40">
        <v>55</v>
      </c>
      <c r="J40">
        <v>-16</v>
      </c>
      <c r="K40">
        <v>10</v>
      </c>
      <c r="L40">
        <v>14</v>
      </c>
      <c r="M40">
        <v>10</v>
      </c>
      <c r="N40">
        <v>3</v>
      </c>
      <c r="O40">
        <v>5</v>
      </c>
      <c r="P40">
        <v>15</v>
      </c>
      <c r="Q40">
        <v>12</v>
      </c>
      <c r="R40">
        <v>1</v>
      </c>
      <c r="S40">
        <v>147</v>
      </c>
      <c r="T40">
        <v>18.399999999999999</v>
      </c>
      <c r="U40">
        <v>326</v>
      </c>
      <c r="V40" s="19" t="s">
        <v>2413</v>
      </c>
      <c r="W40" s="19" t="s">
        <v>2414</v>
      </c>
      <c r="X40">
        <v>54</v>
      </c>
      <c r="Y40">
        <v>86</v>
      </c>
      <c r="Z40">
        <v>38.6</v>
      </c>
      <c r="AA40">
        <v>39</v>
      </c>
      <c r="AB40">
        <v>56</v>
      </c>
      <c r="AC40">
        <v>15</v>
      </c>
      <c r="AD40">
        <v>44</v>
      </c>
      <c r="AE40" s="19" t="s">
        <v>60</v>
      </c>
    </row>
    <row r="41" spans="1:31" x14ac:dyDescent="0.2">
      <c r="A41">
        <v>36</v>
      </c>
      <c r="B41" s="19" t="s">
        <v>352</v>
      </c>
      <c r="C41">
        <v>27</v>
      </c>
      <c r="D41" s="19" t="s">
        <v>353</v>
      </c>
      <c r="E41" s="19" t="s">
        <v>322</v>
      </c>
      <c r="F41">
        <v>56</v>
      </c>
      <c r="G41">
        <v>32</v>
      </c>
      <c r="H41">
        <v>22</v>
      </c>
      <c r="I41">
        <v>54</v>
      </c>
      <c r="J41">
        <v>-1</v>
      </c>
      <c r="K41">
        <v>16</v>
      </c>
      <c r="L41">
        <v>22</v>
      </c>
      <c r="M41">
        <v>10</v>
      </c>
      <c r="N41">
        <v>0</v>
      </c>
      <c r="O41">
        <v>5</v>
      </c>
      <c r="P41">
        <v>12</v>
      </c>
      <c r="Q41">
        <v>10</v>
      </c>
      <c r="R41">
        <v>0</v>
      </c>
      <c r="S41">
        <v>129</v>
      </c>
      <c r="T41">
        <v>24.8</v>
      </c>
      <c r="U41">
        <v>247</v>
      </c>
      <c r="V41" s="19" t="s">
        <v>2185</v>
      </c>
      <c r="W41" s="19" t="s">
        <v>1484</v>
      </c>
      <c r="X41">
        <v>65</v>
      </c>
      <c r="Y41">
        <v>78</v>
      </c>
      <c r="Z41">
        <v>45.5</v>
      </c>
      <c r="AA41">
        <v>20</v>
      </c>
      <c r="AB41">
        <v>89</v>
      </c>
      <c r="AC41">
        <v>15</v>
      </c>
      <c r="AD41">
        <v>49</v>
      </c>
      <c r="AE41" s="19" t="s">
        <v>60</v>
      </c>
    </row>
    <row r="42" spans="1:31" x14ac:dyDescent="0.2">
      <c r="A42">
        <v>37</v>
      </c>
      <c r="B42" s="19" t="s">
        <v>378</v>
      </c>
      <c r="C42">
        <v>27</v>
      </c>
      <c r="D42" s="19" t="s">
        <v>350</v>
      </c>
      <c r="E42" s="19" t="s">
        <v>338</v>
      </c>
      <c r="F42">
        <v>51</v>
      </c>
      <c r="G42">
        <v>27</v>
      </c>
      <c r="H42">
        <v>27</v>
      </c>
      <c r="I42">
        <v>54</v>
      </c>
      <c r="J42">
        <v>29</v>
      </c>
      <c r="K42">
        <v>37</v>
      </c>
      <c r="L42">
        <v>23</v>
      </c>
      <c r="M42">
        <v>3</v>
      </c>
      <c r="N42">
        <v>1</v>
      </c>
      <c r="O42">
        <v>6</v>
      </c>
      <c r="P42">
        <v>21</v>
      </c>
      <c r="Q42">
        <v>6</v>
      </c>
      <c r="R42">
        <v>0</v>
      </c>
      <c r="S42">
        <v>152</v>
      </c>
      <c r="T42">
        <v>17.8</v>
      </c>
      <c r="U42">
        <v>331</v>
      </c>
      <c r="V42" s="19" t="s">
        <v>2415</v>
      </c>
      <c r="W42" s="19" t="s">
        <v>1733</v>
      </c>
      <c r="X42">
        <v>22</v>
      </c>
      <c r="Y42">
        <v>31</v>
      </c>
      <c r="Z42">
        <v>41.5</v>
      </c>
      <c r="AA42">
        <v>29</v>
      </c>
      <c r="AB42">
        <v>40</v>
      </c>
      <c r="AC42">
        <v>23</v>
      </c>
      <c r="AD42">
        <v>53</v>
      </c>
      <c r="AE42" s="19" t="s">
        <v>60</v>
      </c>
    </row>
    <row r="43" spans="1:31" x14ac:dyDescent="0.2">
      <c r="A43">
        <v>38</v>
      </c>
      <c r="B43" s="19" t="s">
        <v>431</v>
      </c>
      <c r="C43">
        <v>28</v>
      </c>
      <c r="D43" s="19" t="s">
        <v>403</v>
      </c>
      <c r="E43" s="19" t="s">
        <v>334</v>
      </c>
      <c r="F43">
        <v>56</v>
      </c>
      <c r="G43">
        <v>22</v>
      </c>
      <c r="H43">
        <v>32</v>
      </c>
      <c r="I43">
        <v>54</v>
      </c>
      <c r="J43">
        <v>7</v>
      </c>
      <c r="K43">
        <v>45</v>
      </c>
      <c r="L43">
        <v>20</v>
      </c>
      <c r="M43">
        <v>1</v>
      </c>
      <c r="N43">
        <v>1</v>
      </c>
      <c r="O43">
        <v>2</v>
      </c>
      <c r="P43">
        <v>22</v>
      </c>
      <c r="Q43">
        <v>9</v>
      </c>
      <c r="R43">
        <v>1</v>
      </c>
      <c r="S43">
        <v>125</v>
      </c>
      <c r="T43">
        <v>17.600000000000001</v>
      </c>
      <c r="U43">
        <v>241</v>
      </c>
      <c r="V43" s="19" t="s">
        <v>2416</v>
      </c>
      <c r="W43" s="19" t="s">
        <v>1713</v>
      </c>
      <c r="X43">
        <v>11</v>
      </c>
      <c r="Y43">
        <v>30</v>
      </c>
      <c r="Z43">
        <v>26.8</v>
      </c>
      <c r="AA43">
        <v>28</v>
      </c>
      <c r="AB43">
        <v>76</v>
      </c>
      <c r="AC43">
        <v>13</v>
      </c>
      <c r="AD43">
        <v>86</v>
      </c>
      <c r="AE43" s="19" t="s">
        <v>60</v>
      </c>
    </row>
    <row r="44" spans="1:31" x14ac:dyDescent="0.2">
      <c r="A44">
        <v>39</v>
      </c>
      <c r="B44" s="19" t="s">
        <v>356</v>
      </c>
      <c r="C44">
        <v>29</v>
      </c>
      <c r="D44" s="19" t="s">
        <v>357</v>
      </c>
      <c r="E44" s="19" t="s">
        <v>322</v>
      </c>
      <c r="F44">
        <v>41</v>
      </c>
      <c r="G44">
        <v>18</v>
      </c>
      <c r="H44">
        <v>36</v>
      </c>
      <c r="I44">
        <v>54</v>
      </c>
      <c r="J44">
        <v>2</v>
      </c>
      <c r="K44">
        <v>14</v>
      </c>
      <c r="L44">
        <v>15</v>
      </c>
      <c r="M44">
        <v>3</v>
      </c>
      <c r="N44">
        <v>0</v>
      </c>
      <c r="O44">
        <v>3</v>
      </c>
      <c r="P44">
        <v>28</v>
      </c>
      <c r="Q44">
        <v>8</v>
      </c>
      <c r="R44">
        <v>0</v>
      </c>
      <c r="S44">
        <v>90</v>
      </c>
      <c r="T44">
        <v>20</v>
      </c>
      <c r="U44">
        <v>183</v>
      </c>
      <c r="V44" s="19" t="s">
        <v>2417</v>
      </c>
      <c r="W44" s="19" t="s">
        <v>1737</v>
      </c>
      <c r="X44">
        <v>22</v>
      </c>
      <c r="Y44">
        <v>33</v>
      </c>
      <c r="Z44">
        <v>40</v>
      </c>
      <c r="AA44">
        <v>15</v>
      </c>
      <c r="AB44">
        <v>4</v>
      </c>
      <c r="AC44">
        <v>21</v>
      </c>
      <c r="AD44">
        <v>45</v>
      </c>
      <c r="AE44" s="19" t="s">
        <v>60</v>
      </c>
    </row>
    <row r="45" spans="1:31" x14ac:dyDescent="0.2">
      <c r="A45">
        <v>40</v>
      </c>
      <c r="B45" s="19" t="s">
        <v>328</v>
      </c>
      <c r="C45">
        <v>20</v>
      </c>
      <c r="D45" s="19" t="s">
        <v>329</v>
      </c>
      <c r="E45" s="19" t="s">
        <v>322</v>
      </c>
      <c r="F45">
        <v>44</v>
      </c>
      <c r="G45">
        <v>23</v>
      </c>
      <c r="H45">
        <v>30</v>
      </c>
      <c r="I45">
        <v>53</v>
      </c>
      <c r="J45">
        <v>-2</v>
      </c>
      <c r="K45">
        <v>32</v>
      </c>
      <c r="L45">
        <v>17</v>
      </c>
      <c r="M45">
        <v>6</v>
      </c>
      <c r="N45">
        <v>0</v>
      </c>
      <c r="O45">
        <v>3</v>
      </c>
      <c r="P45">
        <v>21</v>
      </c>
      <c r="Q45">
        <v>9</v>
      </c>
      <c r="R45">
        <v>0</v>
      </c>
      <c r="S45">
        <v>143</v>
      </c>
      <c r="T45">
        <v>16.100000000000001</v>
      </c>
      <c r="U45">
        <v>264</v>
      </c>
      <c r="V45" s="19" t="s">
        <v>2008</v>
      </c>
      <c r="W45" s="19" t="s">
        <v>331</v>
      </c>
      <c r="X45">
        <v>148</v>
      </c>
      <c r="Y45">
        <v>167</v>
      </c>
      <c r="Z45">
        <v>47</v>
      </c>
      <c r="AA45">
        <v>17</v>
      </c>
      <c r="AB45">
        <v>16</v>
      </c>
      <c r="AC45">
        <v>19</v>
      </c>
      <c r="AD45">
        <v>58</v>
      </c>
      <c r="AE45" s="19" t="s">
        <v>60</v>
      </c>
    </row>
    <row r="46" spans="1:31" x14ac:dyDescent="0.2">
      <c r="A46">
        <v>41</v>
      </c>
      <c r="B46" s="19" t="s">
        <v>408</v>
      </c>
      <c r="C46">
        <v>29</v>
      </c>
      <c r="D46" s="19" t="s">
        <v>401</v>
      </c>
      <c r="E46" s="19" t="s">
        <v>322</v>
      </c>
      <c r="F46">
        <v>58</v>
      </c>
      <c r="G46">
        <v>23</v>
      </c>
      <c r="H46">
        <v>30</v>
      </c>
      <c r="I46">
        <v>53</v>
      </c>
      <c r="J46">
        <v>20</v>
      </c>
      <c r="K46">
        <v>22</v>
      </c>
      <c r="L46">
        <v>17</v>
      </c>
      <c r="M46">
        <v>5</v>
      </c>
      <c r="N46">
        <v>1</v>
      </c>
      <c r="O46">
        <v>5</v>
      </c>
      <c r="P46">
        <v>23</v>
      </c>
      <c r="Q46">
        <v>7</v>
      </c>
      <c r="R46">
        <v>0</v>
      </c>
      <c r="S46">
        <v>140</v>
      </c>
      <c r="T46">
        <v>16.399999999999999</v>
      </c>
      <c r="U46">
        <v>276</v>
      </c>
      <c r="V46" s="19" t="s">
        <v>2418</v>
      </c>
      <c r="W46" s="19" t="s">
        <v>2419</v>
      </c>
      <c r="X46">
        <v>292</v>
      </c>
      <c r="Y46">
        <v>338</v>
      </c>
      <c r="Z46">
        <v>46.3</v>
      </c>
      <c r="AA46">
        <v>37</v>
      </c>
      <c r="AB46">
        <v>16</v>
      </c>
      <c r="AC46">
        <v>31</v>
      </c>
      <c r="AD46">
        <v>59</v>
      </c>
      <c r="AE46" s="19" t="s">
        <v>60</v>
      </c>
    </row>
    <row r="47" spans="1:31" x14ac:dyDescent="0.2">
      <c r="A47">
        <v>42</v>
      </c>
      <c r="B47" s="19" t="s">
        <v>498</v>
      </c>
      <c r="C47">
        <v>29</v>
      </c>
      <c r="D47" s="19" t="s">
        <v>350</v>
      </c>
      <c r="E47" s="19" t="s">
        <v>347</v>
      </c>
      <c r="F47">
        <v>50</v>
      </c>
      <c r="G47">
        <v>17</v>
      </c>
      <c r="H47">
        <v>35</v>
      </c>
      <c r="I47">
        <v>52</v>
      </c>
      <c r="J47">
        <v>18</v>
      </c>
      <c r="K47">
        <v>33</v>
      </c>
      <c r="L47">
        <v>8</v>
      </c>
      <c r="M47">
        <v>9</v>
      </c>
      <c r="N47">
        <v>0</v>
      </c>
      <c r="O47">
        <v>5</v>
      </c>
      <c r="P47">
        <v>24</v>
      </c>
      <c r="Q47">
        <v>11</v>
      </c>
      <c r="R47">
        <v>0</v>
      </c>
      <c r="S47">
        <v>132</v>
      </c>
      <c r="T47">
        <v>12.9</v>
      </c>
      <c r="U47">
        <v>296</v>
      </c>
      <c r="V47" s="19" t="s">
        <v>2420</v>
      </c>
      <c r="W47" s="19" t="s">
        <v>2421</v>
      </c>
      <c r="X47">
        <v>0</v>
      </c>
      <c r="Y47">
        <v>0</v>
      </c>
      <c r="AA47">
        <v>49</v>
      </c>
      <c r="AB47">
        <v>51</v>
      </c>
      <c r="AC47">
        <v>9</v>
      </c>
      <c r="AD47">
        <v>55</v>
      </c>
      <c r="AE47" s="19" t="s">
        <v>60</v>
      </c>
    </row>
    <row r="48" spans="1:31" x14ac:dyDescent="0.2">
      <c r="A48">
        <v>43</v>
      </c>
      <c r="B48" s="19" t="s">
        <v>424</v>
      </c>
      <c r="C48">
        <v>32</v>
      </c>
      <c r="D48" s="19" t="s">
        <v>359</v>
      </c>
      <c r="E48" s="19" t="s">
        <v>322</v>
      </c>
      <c r="F48">
        <v>56</v>
      </c>
      <c r="G48">
        <v>23</v>
      </c>
      <c r="H48">
        <v>29</v>
      </c>
      <c r="I48">
        <v>52</v>
      </c>
      <c r="J48">
        <v>-21</v>
      </c>
      <c r="K48">
        <v>10</v>
      </c>
      <c r="L48">
        <v>10</v>
      </c>
      <c r="M48">
        <v>11</v>
      </c>
      <c r="N48">
        <v>2</v>
      </c>
      <c r="O48">
        <v>3</v>
      </c>
      <c r="P48">
        <v>18</v>
      </c>
      <c r="Q48">
        <v>11</v>
      </c>
      <c r="R48">
        <v>0</v>
      </c>
      <c r="S48">
        <v>151</v>
      </c>
      <c r="T48">
        <v>15.2</v>
      </c>
      <c r="U48">
        <v>293</v>
      </c>
      <c r="V48" s="19" t="s">
        <v>2422</v>
      </c>
      <c r="W48" s="19" t="s">
        <v>1719</v>
      </c>
      <c r="X48">
        <v>390</v>
      </c>
      <c r="Y48">
        <v>364</v>
      </c>
      <c r="Z48">
        <v>51.7</v>
      </c>
      <c r="AA48">
        <v>37</v>
      </c>
      <c r="AB48">
        <v>77</v>
      </c>
      <c r="AC48">
        <v>24</v>
      </c>
      <c r="AD48">
        <v>73</v>
      </c>
      <c r="AE48" s="19" t="s">
        <v>60</v>
      </c>
    </row>
    <row r="49" spans="1:31" x14ac:dyDescent="0.2">
      <c r="A49">
        <v>44</v>
      </c>
      <c r="B49" s="19" t="s">
        <v>435</v>
      </c>
      <c r="C49">
        <v>28</v>
      </c>
      <c r="D49" s="19" t="s">
        <v>380</v>
      </c>
      <c r="E49" s="19" t="s">
        <v>322</v>
      </c>
      <c r="F49">
        <v>57</v>
      </c>
      <c r="G49">
        <v>17</v>
      </c>
      <c r="H49">
        <v>34</v>
      </c>
      <c r="I49">
        <v>51</v>
      </c>
      <c r="J49">
        <v>12</v>
      </c>
      <c r="K49">
        <v>43</v>
      </c>
      <c r="L49">
        <v>15</v>
      </c>
      <c r="M49">
        <v>2</v>
      </c>
      <c r="N49">
        <v>0</v>
      </c>
      <c r="O49">
        <v>3</v>
      </c>
      <c r="P49">
        <v>22</v>
      </c>
      <c r="Q49">
        <v>12</v>
      </c>
      <c r="R49">
        <v>0</v>
      </c>
      <c r="S49">
        <v>124</v>
      </c>
      <c r="T49">
        <v>13.7</v>
      </c>
      <c r="U49">
        <v>246</v>
      </c>
      <c r="V49" s="19" t="s">
        <v>2423</v>
      </c>
      <c r="W49" s="19" t="s">
        <v>1627</v>
      </c>
      <c r="X49">
        <v>201</v>
      </c>
      <c r="Y49">
        <v>304</v>
      </c>
      <c r="Z49">
        <v>39.799999999999997</v>
      </c>
      <c r="AA49">
        <v>36</v>
      </c>
      <c r="AB49">
        <v>20</v>
      </c>
      <c r="AC49">
        <v>29</v>
      </c>
      <c r="AD49">
        <v>69</v>
      </c>
      <c r="AE49" s="19" t="s">
        <v>60</v>
      </c>
    </row>
    <row r="50" spans="1:31" x14ac:dyDescent="0.2">
      <c r="A50">
        <v>45</v>
      </c>
      <c r="B50" s="19" t="s">
        <v>367</v>
      </c>
      <c r="C50">
        <v>29</v>
      </c>
      <c r="D50" s="19" t="s">
        <v>368</v>
      </c>
      <c r="E50" s="19" t="s">
        <v>322</v>
      </c>
      <c r="F50">
        <v>58</v>
      </c>
      <c r="G50">
        <v>26</v>
      </c>
      <c r="H50">
        <v>25</v>
      </c>
      <c r="I50">
        <v>51</v>
      </c>
      <c r="J50">
        <v>8</v>
      </c>
      <c r="K50">
        <v>36</v>
      </c>
      <c r="L50">
        <v>17</v>
      </c>
      <c r="M50">
        <v>9</v>
      </c>
      <c r="N50">
        <v>0</v>
      </c>
      <c r="O50">
        <v>7</v>
      </c>
      <c r="P50">
        <v>18</v>
      </c>
      <c r="Q50">
        <v>7</v>
      </c>
      <c r="R50">
        <v>0</v>
      </c>
      <c r="S50">
        <v>169</v>
      </c>
      <c r="T50">
        <v>15.4</v>
      </c>
      <c r="U50">
        <v>353</v>
      </c>
      <c r="V50" s="19" t="s">
        <v>2186</v>
      </c>
      <c r="W50" s="19" t="s">
        <v>1932</v>
      </c>
      <c r="X50">
        <v>623</v>
      </c>
      <c r="Y50">
        <v>560</v>
      </c>
      <c r="Z50">
        <v>52.7</v>
      </c>
      <c r="AA50">
        <v>29</v>
      </c>
      <c r="AB50">
        <v>32</v>
      </c>
      <c r="AC50">
        <v>13</v>
      </c>
      <c r="AD50">
        <v>52</v>
      </c>
      <c r="AE50" s="19" t="s">
        <v>60</v>
      </c>
    </row>
    <row r="51" spans="1:31" x14ac:dyDescent="0.2">
      <c r="A51">
        <v>46</v>
      </c>
      <c r="B51" s="19" t="s">
        <v>409</v>
      </c>
      <c r="C51">
        <v>26</v>
      </c>
      <c r="D51" s="19" t="s">
        <v>344</v>
      </c>
      <c r="E51" s="19" t="s">
        <v>322</v>
      </c>
      <c r="F51">
        <v>57</v>
      </c>
      <c r="G51">
        <v>22</v>
      </c>
      <c r="H51">
        <v>29</v>
      </c>
      <c r="I51">
        <v>51</v>
      </c>
      <c r="J51">
        <v>0</v>
      </c>
      <c r="K51">
        <v>14</v>
      </c>
      <c r="L51">
        <v>15</v>
      </c>
      <c r="M51">
        <v>7</v>
      </c>
      <c r="N51">
        <v>0</v>
      </c>
      <c r="O51">
        <v>2</v>
      </c>
      <c r="P51">
        <v>20</v>
      </c>
      <c r="Q51">
        <v>9</v>
      </c>
      <c r="R51">
        <v>0</v>
      </c>
      <c r="S51">
        <v>113</v>
      </c>
      <c r="T51">
        <v>19.5</v>
      </c>
      <c r="U51">
        <v>221</v>
      </c>
      <c r="V51" s="19" t="s">
        <v>2424</v>
      </c>
      <c r="W51" s="19" t="s">
        <v>410</v>
      </c>
      <c r="X51">
        <v>35</v>
      </c>
      <c r="Y51">
        <v>41</v>
      </c>
      <c r="Z51">
        <v>46.1</v>
      </c>
      <c r="AA51">
        <v>24</v>
      </c>
      <c r="AB51">
        <v>14</v>
      </c>
      <c r="AC51">
        <v>10</v>
      </c>
      <c r="AD51">
        <v>44</v>
      </c>
      <c r="AE51" s="19" t="s">
        <v>60</v>
      </c>
    </row>
    <row r="52" spans="1:31" x14ac:dyDescent="0.2">
      <c r="A52">
        <v>47</v>
      </c>
      <c r="B52" s="19" t="s">
        <v>351</v>
      </c>
      <c r="C52">
        <v>22</v>
      </c>
      <c r="D52" s="19" t="s">
        <v>336</v>
      </c>
      <c r="E52" s="19" t="s">
        <v>338</v>
      </c>
      <c r="F52">
        <v>56</v>
      </c>
      <c r="G52">
        <v>26</v>
      </c>
      <c r="H52">
        <v>24</v>
      </c>
      <c r="I52">
        <v>50</v>
      </c>
      <c r="J52">
        <v>3</v>
      </c>
      <c r="K52">
        <v>20</v>
      </c>
      <c r="L52">
        <v>20</v>
      </c>
      <c r="M52">
        <v>6</v>
      </c>
      <c r="N52">
        <v>0</v>
      </c>
      <c r="O52">
        <v>5</v>
      </c>
      <c r="P52">
        <v>18</v>
      </c>
      <c r="Q52">
        <v>6</v>
      </c>
      <c r="R52">
        <v>0</v>
      </c>
      <c r="S52">
        <v>212</v>
      </c>
      <c r="T52">
        <v>12.3</v>
      </c>
      <c r="U52">
        <v>405</v>
      </c>
      <c r="V52" s="19" t="s">
        <v>2425</v>
      </c>
      <c r="W52" s="19" t="s">
        <v>524</v>
      </c>
      <c r="X52">
        <v>41</v>
      </c>
      <c r="Y52">
        <v>53</v>
      </c>
      <c r="Z52">
        <v>43.6</v>
      </c>
      <c r="AA52">
        <v>16</v>
      </c>
      <c r="AB52">
        <v>44</v>
      </c>
      <c r="AC52">
        <v>13</v>
      </c>
      <c r="AD52">
        <v>56</v>
      </c>
      <c r="AE52" s="19" t="s">
        <v>60</v>
      </c>
    </row>
    <row r="53" spans="1:31" x14ac:dyDescent="0.2">
      <c r="A53">
        <v>48</v>
      </c>
      <c r="B53" s="19" t="s">
        <v>438</v>
      </c>
      <c r="C53">
        <v>32</v>
      </c>
      <c r="D53" s="19" t="s">
        <v>342</v>
      </c>
      <c r="E53" s="19" t="s">
        <v>322</v>
      </c>
      <c r="F53">
        <v>58</v>
      </c>
      <c r="G53">
        <v>22</v>
      </c>
      <c r="H53">
        <v>28</v>
      </c>
      <c r="I53">
        <v>50</v>
      </c>
      <c r="J53">
        <v>-6</v>
      </c>
      <c r="K53">
        <v>35</v>
      </c>
      <c r="L53">
        <v>11</v>
      </c>
      <c r="M53">
        <v>11</v>
      </c>
      <c r="N53">
        <v>0</v>
      </c>
      <c r="O53">
        <v>3</v>
      </c>
      <c r="P53">
        <v>18</v>
      </c>
      <c r="Q53">
        <v>10</v>
      </c>
      <c r="R53">
        <v>0</v>
      </c>
      <c r="S53">
        <v>148</v>
      </c>
      <c r="T53">
        <v>14.9</v>
      </c>
      <c r="U53">
        <v>297</v>
      </c>
      <c r="V53" s="19" t="s">
        <v>2426</v>
      </c>
      <c r="W53" s="19" t="s">
        <v>1572</v>
      </c>
      <c r="X53">
        <v>534</v>
      </c>
      <c r="Y53">
        <v>394</v>
      </c>
      <c r="Z53">
        <v>57.5</v>
      </c>
      <c r="AA53">
        <v>30</v>
      </c>
      <c r="AB53">
        <v>78</v>
      </c>
      <c r="AC53">
        <v>12</v>
      </c>
      <c r="AD53">
        <v>39</v>
      </c>
      <c r="AE53" s="19" t="s">
        <v>60</v>
      </c>
    </row>
    <row r="54" spans="1:31" x14ac:dyDescent="0.2">
      <c r="A54">
        <v>49</v>
      </c>
      <c r="B54" s="19" t="s">
        <v>369</v>
      </c>
      <c r="C54">
        <v>37</v>
      </c>
      <c r="D54" s="19" t="s">
        <v>370</v>
      </c>
      <c r="E54" s="19" t="s">
        <v>338</v>
      </c>
      <c r="F54">
        <v>46</v>
      </c>
      <c r="G54">
        <v>25</v>
      </c>
      <c r="H54">
        <v>25</v>
      </c>
      <c r="I54">
        <v>50</v>
      </c>
      <c r="J54">
        <v>-15</v>
      </c>
      <c r="K54">
        <v>34</v>
      </c>
      <c r="L54">
        <v>19</v>
      </c>
      <c r="M54">
        <v>6</v>
      </c>
      <c r="N54">
        <v>0</v>
      </c>
      <c r="O54">
        <v>3</v>
      </c>
      <c r="P54">
        <v>13</v>
      </c>
      <c r="Q54">
        <v>12</v>
      </c>
      <c r="R54">
        <v>0</v>
      </c>
      <c r="S54">
        <v>126</v>
      </c>
      <c r="T54">
        <v>19.8</v>
      </c>
      <c r="U54">
        <v>251</v>
      </c>
      <c r="V54" s="19" t="s">
        <v>2187</v>
      </c>
      <c r="W54" s="19" t="s">
        <v>1679</v>
      </c>
      <c r="X54">
        <v>1</v>
      </c>
      <c r="Y54">
        <v>7</v>
      </c>
      <c r="Z54">
        <v>12.5</v>
      </c>
      <c r="AA54">
        <v>16</v>
      </c>
      <c r="AB54">
        <v>34</v>
      </c>
      <c r="AC54">
        <v>13</v>
      </c>
      <c r="AD54">
        <v>51</v>
      </c>
      <c r="AE54" s="19" t="s">
        <v>60</v>
      </c>
    </row>
    <row r="55" spans="1:31" x14ac:dyDescent="0.2">
      <c r="A55">
        <v>50</v>
      </c>
      <c r="B55" s="19" t="s">
        <v>479</v>
      </c>
      <c r="C55">
        <v>34</v>
      </c>
      <c r="D55" s="19" t="s">
        <v>321</v>
      </c>
      <c r="E55" s="19" t="s">
        <v>322</v>
      </c>
      <c r="F55">
        <v>56</v>
      </c>
      <c r="G55">
        <v>30</v>
      </c>
      <c r="H55">
        <v>20</v>
      </c>
      <c r="I55">
        <v>50</v>
      </c>
      <c r="J55">
        <v>8</v>
      </c>
      <c r="K55">
        <v>22</v>
      </c>
      <c r="L55">
        <v>22</v>
      </c>
      <c r="M55">
        <v>8</v>
      </c>
      <c r="N55">
        <v>0</v>
      </c>
      <c r="O55">
        <v>7</v>
      </c>
      <c r="P55">
        <v>17</v>
      </c>
      <c r="Q55">
        <v>3</v>
      </c>
      <c r="R55">
        <v>0</v>
      </c>
      <c r="S55">
        <v>129</v>
      </c>
      <c r="T55">
        <v>23.3</v>
      </c>
      <c r="U55">
        <v>220</v>
      </c>
      <c r="V55" s="19" t="s">
        <v>2427</v>
      </c>
      <c r="W55" s="19" t="s">
        <v>2428</v>
      </c>
      <c r="X55">
        <v>501</v>
      </c>
      <c r="Y55">
        <v>508</v>
      </c>
      <c r="Z55">
        <v>49.7</v>
      </c>
      <c r="AA55">
        <v>43</v>
      </c>
      <c r="AB55">
        <v>28</v>
      </c>
      <c r="AC55">
        <v>15</v>
      </c>
      <c r="AD55">
        <v>47</v>
      </c>
      <c r="AE55" s="19" t="s">
        <v>60</v>
      </c>
    </row>
    <row r="56" spans="1:31" x14ac:dyDescent="0.2">
      <c r="A56">
        <v>51</v>
      </c>
      <c r="B56" s="19" t="s">
        <v>411</v>
      </c>
      <c r="C56">
        <v>27</v>
      </c>
      <c r="D56" s="19" t="s">
        <v>412</v>
      </c>
      <c r="E56" s="19" t="s">
        <v>322</v>
      </c>
      <c r="F56">
        <v>54</v>
      </c>
      <c r="G56">
        <v>19</v>
      </c>
      <c r="H56">
        <v>30</v>
      </c>
      <c r="I56">
        <v>49</v>
      </c>
      <c r="J56">
        <v>-4</v>
      </c>
      <c r="K56">
        <v>23</v>
      </c>
      <c r="L56">
        <v>12</v>
      </c>
      <c r="M56">
        <v>7</v>
      </c>
      <c r="N56">
        <v>0</v>
      </c>
      <c r="O56">
        <v>3</v>
      </c>
      <c r="P56">
        <v>19</v>
      </c>
      <c r="Q56">
        <v>11</v>
      </c>
      <c r="R56">
        <v>0</v>
      </c>
      <c r="S56">
        <v>111</v>
      </c>
      <c r="T56">
        <v>17.100000000000001</v>
      </c>
      <c r="U56">
        <v>227</v>
      </c>
      <c r="V56" s="19" t="s">
        <v>2429</v>
      </c>
      <c r="W56" s="19" t="s">
        <v>2430</v>
      </c>
      <c r="X56">
        <v>9</v>
      </c>
      <c r="Y56">
        <v>10</v>
      </c>
      <c r="Z56">
        <v>47.4</v>
      </c>
      <c r="AA56">
        <v>16</v>
      </c>
      <c r="AB56">
        <v>78</v>
      </c>
      <c r="AC56">
        <v>19</v>
      </c>
      <c r="AD56">
        <v>39</v>
      </c>
      <c r="AE56" s="19" t="s">
        <v>60</v>
      </c>
    </row>
    <row r="57" spans="1:31" x14ac:dyDescent="0.2">
      <c r="A57">
        <v>52</v>
      </c>
      <c r="B57" s="19" t="s">
        <v>437</v>
      </c>
      <c r="C57">
        <v>22</v>
      </c>
      <c r="D57" s="19" t="s">
        <v>401</v>
      </c>
      <c r="E57" s="19" t="s">
        <v>334</v>
      </c>
      <c r="F57">
        <v>56</v>
      </c>
      <c r="G57">
        <v>27</v>
      </c>
      <c r="H57">
        <v>22</v>
      </c>
      <c r="I57">
        <v>49</v>
      </c>
      <c r="J57">
        <v>9</v>
      </c>
      <c r="K57">
        <v>24</v>
      </c>
      <c r="L57">
        <v>21</v>
      </c>
      <c r="M57">
        <v>6</v>
      </c>
      <c r="N57">
        <v>0</v>
      </c>
      <c r="O57">
        <v>6</v>
      </c>
      <c r="P57">
        <v>14</v>
      </c>
      <c r="Q57">
        <v>8</v>
      </c>
      <c r="R57">
        <v>0</v>
      </c>
      <c r="S57">
        <v>181</v>
      </c>
      <c r="T57">
        <v>14.9</v>
      </c>
      <c r="U57">
        <v>363</v>
      </c>
      <c r="V57" s="19" t="s">
        <v>2431</v>
      </c>
      <c r="W57" s="19" t="s">
        <v>993</v>
      </c>
      <c r="X57">
        <v>21</v>
      </c>
      <c r="Y57">
        <v>31</v>
      </c>
      <c r="Z57">
        <v>40.4</v>
      </c>
      <c r="AA57">
        <v>19</v>
      </c>
      <c r="AB57">
        <v>43</v>
      </c>
      <c r="AC57">
        <v>11</v>
      </c>
      <c r="AD57">
        <v>45</v>
      </c>
      <c r="AE57" s="19" t="s">
        <v>60</v>
      </c>
    </row>
    <row r="58" spans="1:31" x14ac:dyDescent="0.2">
      <c r="A58">
        <v>53</v>
      </c>
      <c r="B58" s="19" t="s">
        <v>478</v>
      </c>
      <c r="C58">
        <v>28</v>
      </c>
      <c r="D58" s="19" t="s">
        <v>357</v>
      </c>
      <c r="E58" s="19" t="s">
        <v>322</v>
      </c>
      <c r="F58">
        <v>52</v>
      </c>
      <c r="G58">
        <v>26</v>
      </c>
      <c r="H58">
        <v>23</v>
      </c>
      <c r="I58">
        <v>49</v>
      </c>
      <c r="J58">
        <v>5</v>
      </c>
      <c r="K58">
        <v>18</v>
      </c>
      <c r="L58">
        <v>22</v>
      </c>
      <c r="M58">
        <v>4</v>
      </c>
      <c r="N58">
        <v>0</v>
      </c>
      <c r="O58">
        <v>3</v>
      </c>
      <c r="P58">
        <v>18</v>
      </c>
      <c r="Q58">
        <v>5</v>
      </c>
      <c r="R58">
        <v>0</v>
      </c>
      <c r="S58">
        <v>195</v>
      </c>
      <c r="T58">
        <v>13.3</v>
      </c>
      <c r="U58">
        <v>354</v>
      </c>
      <c r="V58" s="19" t="s">
        <v>2432</v>
      </c>
      <c r="W58" s="19" t="s">
        <v>1954</v>
      </c>
      <c r="X58">
        <v>515</v>
      </c>
      <c r="Y58">
        <v>351</v>
      </c>
      <c r="Z58">
        <v>59.5</v>
      </c>
      <c r="AA58">
        <v>71</v>
      </c>
      <c r="AB58">
        <v>30</v>
      </c>
      <c r="AC58">
        <v>25</v>
      </c>
      <c r="AD58">
        <v>47</v>
      </c>
      <c r="AE58" s="19" t="s">
        <v>60</v>
      </c>
    </row>
    <row r="59" spans="1:31" x14ac:dyDescent="0.2">
      <c r="A59">
        <v>54</v>
      </c>
      <c r="B59" s="19" t="s">
        <v>564</v>
      </c>
      <c r="C59">
        <v>25</v>
      </c>
      <c r="D59" s="19" t="s">
        <v>393</v>
      </c>
      <c r="E59" s="19" t="s">
        <v>334</v>
      </c>
      <c r="F59">
        <v>57</v>
      </c>
      <c r="G59">
        <v>21</v>
      </c>
      <c r="H59">
        <v>28</v>
      </c>
      <c r="I59">
        <v>49</v>
      </c>
      <c r="J59">
        <v>6</v>
      </c>
      <c r="K59">
        <v>42</v>
      </c>
      <c r="L59">
        <v>14</v>
      </c>
      <c r="M59">
        <v>7</v>
      </c>
      <c r="N59">
        <v>0</v>
      </c>
      <c r="O59">
        <v>3</v>
      </c>
      <c r="P59">
        <v>16</v>
      </c>
      <c r="Q59">
        <v>12</v>
      </c>
      <c r="R59">
        <v>0</v>
      </c>
      <c r="S59">
        <v>151</v>
      </c>
      <c r="T59">
        <v>13.9</v>
      </c>
      <c r="U59">
        <v>320</v>
      </c>
      <c r="V59" s="19" t="s">
        <v>2433</v>
      </c>
      <c r="W59" s="19" t="s">
        <v>1998</v>
      </c>
      <c r="X59">
        <v>9</v>
      </c>
      <c r="Y59">
        <v>9</v>
      </c>
      <c r="Z59">
        <v>50</v>
      </c>
      <c r="AA59">
        <v>11</v>
      </c>
      <c r="AB59">
        <v>99</v>
      </c>
      <c r="AC59">
        <v>20</v>
      </c>
      <c r="AD59">
        <v>63</v>
      </c>
      <c r="AE59" s="19" t="s">
        <v>60</v>
      </c>
    </row>
    <row r="60" spans="1:31" x14ac:dyDescent="0.2">
      <c r="A60">
        <v>55</v>
      </c>
      <c r="B60" s="19" t="s">
        <v>363</v>
      </c>
      <c r="C60">
        <v>31</v>
      </c>
      <c r="D60" s="19" t="s">
        <v>364</v>
      </c>
      <c r="E60" s="19" t="s">
        <v>334</v>
      </c>
      <c r="F60">
        <v>50</v>
      </c>
      <c r="G60">
        <v>23</v>
      </c>
      <c r="H60">
        <v>26</v>
      </c>
      <c r="I60">
        <v>49</v>
      </c>
      <c r="J60">
        <v>20</v>
      </c>
      <c r="K60">
        <v>78</v>
      </c>
      <c r="L60">
        <v>16</v>
      </c>
      <c r="M60">
        <v>7</v>
      </c>
      <c r="N60">
        <v>0</v>
      </c>
      <c r="O60">
        <v>2</v>
      </c>
      <c r="P60">
        <v>22</v>
      </c>
      <c r="Q60">
        <v>4</v>
      </c>
      <c r="R60">
        <v>0</v>
      </c>
      <c r="S60">
        <v>108</v>
      </c>
      <c r="T60">
        <v>21.3</v>
      </c>
      <c r="U60">
        <v>209</v>
      </c>
      <c r="V60" s="19" t="s">
        <v>2434</v>
      </c>
      <c r="W60" s="19" t="s">
        <v>1654</v>
      </c>
      <c r="X60">
        <v>14</v>
      </c>
      <c r="Y60">
        <v>15</v>
      </c>
      <c r="Z60">
        <v>48.3</v>
      </c>
      <c r="AA60">
        <v>34</v>
      </c>
      <c r="AB60">
        <v>132</v>
      </c>
      <c r="AC60">
        <v>12</v>
      </c>
      <c r="AD60">
        <v>57</v>
      </c>
      <c r="AE60" s="19" t="s">
        <v>60</v>
      </c>
    </row>
    <row r="61" spans="1:31" x14ac:dyDescent="0.2">
      <c r="A61">
        <v>56</v>
      </c>
      <c r="B61" s="19" t="s">
        <v>402</v>
      </c>
      <c r="C61">
        <v>24</v>
      </c>
      <c r="D61" s="19" t="s">
        <v>403</v>
      </c>
      <c r="E61" s="19" t="s">
        <v>322</v>
      </c>
      <c r="F61">
        <v>57</v>
      </c>
      <c r="G61">
        <v>20</v>
      </c>
      <c r="H61">
        <v>29</v>
      </c>
      <c r="I61">
        <v>49</v>
      </c>
      <c r="J61">
        <v>-8</v>
      </c>
      <c r="K61">
        <v>34</v>
      </c>
      <c r="L61">
        <v>12</v>
      </c>
      <c r="M61">
        <v>8</v>
      </c>
      <c r="N61">
        <v>0</v>
      </c>
      <c r="O61">
        <v>2</v>
      </c>
      <c r="P61">
        <v>19</v>
      </c>
      <c r="Q61">
        <v>10</v>
      </c>
      <c r="R61">
        <v>0</v>
      </c>
      <c r="S61">
        <v>124</v>
      </c>
      <c r="T61">
        <v>16.100000000000001</v>
      </c>
      <c r="U61">
        <v>261</v>
      </c>
      <c r="V61" s="19" t="s">
        <v>2435</v>
      </c>
      <c r="W61" s="19" t="s">
        <v>410</v>
      </c>
      <c r="X61">
        <v>69</v>
      </c>
      <c r="Y61">
        <v>131</v>
      </c>
      <c r="Z61">
        <v>34.5</v>
      </c>
      <c r="AA61">
        <v>15</v>
      </c>
      <c r="AB61">
        <v>27</v>
      </c>
      <c r="AC61">
        <v>15</v>
      </c>
      <c r="AD61">
        <v>54</v>
      </c>
      <c r="AE61" s="19" t="s">
        <v>60</v>
      </c>
    </row>
    <row r="62" spans="1:31" x14ac:dyDescent="0.2">
      <c r="A62">
        <v>57</v>
      </c>
      <c r="B62" s="19" t="s">
        <v>485</v>
      </c>
      <c r="C62">
        <v>25</v>
      </c>
      <c r="D62" s="19" t="s">
        <v>423</v>
      </c>
      <c r="E62" s="19" t="s">
        <v>347</v>
      </c>
      <c r="F62">
        <v>54</v>
      </c>
      <c r="G62">
        <v>11</v>
      </c>
      <c r="H62">
        <v>37</v>
      </c>
      <c r="I62">
        <v>48</v>
      </c>
      <c r="J62">
        <v>-6</v>
      </c>
      <c r="K62">
        <v>51</v>
      </c>
      <c r="L62">
        <v>7</v>
      </c>
      <c r="M62">
        <v>4</v>
      </c>
      <c r="N62">
        <v>0</v>
      </c>
      <c r="O62">
        <v>0</v>
      </c>
      <c r="P62">
        <v>24</v>
      </c>
      <c r="Q62">
        <v>13</v>
      </c>
      <c r="R62">
        <v>0</v>
      </c>
      <c r="S62">
        <v>145</v>
      </c>
      <c r="T62">
        <v>7.6</v>
      </c>
      <c r="U62">
        <v>318</v>
      </c>
      <c r="V62" s="19" t="s">
        <v>2436</v>
      </c>
      <c r="W62" s="19" t="s">
        <v>2437</v>
      </c>
      <c r="X62">
        <v>0</v>
      </c>
      <c r="Y62">
        <v>0</v>
      </c>
      <c r="AA62">
        <v>69</v>
      </c>
      <c r="AB62">
        <v>52</v>
      </c>
      <c r="AC62">
        <v>22</v>
      </c>
      <c r="AD62">
        <v>88</v>
      </c>
      <c r="AE62" s="19" t="s">
        <v>60</v>
      </c>
    </row>
    <row r="63" spans="1:31" x14ac:dyDescent="0.2">
      <c r="A63">
        <v>58</v>
      </c>
      <c r="B63" s="19" t="s">
        <v>414</v>
      </c>
      <c r="C63">
        <v>29</v>
      </c>
      <c r="D63" s="19" t="s">
        <v>415</v>
      </c>
      <c r="E63" s="19" t="s">
        <v>338</v>
      </c>
      <c r="F63">
        <v>57</v>
      </c>
      <c r="G63">
        <v>21</v>
      </c>
      <c r="H63">
        <v>27</v>
      </c>
      <c r="I63">
        <v>48</v>
      </c>
      <c r="J63">
        <v>8</v>
      </c>
      <c r="K63">
        <v>54</v>
      </c>
      <c r="L63">
        <v>18</v>
      </c>
      <c r="M63">
        <v>3</v>
      </c>
      <c r="N63">
        <v>0</v>
      </c>
      <c r="O63">
        <v>5</v>
      </c>
      <c r="P63">
        <v>18</v>
      </c>
      <c r="Q63">
        <v>7</v>
      </c>
      <c r="R63">
        <v>2</v>
      </c>
      <c r="S63">
        <v>160</v>
      </c>
      <c r="T63">
        <v>13.1</v>
      </c>
      <c r="U63">
        <v>374</v>
      </c>
      <c r="V63" s="19" t="s">
        <v>2438</v>
      </c>
      <c r="W63" s="19" t="s">
        <v>1089</v>
      </c>
      <c r="X63">
        <v>51</v>
      </c>
      <c r="Y63">
        <v>85</v>
      </c>
      <c r="Z63">
        <v>37.5</v>
      </c>
      <c r="AA63">
        <v>33</v>
      </c>
      <c r="AB63">
        <v>104</v>
      </c>
      <c r="AC63">
        <v>16</v>
      </c>
      <c r="AD63">
        <v>46</v>
      </c>
      <c r="AE63" s="19" t="s">
        <v>60</v>
      </c>
    </row>
    <row r="64" spans="1:31" x14ac:dyDescent="0.2">
      <c r="A64">
        <v>59</v>
      </c>
      <c r="B64" s="19" t="s">
        <v>387</v>
      </c>
      <c r="C64">
        <v>23</v>
      </c>
      <c r="D64" s="19" t="s">
        <v>357</v>
      </c>
      <c r="E64" s="19" t="s">
        <v>338</v>
      </c>
      <c r="F64">
        <v>55</v>
      </c>
      <c r="G64">
        <v>15</v>
      </c>
      <c r="H64">
        <v>33</v>
      </c>
      <c r="I64">
        <v>48</v>
      </c>
      <c r="J64">
        <v>-11</v>
      </c>
      <c r="K64">
        <v>21</v>
      </c>
      <c r="L64">
        <v>11</v>
      </c>
      <c r="M64">
        <v>4</v>
      </c>
      <c r="N64">
        <v>0</v>
      </c>
      <c r="O64">
        <v>2</v>
      </c>
      <c r="P64">
        <v>29</v>
      </c>
      <c r="Q64">
        <v>4</v>
      </c>
      <c r="R64">
        <v>0</v>
      </c>
      <c r="S64">
        <v>107</v>
      </c>
      <c r="T64">
        <v>14</v>
      </c>
      <c r="U64">
        <v>185</v>
      </c>
      <c r="V64" s="19" t="s">
        <v>2439</v>
      </c>
      <c r="W64" s="19" t="s">
        <v>1913</v>
      </c>
      <c r="X64">
        <v>0</v>
      </c>
      <c r="Y64">
        <v>3</v>
      </c>
      <c r="Z64">
        <v>0</v>
      </c>
      <c r="AA64">
        <v>24</v>
      </c>
      <c r="AB64">
        <v>112</v>
      </c>
      <c r="AC64">
        <v>17</v>
      </c>
      <c r="AD64">
        <v>48</v>
      </c>
      <c r="AE64" s="19" t="s">
        <v>60</v>
      </c>
    </row>
    <row r="65" spans="1:31" x14ac:dyDescent="0.2">
      <c r="A65">
        <v>60</v>
      </c>
      <c r="B65" s="19" t="s">
        <v>383</v>
      </c>
      <c r="C65">
        <v>40</v>
      </c>
      <c r="D65" s="19" t="s">
        <v>364</v>
      </c>
      <c r="E65" s="19" t="s">
        <v>338</v>
      </c>
      <c r="F65">
        <v>60</v>
      </c>
      <c r="G65">
        <v>22</v>
      </c>
      <c r="H65">
        <v>26</v>
      </c>
      <c r="I65">
        <v>48</v>
      </c>
      <c r="J65">
        <v>2</v>
      </c>
      <c r="K65">
        <v>22</v>
      </c>
      <c r="L65">
        <v>18</v>
      </c>
      <c r="M65">
        <v>4</v>
      </c>
      <c r="N65">
        <v>0</v>
      </c>
      <c r="O65">
        <v>4</v>
      </c>
      <c r="P65">
        <v>15</v>
      </c>
      <c r="Q65">
        <v>11</v>
      </c>
      <c r="R65">
        <v>0</v>
      </c>
      <c r="S65">
        <v>167</v>
      </c>
      <c r="T65">
        <v>13.2</v>
      </c>
      <c r="U65">
        <v>384</v>
      </c>
      <c r="V65" s="19" t="s">
        <v>2440</v>
      </c>
      <c r="W65" s="19" t="s">
        <v>2430</v>
      </c>
      <c r="X65">
        <v>2</v>
      </c>
      <c r="Y65">
        <v>1</v>
      </c>
      <c r="Z65">
        <v>66.7</v>
      </c>
      <c r="AA65">
        <v>10</v>
      </c>
      <c r="AB65">
        <v>99</v>
      </c>
      <c r="AC65">
        <v>7</v>
      </c>
      <c r="AD65">
        <v>50</v>
      </c>
      <c r="AE65" s="19" t="s">
        <v>60</v>
      </c>
    </row>
    <row r="66" spans="1:31" x14ac:dyDescent="0.2">
      <c r="A66">
        <v>61</v>
      </c>
      <c r="B66" s="19" t="s">
        <v>385</v>
      </c>
      <c r="C66">
        <v>35</v>
      </c>
      <c r="D66" s="19" t="s">
        <v>357</v>
      </c>
      <c r="E66" s="19" t="s">
        <v>322</v>
      </c>
      <c r="F66">
        <v>58</v>
      </c>
      <c r="G66">
        <v>21</v>
      </c>
      <c r="H66">
        <v>27</v>
      </c>
      <c r="I66">
        <v>48</v>
      </c>
      <c r="J66">
        <v>-17</v>
      </c>
      <c r="K66">
        <v>20</v>
      </c>
      <c r="L66">
        <v>15</v>
      </c>
      <c r="M66">
        <v>6</v>
      </c>
      <c r="N66">
        <v>0</v>
      </c>
      <c r="O66">
        <v>2</v>
      </c>
      <c r="P66">
        <v>24</v>
      </c>
      <c r="Q66">
        <v>3</v>
      </c>
      <c r="R66">
        <v>0</v>
      </c>
      <c r="S66">
        <v>143</v>
      </c>
      <c r="T66">
        <v>14.7</v>
      </c>
      <c r="U66">
        <v>276</v>
      </c>
      <c r="V66" s="19" t="s">
        <v>2441</v>
      </c>
      <c r="W66" s="19" t="s">
        <v>1570</v>
      </c>
      <c r="X66">
        <v>537</v>
      </c>
      <c r="Y66">
        <v>380</v>
      </c>
      <c r="Z66">
        <v>58.6</v>
      </c>
      <c r="AA66">
        <v>15</v>
      </c>
      <c r="AB66">
        <v>52</v>
      </c>
      <c r="AC66">
        <v>22</v>
      </c>
      <c r="AD66">
        <v>56</v>
      </c>
      <c r="AE66" s="19" t="s">
        <v>60</v>
      </c>
    </row>
    <row r="67" spans="1:31" x14ac:dyDescent="0.2">
      <c r="A67">
        <v>62</v>
      </c>
      <c r="B67" s="19" t="s">
        <v>422</v>
      </c>
      <c r="C67">
        <v>29</v>
      </c>
      <c r="D67" s="19" t="s">
        <v>423</v>
      </c>
      <c r="E67" s="19" t="s">
        <v>334</v>
      </c>
      <c r="F67">
        <v>57</v>
      </c>
      <c r="G67">
        <v>22</v>
      </c>
      <c r="H67">
        <v>26</v>
      </c>
      <c r="I67">
        <v>48</v>
      </c>
      <c r="J67">
        <v>15</v>
      </c>
      <c r="K67">
        <v>45</v>
      </c>
      <c r="L67">
        <v>17</v>
      </c>
      <c r="M67">
        <v>4</v>
      </c>
      <c r="N67">
        <v>1</v>
      </c>
      <c r="O67">
        <v>2</v>
      </c>
      <c r="P67">
        <v>22</v>
      </c>
      <c r="Q67">
        <v>2</v>
      </c>
      <c r="R67">
        <v>2</v>
      </c>
      <c r="S67">
        <v>135</v>
      </c>
      <c r="T67">
        <v>16.3</v>
      </c>
      <c r="U67">
        <v>273</v>
      </c>
      <c r="V67" s="19" t="s">
        <v>2442</v>
      </c>
      <c r="W67" s="19" t="s">
        <v>1659</v>
      </c>
      <c r="X67">
        <v>28</v>
      </c>
      <c r="Y67">
        <v>34</v>
      </c>
      <c r="Z67">
        <v>45.2</v>
      </c>
      <c r="AA67">
        <v>64</v>
      </c>
      <c r="AB67">
        <v>60</v>
      </c>
      <c r="AC67">
        <v>29</v>
      </c>
      <c r="AD67">
        <v>48</v>
      </c>
      <c r="AE67" s="19" t="s">
        <v>60</v>
      </c>
    </row>
    <row r="68" spans="1:31" x14ac:dyDescent="0.2">
      <c r="A68">
        <v>63</v>
      </c>
      <c r="B68" s="19" t="s">
        <v>335</v>
      </c>
      <c r="C68">
        <v>21</v>
      </c>
      <c r="D68" s="19" t="s">
        <v>336</v>
      </c>
      <c r="E68" s="19" t="s">
        <v>322</v>
      </c>
      <c r="F68">
        <v>45</v>
      </c>
      <c r="G68">
        <v>19</v>
      </c>
      <c r="H68">
        <v>28</v>
      </c>
      <c r="I68">
        <v>47</v>
      </c>
      <c r="J68">
        <v>3</v>
      </c>
      <c r="K68">
        <v>29</v>
      </c>
      <c r="L68">
        <v>14</v>
      </c>
      <c r="M68">
        <v>3</v>
      </c>
      <c r="N68">
        <v>2</v>
      </c>
      <c r="O68">
        <v>3</v>
      </c>
      <c r="P68">
        <v>17</v>
      </c>
      <c r="Q68">
        <v>10</v>
      </c>
      <c r="R68">
        <v>1</v>
      </c>
      <c r="S68">
        <v>111</v>
      </c>
      <c r="T68">
        <v>17.100000000000001</v>
      </c>
      <c r="U68">
        <v>223</v>
      </c>
      <c r="V68" s="19" t="s">
        <v>2443</v>
      </c>
      <c r="W68" s="19" t="s">
        <v>1711</v>
      </c>
      <c r="X68">
        <v>318</v>
      </c>
      <c r="Y68">
        <v>383</v>
      </c>
      <c r="Z68">
        <v>45.4</v>
      </c>
      <c r="AA68">
        <v>16</v>
      </c>
      <c r="AB68">
        <v>9</v>
      </c>
      <c r="AC68">
        <v>20</v>
      </c>
      <c r="AD68">
        <v>56</v>
      </c>
      <c r="AE68" s="19" t="s">
        <v>60</v>
      </c>
    </row>
    <row r="69" spans="1:31" x14ac:dyDescent="0.2">
      <c r="A69">
        <v>64</v>
      </c>
      <c r="B69" s="19" t="s">
        <v>405</v>
      </c>
      <c r="C69">
        <v>27</v>
      </c>
      <c r="D69" s="19" t="s">
        <v>364</v>
      </c>
      <c r="E69" s="19" t="s">
        <v>347</v>
      </c>
      <c r="F69">
        <v>58</v>
      </c>
      <c r="G69">
        <v>21</v>
      </c>
      <c r="H69">
        <v>26</v>
      </c>
      <c r="I69">
        <v>47</v>
      </c>
      <c r="J69">
        <v>24</v>
      </c>
      <c r="K69">
        <v>51</v>
      </c>
      <c r="L69">
        <v>15</v>
      </c>
      <c r="M69">
        <v>6</v>
      </c>
      <c r="N69">
        <v>0</v>
      </c>
      <c r="O69">
        <v>5</v>
      </c>
      <c r="P69">
        <v>19</v>
      </c>
      <c r="Q69">
        <v>7</v>
      </c>
      <c r="R69">
        <v>0</v>
      </c>
      <c r="S69">
        <v>183</v>
      </c>
      <c r="T69">
        <v>11.5</v>
      </c>
      <c r="U69">
        <v>422</v>
      </c>
      <c r="V69" s="19" t="s">
        <v>2444</v>
      </c>
      <c r="W69" s="19" t="s">
        <v>2445</v>
      </c>
      <c r="X69">
        <v>0</v>
      </c>
      <c r="Y69">
        <v>0</v>
      </c>
      <c r="AA69">
        <v>80</v>
      </c>
      <c r="AB69">
        <v>47</v>
      </c>
      <c r="AC69">
        <v>29</v>
      </c>
      <c r="AD69">
        <v>79</v>
      </c>
      <c r="AE69" s="19" t="s">
        <v>60</v>
      </c>
    </row>
    <row r="70" spans="1:31" x14ac:dyDescent="0.2">
      <c r="A70">
        <v>65</v>
      </c>
      <c r="B70" s="19" t="s">
        <v>476</v>
      </c>
      <c r="C70">
        <v>31</v>
      </c>
      <c r="D70" s="19" t="s">
        <v>452</v>
      </c>
      <c r="E70" s="19" t="s">
        <v>322</v>
      </c>
      <c r="F70">
        <v>57</v>
      </c>
      <c r="G70">
        <v>24</v>
      </c>
      <c r="H70">
        <v>23</v>
      </c>
      <c r="I70">
        <v>47</v>
      </c>
      <c r="J70">
        <v>-5</v>
      </c>
      <c r="K70">
        <v>26</v>
      </c>
      <c r="L70">
        <v>19</v>
      </c>
      <c r="M70">
        <v>5</v>
      </c>
      <c r="N70">
        <v>0</v>
      </c>
      <c r="O70">
        <v>1</v>
      </c>
      <c r="P70">
        <v>12</v>
      </c>
      <c r="Q70">
        <v>11</v>
      </c>
      <c r="R70">
        <v>0</v>
      </c>
      <c r="S70">
        <v>173</v>
      </c>
      <c r="T70">
        <v>13.9</v>
      </c>
      <c r="U70">
        <v>369</v>
      </c>
      <c r="V70" s="19" t="s">
        <v>2446</v>
      </c>
      <c r="W70" s="19" t="s">
        <v>1659</v>
      </c>
      <c r="X70">
        <v>10</v>
      </c>
      <c r="Y70">
        <v>18</v>
      </c>
      <c r="Z70">
        <v>35.700000000000003</v>
      </c>
      <c r="AA70">
        <v>18</v>
      </c>
      <c r="AB70">
        <v>103</v>
      </c>
      <c r="AC70">
        <v>37</v>
      </c>
      <c r="AD70">
        <v>74</v>
      </c>
      <c r="AE70" s="19" t="s">
        <v>60</v>
      </c>
    </row>
    <row r="71" spans="1:31" x14ac:dyDescent="0.2">
      <c r="A71">
        <v>66</v>
      </c>
      <c r="B71" s="19" t="s">
        <v>398</v>
      </c>
      <c r="C71">
        <v>26</v>
      </c>
      <c r="D71" s="19" t="s">
        <v>333</v>
      </c>
      <c r="E71" s="19" t="s">
        <v>347</v>
      </c>
      <c r="F71">
        <v>56</v>
      </c>
      <c r="G71">
        <v>7</v>
      </c>
      <c r="H71">
        <v>40</v>
      </c>
      <c r="I71">
        <v>47</v>
      </c>
      <c r="J71">
        <v>7</v>
      </c>
      <c r="K71">
        <v>18</v>
      </c>
      <c r="L71">
        <v>5</v>
      </c>
      <c r="M71">
        <v>1</v>
      </c>
      <c r="N71">
        <v>1</v>
      </c>
      <c r="O71">
        <v>2</v>
      </c>
      <c r="P71">
        <v>22</v>
      </c>
      <c r="Q71">
        <v>18</v>
      </c>
      <c r="R71">
        <v>0</v>
      </c>
      <c r="S71">
        <v>113</v>
      </c>
      <c r="T71">
        <v>6.2</v>
      </c>
      <c r="U71">
        <v>255</v>
      </c>
      <c r="V71" s="19" t="s">
        <v>2447</v>
      </c>
      <c r="W71" s="19" t="s">
        <v>2448</v>
      </c>
      <c r="X71">
        <v>0</v>
      </c>
      <c r="Y71">
        <v>0</v>
      </c>
      <c r="AA71">
        <v>105</v>
      </c>
      <c r="AB71">
        <v>17</v>
      </c>
      <c r="AC71">
        <v>32</v>
      </c>
      <c r="AD71">
        <v>68</v>
      </c>
      <c r="AE71" s="19" t="s">
        <v>60</v>
      </c>
    </row>
    <row r="72" spans="1:31" x14ac:dyDescent="0.2">
      <c r="A72">
        <v>67</v>
      </c>
      <c r="B72" s="19" t="s">
        <v>443</v>
      </c>
      <c r="C72">
        <v>32</v>
      </c>
      <c r="D72" s="19" t="s">
        <v>327</v>
      </c>
      <c r="E72" s="19" t="s">
        <v>322</v>
      </c>
      <c r="F72">
        <v>50</v>
      </c>
      <c r="G72">
        <v>14</v>
      </c>
      <c r="H72">
        <v>33</v>
      </c>
      <c r="I72">
        <v>47</v>
      </c>
      <c r="J72">
        <v>-5</v>
      </c>
      <c r="K72">
        <v>19</v>
      </c>
      <c r="L72">
        <v>7</v>
      </c>
      <c r="M72">
        <v>7</v>
      </c>
      <c r="N72">
        <v>0</v>
      </c>
      <c r="O72">
        <v>2</v>
      </c>
      <c r="P72">
        <v>15</v>
      </c>
      <c r="Q72">
        <v>17</v>
      </c>
      <c r="R72">
        <v>1</v>
      </c>
      <c r="S72">
        <v>86</v>
      </c>
      <c r="T72">
        <v>16.3</v>
      </c>
      <c r="U72">
        <v>186</v>
      </c>
      <c r="V72" s="19" t="s">
        <v>2449</v>
      </c>
      <c r="W72" s="19" t="s">
        <v>1089</v>
      </c>
      <c r="X72">
        <v>98</v>
      </c>
      <c r="Y72">
        <v>117</v>
      </c>
      <c r="Z72">
        <v>45.6</v>
      </c>
      <c r="AA72">
        <v>19</v>
      </c>
      <c r="AB72">
        <v>16</v>
      </c>
      <c r="AC72">
        <v>8</v>
      </c>
      <c r="AD72">
        <v>29</v>
      </c>
      <c r="AE72" s="19" t="s">
        <v>60</v>
      </c>
    </row>
    <row r="73" spans="1:31" x14ac:dyDescent="0.2">
      <c r="A73">
        <v>68</v>
      </c>
      <c r="B73" s="19" t="s">
        <v>434</v>
      </c>
      <c r="C73">
        <v>28</v>
      </c>
      <c r="D73" s="19" t="s">
        <v>364</v>
      </c>
      <c r="E73" s="19" t="s">
        <v>322</v>
      </c>
      <c r="F73">
        <v>58</v>
      </c>
      <c r="G73">
        <v>16</v>
      </c>
      <c r="H73">
        <v>31</v>
      </c>
      <c r="I73">
        <v>47</v>
      </c>
      <c r="J73">
        <v>9</v>
      </c>
      <c r="K73">
        <v>34</v>
      </c>
      <c r="L73">
        <v>11</v>
      </c>
      <c r="M73">
        <v>5</v>
      </c>
      <c r="N73">
        <v>0</v>
      </c>
      <c r="O73">
        <v>1</v>
      </c>
      <c r="P73">
        <v>19</v>
      </c>
      <c r="Q73">
        <v>12</v>
      </c>
      <c r="R73">
        <v>0</v>
      </c>
      <c r="S73">
        <v>113</v>
      </c>
      <c r="T73">
        <v>14.2</v>
      </c>
      <c r="U73">
        <v>194</v>
      </c>
      <c r="V73" s="19" t="s">
        <v>2450</v>
      </c>
      <c r="W73" s="19" t="s">
        <v>2451</v>
      </c>
      <c r="X73">
        <v>605</v>
      </c>
      <c r="Y73">
        <v>413</v>
      </c>
      <c r="Z73">
        <v>59.4</v>
      </c>
      <c r="AA73">
        <v>35</v>
      </c>
      <c r="AB73">
        <v>10</v>
      </c>
      <c r="AC73">
        <v>11</v>
      </c>
      <c r="AD73">
        <v>49</v>
      </c>
      <c r="AE73" s="19" t="s">
        <v>60</v>
      </c>
    </row>
    <row r="74" spans="1:31" x14ac:dyDescent="0.2">
      <c r="A74">
        <v>69</v>
      </c>
      <c r="B74" s="19" t="s">
        <v>426</v>
      </c>
      <c r="C74">
        <v>36</v>
      </c>
      <c r="D74" s="19" t="s">
        <v>364</v>
      </c>
      <c r="E74" s="19" t="s">
        <v>347</v>
      </c>
      <c r="F74">
        <v>55</v>
      </c>
      <c r="G74">
        <v>10</v>
      </c>
      <c r="H74">
        <v>36</v>
      </c>
      <c r="I74">
        <v>46</v>
      </c>
      <c r="J74">
        <v>11</v>
      </c>
      <c r="K74">
        <v>26</v>
      </c>
      <c r="L74">
        <v>10</v>
      </c>
      <c r="M74">
        <v>0</v>
      </c>
      <c r="N74">
        <v>0</v>
      </c>
      <c r="O74">
        <v>0</v>
      </c>
      <c r="P74">
        <v>27</v>
      </c>
      <c r="Q74">
        <v>9</v>
      </c>
      <c r="R74">
        <v>0</v>
      </c>
      <c r="S74">
        <v>115</v>
      </c>
      <c r="T74">
        <v>8.6999999999999993</v>
      </c>
      <c r="U74">
        <v>265</v>
      </c>
      <c r="V74" s="19" t="s">
        <v>2452</v>
      </c>
      <c r="W74" s="19" t="s">
        <v>1881</v>
      </c>
      <c r="X74">
        <v>0</v>
      </c>
      <c r="Y74">
        <v>1</v>
      </c>
      <c r="Z74">
        <v>0</v>
      </c>
      <c r="AA74">
        <v>84</v>
      </c>
      <c r="AB74">
        <v>20</v>
      </c>
      <c r="AC74">
        <v>35</v>
      </c>
      <c r="AD74">
        <v>81</v>
      </c>
      <c r="AE74" s="19" t="s">
        <v>60</v>
      </c>
    </row>
    <row r="75" spans="1:31" x14ac:dyDescent="0.2">
      <c r="A75">
        <v>70</v>
      </c>
      <c r="B75" s="19" t="s">
        <v>436</v>
      </c>
      <c r="C75">
        <v>20</v>
      </c>
      <c r="D75" s="19" t="s">
        <v>361</v>
      </c>
      <c r="E75" s="19" t="s">
        <v>334</v>
      </c>
      <c r="F75">
        <v>57</v>
      </c>
      <c r="G75">
        <v>12</v>
      </c>
      <c r="H75">
        <v>34</v>
      </c>
      <c r="I75">
        <v>46</v>
      </c>
      <c r="J75">
        <v>8</v>
      </c>
      <c r="K75">
        <v>24</v>
      </c>
      <c r="L75">
        <v>9</v>
      </c>
      <c r="M75">
        <v>3</v>
      </c>
      <c r="N75">
        <v>0</v>
      </c>
      <c r="O75">
        <v>2</v>
      </c>
      <c r="P75">
        <v>25</v>
      </c>
      <c r="Q75">
        <v>9</v>
      </c>
      <c r="R75">
        <v>0</v>
      </c>
      <c r="S75">
        <v>81</v>
      </c>
      <c r="T75">
        <v>14.8</v>
      </c>
      <c r="U75">
        <v>186</v>
      </c>
      <c r="V75" s="19" t="s">
        <v>2188</v>
      </c>
      <c r="W75" s="19" t="s">
        <v>647</v>
      </c>
      <c r="X75">
        <v>0</v>
      </c>
      <c r="Y75">
        <v>0</v>
      </c>
      <c r="AA75">
        <v>21</v>
      </c>
      <c r="AB75">
        <v>23</v>
      </c>
      <c r="AC75">
        <v>18</v>
      </c>
      <c r="AD75">
        <v>52</v>
      </c>
      <c r="AE75" s="19" t="s">
        <v>60</v>
      </c>
    </row>
    <row r="76" spans="1:31" x14ac:dyDescent="0.2">
      <c r="A76">
        <v>71</v>
      </c>
      <c r="B76" s="19" t="s">
        <v>487</v>
      </c>
      <c r="C76">
        <v>25</v>
      </c>
      <c r="D76" s="19" t="s">
        <v>342</v>
      </c>
      <c r="E76" s="19" t="s">
        <v>338</v>
      </c>
      <c r="F76">
        <v>58</v>
      </c>
      <c r="G76">
        <v>28</v>
      </c>
      <c r="H76">
        <v>18</v>
      </c>
      <c r="I76">
        <v>46</v>
      </c>
      <c r="J76">
        <v>-3</v>
      </c>
      <c r="K76">
        <v>18</v>
      </c>
      <c r="L76">
        <v>13</v>
      </c>
      <c r="M76">
        <v>15</v>
      </c>
      <c r="N76">
        <v>0</v>
      </c>
      <c r="O76">
        <v>3</v>
      </c>
      <c r="P76">
        <v>10</v>
      </c>
      <c r="Q76">
        <v>8</v>
      </c>
      <c r="R76">
        <v>0</v>
      </c>
      <c r="S76">
        <v>160</v>
      </c>
      <c r="T76">
        <v>17.5</v>
      </c>
      <c r="U76">
        <v>334</v>
      </c>
      <c r="V76" s="19" t="s">
        <v>2453</v>
      </c>
      <c r="W76" s="19" t="s">
        <v>1578</v>
      </c>
      <c r="X76">
        <v>0</v>
      </c>
      <c r="Y76">
        <v>1</v>
      </c>
      <c r="Z76">
        <v>0</v>
      </c>
      <c r="AA76">
        <v>23</v>
      </c>
      <c r="AB76">
        <v>22</v>
      </c>
      <c r="AC76">
        <v>12</v>
      </c>
      <c r="AD76">
        <v>44</v>
      </c>
      <c r="AE76" s="19" t="s">
        <v>60</v>
      </c>
    </row>
    <row r="77" spans="1:31" x14ac:dyDescent="0.2">
      <c r="A77">
        <v>72</v>
      </c>
      <c r="B77" s="19" t="s">
        <v>416</v>
      </c>
      <c r="C77">
        <v>25</v>
      </c>
      <c r="D77" s="19" t="s">
        <v>377</v>
      </c>
      <c r="E77" s="19" t="s">
        <v>334</v>
      </c>
      <c r="F77">
        <v>50</v>
      </c>
      <c r="G77">
        <v>19</v>
      </c>
      <c r="H77">
        <v>27</v>
      </c>
      <c r="I77">
        <v>46</v>
      </c>
      <c r="J77">
        <v>7</v>
      </c>
      <c r="K77">
        <v>20</v>
      </c>
      <c r="L77">
        <v>15</v>
      </c>
      <c r="M77">
        <v>3</v>
      </c>
      <c r="N77">
        <v>1</v>
      </c>
      <c r="O77">
        <v>4</v>
      </c>
      <c r="P77">
        <v>14</v>
      </c>
      <c r="Q77">
        <v>13</v>
      </c>
      <c r="R77">
        <v>0</v>
      </c>
      <c r="S77">
        <v>152</v>
      </c>
      <c r="T77">
        <v>12.5</v>
      </c>
      <c r="U77">
        <v>307</v>
      </c>
      <c r="V77" s="19" t="s">
        <v>2100</v>
      </c>
      <c r="W77" s="19" t="s">
        <v>1649</v>
      </c>
      <c r="X77">
        <v>2</v>
      </c>
      <c r="Y77">
        <v>3</v>
      </c>
      <c r="Z77">
        <v>40</v>
      </c>
      <c r="AA77">
        <v>30</v>
      </c>
      <c r="AB77">
        <v>40</v>
      </c>
      <c r="AC77">
        <v>29</v>
      </c>
      <c r="AD77">
        <v>66</v>
      </c>
      <c r="AE77" s="19" t="s">
        <v>60</v>
      </c>
    </row>
    <row r="78" spans="1:31" x14ac:dyDescent="0.2">
      <c r="A78">
        <v>73</v>
      </c>
      <c r="B78" s="19" t="s">
        <v>433</v>
      </c>
      <c r="C78">
        <v>23</v>
      </c>
      <c r="D78" s="19" t="s">
        <v>412</v>
      </c>
      <c r="E78" s="19" t="s">
        <v>347</v>
      </c>
      <c r="F78">
        <v>57</v>
      </c>
      <c r="G78">
        <v>11</v>
      </c>
      <c r="H78">
        <v>35</v>
      </c>
      <c r="I78">
        <v>46</v>
      </c>
      <c r="J78">
        <v>7</v>
      </c>
      <c r="K78">
        <v>8</v>
      </c>
      <c r="L78">
        <v>8</v>
      </c>
      <c r="M78">
        <v>3</v>
      </c>
      <c r="N78">
        <v>0</v>
      </c>
      <c r="O78">
        <v>2</v>
      </c>
      <c r="P78">
        <v>21</v>
      </c>
      <c r="Q78">
        <v>14</v>
      </c>
      <c r="R78">
        <v>0</v>
      </c>
      <c r="S78">
        <v>119</v>
      </c>
      <c r="T78">
        <v>9.1999999999999993</v>
      </c>
      <c r="U78">
        <v>312</v>
      </c>
      <c r="V78" s="19" t="s">
        <v>2454</v>
      </c>
      <c r="W78" s="19" t="s">
        <v>2455</v>
      </c>
      <c r="X78">
        <v>0</v>
      </c>
      <c r="Y78">
        <v>0</v>
      </c>
      <c r="AA78">
        <v>109</v>
      </c>
      <c r="AB78">
        <v>27</v>
      </c>
      <c r="AC78">
        <v>26</v>
      </c>
      <c r="AD78">
        <v>67</v>
      </c>
      <c r="AE78" s="19" t="s">
        <v>60</v>
      </c>
    </row>
    <row r="79" spans="1:31" x14ac:dyDescent="0.2">
      <c r="A79">
        <v>74</v>
      </c>
      <c r="B79" s="19" t="s">
        <v>418</v>
      </c>
      <c r="C79">
        <v>20</v>
      </c>
      <c r="D79" s="19" t="s">
        <v>336</v>
      </c>
      <c r="E79" s="19" t="s">
        <v>325</v>
      </c>
      <c r="F79">
        <v>57</v>
      </c>
      <c r="G79">
        <v>19</v>
      </c>
      <c r="H79">
        <v>26</v>
      </c>
      <c r="I79">
        <v>45</v>
      </c>
      <c r="J79">
        <v>-6</v>
      </c>
      <c r="K79">
        <v>36</v>
      </c>
      <c r="L79">
        <v>17</v>
      </c>
      <c r="M79">
        <v>1</v>
      </c>
      <c r="N79">
        <v>1</v>
      </c>
      <c r="O79">
        <v>2</v>
      </c>
      <c r="P79">
        <v>19</v>
      </c>
      <c r="Q79">
        <v>7</v>
      </c>
      <c r="R79">
        <v>0</v>
      </c>
      <c r="S79">
        <v>131</v>
      </c>
      <c r="T79">
        <v>14.5</v>
      </c>
      <c r="U79">
        <v>251</v>
      </c>
      <c r="V79" s="19" t="s">
        <v>2456</v>
      </c>
      <c r="W79" s="19" t="s">
        <v>2457</v>
      </c>
      <c r="X79">
        <v>2</v>
      </c>
      <c r="Y79">
        <v>2</v>
      </c>
      <c r="Z79">
        <v>50</v>
      </c>
      <c r="AA79">
        <v>17</v>
      </c>
      <c r="AB79">
        <v>64</v>
      </c>
      <c r="AC79">
        <v>16</v>
      </c>
      <c r="AD79">
        <v>67</v>
      </c>
      <c r="AE79" s="19" t="s">
        <v>60</v>
      </c>
    </row>
    <row r="80" spans="1:31" x14ac:dyDescent="0.2">
      <c r="A80">
        <v>75</v>
      </c>
      <c r="B80" s="19" t="s">
        <v>544</v>
      </c>
      <c r="C80">
        <v>21</v>
      </c>
      <c r="D80" s="19" t="s">
        <v>361</v>
      </c>
      <c r="E80" s="19" t="s">
        <v>338</v>
      </c>
      <c r="F80">
        <v>57</v>
      </c>
      <c r="G80">
        <v>21</v>
      </c>
      <c r="H80">
        <v>24</v>
      </c>
      <c r="I80">
        <v>45</v>
      </c>
      <c r="J80">
        <v>8</v>
      </c>
      <c r="K80">
        <v>42</v>
      </c>
      <c r="L80">
        <v>11</v>
      </c>
      <c r="M80">
        <v>10</v>
      </c>
      <c r="N80">
        <v>0</v>
      </c>
      <c r="O80">
        <v>2</v>
      </c>
      <c r="P80">
        <v>17</v>
      </c>
      <c r="Q80">
        <v>7</v>
      </c>
      <c r="R80">
        <v>0</v>
      </c>
      <c r="S80">
        <v>117</v>
      </c>
      <c r="T80">
        <v>17.899999999999999</v>
      </c>
      <c r="U80">
        <v>255</v>
      </c>
      <c r="V80" s="19" t="s">
        <v>2189</v>
      </c>
      <c r="W80" s="19" t="s">
        <v>1875</v>
      </c>
      <c r="X80">
        <v>16</v>
      </c>
      <c r="Y80">
        <v>31</v>
      </c>
      <c r="Z80">
        <v>34</v>
      </c>
      <c r="AA80">
        <v>53</v>
      </c>
      <c r="AB80">
        <v>83</v>
      </c>
      <c r="AC80">
        <v>9</v>
      </c>
      <c r="AD80">
        <v>45</v>
      </c>
      <c r="AE80" s="19" t="s">
        <v>60</v>
      </c>
    </row>
    <row r="81" spans="1:31" x14ac:dyDescent="0.2">
      <c r="A81">
        <v>76</v>
      </c>
      <c r="B81" s="19" t="s">
        <v>375</v>
      </c>
      <c r="C81">
        <v>28</v>
      </c>
      <c r="D81" s="19" t="s">
        <v>336</v>
      </c>
      <c r="E81" s="19" t="s">
        <v>322</v>
      </c>
      <c r="F81">
        <v>46</v>
      </c>
      <c r="G81">
        <v>13</v>
      </c>
      <c r="H81">
        <v>32</v>
      </c>
      <c r="I81">
        <v>45</v>
      </c>
      <c r="J81">
        <v>7</v>
      </c>
      <c r="K81">
        <v>12</v>
      </c>
      <c r="L81">
        <v>11</v>
      </c>
      <c r="M81">
        <v>0</v>
      </c>
      <c r="N81">
        <v>2</v>
      </c>
      <c r="O81">
        <v>1</v>
      </c>
      <c r="P81">
        <v>21</v>
      </c>
      <c r="Q81">
        <v>9</v>
      </c>
      <c r="R81">
        <v>2</v>
      </c>
      <c r="S81">
        <v>107</v>
      </c>
      <c r="T81">
        <v>12.1</v>
      </c>
      <c r="U81">
        <v>221</v>
      </c>
      <c r="V81" s="19" t="s">
        <v>2458</v>
      </c>
      <c r="W81" s="19" t="s">
        <v>1474</v>
      </c>
      <c r="X81">
        <v>4</v>
      </c>
      <c r="Y81">
        <v>4</v>
      </c>
      <c r="Z81">
        <v>50</v>
      </c>
      <c r="AA81">
        <v>13</v>
      </c>
      <c r="AB81">
        <v>0</v>
      </c>
      <c r="AC81">
        <v>18</v>
      </c>
      <c r="AD81">
        <v>38</v>
      </c>
      <c r="AE81" s="19" t="s">
        <v>60</v>
      </c>
    </row>
    <row r="82" spans="1:31" x14ac:dyDescent="0.2">
      <c r="A82">
        <v>77</v>
      </c>
      <c r="B82" s="19" t="s">
        <v>406</v>
      </c>
      <c r="C82">
        <v>29</v>
      </c>
      <c r="D82" s="19" t="s">
        <v>333</v>
      </c>
      <c r="E82" s="19" t="s">
        <v>338</v>
      </c>
      <c r="F82">
        <v>52</v>
      </c>
      <c r="G82">
        <v>15</v>
      </c>
      <c r="H82">
        <v>29</v>
      </c>
      <c r="I82">
        <v>44</v>
      </c>
      <c r="J82">
        <v>15</v>
      </c>
      <c r="K82">
        <v>18</v>
      </c>
      <c r="L82">
        <v>9</v>
      </c>
      <c r="M82">
        <v>6</v>
      </c>
      <c r="N82">
        <v>0</v>
      </c>
      <c r="O82">
        <v>1</v>
      </c>
      <c r="P82">
        <v>16</v>
      </c>
      <c r="Q82">
        <v>13</v>
      </c>
      <c r="R82">
        <v>0</v>
      </c>
      <c r="S82">
        <v>125</v>
      </c>
      <c r="T82">
        <v>12</v>
      </c>
      <c r="U82">
        <v>204</v>
      </c>
      <c r="V82" s="19" t="s">
        <v>1916</v>
      </c>
      <c r="W82" s="19" t="s">
        <v>603</v>
      </c>
      <c r="X82">
        <v>428</v>
      </c>
      <c r="Y82">
        <v>295</v>
      </c>
      <c r="Z82">
        <v>59.2</v>
      </c>
      <c r="AA82">
        <v>17</v>
      </c>
      <c r="AB82">
        <v>57</v>
      </c>
      <c r="AC82">
        <v>4</v>
      </c>
      <c r="AD82">
        <v>40</v>
      </c>
      <c r="AE82" s="19" t="s">
        <v>60</v>
      </c>
    </row>
    <row r="83" spans="1:31" x14ac:dyDescent="0.2">
      <c r="A83">
        <v>78</v>
      </c>
      <c r="B83" s="19" t="s">
        <v>381</v>
      </c>
      <c r="C83">
        <v>39</v>
      </c>
      <c r="D83" s="19" t="s">
        <v>373</v>
      </c>
      <c r="E83" s="19" t="s">
        <v>322</v>
      </c>
      <c r="F83">
        <v>41</v>
      </c>
      <c r="G83">
        <v>13</v>
      </c>
      <c r="H83">
        <v>31</v>
      </c>
      <c r="I83">
        <v>44</v>
      </c>
      <c r="J83">
        <v>13</v>
      </c>
      <c r="K83">
        <v>32</v>
      </c>
      <c r="L83">
        <v>10</v>
      </c>
      <c r="M83">
        <v>3</v>
      </c>
      <c r="N83">
        <v>0</v>
      </c>
      <c r="O83">
        <v>1</v>
      </c>
      <c r="P83">
        <v>19</v>
      </c>
      <c r="Q83">
        <v>12</v>
      </c>
      <c r="R83">
        <v>0</v>
      </c>
      <c r="S83">
        <v>106</v>
      </c>
      <c r="T83">
        <v>12.3</v>
      </c>
      <c r="U83">
        <v>176</v>
      </c>
      <c r="V83" s="19" t="s">
        <v>2459</v>
      </c>
      <c r="W83" s="19" t="s">
        <v>1582</v>
      </c>
      <c r="X83">
        <v>97</v>
      </c>
      <c r="Y83">
        <v>118</v>
      </c>
      <c r="Z83">
        <v>45.1</v>
      </c>
      <c r="AA83">
        <v>14</v>
      </c>
      <c r="AB83">
        <v>16</v>
      </c>
      <c r="AC83">
        <v>22</v>
      </c>
      <c r="AD83">
        <v>66</v>
      </c>
      <c r="AE83" s="19" t="s">
        <v>60</v>
      </c>
    </row>
    <row r="84" spans="1:31" x14ac:dyDescent="0.2">
      <c r="A84">
        <v>79</v>
      </c>
      <c r="B84" s="19" t="s">
        <v>679</v>
      </c>
      <c r="C84">
        <v>35</v>
      </c>
      <c r="D84" s="19" t="s">
        <v>452</v>
      </c>
      <c r="E84" s="19" t="s">
        <v>322</v>
      </c>
      <c r="F84">
        <v>57</v>
      </c>
      <c r="G84">
        <v>28</v>
      </c>
      <c r="H84">
        <v>16</v>
      </c>
      <c r="I84">
        <v>44</v>
      </c>
      <c r="J84">
        <v>-16</v>
      </c>
      <c r="K84">
        <v>32</v>
      </c>
      <c r="L84">
        <v>19</v>
      </c>
      <c r="M84">
        <v>9</v>
      </c>
      <c r="N84">
        <v>0</v>
      </c>
      <c r="O84">
        <v>9</v>
      </c>
      <c r="P84">
        <v>10</v>
      </c>
      <c r="Q84">
        <v>6</v>
      </c>
      <c r="R84">
        <v>0</v>
      </c>
      <c r="S84">
        <v>140</v>
      </c>
      <c r="T84">
        <v>20</v>
      </c>
      <c r="U84">
        <v>272</v>
      </c>
      <c r="V84" s="19" t="s">
        <v>2460</v>
      </c>
      <c r="W84" s="19" t="s">
        <v>2461</v>
      </c>
      <c r="X84">
        <v>197</v>
      </c>
      <c r="Y84">
        <v>157</v>
      </c>
      <c r="Z84">
        <v>55.6</v>
      </c>
      <c r="AA84">
        <v>21</v>
      </c>
      <c r="AB84">
        <v>65</v>
      </c>
      <c r="AC84">
        <v>21</v>
      </c>
      <c r="AD84">
        <v>46</v>
      </c>
      <c r="AE84" s="19" t="s">
        <v>60</v>
      </c>
    </row>
    <row r="85" spans="1:31" x14ac:dyDescent="0.2">
      <c r="A85">
        <v>80</v>
      </c>
      <c r="B85" s="19" t="s">
        <v>508</v>
      </c>
      <c r="C85">
        <v>24</v>
      </c>
      <c r="D85" s="19" t="s">
        <v>412</v>
      </c>
      <c r="E85" s="19" t="s">
        <v>322</v>
      </c>
      <c r="F85">
        <v>57</v>
      </c>
      <c r="G85">
        <v>18</v>
      </c>
      <c r="H85">
        <v>25</v>
      </c>
      <c r="I85">
        <v>43</v>
      </c>
      <c r="J85">
        <v>-13</v>
      </c>
      <c r="K85">
        <v>40</v>
      </c>
      <c r="L85">
        <v>8</v>
      </c>
      <c r="M85">
        <v>10</v>
      </c>
      <c r="N85">
        <v>0</v>
      </c>
      <c r="O85">
        <v>2</v>
      </c>
      <c r="P85">
        <v>11</v>
      </c>
      <c r="Q85">
        <v>14</v>
      </c>
      <c r="R85">
        <v>0</v>
      </c>
      <c r="S85">
        <v>132</v>
      </c>
      <c r="T85">
        <v>13.6</v>
      </c>
      <c r="U85">
        <v>249</v>
      </c>
      <c r="V85" s="19" t="s">
        <v>2462</v>
      </c>
      <c r="W85" s="19" t="s">
        <v>1178</v>
      </c>
      <c r="X85">
        <v>331</v>
      </c>
      <c r="Y85">
        <v>293</v>
      </c>
      <c r="Z85">
        <v>53</v>
      </c>
      <c r="AA85">
        <v>18</v>
      </c>
      <c r="AB85">
        <v>148</v>
      </c>
      <c r="AC85">
        <v>13</v>
      </c>
      <c r="AD85">
        <v>38</v>
      </c>
      <c r="AE85" s="19" t="s">
        <v>60</v>
      </c>
    </row>
    <row r="86" spans="1:31" x14ac:dyDescent="0.2">
      <c r="A86">
        <v>81</v>
      </c>
      <c r="B86" s="19" t="s">
        <v>473</v>
      </c>
      <c r="C86">
        <v>29</v>
      </c>
      <c r="D86" s="19" t="s">
        <v>393</v>
      </c>
      <c r="E86" s="19" t="s">
        <v>338</v>
      </c>
      <c r="F86">
        <v>57</v>
      </c>
      <c r="G86">
        <v>14</v>
      </c>
      <c r="H86">
        <v>29</v>
      </c>
      <c r="I86">
        <v>43</v>
      </c>
      <c r="J86">
        <v>3</v>
      </c>
      <c r="K86">
        <v>10</v>
      </c>
      <c r="L86">
        <v>9</v>
      </c>
      <c r="M86">
        <v>5</v>
      </c>
      <c r="N86">
        <v>0</v>
      </c>
      <c r="O86">
        <v>3</v>
      </c>
      <c r="P86">
        <v>17</v>
      </c>
      <c r="Q86">
        <v>12</v>
      </c>
      <c r="R86">
        <v>0</v>
      </c>
      <c r="S86">
        <v>139</v>
      </c>
      <c r="T86">
        <v>10.1</v>
      </c>
      <c r="U86">
        <v>304</v>
      </c>
      <c r="V86" s="19" t="s">
        <v>2463</v>
      </c>
      <c r="W86" s="19" t="s">
        <v>2464</v>
      </c>
      <c r="X86">
        <v>11</v>
      </c>
      <c r="Y86">
        <v>19</v>
      </c>
      <c r="Z86">
        <v>36.700000000000003</v>
      </c>
      <c r="AA86">
        <v>17</v>
      </c>
      <c r="AB86">
        <v>10</v>
      </c>
      <c r="AC86">
        <v>18</v>
      </c>
      <c r="AD86">
        <v>59</v>
      </c>
      <c r="AE86" s="19" t="s">
        <v>60</v>
      </c>
    </row>
    <row r="87" spans="1:31" x14ac:dyDescent="0.2">
      <c r="A87">
        <v>82</v>
      </c>
      <c r="B87" s="19" t="s">
        <v>413</v>
      </c>
      <c r="C87">
        <v>23</v>
      </c>
      <c r="D87" s="19" t="s">
        <v>393</v>
      </c>
      <c r="E87" s="19" t="s">
        <v>322</v>
      </c>
      <c r="F87">
        <v>49</v>
      </c>
      <c r="G87">
        <v>25</v>
      </c>
      <c r="H87">
        <v>18</v>
      </c>
      <c r="I87">
        <v>43</v>
      </c>
      <c r="J87">
        <v>10</v>
      </c>
      <c r="K87">
        <v>6</v>
      </c>
      <c r="L87">
        <v>18</v>
      </c>
      <c r="M87">
        <v>4</v>
      </c>
      <c r="N87">
        <v>3</v>
      </c>
      <c r="O87">
        <v>6</v>
      </c>
      <c r="P87">
        <v>11</v>
      </c>
      <c r="Q87">
        <v>7</v>
      </c>
      <c r="R87">
        <v>0</v>
      </c>
      <c r="S87">
        <v>155</v>
      </c>
      <c r="T87">
        <v>16.100000000000001</v>
      </c>
      <c r="U87">
        <v>250</v>
      </c>
      <c r="V87" s="19" t="s">
        <v>2465</v>
      </c>
      <c r="W87" s="19" t="s">
        <v>1934</v>
      </c>
      <c r="X87">
        <v>27</v>
      </c>
      <c r="Y87">
        <v>38</v>
      </c>
      <c r="Z87">
        <v>41.5</v>
      </c>
      <c r="AA87">
        <v>22</v>
      </c>
      <c r="AB87">
        <v>70</v>
      </c>
      <c r="AC87">
        <v>25</v>
      </c>
      <c r="AD87">
        <v>41</v>
      </c>
      <c r="AE87" s="19" t="s">
        <v>60</v>
      </c>
    </row>
    <row r="88" spans="1:31" x14ac:dyDescent="0.2">
      <c r="A88">
        <v>83</v>
      </c>
      <c r="B88" s="19" t="s">
        <v>425</v>
      </c>
      <c r="C88">
        <v>30</v>
      </c>
      <c r="D88" s="19" t="s">
        <v>342</v>
      </c>
      <c r="E88" s="19" t="s">
        <v>322</v>
      </c>
      <c r="F88">
        <v>58</v>
      </c>
      <c r="G88">
        <v>17</v>
      </c>
      <c r="H88">
        <v>25</v>
      </c>
      <c r="I88">
        <v>42</v>
      </c>
      <c r="J88">
        <v>13</v>
      </c>
      <c r="K88">
        <v>10</v>
      </c>
      <c r="L88">
        <v>16</v>
      </c>
      <c r="M88">
        <v>1</v>
      </c>
      <c r="N88">
        <v>0</v>
      </c>
      <c r="O88">
        <v>2</v>
      </c>
      <c r="P88">
        <v>24</v>
      </c>
      <c r="Q88">
        <v>1</v>
      </c>
      <c r="R88">
        <v>0</v>
      </c>
      <c r="S88">
        <v>89</v>
      </c>
      <c r="T88">
        <v>19.100000000000001</v>
      </c>
      <c r="U88">
        <v>165</v>
      </c>
      <c r="V88" s="19" t="s">
        <v>2466</v>
      </c>
      <c r="W88" s="19" t="s">
        <v>2024</v>
      </c>
      <c r="X88">
        <v>9</v>
      </c>
      <c r="Y88">
        <v>29</v>
      </c>
      <c r="Z88">
        <v>23.7</v>
      </c>
      <c r="AA88">
        <v>32</v>
      </c>
      <c r="AB88">
        <v>91</v>
      </c>
      <c r="AC88">
        <v>13</v>
      </c>
      <c r="AD88">
        <v>65</v>
      </c>
      <c r="AE88" s="19" t="s">
        <v>60</v>
      </c>
    </row>
    <row r="89" spans="1:31" x14ac:dyDescent="0.2">
      <c r="A89">
        <v>84</v>
      </c>
      <c r="B89" s="19" t="s">
        <v>504</v>
      </c>
      <c r="C89">
        <v>29</v>
      </c>
      <c r="D89" s="19" t="s">
        <v>370</v>
      </c>
      <c r="E89" s="19" t="s">
        <v>322</v>
      </c>
      <c r="F89">
        <v>57</v>
      </c>
      <c r="G89">
        <v>19</v>
      </c>
      <c r="H89">
        <v>23</v>
      </c>
      <c r="I89">
        <v>42</v>
      </c>
      <c r="J89">
        <v>-11</v>
      </c>
      <c r="K89">
        <v>72</v>
      </c>
      <c r="L89">
        <v>17</v>
      </c>
      <c r="M89">
        <v>2</v>
      </c>
      <c r="N89">
        <v>0</v>
      </c>
      <c r="O89">
        <v>4</v>
      </c>
      <c r="P89">
        <v>16</v>
      </c>
      <c r="Q89">
        <v>7</v>
      </c>
      <c r="R89">
        <v>0</v>
      </c>
      <c r="S89">
        <v>147</v>
      </c>
      <c r="T89">
        <v>12.9</v>
      </c>
      <c r="U89">
        <v>312</v>
      </c>
      <c r="V89" s="19" t="s">
        <v>2192</v>
      </c>
      <c r="W89" s="19" t="s">
        <v>2467</v>
      </c>
      <c r="X89">
        <v>387</v>
      </c>
      <c r="Y89">
        <v>433</v>
      </c>
      <c r="Z89">
        <v>47.2</v>
      </c>
      <c r="AA89">
        <v>24</v>
      </c>
      <c r="AB89">
        <v>105</v>
      </c>
      <c r="AC89">
        <v>19</v>
      </c>
      <c r="AD89">
        <v>54</v>
      </c>
      <c r="AE89" s="19" t="s">
        <v>60</v>
      </c>
    </row>
    <row r="90" spans="1:31" x14ac:dyDescent="0.2">
      <c r="A90">
        <v>85</v>
      </c>
      <c r="B90" s="19" t="s">
        <v>404</v>
      </c>
      <c r="C90">
        <v>30</v>
      </c>
      <c r="D90" s="19" t="s">
        <v>329</v>
      </c>
      <c r="E90" s="19" t="s">
        <v>338</v>
      </c>
      <c r="F90">
        <v>54</v>
      </c>
      <c r="G90">
        <v>25</v>
      </c>
      <c r="H90">
        <v>17</v>
      </c>
      <c r="I90">
        <v>42</v>
      </c>
      <c r="J90">
        <v>-17</v>
      </c>
      <c r="K90">
        <v>34</v>
      </c>
      <c r="L90">
        <v>16</v>
      </c>
      <c r="M90">
        <v>9</v>
      </c>
      <c r="N90">
        <v>0</v>
      </c>
      <c r="O90">
        <v>3</v>
      </c>
      <c r="P90">
        <v>9</v>
      </c>
      <c r="Q90">
        <v>8</v>
      </c>
      <c r="R90">
        <v>0</v>
      </c>
      <c r="S90">
        <v>119</v>
      </c>
      <c r="T90">
        <v>21</v>
      </c>
      <c r="U90">
        <v>219</v>
      </c>
      <c r="V90" s="19" t="s">
        <v>2190</v>
      </c>
      <c r="W90" s="19" t="s">
        <v>1852</v>
      </c>
      <c r="X90">
        <v>44</v>
      </c>
      <c r="Y90">
        <v>47</v>
      </c>
      <c r="Z90">
        <v>48.4</v>
      </c>
      <c r="AA90">
        <v>16</v>
      </c>
      <c r="AB90">
        <v>40</v>
      </c>
      <c r="AC90">
        <v>12</v>
      </c>
      <c r="AD90">
        <v>48</v>
      </c>
      <c r="AE90" s="19" t="s">
        <v>60</v>
      </c>
    </row>
    <row r="91" spans="1:31" x14ac:dyDescent="0.2">
      <c r="A91">
        <v>86</v>
      </c>
      <c r="B91" s="19" t="s">
        <v>394</v>
      </c>
      <c r="C91">
        <v>27</v>
      </c>
      <c r="D91" s="19" t="s">
        <v>395</v>
      </c>
      <c r="E91" s="19" t="s">
        <v>58</v>
      </c>
      <c r="F91">
        <v>58</v>
      </c>
      <c r="G91">
        <v>13</v>
      </c>
      <c r="H91">
        <v>29</v>
      </c>
      <c r="I91">
        <v>42</v>
      </c>
      <c r="J91">
        <v>-19</v>
      </c>
      <c r="K91">
        <v>10</v>
      </c>
      <c r="L91">
        <v>8</v>
      </c>
      <c r="M91">
        <v>4</v>
      </c>
      <c r="N91">
        <v>1</v>
      </c>
      <c r="O91">
        <v>3</v>
      </c>
      <c r="P91">
        <v>20</v>
      </c>
      <c r="Q91">
        <v>9</v>
      </c>
      <c r="R91">
        <v>0</v>
      </c>
      <c r="S91">
        <v>127</v>
      </c>
      <c r="T91">
        <v>10.199999999999999</v>
      </c>
      <c r="U91">
        <v>256</v>
      </c>
      <c r="V91" s="19" t="s">
        <v>2468</v>
      </c>
      <c r="W91" s="19" t="s">
        <v>1834</v>
      </c>
      <c r="X91">
        <v>3</v>
      </c>
      <c r="Y91">
        <v>6</v>
      </c>
      <c r="Z91">
        <v>33.299999999999997</v>
      </c>
      <c r="AA91">
        <v>20</v>
      </c>
      <c r="AB91">
        <v>55</v>
      </c>
      <c r="AC91">
        <v>19</v>
      </c>
      <c r="AD91">
        <v>54</v>
      </c>
      <c r="AE91" s="19" t="s">
        <v>60</v>
      </c>
    </row>
    <row r="92" spans="1:31" x14ac:dyDescent="0.2">
      <c r="A92">
        <v>87</v>
      </c>
      <c r="B92" s="19" t="s">
        <v>470</v>
      </c>
      <c r="C92">
        <v>33</v>
      </c>
      <c r="D92" s="19" t="s">
        <v>377</v>
      </c>
      <c r="E92" s="19" t="s">
        <v>322</v>
      </c>
      <c r="F92">
        <v>56</v>
      </c>
      <c r="G92">
        <v>15</v>
      </c>
      <c r="H92">
        <v>27</v>
      </c>
      <c r="I92">
        <v>42</v>
      </c>
      <c r="J92">
        <v>4</v>
      </c>
      <c r="K92">
        <v>8</v>
      </c>
      <c r="L92">
        <v>11</v>
      </c>
      <c r="M92">
        <v>4</v>
      </c>
      <c r="N92">
        <v>0</v>
      </c>
      <c r="O92">
        <v>1</v>
      </c>
      <c r="P92">
        <v>24</v>
      </c>
      <c r="Q92">
        <v>3</v>
      </c>
      <c r="R92">
        <v>0</v>
      </c>
      <c r="S92">
        <v>95</v>
      </c>
      <c r="T92">
        <v>15.8</v>
      </c>
      <c r="U92">
        <v>171</v>
      </c>
      <c r="V92" s="19" t="s">
        <v>2191</v>
      </c>
      <c r="W92" s="19" t="s">
        <v>1883</v>
      </c>
      <c r="X92">
        <v>419</v>
      </c>
      <c r="Y92">
        <v>410</v>
      </c>
      <c r="Z92">
        <v>50.5</v>
      </c>
      <c r="AA92">
        <v>35</v>
      </c>
      <c r="AB92">
        <v>76</v>
      </c>
      <c r="AC92">
        <v>24</v>
      </c>
      <c r="AD92">
        <v>33</v>
      </c>
      <c r="AE92" s="19" t="s">
        <v>60</v>
      </c>
    </row>
    <row r="93" spans="1:31" x14ac:dyDescent="0.2">
      <c r="A93">
        <v>88</v>
      </c>
      <c r="B93" s="19" t="s">
        <v>474</v>
      </c>
      <c r="C93">
        <v>23</v>
      </c>
      <c r="D93" s="19" t="s">
        <v>452</v>
      </c>
      <c r="E93" s="19" t="s">
        <v>334</v>
      </c>
      <c r="F93">
        <v>56</v>
      </c>
      <c r="G93">
        <v>8</v>
      </c>
      <c r="H93">
        <v>34</v>
      </c>
      <c r="I93">
        <v>42</v>
      </c>
      <c r="J93">
        <v>8</v>
      </c>
      <c r="K93">
        <v>12</v>
      </c>
      <c r="L93">
        <v>7</v>
      </c>
      <c r="M93">
        <v>1</v>
      </c>
      <c r="N93">
        <v>0</v>
      </c>
      <c r="O93">
        <v>0</v>
      </c>
      <c r="P93">
        <v>23</v>
      </c>
      <c r="Q93">
        <v>11</v>
      </c>
      <c r="R93">
        <v>0</v>
      </c>
      <c r="S93">
        <v>122</v>
      </c>
      <c r="T93">
        <v>6.6</v>
      </c>
      <c r="U93">
        <v>233</v>
      </c>
      <c r="V93" s="19" t="s">
        <v>2469</v>
      </c>
      <c r="W93" s="19" t="s">
        <v>2470</v>
      </c>
      <c r="X93">
        <v>0</v>
      </c>
      <c r="Y93">
        <v>1</v>
      </c>
      <c r="Z93">
        <v>0</v>
      </c>
      <c r="AA93">
        <v>15</v>
      </c>
      <c r="AB93">
        <v>10</v>
      </c>
      <c r="AC93">
        <v>19</v>
      </c>
      <c r="AD93">
        <v>44</v>
      </c>
      <c r="AE93" s="19" t="s">
        <v>60</v>
      </c>
    </row>
    <row r="94" spans="1:31" x14ac:dyDescent="0.2">
      <c r="A94">
        <v>89</v>
      </c>
      <c r="B94" s="19" t="s">
        <v>399</v>
      </c>
      <c r="C94">
        <v>27</v>
      </c>
      <c r="D94" s="19" t="s">
        <v>395</v>
      </c>
      <c r="E94" s="19" t="s">
        <v>322</v>
      </c>
      <c r="F94">
        <v>58</v>
      </c>
      <c r="G94">
        <v>19</v>
      </c>
      <c r="H94">
        <v>23</v>
      </c>
      <c r="I94">
        <v>42</v>
      </c>
      <c r="J94">
        <v>-9</v>
      </c>
      <c r="K94">
        <v>25</v>
      </c>
      <c r="L94">
        <v>13</v>
      </c>
      <c r="M94">
        <v>6</v>
      </c>
      <c r="N94">
        <v>0</v>
      </c>
      <c r="O94">
        <v>3</v>
      </c>
      <c r="P94">
        <v>15</v>
      </c>
      <c r="Q94">
        <v>8</v>
      </c>
      <c r="R94">
        <v>0</v>
      </c>
      <c r="S94">
        <v>153</v>
      </c>
      <c r="T94">
        <v>12.4</v>
      </c>
      <c r="U94">
        <v>295</v>
      </c>
      <c r="V94" s="19" t="s">
        <v>2471</v>
      </c>
      <c r="W94" s="19" t="s">
        <v>1628</v>
      </c>
      <c r="X94">
        <v>687</v>
      </c>
      <c r="Y94">
        <v>565</v>
      </c>
      <c r="Z94">
        <v>54.9</v>
      </c>
      <c r="AA94">
        <v>48</v>
      </c>
      <c r="AB94">
        <v>43</v>
      </c>
      <c r="AC94">
        <v>21</v>
      </c>
      <c r="AD94">
        <v>49</v>
      </c>
      <c r="AE94" s="19" t="s">
        <v>60</v>
      </c>
    </row>
    <row r="95" spans="1:31" x14ac:dyDescent="0.2">
      <c r="A95">
        <v>90</v>
      </c>
      <c r="B95" s="19" t="s">
        <v>407</v>
      </c>
      <c r="C95">
        <v>30</v>
      </c>
      <c r="D95" s="19" t="s">
        <v>321</v>
      </c>
      <c r="E95" s="19" t="s">
        <v>338</v>
      </c>
      <c r="F95">
        <v>56</v>
      </c>
      <c r="G95">
        <v>19</v>
      </c>
      <c r="H95">
        <v>23</v>
      </c>
      <c r="I95">
        <v>42</v>
      </c>
      <c r="J95">
        <v>33</v>
      </c>
      <c r="K95">
        <v>12</v>
      </c>
      <c r="L95">
        <v>18</v>
      </c>
      <c r="M95">
        <v>1</v>
      </c>
      <c r="N95">
        <v>0</v>
      </c>
      <c r="O95">
        <v>0</v>
      </c>
      <c r="P95">
        <v>22</v>
      </c>
      <c r="Q95">
        <v>1</v>
      </c>
      <c r="R95">
        <v>0</v>
      </c>
      <c r="S95">
        <v>133</v>
      </c>
      <c r="T95">
        <v>14.3</v>
      </c>
      <c r="U95">
        <v>250</v>
      </c>
      <c r="V95" s="19" t="s">
        <v>2472</v>
      </c>
      <c r="W95" s="19" t="s">
        <v>2473</v>
      </c>
      <c r="X95">
        <v>3</v>
      </c>
      <c r="Y95">
        <v>14</v>
      </c>
      <c r="Z95">
        <v>17.600000000000001</v>
      </c>
      <c r="AA95">
        <v>27</v>
      </c>
      <c r="AB95">
        <v>42</v>
      </c>
      <c r="AC95">
        <v>11</v>
      </c>
      <c r="AD95">
        <v>37</v>
      </c>
      <c r="AE95" s="19" t="s">
        <v>60</v>
      </c>
    </row>
    <row r="96" spans="1:31" x14ac:dyDescent="0.2">
      <c r="A96">
        <v>91</v>
      </c>
      <c r="B96" s="19" t="s">
        <v>536</v>
      </c>
      <c r="C96">
        <v>31</v>
      </c>
      <c r="D96" s="19" t="s">
        <v>373</v>
      </c>
      <c r="E96" s="19" t="s">
        <v>334</v>
      </c>
      <c r="F96">
        <v>56</v>
      </c>
      <c r="G96">
        <v>20</v>
      </c>
      <c r="H96">
        <v>22</v>
      </c>
      <c r="I96">
        <v>42</v>
      </c>
      <c r="J96">
        <v>14</v>
      </c>
      <c r="K96">
        <v>21</v>
      </c>
      <c r="L96">
        <v>16</v>
      </c>
      <c r="M96">
        <v>4</v>
      </c>
      <c r="N96">
        <v>0</v>
      </c>
      <c r="O96">
        <v>0</v>
      </c>
      <c r="P96">
        <v>17</v>
      </c>
      <c r="Q96">
        <v>5</v>
      </c>
      <c r="R96">
        <v>0</v>
      </c>
      <c r="S96">
        <v>104</v>
      </c>
      <c r="T96">
        <v>19.2</v>
      </c>
      <c r="U96">
        <v>200</v>
      </c>
      <c r="V96" s="19" t="s">
        <v>2474</v>
      </c>
      <c r="W96" s="19" t="s">
        <v>1837</v>
      </c>
      <c r="X96">
        <v>6</v>
      </c>
      <c r="Y96">
        <v>20</v>
      </c>
      <c r="Z96">
        <v>23.1</v>
      </c>
      <c r="AA96">
        <v>26</v>
      </c>
      <c r="AB96">
        <v>31</v>
      </c>
      <c r="AC96">
        <v>12</v>
      </c>
      <c r="AD96">
        <v>56</v>
      </c>
      <c r="AE96" s="19" t="s">
        <v>60</v>
      </c>
    </row>
    <row r="97" spans="1:31" x14ac:dyDescent="0.2">
      <c r="A97">
        <v>92</v>
      </c>
      <c r="B97" s="19" t="s">
        <v>417</v>
      </c>
      <c r="C97">
        <v>30</v>
      </c>
      <c r="D97" s="19" t="s">
        <v>344</v>
      </c>
      <c r="E97" s="19" t="s">
        <v>347</v>
      </c>
      <c r="F97">
        <v>56</v>
      </c>
      <c r="G97">
        <v>10</v>
      </c>
      <c r="H97">
        <v>32</v>
      </c>
      <c r="I97">
        <v>42</v>
      </c>
      <c r="J97">
        <v>10</v>
      </c>
      <c r="K97">
        <v>24</v>
      </c>
      <c r="L97">
        <v>8</v>
      </c>
      <c r="M97">
        <v>2</v>
      </c>
      <c r="N97">
        <v>0</v>
      </c>
      <c r="O97">
        <v>1</v>
      </c>
      <c r="P97">
        <v>22</v>
      </c>
      <c r="Q97">
        <v>10</v>
      </c>
      <c r="R97">
        <v>0</v>
      </c>
      <c r="S97">
        <v>104</v>
      </c>
      <c r="T97">
        <v>9.6</v>
      </c>
      <c r="U97">
        <v>239</v>
      </c>
      <c r="V97" s="19" t="s">
        <v>2193</v>
      </c>
      <c r="W97" s="19" t="s">
        <v>2194</v>
      </c>
      <c r="X97">
        <v>0</v>
      </c>
      <c r="Y97">
        <v>0</v>
      </c>
      <c r="AA97">
        <v>94</v>
      </c>
      <c r="AB97">
        <v>25</v>
      </c>
      <c r="AC97">
        <v>14</v>
      </c>
      <c r="AD97">
        <v>70</v>
      </c>
      <c r="AE97" s="19" t="s">
        <v>60</v>
      </c>
    </row>
    <row r="98" spans="1:31" x14ac:dyDescent="0.2">
      <c r="A98">
        <v>93</v>
      </c>
      <c r="B98" s="19" t="s">
        <v>456</v>
      </c>
      <c r="C98">
        <v>30</v>
      </c>
      <c r="D98" s="19" t="s">
        <v>370</v>
      </c>
      <c r="E98" s="19" t="s">
        <v>322</v>
      </c>
      <c r="F98">
        <v>56</v>
      </c>
      <c r="G98">
        <v>16</v>
      </c>
      <c r="H98">
        <v>26</v>
      </c>
      <c r="I98">
        <v>42</v>
      </c>
      <c r="J98">
        <v>-7</v>
      </c>
      <c r="K98">
        <v>30</v>
      </c>
      <c r="L98">
        <v>13</v>
      </c>
      <c r="M98">
        <v>3</v>
      </c>
      <c r="N98">
        <v>0</v>
      </c>
      <c r="O98">
        <v>2</v>
      </c>
      <c r="P98">
        <v>21</v>
      </c>
      <c r="Q98">
        <v>5</v>
      </c>
      <c r="R98">
        <v>0</v>
      </c>
      <c r="S98">
        <v>135</v>
      </c>
      <c r="T98">
        <v>11.9</v>
      </c>
      <c r="U98">
        <v>276</v>
      </c>
      <c r="V98" s="19" t="s">
        <v>2475</v>
      </c>
      <c r="W98" s="19" t="s">
        <v>1825</v>
      </c>
      <c r="X98">
        <v>24</v>
      </c>
      <c r="Y98">
        <v>40</v>
      </c>
      <c r="Z98">
        <v>37.5</v>
      </c>
      <c r="AA98">
        <v>17</v>
      </c>
      <c r="AB98">
        <v>51</v>
      </c>
      <c r="AC98">
        <v>22</v>
      </c>
      <c r="AD98">
        <v>46</v>
      </c>
      <c r="AE98" s="19" t="s">
        <v>60</v>
      </c>
    </row>
    <row r="99" spans="1:31" x14ac:dyDescent="0.2">
      <c r="A99">
        <v>94</v>
      </c>
      <c r="B99" s="19" t="s">
        <v>585</v>
      </c>
      <c r="C99">
        <v>26</v>
      </c>
      <c r="D99" s="19" t="s">
        <v>423</v>
      </c>
      <c r="E99" s="19" t="s">
        <v>322</v>
      </c>
      <c r="F99">
        <v>58</v>
      </c>
      <c r="G99">
        <v>11</v>
      </c>
      <c r="H99">
        <v>30</v>
      </c>
      <c r="I99">
        <v>41</v>
      </c>
      <c r="J99">
        <v>19</v>
      </c>
      <c r="K99">
        <v>8</v>
      </c>
      <c r="L99">
        <v>7</v>
      </c>
      <c r="M99">
        <v>0</v>
      </c>
      <c r="N99">
        <v>4</v>
      </c>
      <c r="O99">
        <v>1</v>
      </c>
      <c r="P99">
        <v>24</v>
      </c>
      <c r="Q99">
        <v>5</v>
      </c>
      <c r="R99">
        <v>1</v>
      </c>
      <c r="S99">
        <v>71</v>
      </c>
      <c r="T99">
        <v>15.5</v>
      </c>
      <c r="U99">
        <v>140</v>
      </c>
      <c r="V99" s="19" t="s">
        <v>2476</v>
      </c>
      <c r="W99" s="19" t="s">
        <v>2477</v>
      </c>
      <c r="X99">
        <v>440</v>
      </c>
      <c r="Y99">
        <v>501</v>
      </c>
      <c r="Z99">
        <v>46.8</v>
      </c>
      <c r="AA99">
        <v>24</v>
      </c>
      <c r="AB99">
        <v>14</v>
      </c>
      <c r="AC99">
        <v>26</v>
      </c>
      <c r="AD99">
        <v>67</v>
      </c>
      <c r="AE99" s="19" t="s">
        <v>60</v>
      </c>
    </row>
    <row r="100" spans="1:31" x14ac:dyDescent="0.2">
      <c r="A100">
        <v>95</v>
      </c>
      <c r="B100" s="19" t="s">
        <v>526</v>
      </c>
      <c r="C100">
        <v>29</v>
      </c>
      <c r="D100" s="19" t="s">
        <v>355</v>
      </c>
      <c r="E100" s="19" t="s">
        <v>322</v>
      </c>
      <c r="F100">
        <v>52</v>
      </c>
      <c r="G100">
        <v>15</v>
      </c>
      <c r="H100">
        <v>25</v>
      </c>
      <c r="I100">
        <v>40</v>
      </c>
      <c r="J100">
        <v>14</v>
      </c>
      <c r="K100">
        <v>22</v>
      </c>
      <c r="L100">
        <v>10</v>
      </c>
      <c r="M100">
        <v>5</v>
      </c>
      <c r="N100">
        <v>0</v>
      </c>
      <c r="O100">
        <v>2</v>
      </c>
      <c r="P100">
        <v>17</v>
      </c>
      <c r="Q100">
        <v>8</v>
      </c>
      <c r="R100">
        <v>0</v>
      </c>
      <c r="S100">
        <v>145</v>
      </c>
      <c r="T100">
        <v>10.3</v>
      </c>
      <c r="U100">
        <v>248</v>
      </c>
      <c r="V100" s="19" t="s">
        <v>2195</v>
      </c>
      <c r="W100" s="19" t="s">
        <v>1654</v>
      </c>
      <c r="X100">
        <v>528</v>
      </c>
      <c r="Y100">
        <v>549</v>
      </c>
      <c r="Z100">
        <v>49</v>
      </c>
      <c r="AA100">
        <v>21</v>
      </c>
      <c r="AB100">
        <v>78</v>
      </c>
      <c r="AC100">
        <v>12</v>
      </c>
      <c r="AD100">
        <v>36</v>
      </c>
      <c r="AE100" s="19" t="s">
        <v>60</v>
      </c>
    </row>
    <row r="101" spans="1:31" x14ac:dyDescent="0.2">
      <c r="A101">
        <v>96</v>
      </c>
      <c r="B101" s="19" t="s">
        <v>475</v>
      </c>
      <c r="C101">
        <v>29</v>
      </c>
      <c r="D101" s="19" t="s">
        <v>415</v>
      </c>
      <c r="E101" s="19" t="s">
        <v>338</v>
      </c>
      <c r="F101">
        <v>56</v>
      </c>
      <c r="G101">
        <v>18</v>
      </c>
      <c r="H101">
        <v>22</v>
      </c>
      <c r="I101">
        <v>40</v>
      </c>
      <c r="J101">
        <v>-11</v>
      </c>
      <c r="K101">
        <v>34</v>
      </c>
      <c r="L101">
        <v>14</v>
      </c>
      <c r="M101">
        <v>4</v>
      </c>
      <c r="N101">
        <v>0</v>
      </c>
      <c r="O101">
        <v>2</v>
      </c>
      <c r="P101">
        <v>9</v>
      </c>
      <c r="Q101">
        <v>13</v>
      </c>
      <c r="R101">
        <v>0</v>
      </c>
      <c r="S101">
        <v>147</v>
      </c>
      <c r="T101">
        <v>12.2</v>
      </c>
      <c r="U101">
        <v>320</v>
      </c>
      <c r="V101" s="19" t="s">
        <v>2478</v>
      </c>
      <c r="W101" s="19" t="s">
        <v>1485</v>
      </c>
      <c r="X101">
        <v>7</v>
      </c>
      <c r="Y101">
        <v>18</v>
      </c>
      <c r="Z101">
        <v>28</v>
      </c>
      <c r="AA101">
        <v>24</v>
      </c>
      <c r="AB101">
        <v>39</v>
      </c>
      <c r="AC101">
        <v>19</v>
      </c>
      <c r="AD101">
        <v>75</v>
      </c>
      <c r="AE101" s="19" t="s">
        <v>60</v>
      </c>
    </row>
    <row r="102" spans="1:31" x14ac:dyDescent="0.2">
      <c r="A102">
        <v>97</v>
      </c>
      <c r="B102" s="19" t="s">
        <v>379</v>
      </c>
      <c r="C102">
        <v>30</v>
      </c>
      <c r="D102" s="19" t="s">
        <v>380</v>
      </c>
      <c r="E102" s="19" t="s">
        <v>322</v>
      </c>
      <c r="F102">
        <v>44</v>
      </c>
      <c r="G102">
        <v>24</v>
      </c>
      <c r="H102">
        <v>16</v>
      </c>
      <c r="I102">
        <v>40</v>
      </c>
      <c r="J102">
        <v>8</v>
      </c>
      <c r="K102">
        <v>36</v>
      </c>
      <c r="L102">
        <v>17</v>
      </c>
      <c r="M102">
        <v>6</v>
      </c>
      <c r="N102">
        <v>1</v>
      </c>
      <c r="O102">
        <v>5</v>
      </c>
      <c r="P102">
        <v>9</v>
      </c>
      <c r="Q102">
        <v>7</v>
      </c>
      <c r="R102">
        <v>0</v>
      </c>
      <c r="S102">
        <v>139</v>
      </c>
      <c r="T102">
        <v>17.3</v>
      </c>
      <c r="U102">
        <v>248</v>
      </c>
      <c r="V102" s="19" t="s">
        <v>2479</v>
      </c>
      <c r="W102" s="19" t="s">
        <v>2480</v>
      </c>
      <c r="X102">
        <v>444</v>
      </c>
      <c r="Y102">
        <v>344</v>
      </c>
      <c r="Z102">
        <v>56.3</v>
      </c>
      <c r="AA102">
        <v>24</v>
      </c>
      <c r="AB102">
        <v>36</v>
      </c>
      <c r="AC102">
        <v>10</v>
      </c>
      <c r="AD102">
        <v>50</v>
      </c>
      <c r="AE102" s="19" t="s">
        <v>60</v>
      </c>
    </row>
    <row r="103" spans="1:31" x14ac:dyDescent="0.2">
      <c r="A103">
        <v>98</v>
      </c>
      <c r="B103" s="19" t="s">
        <v>442</v>
      </c>
      <c r="C103">
        <v>24</v>
      </c>
      <c r="D103" s="19" t="s">
        <v>370</v>
      </c>
      <c r="E103" s="19" t="s">
        <v>322</v>
      </c>
      <c r="F103">
        <v>54</v>
      </c>
      <c r="G103">
        <v>16</v>
      </c>
      <c r="H103">
        <v>24</v>
      </c>
      <c r="I103">
        <v>40</v>
      </c>
      <c r="J103">
        <v>-9</v>
      </c>
      <c r="K103">
        <v>30</v>
      </c>
      <c r="L103">
        <v>11</v>
      </c>
      <c r="M103">
        <v>3</v>
      </c>
      <c r="N103">
        <v>2</v>
      </c>
      <c r="O103">
        <v>3</v>
      </c>
      <c r="P103">
        <v>12</v>
      </c>
      <c r="Q103">
        <v>10</v>
      </c>
      <c r="R103">
        <v>2</v>
      </c>
      <c r="S103">
        <v>125</v>
      </c>
      <c r="T103">
        <v>12.8</v>
      </c>
      <c r="U103">
        <v>247</v>
      </c>
      <c r="V103" s="19" t="s">
        <v>2481</v>
      </c>
      <c r="W103" s="19" t="s">
        <v>2428</v>
      </c>
      <c r="X103">
        <v>516</v>
      </c>
      <c r="Y103">
        <v>467</v>
      </c>
      <c r="Z103">
        <v>52.5</v>
      </c>
      <c r="AA103">
        <v>33</v>
      </c>
      <c r="AB103">
        <v>64</v>
      </c>
      <c r="AC103">
        <v>10</v>
      </c>
      <c r="AD103">
        <v>55</v>
      </c>
      <c r="AE103" s="19" t="s">
        <v>60</v>
      </c>
    </row>
    <row r="104" spans="1:31" x14ac:dyDescent="0.2">
      <c r="A104">
        <v>99</v>
      </c>
      <c r="B104" s="19" t="s">
        <v>466</v>
      </c>
      <c r="C104">
        <v>25</v>
      </c>
      <c r="D104" s="19" t="s">
        <v>364</v>
      </c>
      <c r="E104" s="19" t="s">
        <v>322</v>
      </c>
      <c r="F104">
        <v>57</v>
      </c>
      <c r="G104">
        <v>20</v>
      </c>
      <c r="H104">
        <v>20</v>
      </c>
      <c r="I104">
        <v>40</v>
      </c>
      <c r="J104">
        <v>15</v>
      </c>
      <c r="K104">
        <v>18</v>
      </c>
      <c r="L104">
        <v>18</v>
      </c>
      <c r="M104">
        <v>0</v>
      </c>
      <c r="N104">
        <v>2</v>
      </c>
      <c r="O104">
        <v>4</v>
      </c>
      <c r="P104">
        <v>18</v>
      </c>
      <c r="Q104">
        <v>1</v>
      </c>
      <c r="R104">
        <v>1</v>
      </c>
      <c r="S104">
        <v>124</v>
      </c>
      <c r="T104">
        <v>16.100000000000001</v>
      </c>
      <c r="U104">
        <v>243</v>
      </c>
      <c r="V104" s="19" t="s">
        <v>2482</v>
      </c>
      <c r="W104" s="19" t="s">
        <v>2483</v>
      </c>
      <c r="X104">
        <v>16</v>
      </c>
      <c r="Y104">
        <v>23</v>
      </c>
      <c r="Z104">
        <v>41</v>
      </c>
      <c r="AA104">
        <v>32</v>
      </c>
      <c r="AB104">
        <v>27</v>
      </c>
      <c r="AC104">
        <v>17</v>
      </c>
      <c r="AD104">
        <v>66</v>
      </c>
      <c r="AE104" s="19" t="s">
        <v>60</v>
      </c>
    </row>
    <row r="105" spans="1:31" x14ac:dyDescent="0.2">
      <c r="A105">
        <v>100</v>
      </c>
      <c r="B105" s="19" t="s">
        <v>454</v>
      </c>
      <c r="C105">
        <v>33</v>
      </c>
      <c r="D105" s="19" t="s">
        <v>373</v>
      </c>
      <c r="E105" s="19" t="s">
        <v>334</v>
      </c>
      <c r="F105">
        <v>49</v>
      </c>
      <c r="G105">
        <v>19</v>
      </c>
      <c r="H105">
        <v>21</v>
      </c>
      <c r="I105">
        <v>40</v>
      </c>
      <c r="J105">
        <v>-1</v>
      </c>
      <c r="K105">
        <v>18</v>
      </c>
      <c r="L105">
        <v>15</v>
      </c>
      <c r="M105">
        <v>4</v>
      </c>
      <c r="N105">
        <v>0</v>
      </c>
      <c r="O105">
        <v>4</v>
      </c>
      <c r="P105">
        <v>8</v>
      </c>
      <c r="Q105">
        <v>13</v>
      </c>
      <c r="R105">
        <v>0</v>
      </c>
      <c r="S105">
        <v>126</v>
      </c>
      <c r="T105">
        <v>15.1</v>
      </c>
      <c r="U105">
        <v>247</v>
      </c>
      <c r="V105" s="19" t="s">
        <v>2484</v>
      </c>
      <c r="W105" s="19" t="s">
        <v>2411</v>
      </c>
      <c r="X105">
        <v>0</v>
      </c>
      <c r="Y105">
        <v>4</v>
      </c>
      <c r="Z105">
        <v>0</v>
      </c>
      <c r="AA105">
        <v>55</v>
      </c>
      <c r="AB105">
        <v>19</v>
      </c>
      <c r="AC105">
        <v>7</v>
      </c>
      <c r="AD105">
        <v>44</v>
      </c>
      <c r="AE105" s="19" t="s">
        <v>60</v>
      </c>
    </row>
    <row r="106" spans="1:31" x14ac:dyDescent="0.2">
      <c r="A106">
        <v>101</v>
      </c>
      <c r="B106" s="19" t="s">
        <v>471</v>
      </c>
      <c r="C106">
        <v>23</v>
      </c>
      <c r="D106" s="19" t="s">
        <v>423</v>
      </c>
      <c r="E106" s="19" t="s">
        <v>334</v>
      </c>
      <c r="F106">
        <v>58</v>
      </c>
      <c r="G106">
        <v>18</v>
      </c>
      <c r="H106">
        <v>21</v>
      </c>
      <c r="I106">
        <v>39</v>
      </c>
      <c r="J106">
        <v>-7</v>
      </c>
      <c r="K106">
        <v>23</v>
      </c>
      <c r="L106">
        <v>11</v>
      </c>
      <c r="M106">
        <v>7</v>
      </c>
      <c r="N106">
        <v>0</v>
      </c>
      <c r="O106">
        <v>1</v>
      </c>
      <c r="P106">
        <v>14</v>
      </c>
      <c r="Q106">
        <v>7</v>
      </c>
      <c r="R106">
        <v>0</v>
      </c>
      <c r="S106">
        <v>123</v>
      </c>
      <c r="T106">
        <v>14.6</v>
      </c>
      <c r="U106">
        <v>227</v>
      </c>
      <c r="V106" s="19" t="s">
        <v>2485</v>
      </c>
      <c r="W106" s="19" t="s">
        <v>1863</v>
      </c>
      <c r="X106">
        <v>4</v>
      </c>
      <c r="Y106">
        <v>11</v>
      </c>
      <c r="Z106">
        <v>26.7</v>
      </c>
      <c r="AA106">
        <v>23</v>
      </c>
      <c r="AB106">
        <v>54</v>
      </c>
      <c r="AC106">
        <v>37</v>
      </c>
      <c r="AD106">
        <v>48</v>
      </c>
      <c r="AE106" s="19" t="s">
        <v>60</v>
      </c>
    </row>
    <row r="107" spans="1:31" x14ac:dyDescent="0.2">
      <c r="A107">
        <v>102</v>
      </c>
      <c r="B107" s="19" t="s">
        <v>510</v>
      </c>
      <c r="C107">
        <v>38</v>
      </c>
      <c r="D107" s="19" t="s">
        <v>412</v>
      </c>
      <c r="E107" s="19" t="s">
        <v>322</v>
      </c>
      <c r="F107">
        <v>57</v>
      </c>
      <c r="G107">
        <v>11</v>
      </c>
      <c r="H107">
        <v>28</v>
      </c>
      <c r="I107">
        <v>39</v>
      </c>
      <c r="J107">
        <v>15</v>
      </c>
      <c r="K107">
        <v>20</v>
      </c>
      <c r="L107">
        <v>10</v>
      </c>
      <c r="M107">
        <v>1</v>
      </c>
      <c r="N107">
        <v>0</v>
      </c>
      <c r="O107">
        <v>3</v>
      </c>
      <c r="P107">
        <v>19</v>
      </c>
      <c r="Q107">
        <v>9</v>
      </c>
      <c r="R107">
        <v>0</v>
      </c>
      <c r="S107">
        <v>95</v>
      </c>
      <c r="T107">
        <v>11.6</v>
      </c>
      <c r="U107">
        <v>175</v>
      </c>
      <c r="V107" s="19" t="s">
        <v>2486</v>
      </c>
      <c r="W107" s="19" t="s">
        <v>2487</v>
      </c>
      <c r="X107">
        <v>347</v>
      </c>
      <c r="Y107">
        <v>195</v>
      </c>
      <c r="Z107">
        <v>64</v>
      </c>
      <c r="AA107">
        <v>22</v>
      </c>
      <c r="AB107">
        <v>52</v>
      </c>
      <c r="AC107">
        <v>13</v>
      </c>
      <c r="AD107">
        <v>39</v>
      </c>
      <c r="AE107" s="19" t="s">
        <v>60</v>
      </c>
    </row>
    <row r="108" spans="1:31" x14ac:dyDescent="0.2">
      <c r="A108">
        <v>103</v>
      </c>
      <c r="B108" s="19" t="s">
        <v>700</v>
      </c>
      <c r="C108">
        <v>35</v>
      </c>
      <c r="D108" s="19" t="s">
        <v>452</v>
      </c>
      <c r="E108" s="19" t="s">
        <v>347</v>
      </c>
      <c r="F108">
        <v>45</v>
      </c>
      <c r="G108">
        <v>11</v>
      </c>
      <c r="H108">
        <v>28</v>
      </c>
      <c r="I108">
        <v>39</v>
      </c>
      <c r="J108">
        <v>-8</v>
      </c>
      <c r="K108">
        <v>22</v>
      </c>
      <c r="L108">
        <v>7</v>
      </c>
      <c r="M108">
        <v>4</v>
      </c>
      <c r="N108">
        <v>0</v>
      </c>
      <c r="O108">
        <v>3</v>
      </c>
      <c r="P108">
        <v>16</v>
      </c>
      <c r="Q108">
        <v>12</v>
      </c>
      <c r="R108">
        <v>0</v>
      </c>
      <c r="S108">
        <v>127</v>
      </c>
      <c r="T108">
        <v>8.6999999999999993</v>
      </c>
      <c r="U108">
        <v>273</v>
      </c>
      <c r="V108" s="19" t="s">
        <v>2488</v>
      </c>
      <c r="W108" s="19" t="s">
        <v>2489</v>
      </c>
      <c r="X108">
        <v>0</v>
      </c>
      <c r="Y108">
        <v>0</v>
      </c>
      <c r="AA108">
        <v>69</v>
      </c>
      <c r="AB108">
        <v>15</v>
      </c>
      <c r="AC108">
        <v>18</v>
      </c>
      <c r="AD108">
        <v>54</v>
      </c>
      <c r="AE108" s="19" t="s">
        <v>60</v>
      </c>
    </row>
    <row r="109" spans="1:31" x14ac:dyDescent="0.2">
      <c r="A109">
        <v>104</v>
      </c>
      <c r="B109" s="19" t="s">
        <v>429</v>
      </c>
      <c r="C109">
        <v>35</v>
      </c>
      <c r="D109" s="19" t="s">
        <v>430</v>
      </c>
      <c r="E109" s="19" t="s">
        <v>322</v>
      </c>
      <c r="F109">
        <v>56</v>
      </c>
      <c r="G109">
        <v>10</v>
      </c>
      <c r="H109">
        <v>29</v>
      </c>
      <c r="I109">
        <v>39</v>
      </c>
      <c r="J109">
        <v>-24</v>
      </c>
      <c r="K109">
        <v>22</v>
      </c>
      <c r="L109">
        <v>8</v>
      </c>
      <c r="M109">
        <v>2</v>
      </c>
      <c r="N109">
        <v>0</v>
      </c>
      <c r="O109">
        <v>1</v>
      </c>
      <c r="P109">
        <v>18</v>
      </c>
      <c r="Q109">
        <v>11</v>
      </c>
      <c r="R109">
        <v>0</v>
      </c>
      <c r="S109">
        <v>155</v>
      </c>
      <c r="T109">
        <v>6.5</v>
      </c>
      <c r="U109">
        <v>327</v>
      </c>
      <c r="V109" s="19" t="s">
        <v>2196</v>
      </c>
      <c r="W109" s="19" t="s">
        <v>1220</v>
      </c>
      <c r="X109">
        <v>390</v>
      </c>
      <c r="Y109">
        <v>407</v>
      </c>
      <c r="Z109">
        <v>48.9</v>
      </c>
      <c r="AA109">
        <v>19</v>
      </c>
      <c r="AB109">
        <v>34</v>
      </c>
      <c r="AC109">
        <v>16</v>
      </c>
      <c r="AD109">
        <v>59</v>
      </c>
      <c r="AE109" s="19" t="s">
        <v>60</v>
      </c>
    </row>
    <row r="110" spans="1:31" x14ac:dyDescent="0.2">
      <c r="A110">
        <v>105</v>
      </c>
      <c r="B110" s="19" t="s">
        <v>584</v>
      </c>
      <c r="C110">
        <v>28</v>
      </c>
      <c r="D110" s="19" t="s">
        <v>353</v>
      </c>
      <c r="E110" s="19" t="s">
        <v>347</v>
      </c>
      <c r="F110">
        <v>45</v>
      </c>
      <c r="G110">
        <v>4</v>
      </c>
      <c r="H110">
        <v>35</v>
      </c>
      <c r="I110">
        <v>39</v>
      </c>
      <c r="J110">
        <v>5</v>
      </c>
      <c r="K110">
        <v>44</v>
      </c>
      <c r="L110">
        <v>3</v>
      </c>
      <c r="M110">
        <v>1</v>
      </c>
      <c r="N110">
        <v>0</v>
      </c>
      <c r="O110">
        <v>0</v>
      </c>
      <c r="P110">
        <v>20</v>
      </c>
      <c r="Q110">
        <v>15</v>
      </c>
      <c r="R110">
        <v>0</v>
      </c>
      <c r="S110">
        <v>66</v>
      </c>
      <c r="T110">
        <v>6.1</v>
      </c>
      <c r="U110">
        <v>170</v>
      </c>
      <c r="V110" s="19" t="s">
        <v>2197</v>
      </c>
      <c r="W110" s="19" t="s">
        <v>1862</v>
      </c>
      <c r="X110">
        <v>0</v>
      </c>
      <c r="Y110">
        <v>0</v>
      </c>
      <c r="AA110">
        <v>85</v>
      </c>
      <c r="AB110">
        <v>55</v>
      </c>
      <c r="AC110">
        <v>23</v>
      </c>
      <c r="AD110">
        <v>54</v>
      </c>
      <c r="AE110" s="19" t="s">
        <v>60</v>
      </c>
    </row>
    <row r="111" spans="1:31" x14ac:dyDescent="0.2">
      <c r="A111">
        <v>106</v>
      </c>
      <c r="B111" s="19" t="s">
        <v>455</v>
      </c>
      <c r="C111">
        <v>18</v>
      </c>
      <c r="D111" s="19" t="s">
        <v>380</v>
      </c>
      <c r="E111" s="19" t="s">
        <v>347</v>
      </c>
      <c r="F111">
        <v>58</v>
      </c>
      <c r="G111">
        <v>16</v>
      </c>
      <c r="H111">
        <v>23</v>
      </c>
      <c r="I111">
        <v>39</v>
      </c>
      <c r="J111">
        <v>9</v>
      </c>
      <c r="K111">
        <v>28</v>
      </c>
      <c r="L111">
        <v>10</v>
      </c>
      <c r="M111">
        <v>6</v>
      </c>
      <c r="N111">
        <v>0</v>
      </c>
      <c r="O111">
        <v>4</v>
      </c>
      <c r="P111">
        <v>15</v>
      </c>
      <c r="Q111">
        <v>8</v>
      </c>
      <c r="R111">
        <v>0</v>
      </c>
      <c r="S111">
        <v>137</v>
      </c>
      <c r="T111">
        <v>11.7</v>
      </c>
      <c r="U111">
        <v>329</v>
      </c>
      <c r="V111" s="19" t="s">
        <v>2490</v>
      </c>
      <c r="W111" s="19" t="s">
        <v>1996</v>
      </c>
      <c r="X111">
        <v>0</v>
      </c>
      <c r="Y111">
        <v>0</v>
      </c>
      <c r="AA111">
        <v>76</v>
      </c>
      <c r="AB111">
        <v>26</v>
      </c>
      <c r="AC111">
        <v>27</v>
      </c>
      <c r="AD111">
        <v>67</v>
      </c>
      <c r="AE111" s="19" t="s">
        <v>60</v>
      </c>
    </row>
    <row r="112" spans="1:31" x14ac:dyDescent="0.2">
      <c r="A112">
        <v>107</v>
      </c>
      <c r="B112" s="19" t="s">
        <v>480</v>
      </c>
      <c r="C112">
        <v>27</v>
      </c>
      <c r="D112" s="19" t="s">
        <v>401</v>
      </c>
      <c r="E112" s="19" t="s">
        <v>347</v>
      </c>
      <c r="F112">
        <v>58</v>
      </c>
      <c r="G112">
        <v>9</v>
      </c>
      <c r="H112">
        <v>30</v>
      </c>
      <c r="I112">
        <v>39</v>
      </c>
      <c r="J112">
        <v>1</v>
      </c>
      <c r="K112">
        <v>36</v>
      </c>
      <c r="L112">
        <v>5</v>
      </c>
      <c r="M112">
        <v>4</v>
      </c>
      <c r="N112">
        <v>0</v>
      </c>
      <c r="O112">
        <v>1</v>
      </c>
      <c r="P112">
        <v>17</v>
      </c>
      <c r="Q112">
        <v>12</v>
      </c>
      <c r="R112">
        <v>1</v>
      </c>
      <c r="S112">
        <v>117</v>
      </c>
      <c r="T112">
        <v>7.7</v>
      </c>
      <c r="U112">
        <v>268</v>
      </c>
      <c r="V112" s="19" t="s">
        <v>2491</v>
      </c>
      <c r="W112" s="19" t="s">
        <v>2492</v>
      </c>
      <c r="X112">
        <v>0</v>
      </c>
      <c r="Y112">
        <v>0</v>
      </c>
      <c r="AA112">
        <v>97</v>
      </c>
      <c r="AB112">
        <v>26</v>
      </c>
      <c r="AC112">
        <v>23</v>
      </c>
      <c r="AD112">
        <v>85</v>
      </c>
      <c r="AE112" s="19" t="s">
        <v>60</v>
      </c>
    </row>
    <row r="113" spans="1:31" x14ac:dyDescent="0.2">
      <c r="A113">
        <v>108</v>
      </c>
      <c r="B113" s="19" t="s">
        <v>388</v>
      </c>
      <c r="C113">
        <v>20</v>
      </c>
      <c r="D113" s="19" t="s">
        <v>324</v>
      </c>
      <c r="E113" s="19" t="s">
        <v>322</v>
      </c>
      <c r="F113">
        <v>42</v>
      </c>
      <c r="G113">
        <v>17</v>
      </c>
      <c r="H113">
        <v>22</v>
      </c>
      <c r="I113">
        <v>39</v>
      </c>
      <c r="J113">
        <v>0</v>
      </c>
      <c r="K113">
        <v>14</v>
      </c>
      <c r="L113">
        <v>12</v>
      </c>
      <c r="M113">
        <v>5</v>
      </c>
      <c r="N113">
        <v>0</v>
      </c>
      <c r="O113">
        <v>3</v>
      </c>
      <c r="P113">
        <v>15</v>
      </c>
      <c r="Q113">
        <v>7</v>
      </c>
      <c r="R113">
        <v>0</v>
      </c>
      <c r="S113">
        <v>103</v>
      </c>
      <c r="T113">
        <v>16.5</v>
      </c>
      <c r="U113">
        <v>207</v>
      </c>
      <c r="V113" s="19" t="s">
        <v>2198</v>
      </c>
      <c r="W113" s="19" t="s">
        <v>1499</v>
      </c>
      <c r="X113">
        <v>10</v>
      </c>
      <c r="Y113">
        <v>26</v>
      </c>
      <c r="Z113">
        <v>27.8</v>
      </c>
      <c r="AA113">
        <v>9</v>
      </c>
      <c r="AB113">
        <v>10</v>
      </c>
      <c r="AC113">
        <v>8</v>
      </c>
      <c r="AD113">
        <v>40</v>
      </c>
      <c r="AE113" s="19" t="s">
        <v>60</v>
      </c>
    </row>
    <row r="114" spans="1:31" x14ac:dyDescent="0.2">
      <c r="A114">
        <v>109</v>
      </c>
      <c r="B114" s="19" t="s">
        <v>486</v>
      </c>
      <c r="C114">
        <v>26</v>
      </c>
      <c r="D114" s="19" t="s">
        <v>361</v>
      </c>
      <c r="E114" s="19" t="s">
        <v>347</v>
      </c>
      <c r="F114">
        <v>57</v>
      </c>
      <c r="G114">
        <v>10</v>
      </c>
      <c r="H114">
        <v>28</v>
      </c>
      <c r="I114">
        <v>38</v>
      </c>
      <c r="J114">
        <v>12</v>
      </c>
      <c r="K114">
        <v>28</v>
      </c>
      <c r="L114">
        <v>9</v>
      </c>
      <c r="M114">
        <v>1</v>
      </c>
      <c r="N114">
        <v>0</v>
      </c>
      <c r="O114">
        <v>1</v>
      </c>
      <c r="P114">
        <v>22</v>
      </c>
      <c r="Q114">
        <v>5</v>
      </c>
      <c r="R114">
        <v>1</v>
      </c>
      <c r="S114">
        <v>114</v>
      </c>
      <c r="T114">
        <v>8.8000000000000007</v>
      </c>
      <c r="U114">
        <v>253</v>
      </c>
      <c r="V114" s="19" t="s">
        <v>2199</v>
      </c>
      <c r="W114" s="19" t="s">
        <v>2011</v>
      </c>
      <c r="X114">
        <v>0</v>
      </c>
      <c r="Y114">
        <v>0</v>
      </c>
      <c r="AA114">
        <v>139</v>
      </c>
      <c r="AB114">
        <v>39</v>
      </c>
      <c r="AC114">
        <v>24</v>
      </c>
      <c r="AD114">
        <v>69</v>
      </c>
      <c r="AE114" s="19" t="s">
        <v>60</v>
      </c>
    </row>
    <row r="115" spans="1:31" x14ac:dyDescent="0.2">
      <c r="A115">
        <v>110</v>
      </c>
      <c r="B115" s="19" t="s">
        <v>525</v>
      </c>
      <c r="C115">
        <v>35</v>
      </c>
      <c r="D115" s="19" t="s">
        <v>520</v>
      </c>
      <c r="E115" s="19" t="s">
        <v>334</v>
      </c>
      <c r="F115">
        <v>55</v>
      </c>
      <c r="G115">
        <v>20</v>
      </c>
      <c r="H115">
        <v>18</v>
      </c>
      <c r="I115">
        <v>38</v>
      </c>
      <c r="J115">
        <v>7</v>
      </c>
      <c r="K115">
        <v>18</v>
      </c>
      <c r="L115">
        <v>16</v>
      </c>
      <c r="M115">
        <v>4</v>
      </c>
      <c r="N115">
        <v>0</v>
      </c>
      <c r="O115">
        <v>3</v>
      </c>
      <c r="P115">
        <v>8</v>
      </c>
      <c r="Q115">
        <v>10</v>
      </c>
      <c r="R115">
        <v>0</v>
      </c>
      <c r="S115">
        <v>122</v>
      </c>
      <c r="T115">
        <v>16.399999999999999</v>
      </c>
      <c r="U115">
        <v>227</v>
      </c>
      <c r="V115" s="19" t="s">
        <v>2493</v>
      </c>
      <c r="W115" s="19" t="s">
        <v>1577</v>
      </c>
      <c r="X115">
        <v>9</v>
      </c>
      <c r="Y115">
        <v>15</v>
      </c>
      <c r="Z115">
        <v>37.5</v>
      </c>
      <c r="AA115">
        <v>29</v>
      </c>
      <c r="AB115">
        <v>40</v>
      </c>
      <c r="AC115">
        <v>14</v>
      </c>
      <c r="AD115">
        <v>40</v>
      </c>
      <c r="AE115" s="19" t="s">
        <v>60</v>
      </c>
    </row>
    <row r="116" spans="1:31" x14ac:dyDescent="0.2">
      <c r="A116">
        <v>111</v>
      </c>
      <c r="B116" s="19" t="s">
        <v>448</v>
      </c>
      <c r="C116">
        <v>32</v>
      </c>
      <c r="D116" s="19" t="s">
        <v>393</v>
      </c>
      <c r="E116" s="19" t="s">
        <v>347</v>
      </c>
      <c r="F116">
        <v>40</v>
      </c>
      <c r="G116">
        <v>9</v>
      </c>
      <c r="H116">
        <v>29</v>
      </c>
      <c r="I116">
        <v>38</v>
      </c>
      <c r="J116">
        <v>9</v>
      </c>
      <c r="K116">
        <v>14</v>
      </c>
      <c r="L116">
        <v>4</v>
      </c>
      <c r="M116">
        <v>5</v>
      </c>
      <c r="N116">
        <v>0</v>
      </c>
      <c r="O116">
        <v>1</v>
      </c>
      <c r="P116">
        <v>21</v>
      </c>
      <c r="Q116">
        <v>8</v>
      </c>
      <c r="R116">
        <v>0</v>
      </c>
      <c r="S116">
        <v>87</v>
      </c>
      <c r="T116">
        <v>10.3</v>
      </c>
      <c r="U116">
        <v>208</v>
      </c>
      <c r="V116" s="19" t="s">
        <v>2494</v>
      </c>
      <c r="W116" s="19" t="s">
        <v>1989</v>
      </c>
      <c r="X116">
        <v>0</v>
      </c>
      <c r="Y116">
        <v>0</v>
      </c>
      <c r="AA116">
        <v>45</v>
      </c>
      <c r="AB116">
        <v>14</v>
      </c>
      <c r="AC116">
        <v>15</v>
      </c>
      <c r="AD116">
        <v>42</v>
      </c>
      <c r="AE116" s="19" t="s">
        <v>60</v>
      </c>
    </row>
    <row r="117" spans="1:31" x14ac:dyDescent="0.2">
      <c r="A117">
        <v>112</v>
      </c>
      <c r="B117" s="19" t="s">
        <v>534</v>
      </c>
      <c r="C117">
        <v>25</v>
      </c>
      <c r="D117" s="19" t="s">
        <v>336</v>
      </c>
      <c r="E117" s="19" t="s">
        <v>347</v>
      </c>
      <c r="F117">
        <v>57</v>
      </c>
      <c r="G117">
        <v>6</v>
      </c>
      <c r="H117">
        <v>32</v>
      </c>
      <c r="I117">
        <v>38</v>
      </c>
      <c r="J117">
        <v>-3</v>
      </c>
      <c r="K117">
        <v>10</v>
      </c>
      <c r="L117">
        <v>4</v>
      </c>
      <c r="M117">
        <v>1</v>
      </c>
      <c r="N117">
        <v>1</v>
      </c>
      <c r="O117">
        <v>0</v>
      </c>
      <c r="P117">
        <v>21</v>
      </c>
      <c r="Q117">
        <v>10</v>
      </c>
      <c r="R117">
        <v>1</v>
      </c>
      <c r="S117">
        <v>109</v>
      </c>
      <c r="T117">
        <v>5.5</v>
      </c>
      <c r="U117">
        <v>250</v>
      </c>
      <c r="V117" s="19" t="s">
        <v>2495</v>
      </c>
      <c r="W117" s="19" t="s">
        <v>2496</v>
      </c>
      <c r="X117">
        <v>0</v>
      </c>
      <c r="Y117">
        <v>0</v>
      </c>
      <c r="AA117">
        <v>98</v>
      </c>
      <c r="AB117">
        <v>50</v>
      </c>
      <c r="AC117">
        <v>32</v>
      </c>
      <c r="AD117">
        <v>76</v>
      </c>
      <c r="AE117" s="19" t="s">
        <v>60</v>
      </c>
    </row>
    <row r="118" spans="1:31" x14ac:dyDescent="0.2">
      <c r="A118">
        <v>113</v>
      </c>
      <c r="B118" s="19" t="s">
        <v>444</v>
      </c>
      <c r="C118">
        <v>24</v>
      </c>
      <c r="D118" s="19" t="s">
        <v>401</v>
      </c>
      <c r="E118" s="19" t="s">
        <v>334</v>
      </c>
      <c r="F118">
        <v>58</v>
      </c>
      <c r="G118">
        <v>20</v>
      </c>
      <c r="H118">
        <v>18</v>
      </c>
      <c r="I118">
        <v>38</v>
      </c>
      <c r="J118">
        <v>10</v>
      </c>
      <c r="K118">
        <v>24</v>
      </c>
      <c r="L118">
        <v>18</v>
      </c>
      <c r="M118">
        <v>2</v>
      </c>
      <c r="N118">
        <v>0</v>
      </c>
      <c r="O118">
        <v>2</v>
      </c>
      <c r="P118">
        <v>17</v>
      </c>
      <c r="Q118">
        <v>1</v>
      </c>
      <c r="R118">
        <v>0</v>
      </c>
      <c r="S118">
        <v>110</v>
      </c>
      <c r="T118">
        <v>18.2</v>
      </c>
      <c r="U118">
        <v>227</v>
      </c>
      <c r="V118" s="19" t="s">
        <v>2497</v>
      </c>
      <c r="W118" s="19" t="s">
        <v>1658</v>
      </c>
      <c r="X118">
        <v>7</v>
      </c>
      <c r="Y118">
        <v>16</v>
      </c>
      <c r="Z118">
        <v>30.4</v>
      </c>
      <c r="AA118">
        <v>16</v>
      </c>
      <c r="AB118">
        <v>13</v>
      </c>
      <c r="AC118">
        <v>15</v>
      </c>
      <c r="AD118">
        <v>64</v>
      </c>
      <c r="AE118" s="19" t="s">
        <v>60</v>
      </c>
    </row>
    <row r="119" spans="1:31" x14ac:dyDescent="0.2">
      <c r="A119">
        <v>114</v>
      </c>
      <c r="B119" s="19" t="s">
        <v>446</v>
      </c>
      <c r="C119">
        <v>24</v>
      </c>
      <c r="D119" s="19" t="s">
        <v>368</v>
      </c>
      <c r="E119" s="19" t="s">
        <v>347</v>
      </c>
      <c r="F119">
        <v>58</v>
      </c>
      <c r="G119">
        <v>7</v>
      </c>
      <c r="H119">
        <v>31</v>
      </c>
      <c r="I119">
        <v>38</v>
      </c>
      <c r="J119">
        <v>13</v>
      </c>
      <c r="K119">
        <v>43</v>
      </c>
      <c r="L119">
        <v>6</v>
      </c>
      <c r="M119">
        <v>1</v>
      </c>
      <c r="N119">
        <v>0</v>
      </c>
      <c r="O119">
        <v>1</v>
      </c>
      <c r="P119">
        <v>14</v>
      </c>
      <c r="Q119">
        <v>17</v>
      </c>
      <c r="R119">
        <v>0</v>
      </c>
      <c r="S119">
        <v>122</v>
      </c>
      <c r="T119">
        <v>5.7</v>
      </c>
      <c r="U119">
        <v>277</v>
      </c>
      <c r="V119" s="19" t="s">
        <v>2200</v>
      </c>
      <c r="W119" s="19" t="s">
        <v>2201</v>
      </c>
      <c r="X119">
        <v>0</v>
      </c>
      <c r="Y119">
        <v>0</v>
      </c>
      <c r="AA119">
        <v>130</v>
      </c>
      <c r="AB119">
        <v>88</v>
      </c>
      <c r="AC119">
        <v>20</v>
      </c>
      <c r="AD119">
        <v>67</v>
      </c>
      <c r="AE119" s="19" t="s">
        <v>60</v>
      </c>
    </row>
    <row r="120" spans="1:31" x14ac:dyDescent="0.2">
      <c r="A120">
        <v>115</v>
      </c>
      <c r="B120" s="19" t="s">
        <v>519</v>
      </c>
      <c r="C120">
        <v>23</v>
      </c>
      <c r="D120" s="19" t="s">
        <v>520</v>
      </c>
      <c r="E120" s="19" t="s">
        <v>322</v>
      </c>
      <c r="F120">
        <v>57</v>
      </c>
      <c r="G120">
        <v>14</v>
      </c>
      <c r="H120">
        <v>23</v>
      </c>
      <c r="I120">
        <v>37</v>
      </c>
      <c r="J120">
        <v>-3</v>
      </c>
      <c r="K120">
        <v>18</v>
      </c>
      <c r="L120">
        <v>9</v>
      </c>
      <c r="M120">
        <v>5</v>
      </c>
      <c r="N120">
        <v>0</v>
      </c>
      <c r="O120">
        <v>1</v>
      </c>
      <c r="P120">
        <v>18</v>
      </c>
      <c r="Q120">
        <v>5</v>
      </c>
      <c r="R120">
        <v>0</v>
      </c>
      <c r="S120">
        <v>107</v>
      </c>
      <c r="T120">
        <v>13.1</v>
      </c>
      <c r="U120">
        <v>228</v>
      </c>
      <c r="V120" s="19" t="s">
        <v>2498</v>
      </c>
      <c r="W120" s="19" t="s">
        <v>1962</v>
      </c>
      <c r="X120">
        <v>366</v>
      </c>
      <c r="Y120">
        <v>379</v>
      </c>
      <c r="Z120">
        <v>49.1</v>
      </c>
      <c r="AA120">
        <v>49</v>
      </c>
      <c r="AB120">
        <v>24</v>
      </c>
      <c r="AC120">
        <v>13</v>
      </c>
      <c r="AD120">
        <v>57</v>
      </c>
      <c r="AE120" s="19" t="s">
        <v>60</v>
      </c>
    </row>
    <row r="121" spans="1:31" x14ac:dyDescent="0.2">
      <c r="A121">
        <v>116</v>
      </c>
      <c r="B121" s="19" t="s">
        <v>550</v>
      </c>
      <c r="C121">
        <v>23</v>
      </c>
      <c r="D121" s="19" t="s">
        <v>355</v>
      </c>
      <c r="E121" s="19" t="s">
        <v>347</v>
      </c>
      <c r="F121">
        <v>58</v>
      </c>
      <c r="G121">
        <v>13</v>
      </c>
      <c r="H121">
        <v>24</v>
      </c>
      <c r="I121">
        <v>37</v>
      </c>
      <c r="J121">
        <v>19</v>
      </c>
      <c r="K121">
        <v>14</v>
      </c>
      <c r="L121">
        <v>12</v>
      </c>
      <c r="M121">
        <v>0</v>
      </c>
      <c r="N121">
        <v>1</v>
      </c>
      <c r="O121">
        <v>1</v>
      </c>
      <c r="P121">
        <v>15</v>
      </c>
      <c r="Q121">
        <v>9</v>
      </c>
      <c r="R121">
        <v>0</v>
      </c>
      <c r="S121">
        <v>125</v>
      </c>
      <c r="T121">
        <v>10.4</v>
      </c>
      <c r="U121">
        <v>261</v>
      </c>
      <c r="V121" s="19" t="s">
        <v>2202</v>
      </c>
      <c r="W121" s="19" t="s">
        <v>1704</v>
      </c>
      <c r="X121">
        <v>0</v>
      </c>
      <c r="Y121">
        <v>0</v>
      </c>
      <c r="AA121">
        <v>119</v>
      </c>
      <c r="AB121">
        <v>19</v>
      </c>
      <c r="AC121">
        <v>31</v>
      </c>
      <c r="AD121">
        <v>71</v>
      </c>
      <c r="AE121" s="19" t="s">
        <v>60</v>
      </c>
    </row>
    <row r="122" spans="1:31" x14ac:dyDescent="0.2">
      <c r="A122">
        <v>117</v>
      </c>
      <c r="B122" s="19" t="s">
        <v>461</v>
      </c>
      <c r="C122">
        <v>24</v>
      </c>
      <c r="D122" s="19" t="s">
        <v>395</v>
      </c>
      <c r="E122" s="19" t="s">
        <v>322</v>
      </c>
      <c r="F122">
        <v>37</v>
      </c>
      <c r="G122">
        <v>12</v>
      </c>
      <c r="H122">
        <v>25</v>
      </c>
      <c r="I122">
        <v>37</v>
      </c>
      <c r="J122">
        <v>-6</v>
      </c>
      <c r="K122">
        <v>0</v>
      </c>
      <c r="L122">
        <v>10</v>
      </c>
      <c r="M122">
        <v>2</v>
      </c>
      <c r="N122">
        <v>0</v>
      </c>
      <c r="O122">
        <v>2</v>
      </c>
      <c r="P122">
        <v>14</v>
      </c>
      <c r="Q122">
        <v>11</v>
      </c>
      <c r="R122">
        <v>0</v>
      </c>
      <c r="S122">
        <v>129</v>
      </c>
      <c r="T122">
        <v>9.3000000000000007</v>
      </c>
      <c r="U122">
        <v>248</v>
      </c>
      <c r="V122" s="19" t="s">
        <v>2145</v>
      </c>
      <c r="W122" s="19" t="s">
        <v>331</v>
      </c>
      <c r="X122">
        <v>59</v>
      </c>
      <c r="Y122">
        <v>112</v>
      </c>
      <c r="Z122">
        <v>34.5</v>
      </c>
      <c r="AA122">
        <v>17</v>
      </c>
      <c r="AB122">
        <v>3</v>
      </c>
      <c r="AC122">
        <v>27</v>
      </c>
      <c r="AD122">
        <v>71</v>
      </c>
      <c r="AE122" s="19" t="s">
        <v>60</v>
      </c>
    </row>
    <row r="123" spans="1:31" x14ac:dyDescent="0.2">
      <c r="A123">
        <v>118</v>
      </c>
      <c r="B123" s="19" t="s">
        <v>857</v>
      </c>
      <c r="C123">
        <v>33</v>
      </c>
      <c r="D123" s="19" t="s">
        <v>327</v>
      </c>
      <c r="E123" s="19" t="s">
        <v>338</v>
      </c>
      <c r="F123">
        <v>40</v>
      </c>
      <c r="G123">
        <v>23</v>
      </c>
      <c r="H123">
        <v>14</v>
      </c>
      <c r="I123">
        <v>37</v>
      </c>
      <c r="J123">
        <v>11</v>
      </c>
      <c r="K123">
        <v>14</v>
      </c>
      <c r="L123">
        <v>15</v>
      </c>
      <c r="M123">
        <v>8</v>
      </c>
      <c r="N123">
        <v>0</v>
      </c>
      <c r="O123">
        <v>2</v>
      </c>
      <c r="P123">
        <v>10</v>
      </c>
      <c r="Q123">
        <v>4</v>
      </c>
      <c r="R123">
        <v>0</v>
      </c>
      <c r="S123">
        <v>122</v>
      </c>
      <c r="T123">
        <v>18.899999999999999</v>
      </c>
      <c r="U123">
        <v>212</v>
      </c>
      <c r="V123" s="19" t="s">
        <v>2499</v>
      </c>
      <c r="W123" s="19" t="s">
        <v>1650</v>
      </c>
      <c r="X123">
        <v>0</v>
      </c>
      <c r="Y123">
        <v>1</v>
      </c>
      <c r="Z123">
        <v>0</v>
      </c>
      <c r="AA123">
        <v>13</v>
      </c>
      <c r="AB123">
        <v>37</v>
      </c>
      <c r="AC123">
        <v>6</v>
      </c>
      <c r="AD123">
        <v>18</v>
      </c>
      <c r="AE123" s="19" t="s">
        <v>60</v>
      </c>
    </row>
    <row r="124" spans="1:31" x14ac:dyDescent="0.2">
      <c r="A124">
        <v>119</v>
      </c>
      <c r="B124" s="19" t="s">
        <v>462</v>
      </c>
      <c r="C124">
        <v>35</v>
      </c>
      <c r="D124" s="19" t="s">
        <v>355</v>
      </c>
      <c r="E124" s="19" t="s">
        <v>322</v>
      </c>
      <c r="F124">
        <v>53</v>
      </c>
      <c r="G124">
        <v>13</v>
      </c>
      <c r="H124">
        <v>24</v>
      </c>
      <c r="I124">
        <v>37</v>
      </c>
      <c r="J124">
        <v>18</v>
      </c>
      <c r="K124">
        <v>8</v>
      </c>
      <c r="L124">
        <v>10</v>
      </c>
      <c r="M124">
        <v>3</v>
      </c>
      <c r="N124">
        <v>0</v>
      </c>
      <c r="O124">
        <v>4</v>
      </c>
      <c r="P124">
        <v>19</v>
      </c>
      <c r="Q124">
        <v>4</v>
      </c>
      <c r="R124">
        <v>1</v>
      </c>
      <c r="S124">
        <v>78</v>
      </c>
      <c r="T124">
        <v>16.7</v>
      </c>
      <c r="U124">
        <v>149</v>
      </c>
      <c r="V124" s="19" t="s">
        <v>2203</v>
      </c>
      <c r="W124" s="19" t="s">
        <v>685</v>
      </c>
      <c r="X124">
        <v>6</v>
      </c>
      <c r="Y124">
        <v>7</v>
      </c>
      <c r="Z124">
        <v>46.2</v>
      </c>
      <c r="AA124">
        <v>13</v>
      </c>
      <c r="AB124">
        <v>23</v>
      </c>
      <c r="AC124">
        <v>16</v>
      </c>
      <c r="AD124">
        <v>42</v>
      </c>
      <c r="AE124" s="19" t="s">
        <v>60</v>
      </c>
    </row>
    <row r="125" spans="1:31" x14ac:dyDescent="0.2">
      <c r="A125">
        <v>120</v>
      </c>
      <c r="B125" s="19" t="s">
        <v>514</v>
      </c>
      <c r="C125">
        <v>31</v>
      </c>
      <c r="D125" s="19" t="s">
        <v>353</v>
      </c>
      <c r="E125" s="19" t="s">
        <v>322</v>
      </c>
      <c r="F125">
        <v>44</v>
      </c>
      <c r="G125">
        <v>11</v>
      </c>
      <c r="H125">
        <v>26</v>
      </c>
      <c r="I125">
        <v>37</v>
      </c>
      <c r="J125">
        <v>0</v>
      </c>
      <c r="K125">
        <v>34</v>
      </c>
      <c r="L125">
        <v>5</v>
      </c>
      <c r="M125">
        <v>6</v>
      </c>
      <c r="N125">
        <v>0</v>
      </c>
      <c r="O125">
        <v>2</v>
      </c>
      <c r="P125">
        <v>15</v>
      </c>
      <c r="Q125">
        <v>11</v>
      </c>
      <c r="R125">
        <v>0</v>
      </c>
      <c r="S125">
        <v>70</v>
      </c>
      <c r="T125">
        <v>15.7</v>
      </c>
      <c r="U125">
        <v>159</v>
      </c>
      <c r="V125" s="19" t="s">
        <v>2057</v>
      </c>
      <c r="W125" s="19" t="s">
        <v>1715</v>
      </c>
      <c r="X125">
        <v>396</v>
      </c>
      <c r="Y125">
        <v>333</v>
      </c>
      <c r="Z125">
        <v>54.3</v>
      </c>
      <c r="AA125">
        <v>42</v>
      </c>
      <c r="AB125">
        <v>30</v>
      </c>
      <c r="AC125">
        <v>11</v>
      </c>
      <c r="AD125">
        <v>32</v>
      </c>
      <c r="AE125" s="19" t="s">
        <v>60</v>
      </c>
    </row>
    <row r="126" spans="1:31" x14ac:dyDescent="0.2">
      <c r="A126">
        <v>121</v>
      </c>
      <c r="B126" s="19" t="s">
        <v>561</v>
      </c>
      <c r="C126">
        <v>24</v>
      </c>
      <c r="D126" s="19" t="s">
        <v>423</v>
      </c>
      <c r="E126" s="19" t="s">
        <v>334</v>
      </c>
      <c r="F126">
        <v>58</v>
      </c>
      <c r="G126">
        <v>12</v>
      </c>
      <c r="H126">
        <v>25</v>
      </c>
      <c r="I126">
        <v>37</v>
      </c>
      <c r="J126">
        <v>2</v>
      </c>
      <c r="K126">
        <v>12</v>
      </c>
      <c r="L126">
        <v>10</v>
      </c>
      <c r="M126">
        <v>2</v>
      </c>
      <c r="N126">
        <v>0</v>
      </c>
      <c r="O126">
        <v>4</v>
      </c>
      <c r="P126">
        <v>22</v>
      </c>
      <c r="Q126">
        <v>3</v>
      </c>
      <c r="R126">
        <v>0</v>
      </c>
      <c r="S126">
        <v>121</v>
      </c>
      <c r="T126">
        <v>9.9</v>
      </c>
      <c r="U126">
        <v>247</v>
      </c>
      <c r="V126" s="19" t="s">
        <v>2500</v>
      </c>
      <c r="W126" s="19" t="s">
        <v>1874</v>
      </c>
      <c r="X126">
        <v>3</v>
      </c>
      <c r="Y126">
        <v>9</v>
      </c>
      <c r="Z126">
        <v>25</v>
      </c>
      <c r="AA126">
        <v>20</v>
      </c>
      <c r="AB126">
        <v>28</v>
      </c>
      <c r="AC126">
        <v>11</v>
      </c>
      <c r="AD126">
        <v>54</v>
      </c>
      <c r="AE126" s="19" t="s">
        <v>60</v>
      </c>
    </row>
    <row r="127" spans="1:31" x14ac:dyDescent="0.2">
      <c r="A127">
        <v>122</v>
      </c>
      <c r="B127" s="19" t="s">
        <v>829</v>
      </c>
      <c r="C127">
        <v>26</v>
      </c>
      <c r="D127" s="19" t="s">
        <v>412</v>
      </c>
      <c r="E127" s="19" t="s">
        <v>338</v>
      </c>
      <c r="F127">
        <v>37</v>
      </c>
      <c r="G127">
        <v>14</v>
      </c>
      <c r="H127">
        <v>23</v>
      </c>
      <c r="I127">
        <v>37</v>
      </c>
      <c r="J127">
        <v>-4</v>
      </c>
      <c r="K127">
        <v>34</v>
      </c>
      <c r="L127">
        <v>10</v>
      </c>
      <c r="M127">
        <v>3</v>
      </c>
      <c r="N127">
        <v>1</v>
      </c>
      <c r="O127">
        <v>2</v>
      </c>
      <c r="P127">
        <v>14</v>
      </c>
      <c r="Q127">
        <v>9</v>
      </c>
      <c r="R127">
        <v>0</v>
      </c>
      <c r="S127">
        <v>144</v>
      </c>
      <c r="T127">
        <v>9.6999999999999993</v>
      </c>
      <c r="U127">
        <v>238</v>
      </c>
      <c r="V127" s="19" t="s">
        <v>2501</v>
      </c>
      <c r="W127" s="19" t="s">
        <v>1963</v>
      </c>
      <c r="X127">
        <v>97</v>
      </c>
      <c r="Y127">
        <v>69</v>
      </c>
      <c r="Z127">
        <v>58.4</v>
      </c>
      <c r="AA127">
        <v>10</v>
      </c>
      <c r="AB127">
        <v>99</v>
      </c>
      <c r="AC127">
        <v>11</v>
      </c>
      <c r="AD127">
        <v>24</v>
      </c>
      <c r="AE127" s="19" t="s">
        <v>60</v>
      </c>
    </row>
    <row r="128" spans="1:31" x14ac:dyDescent="0.2">
      <c r="A128">
        <v>123</v>
      </c>
      <c r="B128" s="19" t="s">
        <v>565</v>
      </c>
      <c r="C128">
        <v>31</v>
      </c>
      <c r="D128" s="19" t="s">
        <v>324</v>
      </c>
      <c r="E128" s="19" t="s">
        <v>322</v>
      </c>
      <c r="F128">
        <v>55</v>
      </c>
      <c r="G128">
        <v>10</v>
      </c>
      <c r="H128">
        <v>27</v>
      </c>
      <c r="I128">
        <v>37</v>
      </c>
      <c r="J128">
        <v>-16</v>
      </c>
      <c r="K128">
        <v>14</v>
      </c>
      <c r="L128">
        <v>5</v>
      </c>
      <c r="M128">
        <v>5</v>
      </c>
      <c r="N128">
        <v>0</v>
      </c>
      <c r="O128">
        <v>2</v>
      </c>
      <c r="P128">
        <v>22</v>
      </c>
      <c r="Q128">
        <v>5</v>
      </c>
      <c r="R128">
        <v>0</v>
      </c>
      <c r="S128">
        <v>64</v>
      </c>
      <c r="T128">
        <v>15.6</v>
      </c>
      <c r="U128">
        <v>120</v>
      </c>
      <c r="V128" s="19" t="s">
        <v>2204</v>
      </c>
      <c r="W128" s="19" t="s">
        <v>1468</v>
      </c>
      <c r="X128">
        <v>432</v>
      </c>
      <c r="Y128">
        <v>534</v>
      </c>
      <c r="Z128">
        <v>44.7</v>
      </c>
      <c r="AA128">
        <v>71</v>
      </c>
      <c r="AB128">
        <v>19</v>
      </c>
      <c r="AC128">
        <v>25</v>
      </c>
      <c r="AD128">
        <v>43</v>
      </c>
      <c r="AE128" s="19" t="s">
        <v>60</v>
      </c>
    </row>
    <row r="129" spans="1:31" x14ac:dyDescent="0.2">
      <c r="A129">
        <v>124</v>
      </c>
      <c r="B129" s="19" t="s">
        <v>457</v>
      </c>
      <c r="C129">
        <v>28</v>
      </c>
      <c r="D129" s="19" t="s">
        <v>353</v>
      </c>
      <c r="E129" s="19" t="s">
        <v>322</v>
      </c>
      <c r="F129">
        <v>54</v>
      </c>
      <c r="G129">
        <v>15</v>
      </c>
      <c r="H129">
        <v>22</v>
      </c>
      <c r="I129">
        <v>37</v>
      </c>
      <c r="J129">
        <v>-5</v>
      </c>
      <c r="K129">
        <v>28</v>
      </c>
      <c r="L129">
        <v>10</v>
      </c>
      <c r="M129">
        <v>5</v>
      </c>
      <c r="N129">
        <v>0</v>
      </c>
      <c r="O129">
        <v>3</v>
      </c>
      <c r="P129">
        <v>12</v>
      </c>
      <c r="Q129">
        <v>10</v>
      </c>
      <c r="R129">
        <v>0</v>
      </c>
      <c r="S129">
        <v>87</v>
      </c>
      <c r="T129">
        <v>17.2</v>
      </c>
      <c r="U129">
        <v>152</v>
      </c>
      <c r="V129" s="19" t="s">
        <v>2080</v>
      </c>
      <c r="W129" s="19" t="s">
        <v>1696</v>
      </c>
      <c r="X129">
        <v>337</v>
      </c>
      <c r="Y129">
        <v>308</v>
      </c>
      <c r="Z129">
        <v>52.2</v>
      </c>
      <c r="AA129">
        <v>21</v>
      </c>
      <c r="AB129">
        <v>42</v>
      </c>
      <c r="AC129">
        <v>13</v>
      </c>
      <c r="AD129">
        <v>39</v>
      </c>
      <c r="AE129" s="19" t="s">
        <v>60</v>
      </c>
    </row>
    <row r="130" spans="1:31" x14ac:dyDescent="0.2">
      <c r="A130">
        <v>125</v>
      </c>
      <c r="B130" s="19" t="s">
        <v>460</v>
      </c>
      <c r="C130">
        <v>21</v>
      </c>
      <c r="D130" s="19" t="s">
        <v>377</v>
      </c>
      <c r="E130" s="19" t="s">
        <v>322</v>
      </c>
      <c r="F130">
        <v>56</v>
      </c>
      <c r="G130">
        <v>13</v>
      </c>
      <c r="H130">
        <v>23</v>
      </c>
      <c r="I130">
        <v>36</v>
      </c>
      <c r="J130">
        <v>-8</v>
      </c>
      <c r="K130">
        <v>21</v>
      </c>
      <c r="L130">
        <v>10</v>
      </c>
      <c r="M130">
        <v>3</v>
      </c>
      <c r="N130">
        <v>0</v>
      </c>
      <c r="O130">
        <v>2</v>
      </c>
      <c r="P130">
        <v>18</v>
      </c>
      <c r="Q130">
        <v>5</v>
      </c>
      <c r="R130">
        <v>0</v>
      </c>
      <c r="S130">
        <v>147</v>
      </c>
      <c r="T130">
        <v>8.8000000000000007</v>
      </c>
      <c r="U130">
        <v>315</v>
      </c>
      <c r="V130" s="19" t="s">
        <v>2205</v>
      </c>
      <c r="W130" s="19" t="s">
        <v>410</v>
      </c>
      <c r="X130">
        <v>370</v>
      </c>
      <c r="Y130">
        <v>360</v>
      </c>
      <c r="Z130">
        <v>50.7</v>
      </c>
      <c r="AA130">
        <v>36</v>
      </c>
      <c r="AB130">
        <v>87</v>
      </c>
      <c r="AC130">
        <v>18</v>
      </c>
      <c r="AD130">
        <v>60</v>
      </c>
      <c r="AE130" s="19" t="s">
        <v>60</v>
      </c>
    </row>
    <row r="131" spans="1:31" x14ac:dyDescent="0.2">
      <c r="A131">
        <v>126</v>
      </c>
      <c r="B131" s="19" t="s">
        <v>491</v>
      </c>
      <c r="C131">
        <v>32</v>
      </c>
      <c r="D131" s="19" t="s">
        <v>359</v>
      </c>
      <c r="E131" s="19" t="s">
        <v>322</v>
      </c>
      <c r="F131">
        <v>48</v>
      </c>
      <c r="G131">
        <v>14</v>
      </c>
      <c r="H131">
        <v>22</v>
      </c>
      <c r="I131">
        <v>36</v>
      </c>
      <c r="J131">
        <v>-22</v>
      </c>
      <c r="K131">
        <v>16</v>
      </c>
      <c r="L131">
        <v>10</v>
      </c>
      <c r="M131">
        <v>4</v>
      </c>
      <c r="N131">
        <v>0</v>
      </c>
      <c r="O131">
        <v>3</v>
      </c>
      <c r="P131">
        <v>16</v>
      </c>
      <c r="Q131">
        <v>6</v>
      </c>
      <c r="R131">
        <v>0</v>
      </c>
      <c r="S131">
        <v>107</v>
      </c>
      <c r="T131">
        <v>13.1</v>
      </c>
      <c r="U131">
        <v>207</v>
      </c>
      <c r="V131" s="19" t="s">
        <v>2502</v>
      </c>
      <c r="W131" s="19" t="s">
        <v>2503</v>
      </c>
      <c r="X131">
        <v>384</v>
      </c>
      <c r="Y131">
        <v>243</v>
      </c>
      <c r="Z131">
        <v>61.2</v>
      </c>
      <c r="AA131">
        <v>19</v>
      </c>
      <c r="AB131">
        <v>99</v>
      </c>
      <c r="AC131">
        <v>10</v>
      </c>
      <c r="AD131">
        <v>53</v>
      </c>
      <c r="AE131" s="19" t="s">
        <v>60</v>
      </c>
    </row>
    <row r="132" spans="1:31" x14ac:dyDescent="0.2">
      <c r="A132">
        <v>127</v>
      </c>
      <c r="B132" s="19" t="s">
        <v>615</v>
      </c>
      <c r="C132">
        <v>31</v>
      </c>
      <c r="D132" s="19" t="s">
        <v>520</v>
      </c>
      <c r="E132" s="19" t="s">
        <v>322</v>
      </c>
      <c r="F132">
        <v>55</v>
      </c>
      <c r="G132">
        <v>13</v>
      </c>
      <c r="H132">
        <v>23</v>
      </c>
      <c r="I132">
        <v>36</v>
      </c>
      <c r="J132">
        <v>-15</v>
      </c>
      <c r="K132">
        <v>12</v>
      </c>
      <c r="L132">
        <v>7</v>
      </c>
      <c r="M132">
        <v>6</v>
      </c>
      <c r="N132">
        <v>0</v>
      </c>
      <c r="O132">
        <v>1</v>
      </c>
      <c r="P132">
        <v>14</v>
      </c>
      <c r="Q132">
        <v>8</v>
      </c>
      <c r="R132">
        <v>1</v>
      </c>
      <c r="S132">
        <v>69</v>
      </c>
      <c r="T132">
        <v>18.8</v>
      </c>
      <c r="U132">
        <v>113</v>
      </c>
      <c r="V132" s="19" t="s">
        <v>2504</v>
      </c>
      <c r="W132" s="19" t="s">
        <v>2505</v>
      </c>
      <c r="X132">
        <v>538</v>
      </c>
      <c r="Y132">
        <v>494</v>
      </c>
      <c r="Z132">
        <v>52.1</v>
      </c>
      <c r="AA132">
        <v>40</v>
      </c>
      <c r="AB132">
        <v>16</v>
      </c>
      <c r="AC132">
        <v>22</v>
      </c>
      <c r="AD132">
        <v>46</v>
      </c>
      <c r="AE132" s="19" t="s">
        <v>60</v>
      </c>
    </row>
    <row r="133" spans="1:31" x14ac:dyDescent="0.2">
      <c r="A133">
        <v>128</v>
      </c>
      <c r="B133" s="19" t="s">
        <v>503</v>
      </c>
      <c r="C133">
        <v>33</v>
      </c>
      <c r="D133" s="19" t="s">
        <v>324</v>
      </c>
      <c r="E133" s="19" t="s">
        <v>322</v>
      </c>
      <c r="F133">
        <v>55</v>
      </c>
      <c r="G133">
        <v>15</v>
      </c>
      <c r="H133">
        <v>21</v>
      </c>
      <c r="I133">
        <v>36</v>
      </c>
      <c r="J133">
        <v>-6</v>
      </c>
      <c r="K133">
        <v>10</v>
      </c>
      <c r="L133">
        <v>10</v>
      </c>
      <c r="M133">
        <v>5</v>
      </c>
      <c r="N133">
        <v>0</v>
      </c>
      <c r="O133">
        <v>2</v>
      </c>
      <c r="P133">
        <v>16</v>
      </c>
      <c r="Q133">
        <v>5</v>
      </c>
      <c r="R133">
        <v>0</v>
      </c>
      <c r="S133">
        <v>129</v>
      </c>
      <c r="T133">
        <v>11.6</v>
      </c>
      <c r="U133">
        <v>261</v>
      </c>
      <c r="V133" s="19" t="s">
        <v>2206</v>
      </c>
      <c r="W133" s="19" t="s">
        <v>1617</v>
      </c>
      <c r="X133">
        <v>4</v>
      </c>
      <c r="Y133">
        <v>14</v>
      </c>
      <c r="Z133">
        <v>22.2</v>
      </c>
      <c r="AA133">
        <v>27</v>
      </c>
      <c r="AB133">
        <v>38</v>
      </c>
      <c r="AC133">
        <v>14</v>
      </c>
      <c r="AD133">
        <v>38</v>
      </c>
      <c r="AE133" s="19" t="s">
        <v>60</v>
      </c>
    </row>
    <row r="134" spans="1:31" x14ac:dyDescent="0.2">
      <c r="A134">
        <v>129</v>
      </c>
      <c r="B134" s="19" t="s">
        <v>594</v>
      </c>
      <c r="C134">
        <v>32</v>
      </c>
      <c r="D134" s="19" t="s">
        <v>359</v>
      </c>
      <c r="E134" s="19" t="s">
        <v>322</v>
      </c>
      <c r="F134">
        <v>43</v>
      </c>
      <c r="G134">
        <v>12</v>
      </c>
      <c r="H134">
        <v>24</v>
      </c>
      <c r="I134">
        <v>36</v>
      </c>
      <c r="J134">
        <v>-16</v>
      </c>
      <c r="K134">
        <v>30</v>
      </c>
      <c r="L134">
        <v>10</v>
      </c>
      <c r="M134">
        <v>1</v>
      </c>
      <c r="N134">
        <v>1</v>
      </c>
      <c r="O134">
        <v>1</v>
      </c>
      <c r="P134">
        <v>15</v>
      </c>
      <c r="Q134">
        <v>9</v>
      </c>
      <c r="R134">
        <v>0</v>
      </c>
      <c r="S134">
        <v>79</v>
      </c>
      <c r="T134">
        <v>15.2</v>
      </c>
      <c r="U134">
        <v>181</v>
      </c>
      <c r="V134" s="19" t="s">
        <v>2506</v>
      </c>
      <c r="W134" s="19" t="s">
        <v>1828</v>
      </c>
      <c r="X134">
        <v>405</v>
      </c>
      <c r="Y134">
        <v>312</v>
      </c>
      <c r="Z134">
        <v>56.5</v>
      </c>
      <c r="AA134">
        <v>34</v>
      </c>
      <c r="AB134">
        <v>130</v>
      </c>
      <c r="AC134">
        <v>16</v>
      </c>
      <c r="AD134">
        <v>54</v>
      </c>
      <c r="AE134" s="19" t="s">
        <v>60</v>
      </c>
    </row>
    <row r="135" spans="1:31" x14ac:dyDescent="0.2">
      <c r="A135">
        <v>130</v>
      </c>
      <c r="B135" s="19" t="s">
        <v>506</v>
      </c>
      <c r="C135">
        <v>28</v>
      </c>
      <c r="D135" s="19" t="s">
        <v>350</v>
      </c>
      <c r="E135" s="19" t="s">
        <v>322</v>
      </c>
      <c r="F135">
        <v>49</v>
      </c>
      <c r="G135">
        <v>15</v>
      </c>
      <c r="H135">
        <v>20</v>
      </c>
      <c r="I135">
        <v>35</v>
      </c>
      <c r="J135">
        <v>30</v>
      </c>
      <c r="K135">
        <v>29</v>
      </c>
      <c r="L135">
        <v>12</v>
      </c>
      <c r="M135">
        <v>3</v>
      </c>
      <c r="N135">
        <v>0</v>
      </c>
      <c r="O135">
        <v>3</v>
      </c>
      <c r="P135">
        <v>17</v>
      </c>
      <c r="Q135">
        <v>1</v>
      </c>
      <c r="R135">
        <v>2</v>
      </c>
      <c r="S135">
        <v>90</v>
      </c>
      <c r="T135">
        <v>16.7</v>
      </c>
      <c r="U135">
        <v>164</v>
      </c>
      <c r="V135" s="19" t="s">
        <v>1957</v>
      </c>
      <c r="W135" s="19" t="s">
        <v>1572</v>
      </c>
      <c r="X135">
        <v>347</v>
      </c>
      <c r="Y135">
        <v>374</v>
      </c>
      <c r="Z135">
        <v>48.1</v>
      </c>
      <c r="AA135">
        <v>30</v>
      </c>
      <c r="AB135">
        <v>32</v>
      </c>
      <c r="AC135">
        <v>21</v>
      </c>
      <c r="AD135">
        <v>34</v>
      </c>
      <c r="AE135" s="19" t="s">
        <v>60</v>
      </c>
    </row>
    <row r="136" spans="1:31" x14ac:dyDescent="0.2">
      <c r="A136">
        <v>131</v>
      </c>
      <c r="B136" s="19" t="s">
        <v>488</v>
      </c>
      <c r="C136">
        <v>23</v>
      </c>
      <c r="D136" s="19" t="s">
        <v>324</v>
      </c>
      <c r="E136" s="19" t="s">
        <v>338</v>
      </c>
      <c r="F136">
        <v>51</v>
      </c>
      <c r="G136">
        <v>11</v>
      </c>
      <c r="H136">
        <v>24</v>
      </c>
      <c r="I136">
        <v>35</v>
      </c>
      <c r="J136">
        <v>-26</v>
      </c>
      <c r="K136">
        <v>26</v>
      </c>
      <c r="L136">
        <v>8</v>
      </c>
      <c r="M136">
        <v>3</v>
      </c>
      <c r="N136">
        <v>0</v>
      </c>
      <c r="O136">
        <v>1</v>
      </c>
      <c r="P136">
        <v>15</v>
      </c>
      <c r="Q136">
        <v>9</v>
      </c>
      <c r="R136">
        <v>0</v>
      </c>
      <c r="S136">
        <v>127</v>
      </c>
      <c r="T136">
        <v>8.6999999999999993</v>
      </c>
      <c r="U136">
        <v>231</v>
      </c>
      <c r="V136" s="19" t="s">
        <v>2207</v>
      </c>
      <c r="W136" s="19" t="s">
        <v>1220</v>
      </c>
      <c r="X136">
        <v>1</v>
      </c>
      <c r="Y136">
        <v>12</v>
      </c>
      <c r="Z136">
        <v>7.7</v>
      </c>
      <c r="AA136">
        <v>35</v>
      </c>
      <c r="AB136">
        <v>45</v>
      </c>
      <c r="AC136">
        <v>14</v>
      </c>
      <c r="AD136">
        <v>51</v>
      </c>
      <c r="AE136" s="19" t="s">
        <v>60</v>
      </c>
    </row>
    <row r="137" spans="1:31" x14ac:dyDescent="0.2">
      <c r="A137">
        <v>132</v>
      </c>
      <c r="B137" s="19" t="s">
        <v>489</v>
      </c>
      <c r="C137">
        <v>35</v>
      </c>
      <c r="D137" s="19" t="s">
        <v>373</v>
      </c>
      <c r="E137" s="19" t="s">
        <v>347</v>
      </c>
      <c r="F137">
        <v>51</v>
      </c>
      <c r="G137">
        <v>4</v>
      </c>
      <c r="H137">
        <v>31</v>
      </c>
      <c r="I137">
        <v>35</v>
      </c>
      <c r="J137">
        <v>6</v>
      </c>
      <c r="K137">
        <v>16</v>
      </c>
      <c r="L137">
        <v>2</v>
      </c>
      <c r="M137">
        <v>2</v>
      </c>
      <c r="N137">
        <v>0</v>
      </c>
      <c r="O137">
        <v>0</v>
      </c>
      <c r="P137">
        <v>19</v>
      </c>
      <c r="Q137">
        <v>12</v>
      </c>
      <c r="R137">
        <v>0</v>
      </c>
      <c r="S137">
        <v>108</v>
      </c>
      <c r="T137">
        <v>3.7</v>
      </c>
      <c r="U137">
        <v>300</v>
      </c>
      <c r="V137" s="19" t="s">
        <v>2507</v>
      </c>
      <c r="W137" s="19" t="s">
        <v>2445</v>
      </c>
      <c r="X137">
        <v>0</v>
      </c>
      <c r="Y137">
        <v>0</v>
      </c>
      <c r="AA137">
        <v>43</v>
      </c>
      <c r="AB137">
        <v>13</v>
      </c>
      <c r="AC137">
        <v>24</v>
      </c>
      <c r="AD137">
        <v>65</v>
      </c>
      <c r="AE137" s="19" t="s">
        <v>60</v>
      </c>
    </row>
    <row r="138" spans="1:31" x14ac:dyDescent="0.2">
      <c r="A138">
        <v>133</v>
      </c>
      <c r="B138" s="19" t="s">
        <v>587</v>
      </c>
      <c r="C138">
        <v>30</v>
      </c>
      <c r="D138" s="19" t="s">
        <v>321</v>
      </c>
      <c r="E138" s="19" t="s">
        <v>334</v>
      </c>
      <c r="F138">
        <v>47</v>
      </c>
      <c r="G138">
        <v>12</v>
      </c>
      <c r="H138">
        <v>23</v>
      </c>
      <c r="I138">
        <v>35</v>
      </c>
      <c r="J138">
        <v>6</v>
      </c>
      <c r="K138">
        <v>18</v>
      </c>
      <c r="L138">
        <v>11</v>
      </c>
      <c r="M138">
        <v>1</v>
      </c>
      <c r="N138">
        <v>0</v>
      </c>
      <c r="O138">
        <v>1</v>
      </c>
      <c r="P138">
        <v>20</v>
      </c>
      <c r="Q138">
        <v>3</v>
      </c>
      <c r="R138">
        <v>0</v>
      </c>
      <c r="S138">
        <v>108</v>
      </c>
      <c r="T138">
        <v>11.1</v>
      </c>
      <c r="U138">
        <v>219</v>
      </c>
      <c r="V138" s="19" t="s">
        <v>2508</v>
      </c>
      <c r="W138" s="19" t="s">
        <v>2509</v>
      </c>
      <c r="X138">
        <v>2</v>
      </c>
      <c r="Y138">
        <v>1</v>
      </c>
      <c r="Z138">
        <v>66.7</v>
      </c>
      <c r="AA138">
        <v>17</v>
      </c>
      <c r="AB138">
        <v>41</v>
      </c>
      <c r="AC138">
        <v>16</v>
      </c>
      <c r="AD138">
        <v>38</v>
      </c>
      <c r="AE138" s="19" t="s">
        <v>60</v>
      </c>
    </row>
    <row r="139" spans="1:31" x14ac:dyDescent="0.2">
      <c r="A139">
        <v>134</v>
      </c>
      <c r="B139" s="19" t="s">
        <v>445</v>
      </c>
      <c r="C139">
        <v>27</v>
      </c>
      <c r="D139" s="19" t="s">
        <v>440</v>
      </c>
      <c r="E139" s="19" t="s">
        <v>322</v>
      </c>
      <c r="F139">
        <v>50</v>
      </c>
      <c r="G139">
        <v>13</v>
      </c>
      <c r="H139">
        <v>22</v>
      </c>
      <c r="I139">
        <v>35</v>
      </c>
      <c r="J139">
        <v>-16</v>
      </c>
      <c r="K139">
        <v>14</v>
      </c>
      <c r="L139">
        <v>10</v>
      </c>
      <c r="M139">
        <v>2</v>
      </c>
      <c r="N139">
        <v>1</v>
      </c>
      <c r="O139">
        <v>0</v>
      </c>
      <c r="P139">
        <v>13</v>
      </c>
      <c r="Q139">
        <v>9</v>
      </c>
      <c r="R139">
        <v>0</v>
      </c>
      <c r="S139">
        <v>90</v>
      </c>
      <c r="T139">
        <v>14.4</v>
      </c>
      <c r="U139">
        <v>200</v>
      </c>
      <c r="V139" s="19" t="s">
        <v>2510</v>
      </c>
      <c r="W139" s="19" t="s">
        <v>1220</v>
      </c>
      <c r="X139">
        <v>457</v>
      </c>
      <c r="Y139">
        <v>538</v>
      </c>
      <c r="Z139">
        <v>45.9</v>
      </c>
      <c r="AA139">
        <v>88</v>
      </c>
      <c r="AB139">
        <v>44</v>
      </c>
      <c r="AC139">
        <v>23</v>
      </c>
      <c r="AD139">
        <v>48</v>
      </c>
      <c r="AE139" s="19" t="s">
        <v>60</v>
      </c>
    </row>
    <row r="140" spans="1:31" x14ac:dyDescent="0.2">
      <c r="A140">
        <v>135</v>
      </c>
      <c r="B140" s="19" t="s">
        <v>481</v>
      </c>
      <c r="C140">
        <v>26</v>
      </c>
      <c r="D140" s="19" t="s">
        <v>403</v>
      </c>
      <c r="E140" s="19" t="s">
        <v>334</v>
      </c>
      <c r="F140">
        <v>57</v>
      </c>
      <c r="G140">
        <v>19</v>
      </c>
      <c r="H140">
        <v>16</v>
      </c>
      <c r="I140">
        <v>35</v>
      </c>
      <c r="J140">
        <v>-10</v>
      </c>
      <c r="K140">
        <v>26</v>
      </c>
      <c r="L140">
        <v>15</v>
      </c>
      <c r="M140">
        <v>2</v>
      </c>
      <c r="N140">
        <v>2</v>
      </c>
      <c r="O140">
        <v>1</v>
      </c>
      <c r="P140">
        <v>13</v>
      </c>
      <c r="Q140">
        <v>3</v>
      </c>
      <c r="R140">
        <v>0</v>
      </c>
      <c r="S140">
        <v>149</v>
      </c>
      <c r="T140">
        <v>12.8</v>
      </c>
      <c r="U140">
        <v>293</v>
      </c>
      <c r="V140" s="19" t="s">
        <v>2511</v>
      </c>
      <c r="W140" s="19" t="s">
        <v>924</v>
      </c>
      <c r="X140">
        <v>4</v>
      </c>
      <c r="Y140">
        <v>12</v>
      </c>
      <c r="Z140">
        <v>25</v>
      </c>
      <c r="AA140">
        <v>31</v>
      </c>
      <c r="AB140">
        <v>107</v>
      </c>
      <c r="AC140">
        <v>15</v>
      </c>
      <c r="AD140">
        <v>56</v>
      </c>
      <c r="AE140" s="19" t="s">
        <v>60</v>
      </c>
    </row>
    <row r="141" spans="1:31" x14ac:dyDescent="0.2">
      <c r="A141">
        <v>136</v>
      </c>
      <c r="B141" s="19" t="s">
        <v>566</v>
      </c>
      <c r="C141">
        <v>30</v>
      </c>
      <c r="D141" s="19" t="s">
        <v>502</v>
      </c>
      <c r="E141" s="19" t="s">
        <v>338</v>
      </c>
      <c r="F141">
        <v>57</v>
      </c>
      <c r="G141">
        <v>12</v>
      </c>
      <c r="H141">
        <v>22</v>
      </c>
      <c r="I141">
        <v>34</v>
      </c>
      <c r="J141">
        <v>-15</v>
      </c>
      <c r="K141">
        <v>18</v>
      </c>
      <c r="L141">
        <v>8</v>
      </c>
      <c r="M141">
        <v>4</v>
      </c>
      <c r="N141">
        <v>0</v>
      </c>
      <c r="O141">
        <v>1</v>
      </c>
      <c r="P141">
        <v>13</v>
      </c>
      <c r="Q141">
        <v>9</v>
      </c>
      <c r="R141">
        <v>0</v>
      </c>
      <c r="S141">
        <v>107</v>
      </c>
      <c r="T141">
        <v>11.2</v>
      </c>
      <c r="U141">
        <v>210</v>
      </c>
      <c r="V141" s="19" t="s">
        <v>2208</v>
      </c>
      <c r="W141" s="19" t="s">
        <v>1712</v>
      </c>
      <c r="X141">
        <v>43</v>
      </c>
      <c r="Y141">
        <v>65</v>
      </c>
      <c r="Z141">
        <v>39.799999999999997</v>
      </c>
      <c r="AA141">
        <v>25</v>
      </c>
      <c r="AB141">
        <v>24</v>
      </c>
      <c r="AC141">
        <v>20</v>
      </c>
      <c r="AD141">
        <v>49</v>
      </c>
      <c r="AE141" s="19" t="s">
        <v>60</v>
      </c>
    </row>
    <row r="142" spans="1:31" x14ac:dyDescent="0.2">
      <c r="A142">
        <v>137</v>
      </c>
      <c r="B142" s="19" t="s">
        <v>570</v>
      </c>
      <c r="C142">
        <v>29</v>
      </c>
      <c r="D142" s="19" t="s">
        <v>520</v>
      </c>
      <c r="E142" s="19" t="s">
        <v>347</v>
      </c>
      <c r="F142">
        <v>56</v>
      </c>
      <c r="G142">
        <v>8</v>
      </c>
      <c r="H142">
        <v>26</v>
      </c>
      <c r="I142">
        <v>34</v>
      </c>
      <c r="J142">
        <v>-18</v>
      </c>
      <c r="K142">
        <v>38</v>
      </c>
      <c r="L142">
        <v>6</v>
      </c>
      <c r="M142">
        <v>2</v>
      </c>
      <c r="N142">
        <v>0</v>
      </c>
      <c r="O142">
        <v>3</v>
      </c>
      <c r="P142">
        <v>9</v>
      </c>
      <c r="Q142">
        <v>17</v>
      </c>
      <c r="R142">
        <v>0</v>
      </c>
      <c r="S142">
        <v>120</v>
      </c>
      <c r="T142">
        <v>6.7</v>
      </c>
      <c r="U142">
        <v>259</v>
      </c>
      <c r="V142" s="19" t="s">
        <v>2512</v>
      </c>
      <c r="W142" s="19" t="s">
        <v>1648</v>
      </c>
      <c r="X142">
        <v>0</v>
      </c>
      <c r="Y142">
        <v>0</v>
      </c>
      <c r="AA142">
        <v>59</v>
      </c>
      <c r="AB142">
        <v>17</v>
      </c>
      <c r="AC142">
        <v>20</v>
      </c>
      <c r="AD142">
        <v>67</v>
      </c>
      <c r="AE142" s="19" t="s">
        <v>60</v>
      </c>
    </row>
    <row r="143" spans="1:31" x14ac:dyDescent="0.2">
      <c r="A143">
        <v>138</v>
      </c>
      <c r="B143" s="19" t="s">
        <v>509</v>
      </c>
      <c r="C143">
        <v>29</v>
      </c>
      <c r="D143" s="19" t="s">
        <v>403</v>
      </c>
      <c r="E143" s="19" t="s">
        <v>322</v>
      </c>
      <c r="F143">
        <v>56</v>
      </c>
      <c r="G143">
        <v>12</v>
      </c>
      <c r="H143">
        <v>22</v>
      </c>
      <c r="I143">
        <v>34</v>
      </c>
      <c r="J143">
        <v>-1</v>
      </c>
      <c r="K143">
        <v>16</v>
      </c>
      <c r="L143">
        <v>11</v>
      </c>
      <c r="M143">
        <v>1</v>
      </c>
      <c r="N143">
        <v>0</v>
      </c>
      <c r="O143">
        <v>1</v>
      </c>
      <c r="P143">
        <v>21</v>
      </c>
      <c r="Q143">
        <v>1</v>
      </c>
      <c r="R143">
        <v>0</v>
      </c>
      <c r="S143">
        <v>110</v>
      </c>
      <c r="T143">
        <v>10.9</v>
      </c>
      <c r="U143">
        <v>184</v>
      </c>
      <c r="V143" s="19" t="s">
        <v>2513</v>
      </c>
      <c r="W143" s="19" t="s">
        <v>2509</v>
      </c>
      <c r="X143">
        <v>406</v>
      </c>
      <c r="Y143">
        <v>345</v>
      </c>
      <c r="Z143">
        <v>54.1</v>
      </c>
      <c r="AA143">
        <v>33</v>
      </c>
      <c r="AB143">
        <v>25</v>
      </c>
      <c r="AC143">
        <v>13</v>
      </c>
      <c r="AD143">
        <v>46</v>
      </c>
      <c r="AE143" s="19" t="s">
        <v>60</v>
      </c>
    </row>
    <row r="144" spans="1:31" x14ac:dyDescent="0.2">
      <c r="A144">
        <v>139</v>
      </c>
      <c r="B144" s="19" t="s">
        <v>459</v>
      </c>
      <c r="C144">
        <v>34</v>
      </c>
      <c r="D144" s="19" t="s">
        <v>357</v>
      </c>
      <c r="E144" s="19" t="s">
        <v>347</v>
      </c>
      <c r="F144">
        <v>58</v>
      </c>
      <c r="G144">
        <v>8</v>
      </c>
      <c r="H144">
        <v>26</v>
      </c>
      <c r="I144">
        <v>34</v>
      </c>
      <c r="J144">
        <v>-1</v>
      </c>
      <c r="K144">
        <v>38</v>
      </c>
      <c r="L144">
        <v>8</v>
      </c>
      <c r="M144">
        <v>0</v>
      </c>
      <c r="N144">
        <v>0</v>
      </c>
      <c r="O144">
        <v>0</v>
      </c>
      <c r="P144">
        <v>22</v>
      </c>
      <c r="Q144">
        <v>4</v>
      </c>
      <c r="R144">
        <v>0</v>
      </c>
      <c r="S144">
        <v>84</v>
      </c>
      <c r="T144">
        <v>9.5</v>
      </c>
      <c r="U144">
        <v>208</v>
      </c>
      <c r="V144" s="19" t="s">
        <v>2514</v>
      </c>
      <c r="W144" s="19" t="s">
        <v>2515</v>
      </c>
      <c r="X144">
        <v>0</v>
      </c>
      <c r="Y144">
        <v>0</v>
      </c>
      <c r="AA144">
        <v>51</v>
      </c>
      <c r="AB144">
        <v>70</v>
      </c>
      <c r="AC144">
        <v>12</v>
      </c>
      <c r="AD144">
        <v>83</v>
      </c>
      <c r="AE144" s="19" t="s">
        <v>60</v>
      </c>
    </row>
    <row r="145" spans="1:31" x14ac:dyDescent="0.2">
      <c r="A145">
        <v>140</v>
      </c>
      <c r="B145" s="19" t="s">
        <v>651</v>
      </c>
      <c r="C145">
        <v>25</v>
      </c>
      <c r="D145" s="19" t="s">
        <v>423</v>
      </c>
      <c r="E145" s="19" t="s">
        <v>347</v>
      </c>
      <c r="F145">
        <v>56</v>
      </c>
      <c r="G145">
        <v>11</v>
      </c>
      <c r="H145">
        <v>23</v>
      </c>
      <c r="I145">
        <v>34</v>
      </c>
      <c r="J145">
        <v>28</v>
      </c>
      <c r="K145">
        <v>16</v>
      </c>
      <c r="L145">
        <v>10</v>
      </c>
      <c r="M145">
        <v>0</v>
      </c>
      <c r="N145">
        <v>1</v>
      </c>
      <c r="O145">
        <v>3</v>
      </c>
      <c r="P145">
        <v>21</v>
      </c>
      <c r="Q145">
        <v>0</v>
      </c>
      <c r="R145">
        <v>2</v>
      </c>
      <c r="S145">
        <v>80</v>
      </c>
      <c r="T145">
        <v>13.8</v>
      </c>
      <c r="U145">
        <v>171</v>
      </c>
      <c r="V145" s="19" t="s">
        <v>2516</v>
      </c>
      <c r="W145" s="19" t="s">
        <v>2517</v>
      </c>
      <c r="X145">
        <v>0</v>
      </c>
      <c r="Y145">
        <v>0</v>
      </c>
      <c r="AA145">
        <v>113</v>
      </c>
      <c r="AB145">
        <v>98</v>
      </c>
      <c r="AC145">
        <v>11</v>
      </c>
      <c r="AD145">
        <v>54</v>
      </c>
      <c r="AE145" s="19" t="s">
        <v>60</v>
      </c>
    </row>
    <row r="146" spans="1:31" x14ac:dyDescent="0.2">
      <c r="A146">
        <v>141</v>
      </c>
      <c r="B146" s="19" t="s">
        <v>458</v>
      </c>
      <c r="C146">
        <v>29</v>
      </c>
      <c r="D146" s="19" t="s">
        <v>933</v>
      </c>
      <c r="E146" s="19" t="s">
        <v>347</v>
      </c>
      <c r="F146">
        <v>57</v>
      </c>
      <c r="G146">
        <v>11</v>
      </c>
      <c r="H146">
        <v>23</v>
      </c>
      <c r="I146">
        <v>34</v>
      </c>
      <c r="J146">
        <v>6</v>
      </c>
      <c r="K146">
        <v>57</v>
      </c>
      <c r="L146">
        <v>7</v>
      </c>
      <c r="M146">
        <v>4</v>
      </c>
      <c r="N146">
        <v>0</v>
      </c>
      <c r="O146">
        <v>0</v>
      </c>
      <c r="P146">
        <v>17</v>
      </c>
      <c r="Q146">
        <v>6</v>
      </c>
      <c r="R146">
        <v>0</v>
      </c>
      <c r="S146">
        <v>132</v>
      </c>
      <c r="T146">
        <v>8.3000000000000007</v>
      </c>
      <c r="U146">
        <v>294</v>
      </c>
      <c r="V146" s="19" t="s">
        <v>2518</v>
      </c>
      <c r="W146" s="19" t="s">
        <v>1816</v>
      </c>
      <c r="X146">
        <v>0</v>
      </c>
      <c r="Y146">
        <v>0</v>
      </c>
      <c r="AA146">
        <v>112</v>
      </c>
      <c r="AB146">
        <v>30</v>
      </c>
      <c r="AC146">
        <v>19</v>
      </c>
      <c r="AD146">
        <v>74</v>
      </c>
      <c r="AE146" s="19" t="s">
        <v>60</v>
      </c>
    </row>
    <row r="147" spans="1:31" x14ac:dyDescent="0.2">
      <c r="A147">
        <v>141</v>
      </c>
      <c r="B147" s="19" t="s">
        <v>458</v>
      </c>
      <c r="C147">
        <v>29</v>
      </c>
      <c r="D147" s="19" t="s">
        <v>430</v>
      </c>
      <c r="E147" s="19" t="s">
        <v>347</v>
      </c>
      <c r="F147">
        <v>48</v>
      </c>
      <c r="G147">
        <v>10</v>
      </c>
      <c r="H147">
        <v>20</v>
      </c>
      <c r="I147">
        <v>30</v>
      </c>
      <c r="J147">
        <v>3</v>
      </c>
      <c r="K147">
        <v>53</v>
      </c>
      <c r="L147">
        <v>6</v>
      </c>
      <c r="M147">
        <v>4</v>
      </c>
      <c r="N147">
        <v>0</v>
      </c>
      <c r="O147">
        <v>0</v>
      </c>
      <c r="P147">
        <v>14</v>
      </c>
      <c r="Q147">
        <v>6</v>
      </c>
      <c r="R147">
        <v>0</v>
      </c>
      <c r="S147">
        <v>112</v>
      </c>
      <c r="T147">
        <v>8.9</v>
      </c>
      <c r="U147">
        <v>259</v>
      </c>
      <c r="V147" s="19" t="s">
        <v>1918</v>
      </c>
      <c r="W147" s="19" t="s">
        <v>1865</v>
      </c>
      <c r="X147">
        <v>0</v>
      </c>
      <c r="Y147">
        <v>0</v>
      </c>
      <c r="AA147">
        <v>90</v>
      </c>
      <c r="AB147">
        <v>29</v>
      </c>
      <c r="AC147">
        <v>18</v>
      </c>
      <c r="AD147">
        <v>66</v>
      </c>
      <c r="AE147" s="19" t="s">
        <v>60</v>
      </c>
    </row>
    <row r="148" spans="1:31" x14ac:dyDescent="0.2">
      <c r="A148">
        <v>141</v>
      </c>
      <c r="B148" s="19" t="s">
        <v>458</v>
      </c>
      <c r="C148">
        <v>29</v>
      </c>
      <c r="D148" s="19" t="s">
        <v>342</v>
      </c>
      <c r="E148" s="19" t="s">
        <v>347</v>
      </c>
      <c r="F148">
        <v>9</v>
      </c>
      <c r="G148">
        <v>1</v>
      </c>
      <c r="H148">
        <v>3</v>
      </c>
      <c r="I148">
        <v>4</v>
      </c>
      <c r="J148">
        <v>3</v>
      </c>
      <c r="K148">
        <v>4</v>
      </c>
      <c r="L148">
        <v>1</v>
      </c>
      <c r="M148">
        <v>0</v>
      </c>
      <c r="N148">
        <v>0</v>
      </c>
      <c r="O148">
        <v>0</v>
      </c>
      <c r="P148">
        <v>3</v>
      </c>
      <c r="Q148">
        <v>0</v>
      </c>
      <c r="R148">
        <v>0</v>
      </c>
      <c r="S148">
        <v>20</v>
      </c>
      <c r="T148">
        <v>5</v>
      </c>
      <c r="U148">
        <v>35</v>
      </c>
      <c r="V148" s="19" t="s">
        <v>2519</v>
      </c>
      <c r="W148" s="19" t="s">
        <v>1928</v>
      </c>
      <c r="X148">
        <v>0</v>
      </c>
      <c r="Y148">
        <v>0</v>
      </c>
      <c r="AA148">
        <v>22</v>
      </c>
      <c r="AB148">
        <v>1</v>
      </c>
      <c r="AC148">
        <v>1</v>
      </c>
      <c r="AD148">
        <v>8</v>
      </c>
      <c r="AE148" s="19" t="s">
        <v>60</v>
      </c>
    </row>
    <row r="149" spans="1:31" x14ac:dyDescent="0.2">
      <c r="A149">
        <v>142</v>
      </c>
      <c r="B149" s="19" t="s">
        <v>547</v>
      </c>
      <c r="C149">
        <v>36</v>
      </c>
      <c r="D149" s="19" t="s">
        <v>430</v>
      </c>
      <c r="E149" s="19" t="s">
        <v>322</v>
      </c>
      <c r="F149">
        <v>56</v>
      </c>
      <c r="G149">
        <v>12</v>
      </c>
      <c r="H149">
        <v>21</v>
      </c>
      <c r="I149">
        <v>33</v>
      </c>
      <c r="J149">
        <v>13</v>
      </c>
      <c r="K149">
        <v>12</v>
      </c>
      <c r="L149">
        <v>10</v>
      </c>
      <c r="M149">
        <v>1</v>
      </c>
      <c r="N149">
        <v>1</v>
      </c>
      <c r="O149">
        <v>2</v>
      </c>
      <c r="P149">
        <v>16</v>
      </c>
      <c r="Q149">
        <v>2</v>
      </c>
      <c r="R149">
        <v>3</v>
      </c>
      <c r="S149">
        <v>135</v>
      </c>
      <c r="T149">
        <v>8.9</v>
      </c>
      <c r="U149">
        <v>246</v>
      </c>
      <c r="V149" s="19" t="s">
        <v>2209</v>
      </c>
      <c r="W149" s="19" t="s">
        <v>1507</v>
      </c>
      <c r="X149">
        <v>507</v>
      </c>
      <c r="Y149">
        <v>503</v>
      </c>
      <c r="Z149">
        <v>50.2</v>
      </c>
      <c r="AA149">
        <v>18</v>
      </c>
      <c r="AB149">
        <v>20</v>
      </c>
      <c r="AC149">
        <v>24</v>
      </c>
      <c r="AD149">
        <v>52</v>
      </c>
      <c r="AE149" s="19" t="s">
        <v>60</v>
      </c>
    </row>
    <row r="150" spans="1:31" x14ac:dyDescent="0.2">
      <c r="A150">
        <v>143</v>
      </c>
      <c r="B150" s="19" t="s">
        <v>482</v>
      </c>
      <c r="C150">
        <v>22</v>
      </c>
      <c r="D150" s="19" t="s">
        <v>393</v>
      </c>
      <c r="E150" s="19" t="s">
        <v>334</v>
      </c>
      <c r="F150">
        <v>57</v>
      </c>
      <c r="G150">
        <v>16</v>
      </c>
      <c r="H150">
        <v>17</v>
      </c>
      <c r="I150">
        <v>33</v>
      </c>
      <c r="J150">
        <v>0</v>
      </c>
      <c r="K150">
        <v>30</v>
      </c>
      <c r="L150">
        <v>13</v>
      </c>
      <c r="M150">
        <v>3</v>
      </c>
      <c r="N150">
        <v>0</v>
      </c>
      <c r="O150">
        <v>2</v>
      </c>
      <c r="P150">
        <v>12</v>
      </c>
      <c r="Q150">
        <v>5</v>
      </c>
      <c r="R150">
        <v>0</v>
      </c>
      <c r="S150">
        <v>116</v>
      </c>
      <c r="T150">
        <v>13.8</v>
      </c>
      <c r="U150">
        <v>226</v>
      </c>
      <c r="V150" s="19" t="s">
        <v>2520</v>
      </c>
      <c r="W150" s="19" t="s">
        <v>2521</v>
      </c>
      <c r="X150">
        <v>0</v>
      </c>
      <c r="Y150">
        <v>8</v>
      </c>
      <c r="Z150">
        <v>0</v>
      </c>
      <c r="AA150">
        <v>20</v>
      </c>
      <c r="AB150">
        <v>11</v>
      </c>
      <c r="AC150">
        <v>22</v>
      </c>
      <c r="AD150">
        <v>59</v>
      </c>
      <c r="AE150" s="19" t="s">
        <v>60</v>
      </c>
    </row>
    <row r="151" spans="1:31" x14ac:dyDescent="0.2">
      <c r="A151">
        <v>144</v>
      </c>
      <c r="B151" s="19" t="s">
        <v>622</v>
      </c>
      <c r="C151">
        <v>31</v>
      </c>
      <c r="D151" s="19" t="s">
        <v>368</v>
      </c>
      <c r="E151" s="19" t="s">
        <v>322</v>
      </c>
      <c r="F151">
        <v>58</v>
      </c>
      <c r="G151">
        <v>8</v>
      </c>
      <c r="H151">
        <v>25</v>
      </c>
      <c r="I151">
        <v>33</v>
      </c>
      <c r="J151">
        <v>-1</v>
      </c>
      <c r="K151">
        <v>16</v>
      </c>
      <c r="L151">
        <v>7</v>
      </c>
      <c r="M151">
        <v>1</v>
      </c>
      <c r="N151">
        <v>0</v>
      </c>
      <c r="O151">
        <v>1</v>
      </c>
      <c r="P151">
        <v>19</v>
      </c>
      <c r="Q151">
        <v>6</v>
      </c>
      <c r="R151">
        <v>0</v>
      </c>
      <c r="S151">
        <v>84</v>
      </c>
      <c r="T151">
        <v>9.5</v>
      </c>
      <c r="U151">
        <v>154</v>
      </c>
      <c r="V151" s="19" t="s">
        <v>2031</v>
      </c>
      <c r="W151" s="19" t="s">
        <v>1863</v>
      </c>
      <c r="X151">
        <v>363</v>
      </c>
      <c r="Y151">
        <v>300</v>
      </c>
      <c r="Z151">
        <v>54.8</v>
      </c>
      <c r="AA151">
        <v>43</v>
      </c>
      <c r="AB151">
        <v>33</v>
      </c>
      <c r="AC151">
        <v>15</v>
      </c>
      <c r="AD151">
        <v>54</v>
      </c>
      <c r="AE151" s="19" t="s">
        <v>60</v>
      </c>
    </row>
    <row r="152" spans="1:31" x14ac:dyDescent="0.2">
      <c r="A152">
        <v>145</v>
      </c>
      <c r="B152" s="19" t="s">
        <v>672</v>
      </c>
      <c r="C152">
        <v>29</v>
      </c>
      <c r="D152" s="19" t="s">
        <v>350</v>
      </c>
      <c r="E152" s="19" t="s">
        <v>322</v>
      </c>
      <c r="F152">
        <v>38</v>
      </c>
      <c r="G152">
        <v>13</v>
      </c>
      <c r="H152">
        <v>20</v>
      </c>
      <c r="I152">
        <v>33</v>
      </c>
      <c r="J152">
        <v>8</v>
      </c>
      <c r="K152">
        <v>8</v>
      </c>
      <c r="L152">
        <v>10</v>
      </c>
      <c r="M152">
        <v>3</v>
      </c>
      <c r="N152">
        <v>0</v>
      </c>
      <c r="O152">
        <v>0</v>
      </c>
      <c r="P152">
        <v>16</v>
      </c>
      <c r="Q152">
        <v>4</v>
      </c>
      <c r="R152">
        <v>0</v>
      </c>
      <c r="S152">
        <v>87</v>
      </c>
      <c r="T152">
        <v>14.9</v>
      </c>
      <c r="U152">
        <v>154</v>
      </c>
      <c r="V152" s="19" t="s">
        <v>2522</v>
      </c>
      <c r="W152" s="19" t="s">
        <v>1499</v>
      </c>
      <c r="X152">
        <v>186</v>
      </c>
      <c r="Y152">
        <v>214</v>
      </c>
      <c r="Z152">
        <v>46.5</v>
      </c>
      <c r="AA152">
        <v>13</v>
      </c>
      <c r="AB152">
        <v>4</v>
      </c>
      <c r="AC152">
        <v>5</v>
      </c>
      <c r="AD152">
        <v>22</v>
      </c>
      <c r="AE152" s="19" t="s">
        <v>60</v>
      </c>
    </row>
    <row r="153" spans="1:31" x14ac:dyDescent="0.2">
      <c r="A153">
        <v>146</v>
      </c>
      <c r="B153" s="19" t="s">
        <v>501</v>
      </c>
      <c r="C153">
        <v>26</v>
      </c>
      <c r="D153" s="19" t="s">
        <v>502</v>
      </c>
      <c r="E153" s="19" t="s">
        <v>322</v>
      </c>
      <c r="F153">
        <v>42</v>
      </c>
      <c r="G153">
        <v>11</v>
      </c>
      <c r="H153">
        <v>22</v>
      </c>
      <c r="I153">
        <v>33</v>
      </c>
      <c r="J153">
        <v>-3</v>
      </c>
      <c r="K153">
        <v>12</v>
      </c>
      <c r="L153">
        <v>6</v>
      </c>
      <c r="M153">
        <v>3</v>
      </c>
      <c r="N153">
        <v>2</v>
      </c>
      <c r="O153">
        <v>0</v>
      </c>
      <c r="P153">
        <v>16</v>
      </c>
      <c r="Q153">
        <v>6</v>
      </c>
      <c r="R153">
        <v>0</v>
      </c>
      <c r="S153">
        <v>60</v>
      </c>
      <c r="T153">
        <v>18.3</v>
      </c>
      <c r="U153">
        <v>121</v>
      </c>
      <c r="V153" s="19" t="s">
        <v>1783</v>
      </c>
      <c r="W153" s="19" t="s">
        <v>497</v>
      </c>
      <c r="X153">
        <v>379</v>
      </c>
      <c r="Y153">
        <v>346</v>
      </c>
      <c r="Z153">
        <v>52.3</v>
      </c>
      <c r="AA153">
        <v>23</v>
      </c>
      <c r="AB153">
        <v>7</v>
      </c>
      <c r="AC153">
        <v>22</v>
      </c>
      <c r="AD153">
        <v>58</v>
      </c>
      <c r="AE153" s="19" t="s">
        <v>60</v>
      </c>
    </row>
    <row r="154" spans="1:31" x14ac:dyDescent="0.2">
      <c r="A154">
        <v>147</v>
      </c>
      <c r="B154" s="19" t="s">
        <v>658</v>
      </c>
      <c r="C154">
        <v>38</v>
      </c>
      <c r="D154" s="19" t="s">
        <v>355</v>
      </c>
      <c r="E154" s="19" t="s">
        <v>338</v>
      </c>
      <c r="F154">
        <v>38</v>
      </c>
      <c r="G154">
        <v>9</v>
      </c>
      <c r="H154">
        <v>24</v>
      </c>
      <c r="I154">
        <v>33</v>
      </c>
      <c r="J154">
        <v>-3</v>
      </c>
      <c r="K154">
        <v>8</v>
      </c>
      <c r="L154">
        <v>6</v>
      </c>
      <c r="M154">
        <v>3</v>
      </c>
      <c r="N154">
        <v>0</v>
      </c>
      <c r="O154">
        <v>2</v>
      </c>
      <c r="P154">
        <v>14</v>
      </c>
      <c r="Q154">
        <v>10</v>
      </c>
      <c r="R154">
        <v>0</v>
      </c>
      <c r="S154">
        <v>74</v>
      </c>
      <c r="T154">
        <v>12.2</v>
      </c>
      <c r="U154">
        <v>161</v>
      </c>
      <c r="V154" s="19" t="s">
        <v>2210</v>
      </c>
      <c r="W154" s="19" t="s">
        <v>1913</v>
      </c>
      <c r="X154">
        <v>18</v>
      </c>
      <c r="Y154">
        <v>20</v>
      </c>
      <c r="Z154">
        <v>47.4</v>
      </c>
      <c r="AA154">
        <v>18</v>
      </c>
      <c r="AB154">
        <v>11</v>
      </c>
      <c r="AC154">
        <v>8</v>
      </c>
      <c r="AD154">
        <v>40</v>
      </c>
      <c r="AE154" s="19" t="s">
        <v>60</v>
      </c>
    </row>
    <row r="155" spans="1:31" x14ac:dyDescent="0.2">
      <c r="A155">
        <v>148</v>
      </c>
      <c r="B155" s="19" t="s">
        <v>469</v>
      </c>
      <c r="C155">
        <v>23</v>
      </c>
      <c r="D155" s="19" t="s">
        <v>415</v>
      </c>
      <c r="E155" s="19" t="s">
        <v>322</v>
      </c>
      <c r="F155">
        <v>56</v>
      </c>
      <c r="G155">
        <v>13</v>
      </c>
      <c r="H155">
        <v>19</v>
      </c>
      <c r="I155">
        <v>32</v>
      </c>
      <c r="J155">
        <v>-5</v>
      </c>
      <c r="K155">
        <v>30</v>
      </c>
      <c r="L155">
        <v>9</v>
      </c>
      <c r="M155">
        <v>4</v>
      </c>
      <c r="N155">
        <v>0</v>
      </c>
      <c r="O155">
        <v>3</v>
      </c>
      <c r="P155">
        <v>13</v>
      </c>
      <c r="Q155">
        <v>5</v>
      </c>
      <c r="R155">
        <v>1</v>
      </c>
      <c r="S155">
        <v>119</v>
      </c>
      <c r="T155">
        <v>10.9</v>
      </c>
      <c r="U155">
        <v>253</v>
      </c>
      <c r="V155" s="19" t="s">
        <v>2523</v>
      </c>
      <c r="W155" s="19" t="s">
        <v>1486</v>
      </c>
      <c r="X155">
        <v>344</v>
      </c>
      <c r="Y155">
        <v>462</v>
      </c>
      <c r="Z155">
        <v>42.7</v>
      </c>
      <c r="AA155">
        <v>31</v>
      </c>
      <c r="AB155">
        <v>42</v>
      </c>
      <c r="AC155">
        <v>26</v>
      </c>
      <c r="AD155">
        <v>57</v>
      </c>
      <c r="AE155" s="19" t="s">
        <v>60</v>
      </c>
    </row>
    <row r="156" spans="1:31" x14ac:dyDescent="0.2">
      <c r="A156">
        <v>149</v>
      </c>
      <c r="B156" s="19" t="s">
        <v>531</v>
      </c>
      <c r="C156">
        <v>28</v>
      </c>
      <c r="D156" s="19" t="s">
        <v>440</v>
      </c>
      <c r="E156" s="19" t="s">
        <v>347</v>
      </c>
      <c r="F156">
        <v>58</v>
      </c>
      <c r="G156">
        <v>5</v>
      </c>
      <c r="H156">
        <v>27</v>
      </c>
      <c r="I156">
        <v>32</v>
      </c>
      <c r="J156">
        <v>1</v>
      </c>
      <c r="K156">
        <v>14</v>
      </c>
      <c r="L156">
        <v>2</v>
      </c>
      <c r="M156">
        <v>3</v>
      </c>
      <c r="N156">
        <v>0</v>
      </c>
      <c r="O156">
        <v>1</v>
      </c>
      <c r="P156">
        <v>18</v>
      </c>
      <c r="Q156">
        <v>7</v>
      </c>
      <c r="R156">
        <v>2</v>
      </c>
      <c r="S156">
        <v>84</v>
      </c>
      <c r="T156">
        <v>6</v>
      </c>
      <c r="U156">
        <v>204</v>
      </c>
      <c r="V156" s="19" t="s">
        <v>2524</v>
      </c>
      <c r="W156" s="19" t="s">
        <v>1915</v>
      </c>
      <c r="X156">
        <v>0</v>
      </c>
      <c r="Y156">
        <v>0</v>
      </c>
      <c r="AA156">
        <v>79</v>
      </c>
      <c r="AB156">
        <v>91</v>
      </c>
      <c r="AC156">
        <v>25</v>
      </c>
      <c r="AD156">
        <v>65</v>
      </c>
      <c r="AE156" s="19" t="s">
        <v>60</v>
      </c>
    </row>
    <row r="157" spans="1:31" x14ac:dyDescent="0.2">
      <c r="A157">
        <v>150</v>
      </c>
      <c r="B157" s="19" t="s">
        <v>477</v>
      </c>
      <c r="C157">
        <v>37</v>
      </c>
      <c r="D157" s="19" t="s">
        <v>368</v>
      </c>
      <c r="E157" s="19" t="s">
        <v>334</v>
      </c>
      <c r="F157">
        <v>43</v>
      </c>
      <c r="G157">
        <v>8</v>
      </c>
      <c r="H157">
        <v>24</v>
      </c>
      <c r="I157">
        <v>32</v>
      </c>
      <c r="J157">
        <v>0</v>
      </c>
      <c r="K157">
        <v>10</v>
      </c>
      <c r="L157">
        <v>6</v>
      </c>
      <c r="M157">
        <v>2</v>
      </c>
      <c r="N157">
        <v>0</v>
      </c>
      <c r="O157">
        <v>2</v>
      </c>
      <c r="P157">
        <v>15</v>
      </c>
      <c r="Q157">
        <v>9</v>
      </c>
      <c r="R157">
        <v>0</v>
      </c>
      <c r="S157">
        <v>106</v>
      </c>
      <c r="T157">
        <v>7.5</v>
      </c>
      <c r="U157">
        <v>196</v>
      </c>
      <c r="V157" s="19" t="s">
        <v>2211</v>
      </c>
      <c r="W157" s="19" t="s">
        <v>1869</v>
      </c>
      <c r="X157">
        <v>2</v>
      </c>
      <c r="Y157">
        <v>2</v>
      </c>
      <c r="Z157">
        <v>50</v>
      </c>
      <c r="AA157">
        <v>18</v>
      </c>
      <c r="AB157">
        <v>10</v>
      </c>
      <c r="AC157">
        <v>3</v>
      </c>
      <c r="AD157">
        <v>44</v>
      </c>
      <c r="AE157" s="19" t="s">
        <v>60</v>
      </c>
    </row>
    <row r="158" spans="1:31" x14ac:dyDescent="0.2">
      <c r="A158">
        <v>151</v>
      </c>
      <c r="B158" s="19" t="s">
        <v>449</v>
      </c>
      <c r="C158">
        <v>34</v>
      </c>
      <c r="D158" s="19" t="s">
        <v>336</v>
      </c>
      <c r="E158" s="19" t="s">
        <v>338</v>
      </c>
      <c r="F158">
        <v>51</v>
      </c>
      <c r="G158">
        <v>19</v>
      </c>
      <c r="H158">
        <v>13</v>
      </c>
      <c r="I158">
        <v>32</v>
      </c>
      <c r="J158">
        <v>-3</v>
      </c>
      <c r="K158">
        <v>20</v>
      </c>
      <c r="L158">
        <v>12</v>
      </c>
      <c r="M158">
        <v>7</v>
      </c>
      <c r="N158">
        <v>0</v>
      </c>
      <c r="O158">
        <v>2</v>
      </c>
      <c r="P158">
        <v>9</v>
      </c>
      <c r="Q158">
        <v>4</v>
      </c>
      <c r="R158">
        <v>0</v>
      </c>
      <c r="S158">
        <v>97</v>
      </c>
      <c r="T158">
        <v>19.600000000000001</v>
      </c>
      <c r="U158">
        <v>204</v>
      </c>
      <c r="V158" s="19" t="s">
        <v>2525</v>
      </c>
      <c r="W158" s="19" t="s">
        <v>1603</v>
      </c>
      <c r="X158">
        <v>13</v>
      </c>
      <c r="Y158">
        <v>22</v>
      </c>
      <c r="Z158">
        <v>37.1</v>
      </c>
      <c r="AA158">
        <v>17</v>
      </c>
      <c r="AB158">
        <v>45</v>
      </c>
      <c r="AC158">
        <v>13</v>
      </c>
      <c r="AD158">
        <v>47</v>
      </c>
      <c r="AE158" s="19" t="s">
        <v>60</v>
      </c>
    </row>
    <row r="159" spans="1:31" x14ac:dyDescent="0.2">
      <c r="A159">
        <v>152</v>
      </c>
      <c r="B159" s="19" t="s">
        <v>533</v>
      </c>
      <c r="C159">
        <v>27</v>
      </c>
      <c r="D159" s="19" t="s">
        <v>502</v>
      </c>
      <c r="E159" s="19" t="s">
        <v>322</v>
      </c>
      <c r="F159">
        <v>47</v>
      </c>
      <c r="G159">
        <v>13</v>
      </c>
      <c r="H159">
        <v>19</v>
      </c>
      <c r="I159">
        <v>32</v>
      </c>
      <c r="J159">
        <v>-7</v>
      </c>
      <c r="K159">
        <v>4</v>
      </c>
      <c r="L159">
        <v>11</v>
      </c>
      <c r="M159">
        <v>2</v>
      </c>
      <c r="N159">
        <v>0</v>
      </c>
      <c r="O159">
        <v>0</v>
      </c>
      <c r="P159">
        <v>10</v>
      </c>
      <c r="Q159">
        <v>9</v>
      </c>
      <c r="R159">
        <v>0</v>
      </c>
      <c r="S159">
        <v>123</v>
      </c>
      <c r="T159">
        <v>10.6</v>
      </c>
      <c r="U159">
        <v>250</v>
      </c>
      <c r="V159" s="19" t="s">
        <v>2212</v>
      </c>
      <c r="W159" s="19" t="s">
        <v>1836</v>
      </c>
      <c r="X159">
        <v>2</v>
      </c>
      <c r="Y159">
        <v>9</v>
      </c>
      <c r="Z159">
        <v>18.2</v>
      </c>
      <c r="AA159">
        <v>17</v>
      </c>
      <c r="AB159">
        <v>11</v>
      </c>
      <c r="AC159">
        <v>16</v>
      </c>
      <c r="AD159">
        <v>28</v>
      </c>
      <c r="AE159" s="19" t="s">
        <v>60</v>
      </c>
    </row>
    <row r="160" spans="1:31" x14ac:dyDescent="0.2">
      <c r="A160">
        <v>153</v>
      </c>
      <c r="B160" s="19" t="s">
        <v>513</v>
      </c>
      <c r="C160">
        <v>24</v>
      </c>
      <c r="D160" s="19" t="s">
        <v>359</v>
      </c>
      <c r="E160" s="19" t="s">
        <v>338</v>
      </c>
      <c r="F160">
        <v>57</v>
      </c>
      <c r="G160">
        <v>12</v>
      </c>
      <c r="H160">
        <v>20</v>
      </c>
      <c r="I160">
        <v>32</v>
      </c>
      <c r="J160">
        <v>-15</v>
      </c>
      <c r="K160">
        <v>14</v>
      </c>
      <c r="L160">
        <v>9</v>
      </c>
      <c r="M160">
        <v>3</v>
      </c>
      <c r="N160">
        <v>0</v>
      </c>
      <c r="O160">
        <v>2</v>
      </c>
      <c r="P160">
        <v>17</v>
      </c>
      <c r="Q160">
        <v>3</v>
      </c>
      <c r="R160">
        <v>0</v>
      </c>
      <c r="S160">
        <v>107</v>
      </c>
      <c r="T160">
        <v>11.2</v>
      </c>
      <c r="U160">
        <v>220</v>
      </c>
      <c r="V160" s="19" t="s">
        <v>2526</v>
      </c>
      <c r="W160" s="19" t="s">
        <v>1997</v>
      </c>
      <c r="X160">
        <v>7</v>
      </c>
      <c r="Y160">
        <v>22</v>
      </c>
      <c r="Z160">
        <v>24.1</v>
      </c>
      <c r="AA160">
        <v>36</v>
      </c>
      <c r="AB160">
        <v>78</v>
      </c>
      <c r="AC160">
        <v>16</v>
      </c>
      <c r="AD160">
        <v>32</v>
      </c>
      <c r="AE160" s="19" t="s">
        <v>60</v>
      </c>
    </row>
    <row r="161" spans="1:31" x14ac:dyDescent="0.2">
      <c r="A161">
        <v>154</v>
      </c>
      <c r="B161" s="19" t="s">
        <v>586</v>
      </c>
      <c r="C161">
        <v>29</v>
      </c>
      <c r="D161" s="19" t="s">
        <v>357</v>
      </c>
      <c r="E161" s="19" t="s">
        <v>325</v>
      </c>
      <c r="F161">
        <v>57</v>
      </c>
      <c r="G161">
        <v>19</v>
      </c>
      <c r="H161">
        <v>13</v>
      </c>
      <c r="I161">
        <v>32</v>
      </c>
      <c r="J161">
        <v>-1</v>
      </c>
      <c r="K161">
        <v>40</v>
      </c>
      <c r="L161">
        <v>17</v>
      </c>
      <c r="M161">
        <v>2</v>
      </c>
      <c r="N161">
        <v>0</v>
      </c>
      <c r="O161">
        <v>3</v>
      </c>
      <c r="P161">
        <v>11</v>
      </c>
      <c r="Q161">
        <v>2</v>
      </c>
      <c r="R161">
        <v>0</v>
      </c>
      <c r="S161">
        <v>119</v>
      </c>
      <c r="T161">
        <v>16</v>
      </c>
      <c r="U161">
        <v>211</v>
      </c>
      <c r="V161" s="19" t="s">
        <v>2527</v>
      </c>
      <c r="W161" s="19" t="s">
        <v>1316</v>
      </c>
      <c r="X161">
        <v>6</v>
      </c>
      <c r="Y161">
        <v>3</v>
      </c>
      <c r="Z161">
        <v>66.7</v>
      </c>
      <c r="AA161">
        <v>23</v>
      </c>
      <c r="AB161">
        <v>129</v>
      </c>
      <c r="AC161">
        <v>14</v>
      </c>
      <c r="AD161">
        <v>25</v>
      </c>
      <c r="AE161" s="19" t="s">
        <v>60</v>
      </c>
    </row>
    <row r="162" spans="1:31" x14ac:dyDescent="0.2">
      <c r="A162">
        <v>155</v>
      </c>
      <c r="B162" s="19" t="s">
        <v>468</v>
      </c>
      <c r="C162">
        <v>25</v>
      </c>
      <c r="D162" s="19" t="s">
        <v>377</v>
      </c>
      <c r="E162" s="19" t="s">
        <v>338</v>
      </c>
      <c r="F162">
        <v>56</v>
      </c>
      <c r="G162">
        <v>17</v>
      </c>
      <c r="H162">
        <v>15</v>
      </c>
      <c r="I162">
        <v>32</v>
      </c>
      <c r="J162">
        <v>-2</v>
      </c>
      <c r="K162">
        <v>59</v>
      </c>
      <c r="L162">
        <v>10</v>
      </c>
      <c r="M162">
        <v>7</v>
      </c>
      <c r="N162">
        <v>0</v>
      </c>
      <c r="O162">
        <v>1</v>
      </c>
      <c r="P162">
        <v>13</v>
      </c>
      <c r="Q162">
        <v>2</v>
      </c>
      <c r="R162">
        <v>0</v>
      </c>
      <c r="S162">
        <v>104</v>
      </c>
      <c r="T162">
        <v>16.3</v>
      </c>
      <c r="U162">
        <v>179</v>
      </c>
      <c r="V162" s="19" t="s">
        <v>2213</v>
      </c>
      <c r="W162" s="19" t="s">
        <v>1585</v>
      </c>
      <c r="X162">
        <v>6</v>
      </c>
      <c r="Y162">
        <v>18</v>
      </c>
      <c r="Z162">
        <v>25</v>
      </c>
      <c r="AA162">
        <v>25</v>
      </c>
      <c r="AB162">
        <v>96</v>
      </c>
      <c r="AC162">
        <v>9</v>
      </c>
      <c r="AD162">
        <v>38</v>
      </c>
      <c r="AE162" s="19" t="s">
        <v>60</v>
      </c>
    </row>
    <row r="163" spans="1:31" x14ac:dyDescent="0.2">
      <c r="A163">
        <v>156</v>
      </c>
      <c r="B163" s="19" t="s">
        <v>666</v>
      </c>
      <c r="C163">
        <v>30</v>
      </c>
      <c r="D163" s="19" t="s">
        <v>357</v>
      </c>
      <c r="E163" s="19" t="s">
        <v>338</v>
      </c>
      <c r="F163">
        <v>56</v>
      </c>
      <c r="G163">
        <v>9</v>
      </c>
      <c r="H163">
        <v>22</v>
      </c>
      <c r="I163">
        <v>31</v>
      </c>
      <c r="J163">
        <v>-16</v>
      </c>
      <c r="K163">
        <v>32</v>
      </c>
      <c r="L163">
        <v>8</v>
      </c>
      <c r="M163">
        <v>1</v>
      </c>
      <c r="N163">
        <v>0</v>
      </c>
      <c r="O163">
        <v>3</v>
      </c>
      <c r="P163">
        <v>16</v>
      </c>
      <c r="Q163">
        <v>6</v>
      </c>
      <c r="R163">
        <v>0</v>
      </c>
      <c r="S163">
        <v>89</v>
      </c>
      <c r="T163">
        <v>10.1</v>
      </c>
      <c r="U163">
        <v>165</v>
      </c>
      <c r="V163" s="19" t="s">
        <v>2528</v>
      </c>
      <c r="W163" s="19" t="s">
        <v>2529</v>
      </c>
      <c r="X163">
        <v>105</v>
      </c>
      <c r="Y163">
        <v>105</v>
      </c>
      <c r="Z163">
        <v>50</v>
      </c>
      <c r="AA163">
        <v>25</v>
      </c>
      <c r="AB163">
        <v>26</v>
      </c>
      <c r="AC163">
        <v>15</v>
      </c>
      <c r="AD163">
        <v>68</v>
      </c>
      <c r="AE163" s="19" t="s">
        <v>60</v>
      </c>
    </row>
    <row r="164" spans="1:31" x14ac:dyDescent="0.2">
      <c r="A164">
        <v>157</v>
      </c>
      <c r="B164" s="19" t="s">
        <v>627</v>
      </c>
      <c r="C164">
        <v>23</v>
      </c>
      <c r="D164" s="19" t="s">
        <v>324</v>
      </c>
      <c r="E164" s="19" t="s">
        <v>325</v>
      </c>
      <c r="F164">
        <v>54</v>
      </c>
      <c r="G164">
        <v>15</v>
      </c>
      <c r="H164">
        <v>16</v>
      </c>
      <c r="I164">
        <v>31</v>
      </c>
      <c r="J164">
        <v>4</v>
      </c>
      <c r="K164">
        <v>4</v>
      </c>
      <c r="L164">
        <v>14</v>
      </c>
      <c r="M164">
        <v>0</v>
      </c>
      <c r="N164">
        <v>1</v>
      </c>
      <c r="O164">
        <v>1</v>
      </c>
      <c r="P164">
        <v>14</v>
      </c>
      <c r="Q164">
        <v>1</v>
      </c>
      <c r="R164">
        <v>1</v>
      </c>
      <c r="S164">
        <v>65</v>
      </c>
      <c r="T164">
        <v>23.1</v>
      </c>
      <c r="U164">
        <v>129</v>
      </c>
      <c r="V164" s="19" t="s">
        <v>2214</v>
      </c>
      <c r="W164" s="19" t="s">
        <v>1611</v>
      </c>
      <c r="X164">
        <v>4</v>
      </c>
      <c r="Y164">
        <v>12</v>
      </c>
      <c r="Z164">
        <v>25</v>
      </c>
      <c r="AA164">
        <v>35</v>
      </c>
      <c r="AB164">
        <v>56</v>
      </c>
      <c r="AC164">
        <v>19</v>
      </c>
      <c r="AD164">
        <v>39</v>
      </c>
      <c r="AE164" s="19" t="s">
        <v>60</v>
      </c>
    </row>
    <row r="165" spans="1:31" x14ac:dyDescent="0.2">
      <c r="A165">
        <v>158</v>
      </c>
      <c r="B165" s="19" t="s">
        <v>578</v>
      </c>
      <c r="C165">
        <v>22</v>
      </c>
      <c r="D165" s="19" t="s">
        <v>361</v>
      </c>
      <c r="E165" s="19" t="s">
        <v>322</v>
      </c>
      <c r="F165">
        <v>57</v>
      </c>
      <c r="G165">
        <v>18</v>
      </c>
      <c r="H165">
        <v>13</v>
      </c>
      <c r="I165">
        <v>31</v>
      </c>
      <c r="J165">
        <v>5</v>
      </c>
      <c r="K165">
        <v>18</v>
      </c>
      <c r="L165">
        <v>16</v>
      </c>
      <c r="M165">
        <v>1</v>
      </c>
      <c r="N165">
        <v>1</v>
      </c>
      <c r="O165">
        <v>1</v>
      </c>
      <c r="P165">
        <v>11</v>
      </c>
      <c r="Q165">
        <v>0</v>
      </c>
      <c r="R165">
        <v>2</v>
      </c>
      <c r="S165">
        <v>102</v>
      </c>
      <c r="T165">
        <v>17.600000000000001</v>
      </c>
      <c r="U165">
        <v>169</v>
      </c>
      <c r="V165" s="19" t="s">
        <v>2215</v>
      </c>
      <c r="W165" s="19" t="s">
        <v>1968</v>
      </c>
      <c r="X165">
        <v>254</v>
      </c>
      <c r="Y165">
        <v>278</v>
      </c>
      <c r="Z165">
        <v>47.7</v>
      </c>
      <c r="AA165">
        <v>56</v>
      </c>
      <c r="AB165">
        <v>21</v>
      </c>
      <c r="AC165">
        <v>11</v>
      </c>
      <c r="AD165">
        <v>23</v>
      </c>
      <c r="AE165" s="19" t="s">
        <v>60</v>
      </c>
    </row>
    <row r="166" spans="1:31" x14ac:dyDescent="0.2">
      <c r="A166">
        <v>159</v>
      </c>
      <c r="B166" s="19" t="s">
        <v>535</v>
      </c>
      <c r="C166">
        <v>35</v>
      </c>
      <c r="D166" s="19" t="s">
        <v>380</v>
      </c>
      <c r="E166" s="19" t="s">
        <v>338</v>
      </c>
      <c r="F166">
        <v>58</v>
      </c>
      <c r="G166">
        <v>11</v>
      </c>
      <c r="H166">
        <v>20</v>
      </c>
      <c r="I166">
        <v>31</v>
      </c>
      <c r="J166">
        <v>6</v>
      </c>
      <c r="K166">
        <v>29</v>
      </c>
      <c r="L166">
        <v>8</v>
      </c>
      <c r="M166">
        <v>3</v>
      </c>
      <c r="N166">
        <v>0</v>
      </c>
      <c r="O166">
        <v>3</v>
      </c>
      <c r="P166">
        <v>18</v>
      </c>
      <c r="Q166">
        <v>2</v>
      </c>
      <c r="R166">
        <v>0</v>
      </c>
      <c r="S166">
        <v>140</v>
      </c>
      <c r="T166">
        <v>7.9</v>
      </c>
      <c r="U166">
        <v>259</v>
      </c>
      <c r="V166" s="19" t="s">
        <v>2530</v>
      </c>
      <c r="W166" s="19" t="s">
        <v>2531</v>
      </c>
      <c r="X166">
        <v>56</v>
      </c>
      <c r="Y166">
        <v>47</v>
      </c>
      <c r="Z166">
        <v>54.4</v>
      </c>
      <c r="AA166">
        <v>27</v>
      </c>
      <c r="AB166">
        <v>55</v>
      </c>
      <c r="AC166">
        <v>10</v>
      </c>
      <c r="AD166">
        <v>31</v>
      </c>
      <c r="AE166" s="19" t="s">
        <v>60</v>
      </c>
    </row>
    <row r="167" spans="1:31" x14ac:dyDescent="0.2">
      <c r="A167">
        <v>160</v>
      </c>
      <c r="B167" s="19" t="s">
        <v>866</v>
      </c>
      <c r="C167">
        <v>29</v>
      </c>
      <c r="D167" s="19" t="s">
        <v>520</v>
      </c>
      <c r="E167" s="19" t="s">
        <v>322</v>
      </c>
      <c r="F167">
        <v>33</v>
      </c>
      <c r="G167">
        <v>16</v>
      </c>
      <c r="H167">
        <v>15</v>
      </c>
      <c r="I167">
        <v>31</v>
      </c>
      <c r="J167">
        <v>3</v>
      </c>
      <c r="K167">
        <v>7</v>
      </c>
      <c r="L167">
        <v>10</v>
      </c>
      <c r="M167">
        <v>6</v>
      </c>
      <c r="N167">
        <v>0</v>
      </c>
      <c r="O167">
        <v>2</v>
      </c>
      <c r="P167">
        <v>9</v>
      </c>
      <c r="Q167">
        <v>6</v>
      </c>
      <c r="R167">
        <v>0</v>
      </c>
      <c r="S167">
        <v>80</v>
      </c>
      <c r="T167">
        <v>20</v>
      </c>
      <c r="U167">
        <v>161</v>
      </c>
      <c r="V167" s="19" t="s">
        <v>2532</v>
      </c>
      <c r="W167" s="19" t="s">
        <v>2533</v>
      </c>
      <c r="X167">
        <v>9</v>
      </c>
      <c r="Y167">
        <v>10</v>
      </c>
      <c r="Z167">
        <v>47.4</v>
      </c>
      <c r="AA167">
        <v>20</v>
      </c>
      <c r="AB167">
        <v>23</v>
      </c>
      <c r="AC167">
        <v>8</v>
      </c>
      <c r="AD167">
        <v>35</v>
      </c>
      <c r="AE167" s="19" t="s">
        <v>60</v>
      </c>
    </row>
    <row r="168" spans="1:31" x14ac:dyDescent="0.2">
      <c r="A168">
        <v>161</v>
      </c>
      <c r="B168" s="19" t="s">
        <v>556</v>
      </c>
      <c r="C168">
        <v>25</v>
      </c>
      <c r="D168" s="19" t="s">
        <v>364</v>
      </c>
      <c r="E168" s="19" t="s">
        <v>322</v>
      </c>
      <c r="F168">
        <v>56</v>
      </c>
      <c r="G168">
        <v>8</v>
      </c>
      <c r="H168">
        <v>23</v>
      </c>
      <c r="I168">
        <v>31</v>
      </c>
      <c r="J168">
        <v>6</v>
      </c>
      <c r="K168">
        <v>16</v>
      </c>
      <c r="L168">
        <v>7</v>
      </c>
      <c r="M168">
        <v>1</v>
      </c>
      <c r="N168">
        <v>0</v>
      </c>
      <c r="O168">
        <v>3</v>
      </c>
      <c r="P168">
        <v>22</v>
      </c>
      <c r="Q168">
        <v>1</v>
      </c>
      <c r="R168">
        <v>0</v>
      </c>
      <c r="S168">
        <v>107</v>
      </c>
      <c r="T168">
        <v>7.5</v>
      </c>
      <c r="U168">
        <v>184</v>
      </c>
      <c r="V168" s="19" t="s">
        <v>2534</v>
      </c>
      <c r="W168" s="19" t="s">
        <v>2535</v>
      </c>
      <c r="X168">
        <v>211</v>
      </c>
      <c r="Y168">
        <v>278</v>
      </c>
      <c r="Z168">
        <v>43.1</v>
      </c>
      <c r="AA168">
        <v>31</v>
      </c>
      <c r="AB168">
        <v>31</v>
      </c>
      <c r="AC168">
        <v>20</v>
      </c>
      <c r="AD168">
        <v>41</v>
      </c>
      <c r="AE168" s="19" t="s">
        <v>60</v>
      </c>
    </row>
    <row r="169" spans="1:31" x14ac:dyDescent="0.2">
      <c r="A169">
        <v>162</v>
      </c>
      <c r="B169" s="19" t="s">
        <v>464</v>
      </c>
      <c r="C169">
        <v>23</v>
      </c>
      <c r="D169" s="19" t="s">
        <v>336</v>
      </c>
      <c r="E169" s="19" t="s">
        <v>322</v>
      </c>
      <c r="F169">
        <v>52</v>
      </c>
      <c r="G169">
        <v>13</v>
      </c>
      <c r="H169">
        <v>18</v>
      </c>
      <c r="I169">
        <v>31</v>
      </c>
      <c r="J169">
        <v>-9</v>
      </c>
      <c r="K169">
        <v>36</v>
      </c>
      <c r="L169">
        <v>9</v>
      </c>
      <c r="M169">
        <v>4</v>
      </c>
      <c r="N169">
        <v>0</v>
      </c>
      <c r="O169">
        <v>2</v>
      </c>
      <c r="P169">
        <v>15</v>
      </c>
      <c r="Q169">
        <v>3</v>
      </c>
      <c r="R169">
        <v>0</v>
      </c>
      <c r="S169">
        <v>110</v>
      </c>
      <c r="T169">
        <v>11.8</v>
      </c>
      <c r="U169">
        <v>240</v>
      </c>
      <c r="V169" s="19" t="s">
        <v>2536</v>
      </c>
      <c r="W169" s="19" t="s">
        <v>904</v>
      </c>
      <c r="X169">
        <v>330</v>
      </c>
      <c r="Y169">
        <v>338</v>
      </c>
      <c r="Z169">
        <v>49.4</v>
      </c>
      <c r="AA169">
        <v>28</v>
      </c>
      <c r="AB169">
        <v>57</v>
      </c>
      <c r="AC169">
        <v>12</v>
      </c>
      <c r="AD169">
        <v>40</v>
      </c>
      <c r="AE169" s="19" t="s">
        <v>60</v>
      </c>
    </row>
    <row r="170" spans="1:31" x14ac:dyDescent="0.2">
      <c r="A170">
        <v>163</v>
      </c>
      <c r="B170" s="19" t="s">
        <v>607</v>
      </c>
      <c r="C170">
        <v>28</v>
      </c>
      <c r="D170" s="19" t="s">
        <v>373</v>
      </c>
      <c r="E170" s="19" t="s">
        <v>322</v>
      </c>
      <c r="F170">
        <v>56</v>
      </c>
      <c r="G170">
        <v>11</v>
      </c>
      <c r="H170">
        <v>20</v>
      </c>
      <c r="I170">
        <v>31</v>
      </c>
      <c r="J170">
        <v>3</v>
      </c>
      <c r="K170">
        <v>22</v>
      </c>
      <c r="L170">
        <v>8</v>
      </c>
      <c r="M170">
        <v>3</v>
      </c>
      <c r="N170">
        <v>0</v>
      </c>
      <c r="O170">
        <v>1</v>
      </c>
      <c r="P170">
        <v>18</v>
      </c>
      <c r="Q170">
        <v>2</v>
      </c>
      <c r="R170">
        <v>0</v>
      </c>
      <c r="S170">
        <v>85</v>
      </c>
      <c r="T170">
        <v>12.9</v>
      </c>
      <c r="U170">
        <v>161</v>
      </c>
      <c r="V170" s="19" t="s">
        <v>2537</v>
      </c>
      <c r="W170" s="19" t="s">
        <v>995</v>
      </c>
      <c r="X170">
        <v>105</v>
      </c>
      <c r="Y170">
        <v>147</v>
      </c>
      <c r="Z170">
        <v>41.7</v>
      </c>
      <c r="AA170">
        <v>20</v>
      </c>
      <c r="AB170">
        <v>9</v>
      </c>
      <c r="AC170">
        <v>21</v>
      </c>
      <c r="AD170">
        <v>34</v>
      </c>
      <c r="AE170" s="19" t="s">
        <v>60</v>
      </c>
    </row>
    <row r="171" spans="1:31" x14ac:dyDescent="0.2">
      <c r="A171">
        <v>164</v>
      </c>
      <c r="B171" s="19" t="s">
        <v>453</v>
      </c>
      <c r="C171">
        <v>31</v>
      </c>
      <c r="D171" s="19" t="s">
        <v>357</v>
      </c>
      <c r="E171" s="19" t="s">
        <v>347</v>
      </c>
      <c r="F171">
        <v>55</v>
      </c>
      <c r="G171">
        <v>7</v>
      </c>
      <c r="H171">
        <v>24</v>
      </c>
      <c r="I171">
        <v>31</v>
      </c>
      <c r="J171">
        <v>-18</v>
      </c>
      <c r="K171">
        <v>12</v>
      </c>
      <c r="L171">
        <v>6</v>
      </c>
      <c r="M171">
        <v>1</v>
      </c>
      <c r="N171">
        <v>0</v>
      </c>
      <c r="O171">
        <v>2</v>
      </c>
      <c r="P171">
        <v>19</v>
      </c>
      <c r="Q171">
        <v>5</v>
      </c>
      <c r="R171">
        <v>0</v>
      </c>
      <c r="S171">
        <v>109</v>
      </c>
      <c r="T171">
        <v>6.4</v>
      </c>
      <c r="U171">
        <v>251</v>
      </c>
      <c r="V171" s="19" t="s">
        <v>2538</v>
      </c>
      <c r="W171" s="19" t="s">
        <v>2021</v>
      </c>
      <c r="X171">
        <v>0</v>
      </c>
      <c r="Y171">
        <v>0</v>
      </c>
      <c r="AA171">
        <v>74</v>
      </c>
      <c r="AB171">
        <v>23</v>
      </c>
      <c r="AC171">
        <v>16</v>
      </c>
      <c r="AD171">
        <v>66</v>
      </c>
      <c r="AE171" s="19" t="s">
        <v>60</v>
      </c>
    </row>
    <row r="172" spans="1:31" x14ac:dyDescent="0.2">
      <c r="A172">
        <v>165</v>
      </c>
      <c r="B172" s="19" t="s">
        <v>716</v>
      </c>
      <c r="C172">
        <v>34</v>
      </c>
      <c r="D172" s="19" t="s">
        <v>355</v>
      </c>
      <c r="E172" s="19" t="s">
        <v>334</v>
      </c>
      <c r="F172">
        <v>51</v>
      </c>
      <c r="G172">
        <v>15</v>
      </c>
      <c r="H172">
        <v>16</v>
      </c>
      <c r="I172">
        <v>31</v>
      </c>
      <c r="J172">
        <v>-5</v>
      </c>
      <c r="K172">
        <v>8</v>
      </c>
      <c r="L172">
        <v>11</v>
      </c>
      <c r="M172">
        <v>4</v>
      </c>
      <c r="N172">
        <v>0</v>
      </c>
      <c r="O172">
        <v>2</v>
      </c>
      <c r="P172">
        <v>10</v>
      </c>
      <c r="Q172">
        <v>6</v>
      </c>
      <c r="R172">
        <v>0</v>
      </c>
      <c r="S172">
        <v>103</v>
      </c>
      <c r="T172">
        <v>14.6</v>
      </c>
      <c r="U172">
        <v>197</v>
      </c>
      <c r="V172" s="19" t="s">
        <v>2216</v>
      </c>
      <c r="W172" s="19" t="s">
        <v>537</v>
      </c>
      <c r="X172">
        <v>5</v>
      </c>
      <c r="Y172">
        <v>4</v>
      </c>
      <c r="Z172">
        <v>55.6</v>
      </c>
      <c r="AA172">
        <v>24</v>
      </c>
      <c r="AB172">
        <v>38</v>
      </c>
      <c r="AC172">
        <v>10</v>
      </c>
      <c r="AD172">
        <v>41</v>
      </c>
      <c r="AE172" s="19" t="s">
        <v>60</v>
      </c>
    </row>
    <row r="173" spans="1:31" x14ac:dyDescent="0.2">
      <c r="A173">
        <v>166</v>
      </c>
      <c r="B173" s="19" t="s">
        <v>617</v>
      </c>
      <c r="C173">
        <v>26</v>
      </c>
      <c r="D173" s="19" t="s">
        <v>520</v>
      </c>
      <c r="E173" s="19" t="s">
        <v>334</v>
      </c>
      <c r="F173">
        <v>56</v>
      </c>
      <c r="G173">
        <v>11</v>
      </c>
      <c r="H173">
        <v>20</v>
      </c>
      <c r="I173">
        <v>31</v>
      </c>
      <c r="J173">
        <v>-9</v>
      </c>
      <c r="K173">
        <v>18</v>
      </c>
      <c r="L173">
        <v>6</v>
      </c>
      <c r="M173">
        <v>5</v>
      </c>
      <c r="N173">
        <v>0</v>
      </c>
      <c r="O173">
        <v>0</v>
      </c>
      <c r="P173">
        <v>14</v>
      </c>
      <c r="Q173">
        <v>6</v>
      </c>
      <c r="R173">
        <v>0</v>
      </c>
      <c r="S173">
        <v>99</v>
      </c>
      <c r="T173">
        <v>11.1</v>
      </c>
      <c r="U173">
        <v>215</v>
      </c>
      <c r="V173" s="19" t="s">
        <v>2539</v>
      </c>
      <c r="W173" s="19" t="s">
        <v>1829</v>
      </c>
      <c r="X173">
        <v>0</v>
      </c>
      <c r="Y173">
        <v>0</v>
      </c>
      <c r="AA173">
        <v>59</v>
      </c>
      <c r="AB173">
        <v>141</v>
      </c>
      <c r="AC173">
        <v>10</v>
      </c>
      <c r="AD173">
        <v>37</v>
      </c>
      <c r="AE173" s="19" t="s">
        <v>60</v>
      </c>
    </row>
    <row r="174" spans="1:31" x14ac:dyDescent="0.2">
      <c r="A174">
        <v>167</v>
      </c>
      <c r="B174" s="19" t="s">
        <v>505</v>
      </c>
      <c r="C174">
        <v>30</v>
      </c>
      <c r="D174" s="19" t="s">
        <v>452</v>
      </c>
      <c r="E174" s="19" t="s">
        <v>338</v>
      </c>
      <c r="F174">
        <v>57</v>
      </c>
      <c r="G174">
        <v>12</v>
      </c>
      <c r="H174">
        <v>18</v>
      </c>
      <c r="I174">
        <v>30</v>
      </c>
      <c r="J174">
        <v>-12</v>
      </c>
      <c r="K174">
        <v>14</v>
      </c>
      <c r="L174">
        <v>8</v>
      </c>
      <c r="M174">
        <v>4</v>
      </c>
      <c r="N174">
        <v>0</v>
      </c>
      <c r="O174">
        <v>1</v>
      </c>
      <c r="P174">
        <v>14</v>
      </c>
      <c r="Q174">
        <v>4</v>
      </c>
      <c r="R174">
        <v>0</v>
      </c>
      <c r="S174">
        <v>103</v>
      </c>
      <c r="T174">
        <v>11.7</v>
      </c>
      <c r="U174">
        <v>236</v>
      </c>
      <c r="V174" s="19" t="s">
        <v>2540</v>
      </c>
      <c r="W174" s="19" t="s">
        <v>1302</v>
      </c>
      <c r="X174">
        <v>8</v>
      </c>
      <c r="Y174">
        <v>19</v>
      </c>
      <c r="Z174">
        <v>29.6</v>
      </c>
      <c r="AA174">
        <v>21</v>
      </c>
      <c r="AB174">
        <v>31</v>
      </c>
      <c r="AC174">
        <v>7</v>
      </c>
      <c r="AD174">
        <v>42</v>
      </c>
      <c r="AE174" s="19" t="s">
        <v>60</v>
      </c>
    </row>
    <row r="175" spans="1:31" x14ac:dyDescent="0.2">
      <c r="A175">
        <v>168</v>
      </c>
      <c r="B175" s="19" t="s">
        <v>483</v>
      </c>
      <c r="C175">
        <v>30</v>
      </c>
      <c r="D175" s="19" t="s">
        <v>329</v>
      </c>
      <c r="E175" s="19" t="s">
        <v>338</v>
      </c>
      <c r="F175">
        <v>51</v>
      </c>
      <c r="G175">
        <v>10</v>
      </c>
      <c r="H175">
        <v>20</v>
      </c>
      <c r="I175">
        <v>30</v>
      </c>
      <c r="J175">
        <v>-22</v>
      </c>
      <c r="K175">
        <v>12</v>
      </c>
      <c r="L175">
        <v>7</v>
      </c>
      <c r="M175">
        <v>3</v>
      </c>
      <c r="N175">
        <v>0</v>
      </c>
      <c r="O175">
        <v>1</v>
      </c>
      <c r="P175">
        <v>13</v>
      </c>
      <c r="Q175">
        <v>7</v>
      </c>
      <c r="R175">
        <v>0</v>
      </c>
      <c r="S175">
        <v>68</v>
      </c>
      <c r="T175">
        <v>14.7</v>
      </c>
      <c r="U175">
        <v>149</v>
      </c>
      <c r="V175" s="19" t="s">
        <v>2217</v>
      </c>
      <c r="W175" s="19" t="s">
        <v>1963</v>
      </c>
      <c r="X175">
        <v>3</v>
      </c>
      <c r="Y175">
        <v>6</v>
      </c>
      <c r="Z175">
        <v>33.299999999999997</v>
      </c>
      <c r="AA175">
        <v>25</v>
      </c>
      <c r="AB175">
        <v>15</v>
      </c>
      <c r="AC175">
        <v>20</v>
      </c>
      <c r="AD175">
        <v>45</v>
      </c>
      <c r="AE175" s="19" t="s">
        <v>60</v>
      </c>
    </row>
    <row r="176" spans="1:31" x14ac:dyDescent="0.2">
      <c r="A176">
        <v>169</v>
      </c>
      <c r="B176" s="19" t="s">
        <v>573</v>
      </c>
      <c r="C176">
        <v>33</v>
      </c>
      <c r="D176" s="19" t="s">
        <v>502</v>
      </c>
      <c r="E176" s="19" t="s">
        <v>347</v>
      </c>
      <c r="F176">
        <v>57</v>
      </c>
      <c r="G176">
        <v>11</v>
      </c>
      <c r="H176">
        <v>19</v>
      </c>
      <c r="I176">
        <v>30</v>
      </c>
      <c r="J176">
        <v>-3</v>
      </c>
      <c r="K176">
        <v>30</v>
      </c>
      <c r="L176">
        <v>9</v>
      </c>
      <c r="M176">
        <v>2</v>
      </c>
      <c r="N176">
        <v>0</v>
      </c>
      <c r="O176">
        <v>3</v>
      </c>
      <c r="P176">
        <v>11</v>
      </c>
      <c r="Q176">
        <v>7</v>
      </c>
      <c r="R176">
        <v>1</v>
      </c>
      <c r="S176">
        <v>110</v>
      </c>
      <c r="T176">
        <v>10</v>
      </c>
      <c r="U176">
        <v>224</v>
      </c>
      <c r="V176" s="19" t="s">
        <v>2218</v>
      </c>
      <c r="W176" s="19" t="s">
        <v>1864</v>
      </c>
      <c r="X176">
        <v>0</v>
      </c>
      <c r="Y176">
        <v>0</v>
      </c>
      <c r="AA176">
        <v>97</v>
      </c>
      <c r="AB176">
        <v>44</v>
      </c>
      <c r="AC176">
        <v>19</v>
      </c>
      <c r="AD176">
        <v>48</v>
      </c>
      <c r="AE176" s="19" t="s">
        <v>60</v>
      </c>
    </row>
    <row r="177" spans="1:31" x14ac:dyDescent="0.2">
      <c r="A177">
        <v>170</v>
      </c>
      <c r="B177" s="19" t="s">
        <v>490</v>
      </c>
      <c r="C177">
        <v>21</v>
      </c>
      <c r="D177" s="19" t="s">
        <v>364</v>
      </c>
      <c r="E177" s="19" t="s">
        <v>334</v>
      </c>
      <c r="F177">
        <v>53</v>
      </c>
      <c r="G177">
        <v>10</v>
      </c>
      <c r="H177">
        <v>20</v>
      </c>
      <c r="I177">
        <v>30</v>
      </c>
      <c r="J177">
        <v>4</v>
      </c>
      <c r="K177">
        <v>30</v>
      </c>
      <c r="L177">
        <v>9</v>
      </c>
      <c r="M177">
        <v>1</v>
      </c>
      <c r="N177">
        <v>0</v>
      </c>
      <c r="O177">
        <v>2</v>
      </c>
      <c r="P177">
        <v>12</v>
      </c>
      <c r="Q177">
        <v>8</v>
      </c>
      <c r="R177">
        <v>0</v>
      </c>
      <c r="S177">
        <v>105</v>
      </c>
      <c r="T177">
        <v>9.5</v>
      </c>
      <c r="U177">
        <v>232</v>
      </c>
      <c r="V177" s="19" t="s">
        <v>2541</v>
      </c>
      <c r="W177" s="19" t="s">
        <v>1885</v>
      </c>
      <c r="X177">
        <v>6</v>
      </c>
      <c r="Y177">
        <v>5</v>
      </c>
      <c r="Z177">
        <v>54.5</v>
      </c>
      <c r="AA177">
        <v>19</v>
      </c>
      <c r="AB177">
        <v>75</v>
      </c>
      <c r="AC177">
        <v>10</v>
      </c>
      <c r="AD177">
        <v>57</v>
      </c>
      <c r="AE177" s="19" t="s">
        <v>60</v>
      </c>
    </row>
    <row r="178" spans="1:31" x14ac:dyDescent="0.2">
      <c r="A178">
        <v>171</v>
      </c>
      <c r="B178" s="19" t="s">
        <v>450</v>
      </c>
      <c r="C178">
        <v>24</v>
      </c>
      <c r="D178" s="19" t="s">
        <v>395</v>
      </c>
      <c r="E178" s="19" t="s">
        <v>322</v>
      </c>
      <c r="F178">
        <v>58</v>
      </c>
      <c r="G178">
        <v>13</v>
      </c>
      <c r="H178">
        <v>17</v>
      </c>
      <c r="I178">
        <v>30</v>
      </c>
      <c r="J178">
        <v>-1</v>
      </c>
      <c r="K178">
        <v>31</v>
      </c>
      <c r="L178">
        <v>8</v>
      </c>
      <c r="M178">
        <v>3</v>
      </c>
      <c r="N178">
        <v>2</v>
      </c>
      <c r="O178">
        <v>1</v>
      </c>
      <c r="P178">
        <v>14</v>
      </c>
      <c r="Q178">
        <v>3</v>
      </c>
      <c r="R178">
        <v>0</v>
      </c>
      <c r="S178">
        <v>108</v>
      </c>
      <c r="T178">
        <v>12</v>
      </c>
      <c r="U178">
        <v>224</v>
      </c>
      <c r="V178" s="19" t="s">
        <v>2542</v>
      </c>
      <c r="W178" s="19" t="s">
        <v>2543</v>
      </c>
      <c r="X178">
        <v>109</v>
      </c>
      <c r="Y178">
        <v>169</v>
      </c>
      <c r="Z178">
        <v>39.200000000000003</v>
      </c>
      <c r="AA178">
        <v>36</v>
      </c>
      <c r="AB178">
        <v>23</v>
      </c>
      <c r="AC178">
        <v>21</v>
      </c>
      <c r="AD178">
        <v>52</v>
      </c>
      <c r="AE178" s="19" t="s">
        <v>60</v>
      </c>
    </row>
    <row r="179" spans="1:31" x14ac:dyDescent="0.2">
      <c r="A179">
        <v>172</v>
      </c>
      <c r="B179" s="19" t="s">
        <v>599</v>
      </c>
      <c r="C179">
        <v>24</v>
      </c>
      <c r="D179" s="19" t="s">
        <v>423</v>
      </c>
      <c r="E179" s="19" t="s">
        <v>347</v>
      </c>
      <c r="F179">
        <v>58</v>
      </c>
      <c r="G179">
        <v>10</v>
      </c>
      <c r="H179">
        <v>19</v>
      </c>
      <c r="I179">
        <v>29</v>
      </c>
      <c r="J179">
        <v>10</v>
      </c>
      <c r="K179">
        <v>30</v>
      </c>
      <c r="L179">
        <v>9</v>
      </c>
      <c r="M179">
        <v>1</v>
      </c>
      <c r="N179">
        <v>0</v>
      </c>
      <c r="O179">
        <v>4</v>
      </c>
      <c r="P179">
        <v>16</v>
      </c>
      <c r="Q179">
        <v>3</v>
      </c>
      <c r="R179">
        <v>0</v>
      </c>
      <c r="S179">
        <v>71</v>
      </c>
      <c r="T179">
        <v>14.1</v>
      </c>
      <c r="U179">
        <v>169</v>
      </c>
      <c r="V179" s="19" t="s">
        <v>2544</v>
      </c>
      <c r="W179" s="19" t="s">
        <v>1823</v>
      </c>
      <c r="X179">
        <v>0</v>
      </c>
      <c r="Y179">
        <v>0</v>
      </c>
      <c r="AA179">
        <v>72</v>
      </c>
      <c r="AB179">
        <v>31</v>
      </c>
      <c r="AC179">
        <v>13</v>
      </c>
      <c r="AD179">
        <v>70</v>
      </c>
      <c r="AE179" s="19" t="s">
        <v>60</v>
      </c>
    </row>
    <row r="180" spans="1:31" x14ac:dyDescent="0.2">
      <c r="A180">
        <v>173</v>
      </c>
      <c r="B180" s="19" t="s">
        <v>568</v>
      </c>
      <c r="C180">
        <v>22</v>
      </c>
      <c r="D180" s="19" t="s">
        <v>415</v>
      </c>
      <c r="E180" s="19" t="s">
        <v>347</v>
      </c>
      <c r="F180">
        <v>57</v>
      </c>
      <c r="G180">
        <v>7</v>
      </c>
      <c r="H180">
        <v>22</v>
      </c>
      <c r="I180">
        <v>29</v>
      </c>
      <c r="J180">
        <v>6</v>
      </c>
      <c r="K180">
        <v>38</v>
      </c>
      <c r="L180">
        <v>6</v>
      </c>
      <c r="M180">
        <v>1</v>
      </c>
      <c r="N180">
        <v>0</v>
      </c>
      <c r="O180">
        <v>2</v>
      </c>
      <c r="P180">
        <v>14</v>
      </c>
      <c r="Q180">
        <v>8</v>
      </c>
      <c r="R180">
        <v>0</v>
      </c>
      <c r="S180">
        <v>113</v>
      </c>
      <c r="T180">
        <v>6.2</v>
      </c>
      <c r="U180">
        <v>219</v>
      </c>
      <c r="V180" s="19" t="s">
        <v>2545</v>
      </c>
      <c r="W180" s="19" t="s">
        <v>1664</v>
      </c>
      <c r="X180">
        <v>0</v>
      </c>
      <c r="Y180">
        <v>0</v>
      </c>
      <c r="AA180">
        <v>110</v>
      </c>
      <c r="AB180">
        <v>25</v>
      </c>
      <c r="AC180">
        <v>20</v>
      </c>
      <c r="AD180">
        <v>68</v>
      </c>
      <c r="AE180" s="19" t="s">
        <v>60</v>
      </c>
    </row>
    <row r="181" spans="1:31" x14ac:dyDescent="0.2">
      <c r="A181">
        <v>174</v>
      </c>
      <c r="B181" s="19" t="s">
        <v>522</v>
      </c>
      <c r="C181">
        <v>23</v>
      </c>
      <c r="D181" s="19" t="s">
        <v>430</v>
      </c>
      <c r="E181" s="19" t="s">
        <v>334</v>
      </c>
      <c r="F181">
        <v>55</v>
      </c>
      <c r="G181">
        <v>14</v>
      </c>
      <c r="H181">
        <v>15</v>
      </c>
      <c r="I181">
        <v>29</v>
      </c>
      <c r="J181">
        <v>-22</v>
      </c>
      <c r="K181">
        <v>18</v>
      </c>
      <c r="L181">
        <v>8</v>
      </c>
      <c r="M181">
        <v>6</v>
      </c>
      <c r="N181">
        <v>0</v>
      </c>
      <c r="O181">
        <v>3</v>
      </c>
      <c r="P181">
        <v>11</v>
      </c>
      <c r="Q181">
        <v>4</v>
      </c>
      <c r="R181">
        <v>0</v>
      </c>
      <c r="S181">
        <v>137</v>
      </c>
      <c r="T181">
        <v>10.199999999999999</v>
      </c>
      <c r="U181">
        <v>275</v>
      </c>
      <c r="V181" s="19" t="s">
        <v>2219</v>
      </c>
      <c r="W181" s="19" t="s">
        <v>582</v>
      </c>
      <c r="X181">
        <v>46</v>
      </c>
      <c r="Y181">
        <v>73</v>
      </c>
      <c r="Z181">
        <v>38.700000000000003</v>
      </c>
      <c r="AA181">
        <v>17</v>
      </c>
      <c r="AB181">
        <v>11</v>
      </c>
      <c r="AC181">
        <v>12</v>
      </c>
      <c r="AD181">
        <v>38</v>
      </c>
      <c r="AE181" s="19" t="s">
        <v>60</v>
      </c>
    </row>
    <row r="182" spans="1:31" x14ac:dyDescent="0.2">
      <c r="A182">
        <v>175</v>
      </c>
      <c r="B182" s="19" t="s">
        <v>623</v>
      </c>
      <c r="C182">
        <v>28</v>
      </c>
      <c r="D182" s="19" t="s">
        <v>401</v>
      </c>
      <c r="E182" s="19" t="s">
        <v>338</v>
      </c>
      <c r="F182">
        <v>57</v>
      </c>
      <c r="G182">
        <v>14</v>
      </c>
      <c r="H182">
        <v>15</v>
      </c>
      <c r="I182">
        <v>29</v>
      </c>
      <c r="J182">
        <v>19</v>
      </c>
      <c r="K182">
        <v>16</v>
      </c>
      <c r="L182">
        <v>13</v>
      </c>
      <c r="M182">
        <v>0</v>
      </c>
      <c r="N182">
        <v>1</v>
      </c>
      <c r="O182">
        <v>2</v>
      </c>
      <c r="P182">
        <v>14</v>
      </c>
      <c r="Q182">
        <v>0</v>
      </c>
      <c r="R182">
        <v>1</v>
      </c>
      <c r="S182">
        <v>94</v>
      </c>
      <c r="T182">
        <v>14.9</v>
      </c>
      <c r="U182">
        <v>190</v>
      </c>
      <c r="V182" s="19" t="s">
        <v>2546</v>
      </c>
      <c r="W182" s="19" t="s">
        <v>727</v>
      </c>
      <c r="X182">
        <v>24</v>
      </c>
      <c r="Y182">
        <v>40</v>
      </c>
      <c r="Z182">
        <v>37.5</v>
      </c>
      <c r="AA182">
        <v>39</v>
      </c>
      <c r="AB182">
        <v>148</v>
      </c>
      <c r="AC182">
        <v>10</v>
      </c>
      <c r="AD182">
        <v>34</v>
      </c>
      <c r="AE182" s="19" t="s">
        <v>60</v>
      </c>
    </row>
    <row r="183" spans="1:31" x14ac:dyDescent="0.2">
      <c r="A183">
        <v>176</v>
      </c>
      <c r="B183" s="19" t="s">
        <v>571</v>
      </c>
      <c r="C183">
        <v>35</v>
      </c>
      <c r="D183" s="19" t="s">
        <v>327</v>
      </c>
      <c r="E183" s="19" t="s">
        <v>347</v>
      </c>
      <c r="F183">
        <v>59</v>
      </c>
      <c r="G183">
        <v>6</v>
      </c>
      <c r="H183">
        <v>23</v>
      </c>
      <c r="I183">
        <v>29</v>
      </c>
      <c r="J183">
        <v>19</v>
      </c>
      <c r="K183">
        <v>24</v>
      </c>
      <c r="L183">
        <v>6</v>
      </c>
      <c r="M183">
        <v>0</v>
      </c>
      <c r="N183">
        <v>0</v>
      </c>
      <c r="O183">
        <v>2</v>
      </c>
      <c r="P183">
        <v>20</v>
      </c>
      <c r="Q183">
        <v>3</v>
      </c>
      <c r="R183">
        <v>0</v>
      </c>
      <c r="S183">
        <v>104</v>
      </c>
      <c r="T183">
        <v>5.8</v>
      </c>
      <c r="U183">
        <v>239</v>
      </c>
      <c r="V183" s="19" t="s">
        <v>2547</v>
      </c>
      <c r="W183" s="19" t="s">
        <v>2548</v>
      </c>
      <c r="X183">
        <v>0</v>
      </c>
      <c r="Y183">
        <v>0</v>
      </c>
      <c r="AA183">
        <v>94</v>
      </c>
      <c r="AB183">
        <v>54</v>
      </c>
      <c r="AC183">
        <v>22</v>
      </c>
      <c r="AD183">
        <v>74</v>
      </c>
      <c r="AE183" s="19" t="s">
        <v>60</v>
      </c>
    </row>
    <row r="184" spans="1:31" x14ac:dyDescent="0.2">
      <c r="A184">
        <v>177</v>
      </c>
      <c r="B184" s="19" t="s">
        <v>528</v>
      </c>
      <c r="C184">
        <v>34</v>
      </c>
      <c r="D184" s="19" t="s">
        <v>452</v>
      </c>
      <c r="E184" s="19" t="s">
        <v>338</v>
      </c>
      <c r="F184">
        <v>57</v>
      </c>
      <c r="G184">
        <v>9</v>
      </c>
      <c r="H184">
        <v>20</v>
      </c>
      <c r="I184">
        <v>29</v>
      </c>
      <c r="J184">
        <v>-16</v>
      </c>
      <c r="K184">
        <v>34</v>
      </c>
      <c r="L184">
        <v>7</v>
      </c>
      <c r="M184">
        <v>2</v>
      </c>
      <c r="N184">
        <v>0</v>
      </c>
      <c r="O184">
        <v>0</v>
      </c>
      <c r="P184">
        <v>12</v>
      </c>
      <c r="Q184">
        <v>7</v>
      </c>
      <c r="R184">
        <v>1</v>
      </c>
      <c r="S184">
        <v>89</v>
      </c>
      <c r="T184">
        <v>10.1</v>
      </c>
      <c r="U184">
        <v>182</v>
      </c>
      <c r="V184" s="19" t="s">
        <v>2549</v>
      </c>
      <c r="W184" s="19" t="s">
        <v>557</v>
      </c>
      <c r="X184">
        <v>337</v>
      </c>
      <c r="Y184">
        <v>322</v>
      </c>
      <c r="Z184">
        <v>51.1</v>
      </c>
      <c r="AA184">
        <v>34</v>
      </c>
      <c r="AB184">
        <v>70</v>
      </c>
      <c r="AC184">
        <v>12</v>
      </c>
      <c r="AD184">
        <v>40</v>
      </c>
      <c r="AE184" s="19" t="s">
        <v>60</v>
      </c>
    </row>
    <row r="185" spans="1:31" x14ac:dyDescent="0.2">
      <c r="A185">
        <v>178</v>
      </c>
      <c r="B185" s="19" t="s">
        <v>740</v>
      </c>
      <c r="C185">
        <v>24</v>
      </c>
      <c r="D185" s="19" t="s">
        <v>380</v>
      </c>
      <c r="E185" s="19" t="s">
        <v>334</v>
      </c>
      <c r="F185">
        <v>56</v>
      </c>
      <c r="G185">
        <v>13</v>
      </c>
      <c r="H185">
        <v>16</v>
      </c>
      <c r="I185">
        <v>29</v>
      </c>
      <c r="J185">
        <v>8</v>
      </c>
      <c r="K185">
        <v>14</v>
      </c>
      <c r="L185">
        <v>12</v>
      </c>
      <c r="M185">
        <v>0</v>
      </c>
      <c r="N185">
        <v>1</v>
      </c>
      <c r="O185">
        <v>2</v>
      </c>
      <c r="P185">
        <v>11</v>
      </c>
      <c r="Q185">
        <v>3</v>
      </c>
      <c r="R185">
        <v>2</v>
      </c>
      <c r="S185">
        <v>64</v>
      </c>
      <c r="T185">
        <v>20.3</v>
      </c>
      <c r="U185">
        <v>141</v>
      </c>
      <c r="V185" s="19" t="s">
        <v>2550</v>
      </c>
      <c r="W185" s="19" t="s">
        <v>614</v>
      </c>
      <c r="X185">
        <v>3</v>
      </c>
      <c r="Y185">
        <v>10</v>
      </c>
      <c r="Z185">
        <v>23.1</v>
      </c>
      <c r="AA185">
        <v>37</v>
      </c>
      <c r="AB185">
        <v>10</v>
      </c>
      <c r="AC185">
        <v>17</v>
      </c>
      <c r="AD185">
        <v>37</v>
      </c>
      <c r="AE185" s="19" t="s">
        <v>60</v>
      </c>
    </row>
    <row r="186" spans="1:31" x14ac:dyDescent="0.2">
      <c r="A186">
        <v>179</v>
      </c>
      <c r="B186" s="19" t="s">
        <v>432</v>
      </c>
      <c r="C186">
        <v>29</v>
      </c>
      <c r="D186" s="19" t="s">
        <v>395</v>
      </c>
      <c r="E186" s="19" t="s">
        <v>334</v>
      </c>
      <c r="F186">
        <v>53</v>
      </c>
      <c r="G186">
        <v>15</v>
      </c>
      <c r="H186">
        <v>14</v>
      </c>
      <c r="I186">
        <v>29</v>
      </c>
      <c r="J186">
        <v>-19</v>
      </c>
      <c r="K186">
        <v>14</v>
      </c>
      <c r="L186">
        <v>9</v>
      </c>
      <c r="M186">
        <v>6</v>
      </c>
      <c r="N186">
        <v>0</v>
      </c>
      <c r="O186">
        <v>2</v>
      </c>
      <c r="P186">
        <v>10</v>
      </c>
      <c r="Q186">
        <v>4</v>
      </c>
      <c r="R186">
        <v>0</v>
      </c>
      <c r="S186">
        <v>182</v>
      </c>
      <c r="T186">
        <v>8.1999999999999993</v>
      </c>
      <c r="U186">
        <v>375</v>
      </c>
      <c r="V186" s="19" t="s">
        <v>2551</v>
      </c>
      <c r="W186" s="19" t="s">
        <v>1906</v>
      </c>
      <c r="X186">
        <v>47</v>
      </c>
      <c r="Y186">
        <v>61</v>
      </c>
      <c r="Z186">
        <v>43.5</v>
      </c>
      <c r="AA186">
        <v>32</v>
      </c>
      <c r="AB186">
        <v>95</v>
      </c>
      <c r="AC186">
        <v>15</v>
      </c>
      <c r="AD186">
        <v>51</v>
      </c>
      <c r="AE186" s="19" t="s">
        <v>60</v>
      </c>
    </row>
    <row r="187" spans="1:31" x14ac:dyDescent="0.2">
      <c r="A187">
        <v>180</v>
      </c>
      <c r="B187" s="19" t="s">
        <v>539</v>
      </c>
      <c r="C187">
        <v>21</v>
      </c>
      <c r="D187" s="19" t="s">
        <v>403</v>
      </c>
      <c r="E187" s="19" t="s">
        <v>334</v>
      </c>
      <c r="F187">
        <v>56</v>
      </c>
      <c r="G187">
        <v>13</v>
      </c>
      <c r="H187">
        <v>16</v>
      </c>
      <c r="I187">
        <v>29</v>
      </c>
      <c r="J187">
        <v>-8</v>
      </c>
      <c r="K187">
        <v>49</v>
      </c>
      <c r="L187">
        <v>11</v>
      </c>
      <c r="M187">
        <v>2</v>
      </c>
      <c r="N187">
        <v>0</v>
      </c>
      <c r="O187">
        <v>0</v>
      </c>
      <c r="P187">
        <v>11</v>
      </c>
      <c r="Q187">
        <v>5</v>
      </c>
      <c r="R187">
        <v>0</v>
      </c>
      <c r="S187">
        <v>119</v>
      </c>
      <c r="T187">
        <v>10.9</v>
      </c>
      <c r="U187">
        <v>221</v>
      </c>
      <c r="V187" s="19" t="s">
        <v>2552</v>
      </c>
      <c r="W187" s="19" t="s">
        <v>1838</v>
      </c>
      <c r="X187">
        <v>1</v>
      </c>
      <c r="Y187">
        <v>8</v>
      </c>
      <c r="Z187">
        <v>11.1</v>
      </c>
      <c r="AA187">
        <v>17</v>
      </c>
      <c r="AB187">
        <v>21</v>
      </c>
      <c r="AC187">
        <v>14</v>
      </c>
      <c r="AD187">
        <v>60</v>
      </c>
      <c r="AE187" s="19" t="s">
        <v>60</v>
      </c>
    </row>
    <row r="188" spans="1:31" x14ac:dyDescent="0.2">
      <c r="A188">
        <v>181</v>
      </c>
      <c r="B188" s="19" t="s">
        <v>747</v>
      </c>
      <c r="C188">
        <v>21</v>
      </c>
      <c r="D188" s="19" t="s">
        <v>353</v>
      </c>
      <c r="E188" s="19" t="s">
        <v>322</v>
      </c>
      <c r="F188">
        <v>57</v>
      </c>
      <c r="G188">
        <v>14</v>
      </c>
      <c r="H188">
        <v>15</v>
      </c>
      <c r="I188">
        <v>29</v>
      </c>
      <c r="J188">
        <v>18</v>
      </c>
      <c r="K188">
        <v>14</v>
      </c>
      <c r="L188">
        <v>13</v>
      </c>
      <c r="M188">
        <v>1</v>
      </c>
      <c r="N188">
        <v>0</v>
      </c>
      <c r="O188">
        <v>2</v>
      </c>
      <c r="P188">
        <v>12</v>
      </c>
      <c r="Q188">
        <v>2</v>
      </c>
      <c r="R188">
        <v>1</v>
      </c>
      <c r="S188">
        <v>78</v>
      </c>
      <c r="T188">
        <v>17.899999999999999</v>
      </c>
      <c r="U188">
        <v>155</v>
      </c>
      <c r="V188" s="19" t="s">
        <v>2220</v>
      </c>
      <c r="W188" s="19" t="s">
        <v>1302</v>
      </c>
      <c r="X188">
        <v>266</v>
      </c>
      <c r="Y188">
        <v>283</v>
      </c>
      <c r="Z188">
        <v>48.5</v>
      </c>
      <c r="AA188">
        <v>35</v>
      </c>
      <c r="AB188">
        <v>100</v>
      </c>
      <c r="AC188">
        <v>22</v>
      </c>
      <c r="AD188">
        <v>25</v>
      </c>
      <c r="AE188" s="19" t="s">
        <v>60</v>
      </c>
    </row>
    <row r="189" spans="1:31" x14ac:dyDescent="0.2">
      <c r="A189">
        <v>182</v>
      </c>
      <c r="B189" s="19" t="s">
        <v>496</v>
      </c>
      <c r="C189">
        <v>25</v>
      </c>
      <c r="D189" s="19" t="s">
        <v>412</v>
      </c>
      <c r="E189" s="19" t="s">
        <v>322</v>
      </c>
      <c r="F189">
        <v>47</v>
      </c>
      <c r="G189">
        <v>15</v>
      </c>
      <c r="H189">
        <v>14</v>
      </c>
      <c r="I189">
        <v>29</v>
      </c>
      <c r="J189">
        <v>2</v>
      </c>
      <c r="K189">
        <v>28</v>
      </c>
      <c r="L189">
        <v>13</v>
      </c>
      <c r="M189">
        <v>2</v>
      </c>
      <c r="N189">
        <v>0</v>
      </c>
      <c r="O189">
        <v>1</v>
      </c>
      <c r="P189">
        <v>13</v>
      </c>
      <c r="Q189">
        <v>0</v>
      </c>
      <c r="R189">
        <v>1</v>
      </c>
      <c r="S189">
        <v>102</v>
      </c>
      <c r="T189">
        <v>14.7</v>
      </c>
      <c r="U189">
        <v>200</v>
      </c>
      <c r="V189" s="19" t="s">
        <v>2553</v>
      </c>
      <c r="W189" s="19" t="s">
        <v>396</v>
      </c>
      <c r="X189">
        <v>259</v>
      </c>
      <c r="Y189">
        <v>250</v>
      </c>
      <c r="Z189">
        <v>50.9</v>
      </c>
      <c r="AA189">
        <v>29</v>
      </c>
      <c r="AB189">
        <v>62</v>
      </c>
      <c r="AC189">
        <v>15</v>
      </c>
      <c r="AD189">
        <v>33</v>
      </c>
      <c r="AE189" s="19" t="s">
        <v>60</v>
      </c>
    </row>
    <row r="190" spans="1:31" x14ac:dyDescent="0.2">
      <c r="A190">
        <v>183</v>
      </c>
      <c r="B190" s="19" t="s">
        <v>546</v>
      </c>
      <c r="C190">
        <v>34</v>
      </c>
      <c r="D190" s="19" t="s">
        <v>423</v>
      </c>
      <c r="E190" s="19" t="s">
        <v>338</v>
      </c>
      <c r="F190">
        <v>39</v>
      </c>
      <c r="G190">
        <v>15</v>
      </c>
      <c r="H190">
        <v>14</v>
      </c>
      <c r="I190">
        <v>29</v>
      </c>
      <c r="J190">
        <v>-9</v>
      </c>
      <c r="K190">
        <v>17</v>
      </c>
      <c r="L190">
        <v>8</v>
      </c>
      <c r="M190">
        <v>7</v>
      </c>
      <c r="N190">
        <v>0</v>
      </c>
      <c r="O190">
        <v>4</v>
      </c>
      <c r="P190">
        <v>9</v>
      </c>
      <c r="Q190">
        <v>5</v>
      </c>
      <c r="R190">
        <v>0</v>
      </c>
      <c r="S190">
        <v>83</v>
      </c>
      <c r="T190">
        <v>18.100000000000001</v>
      </c>
      <c r="U190">
        <v>137</v>
      </c>
      <c r="V190" s="19" t="s">
        <v>2554</v>
      </c>
      <c r="W190" s="19" t="s">
        <v>1880</v>
      </c>
      <c r="X190">
        <v>38</v>
      </c>
      <c r="Y190">
        <v>64</v>
      </c>
      <c r="Z190">
        <v>37.299999999999997</v>
      </c>
      <c r="AA190">
        <v>10</v>
      </c>
      <c r="AB190">
        <v>39</v>
      </c>
      <c r="AC190">
        <v>4</v>
      </c>
      <c r="AD190">
        <v>42</v>
      </c>
      <c r="AE190" s="19" t="s">
        <v>60</v>
      </c>
    </row>
    <row r="191" spans="1:31" x14ac:dyDescent="0.2">
      <c r="A191">
        <v>184</v>
      </c>
      <c r="B191" s="19" t="s">
        <v>596</v>
      </c>
      <c r="C191">
        <v>32</v>
      </c>
      <c r="D191" s="19" t="s">
        <v>353</v>
      </c>
      <c r="E191" s="19" t="s">
        <v>338</v>
      </c>
      <c r="F191">
        <v>45</v>
      </c>
      <c r="G191">
        <v>14</v>
      </c>
      <c r="H191">
        <v>14</v>
      </c>
      <c r="I191">
        <v>28</v>
      </c>
      <c r="J191">
        <v>8</v>
      </c>
      <c r="K191">
        <v>20</v>
      </c>
      <c r="L191">
        <v>10</v>
      </c>
      <c r="M191">
        <v>4</v>
      </c>
      <c r="N191">
        <v>0</v>
      </c>
      <c r="O191">
        <v>5</v>
      </c>
      <c r="P191">
        <v>11</v>
      </c>
      <c r="Q191">
        <v>3</v>
      </c>
      <c r="R191">
        <v>0</v>
      </c>
      <c r="S191">
        <v>123</v>
      </c>
      <c r="T191">
        <v>11.4</v>
      </c>
      <c r="U191">
        <v>248</v>
      </c>
      <c r="V191" s="19" t="s">
        <v>2221</v>
      </c>
      <c r="W191" s="19" t="s">
        <v>739</v>
      </c>
      <c r="X191">
        <v>7</v>
      </c>
      <c r="Y191">
        <v>4</v>
      </c>
      <c r="Z191">
        <v>63.6</v>
      </c>
      <c r="AA191">
        <v>26</v>
      </c>
      <c r="AB191">
        <v>16</v>
      </c>
      <c r="AC191">
        <v>9</v>
      </c>
      <c r="AD191">
        <v>33</v>
      </c>
      <c r="AE191" s="19" t="s">
        <v>60</v>
      </c>
    </row>
    <row r="192" spans="1:31" x14ac:dyDescent="0.2">
      <c r="A192">
        <v>185</v>
      </c>
      <c r="B192" s="19" t="s">
        <v>600</v>
      </c>
      <c r="C192">
        <v>29</v>
      </c>
      <c r="D192" s="19" t="s">
        <v>440</v>
      </c>
      <c r="E192" s="19" t="s">
        <v>338</v>
      </c>
      <c r="F192">
        <v>57</v>
      </c>
      <c r="G192">
        <v>13</v>
      </c>
      <c r="H192">
        <v>15</v>
      </c>
      <c r="I192">
        <v>28</v>
      </c>
      <c r="J192">
        <v>-16</v>
      </c>
      <c r="K192">
        <v>8</v>
      </c>
      <c r="L192">
        <v>2</v>
      </c>
      <c r="M192">
        <v>11</v>
      </c>
      <c r="N192">
        <v>0</v>
      </c>
      <c r="O192">
        <v>0</v>
      </c>
      <c r="P192">
        <v>12</v>
      </c>
      <c r="Q192">
        <v>3</v>
      </c>
      <c r="R192">
        <v>0</v>
      </c>
      <c r="S192">
        <v>157</v>
      </c>
      <c r="T192">
        <v>8.3000000000000007</v>
      </c>
      <c r="U192">
        <v>276</v>
      </c>
      <c r="V192" s="19" t="s">
        <v>2555</v>
      </c>
      <c r="W192" s="19" t="s">
        <v>511</v>
      </c>
      <c r="X192">
        <v>12</v>
      </c>
      <c r="Y192">
        <v>17</v>
      </c>
      <c r="Z192">
        <v>41.4</v>
      </c>
      <c r="AA192">
        <v>23</v>
      </c>
      <c r="AB192">
        <v>51</v>
      </c>
      <c r="AC192">
        <v>8</v>
      </c>
      <c r="AD192">
        <v>33</v>
      </c>
      <c r="AE192" s="19" t="s">
        <v>60</v>
      </c>
    </row>
    <row r="193" spans="1:31" x14ac:dyDescent="0.2">
      <c r="A193">
        <v>186</v>
      </c>
      <c r="B193" s="19" t="s">
        <v>397</v>
      </c>
      <c r="C193">
        <v>27</v>
      </c>
      <c r="D193" s="19" t="s">
        <v>359</v>
      </c>
      <c r="E193" s="19" t="s">
        <v>347</v>
      </c>
      <c r="F193">
        <v>30</v>
      </c>
      <c r="G193">
        <v>4</v>
      </c>
      <c r="H193">
        <v>24</v>
      </c>
      <c r="I193">
        <v>28</v>
      </c>
      <c r="J193">
        <v>4</v>
      </c>
      <c r="K193">
        <v>12</v>
      </c>
      <c r="L193">
        <v>2</v>
      </c>
      <c r="M193">
        <v>2</v>
      </c>
      <c r="N193">
        <v>0</v>
      </c>
      <c r="O193">
        <v>1</v>
      </c>
      <c r="P193">
        <v>16</v>
      </c>
      <c r="Q193">
        <v>7</v>
      </c>
      <c r="R193">
        <v>1</v>
      </c>
      <c r="S193">
        <v>56</v>
      </c>
      <c r="T193">
        <v>7.1</v>
      </c>
      <c r="U193">
        <v>159</v>
      </c>
      <c r="V193" s="19" t="s">
        <v>1738</v>
      </c>
      <c r="W193" s="19" t="s">
        <v>1702</v>
      </c>
      <c r="X193">
        <v>0</v>
      </c>
      <c r="Y193">
        <v>0</v>
      </c>
      <c r="AA193">
        <v>45</v>
      </c>
      <c r="AB193">
        <v>15</v>
      </c>
      <c r="AC193">
        <v>20</v>
      </c>
      <c r="AD193">
        <v>37</v>
      </c>
      <c r="AE193" s="19" t="s">
        <v>60</v>
      </c>
    </row>
    <row r="194" spans="1:31" x14ac:dyDescent="0.2">
      <c r="A194">
        <v>187</v>
      </c>
      <c r="B194" s="19" t="s">
        <v>583</v>
      </c>
      <c r="C194">
        <v>28</v>
      </c>
      <c r="D194" s="19" t="s">
        <v>401</v>
      </c>
      <c r="E194" s="19" t="s">
        <v>347</v>
      </c>
      <c r="F194">
        <v>58</v>
      </c>
      <c r="G194">
        <v>4</v>
      </c>
      <c r="H194">
        <v>24</v>
      </c>
      <c r="I194">
        <v>28</v>
      </c>
      <c r="J194">
        <v>36</v>
      </c>
      <c r="K194">
        <v>10</v>
      </c>
      <c r="L194">
        <v>3</v>
      </c>
      <c r="M194">
        <v>0</v>
      </c>
      <c r="N194">
        <v>1</v>
      </c>
      <c r="O194">
        <v>2</v>
      </c>
      <c r="P194">
        <v>24</v>
      </c>
      <c r="Q194">
        <v>0</v>
      </c>
      <c r="R194">
        <v>0</v>
      </c>
      <c r="S194">
        <v>45</v>
      </c>
      <c r="T194">
        <v>8.9</v>
      </c>
      <c r="U194">
        <v>130</v>
      </c>
      <c r="V194" s="19" t="s">
        <v>2556</v>
      </c>
      <c r="W194" s="19" t="s">
        <v>421</v>
      </c>
      <c r="X194">
        <v>0</v>
      </c>
      <c r="Y194">
        <v>0</v>
      </c>
      <c r="AA194">
        <v>51</v>
      </c>
      <c r="AB194">
        <v>19</v>
      </c>
      <c r="AC194">
        <v>17</v>
      </c>
      <c r="AD194">
        <v>71</v>
      </c>
      <c r="AE194" s="19" t="s">
        <v>60</v>
      </c>
    </row>
    <row r="195" spans="1:31" x14ac:dyDescent="0.2">
      <c r="A195">
        <v>188</v>
      </c>
      <c r="B195" s="19" t="s">
        <v>538</v>
      </c>
      <c r="C195">
        <v>31</v>
      </c>
      <c r="D195" s="19" t="s">
        <v>361</v>
      </c>
      <c r="E195" s="19" t="s">
        <v>347</v>
      </c>
      <c r="F195">
        <v>54</v>
      </c>
      <c r="G195">
        <v>5</v>
      </c>
      <c r="H195">
        <v>23</v>
      </c>
      <c r="I195">
        <v>28</v>
      </c>
      <c r="J195">
        <v>14</v>
      </c>
      <c r="K195">
        <v>22</v>
      </c>
      <c r="L195">
        <v>5</v>
      </c>
      <c r="M195">
        <v>0</v>
      </c>
      <c r="N195">
        <v>0</v>
      </c>
      <c r="O195">
        <v>2</v>
      </c>
      <c r="P195">
        <v>22</v>
      </c>
      <c r="Q195">
        <v>0</v>
      </c>
      <c r="R195">
        <v>1</v>
      </c>
      <c r="S195">
        <v>78</v>
      </c>
      <c r="T195">
        <v>6.4</v>
      </c>
      <c r="U195">
        <v>201</v>
      </c>
      <c r="V195" s="19" t="s">
        <v>2222</v>
      </c>
      <c r="W195" s="19" t="s">
        <v>2058</v>
      </c>
      <c r="X195">
        <v>0</v>
      </c>
      <c r="Y195">
        <v>0</v>
      </c>
      <c r="AA195">
        <v>113</v>
      </c>
      <c r="AB195">
        <v>34</v>
      </c>
      <c r="AC195">
        <v>22</v>
      </c>
      <c r="AD195">
        <v>62</v>
      </c>
      <c r="AE195" s="19" t="s">
        <v>60</v>
      </c>
    </row>
    <row r="196" spans="1:31" x14ac:dyDescent="0.2">
      <c r="A196">
        <v>189</v>
      </c>
      <c r="B196" s="19" t="s">
        <v>638</v>
      </c>
      <c r="C196">
        <v>27</v>
      </c>
      <c r="D196" s="19" t="s">
        <v>353</v>
      </c>
      <c r="E196" s="19" t="s">
        <v>322</v>
      </c>
      <c r="F196">
        <v>47</v>
      </c>
      <c r="G196">
        <v>12</v>
      </c>
      <c r="H196">
        <v>16</v>
      </c>
      <c r="I196">
        <v>28</v>
      </c>
      <c r="J196">
        <v>1</v>
      </c>
      <c r="K196">
        <v>4</v>
      </c>
      <c r="L196">
        <v>10</v>
      </c>
      <c r="M196">
        <v>2</v>
      </c>
      <c r="N196">
        <v>0</v>
      </c>
      <c r="O196">
        <v>1</v>
      </c>
      <c r="P196">
        <v>12</v>
      </c>
      <c r="Q196">
        <v>4</v>
      </c>
      <c r="R196">
        <v>0</v>
      </c>
      <c r="S196">
        <v>54</v>
      </c>
      <c r="T196">
        <v>22.2</v>
      </c>
      <c r="U196">
        <v>104</v>
      </c>
      <c r="V196" s="19" t="s">
        <v>2223</v>
      </c>
      <c r="W196" s="19" t="s">
        <v>1589</v>
      </c>
      <c r="X196">
        <v>83</v>
      </c>
      <c r="Y196">
        <v>76</v>
      </c>
      <c r="Z196">
        <v>52.2</v>
      </c>
      <c r="AA196">
        <v>15</v>
      </c>
      <c r="AB196">
        <v>12</v>
      </c>
      <c r="AC196">
        <v>7</v>
      </c>
      <c r="AD196">
        <v>55</v>
      </c>
      <c r="AE196" s="19" t="s">
        <v>60</v>
      </c>
    </row>
    <row r="197" spans="1:31" x14ac:dyDescent="0.2">
      <c r="A197">
        <v>190</v>
      </c>
      <c r="B197" s="19" t="s">
        <v>588</v>
      </c>
      <c r="C197">
        <v>40</v>
      </c>
      <c r="D197" s="19" t="s">
        <v>415</v>
      </c>
      <c r="E197" s="19" t="s">
        <v>334</v>
      </c>
      <c r="F197">
        <v>46</v>
      </c>
      <c r="G197">
        <v>11</v>
      </c>
      <c r="H197">
        <v>17</v>
      </c>
      <c r="I197">
        <v>28</v>
      </c>
      <c r="J197">
        <v>2</v>
      </c>
      <c r="K197">
        <v>59</v>
      </c>
      <c r="L197">
        <v>7</v>
      </c>
      <c r="M197">
        <v>4</v>
      </c>
      <c r="N197">
        <v>0</v>
      </c>
      <c r="O197">
        <v>0</v>
      </c>
      <c r="P197">
        <v>10</v>
      </c>
      <c r="Q197">
        <v>7</v>
      </c>
      <c r="R197">
        <v>0</v>
      </c>
      <c r="S197">
        <v>80</v>
      </c>
      <c r="T197">
        <v>13.8</v>
      </c>
      <c r="U197">
        <v>154</v>
      </c>
      <c r="V197" s="19" t="s">
        <v>2557</v>
      </c>
      <c r="W197" s="19" t="s">
        <v>1817</v>
      </c>
      <c r="X197">
        <v>7</v>
      </c>
      <c r="Y197">
        <v>19</v>
      </c>
      <c r="Z197">
        <v>26.9</v>
      </c>
      <c r="AA197">
        <v>14</v>
      </c>
      <c r="AB197">
        <v>18</v>
      </c>
      <c r="AC197">
        <v>5</v>
      </c>
      <c r="AD197">
        <v>38</v>
      </c>
      <c r="AE197" s="19" t="s">
        <v>60</v>
      </c>
    </row>
    <row r="198" spans="1:31" x14ac:dyDescent="0.2">
      <c r="A198">
        <v>191</v>
      </c>
      <c r="B198" s="19" t="s">
        <v>724</v>
      </c>
      <c r="C198">
        <v>30</v>
      </c>
      <c r="D198" s="19" t="s">
        <v>350</v>
      </c>
      <c r="E198" s="19" t="s">
        <v>334</v>
      </c>
      <c r="F198">
        <v>56</v>
      </c>
      <c r="G198">
        <v>10</v>
      </c>
      <c r="H198">
        <v>17</v>
      </c>
      <c r="I198">
        <v>27</v>
      </c>
      <c r="J198">
        <v>-6</v>
      </c>
      <c r="K198">
        <v>10</v>
      </c>
      <c r="L198">
        <v>2</v>
      </c>
      <c r="M198">
        <v>8</v>
      </c>
      <c r="N198">
        <v>0</v>
      </c>
      <c r="O198">
        <v>1</v>
      </c>
      <c r="P198">
        <v>12</v>
      </c>
      <c r="Q198">
        <v>5</v>
      </c>
      <c r="R198">
        <v>0</v>
      </c>
      <c r="S198">
        <v>95</v>
      </c>
      <c r="T198">
        <v>10.5</v>
      </c>
      <c r="U198">
        <v>206</v>
      </c>
      <c r="V198" s="19" t="s">
        <v>2558</v>
      </c>
      <c r="W198" s="19" t="s">
        <v>964</v>
      </c>
      <c r="X198">
        <v>6</v>
      </c>
      <c r="Y198">
        <v>7</v>
      </c>
      <c r="Z198">
        <v>46.2</v>
      </c>
      <c r="AA198">
        <v>23</v>
      </c>
      <c r="AB198">
        <v>46</v>
      </c>
      <c r="AC198">
        <v>10</v>
      </c>
      <c r="AD198">
        <v>28</v>
      </c>
      <c r="AE198" s="19" t="s">
        <v>60</v>
      </c>
    </row>
    <row r="199" spans="1:31" x14ac:dyDescent="0.2">
      <c r="A199">
        <v>192</v>
      </c>
      <c r="B199" s="19" t="s">
        <v>619</v>
      </c>
      <c r="C199">
        <v>27</v>
      </c>
      <c r="D199" s="19" t="s">
        <v>373</v>
      </c>
      <c r="E199" s="19" t="s">
        <v>325</v>
      </c>
      <c r="F199">
        <v>42</v>
      </c>
      <c r="G199">
        <v>15</v>
      </c>
      <c r="H199">
        <v>12</v>
      </c>
      <c r="I199">
        <v>27</v>
      </c>
      <c r="J199">
        <v>2</v>
      </c>
      <c r="K199">
        <v>10</v>
      </c>
      <c r="L199">
        <v>12</v>
      </c>
      <c r="M199">
        <v>3</v>
      </c>
      <c r="N199">
        <v>0</v>
      </c>
      <c r="O199">
        <v>4</v>
      </c>
      <c r="P199">
        <v>11</v>
      </c>
      <c r="Q199">
        <v>1</v>
      </c>
      <c r="R199">
        <v>0</v>
      </c>
      <c r="S199">
        <v>78</v>
      </c>
      <c r="T199">
        <v>19.2</v>
      </c>
      <c r="U199">
        <v>129</v>
      </c>
      <c r="V199" s="19" t="s">
        <v>2559</v>
      </c>
      <c r="W199" s="19" t="s">
        <v>2560</v>
      </c>
      <c r="X199">
        <v>0</v>
      </c>
      <c r="Y199">
        <v>2</v>
      </c>
      <c r="Z199">
        <v>0</v>
      </c>
      <c r="AA199">
        <v>25</v>
      </c>
      <c r="AB199">
        <v>54</v>
      </c>
      <c r="AC199">
        <v>10</v>
      </c>
      <c r="AD199">
        <v>30</v>
      </c>
      <c r="AE199" s="19" t="s">
        <v>60</v>
      </c>
    </row>
    <row r="200" spans="1:31" x14ac:dyDescent="0.2">
      <c r="A200">
        <v>193</v>
      </c>
      <c r="B200" s="19" t="s">
        <v>567</v>
      </c>
      <c r="C200">
        <v>40</v>
      </c>
      <c r="D200" s="19" t="s">
        <v>321</v>
      </c>
      <c r="E200" s="19" t="s">
        <v>347</v>
      </c>
      <c r="F200">
        <v>56</v>
      </c>
      <c r="G200">
        <v>9</v>
      </c>
      <c r="H200">
        <v>18</v>
      </c>
      <c r="I200">
        <v>27</v>
      </c>
      <c r="J200">
        <v>30</v>
      </c>
      <c r="K200">
        <v>20</v>
      </c>
      <c r="L200">
        <v>9</v>
      </c>
      <c r="M200">
        <v>0</v>
      </c>
      <c r="N200">
        <v>0</v>
      </c>
      <c r="O200">
        <v>5</v>
      </c>
      <c r="P200">
        <v>17</v>
      </c>
      <c r="Q200">
        <v>1</v>
      </c>
      <c r="R200">
        <v>0</v>
      </c>
      <c r="S200">
        <v>120</v>
      </c>
      <c r="T200">
        <v>7.5</v>
      </c>
      <c r="U200">
        <v>283</v>
      </c>
      <c r="V200" s="19" t="s">
        <v>2561</v>
      </c>
      <c r="W200" s="19" t="s">
        <v>2562</v>
      </c>
      <c r="X200">
        <v>0</v>
      </c>
      <c r="Y200">
        <v>0</v>
      </c>
      <c r="AA200">
        <v>64</v>
      </c>
      <c r="AB200">
        <v>12</v>
      </c>
      <c r="AC200">
        <v>13</v>
      </c>
      <c r="AD200">
        <v>70</v>
      </c>
      <c r="AE200" s="19" t="s">
        <v>60</v>
      </c>
    </row>
    <row r="201" spans="1:31" x14ac:dyDescent="0.2">
      <c r="A201">
        <v>194</v>
      </c>
      <c r="B201" s="19" t="s">
        <v>548</v>
      </c>
      <c r="C201">
        <v>26</v>
      </c>
      <c r="D201" s="19" t="s">
        <v>403</v>
      </c>
      <c r="E201" s="19" t="s">
        <v>338</v>
      </c>
      <c r="F201">
        <v>57</v>
      </c>
      <c r="G201">
        <v>11</v>
      </c>
      <c r="H201">
        <v>16</v>
      </c>
      <c r="I201">
        <v>27</v>
      </c>
      <c r="J201">
        <v>16</v>
      </c>
      <c r="K201">
        <v>33</v>
      </c>
      <c r="L201">
        <v>9</v>
      </c>
      <c r="M201">
        <v>2</v>
      </c>
      <c r="N201">
        <v>0</v>
      </c>
      <c r="O201">
        <v>3</v>
      </c>
      <c r="P201">
        <v>12</v>
      </c>
      <c r="Q201">
        <v>4</v>
      </c>
      <c r="R201">
        <v>0</v>
      </c>
      <c r="S201">
        <v>90</v>
      </c>
      <c r="T201">
        <v>12.2</v>
      </c>
      <c r="U201">
        <v>158</v>
      </c>
      <c r="V201" s="19" t="s">
        <v>2563</v>
      </c>
      <c r="W201" s="19" t="s">
        <v>1537</v>
      </c>
      <c r="X201">
        <v>323</v>
      </c>
      <c r="Y201">
        <v>399</v>
      </c>
      <c r="Z201">
        <v>44.7</v>
      </c>
      <c r="AA201">
        <v>38</v>
      </c>
      <c r="AB201">
        <v>67</v>
      </c>
      <c r="AC201">
        <v>15</v>
      </c>
      <c r="AD201">
        <v>28</v>
      </c>
      <c r="AE201" s="19" t="s">
        <v>60</v>
      </c>
    </row>
    <row r="202" spans="1:31" x14ac:dyDescent="0.2">
      <c r="A202">
        <v>195</v>
      </c>
      <c r="B202" s="19" t="s">
        <v>523</v>
      </c>
      <c r="C202">
        <v>23</v>
      </c>
      <c r="D202" s="19" t="s">
        <v>359</v>
      </c>
      <c r="E202" s="19" t="s">
        <v>338</v>
      </c>
      <c r="F202">
        <v>57</v>
      </c>
      <c r="G202">
        <v>13</v>
      </c>
      <c r="H202">
        <v>14</v>
      </c>
      <c r="I202">
        <v>27</v>
      </c>
      <c r="J202">
        <v>-19</v>
      </c>
      <c r="K202">
        <v>39</v>
      </c>
      <c r="L202">
        <v>9</v>
      </c>
      <c r="M202">
        <v>4</v>
      </c>
      <c r="N202">
        <v>0</v>
      </c>
      <c r="O202">
        <v>1</v>
      </c>
      <c r="P202">
        <v>10</v>
      </c>
      <c r="Q202">
        <v>4</v>
      </c>
      <c r="R202">
        <v>0</v>
      </c>
      <c r="S202">
        <v>109</v>
      </c>
      <c r="T202">
        <v>11.9</v>
      </c>
      <c r="U202">
        <v>226</v>
      </c>
      <c r="V202" s="19" t="s">
        <v>2564</v>
      </c>
      <c r="W202" s="19" t="s">
        <v>1178</v>
      </c>
      <c r="X202">
        <v>36</v>
      </c>
      <c r="Y202">
        <v>32</v>
      </c>
      <c r="Z202">
        <v>52.9</v>
      </c>
      <c r="AA202">
        <v>57</v>
      </c>
      <c r="AB202">
        <v>202</v>
      </c>
      <c r="AC202">
        <v>8</v>
      </c>
      <c r="AD202">
        <v>36</v>
      </c>
      <c r="AE202" s="19" t="s">
        <v>60</v>
      </c>
    </row>
    <row r="203" spans="1:31" x14ac:dyDescent="0.2">
      <c r="A203">
        <v>196</v>
      </c>
      <c r="B203" s="19" t="s">
        <v>527</v>
      </c>
      <c r="C203">
        <v>26</v>
      </c>
      <c r="D203" s="19" t="s">
        <v>430</v>
      </c>
      <c r="E203" s="19" t="s">
        <v>322</v>
      </c>
      <c r="F203">
        <v>56</v>
      </c>
      <c r="G203">
        <v>12</v>
      </c>
      <c r="H203">
        <v>15</v>
      </c>
      <c r="I203">
        <v>27</v>
      </c>
      <c r="J203">
        <v>-15</v>
      </c>
      <c r="K203">
        <v>20</v>
      </c>
      <c r="L203">
        <v>7</v>
      </c>
      <c r="M203">
        <v>5</v>
      </c>
      <c r="N203">
        <v>0</v>
      </c>
      <c r="O203">
        <v>2</v>
      </c>
      <c r="P203">
        <v>9</v>
      </c>
      <c r="Q203">
        <v>6</v>
      </c>
      <c r="R203">
        <v>0</v>
      </c>
      <c r="S203">
        <v>96</v>
      </c>
      <c r="T203">
        <v>12.5</v>
      </c>
      <c r="U203">
        <v>173</v>
      </c>
      <c r="V203" s="19" t="s">
        <v>2224</v>
      </c>
      <c r="W203" s="19" t="s">
        <v>660</v>
      </c>
      <c r="X203">
        <v>377</v>
      </c>
      <c r="Y203">
        <v>308</v>
      </c>
      <c r="Z203">
        <v>55</v>
      </c>
      <c r="AA203">
        <v>25</v>
      </c>
      <c r="AB203">
        <v>37</v>
      </c>
      <c r="AC203">
        <v>13</v>
      </c>
      <c r="AD203">
        <v>33</v>
      </c>
      <c r="AE203" s="19" t="s">
        <v>60</v>
      </c>
    </row>
    <row r="204" spans="1:31" x14ac:dyDescent="0.2">
      <c r="A204">
        <v>197</v>
      </c>
      <c r="B204" s="19" t="s">
        <v>735</v>
      </c>
      <c r="C204">
        <v>33</v>
      </c>
      <c r="D204" s="19" t="s">
        <v>336</v>
      </c>
      <c r="E204" s="19" t="s">
        <v>322</v>
      </c>
      <c r="F204">
        <v>38</v>
      </c>
      <c r="G204">
        <v>12</v>
      </c>
      <c r="H204">
        <v>15</v>
      </c>
      <c r="I204">
        <v>27</v>
      </c>
      <c r="J204">
        <v>-10</v>
      </c>
      <c r="K204">
        <v>14</v>
      </c>
      <c r="L204">
        <v>8</v>
      </c>
      <c r="M204">
        <v>4</v>
      </c>
      <c r="N204">
        <v>0</v>
      </c>
      <c r="O204">
        <v>1</v>
      </c>
      <c r="P204">
        <v>14</v>
      </c>
      <c r="Q204">
        <v>1</v>
      </c>
      <c r="R204">
        <v>0</v>
      </c>
      <c r="S204">
        <v>78</v>
      </c>
      <c r="T204">
        <v>15.4</v>
      </c>
      <c r="U204">
        <v>149</v>
      </c>
      <c r="V204" s="19" t="s">
        <v>2146</v>
      </c>
      <c r="W204" s="19" t="s">
        <v>692</v>
      </c>
      <c r="X204">
        <v>243</v>
      </c>
      <c r="Y204">
        <v>274</v>
      </c>
      <c r="Z204">
        <v>47</v>
      </c>
      <c r="AA204">
        <v>26</v>
      </c>
      <c r="AB204">
        <v>24</v>
      </c>
      <c r="AC204">
        <v>13</v>
      </c>
      <c r="AD204">
        <v>33</v>
      </c>
      <c r="AE204" s="19" t="s">
        <v>60</v>
      </c>
    </row>
    <row r="205" spans="1:31" x14ac:dyDescent="0.2">
      <c r="A205">
        <v>198</v>
      </c>
      <c r="B205" s="19" t="s">
        <v>576</v>
      </c>
      <c r="C205">
        <v>34</v>
      </c>
      <c r="D205" s="19" t="s">
        <v>393</v>
      </c>
      <c r="E205" s="19" t="s">
        <v>338</v>
      </c>
      <c r="F205">
        <v>57</v>
      </c>
      <c r="G205">
        <v>12</v>
      </c>
      <c r="H205">
        <v>15</v>
      </c>
      <c r="I205">
        <v>27</v>
      </c>
      <c r="J205">
        <v>1</v>
      </c>
      <c r="K205">
        <v>38</v>
      </c>
      <c r="L205">
        <v>9</v>
      </c>
      <c r="M205">
        <v>3</v>
      </c>
      <c r="N205">
        <v>0</v>
      </c>
      <c r="O205">
        <v>1</v>
      </c>
      <c r="P205">
        <v>13</v>
      </c>
      <c r="Q205">
        <v>2</v>
      </c>
      <c r="R205">
        <v>0</v>
      </c>
      <c r="S205">
        <v>95</v>
      </c>
      <c r="T205">
        <v>12.6</v>
      </c>
      <c r="U205">
        <v>191</v>
      </c>
      <c r="V205" s="19" t="s">
        <v>2565</v>
      </c>
      <c r="W205" s="19" t="s">
        <v>1685</v>
      </c>
      <c r="X205">
        <v>15</v>
      </c>
      <c r="Y205">
        <v>24</v>
      </c>
      <c r="Z205">
        <v>38.5</v>
      </c>
      <c r="AA205">
        <v>23</v>
      </c>
      <c r="AB205">
        <v>36</v>
      </c>
      <c r="AC205">
        <v>15</v>
      </c>
      <c r="AD205">
        <v>51</v>
      </c>
      <c r="AE205" s="19" t="s">
        <v>60</v>
      </c>
    </row>
    <row r="206" spans="1:31" x14ac:dyDescent="0.2">
      <c r="A206">
        <v>199</v>
      </c>
      <c r="B206" s="19" t="s">
        <v>699</v>
      </c>
      <c r="C206">
        <v>32</v>
      </c>
      <c r="D206" s="19" t="s">
        <v>377</v>
      </c>
      <c r="E206" s="19" t="s">
        <v>322</v>
      </c>
      <c r="F206">
        <v>42</v>
      </c>
      <c r="G206">
        <v>8</v>
      </c>
      <c r="H206">
        <v>19</v>
      </c>
      <c r="I206">
        <v>27</v>
      </c>
      <c r="J206">
        <v>1</v>
      </c>
      <c r="K206">
        <v>26</v>
      </c>
      <c r="L206">
        <v>7</v>
      </c>
      <c r="M206">
        <v>1</v>
      </c>
      <c r="N206">
        <v>0</v>
      </c>
      <c r="O206">
        <v>2</v>
      </c>
      <c r="P206">
        <v>16</v>
      </c>
      <c r="Q206">
        <v>2</v>
      </c>
      <c r="R206">
        <v>1</v>
      </c>
      <c r="S206">
        <v>89</v>
      </c>
      <c r="T206">
        <v>9</v>
      </c>
      <c r="U206">
        <v>179</v>
      </c>
      <c r="V206" s="19" t="s">
        <v>2225</v>
      </c>
      <c r="W206" s="19" t="s">
        <v>1815</v>
      </c>
      <c r="X206">
        <v>94</v>
      </c>
      <c r="Y206">
        <v>84</v>
      </c>
      <c r="Z206">
        <v>52.8</v>
      </c>
      <c r="AA206">
        <v>42</v>
      </c>
      <c r="AB206">
        <v>92</v>
      </c>
      <c r="AC206">
        <v>9</v>
      </c>
      <c r="AD206">
        <v>36</v>
      </c>
      <c r="AE206" s="19" t="s">
        <v>60</v>
      </c>
    </row>
    <row r="207" spans="1:31" x14ac:dyDescent="0.2">
      <c r="A207">
        <v>200</v>
      </c>
      <c r="B207" s="19" t="s">
        <v>702</v>
      </c>
      <c r="C207">
        <v>18</v>
      </c>
      <c r="D207" s="19" t="s">
        <v>373</v>
      </c>
      <c r="E207" s="19" t="s">
        <v>322</v>
      </c>
      <c r="F207">
        <v>53</v>
      </c>
      <c r="G207">
        <v>14</v>
      </c>
      <c r="H207">
        <v>13</v>
      </c>
      <c r="I207">
        <v>27</v>
      </c>
      <c r="J207">
        <v>-3</v>
      </c>
      <c r="K207">
        <v>16</v>
      </c>
      <c r="L207">
        <v>9</v>
      </c>
      <c r="M207">
        <v>4</v>
      </c>
      <c r="N207">
        <v>1</v>
      </c>
      <c r="O207">
        <v>3</v>
      </c>
      <c r="P207">
        <v>7</v>
      </c>
      <c r="Q207">
        <v>6</v>
      </c>
      <c r="R207">
        <v>0</v>
      </c>
      <c r="S207">
        <v>109</v>
      </c>
      <c r="T207">
        <v>12.8</v>
      </c>
      <c r="U207">
        <v>195</v>
      </c>
      <c r="V207" s="19" t="s">
        <v>2566</v>
      </c>
      <c r="W207" s="19" t="s">
        <v>1522</v>
      </c>
      <c r="X207">
        <v>188</v>
      </c>
      <c r="Y207">
        <v>214</v>
      </c>
      <c r="Z207">
        <v>46.8</v>
      </c>
      <c r="AA207">
        <v>44</v>
      </c>
      <c r="AB207">
        <v>21</v>
      </c>
      <c r="AC207">
        <v>16</v>
      </c>
      <c r="AD207">
        <v>56</v>
      </c>
      <c r="AE207" s="19" t="s">
        <v>60</v>
      </c>
    </row>
    <row r="208" spans="1:31" x14ac:dyDescent="0.2">
      <c r="A208">
        <v>201</v>
      </c>
      <c r="B208" s="19" t="s">
        <v>810</v>
      </c>
      <c r="C208">
        <v>25</v>
      </c>
      <c r="D208" s="19" t="s">
        <v>423</v>
      </c>
      <c r="E208" s="19" t="s">
        <v>322</v>
      </c>
      <c r="F208">
        <v>58</v>
      </c>
      <c r="G208">
        <v>8</v>
      </c>
      <c r="H208">
        <v>19</v>
      </c>
      <c r="I208">
        <v>27</v>
      </c>
      <c r="J208">
        <v>5</v>
      </c>
      <c r="K208">
        <v>67</v>
      </c>
      <c r="L208">
        <v>8</v>
      </c>
      <c r="M208">
        <v>0</v>
      </c>
      <c r="N208">
        <v>0</v>
      </c>
      <c r="O208">
        <v>2</v>
      </c>
      <c r="P208">
        <v>18</v>
      </c>
      <c r="Q208">
        <v>1</v>
      </c>
      <c r="R208">
        <v>0</v>
      </c>
      <c r="S208">
        <v>63</v>
      </c>
      <c r="T208">
        <v>12.7</v>
      </c>
      <c r="U208">
        <v>128</v>
      </c>
      <c r="V208" s="19" t="s">
        <v>2567</v>
      </c>
      <c r="W208" s="19" t="s">
        <v>1608</v>
      </c>
      <c r="X208">
        <v>163</v>
      </c>
      <c r="Y208">
        <v>211</v>
      </c>
      <c r="Z208">
        <v>43.6</v>
      </c>
      <c r="AA208">
        <v>31</v>
      </c>
      <c r="AB208">
        <v>133</v>
      </c>
      <c r="AC208">
        <v>16</v>
      </c>
      <c r="AD208">
        <v>43</v>
      </c>
      <c r="AE208" s="19" t="s">
        <v>60</v>
      </c>
    </row>
    <row r="209" spans="1:31" x14ac:dyDescent="0.2">
      <c r="A209">
        <v>202</v>
      </c>
      <c r="B209" s="19" t="s">
        <v>540</v>
      </c>
      <c r="C209">
        <v>31</v>
      </c>
      <c r="D209" s="19" t="s">
        <v>377</v>
      </c>
      <c r="E209" s="19" t="s">
        <v>322</v>
      </c>
      <c r="F209">
        <v>52</v>
      </c>
      <c r="G209">
        <v>10</v>
      </c>
      <c r="H209">
        <v>17</v>
      </c>
      <c r="I209">
        <v>27</v>
      </c>
      <c r="J209">
        <v>2</v>
      </c>
      <c r="K209">
        <v>12</v>
      </c>
      <c r="L209">
        <v>9</v>
      </c>
      <c r="M209">
        <v>1</v>
      </c>
      <c r="N209">
        <v>0</v>
      </c>
      <c r="O209">
        <v>3</v>
      </c>
      <c r="P209">
        <v>10</v>
      </c>
      <c r="Q209">
        <v>7</v>
      </c>
      <c r="R209">
        <v>0</v>
      </c>
      <c r="S209">
        <v>87</v>
      </c>
      <c r="T209">
        <v>11.5</v>
      </c>
      <c r="U209">
        <v>153</v>
      </c>
      <c r="V209" s="19" t="s">
        <v>2226</v>
      </c>
      <c r="W209" s="19" t="s">
        <v>1582</v>
      </c>
      <c r="X209">
        <v>473</v>
      </c>
      <c r="Y209">
        <v>412</v>
      </c>
      <c r="Z209">
        <v>53.4</v>
      </c>
      <c r="AA209">
        <v>25</v>
      </c>
      <c r="AB209">
        <v>27</v>
      </c>
      <c r="AC209">
        <v>16</v>
      </c>
      <c r="AD209">
        <v>41</v>
      </c>
      <c r="AE209" s="19" t="s">
        <v>60</v>
      </c>
    </row>
    <row r="210" spans="1:31" x14ac:dyDescent="0.2">
      <c r="A210">
        <v>203</v>
      </c>
      <c r="B210" s="19" t="s">
        <v>500</v>
      </c>
      <c r="C210">
        <v>30</v>
      </c>
      <c r="D210" s="19" t="s">
        <v>342</v>
      </c>
      <c r="E210" s="19" t="s">
        <v>347</v>
      </c>
      <c r="F210">
        <v>46</v>
      </c>
      <c r="G210">
        <v>7</v>
      </c>
      <c r="H210">
        <v>20</v>
      </c>
      <c r="I210">
        <v>27</v>
      </c>
      <c r="J210">
        <v>13</v>
      </c>
      <c r="K210">
        <v>10</v>
      </c>
      <c r="L210">
        <v>6</v>
      </c>
      <c r="M210">
        <v>1</v>
      </c>
      <c r="N210">
        <v>0</v>
      </c>
      <c r="O210">
        <v>3</v>
      </c>
      <c r="P210">
        <v>17</v>
      </c>
      <c r="Q210">
        <v>3</v>
      </c>
      <c r="R210">
        <v>0</v>
      </c>
      <c r="S210">
        <v>93</v>
      </c>
      <c r="T210">
        <v>7.5</v>
      </c>
      <c r="U210">
        <v>211</v>
      </c>
      <c r="V210" s="19" t="s">
        <v>2568</v>
      </c>
      <c r="W210" s="19" t="s">
        <v>1884</v>
      </c>
      <c r="X210">
        <v>0</v>
      </c>
      <c r="Y210">
        <v>0</v>
      </c>
      <c r="AA210">
        <v>66</v>
      </c>
      <c r="AB210">
        <v>1</v>
      </c>
      <c r="AC210">
        <v>14</v>
      </c>
      <c r="AD210">
        <v>54</v>
      </c>
      <c r="AE210" s="19" t="s">
        <v>60</v>
      </c>
    </row>
    <row r="211" spans="1:31" x14ac:dyDescent="0.2">
      <c r="A211">
        <v>204</v>
      </c>
      <c r="B211" s="19" t="s">
        <v>663</v>
      </c>
      <c r="C211">
        <v>20</v>
      </c>
      <c r="D211" s="19" t="s">
        <v>423</v>
      </c>
      <c r="E211" s="19" t="s">
        <v>338</v>
      </c>
      <c r="F211">
        <v>42</v>
      </c>
      <c r="G211">
        <v>7</v>
      </c>
      <c r="H211">
        <v>19</v>
      </c>
      <c r="I211">
        <v>26</v>
      </c>
      <c r="J211">
        <v>16</v>
      </c>
      <c r="K211">
        <v>20</v>
      </c>
      <c r="L211">
        <v>6</v>
      </c>
      <c r="M211">
        <v>1</v>
      </c>
      <c r="N211">
        <v>0</v>
      </c>
      <c r="O211">
        <v>4</v>
      </c>
      <c r="P211">
        <v>14</v>
      </c>
      <c r="Q211">
        <v>4</v>
      </c>
      <c r="R211">
        <v>1</v>
      </c>
      <c r="S211">
        <v>74</v>
      </c>
      <c r="T211">
        <v>9.5</v>
      </c>
      <c r="U211">
        <v>125</v>
      </c>
      <c r="V211" s="19" t="s">
        <v>2126</v>
      </c>
      <c r="W211" s="19" t="s">
        <v>1611</v>
      </c>
      <c r="X211">
        <v>4</v>
      </c>
      <c r="Y211">
        <v>5</v>
      </c>
      <c r="Z211">
        <v>44.4</v>
      </c>
      <c r="AA211">
        <v>15</v>
      </c>
      <c r="AB211">
        <v>21</v>
      </c>
      <c r="AC211">
        <v>15</v>
      </c>
      <c r="AD211">
        <v>30</v>
      </c>
      <c r="AE211" s="19" t="s">
        <v>60</v>
      </c>
    </row>
    <row r="212" spans="1:31" x14ac:dyDescent="0.2">
      <c r="A212">
        <v>205</v>
      </c>
      <c r="B212" s="19" t="s">
        <v>521</v>
      </c>
      <c r="C212">
        <v>28</v>
      </c>
      <c r="D212" s="19" t="s">
        <v>440</v>
      </c>
      <c r="E212" s="19" t="s">
        <v>334</v>
      </c>
      <c r="F212">
        <v>51</v>
      </c>
      <c r="G212">
        <v>12</v>
      </c>
      <c r="H212">
        <v>14</v>
      </c>
      <c r="I212">
        <v>26</v>
      </c>
      <c r="J212">
        <v>-29</v>
      </c>
      <c r="K212">
        <v>6</v>
      </c>
      <c r="L212">
        <v>10</v>
      </c>
      <c r="M212">
        <v>2</v>
      </c>
      <c r="N212">
        <v>0</v>
      </c>
      <c r="O212">
        <v>2</v>
      </c>
      <c r="P212">
        <v>7</v>
      </c>
      <c r="Q212">
        <v>7</v>
      </c>
      <c r="R212">
        <v>0</v>
      </c>
      <c r="S212">
        <v>116</v>
      </c>
      <c r="T212">
        <v>10.3</v>
      </c>
      <c r="U212">
        <v>245</v>
      </c>
      <c r="V212" s="19" t="s">
        <v>2569</v>
      </c>
      <c r="W212" s="19" t="s">
        <v>2570</v>
      </c>
      <c r="X212">
        <v>50</v>
      </c>
      <c r="Y212">
        <v>62</v>
      </c>
      <c r="Z212">
        <v>44.6</v>
      </c>
      <c r="AA212">
        <v>22</v>
      </c>
      <c r="AB212">
        <v>32</v>
      </c>
      <c r="AC212">
        <v>8</v>
      </c>
      <c r="AD212">
        <v>36</v>
      </c>
      <c r="AE212" s="19" t="s">
        <v>60</v>
      </c>
    </row>
    <row r="213" spans="1:31" x14ac:dyDescent="0.2">
      <c r="A213">
        <v>206</v>
      </c>
      <c r="B213" s="19" t="s">
        <v>507</v>
      </c>
      <c r="C213">
        <v>33</v>
      </c>
      <c r="D213" s="19" t="s">
        <v>403</v>
      </c>
      <c r="E213" s="19" t="s">
        <v>322</v>
      </c>
      <c r="F213">
        <v>56</v>
      </c>
      <c r="G213">
        <v>5</v>
      </c>
      <c r="H213">
        <v>21</v>
      </c>
      <c r="I213">
        <v>26</v>
      </c>
      <c r="J213">
        <v>-7</v>
      </c>
      <c r="K213">
        <v>22</v>
      </c>
      <c r="L213">
        <v>5</v>
      </c>
      <c r="M213">
        <v>0</v>
      </c>
      <c r="N213">
        <v>0</v>
      </c>
      <c r="O213">
        <v>1</v>
      </c>
      <c r="P213">
        <v>20</v>
      </c>
      <c r="Q213">
        <v>1</v>
      </c>
      <c r="R213">
        <v>0</v>
      </c>
      <c r="S213">
        <v>91</v>
      </c>
      <c r="T213">
        <v>5.5</v>
      </c>
      <c r="U213">
        <v>176</v>
      </c>
      <c r="V213" s="19" t="s">
        <v>2571</v>
      </c>
      <c r="W213" s="19" t="s">
        <v>1869</v>
      </c>
      <c r="X213">
        <v>490</v>
      </c>
      <c r="Y213">
        <v>429</v>
      </c>
      <c r="Z213">
        <v>53.3</v>
      </c>
      <c r="AA213">
        <v>36</v>
      </c>
      <c r="AB213">
        <v>64</v>
      </c>
      <c r="AC213">
        <v>25</v>
      </c>
      <c r="AD213">
        <v>51</v>
      </c>
      <c r="AE213" s="19" t="s">
        <v>60</v>
      </c>
    </row>
    <row r="214" spans="1:31" x14ac:dyDescent="0.2">
      <c r="A214">
        <v>207</v>
      </c>
      <c r="B214" s="19" t="s">
        <v>733</v>
      </c>
      <c r="C214">
        <v>30</v>
      </c>
      <c r="D214" s="19" t="s">
        <v>380</v>
      </c>
      <c r="E214" s="19" t="s">
        <v>338</v>
      </c>
      <c r="F214">
        <v>54</v>
      </c>
      <c r="G214">
        <v>12</v>
      </c>
      <c r="H214">
        <v>14</v>
      </c>
      <c r="I214">
        <v>26</v>
      </c>
      <c r="J214">
        <v>0</v>
      </c>
      <c r="K214">
        <v>12</v>
      </c>
      <c r="L214">
        <v>8</v>
      </c>
      <c r="M214">
        <v>4</v>
      </c>
      <c r="N214">
        <v>0</v>
      </c>
      <c r="O214">
        <v>2</v>
      </c>
      <c r="P214">
        <v>12</v>
      </c>
      <c r="Q214">
        <v>2</v>
      </c>
      <c r="R214">
        <v>0</v>
      </c>
      <c r="S214">
        <v>67</v>
      </c>
      <c r="T214">
        <v>17.899999999999999</v>
      </c>
      <c r="U214">
        <v>136</v>
      </c>
      <c r="V214" s="19" t="s">
        <v>2147</v>
      </c>
      <c r="W214" s="19" t="s">
        <v>1961</v>
      </c>
      <c r="X214">
        <v>4</v>
      </c>
      <c r="Y214">
        <v>5</v>
      </c>
      <c r="Z214">
        <v>44.4</v>
      </c>
      <c r="AA214">
        <v>35</v>
      </c>
      <c r="AB214">
        <v>4</v>
      </c>
      <c r="AC214">
        <v>6</v>
      </c>
      <c r="AD214">
        <v>24</v>
      </c>
      <c r="AE214" s="19" t="s">
        <v>60</v>
      </c>
    </row>
    <row r="215" spans="1:31" x14ac:dyDescent="0.2">
      <c r="A215">
        <v>208</v>
      </c>
      <c r="B215" s="19" t="s">
        <v>768</v>
      </c>
      <c r="C215">
        <v>31</v>
      </c>
      <c r="D215" s="19" t="s">
        <v>355</v>
      </c>
      <c r="E215" s="19" t="s">
        <v>334</v>
      </c>
      <c r="F215">
        <v>54</v>
      </c>
      <c r="G215">
        <v>14</v>
      </c>
      <c r="H215">
        <v>12</v>
      </c>
      <c r="I215">
        <v>26</v>
      </c>
      <c r="J215">
        <v>2</v>
      </c>
      <c r="K215">
        <v>29</v>
      </c>
      <c r="L215">
        <v>9</v>
      </c>
      <c r="M215">
        <v>5</v>
      </c>
      <c r="N215">
        <v>0</v>
      </c>
      <c r="O215">
        <v>3</v>
      </c>
      <c r="P215">
        <v>11</v>
      </c>
      <c r="Q215">
        <v>1</v>
      </c>
      <c r="R215">
        <v>0</v>
      </c>
      <c r="S215">
        <v>110</v>
      </c>
      <c r="T215">
        <v>12.7</v>
      </c>
      <c r="U215">
        <v>237</v>
      </c>
      <c r="V215" s="19" t="s">
        <v>2227</v>
      </c>
      <c r="W215" s="19" t="s">
        <v>419</v>
      </c>
      <c r="X215">
        <v>312</v>
      </c>
      <c r="Y215">
        <v>414</v>
      </c>
      <c r="Z215">
        <v>43</v>
      </c>
      <c r="AA215">
        <v>76</v>
      </c>
      <c r="AB215">
        <v>45</v>
      </c>
      <c r="AC215">
        <v>17</v>
      </c>
      <c r="AD215">
        <v>42</v>
      </c>
      <c r="AE215" s="19" t="s">
        <v>60</v>
      </c>
    </row>
    <row r="216" spans="1:31" x14ac:dyDescent="0.2">
      <c r="A216">
        <v>209</v>
      </c>
      <c r="B216" s="19" t="s">
        <v>552</v>
      </c>
      <c r="C216">
        <v>22</v>
      </c>
      <c r="D216" s="19" t="s">
        <v>395</v>
      </c>
      <c r="E216" s="19" t="s">
        <v>347</v>
      </c>
      <c r="F216">
        <v>49</v>
      </c>
      <c r="G216">
        <v>5</v>
      </c>
      <c r="H216">
        <v>21</v>
      </c>
      <c r="I216">
        <v>26</v>
      </c>
      <c r="J216">
        <v>-8</v>
      </c>
      <c r="K216">
        <v>24</v>
      </c>
      <c r="L216">
        <v>4</v>
      </c>
      <c r="M216">
        <v>1</v>
      </c>
      <c r="N216">
        <v>0</v>
      </c>
      <c r="O216">
        <v>1</v>
      </c>
      <c r="P216">
        <v>14</v>
      </c>
      <c r="Q216">
        <v>7</v>
      </c>
      <c r="R216">
        <v>0</v>
      </c>
      <c r="S216">
        <v>104</v>
      </c>
      <c r="T216">
        <v>4.8</v>
      </c>
      <c r="U216">
        <v>281</v>
      </c>
      <c r="V216" s="19" t="s">
        <v>1958</v>
      </c>
      <c r="W216" s="19" t="s">
        <v>1959</v>
      </c>
      <c r="X216">
        <v>0</v>
      </c>
      <c r="Y216">
        <v>0</v>
      </c>
      <c r="AA216">
        <v>39</v>
      </c>
      <c r="AB216">
        <v>13</v>
      </c>
      <c r="AC216">
        <v>18</v>
      </c>
      <c r="AD216">
        <v>81</v>
      </c>
      <c r="AE216" s="19" t="s">
        <v>60</v>
      </c>
    </row>
    <row r="217" spans="1:31" x14ac:dyDescent="0.2">
      <c r="A217">
        <v>210</v>
      </c>
      <c r="B217" s="19" t="s">
        <v>553</v>
      </c>
      <c r="C217">
        <v>34</v>
      </c>
      <c r="D217" s="19" t="s">
        <v>440</v>
      </c>
      <c r="E217" s="19" t="s">
        <v>338</v>
      </c>
      <c r="F217">
        <v>57</v>
      </c>
      <c r="G217">
        <v>10</v>
      </c>
      <c r="H217">
        <v>16</v>
      </c>
      <c r="I217">
        <v>26</v>
      </c>
      <c r="J217">
        <v>-18</v>
      </c>
      <c r="K217">
        <v>78</v>
      </c>
      <c r="L217">
        <v>8</v>
      </c>
      <c r="M217">
        <v>2</v>
      </c>
      <c r="N217">
        <v>0</v>
      </c>
      <c r="O217">
        <v>1</v>
      </c>
      <c r="P217">
        <v>12</v>
      </c>
      <c r="Q217">
        <v>4</v>
      </c>
      <c r="R217">
        <v>0</v>
      </c>
      <c r="S217">
        <v>140</v>
      </c>
      <c r="T217">
        <v>7.1</v>
      </c>
      <c r="U217">
        <v>298</v>
      </c>
      <c r="V217" s="19" t="s">
        <v>2572</v>
      </c>
      <c r="W217" s="19" t="s">
        <v>2470</v>
      </c>
      <c r="X217">
        <v>17</v>
      </c>
      <c r="Y217">
        <v>29</v>
      </c>
      <c r="Z217">
        <v>37</v>
      </c>
      <c r="AA217">
        <v>22</v>
      </c>
      <c r="AB217">
        <v>96</v>
      </c>
      <c r="AC217">
        <v>14</v>
      </c>
      <c r="AD217">
        <v>60</v>
      </c>
      <c r="AE217" s="19" t="s">
        <v>60</v>
      </c>
    </row>
    <row r="218" spans="1:31" x14ac:dyDescent="0.2">
      <c r="A218">
        <v>211</v>
      </c>
      <c r="B218" s="19" t="s">
        <v>808</v>
      </c>
      <c r="C218">
        <v>23</v>
      </c>
      <c r="D218" s="19" t="s">
        <v>353</v>
      </c>
      <c r="E218" s="19" t="s">
        <v>322</v>
      </c>
      <c r="F218">
        <v>52</v>
      </c>
      <c r="G218">
        <v>12</v>
      </c>
      <c r="H218">
        <v>14</v>
      </c>
      <c r="I218">
        <v>26</v>
      </c>
      <c r="J218">
        <v>9</v>
      </c>
      <c r="K218">
        <v>12</v>
      </c>
      <c r="L218">
        <v>12</v>
      </c>
      <c r="M218">
        <v>0</v>
      </c>
      <c r="N218">
        <v>0</v>
      </c>
      <c r="O218">
        <v>1</v>
      </c>
      <c r="P218">
        <v>13</v>
      </c>
      <c r="Q218">
        <v>1</v>
      </c>
      <c r="R218">
        <v>0</v>
      </c>
      <c r="S218">
        <v>57</v>
      </c>
      <c r="T218">
        <v>21.1</v>
      </c>
      <c r="U218">
        <v>105</v>
      </c>
      <c r="V218" s="19" t="s">
        <v>2228</v>
      </c>
      <c r="W218" s="19" t="s">
        <v>1581</v>
      </c>
      <c r="X218">
        <v>50</v>
      </c>
      <c r="Y218">
        <v>56</v>
      </c>
      <c r="Z218">
        <v>47.2</v>
      </c>
      <c r="AA218">
        <v>27</v>
      </c>
      <c r="AB218">
        <v>28</v>
      </c>
      <c r="AC218">
        <v>16</v>
      </c>
      <c r="AD218">
        <v>30</v>
      </c>
      <c r="AE218" s="19" t="s">
        <v>60</v>
      </c>
    </row>
    <row r="219" spans="1:31" x14ac:dyDescent="0.2">
      <c r="A219">
        <v>212</v>
      </c>
      <c r="B219" s="19" t="s">
        <v>634</v>
      </c>
      <c r="C219">
        <v>24</v>
      </c>
      <c r="D219" s="19" t="s">
        <v>415</v>
      </c>
      <c r="E219" s="19" t="s">
        <v>334</v>
      </c>
      <c r="F219">
        <v>57</v>
      </c>
      <c r="G219">
        <v>13</v>
      </c>
      <c r="H219">
        <v>13</v>
      </c>
      <c r="I219">
        <v>26</v>
      </c>
      <c r="J219">
        <v>4</v>
      </c>
      <c r="K219">
        <v>12</v>
      </c>
      <c r="L219">
        <v>11</v>
      </c>
      <c r="M219">
        <v>0</v>
      </c>
      <c r="N219">
        <v>2</v>
      </c>
      <c r="O219">
        <v>1</v>
      </c>
      <c r="P219">
        <v>12</v>
      </c>
      <c r="Q219">
        <v>1</v>
      </c>
      <c r="R219">
        <v>0</v>
      </c>
      <c r="S219">
        <v>134</v>
      </c>
      <c r="T219">
        <v>9.6999999999999993</v>
      </c>
      <c r="U219">
        <v>290</v>
      </c>
      <c r="V219" s="19" t="s">
        <v>2573</v>
      </c>
      <c r="W219" s="19" t="s">
        <v>2574</v>
      </c>
      <c r="X219">
        <v>143</v>
      </c>
      <c r="Y219">
        <v>200</v>
      </c>
      <c r="Z219">
        <v>41.7</v>
      </c>
      <c r="AA219">
        <v>36</v>
      </c>
      <c r="AB219">
        <v>163</v>
      </c>
      <c r="AC219">
        <v>15</v>
      </c>
      <c r="AD219">
        <v>61</v>
      </c>
      <c r="AE219" s="19" t="s">
        <v>60</v>
      </c>
    </row>
    <row r="220" spans="1:31" x14ac:dyDescent="0.2">
      <c r="A220">
        <v>213</v>
      </c>
      <c r="B220" s="19" t="s">
        <v>555</v>
      </c>
      <c r="C220">
        <v>27</v>
      </c>
      <c r="D220" s="19" t="s">
        <v>321</v>
      </c>
      <c r="E220" s="19" t="s">
        <v>347</v>
      </c>
      <c r="F220">
        <v>56</v>
      </c>
      <c r="G220">
        <v>3</v>
      </c>
      <c r="H220">
        <v>23</v>
      </c>
      <c r="I220">
        <v>26</v>
      </c>
      <c r="J220">
        <v>31</v>
      </c>
      <c r="K220">
        <v>18</v>
      </c>
      <c r="L220">
        <v>3</v>
      </c>
      <c r="M220">
        <v>0</v>
      </c>
      <c r="N220">
        <v>0</v>
      </c>
      <c r="O220">
        <v>1</v>
      </c>
      <c r="P220">
        <v>22</v>
      </c>
      <c r="Q220">
        <v>1</v>
      </c>
      <c r="R220">
        <v>0</v>
      </c>
      <c r="S220">
        <v>109</v>
      </c>
      <c r="T220">
        <v>2.8</v>
      </c>
      <c r="U220">
        <v>261</v>
      </c>
      <c r="V220" s="19" t="s">
        <v>2575</v>
      </c>
      <c r="W220" s="19" t="s">
        <v>1475</v>
      </c>
      <c r="X220">
        <v>0</v>
      </c>
      <c r="Y220">
        <v>0</v>
      </c>
      <c r="AA220">
        <v>66</v>
      </c>
      <c r="AB220">
        <v>25</v>
      </c>
      <c r="AC220">
        <v>15</v>
      </c>
      <c r="AD220">
        <v>53</v>
      </c>
      <c r="AE220" s="19" t="s">
        <v>60</v>
      </c>
    </row>
    <row r="221" spans="1:31" x14ac:dyDescent="0.2">
      <c r="A221">
        <v>214</v>
      </c>
      <c r="B221" s="19" t="s">
        <v>648</v>
      </c>
      <c r="C221">
        <v>24</v>
      </c>
      <c r="D221" s="19" t="s">
        <v>327</v>
      </c>
      <c r="E221" s="19" t="s">
        <v>334</v>
      </c>
      <c r="F221">
        <v>59</v>
      </c>
      <c r="G221">
        <v>12</v>
      </c>
      <c r="H221">
        <v>14</v>
      </c>
      <c r="I221">
        <v>26</v>
      </c>
      <c r="J221">
        <v>14</v>
      </c>
      <c r="K221">
        <v>44</v>
      </c>
      <c r="L221">
        <v>12</v>
      </c>
      <c r="M221">
        <v>0</v>
      </c>
      <c r="N221">
        <v>0</v>
      </c>
      <c r="O221">
        <v>4</v>
      </c>
      <c r="P221">
        <v>13</v>
      </c>
      <c r="Q221">
        <v>1</v>
      </c>
      <c r="R221">
        <v>0</v>
      </c>
      <c r="S221">
        <v>90</v>
      </c>
      <c r="T221">
        <v>13.3</v>
      </c>
      <c r="U221">
        <v>150</v>
      </c>
      <c r="V221" s="19" t="s">
        <v>2576</v>
      </c>
      <c r="W221" s="19" t="s">
        <v>649</v>
      </c>
      <c r="X221">
        <v>15</v>
      </c>
      <c r="Y221">
        <v>37</v>
      </c>
      <c r="Z221">
        <v>28.8</v>
      </c>
      <c r="AA221">
        <v>29</v>
      </c>
      <c r="AB221">
        <v>168</v>
      </c>
      <c r="AC221">
        <v>11</v>
      </c>
      <c r="AD221">
        <v>36</v>
      </c>
      <c r="AE221" s="19" t="s">
        <v>60</v>
      </c>
    </row>
    <row r="222" spans="1:31" x14ac:dyDescent="0.2">
      <c r="A222">
        <v>215</v>
      </c>
      <c r="B222" s="19" t="s">
        <v>650</v>
      </c>
      <c r="C222">
        <v>24</v>
      </c>
      <c r="D222" s="19" t="s">
        <v>357</v>
      </c>
      <c r="E222" s="19" t="s">
        <v>338</v>
      </c>
      <c r="F222">
        <v>55</v>
      </c>
      <c r="G222">
        <v>12</v>
      </c>
      <c r="H222">
        <v>14</v>
      </c>
      <c r="I222">
        <v>26</v>
      </c>
      <c r="J222">
        <v>-4</v>
      </c>
      <c r="K222">
        <v>2</v>
      </c>
      <c r="L222">
        <v>10</v>
      </c>
      <c r="M222">
        <v>2</v>
      </c>
      <c r="N222">
        <v>0</v>
      </c>
      <c r="O222">
        <v>1</v>
      </c>
      <c r="P222">
        <v>12</v>
      </c>
      <c r="Q222">
        <v>2</v>
      </c>
      <c r="R222">
        <v>0</v>
      </c>
      <c r="S222">
        <v>87</v>
      </c>
      <c r="T222">
        <v>13.8</v>
      </c>
      <c r="U222">
        <v>160</v>
      </c>
      <c r="V222" s="19" t="s">
        <v>2577</v>
      </c>
      <c r="W222" s="19" t="s">
        <v>773</v>
      </c>
      <c r="X222">
        <v>9</v>
      </c>
      <c r="Y222">
        <v>8</v>
      </c>
      <c r="Z222">
        <v>52.9</v>
      </c>
      <c r="AA222">
        <v>30</v>
      </c>
      <c r="AB222">
        <v>63</v>
      </c>
      <c r="AC222">
        <v>17</v>
      </c>
      <c r="AD222">
        <v>49</v>
      </c>
      <c r="AE222" s="19" t="s">
        <v>60</v>
      </c>
    </row>
    <row r="223" spans="1:31" x14ac:dyDescent="0.2">
      <c r="A223">
        <v>216</v>
      </c>
      <c r="B223" s="19" t="s">
        <v>613</v>
      </c>
      <c r="C223">
        <v>22</v>
      </c>
      <c r="D223" s="19" t="s">
        <v>377</v>
      </c>
      <c r="E223" s="19" t="s">
        <v>322</v>
      </c>
      <c r="F223">
        <v>55</v>
      </c>
      <c r="G223">
        <v>6</v>
      </c>
      <c r="H223">
        <v>20</v>
      </c>
      <c r="I223">
        <v>26</v>
      </c>
      <c r="J223">
        <v>5</v>
      </c>
      <c r="K223">
        <v>22</v>
      </c>
      <c r="L223">
        <v>6</v>
      </c>
      <c r="M223">
        <v>0</v>
      </c>
      <c r="N223">
        <v>0</v>
      </c>
      <c r="O223">
        <v>1</v>
      </c>
      <c r="P223">
        <v>19</v>
      </c>
      <c r="Q223">
        <v>1</v>
      </c>
      <c r="R223">
        <v>0</v>
      </c>
      <c r="S223">
        <v>93</v>
      </c>
      <c r="T223">
        <v>6.5</v>
      </c>
      <c r="U223">
        <v>168</v>
      </c>
      <c r="V223" s="19" t="s">
        <v>2229</v>
      </c>
      <c r="W223" s="19" t="s">
        <v>1522</v>
      </c>
      <c r="X223">
        <v>40</v>
      </c>
      <c r="Y223">
        <v>60</v>
      </c>
      <c r="Z223">
        <v>40</v>
      </c>
      <c r="AA223">
        <v>29</v>
      </c>
      <c r="AB223">
        <v>70</v>
      </c>
      <c r="AC223">
        <v>23</v>
      </c>
      <c r="AD223">
        <v>45</v>
      </c>
      <c r="AE223" s="19" t="s">
        <v>60</v>
      </c>
    </row>
    <row r="224" spans="1:31" x14ac:dyDescent="0.2">
      <c r="A224">
        <v>217</v>
      </c>
      <c r="B224" s="19" t="s">
        <v>827</v>
      </c>
      <c r="C224">
        <v>23</v>
      </c>
      <c r="D224" s="19" t="s">
        <v>364</v>
      </c>
      <c r="E224" s="19" t="s">
        <v>334</v>
      </c>
      <c r="F224">
        <v>56</v>
      </c>
      <c r="G224">
        <v>12</v>
      </c>
      <c r="H224">
        <v>14</v>
      </c>
      <c r="I224">
        <v>26</v>
      </c>
      <c r="J224">
        <v>12</v>
      </c>
      <c r="K224">
        <v>25</v>
      </c>
      <c r="L224">
        <v>10</v>
      </c>
      <c r="M224">
        <v>2</v>
      </c>
      <c r="N224">
        <v>0</v>
      </c>
      <c r="O224">
        <v>1</v>
      </c>
      <c r="P224">
        <v>14</v>
      </c>
      <c r="Q224">
        <v>0</v>
      </c>
      <c r="R224">
        <v>0</v>
      </c>
      <c r="S224">
        <v>82</v>
      </c>
      <c r="T224">
        <v>14.6</v>
      </c>
      <c r="U224">
        <v>170</v>
      </c>
      <c r="V224" s="19" t="s">
        <v>2578</v>
      </c>
      <c r="W224" s="19" t="s">
        <v>1846</v>
      </c>
      <c r="X224">
        <v>232</v>
      </c>
      <c r="Y224">
        <v>266</v>
      </c>
      <c r="Z224">
        <v>46.6</v>
      </c>
      <c r="AA224">
        <v>25</v>
      </c>
      <c r="AB224">
        <v>74</v>
      </c>
      <c r="AC224">
        <v>14</v>
      </c>
      <c r="AD224">
        <v>35</v>
      </c>
      <c r="AE224" s="19" t="s">
        <v>60</v>
      </c>
    </row>
    <row r="225" spans="1:31" x14ac:dyDescent="0.2">
      <c r="A225">
        <v>218</v>
      </c>
      <c r="B225" s="19" t="s">
        <v>678</v>
      </c>
      <c r="C225">
        <v>37</v>
      </c>
      <c r="D225" s="19" t="s">
        <v>393</v>
      </c>
      <c r="E225" s="19" t="s">
        <v>322</v>
      </c>
      <c r="F225">
        <v>54</v>
      </c>
      <c r="G225">
        <v>15</v>
      </c>
      <c r="H225">
        <v>11</v>
      </c>
      <c r="I225">
        <v>26</v>
      </c>
      <c r="J225">
        <v>4</v>
      </c>
      <c r="K225">
        <v>25</v>
      </c>
      <c r="L225">
        <v>12</v>
      </c>
      <c r="M225">
        <v>3</v>
      </c>
      <c r="N225">
        <v>0</v>
      </c>
      <c r="O225">
        <v>2</v>
      </c>
      <c r="P225">
        <v>11</v>
      </c>
      <c r="Q225">
        <v>0</v>
      </c>
      <c r="R225">
        <v>0</v>
      </c>
      <c r="S225">
        <v>76</v>
      </c>
      <c r="T225">
        <v>19.7</v>
      </c>
      <c r="U225">
        <v>157</v>
      </c>
      <c r="V225" s="19" t="s">
        <v>2579</v>
      </c>
      <c r="W225" s="19" t="s">
        <v>2580</v>
      </c>
      <c r="X225">
        <v>599</v>
      </c>
      <c r="Y225">
        <v>476</v>
      </c>
      <c r="Z225">
        <v>55.7</v>
      </c>
      <c r="AA225">
        <v>28</v>
      </c>
      <c r="AB225">
        <v>110</v>
      </c>
      <c r="AC225">
        <v>11</v>
      </c>
      <c r="AD225">
        <v>34</v>
      </c>
      <c r="AE225" s="19" t="s">
        <v>60</v>
      </c>
    </row>
    <row r="226" spans="1:31" x14ac:dyDescent="0.2">
      <c r="A226">
        <v>219</v>
      </c>
      <c r="B226" s="19" t="s">
        <v>595</v>
      </c>
      <c r="C226">
        <v>31</v>
      </c>
      <c r="D226" s="19" t="s">
        <v>336</v>
      </c>
      <c r="E226" s="19" t="s">
        <v>347</v>
      </c>
      <c r="F226">
        <v>56</v>
      </c>
      <c r="G226">
        <v>9</v>
      </c>
      <c r="H226">
        <v>17</v>
      </c>
      <c r="I226">
        <v>26</v>
      </c>
      <c r="J226">
        <v>0</v>
      </c>
      <c r="K226">
        <v>19</v>
      </c>
      <c r="L226">
        <v>9</v>
      </c>
      <c r="M226">
        <v>0</v>
      </c>
      <c r="N226">
        <v>0</v>
      </c>
      <c r="O226">
        <v>1</v>
      </c>
      <c r="P226">
        <v>15</v>
      </c>
      <c r="Q226">
        <v>1</v>
      </c>
      <c r="R226">
        <v>1</v>
      </c>
      <c r="S226">
        <v>114</v>
      </c>
      <c r="T226">
        <v>7.9</v>
      </c>
      <c r="U226">
        <v>237</v>
      </c>
      <c r="V226" s="19" t="s">
        <v>2581</v>
      </c>
      <c r="W226" s="19" t="s">
        <v>2582</v>
      </c>
      <c r="X226">
        <v>0</v>
      </c>
      <c r="Y226">
        <v>0</v>
      </c>
      <c r="AA226">
        <v>110</v>
      </c>
      <c r="AB226">
        <v>103</v>
      </c>
      <c r="AC226">
        <v>17</v>
      </c>
      <c r="AD226">
        <v>60</v>
      </c>
      <c r="AE226" s="19" t="s">
        <v>60</v>
      </c>
    </row>
    <row r="227" spans="1:31" x14ac:dyDescent="0.2">
      <c r="A227">
        <v>220</v>
      </c>
      <c r="B227" s="19" t="s">
        <v>670</v>
      </c>
      <c r="C227">
        <v>30</v>
      </c>
      <c r="D227" s="19" t="s">
        <v>933</v>
      </c>
      <c r="E227" s="19" t="s">
        <v>325</v>
      </c>
      <c r="F227">
        <v>43</v>
      </c>
      <c r="G227">
        <v>13</v>
      </c>
      <c r="H227">
        <v>13</v>
      </c>
      <c r="I227">
        <v>26</v>
      </c>
      <c r="J227">
        <v>5</v>
      </c>
      <c r="K227">
        <v>46</v>
      </c>
      <c r="L227">
        <v>11</v>
      </c>
      <c r="M227">
        <v>2</v>
      </c>
      <c r="N227">
        <v>0</v>
      </c>
      <c r="O227">
        <v>2</v>
      </c>
      <c r="P227">
        <v>10</v>
      </c>
      <c r="Q227">
        <v>3</v>
      </c>
      <c r="R227">
        <v>0</v>
      </c>
      <c r="S227">
        <v>71</v>
      </c>
      <c r="T227">
        <v>18.3</v>
      </c>
      <c r="U227">
        <v>165</v>
      </c>
      <c r="V227" s="19" t="s">
        <v>2230</v>
      </c>
      <c r="W227" s="19" t="s">
        <v>1705</v>
      </c>
      <c r="X227">
        <v>14</v>
      </c>
      <c r="Y227">
        <v>25</v>
      </c>
      <c r="Z227">
        <v>35.9</v>
      </c>
      <c r="AA227">
        <v>16</v>
      </c>
      <c r="AB227">
        <v>49</v>
      </c>
      <c r="AC227">
        <v>14</v>
      </c>
      <c r="AD227">
        <v>55</v>
      </c>
      <c r="AE227" s="19" t="s">
        <v>60</v>
      </c>
    </row>
    <row r="228" spans="1:31" x14ac:dyDescent="0.2">
      <c r="A228">
        <v>220</v>
      </c>
      <c r="B228" s="19" t="s">
        <v>670</v>
      </c>
      <c r="C228">
        <v>30</v>
      </c>
      <c r="D228" s="19" t="s">
        <v>520</v>
      </c>
      <c r="E228" s="19" t="s">
        <v>325</v>
      </c>
      <c r="F228">
        <v>29</v>
      </c>
      <c r="G228">
        <v>4</v>
      </c>
      <c r="H228">
        <v>9</v>
      </c>
      <c r="I228">
        <v>13</v>
      </c>
      <c r="J228">
        <v>-4</v>
      </c>
      <c r="K228">
        <v>26</v>
      </c>
      <c r="L228">
        <v>4</v>
      </c>
      <c r="M228">
        <v>0</v>
      </c>
      <c r="N228">
        <v>0</v>
      </c>
      <c r="O228">
        <v>1</v>
      </c>
      <c r="P228">
        <v>6</v>
      </c>
      <c r="Q228">
        <v>3</v>
      </c>
      <c r="R228">
        <v>0</v>
      </c>
      <c r="S228">
        <v>46</v>
      </c>
      <c r="T228">
        <v>8.6999999999999993</v>
      </c>
      <c r="U228">
        <v>109</v>
      </c>
      <c r="V228" s="19" t="s">
        <v>1557</v>
      </c>
      <c r="W228" s="19" t="s">
        <v>909</v>
      </c>
      <c r="X228">
        <v>10</v>
      </c>
      <c r="Y228">
        <v>21</v>
      </c>
      <c r="Z228">
        <v>32.299999999999997</v>
      </c>
      <c r="AA228">
        <v>10</v>
      </c>
      <c r="AB228">
        <v>38</v>
      </c>
      <c r="AC228">
        <v>9</v>
      </c>
      <c r="AD228">
        <v>39</v>
      </c>
      <c r="AE228" s="19" t="s">
        <v>60</v>
      </c>
    </row>
    <row r="229" spans="1:31" x14ac:dyDescent="0.2">
      <c r="A229">
        <v>220</v>
      </c>
      <c r="B229" s="19" t="s">
        <v>670</v>
      </c>
      <c r="C229">
        <v>30</v>
      </c>
      <c r="D229" s="19" t="s">
        <v>377</v>
      </c>
      <c r="E229" s="19" t="s">
        <v>325</v>
      </c>
      <c r="F229">
        <v>14</v>
      </c>
      <c r="G229">
        <v>9</v>
      </c>
      <c r="H229">
        <v>4</v>
      </c>
      <c r="I229">
        <v>13</v>
      </c>
      <c r="J229">
        <v>9</v>
      </c>
      <c r="K229">
        <v>20</v>
      </c>
      <c r="L229">
        <v>7</v>
      </c>
      <c r="M229">
        <v>2</v>
      </c>
      <c r="N229">
        <v>0</v>
      </c>
      <c r="O229">
        <v>1</v>
      </c>
      <c r="P229">
        <v>4</v>
      </c>
      <c r="Q229">
        <v>0</v>
      </c>
      <c r="R229">
        <v>0</v>
      </c>
      <c r="S229">
        <v>25</v>
      </c>
      <c r="T229">
        <v>36</v>
      </c>
      <c r="U229">
        <v>56</v>
      </c>
      <c r="V229" s="19" t="s">
        <v>2025</v>
      </c>
      <c r="W229" s="19" t="s">
        <v>1601</v>
      </c>
      <c r="X229">
        <v>4</v>
      </c>
      <c r="Y229">
        <v>4</v>
      </c>
      <c r="Z229">
        <v>50</v>
      </c>
      <c r="AA229">
        <v>6</v>
      </c>
      <c r="AB229">
        <v>11</v>
      </c>
      <c r="AC229">
        <v>5</v>
      </c>
      <c r="AD229">
        <v>16</v>
      </c>
      <c r="AE229" s="19" t="s">
        <v>60</v>
      </c>
    </row>
    <row r="230" spans="1:31" x14ac:dyDescent="0.2">
      <c r="A230">
        <v>221</v>
      </c>
      <c r="B230" s="19" t="s">
        <v>620</v>
      </c>
      <c r="C230">
        <v>24</v>
      </c>
      <c r="D230" s="19" t="s">
        <v>403</v>
      </c>
      <c r="E230" s="19" t="s">
        <v>334</v>
      </c>
      <c r="F230">
        <v>51</v>
      </c>
      <c r="G230">
        <v>13</v>
      </c>
      <c r="H230">
        <v>12</v>
      </c>
      <c r="I230">
        <v>25</v>
      </c>
      <c r="J230">
        <v>-4</v>
      </c>
      <c r="K230">
        <v>20</v>
      </c>
      <c r="L230">
        <v>10</v>
      </c>
      <c r="M230">
        <v>3</v>
      </c>
      <c r="N230">
        <v>0</v>
      </c>
      <c r="O230">
        <v>3</v>
      </c>
      <c r="P230">
        <v>9</v>
      </c>
      <c r="Q230">
        <v>3</v>
      </c>
      <c r="R230">
        <v>0</v>
      </c>
      <c r="S230">
        <v>84</v>
      </c>
      <c r="T230">
        <v>15.5</v>
      </c>
      <c r="U230">
        <v>153</v>
      </c>
      <c r="V230" s="19" t="s">
        <v>2583</v>
      </c>
      <c r="W230" s="19" t="s">
        <v>2584</v>
      </c>
      <c r="X230">
        <v>13</v>
      </c>
      <c r="Y230">
        <v>30</v>
      </c>
      <c r="Z230">
        <v>30.2</v>
      </c>
      <c r="AA230">
        <v>29</v>
      </c>
      <c r="AB230">
        <v>61</v>
      </c>
      <c r="AC230">
        <v>6</v>
      </c>
      <c r="AD230">
        <v>31</v>
      </c>
      <c r="AE230" s="19" t="s">
        <v>60</v>
      </c>
    </row>
    <row r="231" spans="1:31" x14ac:dyDescent="0.2">
      <c r="A231">
        <v>222</v>
      </c>
      <c r="B231" s="19" t="s">
        <v>601</v>
      </c>
      <c r="C231">
        <v>29</v>
      </c>
      <c r="D231" s="19" t="s">
        <v>329</v>
      </c>
      <c r="E231" s="19" t="s">
        <v>322</v>
      </c>
      <c r="F231">
        <v>57</v>
      </c>
      <c r="G231">
        <v>13</v>
      </c>
      <c r="H231">
        <v>12</v>
      </c>
      <c r="I231">
        <v>25</v>
      </c>
      <c r="J231">
        <v>-8</v>
      </c>
      <c r="K231">
        <v>34</v>
      </c>
      <c r="L231">
        <v>12</v>
      </c>
      <c r="M231">
        <v>1</v>
      </c>
      <c r="N231">
        <v>0</v>
      </c>
      <c r="O231">
        <v>2</v>
      </c>
      <c r="P231">
        <v>11</v>
      </c>
      <c r="Q231">
        <v>1</v>
      </c>
      <c r="R231">
        <v>0</v>
      </c>
      <c r="S231">
        <v>87</v>
      </c>
      <c r="T231">
        <v>14.9</v>
      </c>
      <c r="U231">
        <v>195</v>
      </c>
      <c r="V231" s="19" t="s">
        <v>2231</v>
      </c>
      <c r="W231" s="19" t="s">
        <v>1534</v>
      </c>
      <c r="X231">
        <v>103</v>
      </c>
      <c r="Y231">
        <v>103</v>
      </c>
      <c r="Z231">
        <v>50</v>
      </c>
      <c r="AA231">
        <v>12</v>
      </c>
      <c r="AB231">
        <v>64</v>
      </c>
      <c r="AC231">
        <v>18</v>
      </c>
      <c r="AD231">
        <v>40</v>
      </c>
      <c r="AE231" s="19" t="s">
        <v>60</v>
      </c>
    </row>
    <row r="232" spans="1:31" x14ac:dyDescent="0.2">
      <c r="A232">
        <v>223</v>
      </c>
      <c r="B232" s="19" t="s">
        <v>551</v>
      </c>
      <c r="C232">
        <v>29</v>
      </c>
      <c r="D232" s="19" t="s">
        <v>440</v>
      </c>
      <c r="E232" s="19" t="s">
        <v>334</v>
      </c>
      <c r="F232">
        <v>47</v>
      </c>
      <c r="G232">
        <v>7</v>
      </c>
      <c r="H232">
        <v>18</v>
      </c>
      <c r="I232">
        <v>25</v>
      </c>
      <c r="J232">
        <v>-13</v>
      </c>
      <c r="K232">
        <v>30</v>
      </c>
      <c r="L232">
        <v>5</v>
      </c>
      <c r="M232">
        <v>1</v>
      </c>
      <c r="N232">
        <v>1</v>
      </c>
      <c r="O232">
        <v>1</v>
      </c>
      <c r="P232">
        <v>10</v>
      </c>
      <c r="Q232">
        <v>8</v>
      </c>
      <c r="R232">
        <v>0</v>
      </c>
      <c r="S232">
        <v>98</v>
      </c>
      <c r="T232">
        <v>7.1</v>
      </c>
      <c r="U232">
        <v>198</v>
      </c>
      <c r="V232" s="19" t="s">
        <v>2585</v>
      </c>
      <c r="W232" s="19" t="s">
        <v>1811</v>
      </c>
      <c r="X232">
        <v>11</v>
      </c>
      <c r="Y232">
        <v>16</v>
      </c>
      <c r="Z232">
        <v>40.700000000000003</v>
      </c>
      <c r="AA232">
        <v>26</v>
      </c>
      <c r="AB232">
        <v>28</v>
      </c>
      <c r="AC232">
        <v>20</v>
      </c>
      <c r="AD232">
        <v>59</v>
      </c>
      <c r="AE232" s="19" t="s">
        <v>60</v>
      </c>
    </row>
    <row r="233" spans="1:31" x14ac:dyDescent="0.2">
      <c r="A233">
        <v>224</v>
      </c>
      <c r="B233" s="19" t="s">
        <v>766</v>
      </c>
      <c r="C233">
        <v>23</v>
      </c>
      <c r="D233" s="19" t="s">
        <v>412</v>
      </c>
      <c r="E233" s="19" t="s">
        <v>322</v>
      </c>
      <c r="F233">
        <v>52</v>
      </c>
      <c r="G233">
        <v>9</v>
      </c>
      <c r="H233">
        <v>16</v>
      </c>
      <c r="I233">
        <v>25</v>
      </c>
      <c r="J233">
        <v>7</v>
      </c>
      <c r="K233">
        <v>61</v>
      </c>
      <c r="L233">
        <v>8</v>
      </c>
      <c r="M233">
        <v>1</v>
      </c>
      <c r="N233">
        <v>0</v>
      </c>
      <c r="O233">
        <v>0</v>
      </c>
      <c r="P233">
        <v>14</v>
      </c>
      <c r="Q233">
        <v>2</v>
      </c>
      <c r="R233">
        <v>0</v>
      </c>
      <c r="S233">
        <v>89</v>
      </c>
      <c r="T233">
        <v>10.1</v>
      </c>
      <c r="U233">
        <v>158</v>
      </c>
      <c r="V233" s="19" t="s">
        <v>2586</v>
      </c>
      <c r="W233" s="19" t="s">
        <v>419</v>
      </c>
      <c r="X233">
        <v>190</v>
      </c>
      <c r="Y233">
        <v>183</v>
      </c>
      <c r="Z233">
        <v>50.9</v>
      </c>
      <c r="AA233">
        <v>35</v>
      </c>
      <c r="AB233">
        <v>64</v>
      </c>
      <c r="AC233">
        <v>12</v>
      </c>
      <c r="AD233">
        <v>34</v>
      </c>
      <c r="AE233" s="19" t="s">
        <v>60</v>
      </c>
    </row>
    <row r="234" spans="1:31" x14ac:dyDescent="0.2">
      <c r="A234">
        <v>225</v>
      </c>
      <c r="B234" s="19" t="s">
        <v>698</v>
      </c>
      <c r="C234">
        <v>24</v>
      </c>
      <c r="D234" s="19" t="s">
        <v>333</v>
      </c>
      <c r="E234" s="19" t="s">
        <v>347</v>
      </c>
      <c r="F234">
        <v>46</v>
      </c>
      <c r="G234">
        <v>5</v>
      </c>
      <c r="H234">
        <v>20</v>
      </c>
      <c r="I234">
        <v>25</v>
      </c>
      <c r="J234">
        <v>1</v>
      </c>
      <c r="K234">
        <v>12</v>
      </c>
      <c r="L234">
        <v>4</v>
      </c>
      <c r="M234">
        <v>1</v>
      </c>
      <c r="N234">
        <v>0</v>
      </c>
      <c r="O234">
        <v>3</v>
      </c>
      <c r="P234">
        <v>15</v>
      </c>
      <c r="Q234">
        <v>5</v>
      </c>
      <c r="R234">
        <v>0</v>
      </c>
      <c r="S234">
        <v>76</v>
      </c>
      <c r="T234">
        <v>6.6</v>
      </c>
      <c r="U234">
        <v>191</v>
      </c>
      <c r="V234" s="19" t="s">
        <v>2587</v>
      </c>
      <c r="W234" s="19" t="s">
        <v>2059</v>
      </c>
      <c r="X234">
        <v>0</v>
      </c>
      <c r="Y234">
        <v>0</v>
      </c>
      <c r="AA234">
        <v>102</v>
      </c>
      <c r="AB234">
        <v>32</v>
      </c>
      <c r="AC234">
        <v>28</v>
      </c>
      <c r="AD234">
        <v>59</v>
      </c>
      <c r="AE234" s="19" t="s">
        <v>60</v>
      </c>
    </row>
    <row r="235" spans="1:31" x14ac:dyDescent="0.2">
      <c r="A235">
        <v>226</v>
      </c>
      <c r="B235" s="19" t="s">
        <v>577</v>
      </c>
      <c r="C235">
        <v>32</v>
      </c>
      <c r="D235" s="19" t="s">
        <v>430</v>
      </c>
      <c r="E235" s="19" t="s">
        <v>338</v>
      </c>
      <c r="F235">
        <v>50</v>
      </c>
      <c r="G235">
        <v>10</v>
      </c>
      <c r="H235">
        <v>15</v>
      </c>
      <c r="I235">
        <v>25</v>
      </c>
      <c r="J235">
        <v>-9</v>
      </c>
      <c r="K235">
        <v>41</v>
      </c>
      <c r="L235">
        <v>7</v>
      </c>
      <c r="M235">
        <v>3</v>
      </c>
      <c r="N235">
        <v>0</v>
      </c>
      <c r="O235">
        <v>2</v>
      </c>
      <c r="P235">
        <v>11</v>
      </c>
      <c r="Q235">
        <v>4</v>
      </c>
      <c r="R235">
        <v>0</v>
      </c>
      <c r="S235">
        <v>83</v>
      </c>
      <c r="T235">
        <v>12</v>
      </c>
      <c r="U235">
        <v>163</v>
      </c>
      <c r="V235" s="19" t="s">
        <v>2232</v>
      </c>
      <c r="W235" s="19" t="s">
        <v>1651</v>
      </c>
      <c r="X235">
        <v>8</v>
      </c>
      <c r="Y235">
        <v>10</v>
      </c>
      <c r="Z235">
        <v>44.4</v>
      </c>
      <c r="AA235">
        <v>30</v>
      </c>
      <c r="AB235">
        <v>30</v>
      </c>
      <c r="AC235">
        <v>9</v>
      </c>
      <c r="AD235">
        <v>58</v>
      </c>
      <c r="AE235" s="19" t="s">
        <v>60</v>
      </c>
    </row>
    <row r="236" spans="1:31" x14ac:dyDescent="0.2">
      <c r="A236">
        <v>227</v>
      </c>
      <c r="B236" s="19" t="s">
        <v>774</v>
      </c>
      <c r="C236">
        <v>29</v>
      </c>
      <c r="D236" s="19" t="s">
        <v>415</v>
      </c>
      <c r="E236" s="19" t="s">
        <v>325</v>
      </c>
      <c r="F236">
        <v>52</v>
      </c>
      <c r="G236">
        <v>13</v>
      </c>
      <c r="H236">
        <v>12</v>
      </c>
      <c r="I236">
        <v>25</v>
      </c>
      <c r="J236">
        <v>-4</v>
      </c>
      <c r="K236">
        <v>16</v>
      </c>
      <c r="L236">
        <v>5</v>
      </c>
      <c r="M236">
        <v>8</v>
      </c>
      <c r="N236">
        <v>0</v>
      </c>
      <c r="O236">
        <v>3</v>
      </c>
      <c r="P236">
        <v>7</v>
      </c>
      <c r="Q236">
        <v>5</v>
      </c>
      <c r="R236">
        <v>0</v>
      </c>
      <c r="S236">
        <v>69</v>
      </c>
      <c r="T236">
        <v>18.8</v>
      </c>
      <c r="U236">
        <v>173</v>
      </c>
      <c r="V236" s="19" t="s">
        <v>2588</v>
      </c>
      <c r="W236" s="19" t="s">
        <v>1837</v>
      </c>
      <c r="X236">
        <v>0</v>
      </c>
      <c r="Y236">
        <v>0</v>
      </c>
      <c r="AA236">
        <v>14</v>
      </c>
      <c r="AB236">
        <v>18</v>
      </c>
      <c r="AC236">
        <v>10</v>
      </c>
      <c r="AD236">
        <v>49</v>
      </c>
      <c r="AE236" s="19" t="s">
        <v>60</v>
      </c>
    </row>
    <row r="237" spans="1:31" x14ac:dyDescent="0.2">
      <c r="A237">
        <v>228</v>
      </c>
      <c r="B237" s="19" t="s">
        <v>606</v>
      </c>
      <c r="C237">
        <v>38</v>
      </c>
      <c r="D237" s="19" t="s">
        <v>373</v>
      </c>
      <c r="E237" s="19" t="s">
        <v>347</v>
      </c>
      <c r="F237">
        <v>50</v>
      </c>
      <c r="G237">
        <v>3</v>
      </c>
      <c r="H237">
        <v>22</v>
      </c>
      <c r="I237">
        <v>25</v>
      </c>
      <c r="J237">
        <v>3</v>
      </c>
      <c r="K237">
        <v>22</v>
      </c>
      <c r="L237">
        <v>2</v>
      </c>
      <c r="M237">
        <v>1</v>
      </c>
      <c r="N237">
        <v>0</v>
      </c>
      <c r="O237">
        <v>2</v>
      </c>
      <c r="P237">
        <v>15</v>
      </c>
      <c r="Q237">
        <v>7</v>
      </c>
      <c r="R237">
        <v>0</v>
      </c>
      <c r="S237">
        <v>81</v>
      </c>
      <c r="T237">
        <v>3.7</v>
      </c>
      <c r="U237">
        <v>196</v>
      </c>
      <c r="V237" s="19" t="s">
        <v>2081</v>
      </c>
      <c r="W237" s="19" t="s">
        <v>1612</v>
      </c>
      <c r="X237">
        <v>0</v>
      </c>
      <c r="Y237">
        <v>0</v>
      </c>
      <c r="AA237">
        <v>64</v>
      </c>
      <c r="AB237">
        <v>67</v>
      </c>
      <c r="AC237">
        <v>17</v>
      </c>
      <c r="AD237">
        <v>73</v>
      </c>
      <c r="AE237" s="19" t="s">
        <v>60</v>
      </c>
    </row>
    <row r="238" spans="1:31" x14ac:dyDescent="0.2">
      <c r="A238">
        <v>229</v>
      </c>
      <c r="B238" s="19" t="s">
        <v>864</v>
      </c>
      <c r="C238">
        <v>34</v>
      </c>
      <c r="D238" s="19" t="s">
        <v>321</v>
      </c>
      <c r="E238" s="19" t="s">
        <v>347</v>
      </c>
      <c r="F238">
        <v>56</v>
      </c>
      <c r="G238">
        <v>5</v>
      </c>
      <c r="H238">
        <v>20</v>
      </c>
      <c r="I238">
        <v>25</v>
      </c>
      <c r="J238">
        <v>39</v>
      </c>
      <c r="K238">
        <v>66</v>
      </c>
      <c r="L238">
        <v>5</v>
      </c>
      <c r="M238">
        <v>0</v>
      </c>
      <c r="N238">
        <v>0</v>
      </c>
      <c r="O238">
        <v>2</v>
      </c>
      <c r="P238">
        <v>20</v>
      </c>
      <c r="Q238">
        <v>0</v>
      </c>
      <c r="R238">
        <v>0</v>
      </c>
      <c r="S238">
        <v>88</v>
      </c>
      <c r="T238">
        <v>5.7</v>
      </c>
      <c r="U238">
        <v>184</v>
      </c>
      <c r="V238" s="19" t="s">
        <v>2589</v>
      </c>
      <c r="W238" s="19" t="s">
        <v>2590</v>
      </c>
      <c r="X238">
        <v>0</v>
      </c>
      <c r="Y238">
        <v>0</v>
      </c>
      <c r="AA238">
        <v>77</v>
      </c>
      <c r="AB238">
        <v>130</v>
      </c>
      <c r="AC238">
        <v>20</v>
      </c>
      <c r="AD238">
        <v>55</v>
      </c>
      <c r="AE238" s="19" t="s">
        <v>60</v>
      </c>
    </row>
    <row r="239" spans="1:31" x14ac:dyDescent="0.2">
      <c r="A239">
        <v>230</v>
      </c>
      <c r="B239" s="19" t="s">
        <v>640</v>
      </c>
      <c r="C239">
        <v>23</v>
      </c>
      <c r="D239" s="19" t="s">
        <v>502</v>
      </c>
      <c r="E239" s="19" t="s">
        <v>338</v>
      </c>
      <c r="F239">
        <v>44</v>
      </c>
      <c r="G239">
        <v>14</v>
      </c>
      <c r="H239">
        <v>11</v>
      </c>
      <c r="I239">
        <v>25</v>
      </c>
      <c r="J239">
        <v>-9</v>
      </c>
      <c r="K239">
        <v>24</v>
      </c>
      <c r="L239">
        <v>13</v>
      </c>
      <c r="M239">
        <v>1</v>
      </c>
      <c r="N239">
        <v>0</v>
      </c>
      <c r="O239">
        <v>2</v>
      </c>
      <c r="P239">
        <v>8</v>
      </c>
      <c r="Q239">
        <v>3</v>
      </c>
      <c r="R239">
        <v>0</v>
      </c>
      <c r="S239">
        <v>60</v>
      </c>
      <c r="T239">
        <v>23.3</v>
      </c>
      <c r="U239">
        <v>110</v>
      </c>
      <c r="V239" s="19" t="s">
        <v>2233</v>
      </c>
      <c r="W239" s="19" t="s">
        <v>1668</v>
      </c>
      <c r="X239">
        <v>2</v>
      </c>
      <c r="Y239">
        <v>8</v>
      </c>
      <c r="Z239">
        <v>20</v>
      </c>
      <c r="AA239">
        <v>23</v>
      </c>
      <c r="AB239">
        <v>110</v>
      </c>
      <c r="AC239">
        <v>10</v>
      </c>
      <c r="AD239">
        <v>30</v>
      </c>
      <c r="AE239" s="19" t="s">
        <v>60</v>
      </c>
    </row>
    <row r="240" spans="1:31" x14ac:dyDescent="0.2">
      <c r="A240">
        <v>231</v>
      </c>
      <c r="B240" s="19" t="s">
        <v>492</v>
      </c>
      <c r="C240">
        <v>30</v>
      </c>
      <c r="D240" s="19" t="s">
        <v>321</v>
      </c>
      <c r="E240" s="19" t="s">
        <v>334</v>
      </c>
      <c r="F240">
        <v>56</v>
      </c>
      <c r="G240">
        <v>11</v>
      </c>
      <c r="H240">
        <v>14</v>
      </c>
      <c r="I240">
        <v>25</v>
      </c>
      <c r="J240">
        <v>4</v>
      </c>
      <c r="K240">
        <v>6</v>
      </c>
      <c r="L240">
        <v>9</v>
      </c>
      <c r="M240">
        <v>2</v>
      </c>
      <c r="N240">
        <v>0</v>
      </c>
      <c r="O240">
        <v>3</v>
      </c>
      <c r="P240">
        <v>9</v>
      </c>
      <c r="Q240">
        <v>5</v>
      </c>
      <c r="R240">
        <v>0</v>
      </c>
      <c r="S240">
        <v>105</v>
      </c>
      <c r="T240">
        <v>10.5</v>
      </c>
      <c r="U240">
        <v>190</v>
      </c>
      <c r="V240" s="19" t="s">
        <v>2591</v>
      </c>
      <c r="W240" s="19" t="s">
        <v>1824</v>
      </c>
      <c r="X240">
        <v>3</v>
      </c>
      <c r="Y240">
        <v>5</v>
      </c>
      <c r="Z240">
        <v>37.5</v>
      </c>
      <c r="AA240">
        <v>13</v>
      </c>
      <c r="AB240">
        <v>12</v>
      </c>
      <c r="AC240">
        <v>10</v>
      </c>
      <c r="AD240">
        <v>41</v>
      </c>
      <c r="AE240" s="19" t="s">
        <v>60</v>
      </c>
    </row>
    <row r="241" spans="1:31" x14ac:dyDescent="0.2">
      <c r="A241">
        <v>232</v>
      </c>
      <c r="B241" s="19" t="s">
        <v>608</v>
      </c>
      <c r="C241">
        <v>37</v>
      </c>
      <c r="D241" s="19" t="s">
        <v>412</v>
      </c>
      <c r="E241" s="19" t="s">
        <v>338</v>
      </c>
      <c r="F241">
        <v>49</v>
      </c>
      <c r="G241">
        <v>10</v>
      </c>
      <c r="H241">
        <v>15</v>
      </c>
      <c r="I241">
        <v>25</v>
      </c>
      <c r="J241">
        <v>2</v>
      </c>
      <c r="K241">
        <v>22</v>
      </c>
      <c r="L241">
        <v>7</v>
      </c>
      <c r="M241">
        <v>3</v>
      </c>
      <c r="N241">
        <v>0</v>
      </c>
      <c r="O241">
        <v>1</v>
      </c>
      <c r="P241">
        <v>10</v>
      </c>
      <c r="Q241">
        <v>5</v>
      </c>
      <c r="R241">
        <v>0</v>
      </c>
      <c r="S241">
        <v>69</v>
      </c>
      <c r="T241">
        <v>14.5</v>
      </c>
      <c r="U241">
        <v>126</v>
      </c>
      <c r="V241" s="19" t="s">
        <v>1985</v>
      </c>
      <c r="W241" s="19" t="s">
        <v>1065</v>
      </c>
      <c r="X241">
        <v>3</v>
      </c>
      <c r="Y241">
        <v>5</v>
      </c>
      <c r="Z241">
        <v>37.5</v>
      </c>
      <c r="AA241">
        <v>18</v>
      </c>
      <c r="AB241">
        <v>64</v>
      </c>
      <c r="AC241">
        <v>9</v>
      </c>
      <c r="AD241">
        <v>30</v>
      </c>
      <c r="AE241" s="19" t="s">
        <v>60</v>
      </c>
    </row>
    <row r="242" spans="1:31" x14ac:dyDescent="0.2">
      <c r="A242">
        <v>233</v>
      </c>
      <c r="B242" s="19" t="s">
        <v>591</v>
      </c>
      <c r="C242">
        <v>32</v>
      </c>
      <c r="D242" s="19" t="s">
        <v>370</v>
      </c>
      <c r="E242" s="19" t="s">
        <v>322</v>
      </c>
      <c r="F242">
        <v>56</v>
      </c>
      <c r="G242">
        <v>10</v>
      </c>
      <c r="H242">
        <v>15</v>
      </c>
      <c r="I242">
        <v>25</v>
      </c>
      <c r="J242">
        <v>-12</v>
      </c>
      <c r="K242">
        <v>34</v>
      </c>
      <c r="L242">
        <v>9</v>
      </c>
      <c r="M242">
        <v>1</v>
      </c>
      <c r="N242">
        <v>0</v>
      </c>
      <c r="O242">
        <v>0</v>
      </c>
      <c r="P242">
        <v>13</v>
      </c>
      <c r="Q242">
        <v>2</v>
      </c>
      <c r="R242">
        <v>0</v>
      </c>
      <c r="S242">
        <v>132</v>
      </c>
      <c r="T242">
        <v>7.6</v>
      </c>
      <c r="U242">
        <v>257</v>
      </c>
      <c r="V242" s="19" t="s">
        <v>2234</v>
      </c>
      <c r="W242" s="19" t="s">
        <v>484</v>
      </c>
      <c r="X242">
        <v>313</v>
      </c>
      <c r="Y242">
        <v>360</v>
      </c>
      <c r="Z242">
        <v>46.5</v>
      </c>
      <c r="AA242">
        <v>22</v>
      </c>
      <c r="AB242">
        <v>56</v>
      </c>
      <c r="AC242">
        <v>25</v>
      </c>
      <c r="AD242">
        <v>38</v>
      </c>
      <c r="AE242" s="19" t="s">
        <v>60</v>
      </c>
    </row>
    <row r="243" spans="1:31" x14ac:dyDescent="0.2">
      <c r="A243">
        <v>234</v>
      </c>
      <c r="B243" s="19" t="s">
        <v>499</v>
      </c>
      <c r="C243">
        <v>29</v>
      </c>
      <c r="D243" s="19" t="s">
        <v>327</v>
      </c>
      <c r="E243" s="19" t="s">
        <v>322</v>
      </c>
      <c r="F243">
        <v>46</v>
      </c>
      <c r="G243">
        <v>16</v>
      </c>
      <c r="H243">
        <v>9</v>
      </c>
      <c r="I243">
        <v>25</v>
      </c>
      <c r="J243">
        <v>-10</v>
      </c>
      <c r="K243">
        <v>16</v>
      </c>
      <c r="L243">
        <v>13</v>
      </c>
      <c r="M243">
        <v>3</v>
      </c>
      <c r="N243">
        <v>0</v>
      </c>
      <c r="O243">
        <v>4</v>
      </c>
      <c r="P243">
        <v>7</v>
      </c>
      <c r="Q243">
        <v>2</v>
      </c>
      <c r="R243">
        <v>0</v>
      </c>
      <c r="S243">
        <v>98</v>
      </c>
      <c r="T243">
        <v>16.3</v>
      </c>
      <c r="U243">
        <v>175</v>
      </c>
      <c r="V243" s="19" t="s">
        <v>2592</v>
      </c>
      <c r="W243" s="19" t="s">
        <v>2593</v>
      </c>
      <c r="X243">
        <v>91</v>
      </c>
      <c r="Y243">
        <v>81</v>
      </c>
      <c r="Z243">
        <v>52.9</v>
      </c>
      <c r="AA243">
        <v>15</v>
      </c>
      <c r="AB243">
        <v>21</v>
      </c>
      <c r="AC243">
        <v>9</v>
      </c>
      <c r="AD243">
        <v>46</v>
      </c>
      <c r="AE243" s="19" t="s">
        <v>60</v>
      </c>
    </row>
    <row r="244" spans="1:31" x14ac:dyDescent="0.2">
      <c r="A244">
        <v>235</v>
      </c>
      <c r="B244" s="19" t="s">
        <v>675</v>
      </c>
      <c r="C244">
        <v>29</v>
      </c>
      <c r="D244" s="19" t="s">
        <v>403</v>
      </c>
      <c r="E244" s="19" t="s">
        <v>347</v>
      </c>
      <c r="F244">
        <v>57</v>
      </c>
      <c r="G244">
        <v>6</v>
      </c>
      <c r="H244">
        <v>19</v>
      </c>
      <c r="I244">
        <v>25</v>
      </c>
      <c r="J244">
        <v>1</v>
      </c>
      <c r="K244">
        <v>20</v>
      </c>
      <c r="L244">
        <v>4</v>
      </c>
      <c r="M244">
        <v>1</v>
      </c>
      <c r="N244">
        <v>1</v>
      </c>
      <c r="O244">
        <v>1</v>
      </c>
      <c r="P244">
        <v>16</v>
      </c>
      <c r="Q244">
        <v>2</v>
      </c>
      <c r="R244">
        <v>1</v>
      </c>
      <c r="S244">
        <v>66</v>
      </c>
      <c r="T244">
        <v>9.1</v>
      </c>
      <c r="U244">
        <v>182</v>
      </c>
      <c r="V244" s="19" t="s">
        <v>2594</v>
      </c>
      <c r="W244" s="19" t="s">
        <v>2595</v>
      </c>
      <c r="X244">
        <v>0</v>
      </c>
      <c r="Y244">
        <v>0</v>
      </c>
      <c r="AA244">
        <v>110</v>
      </c>
      <c r="AB244">
        <v>33</v>
      </c>
      <c r="AC244">
        <v>20</v>
      </c>
      <c r="AD244">
        <v>79</v>
      </c>
      <c r="AE244" s="19" t="s">
        <v>60</v>
      </c>
    </row>
    <row r="245" spans="1:31" x14ac:dyDescent="0.2">
      <c r="A245">
        <v>236</v>
      </c>
      <c r="B245" s="19" t="s">
        <v>652</v>
      </c>
      <c r="C245">
        <v>22</v>
      </c>
      <c r="D245" s="19" t="s">
        <v>393</v>
      </c>
      <c r="E245" s="19" t="s">
        <v>322</v>
      </c>
      <c r="F245">
        <v>57</v>
      </c>
      <c r="G245">
        <v>10</v>
      </c>
      <c r="H245">
        <v>15</v>
      </c>
      <c r="I245">
        <v>25</v>
      </c>
      <c r="J245">
        <v>4</v>
      </c>
      <c r="K245">
        <v>23</v>
      </c>
      <c r="L245">
        <v>10</v>
      </c>
      <c r="M245">
        <v>0</v>
      </c>
      <c r="N245">
        <v>0</v>
      </c>
      <c r="O245">
        <v>1</v>
      </c>
      <c r="P245">
        <v>11</v>
      </c>
      <c r="Q245">
        <v>4</v>
      </c>
      <c r="R245">
        <v>0</v>
      </c>
      <c r="S245">
        <v>112</v>
      </c>
      <c r="T245">
        <v>8.9</v>
      </c>
      <c r="U245">
        <v>212</v>
      </c>
      <c r="V245" s="19" t="s">
        <v>2596</v>
      </c>
      <c r="W245" s="19" t="s">
        <v>1660</v>
      </c>
      <c r="X245">
        <v>293</v>
      </c>
      <c r="Y245">
        <v>367</v>
      </c>
      <c r="Z245">
        <v>44.4</v>
      </c>
      <c r="AA245">
        <v>16</v>
      </c>
      <c r="AB245">
        <v>30</v>
      </c>
      <c r="AC245">
        <v>18</v>
      </c>
      <c r="AD245">
        <v>30</v>
      </c>
      <c r="AE245" s="19" t="s">
        <v>60</v>
      </c>
    </row>
    <row r="246" spans="1:31" x14ac:dyDescent="0.2">
      <c r="A246">
        <v>237</v>
      </c>
      <c r="B246" s="19" t="s">
        <v>830</v>
      </c>
      <c r="C246">
        <v>36</v>
      </c>
      <c r="D246" s="19" t="s">
        <v>368</v>
      </c>
      <c r="E246" s="19" t="s">
        <v>338</v>
      </c>
      <c r="F246">
        <v>49</v>
      </c>
      <c r="G246">
        <v>14</v>
      </c>
      <c r="H246">
        <v>11</v>
      </c>
      <c r="I246">
        <v>25</v>
      </c>
      <c r="J246">
        <v>-11</v>
      </c>
      <c r="K246">
        <v>12</v>
      </c>
      <c r="L246">
        <v>8</v>
      </c>
      <c r="M246">
        <v>6</v>
      </c>
      <c r="N246">
        <v>0</v>
      </c>
      <c r="O246">
        <v>1</v>
      </c>
      <c r="P246">
        <v>7</v>
      </c>
      <c r="Q246">
        <v>4</v>
      </c>
      <c r="R246">
        <v>0</v>
      </c>
      <c r="S246">
        <v>82</v>
      </c>
      <c r="T246">
        <v>17.100000000000001</v>
      </c>
      <c r="U246">
        <v>153</v>
      </c>
      <c r="V246" s="19" t="s">
        <v>2235</v>
      </c>
      <c r="W246" s="19" t="s">
        <v>1830</v>
      </c>
      <c r="X246">
        <v>3</v>
      </c>
      <c r="Y246">
        <v>5</v>
      </c>
      <c r="Z246">
        <v>37.5</v>
      </c>
      <c r="AA246">
        <v>23</v>
      </c>
      <c r="AB246">
        <v>8</v>
      </c>
      <c r="AC246">
        <v>7</v>
      </c>
      <c r="AD246">
        <v>28</v>
      </c>
      <c r="AE246" s="19" t="s">
        <v>60</v>
      </c>
    </row>
    <row r="247" spans="1:31" x14ac:dyDescent="0.2">
      <c r="A247">
        <v>238</v>
      </c>
      <c r="B247" s="19" t="s">
        <v>427</v>
      </c>
      <c r="C247">
        <v>21</v>
      </c>
      <c r="D247" s="19" t="s">
        <v>401</v>
      </c>
      <c r="E247" s="19" t="s">
        <v>322</v>
      </c>
      <c r="F247">
        <v>30</v>
      </c>
      <c r="G247">
        <v>14</v>
      </c>
      <c r="H247">
        <v>10</v>
      </c>
      <c r="I247">
        <v>24</v>
      </c>
      <c r="J247">
        <v>7</v>
      </c>
      <c r="K247">
        <v>22</v>
      </c>
      <c r="L247">
        <v>10</v>
      </c>
      <c r="M247">
        <v>3</v>
      </c>
      <c r="N247">
        <v>1</v>
      </c>
      <c r="O247">
        <v>1</v>
      </c>
      <c r="P247">
        <v>9</v>
      </c>
      <c r="Q247">
        <v>1</v>
      </c>
      <c r="R247">
        <v>0</v>
      </c>
      <c r="S247">
        <v>60</v>
      </c>
      <c r="T247">
        <v>23.3</v>
      </c>
      <c r="U247">
        <v>103</v>
      </c>
      <c r="V247" s="19" t="s">
        <v>2597</v>
      </c>
      <c r="W247" s="19" t="s">
        <v>2598</v>
      </c>
      <c r="X247">
        <v>139</v>
      </c>
      <c r="Y247">
        <v>192</v>
      </c>
      <c r="Z247">
        <v>42</v>
      </c>
      <c r="AA247">
        <v>13</v>
      </c>
      <c r="AB247">
        <v>34</v>
      </c>
      <c r="AC247">
        <v>11</v>
      </c>
      <c r="AD247">
        <v>39</v>
      </c>
      <c r="AE247" s="19" t="s">
        <v>60</v>
      </c>
    </row>
    <row r="248" spans="1:31" x14ac:dyDescent="0.2">
      <c r="A248">
        <v>239</v>
      </c>
      <c r="B248" s="19" t="s">
        <v>665</v>
      </c>
      <c r="C248">
        <v>30</v>
      </c>
      <c r="D248" s="19" t="s">
        <v>380</v>
      </c>
      <c r="E248" s="19" t="s">
        <v>347</v>
      </c>
      <c r="F248">
        <v>58</v>
      </c>
      <c r="G248">
        <v>4</v>
      </c>
      <c r="H248">
        <v>20</v>
      </c>
      <c r="I248">
        <v>24</v>
      </c>
      <c r="J248">
        <v>0</v>
      </c>
      <c r="K248">
        <v>35</v>
      </c>
      <c r="L248">
        <v>3</v>
      </c>
      <c r="M248">
        <v>1</v>
      </c>
      <c r="N248">
        <v>0</v>
      </c>
      <c r="O248">
        <v>1</v>
      </c>
      <c r="P248">
        <v>17</v>
      </c>
      <c r="Q248">
        <v>3</v>
      </c>
      <c r="R248">
        <v>0</v>
      </c>
      <c r="S248">
        <v>112</v>
      </c>
      <c r="T248">
        <v>3.6</v>
      </c>
      <c r="U248">
        <v>240</v>
      </c>
      <c r="V248" s="19" t="s">
        <v>2599</v>
      </c>
      <c r="W248" s="19" t="s">
        <v>1701</v>
      </c>
      <c r="X248">
        <v>0</v>
      </c>
      <c r="Y248">
        <v>0</v>
      </c>
      <c r="AA248">
        <v>50</v>
      </c>
      <c r="AB248">
        <v>24</v>
      </c>
      <c r="AC248">
        <v>13</v>
      </c>
      <c r="AD248">
        <v>80</v>
      </c>
      <c r="AE248" s="19" t="s">
        <v>60</v>
      </c>
    </row>
    <row r="249" spans="1:31" x14ac:dyDescent="0.2">
      <c r="A249">
        <v>240</v>
      </c>
      <c r="B249" s="19" t="s">
        <v>731</v>
      </c>
      <c r="C249">
        <v>26</v>
      </c>
      <c r="D249" s="19" t="s">
        <v>373</v>
      </c>
      <c r="E249" s="19" t="s">
        <v>322</v>
      </c>
      <c r="F249">
        <v>56</v>
      </c>
      <c r="G249">
        <v>13</v>
      </c>
      <c r="H249">
        <v>11</v>
      </c>
      <c r="I249">
        <v>24</v>
      </c>
      <c r="J249">
        <v>11</v>
      </c>
      <c r="K249">
        <v>10</v>
      </c>
      <c r="L249">
        <v>12</v>
      </c>
      <c r="M249">
        <v>0</v>
      </c>
      <c r="N249">
        <v>1</v>
      </c>
      <c r="O249">
        <v>2</v>
      </c>
      <c r="P249">
        <v>10</v>
      </c>
      <c r="Q249">
        <v>0</v>
      </c>
      <c r="R249">
        <v>1</v>
      </c>
      <c r="S249">
        <v>83</v>
      </c>
      <c r="T249">
        <v>15.7</v>
      </c>
      <c r="U249">
        <v>181</v>
      </c>
      <c r="V249" s="19" t="s">
        <v>2600</v>
      </c>
      <c r="W249" s="19" t="s">
        <v>1476</v>
      </c>
      <c r="X249">
        <v>17</v>
      </c>
      <c r="Y249">
        <v>17</v>
      </c>
      <c r="Z249">
        <v>50</v>
      </c>
      <c r="AA249">
        <v>27</v>
      </c>
      <c r="AB249">
        <v>107</v>
      </c>
      <c r="AC249">
        <v>7</v>
      </c>
      <c r="AD249">
        <v>24</v>
      </c>
      <c r="AE249" s="19" t="s">
        <v>60</v>
      </c>
    </row>
    <row r="250" spans="1:31" x14ac:dyDescent="0.2">
      <c r="A250">
        <v>241</v>
      </c>
      <c r="B250" s="19" t="s">
        <v>532</v>
      </c>
      <c r="C250">
        <v>31</v>
      </c>
      <c r="D250" s="19" t="s">
        <v>370</v>
      </c>
      <c r="E250" s="19" t="s">
        <v>347</v>
      </c>
      <c r="F250">
        <v>40</v>
      </c>
      <c r="G250">
        <v>6</v>
      </c>
      <c r="H250">
        <v>18</v>
      </c>
      <c r="I250">
        <v>24</v>
      </c>
      <c r="J250">
        <v>-2</v>
      </c>
      <c r="K250">
        <v>16</v>
      </c>
      <c r="L250">
        <v>1</v>
      </c>
      <c r="M250">
        <v>5</v>
      </c>
      <c r="N250">
        <v>0</v>
      </c>
      <c r="O250">
        <v>0</v>
      </c>
      <c r="P250">
        <v>10</v>
      </c>
      <c r="Q250">
        <v>8</v>
      </c>
      <c r="R250">
        <v>0</v>
      </c>
      <c r="S250">
        <v>78</v>
      </c>
      <c r="T250">
        <v>7.7</v>
      </c>
      <c r="U250">
        <v>194</v>
      </c>
      <c r="V250" s="19" t="s">
        <v>1703</v>
      </c>
      <c r="W250" s="19" t="s">
        <v>1666</v>
      </c>
      <c r="X250">
        <v>0</v>
      </c>
      <c r="Y250">
        <v>0</v>
      </c>
      <c r="AA250">
        <v>47</v>
      </c>
      <c r="AB250">
        <v>38</v>
      </c>
      <c r="AC250">
        <v>10</v>
      </c>
      <c r="AD250">
        <v>52</v>
      </c>
      <c r="AE250" s="19" t="s">
        <v>60</v>
      </c>
    </row>
    <row r="251" spans="1:31" x14ac:dyDescent="0.2">
      <c r="A251">
        <v>242</v>
      </c>
      <c r="B251" s="19" t="s">
        <v>701</v>
      </c>
      <c r="C251">
        <v>26</v>
      </c>
      <c r="D251" s="19" t="s">
        <v>440</v>
      </c>
      <c r="E251" s="19" t="s">
        <v>322</v>
      </c>
      <c r="F251">
        <v>55</v>
      </c>
      <c r="G251">
        <v>11</v>
      </c>
      <c r="H251">
        <v>13</v>
      </c>
      <c r="I251">
        <v>24</v>
      </c>
      <c r="J251">
        <v>-15</v>
      </c>
      <c r="K251">
        <v>26</v>
      </c>
      <c r="L251">
        <v>9</v>
      </c>
      <c r="M251">
        <v>2</v>
      </c>
      <c r="N251">
        <v>0</v>
      </c>
      <c r="O251">
        <v>1</v>
      </c>
      <c r="P251">
        <v>13</v>
      </c>
      <c r="Q251">
        <v>0</v>
      </c>
      <c r="R251">
        <v>0</v>
      </c>
      <c r="S251">
        <v>84</v>
      </c>
      <c r="T251">
        <v>13.1</v>
      </c>
      <c r="U251">
        <v>154</v>
      </c>
      <c r="V251" s="19" t="s">
        <v>2601</v>
      </c>
      <c r="W251" s="19" t="s">
        <v>2602</v>
      </c>
      <c r="X251">
        <v>11</v>
      </c>
      <c r="Y251">
        <v>27</v>
      </c>
      <c r="Z251">
        <v>28.9</v>
      </c>
      <c r="AA251">
        <v>13</v>
      </c>
      <c r="AB251">
        <v>66</v>
      </c>
      <c r="AC251">
        <v>13</v>
      </c>
      <c r="AD251">
        <v>32</v>
      </c>
      <c r="AE251" s="19" t="s">
        <v>60</v>
      </c>
    </row>
    <row r="252" spans="1:31" x14ac:dyDescent="0.2">
      <c r="A252">
        <v>243</v>
      </c>
      <c r="B252" s="19" t="s">
        <v>669</v>
      </c>
      <c r="C252">
        <v>27</v>
      </c>
      <c r="D252" s="19" t="s">
        <v>370</v>
      </c>
      <c r="E252" s="19" t="s">
        <v>322</v>
      </c>
      <c r="F252">
        <v>49</v>
      </c>
      <c r="G252">
        <v>7</v>
      </c>
      <c r="H252">
        <v>17</v>
      </c>
      <c r="I252">
        <v>24</v>
      </c>
      <c r="J252">
        <v>1</v>
      </c>
      <c r="K252">
        <v>22</v>
      </c>
      <c r="L252">
        <v>6</v>
      </c>
      <c r="M252">
        <v>1</v>
      </c>
      <c r="N252">
        <v>0</v>
      </c>
      <c r="O252">
        <v>0</v>
      </c>
      <c r="P252">
        <v>16</v>
      </c>
      <c r="Q252">
        <v>0</v>
      </c>
      <c r="R252">
        <v>1</v>
      </c>
      <c r="S252">
        <v>75</v>
      </c>
      <c r="T252">
        <v>9.3000000000000007</v>
      </c>
      <c r="U252">
        <v>134</v>
      </c>
      <c r="V252" s="19" t="s">
        <v>2603</v>
      </c>
      <c r="W252" s="19" t="s">
        <v>2001</v>
      </c>
      <c r="X252">
        <v>22</v>
      </c>
      <c r="Y252">
        <v>26</v>
      </c>
      <c r="Z252">
        <v>45.8</v>
      </c>
      <c r="AA252">
        <v>38</v>
      </c>
      <c r="AB252">
        <v>99</v>
      </c>
      <c r="AC252">
        <v>18</v>
      </c>
      <c r="AD252">
        <v>32</v>
      </c>
      <c r="AE252" s="19" t="s">
        <v>60</v>
      </c>
    </row>
    <row r="253" spans="1:31" x14ac:dyDescent="0.2">
      <c r="A253">
        <v>244</v>
      </c>
      <c r="B253" s="19" t="s">
        <v>746</v>
      </c>
      <c r="C253">
        <v>25</v>
      </c>
      <c r="D253" s="19" t="s">
        <v>357</v>
      </c>
      <c r="E253" s="19" t="s">
        <v>338</v>
      </c>
      <c r="F253">
        <v>47</v>
      </c>
      <c r="G253">
        <v>10</v>
      </c>
      <c r="H253">
        <v>14</v>
      </c>
      <c r="I253">
        <v>24</v>
      </c>
      <c r="J253">
        <v>-13</v>
      </c>
      <c r="K253">
        <v>8</v>
      </c>
      <c r="L253">
        <v>8</v>
      </c>
      <c r="M253">
        <v>2</v>
      </c>
      <c r="N253">
        <v>0</v>
      </c>
      <c r="O253">
        <v>2</v>
      </c>
      <c r="P253">
        <v>10</v>
      </c>
      <c r="Q253">
        <v>4</v>
      </c>
      <c r="R253">
        <v>0</v>
      </c>
      <c r="S253">
        <v>62</v>
      </c>
      <c r="T253">
        <v>16.100000000000001</v>
      </c>
      <c r="U253">
        <v>122</v>
      </c>
      <c r="V253" s="19" t="s">
        <v>2604</v>
      </c>
      <c r="W253" s="19" t="s">
        <v>1466</v>
      </c>
      <c r="X253">
        <v>3</v>
      </c>
      <c r="Y253">
        <v>4</v>
      </c>
      <c r="Z253">
        <v>42.9</v>
      </c>
      <c r="AA253">
        <v>14</v>
      </c>
      <c r="AB253">
        <v>12</v>
      </c>
      <c r="AC253">
        <v>8</v>
      </c>
      <c r="AD253">
        <v>41</v>
      </c>
      <c r="AE253" s="19" t="s">
        <v>60</v>
      </c>
    </row>
    <row r="254" spans="1:31" x14ac:dyDescent="0.2">
      <c r="A254">
        <v>245</v>
      </c>
      <c r="B254" s="19" t="s">
        <v>465</v>
      </c>
      <c r="C254">
        <v>22</v>
      </c>
      <c r="D254" s="19" t="s">
        <v>329</v>
      </c>
      <c r="E254" s="19" t="s">
        <v>322</v>
      </c>
      <c r="F254">
        <v>41</v>
      </c>
      <c r="G254">
        <v>7</v>
      </c>
      <c r="H254">
        <v>17</v>
      </c>
      <c r="I254">
        <v>24</v>
      </c>
      <c r="J254">
        <v>-9</v>
      </c>
      <c r="K254">
        <v>24</v>
      </c>
      <c r="L254">
        <v>5</v>
      </c>
      <c r="M254">
        <v>1</v>
      </c>
      <c r="N254">
        <v>1</v>
      </c>
      <c r="O254">
        <v>1</v>
      </c>
      <c r="P254">
        <v>12</v>
      </c>
      <c r="Q254">
        <v>5</v>
      </c>
      <c r="R254">
        <v>0</v>
      </c>
      <c r="S254">
        <v>89</v>
      </c>
      <c r="T254">
        <v>7.9</v>
      </c>
      <c r="U254">
        <v>171</v>
      </c>
      <c r="V254" s="19" t="s">
        <v>2060</v>
      </c>
      <c r="W254" s="19" t="s">
        <v>1938</v>
      </c>
      <c r="X254">
        <v>240</v>
      </c>
      <c r="Y254">
        <v>292</v>
      </c>
      <c r="Z254">
        <v>45.1</v>
      </c>
      <c r="AA254">
        <v>29</v>
      </c>
      <c r="AB254">
        <v>22</v>
      </c>
      <c r="AC254">
        <v>14</v>
      </c>
      <c r="AD254">
        <v>48</v>
      </c>
      <c r="AE254" s="19" t="s">
        <v>60</v>
      </c>
    </row>
    <row r="255" spans="1:31" x14ac:dyDescent="0.2">
      <c r="A255">
        <v>246</v>
      </c>
      <c r="B255" s="19" t="s">
        <v>646</v>
      </c>
      <c r="C255">
        <v>33</v>
      </c>
      <c r="D255" s="19" t="s">
        <v>380</v>
      </c>
      <c r="E255" s="19" t="s">
        <v>322</v>
      </c>
      <c r="F255">
        <v>50</v>
      </c>
      <c r="G255">
        <v>12</v>
      </c>
      <c r="H255">
        <v>12</v>
      </c>
      <c r="I255">
        <v>24</v>
      </c>
      <c r="J255">
        <v>-1</v>
      </c>
      <c r="K255">
        <v>2</v>
      </c>
      <c r="L255">
        <v>9</v>
      </c>
      <c r="M255">
        <v>0</v>
      </c>
      <c r="N255">
        <v>3</v>
      </c>
      <c r="O255">
        <v>3</v>
      </c>
      <c r="P255">
        <v>10</v>
      </c>
      <c r="Q255">
        <v>0</v>
      </c>
      <c r="R255">
        <v>2</v>
      </c>
      <c r="S255">
        <v>51</v>
      </c>
      <c r="T255">
        <v>23.5</v>
      </c>
      <c r="U255">
        <v>96</v>
      </c>
      <c r="V255" s="19" t="s">
        <v>2605</v>
      </c>
      <c r="W255" s="19" t="s">
        <v>1575</v>
      </c>
      <c r="X255">
        <v>443</v>
      </c>
      <c r="Y255">
        <v>290</v>
      </c>
      <c r="Z255">
        <v>60.4</v>
      </c>
      <c r="AA255">
        <v>43</v>
      </c>
      <c r="AB255">
        <v>73</v>
      </c>
      <c r="AC255">
        <v>12</v>
      </c>
      <c r="AD255">
        <v>32</v>
      </c>
      <c r="AE255" s="19" t="s">
        <v>60</v>
      </c>
    </row>
    <row r="256" spans="1:31" x14ac:dyDescent="0.2">
      <c r="A256">
        <v>247</v>
      </c>
      <c r="B256" s="19" t="s">
        <v>783</v>
      </c>
      <c r="C256">
        <v>32</v>
      </c>
      <c r="D256" s="19" t="s">
        <v>373</v>
      </c>
      <c r="E256" s="19" t="s">
        <v>334</v>
      </c>
      <c r="F256">
        <v>35</v>
      </c>
      <c r="G256">
        <v>10</v>
      </c>
      <c r="H256">
        <v>14</v>
      </c>
      <c r="I256">
        <v>24</v>
      </c>
      <c r="J256">
        <v>0</v>
      </c>
      <c r="K256">
        <v>4</v>
      </c>
      <c r="L256">
        <v>7</v>
      </c>
      <c r="M256">
        <v>3</v>
      </c>
      <c r="N256">
        <v>0</v>
      </c>
      <c r="O256">
        <v>0</v>
      </c>
      <c r="P256">
        <v>9</v>
      </c>
      <c r="Q256">
        <v>4</v>
      </c>
      <c r="R256">
        <v>1</v>
      </c>
      <c r="S256">
        <v>103</v>
      </c>
      <c r="T256">
        <v>9.6999999999999993</v>
      </c>
      <c r="U256">
        <v>178</v>
      </c>
      <c r="V256" s="19" t="s">
        <v>2148</v>
      </c>
      <c r="W256" s="19" t="s">
        <v>1652</v>
      </c>
      <c r="X256">
        <v>2</v>
      </c>
      <c r="Y256">
        <v>19</v>
      </c>
      <c r="Z256">
        <v>9.5</v>
      </c>
      <c r="AA256">
        <v>30</v>
      </c>
      <c r="AB256">
        <v>50</v>
      </c>
      <c r="AC256">
        <v>14</v>
      </c>
      <c r="AD256">
        <v>28</v>
      </c>
      <c r="AE256" s="19" t="s">
        <v>60</v>
      </c>
    </row>
    <row r="257" spans="1:31" x14ac:dyDescent="0.2">
      <c r="A257">
        <v>248</v>
      </c>
      <c r="B257" s="19" t="s">
        <v>612</v>
      </c>
      <c r="C257">
        <v>34</v>
      </c>
      <c r="D257" s="19" t="s">
        <v>502</v>
      </c>
      <c r="E257" s="19" t="s">
        <v>322</v>
      </c>
      <c r="F257">
        <v>57</v>
      </c>
      <c r="G257">
        <v>12</v>
      </c>
      <c r="H257">
        <v>12</v>
      </c>
      <c r="I257">
        <v>24</v>
      </c>
      <c r="J257">
        <v>-25</v>
      </c>
      <c r="K257">
        <v>49</v>
      </c>
      <c r="L257">
        <v>9</v>
      </c>
      <c r="M257">
        <v>3</v>
      </c>
      <c r="N257">
        <v>0</v>
      </c>
      <c r="O257">
        <v>2</v>
      </c>
      <c r="P257">
        <v>9</v>
      </c>
      <c r="Q257">
        <v>3</v>
      </c>
      <c r="R257">
        <v>0</v>
      </c>
      <c r="S257">
        <v>80</v>
      </c>
      <c r="T257">
        <v>15</v>
      </c>
      <c r="U257">
        <v>166</v>
      </c>
      <c r="V257" s="19" t="s">
        <v>2236</v>
      </c>
      <c r="W257" s="19" t="s">
        <v>1814</v>
      </c>
      <c r="X257">
        <v>343</v>
      </c>
      <c r="Y257">
        <v>292</v>
      </c>
      <c r="Z257">
        <v>54</v>
      </c>
      <c r="AA257">
        <v>25</v>
      </c>
      <c r="AB257">
        <v>128</v>
      </c>
      <c r="AC257">
        <v>15</v>
      </c>
      <c r="AD257">
        <v>41</v>
      </c>
      <c r="AE257" s="19" t="s">
        <v>60</v>
      </c>
    </row>
    <row r="258" spans="1:31" x14ac:dyDescent="0.2">
      <c r="A258">
        <v>249</v>
      </c>
      <c r="B258" s="19" t="s">
        <v>677</v>
      </c>
      <c r="C258">
        <v>21</v>
      </c>
      <c r="D258" s="19" t="s">
        <v>502</v>
      </c>
      <c r="E258" s="19" t="s">
        <v>334</v>
      </c>
      <c r="F258">
        <v>45</v>
      </c>
      <c r="G258">
        <v>10</v>
      </c>
      <c r="H258">
        <v>14</v>
      </c>
      <c r="I258">
        <v>24</v>
      </c>
      <c r="J258">
        <v>-5</v>
      </c>
      <c r="K258">
        <v>10</v>
      </c>
      <c r="L258">
        <v>6</v>
      </c>
      <c r="M258">
        <v>4</v>
      </c>
      <c r="N258">
        <v>0</v>
      </c>
      <c r="O258">
        <v>3</v>
      </c>
      <c r="P258">
        <v>11</v>
      </c>
      <c r="Q258">
        <v>3</v>
      </c>
      <c r="R258">
        <v>0</v>
      </c>
      <c r="S258">
        <v>95</v>
      </c>
      <c r="T258">
        <v>10.5</v>
      </c>
      <c r="U258">
        <v>210</v>
      </c>
      <c r="V258" s="19" t="s">
        <v>2237</v>
      </c>
      <c r="W258" s="19" t="s">
        <v>1496</v>
      </c>
      <c r="X258">
        <v>3</v>
      </c>
      <c r="Y258">
        <v>1</v>
      </c>
      <c r="Z258">
        <v>75</v>
      </c>
      <c r="AA258">
        <v>28</v>
      </c>
      <c r="AB258">
        <v>49</v>
      </c>
      <c r="AC258">
        <v>15</v>
      </c>
      <c r="AD258">
        <v>28</v>
      </c>
      <c r="AE258" s="19" t="s">
        <v>60</v>
      </c>
    </row>
    <row r="259" spans="1:31" x14ac:dyDescent="0.2">
      <c r="A259">
        <v>250</v>
      </c>
      <c r="B259" s="19" t="s">
        <v>714</v>
      </c>
      <c r="C259">
        <v>27</v>
      </c>
      <c r="D259" s="19" t="s">
        <v>333</v>
      </c>
      <c r="E259" s="19" t="s">
        <v>322</v>
      </c>
      <c r="F259">
        <v>58</v>
      </c>
      <c r="G259">
        <v>8</v>
      </c>
      <c r="H259">
        <v>16</v>
      </c>
      <c r="I259">
        <v>24</v>
      </c>
      <c r="J259">
        <v>0</v>
      </c>
      <c r="K259">
        <v>20</v>
      </c>
      <c r="L259">
        <v>7</v>
      </c>
      <c r="M259">
        <v>1</v>
      </c>
      <c r="N259">
        <v>0</v>
      </c>
      <c r="O259">
        <v>5</v>
      </c>
      <c r="P259">
        <v>14</v>
      </c>
      <c r="Q259">
        <v>2</v>
      </c>
      <c r="R259">
        <v>0</v>
      </c>
      <c r="S259">
        <v>65</v>
      </c>
      <c r="T259">
        <v>12.3</v>
      </c>
      <c r="U259">
        <v>120</v>
      </c>
      <c r="V259" s="19" t="s">
        <v>2606</v>
      </c>
      <c r="W259" s="19" t="s">
        <v>2024</v>
      </c>
      <c r="X259">
        <v>123</v>
      </c>
      <c r="Y259">
        <v>119</v>
      </c>
      <c r="Z259">
        <v>50.8</v>
      </c>
      <c r="AA259">
        <v>23</v>
      </c>
      <c r="AB259">
        <v>59</v>
      </c>
      <c r="AC259">
        <v>17</v>
      </c>
      <c r="AD259">
        <v>41</v>
      </c>
      <c r="AE259" s="19" t="s">
        <v>60</v>
      </c>
    </row>
    <row r="260" spans="1:31" x14ac:dyDescent="0.2">
      <c r="A260">
        <v>251</v>
      </c>
      <c r="B260" s="19" t="s">
        <v>597</v>
      </c>
      <c r="C260">
        <v>22</v>
      </c>
      <c r="D260" s="19" t="s">
        <v>361</v>
      </c>
      <c r="E260" s="19" t="s">
        <v>322</v>
      </c>
      <c r="F260">
        <v>57</v>
      </c>
      <c r="G260">
        <v>10</v>
      </c>
      <c r="H260">
        <v>13</v>
      </c>
      <c r="I260">
        <v>23</v>
      </c>
      <c r="J260">
        <v>-11</v>
      </c>
      <c r="K260">
        <v>24</v>
      </c>
      <c r="L260">
        <v>7</v>
      </c>
      <c r="M260">
        <v>3</v>
      </c>
      <c r="N260">
        <v>0</v>
      </c>
      <c r="O260">
        <v>2</v>
      </c>
      <c r="P260">
        <v>10</v>
      </c>
      <c r="Q260">
        <v>3</v>
      </c>
      <c r="R260">
        <v>0</v>
      </c>
      <c r="S260">
        <v>77</v>
      </c>
      <c r="T260">
        <v>13</v>
      </c>
      <c r="U260">
        <v>174</v>
      </c>
      <c r="V260" s="19" t="s">
        <v>2238</v>
      </c>
      <c r="W260" s="19" t="s">
        <v>2010</v>
      </c>
      <c r="X260">
        <v>18</v>
      </c>
      <c r="Y260">
        <v>17</v>
      </c>
      <c r="Z260">
        <v>51.4</v>
      </c>
      <c r="AA260">
        <v>30</v>
      </c>
      <c r="AB260">
        <v>115</v>
      </c>
      <c r="AC260">
        <v>11</v>
      </c>
      <c r="AD260">
        <v>45</v>
      </c>
      <c r="AE260" s="19" t="s">
        <v>60</v>
      </c>
    </row>
    <row r="261" spans="1:31" x14ac:dyDescent="0.2">
      <c r="A261">
        <v>252</v>
      </c>
      <c r="B261" s="19" t="s">
        <v>725</v>
      </c>
      <c r="C261">
        <v>24</v>
      </c>
      <c r="D261" s="19" t="s">
        <v>333</v>
      </c>
      <c r="E261" s="19" t="s">
        <v>322</v>
      </c>
      <c r="F261">
        <v>58</v>
      </c>
      <c r="G261">
        <v>11</v>
      </c>
      <c r="H261">
        <v>12</v>
      </c>
      <c r="I261">
        <v>23</v>
      </c>
      <c r="J261">
        <v>-1</v>
      </c>
      <c r="K261">
        <v>4</v>
      </c>
      <c r="L261">
        <v>10</v>
      </c>
      <c r="M261">
        <v>1</v>
      </c>
      <c r="N261">
        <v>0</v>
      </c>
      <c r="O261">
        <v>0</v>
      </c>
      <c r="P261">
        <v>9</v>
      </c>
      <c r="Q261">
        <v>3</v>
      </c>
      <c r="R261">
        <v>0</v>
      </c>
      <c r="S261">
        <v>99</v>
      </c>
      <c r="T261">
        <v>11.1</v>
      </c>
      <c r="U261">
        <v>154</v>
      </c>
      <c r="V261" s="19" t="s">
        <v>2607</v>
      </c>
      <c r="W261" s="19" t="s">
        <v>1672</v>
      </c>
      <c r="X261">
        <v>84</v>
      </c>
      <c r="Y261">
        <v>106</v>
      </c>
      <c r="Z261">
        <v>44.2</v>
      </c>
      <c r="AA261">
        <v>17</v>
      </c>
      <c r="AB261">
        <v>46</v>
      </c>
      <c r="AC261">
        <v>10</v>
      </c>
      <c r="AD261">
        <v>35</v>
      </c>
      <c r="AE261" s="19" t="s">
        <v>60</v>
      </c>
    </row>
    <row r="262" spans="1:31" x14ac:dyDescent="0.2">
      <c r="A262">
        <v>253</v>
      </c>
      <c r="B262" s="19" t="s">
        <v>667</v>
      </c>
      <c r="C262">
        <v>23</v>
      </c>
      <c r="D262" s="19" t="s">
        <v>403</v>
      </c>
      <c r="E262" s="19" t="s">
        <v>347</v>
      </c>
      <c r="F262">
        <v>54</v>
      </c>
      <c r="G262">
        <v>5</v>
      </c>
      <c r="H262">
        <v>18</v>
      </c>
      <c r="I262">
        <v>23</v>
      </c>
      <c r="J262">
        <v>-7</v>
      </c>
      <c r="K262">
        <v>24</v>
      </c>
      <c r="L262">
        <v>4</v>
      </c>
      <c r="M262">
        <v>1</v>
      </c>
      <c r="N262">
        <v>0</v>
      </c>
      <c r="O262">
        <v>2</v>
      </c>
      <c r="P262">
        <v>14</v>
      </c>
      <c r="Q262">
        <v>4</v>
      </c>
      <c r="R262">
        <v>0</v>
      </c>
      <c r="S262">
        <v>65</v>
      </c>
      <c r="T262">
        <v>7.7</v>
      </c>
      <c r="U262">
        <v>178</v>
      </c>
      <c r="V262" s="19" t="s">
        <v>2608</v>
      </c>
      <c r="W262" s="19" t="s">
        <v>1366</v>
      </c>
      <c r="X262">
        <v>0</v>
      </c>
      <c r="Y262">
        <v>0</v>
      </c>
      <c r="AA262">
        <v>63</v>
      </c>
      <c r="AB262">
        <v>13</v>
      </c>
      <c r="AC262">
        <v>10</v>
      </c>
      <c r="AD262">
        <v>37</v>
      </c>
      <c r="AE262" s="19" t="s">
        <v>60</v>
      </c>
    </row>
    <row r="263" spans="1:31" x14ac:dyDescent="0.2">
      <c r="A263">
        <v>254</v>
      </c>
      <c r="B263" s="19" t="s">
        <v>572</v>
      </c>
      <c r="C263">
        <v>25</v>
      </c>
      <c r="D263" s="19" t="s">
        <v>430</v>
      </c>
      <c r="E263" s="19" t="s">
        <v>338</v>
      </c>
      <c r="F263">
        <v>56</v>
      </c>
      <c r="G263">
        <v>12</v>
      </c>
      <c r="H263">
        <v>11</v>
      </c>
      <c r="I263">
        <v>23</v>
      </c>
      <c r="J263">
        <v>-11</v>
      </c>
      <c r="K263">
        <v>20</v>
      </c>
      <c r="L263">
        <v>7</v>
      </c>
      <c r="M263">
        <v>1</v>
      </c>
      <c r="N263">
        <v>4</v>
      </c>
      <c r="O263">
        <v>1</v>
      </c>
      <c r="P263">
        <v>9</v>
      </c>
      <c r="Q263">
        <v>2</v>
      </c>
      <c r="R263">
        <v>0</v>
      </c>
      <c r="S263">
        <v>100</v>
      </c>
      <c r="T263">
        <v>12</v>
      </c>
      <c r="U263">
        <v>185</v>
      </c>
      <c r="V263" s="19" t="s">
        <v>2239</v>
      </c>
      <c r="W263" s="19" t="s">
        <v>1662</v>
      </c>
      <c r="X263">
        <v>22</v>
      </c>
      <c r="Y263">
        <v>26</v>
      </c>
      <c r="Z263">
        <v>45.8</v>
      </c>
      <c r="AA263">
        <v>38</v>
      </c>
      <c r="AB263">
        <v>38</v>
      </c>
      <c r="AC263">
        <v>14</v>
      </c>
      <c r="AD263">
        <v>47</v>
      </c>
      <c r="AE263" s="19" t="s">
        <v>60</v>
      </c>
    </row>
    <row r="264" spans="1:31" x14ac:dyDescent="0.2">
      <c r="A264">
        <v>255</v>
      </c>
      <c r="B264" s="19" t="s">
        <v>693</v>
      </c>
      <c r="C264">
        <v>27</v>
      </c>
      <c r="D264" s="19" t="s">
        <v>364</v>
      </c>
      <c r="E264" s="19" t="s">
        <v>325</v>
      </c>
      <c r="F264">
        <v>49</v>
      </c>
      <c r="G264">
        <v>11</v>
      </c>
      <c r="H264">
        <v>12</v>
      </c>
      <c r="I264">
        <v>23</v>
      </c>
      <c r="J264">
        <v>8</v>
      </c>
      <c r="K264">
        <v>14</v>
      </c>
      <c r="L264">
        <v>9</v>
      </c>
      <c r="M264">
        <v>2</v>
      </c>
      <c r="N264">
        <v>0</v>
      </c>
      <c r="O264">
        <v>0</v>
      </c>
      <c r="P264">
        <v>10</v>
      </c>
      <c r="Q264">
        <v>2</v>
      </c>
      <c r="R264">
        <v>0</v>
      </c>
      <c r="S264">
        <v>78</v>
      </c>
      <c r="T264">
        <v>14.1</v>
      </c>
      <c r="U264">
        <v>138</v>
      </c>
      <c r="V264" s="19" t="s">
        <v>2609</v>
      </c>
      <c r="W264" s="19" t="s">
        <v>2610</v>
      </c>
      <c r="X264">
        <v>1</v>
      </c>
      <c r="Y264">
        <v>5</v>
      </c>
      <c r="Z264">
        <v>16.7</v>
      </c>
      <c r="AA264">
        <v>36</v>
      </c>
      <c r="AB264">
        <v>46</v>
      </c>
      <c r="AC264">
        <v>8</v>
      </c>
      <c r="AD264">
        <v>20</v>
      </c>
      <c r="AE264" s="19" t="s">
        <v>60</v>
      </c>
    </row>
    <row r="265" spans="1:31" x14ac:dyDescent="0.2">
      <c r="A265">
        <v>256</v>
      </c>
      <c r="B265" s="19" t="s">
        <v>605</v>
      </c>
      <c r="C265">
        <v>24</v>
      </c>
      <c r="D265" s="19" t="s">
        <v>395</v>
      </c>
      <c r="E265" s="19" t="s">
        <v>334</v>
      </c>
      <c r="F265">
        <v>54</v>
      </c>
      <c r="G265">
        <v>9</v>
      </c>
      <c r="H265">
        <v>14</v>
      </c>
      <c r="I265">
        <v>23</v>
      </c>
      <c r="J265">
        <v>-6</v>
      </c>
      <c r="K265">
        <v>20</v>
      </c>
      <c r="L265">
        <v>7</v>
      </c>
      <c r="M265">
        <v>2</v>
      </c>
      <c r="N265">
        <v>0</v>
      </c>
      <c r="O265">
        <v>0</v>
      </c>
      <c r="P265">
        <v>12</v>
      </c>
      <c r="Q265">
        <v>2</v>
      </c>
      <c r="R265">
        <v>0</v>
      </c>
      <c r="S265">
        <v>119</v>
      </c>
      <c r="T265">
        <v>7.6</v>
      </c>
      <c r="U265">
        <v>221</v>
      </c>
      <c r="V265" s="19" t="s">
        <v>2611</v>
      </c>
      <c r="W265" s="19" t="s">
        <v>1580</v>
      </c>
      <c r="X265">
        <v>4</v>
      </c>
      <c r="Y265">
        <v>8</v>
      </c>
      <c r="Z265">
        <v>33.299999999999997</v>
      </c>
      <c r="AA265">
        <v>17</v>
      </c>
      <c r="AB265">
        <v>50</v>
      </c>
      <c r="AC265">
        <v>17</v>
      </c>
      <c r="AD265">
        <v>39</v>
      </c>
      <c r="AE265" s="19" t="s">
        <v>60</v>
      </c>
    </row>
    <row r="266" spans="1:31" x14ac:dyDescent="0.2">
      <c r="A266">
        <v>257</v>
      </c>
      <c r="B266" s="19" t="s">
        <v>529</v>
      </c>
      <c r="C266">
        <v>24</v>
      </c>
      <c r="D266" s="19" t="s">
        <v>380</v>
      </c>
      <c r="E266" s="19" t="s">
        <v>338</v>
      </c>
      <c r="F266">
        <v>58</v>
      </c>
      <c r="G266">
        <v>15</v>
      </c>
      <c r="H266">
        <v>8</v>
      </c>
      <c r="I266">
        <v>23</v>
      </c>
      <c r="J266">
        <v>-8</v>
      </c>
      <c r="K266">
        <v>14</v>
      </c>
      <c r="L266">
        <v>13</v>
      </c>
      <c r="M266">
        <v>2</v>
      </c>
      <c r="N266">
        <v>0</v>
      </c>
      <c r="O266">
        <v>0</v>
      </c>
      <c r="P266">
        <v>8</v>
      </c>
      <c r="Q266">
        <v>0</v>
      </c>
      <c r="R266">
        <v>0</v>
      </c>
      <c r="S266">
        <v>127</v>
      </c>
      <c r="T266">
        <v>11.8</v>
      </c>
      <c r="U266">
        <v>240</v>
      </c>
      <c r="V266" s="19" t="s">
        <v>2612</v>
      </c>
      <c r="W266" s="19" t="s">
        <v>2002</v>
      </c>
      <c r="X266">
        <v>4</v>
      </c>
      <c r="Y266">
        <v>9</v>
      </c>
      <c r="Z266">
        <v>30.8</v>
      </c>
      <c r="AA266">
        <v>40</v>
      </c>
      <c r="AB266">
        <v>184</v>
      </c>
      <c r="AC266">
        <v>6</v>
      </c>
      <c r="AD266">
        <v>32</v>
      </c>
      <c r="AE266" s="19" t="s">
        <v>60</v>
      </c>
    </row>
    <row r="267" spans="1:31" x14ac:dyDescent="0.2">
      <c r="A267">
        <v>258</v>
      </c>
      <c r="B267" s="19" t="s">
        <v>633</v>
      </c>
      <c r="C267">
        <v>26</v>
      </c>
      <c r="D267" s="19" t="s">
        <v>321</v>
      </c>
      <c r="E267" s="19" t="s">
        <v>325</v>
      </c>
      <c r="F267">
        <v>56</v>
      </c>
      <c r="G267">
        <v>13</v>
      </c>
      <c r="H267">
        <v>10</v>
      </c>
      <c r="I267">
        <v>23</v>
      </c>
      <c r="J267">
        <v>11</v>
      </c>
      <c r="K267">
        <v>18</v>
      </c>
      <c r="L267">
        <v>12</v>
      </c>
      <c r="M267">
        <v>0</v>
      </c>
      <c r="N267">
        <v>1</v>
      </c>
      <c r="O267">
        <v>2</v>
      </c>
      <c r="P267">
        <v>10</v>
      </c>
      <c r="Q267">
        <v>0</v>
      </c>
      <c r="R267">
        <v>0</v>
      </c>
      <c r="S267">
        <v>76</v>
      </c>
      <c r="T267">
        <v>17.100000000000001</v>
      </c>
      <c r="U267">
        <v>142</v>
      </c>
      <c r="V267" s="19" t="s">
        <v>2613</v>
      </c>
      <c r="W267" s="19" t="s">
        <v>2614</v>
      </c>
      <c r="X267">
        <v>49</v>
      </c>
      <c r="Y267">
        <v>98</v>
      </c>
      <c r="Z267">
        <v>33.299999999999997</v>
      </c>
      <c r="AA267">
        <v>38</v>
      </c>
      <c r="AB267">
        <v>122</v>
      </c>
      <c r="AC267">
        <v>11</v>
      </c>
      <c r="AD267">
        <v>31</v>
      </c>
      <c r="AE267" s="19" t="s">
        <v>60</v>
      </c>
    </row>
    <row r="268" spans="1:31" x14ac:dyDescent="0.2">
      <c r="A268">
        <v>259</v>
      </c>
      <c r="B268" s="19" t="s">
        <v>579</v>
      </c>
      <c r="C268">
        <v>38</v>
      </c>
      <c r="D268" s="19" t="s">
        <v>415</v>
      </c>
      <c r="E268" s="19" t="s">
        <v>322</v>
      </c>
      <c r="F268">
        <v>42</v>
      </c>
      <c r="G268">
        <v>6</v>
      </c>
      <c r="H268">
        <v>17</v>
      </c>
      <c r="I268">
        <v>23</v>
      </c>
      <c r="J268">
        <v>13</v>
      </c>
      <c r="K268">
        <v>8</v>
      </c>
      <c r="L268">
        <v>3</v>
      </c>
      <c r="M268">
        <v>3</v>
      </c>
      <c r="N268">
        <v>0</v>
      </c>
      <c r="O268">
        <v>1</v>
      </c>
      <c r="P268">
        <v>13</v>
      </c>
      <c r="Q268">
        <v>4</v>
      </c>
      <c r="R268">
        <v>0</v>
      </c>
      <c r="S268">
        <v>51</v>
      </c>
      <c r="T268">
        <v>11.8</v>
      </c>
      <c r="U268">
        <v>115</v>
      </c>
      <c r="V268" s="19" t="s">
        <v>2615</v>
      </c>
      <c r="W268" s="19" t="s">
        <v>1495</v>
      </c>
      <c r="X268">
        <v>462</v>
      </c>
      <c r="Y268">
        <v>341</v>
      </c>
      <c r="Z268">
        <v>57.5</v>
      </c>
      <c r="AA268">
        <v>37</v>
      </c>
      <c r="AB268">
        <v>22</v>
      </c>
      <c r="AC268">
        <v>12</v>
      </c>
      <c r="AD268">
        <v>39</v>
      </c>
      <c r="AE268" s="19" t="s">
        <v>60</v>
      </c>
    </row>
    <row r="269" spans="1:31" x14ac:dyDescent="0.2">
      <c r="A269">
        <v>260</v>
      </c>
      <c r="B269" s="19" t="s">
        <v>580</v>
      </c>
      <c r="C269">
        <v>33</v>
      </c>
      <c r="D269" s="19" t="s">
        <v>321</v>
      </c>
      <c r="E269" s="19" t="s">
        <v>338</v>
      </c>
      <c r="F269">
        <v>42</v>
      </c>
      <c r="G269">
        <v>7</v>
      </c>
      <c r="H269">
        <v>16</v>
      </c>
      <c r="I269">
        <v>23</v>
      </c>
      <c r="J269">
        <v>19</v>
      </c>
      <c r="K269">
        <v>29</v>
      </c>
      <c r="L269">
        <v>6</v>
      </c>
      <c r="M269">
        <v>1</v>
      </c>
      <c r="N269">
        <v>0</v>
      </c>
      <c r="O269">
        <v>1</v>
      </c>
      <c r="P269">
        <v>14</v>
      </c>
      <c r="Q269">
        <v>2</v>
      </c>
      <c r="R269">
        <v>0</v>
      </c>
      <c r="S269">
        <v>88</v>
      </c>
      <c r="T269">
        <v>8</v>
      </c>
      <c r="U269">
        <v>171</v>
      </c>
      <c r="V269" s="19" t="s">
        <v>2616</v>
      </c>
      <c r="W269" s="19" t="s">
        <v>2014</v>
      </c>
      <c r="X269">
        <v>93</v>
      </c>
      <c r="Y269">
        <v>56</v>
      </c>
      <c r="Z269">
        <v>62.4</v>
      </c>
      <c r="AA269">
        <v>18</v>
      </c>
      <c r="AB269">
        <v>60</v>
      </c>
      <c r="AC269">
        <v>12</v>
      </c>
      <c r="AD269">
        <v>21</v>
      </c>
      <c r="AE269" s="19" t="s">
        <v>60</v>
      </c>
    </row>
    <row r="270" spans="1:31" x14ac:dyDescent="0.2">
      <c r="A270">
        <v>261</v>
      </c>
      <c r="B270" s="19" t="s">
        <v>703</v>
      </c>
      <c r="C270">
        <v>31</v>
      </c>
      <c r="D270" s="19" t="s">
        <v>333</v>
      </c>
      <c r="E270" s="19" t="s">
        <v>347</v>
      </c>
      <c r="F270">
        <v>58</v>
      </c>
      <c r="G270">
        <v>5</v>
      </c>
      <c r="H270">
        <v>18</v>
      </c>
      <c r="I270">
        <v>23</v>
      </c>
      <c r="J270">
        <v>20</v>
      </c>
      <c r="K270">
        <v>14</v>
      </c>
      <c r="L270">
        <v>5</v>
      </c>
      <c r="M270">
        <v>0</v>
      </c>
      <c r="N270">
        <v>0</v>
      </c>
      <c r="O270">
        <v>1</v>
      </c>
      <c r="P270">
        <v>16</v>
      </c>
      <c r="Q270">
        <v>0</v>
      </c>
      <c r="R270">
        <v>2</v>
      </c>
      <c r="S270">
        <v>59</v>
      </c>
      <c r="T270">
        <v>8.5</v>
      </c>
      <c r="U270">
        <v>140</v>
      </c>
      <c r="V270" s="19" t="s">
        <v>2617</v>
      </c>
      <c r="W270" s="19" t="s">
        <v>2032</v>
      </c>
      <c r="X270">
        <v>0</v>
      </c>
      <c r="Y270">
        <v>0</v>
      </c>
      <c r="AA270">
        <v>130</v>
      </c>
      <c r="AB270">
        <v>24</v>
      </c>
      <c r="AC270">
        <v>25</v>
      </c>
      <c r="AD270">
        <v>84</v>
      </c>
      <c r="AE270" s="19" t="s">
        <v>60</v>
      </c>
    </row>
    <row r="271" spans="1:31" x14ac:dyDescent="0.2">
      <c r="A271">
        <v>262</v>
      </c>
      <c r="B271" s="19" t="s">
        <v>635</v>
      </c>
      <c r="C271">
        <v>25</v>
      </c>
      <c r="D271" s="19" t="s">
        <v>353</v>
      </c>
      <c r="E271" s="19" t="s">
        <v>347</v>
      </c>
      <c r="F271">
        <v>52</v>
      </c>
      <c r="G271">
        <v>6</v>
      </c>
      <c r="H271">
        <v>17</v>
      </c>
      <c r="I271">
        <v>23</v>
      </c>
      <c r="J271">
        <v>8</v>
      </c>
      <c r="K271">
        <v>12</v>
      </c>
      <c r="L271">
        <v>4</v>
      </c>
      <c r="M271">
        <v>2</v>
      </c>
      <c r="N271">
        <v>0</v>
      </c>
      <c r="O271">
        <v>0</v>
      </c>
      <c r="P271">
        <v>14</v>
      </c>
      <c r="Q271">
        <v>3</v>
      </c>
      <c r="R271">
        <v>0</v>
      </c>
      <c r="S271">
        <v>53</v>
      </c>
      <c r="T271">
        <v>11.3</v>
      </c>
      <c r="U271">
        <v>143</v>
      </c>
      <c r="V271" s="19" t="s">
        <v>2240</v>
      </c>
      <c r="W271" s="19" t="s">
        <v>582</v>
      </c>
      <c r="X271">
        <v>0</v>
      </c>
      <c r="Y271">
        <v>0</v>
      </c>
      <c r="AA271">
        <v>67</v>
      </c>
      <c r="AB271">
        <v>27</v>
      </c>
      <c r="AC271">
        <v>14</v>
      </c>
      <c r="AD271">
        <v>65</v>
      </c>
      <c r="AE271" s="19" t="s">
        <v>60</v>
      </c>
    </row>
    <row r="272" spans="1:31" x14ac:dyDescent="0.2">
      <c r="A272">
        <v>263</v>
      </c>
      <c r="B272" s="19" t="s">
        <v>813</v>
      </c>
      <c r="C272">
        <v>31</v>
      </c>
      <c r="D272" s="19" t="s">
        <v>329</v>
      </c>
      <c r="E272" s="19" t="s">
        <v>325</v>
      </c>
      <c r="F272">
        <v>52</v>
      </c>
      <c r="G272">
        <v>11</v>
      </c>
      <c r="H272">
        <v>12</v>
      </c>
      <c r="I272">
        <v>23</v>
      </c>
      <c r="J272">
        <v>-1</v>
      </c>
      <c r="K272">
        <v>14</v>
      </c>
      <c r="L272">
        <v>10</v>
      </c>
      <c r="M272">
        <v>0</v>
      </c>
      <c r="N272">
        <v>1</v>
      </c>
      <c r="O272">
        <v>2</v>
      </c>
      <c r="P272">
        <v>11</v>
      </c>
      <c r="Q272">
        <v>0</v>
      </c>
      <c r="R272">
        <v>1</v>
      </c>
      <c r="S272">
        <v>84</v>
      </c>
      <c r="T272">
        <v>13.1</v>
      </c>
      <c r="U272">
        <v>148</v>
      </c>
      <c r="V272" s="19" t="s">
        <v>2241</v>
      </c>
      <c r="W272" s="19" t="s">
        <v>1917</v>
      </c>
      <c r="X272">
        <v>2</v>
      </c>
      <c r="Y272">
        <v>7</v>
      </c>
      <c r="Z272">
        <v>22.2</v>
      </c>
      <c r="AA272">
        <v>17</v>
      </c>
      <c r="AB272">
        <v>25</v>
      </c>
      <c r="AC272">
        <v>15</v>
      </c>
      <c r="AD272">
        <v>42</v>
      </c>
      <c r="AE272" s="19" t="s">
        <v>60</v>
      </c>
    </row>
    <row r="273" spans="1:31" x14ac:dyDescent="0.2">
      <c r="A273">
        <v>264</v>
      </c>
      <c r="B273" s="19" t="s">
        <v>637</v>
      </c>
      <c r="C273">
        <v>26</v>
      </c>
      <c r="D273" s="19" t="s">
        <v>393</v>
      </c>
      <c r="E273" s="19" t="s">
        <v>347</v>
      </c>
      <c r="F273">
        <v>49</v>
      </c>
      <c r="G273">
        <v>4</v>
      </c>
      <c r="H273">
        <v>19</v>
      </c>
      <c r="I273">
        <v>23</v>
      </c>
      <c r="J273">
        <v>0</v>
      </c>
      <c r="K273">
        <v>40</v>
      </c>
      <c r="L273">
        <v>3</v>
      </c>
      <c r="M273">
        <v>1</v>
      </c>
      <c r="N273">
        <v>0</v>
      </c>
      <c r="O273">
        <v>1</v>
      </c>
      <c r="P273">
        <v>15</v>
      </c>
      <c r="Q273">
        <v>2</v>
      </c>
      <c r="R273">
        <v>2</v>
      </c>
      <c r="S273">
        <v>82</v>
      </c>
      <c r="T273">
        <v>4.9000000000000004</v>
      </c>
      <c r="U273">
        <v>219</v>
      </c>
      <c r="V273" s="19" t="s">
        <v>2618</v>
      </c>
      <c r="W273" s="19" t="s">
        <v>1864</v>
      </c>
      <c r="X273">
        <v>0</v>
      </c>
      <c r="Y273">
        <v>1</v>
      </c>
      <c r="Z273">
        <v>0</v>
      </c>
      <c r="AA273">
        <v>51</v>
      </c>
      <c r="AB273">
        <v>62</v>
      </c>
      <c r="AC273">
        <v>34</v>
      </c>
      <c r="AD273">
        <v>58</v>
      </c>
      <c r="AE273" s="19" t="s">
        <v>60</v>
      </c>
    </row>
    <row r="274" spans="1:31" x14ac:dyDescent="0.2">
      <c r="A274">
        <v>265</v>
      </c>
      <c r="B274" s="19" t="s">
        <v>541</v>
      </c>
      <c r="C274">
        <v>34</v>
      </c>
      <c r="D274" s="19" t="s">
        <v>324</v>
      </c>
      <c r="E274" s="19" t="s">
        <v>347</v>
      </c>
      <c r="F274">
        <v>55</v>
      </c>
      <c r="G274">
        <v>1</v>
      </c>
      <c r="H274">
        <v>22</v>
      </c>
      <c r="I274">
        <v>23</v>
      </c>
      <c r="J274">
        <v>-10</v>
      </c>
      <c r="K274">
        <v>32</v>
      </c>
      <c r="L274">
        <v>1</v>
      </c>
      <c r="M274">
        <v>0</v>
      </c>
      <c r="N274">
        <v>0</v>
      </c>
      <c r="O274">
        <v>0</v>
      </c>
      <c r="P274">
        <v>11</v>
      </c>
      <c r="Q274">
        <v>11</v>
      </c>
      <c r="R274">
        <v>0</v>
      </c>
      <c r="S274">
        <v>54</v>
      </c>
      <c r="T274">
        <v>1.9</v>
      </c>
      <c r="U274">
        <v>143</v>
      </c>
      <c r="V274" s="19" t="s">
        <v>2242</v>
      </c>
      <c r="W274" s="19" t="s">
        <v>1965</v>
      </c>
      <c r="X274">
        <v>0</v>
      </c>
      <c r="Y274">
        <v>0</v>
      </c>
      <c r="AA274">
        <v>55</v>
      </c>
      <c r="AB274">
        <v>80</v>
      </c>
      <c r="AC274">
        <v>15</v>
      </c>
      <c r="AD274">
        <v>60</v>
      </c>
      <c r="AE274" s="19" t="s">
        <v>60</v>
      </c>
    </row>
    <row r="275" spans="1:31" x14ac:dyDescent="0.2">
      <c r="A275">
        <v>266</v>
      </c>
      <c r="B275" s="19" t="s">
        <v>590</v>
      </c>
      <c r="C275">
        <v>31</v>
      </c>
      <c r="D275" s="19" t="s">
        <v>380</v>
      </c>
      <c r="E275" s="19" t="s">
        <v>347</v>
      </c>
      <c r="F275">
        <v>56</v>
      </c>
      <c r="G275">
        <v>3</v>
      </c>
      <c r="H275">
        <v>20</v>
      </c>
      <c r="I275">
        <v>23</v>
      </c>
      <c r="J275">
        <v>12</v>
      </c>
      <c r="K275">
        <v>10</v>
      </c>
      <c r="L275">
        <v>3</v>
      </c>
      <c r="M275">
        <v>0</v>
      </c>
      <c r="N275">
        <v>0</v>
      </c>
      <c r="O275">
        <v>0</v>
      </c>
      <c r="P275">
        <v>18</v>
      </c>
      <c r="Q275">
        <v>1</v>
      </c>
      <c r="R275">
        <v>1</v>
      </c>
      <c r="S275">
        <v>68</v>
      </c>
      <c r="T275">
        <v>4.4000000000000004</v>
      </c>
      <c r="U275">
        <v>165</v>
      </c>
      <c r="V275" s="19" t="s">
        <v>2619</v>
      </c>
      <c r="W275" s="19" t="s">
        <v>1479</v>
      </c>
      <c r="X275">
        <v>0</v>
      </c>
      <c r="Y275">
        <v>0</v>
      </c>
      <c r="AA275">
        <v>103</v>
      </c>
      <c r="AB275">
        <v>39</v>
      </c>
      <c r="AC275">
        <v>23</v>
      </c>
      <c r="AD275">
        <v>67</v>
      </c>
      <c r="AE275" s="19" t="s">
        <v>60</v>
      </c>
    </row>
    <row r="276" spans="1:31" x14ac:dyDescent="0.2">
      <c r="A276">
        <v>267</v>
      </c>
      <c r="B276" s="19" t="s">
        <v>542</v>
      </c>
      <c r="C276">
        <v>30</v>
      </c>
      <c r="D276" s="19" t="s">
        <v>933</v>
      </c>
      <c r="E276" s="19" t="s">
        <v>334</v>
      </c>
      <c r="F276">
        <v>45</v>
      </c>
      <c r="G276">
        <v>17</v>
      </c>
      <c r="H276">
        <v>6</v>
      </c>
      <c r="I276">
        <v>23</v>
      </c>
      <c r="J276">
        <v>-12</v>
      </c>
      <c r="K276">
        <v>24</v>
      </c>
      <c r="L276">
        <v>10</v>
      </c>
      <c r="M276">
        <v>6</v>
      </c>
      <c r="N276">
        <v>1</v>
      </c>
      <c r="O276">
        <v>2</v>
      </c>
      <c r="P276">
        <v>2</v>
      </c>
      <c r="Q276">
        <v>4</v>
      </c>
      <c r="R276">
        <v>0</v>
      </c>
      <c r="S276">
        <v>110</v>
      </c>
      <c r="T276">
        <v>15.5</v>
      </c>
      <c r="U276">
        <v>233</v>
      </c>
      <c r="V276" s="19" t="s">
        <v>2243</v>
      </c>
      <c r="W276" s="19" t="s">
        <v>543</v>
      </c>
      <c r="X276">
        <v>13</v>
      </c>
      <c r="Y276">
        <v>21</v>
      </c>
      <c r="Z276">
        <v>38.200000000000003</v>
      </c>
      <c r="AA276">
        <v>22</v>
      </c>
      <c r="AB276">
        <v>214</v>
      </c>
      <c r="AC276">
        <v>18</v>
      </c>
      <c r="AD276">
        <v>49</v>
      </c>
      <c r="AE276" s="19" t="s">
        <v>60</v>
      </c>
    </row>
    <row r="277" spans="1:31" x14ac:dyDescent="0.2">
      <c r="A277">
        <v>267</v>
      </c>
      <c r="B277" s="19" t="s">
        <v>542</v>
      </c>
      <c r="C277">
        <v>30</v>
      </c>
      <c r="D277" s="19" t="s">
        <v>440</v>
      </c>
      <c r="E277" s="19" t="s">
        <v>334</v>
      </c>
      <c r="F277">
        <v>44</v>
      </c>
      <c r="G277">
        <v>17</v>
      </c>
      <c r="H277">
        <v>6</v>
      </c>
      <c r="I277">
        <v>23</v>
      </c>
      <c r="J277">
        <v>-12</v>
      </c>
      <c r="K277">
        <v>22</v>
      </c>
      <c r="L277">
        <v>10</v>
      </c>
      <c r="M277">
        <v>6</v>
      </c>
      <c r="N277">
        <v>1</v>
      </c>
      <c r="O277">
        <v>2</v>
      </c>
      <c r="P277">
        <v>2</v>
      </c>
      <c r="Q277">
        <v>4</v>
      </c>
      <c r="R277">
        <v>0</v>
      </c>
      <c r="S277">
        <v>109</v>
      </c>
      <c r="T277">
        <v>15.6</v>
      </c>
      <c r="U277">
        <v>231</v>
      </c>
      <c r="V277" s="19" t="s">
        <v>1784</v>
      </c>
      <c r="W277" s="19" t="s">
        <v>1578</v>
      </c>
      <c r="X277">
        <v>13</v>
      </c>
      <c r="Y277">
        <v>19</v>
      </c>
      <c r="Z277">
        <v>40.6</v>
      </c>
      <c r="AA277">
        <v>21</v>
      </c>
      <c r="AB277">
        <v>210</v>
      </c>
      <c r="AC277">
        <v>18</v>
      </c>
      <c r="AD277">
        <v>47</v>
      </c>
      <c r="AE277" s="19" t="s">
        <v>60</v>
      </c>
    </row>
    <row r="278" spans="1:31" x14ac:dyDescent="0.2">
      <c r="A278">
        <v>267</v>
      </c>
      <c r="B278" s="19" t="s">
        <v>542</v>
      </c>
      <c r="C278">
        <v>30</v>
      </c>
      <c r="D278" s="19" t="s">
        <v>324</v>
      </c>
      <c r="E278" s="19" t="s">
        <v>334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2</v>
      </c>
      <c r="V278" s="19" t="s">
        <v>1656</v>
      </c>
      <c r="W278" s="19" t="s">
        <v>1656</v>
      </c>
      <c r="X278">
        <v>0</v>
      </c>
      <c r="Y278">
        <v>2</v>
      </c>
      <c r="Z278">
        <v>0</v>
      </c>
      <c r="AA278">
        <v>1</v>
      </c>
      <c r="AB278">
        <v>4</v>
      </c>
      <c r="AC278">
        <v>0</v>
      </c>
      <c r="AD278">
        <v>2</v>
      </c>
      <c r="AE278" s="19" t="s">
        <v>60</v>
      </c>
    </row>
    <row r="279" spans="1:31" x14ac:dyDescent="0.2">
      <c r="A279">
        <v>268</v>
      </c>
      <c r="B279" s="19" t="s">
        <v>518</v>
      </c>
      <c r="C279">
        <v>31</v>
      </c>
      <c r="D279" s="19" t="s">
        <v>329</v>
      </c>
      <c r="E279" s="19" t="s">
        <v>325</v>
      </c>
      <c r="F279">
        <v>50</v>
      </c>
      <c r="G279">
        <v>10</v>
      </c>
      <c r="H279">
        <v>13</v>
      </c>
      <c r="I279">
        <v>23</v>
      </c>
      <c r="J279">
        <v>-19</v>
      </c>
      <c r="K279">
        <v>4</v>
      </c>
      <c r="L279">
        <v>6</v>
      </c>
      <c r="M279">
        <v>4</v>
      </c>
      <c r="N279">
        <v>0</v>
      </c>
      <c r="O279">
        <v>1</v>
      </c>
      <c r="P279">
        <v>5</v>
      </c>
      <c r="Q279">
        <v>8</v>
      </c>
      <c r="R279">
        <v>0</v>
      </c>
      <c r="S279">
        <v>60</v>
      </c>
      <c r="T279">
        <v>16.7</v>
      </c>
      <c r="U279">
        <v>129</v>
      </c>
      <c r="V279" s="19" t="s">
        <v>2244</v>
      </c>
      <c r="W279" s="19" t="s">
        <v>611</v>
      </c>
      <c r="X279">
        <v>39</v>
      </c>
      <c r="Y279">
        <v>50</v>
      </c>
      <c r="Z279">
        <v>43.8</v>
      </c>
      <c r="AA279">
        <v>27</v>
      </c>
      <c r="AB279">
        <v>17</v>
      </c>
      <c r="AC279">
        <v>19</v>
      </c>
      <c r="AD279">
        <v>47</v>
      </c>
      <c r="AE279" s="19" t="s">
        <v>60</v>
      </c>
    </row>
    <row r="280" spans="1:31" x14ac:dyDescent="0.2">
      <c r="A280">
        <v>269</v>
      </c>
      <c r="B280" s="19" t="s">
        <v>659</v>
      </c>
      <c r="C280">
        <v>29</v>
      </c>
      <c r="D280" s="19" t="s">
        <v>412</v>
      </c>
      <c r="E280" s="19" t="s">
        <v>322</v>
      </c>
      <c r="F280">
        <v>57</v>
      </c>
      <c r="G280">
        <v>8</v>
      </c>
      <c r="H280">
        <v>14</v>
      </c>
      <c r="I280">
        <v>22</v>
      </c>
      <c r="J280">
        <v>4</v>
      </c>
      <c r="K280">
        <v>14</v>
      </c>
      <c r="L280">
        <v>8</v>
      </c>
      <c r="M280">
        <v>0</v>
      </c>
      <c r="N280">
        <v>0</v>
      </c>
      <c r="O280">
        <v>1</v>
      </c>
      <c r="P280">
        <v>14</v>
      </c>
      <c r="Q280">
        <v>0</v>
      </c>
      <c r="R280">
        <v>0</v>
      </c>
      <c r="S280">
        <v>68</v>
      </c>
      <c r="T280">
        <v>11.8</v>
      </c>
      <c r="U280">
        <v>133</v>
      </c>
      <c r="V280" s="19" t="s">
        <v>2620</v>
      </c>
      <c r="W280" s="19" t="s">
        <v>1874</v>
      </c>
      <c r="X280">
        <v>5</v>
      </c>
      <c r="Y280">
        <v>8</v>
      </c>
      <c r="Z280">
        <v>38.5</v>
      </c>
      <c r="AA280">
        <v>31</v>
      </c>
      <c r="AB280">
        <v>79</v>
      </c>
      <c r="AC280">
        <v>25</v>
      </c>
      <c r="AD280">
        <v>42</v>
      </c>
      <c r="AE280" s="19" t="s">
        <v>60</v>
      </c>
    </row>
    <row r="281" spans="1:31" x14ac:dyDescent="0.2">
      <c r="A281">
        <v>270</v>
      </c>
      <c r="B281" s="19" t="s">
        <v>722</v>
      </c>
      <c r="C281">
        <v>36</v>
      </c>
      <c r="D281" s="19" t="s">
        <v>333</v>
      </c>
      <c r="E281" s="19" t="s">
        <v>338</v>
      </c>
      <c r="F281">
        <v>36</v>
      </c>
      <c r="G281">
        <v>9</v>
      </c>
      <c r="H281">
        <v>13</v>
      </c>
      <c r="I281">
        <v>22</v>
      </c>
      <c r="J281">
        <v>11</v>
      </c>
      <c r="K281">
        <v>23</v>
      </c>
      <c r="L281">
        <v>9</v>
      </c>
      <c r="M281">
        <v>0</v>
      </c>
      <c r="N281">
        <v>0</v>
      </c>
      <c r="O281">
        <v>1</v>
      </c>
      <c r="P281">
        <v>11</v>
      </c>
      <c r="Q281">
        <v>2</v>
      </c>
      <c r="R281">
        <v>0</v>
      </c>
      <c r="S281">
        <v>47</v>
      </c>
      <c r="T281">
        <v>19.100000000000001</v>
      </c>
      <c r="U281">
        <v>68</v>
      </c>
      <c r="V281" s="19" t="s">
        <v>2621</v>
      </c>
      <c r="W281" s="19" t="s">
        <v>856</v>
      </c>
      <c r="X281">
        <v>34</v>
      </c>
      <c r="Y281">
        <v>34</v>
      </c>
      <c r="Z281">
        <v>50</v>
      </c>
      <c r="AA281">
        <v>11</v>
      </c>
      <c r="AB281">
        <v>49</v>
      </c>
      <c r="AC281">
        <v>5</v>
      </c>
      <c r="AD281">
        <v>22</v>
      </c>
      <c r="AE281" s="19" t="s">
        <v>60</v>
      </c>
    </row>
    <row r="282" spans="1:31" x14ac:dyDescent="0.2">
      <c r="A282">
        <v>271</v>
      </c>
      <c r="B282" s="19" t="s">
        <v>726</v>
      </c>
      <c r="C282">
        <v>22</v>
      </c>
      <c r="D282" s="19" t="s">
        <v>342</v>
      </c>
      <c r="E282" s="19" t="s">
        <v>325</v>
      </c>
      <c r="F282">
        <v>42</v>
      </c>
      <c r="G282">
        <v>7</v>
      </c>
      <c r="H282">
        <v>15</v>
      </c>
      <c r="I282">
        <v>22</v>
      </c>
      <c r="J282">
        <v>-12</v>
      </c>
      <c r="K282">
        <v>4</v>
      </c>
      <c r="L282">
        <v>5</v>
      </c>
      <c r="M282">
        <v>2</v>
      </c>
      <c r="N282">
        <v>0</v>
      </c>
      <c r="O282">
        <v>2</v>
      </c>
      <c r="P282">
        <v>14</v>
      </c>
      <c r="Q282">
        <v>1</v>
      </c>
      <c r="R282">
        <v>0</v>
      </c>
      <c r="S282">
        <v>55</v>
      </c>
      <c r="T282">
        <v>12.7</v>
      </c>
      <c r="U282">
        <v>114</v>
      </c>
      <c r="V282" s="19" t="s">
        <v>2622</v>
      </c>
      <c r="W282" s="19" t="s">
        <v>852</v>
      </c>
      <c r="X282">
        <v>3</v>
      </c>
      <c r="Y282">
        <v>8</v>
      </c>
      <c r="Z282">
        <v>27.3</v>
      </c>
      <c r="AA282">
        <v>19</v>
      </c>
      <c r="AB282">
        <v>14</v>
      </c>
      <c r="AC282">
        <v>10</v>
      </c>
      <c r="AD282">
        <v>17</v>
      </c>
      <c r="AE282" s="19" t="s">
        <v>60</v>
      </c>
    </row>
    <row r="283" spans="1:31" x14ac:dyDescent="0.2">
      <c r="A283">
        <v>272</v>
      </c>
      <c r="B283" s="19" t="s">
        <v>729</v>
      </c>
      <c r="C283">
        <v>32</v>
      </c>
      <c r="D283" s="19" t="s">
        <v>395</v>
      </c>
      <c r="E283" s="19" t="s">
        <v>334</v>
      </c>
      <c r="F283">
        <v>51</v>
      </c>
      <c r="G283">
        <v>10</v>
      </c>
      <c r="H283">
        <v>12</v>
      </c>
      <c r="I283">
        <v>22</v>
      </c>
      <c r="J283">
        <v>-8</v>
      </c>
      <c r="K283">
        <v>10</v>
      </c>
      <c r="L283">
        <v>8</v>
      </c>
      <c r="M283">
        <v>1</v>
      </c>
      <c r="N283">
        <v>1</v>
      </c>
      <c r="O283">
        <v>1</v>
      </c>
      <c r="P283">
        <v>10</v>
      </c>
      <c r="Q283">
        <v>2</v>
      </c>
      <c r="R283">
        <v>0</v>
      </c>
      <c r="S283">
        <v>72</v>
      </c>
      <c r="T283">
        <v>13.9</v>
      </c>
      <c r="U283">
        <v>124</v>
      </c>
      <c r="V283" s="19" t="s">
        <v>2623</v>
      </c>
      <c r="W283" s="19" t="s">
        <v>1819</v>
      </c>
      <c r="X283">
        <v>5</v>
      </c>
      <c r="Y283">
        <v>14</v>
      </c>
      <c r="Z283">
        <v>26.3</v>
      </c>
      <c r="AA283">
        <v>29</v>
      </c>
      <c r="AB283">
        <v>18</v>
      </c>
      <c r="AC283">
        <v>14</v>
      </c>
      <c r="AD283">
        <v>34</v>
      </c>
      <c r="AE283" s="19" t="s">
        <v>60</v>
      </c>
    </row>
    <row r="284" spans="1:31" x14ac:dyDescent="0.2">
      <c r="A284">
        <v>273</v>
      </c>
      <c r="B284" s="19" t="s">
        <v>683</v>
      </c>
      <c r="C284">
        <v>29</v>
      </c>
      <c r="D284" s="19" t="s">
        <v>412</v>
      </c>
      <c r="E284" s="19" t="s">
        <v>347</v>
      </c>
      <c r="F284">
        <v>42</v>
      </c>
      <c r="G284">
        <v>5</v>
      </c>
      <c r="H284">
        <v>17</v>
      </c>
      <c r="I284">
        <v>22</v>
      </c>
      <c r="J284">
        <v>0</v>
      </c>
      <c r="K284">
        <v>18</v>
      </c>
      <c r="L284">
        <v>3</v>
      </c>
      <c r="M284">
        <v>2</v>
      </c>
      <c r="N284">
        <v>0</v>
      </c>
      <c r="O284">
        <v>0</v>
      </c>
      <c r="P284">
        <v>12</v>
      </c>
      <c r="Q284">
        <v>4</v>
      </c>
      <c r="R284">
        <v>1</v>
      </c>
      <c r="S284">
        <v>71</v>
      </c>
      <c r="T284">
        <v>7</v>
      </c>
      <c r="U284">
        <v>185</v>
      </c>
      <c r="V284" s="19" t="s">
        <v>2624</v>
      </c>
      <c r="W284" s="19" t="s">
        <v>2625</v>
      </c>
      <c r="X284">
        <v>0</v>
      </c>
      <c r="Y284">
        <v>0</v>
      </c>
      <c r="AA284">
        <v>83</v>
      </c>
      <c r="AB284">
        <v>31</v>
      </c>
      <c r="AC284">
        <v>17</v>
      </c>
      <c r="AD284">
        <v>33</v>
      </c>
      <c r="AE284" s="19" t="s">
        <v>60</v>
      </c>
    </row>
    <row r="285" spans="1:31" x14ac:dyDescent="0.2">
      <c r="A285">
        <v>274</v>
      </c>
      <c r="B285" s="19" t="s">
        <v>569</v>
      </c>
      <c r="C285">
        <v>29</v>
      </c>
      <c r="D285" s="19" t="s">
        <v>321</v>
      </c>
      <c r="E285" s="19" t="s">
        <v>322</v>
      </c>
      <c r="F285">
        <v>53</v>
      </c>
      <c r="G285">
        <v>7</v>
      </c>
      <c r="H285">
        <v>15</v>
      </c>
      <c r="I285">
        <v>22</v>
      </c>
      <c r="J285">
        <v>15</v>
      </c>
      <c r="K285">
        <v>9</v>
      </c>
      <c r="L285">
        <v>7</v>
      </c>
      <c r="M285">
        <v>0</v>
      </c>
      <c r="N285">
        <v>0</v>
      </c>
      <c r="O285">
        <v>2</v>
      </c>
      <c r="P285">
        <v>15</v>
      </c>
      <c r="Q285">
        <v>0</v>
      </c>
      <c r="R285">
        <v>0</v>
      </c>
      <c r="S285">
        <v>126</v>
      </c>
      <c r="T285">
        <v>5.6</v>
      </c>
      <c r="U285">
        <v>225</v>
      </c>
      <c r="V285" s="19" t="s">
        <v>2626</v>
      </c>
      <c r="W285" s="19" t="s">
        <v>828</v>
      </c>
      <c r="X285">
        <v>38</v>
      </c>
      <c r="Y285">
        <v>48</v>
      </c>
      <c r="Z285">
        <v>44.2</v>
      </c>
      <c r="AA285">
        <v>22</v>
      </c>
      <c r="AB285">
        <v>113</v>
      </c>
      <c r="AC285">
        <v>15</v>
      </c>
      <c r="AD285">
        <v>43</v>
      </c>
      <c r="AE285" s="19" t="s">
        <v>60</v>
      </c>
    </row>
    <row r="286" spans="1:31" x14ac:dyDescent="0.2">
      <c r="A286">
        <v>275</v>
      </c>
      <c r="B286" s="19" t="s">
        <v>1081</v>
      </c>
      <c r="C286">
        <v>35</v>
      </c>
      <c r="D286" s="19" t="s">
        <v>333</v>
      </c>
      <c r="E286" s="19" t="s">
        <v>322</v>
      </c>
      <c r="F286">
        <v>33</v>
      </c>
      <c r="G286">
        <v>11</v>
      </c>
      <c r="H286">
        <v>11</v>
      </c>
      <c r="I286">
        <v>22</v>
      </c>
      <c r="J286">
        <v>-2</v>
      </c>
      <c r="K286">
        <v>6</v>
      </c>
      <c r="L286">
        <v>7</v>
      </c>
      <c r="M286">
        <v>4</v>
      </c>
      <c r="N286">
        <v>0</v>
      </c>
      <c r="O286">
        <v>3</v>
      </c>
      <c r="P286">
        <v>10</v>
      </c>
      <c r="Q286">
        <v>1</v>
      </c>
      <c r="R286">
        <v>0</v>
      </c>
      <c r="S286">
        <v>51</v>
      </c>
      <c r="T286">
        <v>21.6</v>
      </c>
      <c r="U286">
        <v>100</v>
      </c>
      <c r="V286" s="19" t="s">
        <v>2627</v>
      </c>
      <c r="W286" s="19" t="s">
        <v>2628</v>
      </c>
      <c r="X286">
        <v>118</v>
      </c>
      <c r="Y286">
        <v>104</v>
      </c>
      <c r="Z286">
        <v>53.2</v>
      </c>
      <c r="AA286">
        <v>14</v>
      </c>
      <c r="AB286">
        <v>10</v>
      </c>
      <c r="AC286">
        <v>6</v>
      </c>
      <c r="AD286">
        <v>32</v>
      </c>
      <c r="AE286" s="19" t="s">
        <v>60</v>
      </c>
    </row>
    <row r="287" spans="1:31" x14ac:dyDescent="0.2">
      <c r="A287">
        <v>276</v>
      </c>
      <c r="B287" s="19" t="s">
        <v>697</v>
      </c>
      <c r="C287">
        <v>34</v>
      </c>
      <c r="D287" s="19" t="s">
        <v>350</v>
      </c>
      <c r="E287" s="19" t="s">
        <v>322</v>
      </c>
      <c r="F287">
        <v>56</v>
      </c>
      <c r="G287">
        <v>7</v>
      </c>
      <c r="H287">
        <v>15</v>
      </c>
      <c r="I287">
        <v>22</v>
      </c>
      <c r="J287">
        <v>5</v>
      </c>
      <c r="K287">
        <v>51</v>
      </c>
      <c r="L287">
        <v>7</v>
      </c>
      <c r="M287">
        <v>0</v>
      </c>
      <c r="N287">
        <v>0</v>
      </c>
      <c r="O287">
        <v>1</v>
      </c>
      <c r="P287">
        <v>15</v>
      </c>
      <c r="Q287">
        <v>0</v>
      </c>
      <c r="R287">
        <v>0</v>
      </c>
      <c r="S287">
        <v>79</v>
      </c>
      <c r="T287">
        <v>8.9</v>
      </c>
      <c r="U287">
        <v>156</v>
      </c>
      <c r="V287" s="19" t="s">
        <v>2629</v>
      </c>
      <c r="W287" s="19" t="s">
        <v>614</v>
      </c>
      <c r="X287">
        <v>274</v>
      </c>
      <c r="Y287">
        <v>333</v>
      </c>
      <c r="Z287">
        <v>45.1</v>
      </c>
      <c r="AA287">
        <v>25</v>
      </c>
      <c r="AB287">
        <v>76</v>
      </c>
      <c r="AC287">
        <v>16</v>
      </c>
      <c r="AD287">
        <v>51</v>
      </c>
      <c r="AE287" s="19" t="s">
        <v>60</v>
      </c>
    </row>
    <row r="288" spans="1:31" x14ac:dyDescent="0.2">
      <c r="A288">
        <v>277</v>
      </c>
      <c r="B288" s="19" t="s">
        <v>636</v>
      </c>
      <c r="C288">
        <v>21</v>
      </c>
      <c r="D288" s="19" t="s">
        <v>377</v>
      </c>
      <c r="E288" s="19" t="s">
        <v>347</v>
      </c>
      <c r="F288">
        <v>49</v>
      </c>
      <c r="G288">
        <v>9</v>
      </c>
      <c r="H288">
        <v>13</v>
      </c>
      <c r="I288">
        <v>22</v>
      </c>
      <c r="J288">
        <v>9</v>
      </c>
      <c r="K288">
        <v>4</v>
      </c>
      <c r="L288">
        <v>8</v>
      </c>
      <c r="M288">
        <v>1</v>
      </c>
      <c r="N288">
        <v>0</v>
      </c>
      <c r="O288">
        <v>0</v>
      </c>
      <c r="P288">
        <v>12</v>
      </c>
      <c r="Q288">
        <v>1</v>
      </c>
      <c r="R288">
        <v>0</v>
      </c>
      <c r="S288">
        <v>57</v>
      </c>
      <c r="T288">
        <v>15.8</v>
      </c>
      <c r="U288">
        <v>140</v>
      </c>
      <c r="V288" s="19" t="s">
        <v>2152</v>
      </c>
      <c r="W288" s="19" t="s">
        <v>1647</v>
      </c>
      <c r="X288">
        <v>0</v>
      </c>
      <c r="Y288">
        <v>0</v>
      </c>
      <c r="AA288">
        <v>64</v>
      </c>
      <c r="AB288">
        <v>19</v>
      </c>
      <c r="AC288">
        <v>12</v>
      </c>
      <c r="AD288">
        <v>52</v>
      </c>
      <c r="AE288" s="19" t="s">
        <v>60</v>
      </c>
    </row>
    <row r="289" spans="1:31" x14ac:dyDescent="0.2">
      <c r="A289">
        <v>278</v>
      </c>
      <c r="B289" s="19" t="s">
        <v>558</v>
      </c>
      <c r="C289">
        <v>31</v>
      </c>
      <c r="D289" s="19" t="s">
        <v>520</v>
      </c>
      <c r="E289" s="19" t="s">
        <v>347</v>
      </c>
      <c r="F289">
        <v>39</v>
      </c>
      <c r="G289">
        <v>7</v>
      </c>
      <c r="H289">
        <v>15</v>
      </c>
      <c r="I289">
        <v>22</v>
      </c>
      <c r="J289">
        <v>-1</v>
      </c>
      <c r="K289">
        <v>33</v>
      </c>
      <c r="L289">
        <v>6</v>
      </c>
      <c r="M289">
        <v>1</v>
      </c>
      <c r="N289">
        <v>0</v>
      </c>
      <c r="O289">
        <v>2</v>
      </c>
      <c r="P289">
        <v>10</v>
      </c>
      <c r="Q289">
        <v>5</v>
      </c>
      <c r="R289">
        <v>0</v>
      </c>
      <c r="S289">
        <v>97</v>
      </c>
      <c r="T289">
        <v>7.2</v>
      </c>
      <c r="U289">
        <v>233</v>
      </c>
      <c r="V289" s="19" t="s">
        <v>2630</v>
      </c>
      <c r="W289" s="19" t="s">
        <v>1921</v>
      </c>
      <c r="X289">
        <v>0</v>
      </c>
      <c r="Y289">
        <v>0</v>
      </c>
      <c r="AA289">
        <v>51</v>
      </c>
      <c r="AB289">
        <v>46</v>
      </c>
      <c r="AC289">
        <v>21</v>
      </c>
      <c r="AD289">
        <v>55</v>
      </c>
      <c r="AE289" s="19" t="s">
        <v>60</v>
      </c>
    </row>
    <row r="290" spans="1:31" x14ac:dyDescent="0.2">
      <c r="A290">
        <v>279</v>
      </c>
      <c r="B290" s="19" t="s">
        <v>748</v>
      </c>
      <c r="C290">
        <v>24</v>
      </c>
      <c r="D290" s="19" t="s">
        <v>393</v>
      </c>
      <c r="E290" s="19" t="s">
        <v>347</v>
      </c>
      <c r="F290">
        <v>56</v>
      </c>
      <c r="G290">
        <v>7</v>
      </c>
      <c r="H290">
        <v>15</v>
      </c>
      <c r="I290">
        <v>22</v>
      </c>
      <c r="J290">
        <v>9</v>
      </c>
      <c r="K290">
        <v>23</v>
      </c>
      <c r="L290">
        <v>5</v>
      </c>
      <c r="M290">
        <v>2</v>
      </c>
      <c r="N290">
        <v>0</v>
      </c>
      <c r="O290">
        <v>0</v>
      </c>
      <c r="P290">
        <v>11</v>
      </c>
      <c r="Q290">
        <v>4</v>
      </c>
      <c r="R290">
        <v>0</v>
      </c>
      <c r="S290">
        <v>88</v>
      </c>
      <c r="T290">
        <v>8</v>
      </c>
      <c r="U290">
        <v>229</v>
      </c>
      <c r="V290" s="19" t="s">
        <v>2631</v>
      </c>
      <c r="W290" s="19" t="s">
        <v>1712</v>
      </c>
      <c r="X290">
        <v>0</v>
      </c>
      <c r="Y290">
        <v>0</v>
      </c>
      <c r="AA290">
        <v>64</v>
      </c>
      <c r="AB290">
        <v>100</v>
      </c>
      <c r="AC290">
        <v>17</v>
      </c>
      <c r="AD290">
        <v>65</v>
      </c>
      <c r="AE290" s="19" t="s">
        <v>60</v>
      </c>
    </row>
    <row r="291" spans="1:31" x14ac:dyDescent="0.2">
      <c r="A291">
        <v>280</v>
      </c>
      <c r="B291" s="19" t="s">
        <v>644</v>
      </c>
      <c r="C291">
        <v>27</v>
      </c>
      <c r="D291" s="19" t="s">
        <v>440</v>
      </c>
      <c r="E291" s="19" t="s">
        <v>325</v>
      </c>
      <c r="F291">
        <v>58</v>
      </c>
      <c r="G291">
        <v>14</v>
      </c>
      <c r="H291">
        <v>8</v>
      </c>
      <c r="I291">
        <v>22</v>
      </c>
      <c r="J291">
        <v>4</v>
      </c>
      <c r="K291">
        <v>22</v>
      </c>
      <c r="L291">
        <v>12</v>
      </c>
      <c r="M291">
        <v>0</v>
      </c>
      <c r="N291">
        <v>2</v>
      </c>
      <c r="O291">
        <v>2</v>
      </c>
      <c r="P291">
        <v>7</v>
      </c>
      <c r="Q291">
        <v>0</v>
      </c>
      <c r="R291">
        <v>1</v>
      </c>
      <c r="S291">
        <v>83</v>
      </c>
      <c r="T291">
        <v>16.899999999999999</v>
      </c>
      <c r="U291">
        <v>179</v>
      </c>
      <c r="V291" s="19" t="s">
        <v>2632</v>
      </c>
      <c r="W291" s="19" t="s">
        <v>2633</v>
      </c>
      <c r="X291">
        <v>46</v>
      </c>
      <c r="Y291">
        <v>45</v>
      </c>
      <c r="Z291">
        <v>50.5</v>
      </c>
      <c r="AA291">
        <v>18</v>
      </c>
      <c r="AB291">
        <v>47</v>
      </c>
      <c r="AC291">
        <v>15</v>
      </c>
      <c r="AD291">
        <v>45</v>
      </c>
      <c r="AE291" s="19" t="s">
        <v>60</v>
      </c>
    </row>
    <row r="292" spans="1:31" x14ac:dyDescent="0.2">
      <c r="A292">
        <v>281</v>
      </c>
      <c r="B292" s="19" t="s">
        <v>874</v>
      </c>
      <c r="C292">
        <v>27</v>
      </c>
      <c r="D292" s="19" t="s">
        <v>336</v>
      </c>
      <c r="E292" s="19" t="s">
        <v>322</v>
      </c>
      <c r="F292">
        <v>50</v>
      </c>
      <c r="G292">
        <v>5</v>
      </c>
      <c r="H292">
        <v>17</v>
      </c>
      <c r="I292">
        <v>22</v>
      </c>
      <c r="J292">
        <v>7</v>
      </c>
      <c r="K292">
        <v>8</v>
      </c>
      <c r="L292">
        <v>4</v>
      </c>
      <c r="M292">
        <v>0</v>
      </c>
      <c r="N292">
        <v>1</v>
      </c>
      <c r="O292">
        <v>1</v>
      </c>
      <c r="P292">
        <v>15</v>
      </c>
      <c r="Q292">
        <v>0</v>
      </c>
      <c r="R292">
        <v>2</v>
      </c>
      <c r="S292">
        <v>54</v>
      </c>
      <c r="T292">
        <v>9.3000000000000007</v>
      </c>
      <c r="U292">
        <v>108</v>
      </c>
      <c r="V292" s="19" t="s">
        <v>2634</v>
      </c>
      <c r="W292" s="19" t="s">
        <v>1718</v>
      </c>
      <c r="X292">
        <v>296</v>
      </c>
      <c r="Y292">
        <v>334</v>
      </c>
      <c r="Z292">
        <v>47</v>
      </c>
      <c r="AA292">
        <v>57</v>
      </c>
      <c r="AB292">
        <v>25</v>
      </c>
      <c r="AC292">
        <v>11</v>
      </c>
      <c r="AD292">
        <v>35</v>
      </c>
      <c r="AE292" s="19" t="s">
        <v>60</v>
      </c>
    </row>
    <row r="293" spans="1:31" x14ac:dyDescent="0.2">
      <c r="A293">
        <v>282</v>
      </c>
      <c r="B293" s="19" t="s">
        <v>712</v>
      </c>
      <c r="C293">
        <v>28</v>
      </c>
      <c r="D293" s="19" t="s">
        <v>373</v>
      </c>
      <c r="E293" s="19" t="s">
        <v>347</v>
      </c>
      <c r="F293">
        <v>56</v>
      </c>
      <c r="G293">
        <v>3</v>
      </c>
      <c r="H293">
        <v>19</v>
      </c>
      <c r="I293">
        <v>22</v>
      </c>
      <c r="J293">
        <v>21</v>
      </c>
      <c r="K293">
        <v>20</v>
      </c>
      <c r="L293">
        <v>3</v>
      </c>
      <c r="M293">
        <v>0</v>
      </c>
      <c r="N293">
        <v>0</v>
      </c>
      <c r="O293">
        <v>0</v>
      </c>
      <c r="P293">
        <v>19</v>
      </c>
      <c r="Q293">
        <v>0</v>
      </c>
      <c r="R293">
        <v>0</v>
      </c>
      <c r="S293">
        <v>56</v>
      </c>
      <c r="T293">
        <v>5.4</v>
      </c>
      <c r="U293">
        <v>142</v>
      </c>
      <c r="V293" s="19" t="s">
        <v>2635</v>
      </c>
      <c r="W293" s="19" t="s">
        <v>1934</v>
      </c>
      <c r="X293">
        <v>0</v>
      </c>
      <c r="Y293">
        <v>0</v>
      </c>
      <c r="AA293">
        <v>65</v>
      </c>
      <c r="AB293">
        <v>31</v>
      </c>
      <c r="AC293">
        <v>16</v>
      </c>
      <c r="AD293">
        <v>43</v>
      </c>
      <c r="AE293" s="19" t="s">
        <v>60</v>
      </c>
    </row>
    <row r="294" spans="1:31" x14ac:dyDescent="0.2">
      <c r="A294">
        <v>283</v>
      </c>
      <c r="B294" s="19" t="s">
        <v>655</v>
      </c>
      <c r="C294">
        <v>22</v>
      </c>
      <c r="D294" s="19" t="s">
        <v>520</v>
      </c>
      <c r="E294" s="19" t="s">
        <v>322</v>
      </c>
      <c r="F294">
        <v>57</v>
      </c>
      <c r="G294">
        <v>11</v>
      </c>
      <c r="H294">
        <v>11</v>
      </c>
      <c r="I294">
        <v>22</v>
      </c>
      <c r="J294">
        <v>5</v>
      </c>
      <c r="K294">
        <v>8</v>
      </c>
      <c r="L294">
        <v>9</v>
      </c>
      <c r="M294">
        <v>2</v>
      </c>
      <c r="N294">
        <v>0</v>
      </c>
      <c r="O294">
        <v>2</v>
      </c>
      <c r="P294">
        <v>8</v>
      </c>
      <c r="Q294">
        <v>3</v>
      </c>
      <c r="R294">
        <v>0</v>
      </c>
      <c r="S294">
        <v>84</v>
      </c>
      <c r="T294">
        <v>13.1</v>
      </c>
      <c r="U294">
        <v>149</v>
      </c>
      <c r="V294" s="19" t="s">
        <v>2636</v>
      </c>
      <c r="W294" s="19" t="s">
        <v>1305</v>
      </c>
      <c r="X294">
        <v>154</v>
      </c>
      <c r="Y294">
        <v>252</v>
      </c>
      <c r="Z294">
        <v>37.9</v>
      </c>
      <c r="AA294">
        <v>43</v>
      </c>
      <c r="AB294">
        <v>43</v>
      </c>
      <c r="AC294">
        <v>11</v>
      </c>
      <c r="AD294">
        <v>58</v>
      </c>
      <c r="AE294" s="19" t="s">
        <v>60</v>
      </c>
    </row>
    <row r="295" spans="1:31" x14ac:dyDescent="0.2">
      <c r="A295">
        <v>284</v>
      </c>
      <c r="B295" s="19" t="s">
        <v>656</v>
      </c>
      <c r="C295">
        <v>25</v>
      </c>
      <c r="D295" s="19" t="s">
        <v>403</v>
      </c>
      <c r="E295" s="19" t="s">
        <v>347</v>
      </c>
      <c r="F295">
        <v>50</v>
      </c>
      <c r="G295">
        <v>4</v>
      </c>
      <c r="H295">
        <v>18</v>
      </c>
      <c r="I295">
        <v>22</v>
      </c>
      <c r="J295">
        <v>-3</v>
      </c>
      <c r="K295">
        <v>22</v>
      </c>
      <c r="L295">
        <v>3</v>
      </c>
      <c r="M295">
        <v>1</v>
      </c>
      <c r="N295">
        <v>0</v>
      </c>
      <c r="O295">
        <v>1</v>
      </c>
      <c r="P295">
        <v>12</v>
      </c>
      <c r="Q295">
        <v>6</v>
      </c>
      <c r="R295">
        <v>0</v>
      </c>
      <c r="S295">
        <v>70</v>
      </c>
      <c r="T295">
        <v>5.7</v>
      </c>
      <c r="U295">
        <v>149</v>
      </c>
      <c r="V295" s="19" t="s">
        <v>2637</v>
      </c>
      <c r="W295" s="19" t="s">
        <v>2638</v>
      </c>
      <c r="X295">
        <v>0</v>
      </c>
      <c r="Y295">
        <v>0</v>
      </c>
      <c r="AA295">
        <v>102</v>
      </c>
      <c r="AB295">
        <v>8</v>
      </c>
      <c r="AC295">
        <v>10</v>
      </c>
      <c r="AD295">
        <v>44</v>
      </c>
      <c r="AE295" s="19" t="s">
        <v>60</v>
      </c>
    </row>
    <row r="296" spans="1:31" x14ac:dyDescent="0.2">
      <c r="A296">
        <v>285</v>
      </c>
      <c r="B296" s="19" t="s">
        <v>833</v>
      </c>
      <c r="C296">
        <v>22</v>
      </c>
      <c r="D296" s="19" t="s">
        <v>355</v>
      </c>
      <c r="E296" s="19" t="s">
        <v>334</v>
      </c>
      <c r="F296">
        <v>51</v>
      </c>
      <c r="G296">
        <v>8</v>
      </c>
      <c r="H296">
        <v>14</v>
      </c>
      <c r="I296">
        <v>22</v>
      </c>
      <c r="J296">
        <v>-2</v>
      </c>
      <c r="K296">
        <v>18</v>
      </c>
      <c r="L296">
        <v>8</v>
      </c>
      <c r="M296">
        <v>0</v>
      </c>
      <c r="N296">
        <v>0</v>
      </c>
      <c r="O296">
        <v>2</v>
      </c>
      <c r="P296">
        <v>12</v>
      </c>
      <c r="Q296">
        <v>2</v>
      </c>
      <c r="R296">
        <v>0</v>
      </c>
      <c r="S296">
        <v>58</v>
      </c>
      <c r="T296">
        <v>13.8</v>
      </c>
      <c r="U296">
        <v>122</v>
      </c>
      <c r="V296" s="19" t="s">
        <v>1926</v>
      </c>
      <c r="W296" s="19" t="s">
        <v>1604</v>
      </c>
      <c r="X296">
        <v>210</v>
      </c>
      <c r="Y296">
        <v>327</v>
      </c>
      <c r="Z296">
        <v>39.1</v>
      </c>
      <c r="AA296">
        <v>33</v>
      </c>
      <c r="AB296">
        <v>35</v>
      </c>
      <c r="AC296">
        <v>12</v>
      </c>
      <c r="AD296">
        <v>32</v>
      </c>
      <c r="AE296" s="19" t="s">
        <v>60</v>
      </c>
    </row>
    <row r="297" spans="1:31" x14ac:dyDescent="0.2">
      <c r="A297">
        <v>286</v>
      </c>
      <c r="B297" s="19" t="s">
        <v>720</v>
      </c>
      <c r="C297">
        <v>26</v>
      </c>
      <c r="D297" s="19" t="s">
        <v>412</v>
      </c>
      <c r="E297" s="19" t="s">
        <v>58</v>
      </c>
      <c r="F297">
        <v>57</v>
      </c>
      <c r="G297">
        <v>12</v>
      </c>
      <c r="H297">
        <v>10</v>
      </c>
      <c r="I297">
        <v>22</v>
      </c>
      <c r="J297">
        <v>-7</v>
      </c>
      <c r="K297">
        <v>16</v>
      </c>
      <c r="L297">
        <v>8</v>
      </c>
      <c r="M297">
        <v>4</v>
      </c>
      <c r="N297">
        <v>0</v>
      </c>
      <c r="O297">
        <v>2</v>
      </c>
      <c r="P297">
        <v>9</v>
      </c>
      <c r="Q297">
        <v>1</v>
      </c>
      <c r="R297">
        <v>0</v>
      </c>
      <c r="S297">
        <v>95</v>
      </c>
      <c r="T297">
        <v>12.6</v>
      </c>
      <c r="U297">
        <v>196</v>
      </c>
      <c r="V297" s="19" t="s">
        <v>2639</v>
      </c>
      <c r="W297" s="19" t="s">
        <v>1605</v>
      </c>
      <c r="X297">
        <v>3</v>
      </c>
      <c r="Y297">
        <v>5</v>
      </c>
      <c r="Z297">
        <v>37.5</v>
      </c>
      <c r="AA297">
        <v>25</v>
      </c>
      <c r="AB297">
        <v>105</v>
      </c>
      <c r="AC297">
        <v>12</v>
      </c>
      <c r="AD297">
        <v>26</v>
      </c>
      <c r="AE297" s="19" t="s">
        <v>60</v>
      </c>
    </row>
    <row r="298" spans="1:31" x14ac:dyDescent="0.2">
      <c r="A298">
        <v>287</v>
      </c>
      <c r="B298" s="19" t="s">
        <v>618</v>
      </c>
      <c r="C298">
        <v>27</v>
      </c>
      <c r="D298" s="19" t="s">
        <v>452</v>
      </c>
      <c r="E298" s="19" t="s">
        <v>347</v>
      </c>
      <c r="F298">
        <v>45</v>
      </c>
      <c r="G298">
        <v>6</v>
      </c>
      <c r="H298">
        <v>15</v>
      </c>
      <c r="I298">
        <v>21</v>
      </c>
      <c r="J298">
        <v>-11</v>
      </c>
      <c r="K298">
        <v>10</v>
      </c>
      <c r="L298">
        <v>3</v>
      </c>
      <c r="M298">
        <v>3</v>
      </c>
      <c r="N298">
        <v>0</v>
      </c>
      <c r="O298">
        <v>0</v>
      </c>
      <c r="P298">
        <v>11</v>
      </c>
      <c r="Q298">
        <v>4</v>
      </c>
      <c r="R298">
        <v>0</v>
      </c>
      <c r="S298">
        <v>56</v>
      </c>
      <c r="T298">
        <v>10.7</v>
      </c>
      <c r="U298">
        <v>157</v>
      </c>
      <c r="V298" s="19" t="s">
        <v>2245</v>
      </c>
      <c r="W298" s="19" t="s">
        <v>1601</v>
      </c>
      <c r="X298">
        <v>0</v>
      </c>
      <c r="Y298">
        <v>2</v>
      </c>
      <c r="Z298">
        <v>0</v>
      </c>
      <c r="AA298">
        <v>46</v>
      </c>
      <c r="AB298">
        <v>41</v>
      </c>
      <c r="AC298">
        <v>15</v>
      </c>
      <c r="AD298">
        <v>49</v>
      </c>
      <c r="AE298" s="19" t="s">
        <v>60</v>
      </c>
    </row>
    <row r="299" spans="1:31" x14ac:dyDescent="0.2">
      <c r="A299">
        <v>288</v>
      </c>
      <c r="B299" s="19" t="s">
        <v>682</v>
      </c>
      <c r="C299">
        <v>29</v>
      </c>
      <c r="D299" s="19" t="s">
        <v>401</v>
      </c>
      <c r="E299" s="19" t="s">
        <v>325</v>
      </c>
      <c r="F299">
        <v>55</v>
      </c>
      <c r="G299">
        <v>11</v>
      </c>
      <c r="H299">
        <v>10</v>
      </c>
      <c r="I299">
        <v>21</v>
      </c>
      <c r="J299">
        <v>6</v>
      </c>
      <c r="K299">
        <v>20</v>
      </c>
      <c r="L299">
        <v>10</v>
      </c>
      <c r="M299">
        <v>1</v>
      </c>
      <c r="N299">
        <v>0</v>
      </c>
      <c r="O299">
        <v>0</v>
      </c>
      <c r="P299">
        <v>10</v>
      </c>
      <c r="Q299">
        <v>0</v>
      </c>
      <c r="R299">
        <v>0</v>
      </c>
      <c r="S299">
        <v>105</v>
      </c>
      <c r="T299">
        <v>10.5</v>
      </c>
      <c r="U299">
        <v>224</v>
      </c>
      <c r="V299" s="19" t="s">
        <v>2246</v>
      </c>
      <c r="W299" s="19" t="s">
        <v>1830</v>
      </c>
      <c r="X299">
        <v>10</v>
      </c>
      <c r="Y299">
        <v>13</v>
      </c>
      <c r="Z299">
        <v>43.5</v>
      </c>
      <c r="AA299">
        <v>14</v>
      </c>
      <c r="AB299">
        <v>92</v>
      </c>
      <c r="AC299">
        <v>11</v>
      </c>
      <c r="AD299">
        <v>34</v>
      </c>
      <c r="AE299" s="19" t="s">
        <v>60</v>
      </c>
    </row>
    <row r="300" spans="1:31" x14ac:dyDescent="0.2">
      <c r="A300">
        <v>289</v>
      </c>
      <c r="B300" s="19" t="s">
        <v>621</v>
      </c>
      <c r="C300">
        <v>34</v>
      </c>
      <c r="D300" s="19" t="s">
        <v>430</v>
      </c>
      <c r="E300" s="19" t="s">
        <v>322</v>
      </c>
      <c r="F300">
        <v>44</v>
      </c>
      <c r="G300">
        <v>13</v>
      </c>
      <c r="H300">
        <v>8</v>
      </c>
      <c r="I300">
        <v>21</v>
      </c>
      <c r="J300">
        <v>10</v>
      </c>
      <c r="K300">
        <v>29</v>
      </c>
      <c r="L300">
        <v>10</v>
      </c>
      <c r="M300">
        <v>0</v>
      </c>
      <c r="N300">
        <v>3</v>
      </c>
      <c r="O300">
        <v>3</v>
      </c>
      <c r="P300">
        <v>8</v>
      </c>
      <c r="Q300">
        <v>0</v>
      </c>
      <c r="R300">
        <v>0</v>
      </c>
      <c r="S300">
        <v>105</v>
      </c>
      <c r="T300">
        <v>12.4</v>
      </c>
      <c r="U300">
        <v>184</v>
      </c>
      <c r="V300" s="19" t="s">
        <v>1760</v>
      </c>
      <c r="W300" s="19" t="s">
        <v>1673</v>
      </c>
      <c r="X300">
        <v>12</v>
      </c>
      <c r="Y300">
        <v>15</v>
      </c>
      <c r="Z300">
        <v>44.4</v>
      </c>
      <c r="AA300">
        <v>29</v>
      </c>
      <c r="AB300">
        <v>110</v>
      </c>
      <c r="AC300">
        <v>15</v>
      </c>
      <c r="AD300">
        <v>41</v>
      </c>
      <c r="AE300" s="19" t="s">
        <v>60</v>
      </c>
    </row>
    <row r="301" spans="1:31" x14ac:dyDescent="0.2">
      <c r="A301">
        <v>290</v>
      </c>
      <c r="B301" s="19" t="s">
        <v>801</v>
      </c>
      <c r="C301">
        <v>29</v>
      </c>
      <c r="D301" s="19" t="s">
        <v>370</v>
      </c>
      <c r="E301" s="19" t="s">
        <v>347</v>
      </c>
      <c r="F301">
        <v>55</v>
      </c>
      <c r="G301">
        <v>3</v>
      </c>
      <c r="H301">
        <v>18</v>
      </c>
      <c r="I301">
        <v>21</v>
      </c>
      <c r="J301">
        <v>-10</v>
      </c>
      <c r="K301">
        <v>43</v>
      </c>
      <c r="L301">
        <v>2</v>
      </c>
      <c r="M301">
        <v>1</v>
      </c>
      <c r="N301">
        <v>0</v>
      </c>
      <c r="O301">
        <v>3</v>
      </c>
      <c r="P301">
        <v>15</v>
      </c>
      <c r="Q301">
        <v>2</v>
      </c>
      <c r="R301">
        <v>1</v>
      </c>
      <c r="S301">
        <v>74</v>
      </c>
      <c r="T301">
        <v>4.0999999999999996</v>
      </c>
      <c r="U301">
        <v>183</v>
      </c>
      <c r="V301" s="19" t="s">
        <v>2247</v>
      </c>
      <c r="W301" s="19" t="s">
        <v>1832</v>
      </c>
      <c r="X301">
        <v>0</v>
      </c>
      <c r="Y301">
        <v>1</v>
      </c>
      <c r="Z301">
        <v>0</v>
      </c>
      <c r="AA301">
        <v>88</v>
      </c>
      <c r="AB301">
        <v>67</v>
      </c>
      <c r="AC301">
        <v>15</v>
      </c>
      <c r="AD301">
        <v>53</v>
      </c>
      <c r="AE301" s="19" t="s">
        <v>60</v>
      </c>
    </row>
    <row r="302" spans="1:31" x14ac:dyDescent="0.2">
      <c r="A302">
        <v>291</v>
      </c>
      <c r="B302" s="19" t="s">
        <v>574</v>
      </c>
      <c r="C302">
        <v>20</v>
      </c>
      <c r="D302" s="19" t="s">
        <v>368</v>
      </c>
      <c r="E302" s="19" t="s">
        <v>322</v>
      </c>
      <c r="F302">
        <v>58</v>
      </c>
      <c r="G302">
        <v>9</v>
      </c>
      <c r="H302">
        <v>12</v>
      </c>
      <c r="I302">
        <v>21</v>
      </c>
      <c r="J302">
        <v>-9</v>
      </c>
      <c r="K302">
        <v>6</v>
      </c>
      <c r="L302">
        <v>5</v>
      </c>
      <c r="M302">
        <v>4</v>
      </c>
      <c r="N302">
        <v>0</v>
      </c>
      <c r="O302">
        <v>1</v>
      </c>
      <c r="P302">
        <v>8</v>
      </c>
      <c r="Q302">
        <v>4</v>
      </c>
      <c r="R302">
        <v>0</v>
      </c>
      <c r="S302">
        <v>90</v>
      </c>
      <c r="T302">
        <v>10</v>
      </c>
      <c r="U302">
        <v>152</v>
      </c>
      <c r="V302" s="19" t="s">
        <v>2248</v>
      </c>
      <c r="W302" s="19" t="s">
        <v>472</v>
      </c>
      <c r="X302">
        <v>13</v>
      </c>
      <c r="Y302">
        <v>23</v>
      </c>
      <c r="Z302">
        <v>36.1</v>
      </c>
      <c r="AA302">
        <v>31</v>
      </c>
      <c r="AB302">
        <v>86</v>
      </c>
      <c r="AC302">
        <v>15</v>
      </c>
      <c r="AD302">
        <v>52</v>
      </c>
      <c r="AE302" s="19" t="s">
        <v>60</v>
      </c>
    </row>
    <row r="303" spans="1:31" x14ac:dyDescent="0.2">
      <c r="A303">
        <v>292</v>
      </c>
      <c r="B303" s="19" t="s">
        <v>575</v>
      </c>
      <c r="C303">
        <v>29</v>
      </c>
      <c r="D303" s="19" t="s">
        <v>370</v>
      </c>
      <c r="E303" s="19" t="s">
        <v>347</v>
      </c>
      <c r="F303">
        <v>57</v>
      </c>
      <c r="G303">
        <v>2</v>
      </c>
      <c r="H303">
        <v>19</v>
      </c>
      <c r="I303">
        <v>21</v>
      </c>
      <c r="J303">
        <v>-7</v>
      </c>
      <c r="K303">
        <v>41</v>
      </c>
      <c r="L303">
        <v>2</v>
      </c>
      <c r="M303">
        <v>0</v>
      </c>
      <c r="N303">
        <v>0</v>
      </c>
      <c r="O303">
        <v>1</v>
      </c>
      <c r="P303">
        <v>17</v>
      </c>
      <c r="Q303">
        <v>2</v>
      </c>
      <c r="R303">
        <v>0</v>
      </c>
      <c r="S303">
        <v>69</v>
      </c>
      <c r="T303">
        <v>2.9</v>
      </c>
      <c r="U303">
        <v>180</v>
      </c>
      <c r="V303" s="19" t="s">
        <v>2640</v>
      </c>
      <c r="W303" s="19" t="s">
        <v>2641</v>
      </c>
      <c r="X303">
        <v>0</v>
      </c>
      <c r="Y303">
        <v>0</v>
      </c>
      <c r="AA303">
        <v>64</v>
      </c>
      <c r="AB303">
        <v>38</v>
      </c>
      <c r="AC303">
        <v>23</v>
      </c>
      <c r="AD303">
        <v>40</v>
      </c>
      <c r="AE303" s="19" t="s">
        <v>60</v>
      </c>
    </row>
    <row r="304" spans="1:31" x14ac:dyDescent="0.2">
      <c r="A304">
        <v>293</v>
      </c>
      <c r="B304" s="19" t="s">
        <v>604</v>
      </c>
      <c r="C304">
        <v>30</v>
      </c>
      <c r="D304" s="19" t="s">
        <v>359</v>
      </c>
      <c r="E304" s="19" t="s">
        <v>347</v>
      </c>
      <c r="F304">
        <v>57</v>
      </c>
      <c r="G304">
        <v>9</v>
      </c>
      <c r="H304">
        <v>12</v>
      </c>
      <c r="I304">
        <v>21</v>
      </c>
      <c r="J304">
        <v>-13</v>
      </c>
      <c r="K304">
        <v>28</v>
      </c>
      <c r="L304">
        <v>7</v>
      </c>
      <c r="M304">
        <v>2</v>
      </c>
      <c r="N304">
        <v>0</v>
      </c>
      <c r="O304">
        <v>1</v>
      </c>
      <c r="P304">
        <v>9</v>
      </c>
      <c r="Q304">
        <v>2</v>
      </c>
      <c r="R304">
        <v>1</v>
      </c>
      <c r="S304">
        <v>84</v>
      </c>
      <c r="T304">
        <v>10.7</v>
      </c>
      <c r="U304">
        <v>229</v>
      </c>
      <c r="V304" s="19" t="s">
        <v>2642</v>
      </c>
      <c r="W304" s="19" t="s">
        <v>2643</v>
      </c>
      <c r="X304">
        <v>0</v>
      </c>
      <c r="Y304">
        <v>0</v>
      </c>
      <c r="AA304">
        <v>85</v>
      </c>
      <c r="AB304">
        <v>36</v>
      </c>
      <c r="AC304">
        <v>17</v>
      </c>
      <c r="AD304">
        <v>73</v>
      </c>
      <c r="AE304" s="19" t="s">
        <v>60</v>
      </c>
    </row>
    <row r="305" spans="1:31" x14ac:dyDescent="0.2">
      <c r="A305">
        <v>294</v>
      </c>
      <c r="B305" s="19" t="s">
        <v>628</v>
      </c>
      <c r="C305">
        <v>29</v>
      </c>
      <c r="D305" s="19" t="s">
        <v>370</v>
      </c>
      <c r="E305" s="19" t="s">
        <v>338</v>
      </c>
      <c r="F305">
        <v>57</v>
      </c>
      <c r="G305">
        <v>11</v>
      </c>
      <c r="H305">
        <v>10</v>
      </c>
      <c r="I305">
        <v>21</v>
      </c>
      <c r="J305">
        <v>7</v>
      </c>
      <c r="K305">
        <v>88</v>
      </c>
      <c r="L305">
        <v>11</v>
      </c>
      <c r="M305">
        <v>0</v>
      </c>
      <c r="N305">
        <v>0</v>
      </c>
      <c r="O305">
        <v>1</v>
      </c>
      <c r="P305">
        <v>10</v>
      </c>
      <c r="Q305">
        <v>0</v>
      </c>
      <c r="R305">
        <v>0</v>
      </c>
      <c r="S305">
        <v>72</v>
      </c>
      <c r="T305">
        <v>15.3</v>
      </c>
      <c r="U305">
        <v>137</v>
      </c>
      <c r="V305" s="19" t="s">
        <v>2644</v>
      </c>
      <c r="W305" s="19" t="s">
        <v>1591</v>
      </c>
      <c r="X305">
        <v>3</v>
      </c>
      <c r="Y305">
        <v>8</v>
      </c>
      <c r="Z305">
        <v>27.3</v>
      </c>
      <c r="AA305">
        <v>20</v>
      </c>
      <c r="AB305">
        <v>145</v>
      </c>
      <c r="AC305">
        <v>6</v>
      </c>
      <c r="AD305">
        <v>37</v>
      </c>
      <c r="AE305" s="19" t="s">
        <v>60</v>
      </c>
    </row>
    <row r="306" spans="1:31" x14ac:dyDescent="0.2">
      <c r="A306">
        <v>295</v>
      </c>
      <c r="B306" s="19" t="s">
        <v>767</v>
      </c>
      <c r="C306">
        <v>32</v>
      </c>
      <c r="D306" s="19" t="s">
        <v>395</v>
      </c>
      <c r="E306" s="19" t="s">
        <v>347</v>
      </c>
      <c r="F306">
        <v>53</v>
      </c>
      <c r="G306">
        <v>7</v>
      </c>
      <c r="H306">
        <v>14</v>
      </c>
      <c r="I306">
        <v>21</v>
      </c>
      <c r="J306">
        <v>-6</v>
      </c>
      <c r="K306">
        <v>38</v>
      </c>
      <c r="L306">
        <v>4</v>
      </c>
      <c r="M306">
        <v>3</v>
      </c>
      <c r="N306">
        <v>0</v>
      </c>
      <c r="O306">
        <v>1</v>
      </c>
      <c r="P306">
        <v>7</v>
      </c>
      <c r="Q306">
        <v>7</v>
      </c>
      <c r="R306">
        <v>0</v>
      </c>
      <c r="S306">
        <v>147</v>
      </c>
      <c r="T306">
        <v>4.8</v>
      </c>
      <c r="U306">
        <v>330</v>
      </c>
      <c r="V306" s="19" t="s">
        <v>2645</v>
      </c>
      <c r="W306" s="19" t="s">
        <v>2646</v>
      </c>
      <c r="X306">
        <v>0</v>
      </c>
      <c r="Y306">
        <v>0</v>
      </c>
      <c r="AA306">
        <v>53</v>
      </c>
      <c r="AB306">
        <v>54</v>
      </c>
      <c r="AC306">
        <v>8</v>
      </c>
      <c r="AD306">
        <v>79</v>
      </c>
      <c r="AE306" s="19" t="s">
        <v>60</v>
      </c>
    </row>
    <row r="307" spans="1:31" x14ac:dyDescent="0.2">
      <c r="A307">
        <v>296</v>
      </c>
      <c r="B307" s="19" t="s">
        <v>892</v>
      </c>
      <c r="C307">
        <v>25</v>
      </c>
      <c r="D307" s="19" t="s">
        <v>401</v>
      </c>
      <c r="E307" s="19" t="s">
        <v>322</v>
      </c>
      <c r="F307">
        <v>53</v>
      </c>
      <c r="G307">
        <v>7</v>
      </c>
      <c r="H307">
        <v>14</v>
      </c>
      <c r="I307">
        <v>21</v>
      </c>
      <c r="J307">
        <v>8</v>
      </c>
      <c r="K307">
        <v>44</v>
      </c>
      <c r="L307">
        <v>4</v>
      </c>
      <c r="M307">
        <v>3</v>
      </c>
      <c r="N307">
        <v>0</v>
      </c>
      <c r="O307">
        <v>1</v>
      </c>
      <c r="P307">
        <v>12</v>
      </c>
      <c r="Q307">
        <v>2</v>
      </c>
      <c r="R307">
        <v>0</v>
      </c>
      <c r="S307">
        <v>99</v>
      </c>
      <c r="T307">
        <v>7.1</v>
      </c>
      <c r="U307">
        <v>163</v>
      </c>
      <c r="V307" s="19" t="s">
        <v>2647</v>
      </c>
      <c r="W307" s="19" t="s">
        <v>2648</v>
      </c>
      <c r="X307">
        <v>331</v>
      </c>
      <c r="Y307">
        <v>287</v>
      </c>
      <c r="Z307">
        <v>53.6</v>
      </c>
      <c r="AA307">
        <v>24</v>
      </c>
      <c r="AB307">
        <v>24</v>
      </c>
      <c r="AC307">
        <v>12</v>
      </c>
      <c r="AD307">
        <v>33</v>
      </c>
      <c r="AE307" s="19" t="s">
        <v>60</v>
      </c>
    </row>
    <row r="308" spans="1:31" x14ac:dyDescent="0.2">
      <c r="A308">
        <v>297</v>
      </c>
      <c r="B308" s="19" t="s">
        <v>1035</v>
      </c>
      <c r="C308">
        <v>24</v>
      </c>
      <c r="D308" s="19" t="s">
        <v>520</v>
      </c>
      <c r="E308" s="19" t="s">
        <v>334</v>
      </c>
      <c r="F308">
        <v>40</v>
      </c>
      <c r="G308">
        <v>6</v>
      </c>
      <c r="H308">
        <v>15</v>
      </c>
      <c r="I308">
        <v>21</v>
      </c>
      <c r="J308">
        <v>7</v>
      </c>
      <c r="K308">
        <v>8</v>
      </c>
      <c r="L308">
        <v>5</v>
      </c>
      <c r="M308">
        <v>1</v>
      </c>
      <c r="N308">
        <v>0</v>
      </c>
      <c r="O308">
        <v>2</v>
      </c>
      <c r="P308">
        <v>10</v>
      </c>
      <c r="Q308">
        <v>5</v>
      </c>
      <c r="R308">
        <v>0</v>
      </c>
      <c r="S308">
        <v>56</v>
      </c>
      <c r="T308">
        <v>10.7</v>
      </c>
      <c r="U308">
        <v>102</v>
      </c>
      <c r="V308" s="19" t="s">
        <v>2249</v>
      </c>
      <c r="W308" s="19" t="s">
        <v>1667</v>
      </c>
      <c r="X308">
        <v>13</v>
      </c>
      <c r="Y308">
        <v>13</v>
      </c>
      <c r="Z308">
        <v>50</v>
      </c>
      <c r="AA308">
        <v>7</v>
      </c>
      <c r="AB308">
        <v>22</v>
      </c>
      <c r="AC308">
        <v>11</v>
      </c>
      <c r="AD308">
        <v>26</v>
      </c>
      <c r="AE308" s="19" t="s">
        <v>60</v>
      </c>
    </row>
    <row r="309" spans="1:31" x14ac:dyDescent="0.2">
      <c r="A309">
        <v>298</v>
      </c>
      <c r="B309" s="19" t="s">
        <v>581</v>
      </c>
      <c r="C309">
        <v>20</v>
      </c>
      <c r="D309" s="19" t="s">
        <v>329</v>
      </c>
      <c r="E309" s="19" t="s">
        <v>347</v>
      </c>
      <c r="F309">
        <v>52</v>
      </c>
      <c r="G309">
        <v>2</v>
      </c>
      <c r="H309">
        <v>19</v>
      </c>
      <c r="I309">
        <v>21</v>
      </c>
      <c r="J309">
        <v>-27</v>
      </c>
      <c r="K309">
        <v>36</v>
      </c>
      <c r="L309">
        <v>1</v>
      </c>
      <c r="M309">
        <v>1</v>
      </c>
      <c r="N309">
        <v>0</v>
      </c>
      <c r="O309">
        <v>0</v>
      </c>
      <c r="P309">
        <v>9</v>
      </c>
      <c r="Q309">
        <v>10</v>
      </c>
      <c r="R309">
        <v>0</v>
      </c>
      <c r="S309">
        <v>66</v>
      </c>
      <c r="T309">
        <v>3</v>
      </c>
      <c r="U309">
        <v>167</v>
      </c>
      <c r="V309" s="19" t="s">
        <v>2082</v>
      </c>
      <c r="W309" s="19" t="s">
        <v>1653</v>
      </c>
      <c r="X309">
        <v>0</v>
      </c>
      <c r="Y309">
        <v>0</v>
      </c>
      <c r="AA309">
        <v>51</v>
      </c>
      <c r="AB309">
        <v>62</v>
      </c>
      <c r="AC309">
        <v>12</v>
      </c>
      <c r="AD309">
        <v>70</v>
      </c>
      <c r="AE309" s="19" t="s">
        <v>60</v>
      </c>
    </row>
    <row r="310" spans="1:31" x14ac:dyDescent="0.2">
      <c r="A310">
        <v>299</v>
      </c>
      <c r="B310" s="19" t="s">
        <v>592</v>
      </c>
      <c r="C310">
        <v>23</v>
      </c>
      <c r="D310" s="19" t="s">
        <v>370</v>
      </c>
      <c r="E310" s="19" t="s">
        <v>334</v>
      </c>
      <c r="F310">
        <v>55</v>
      </c>
      <c r="G310">
        <v>6</v>
      </c>
      <c r="H310">
        <v>15</v>
      </c>
      <c r="I310">
        <v>21</v>
      </c>
      <c r="J310">
        <v>-8</v>
      </c>
      <c r="K310">
        <v>20</v>
      </c>
      <c r="L310">
        <v>3</v>
      </c>
      <c r="M310">
        <v>3</v>
      </c>
      <c r="N310">
        <v>0</v>
      </c>
      <c r="O310">
        <v>1</v>
      </c>
      <c r="P310">
        <v>10</v>
      </c>
      <c r="Q310">
        <v>5</v>
      </c>
      <c r="R310">
        <v>0</v>
      </c>
      <c r="S310">
        <v>122</v>
      </c>
      <c r="T310">
        <v>4.9000000000000004</v>
      </c>
      <c r="U310">
        <v>244</v>
      </c>
      <c r="V310" s="19" t="s">
        <v>2649</v>
      </c>
      <c r="W310" s="19" t="s">
        <v>2650</v>
      </c>
      <c r="X310">
        <v>1</v>
      </c>
      <c r="Y310">
        <v>3</v>
      </c>
      <c r="Z310">
        <v>25</v>
      </c>
      <c r="AA310">
        <v>21</v>
      </c>
      <c r="AB310">
        <v>101</v>
      </c>
      <c r="AC310">
        <v>8</v>
      </c>
      <c r="AD310">
        <v>36</v>
      </c>
      <c r="AE310" s="19" t="s">
        <v>60</v>
      </c>
    </row>
    <row r="311" spans="1:31" x14ac:dyDescent="0.2">
      <c r="A311">
        <v>300</v>
      </c>
      <c r="B311" s="19" t="s">
        <v>711</v>
      </c>
      <c r="C311">
        <v>22</v>
      </c>
      <c r="D311" s="19" t="s">
        <v>327</v>
      </c>
      <c r="E311" s="19" t="s">
        <v>322</v>
      </c>
      <c r="F311">
        <v>59</v>
      </c>
      <c r="G311">
        <v>10</v>
      </c>
      <c r="H311">
        <v>11</v>
      </c>
      <c r="I311">
        <v>21</v>
      </c>
      <c r="J311">
        <v>-2</v>
      </c>
      <c r="K311">
        <v>20</v>
      </c>
      <c r="L311">
        <v>6</v>
      </c>
      <c r="M311">
        <v>3</v>
      </c>
      <c r="N311">
        <v>1</v>
      </c>
      <c r="O311">
        <v>1</v>
      </c>
      <c r="P311">
        <v>9</v>
      </c>
      <c r="Q311">
        <v>2</v>
      </c>
      <c r="R311">
        <v>0</v>
      </c>
      <c r="S311">
        <v>83</v>
      </c>
      <c r="T311">
        <v>12</v>
      </c>
      <c r="U311">
        <v>143</v>
      </c>
      <c r="V311" s="19" t="s">
        <v>2651</v>
      </c>
      <c r="W311" s="19" t="s">
        <v>589</v>
      </c>
      <c r="X311">
        <v>24</v>
      </c>
      <c r="Y311">
        <v>28</v>
      </c>
      <c r="Z311">
        <v>46.2</v>
      </c>
      <c r="AA311">
        <v>29</v>
      </c>
      <c r="AB311">
        <v>10</v>
      </c>
      <c r="AC311">
        <v>21</v>
      </c>
      <c r="AD311">
        <v>43</v>
      </c>
      <c r="AE311" s="19" t="s">
        <v>60</v>
      </c>
    </row>
    <row r="312" spans="1:31" x14ac:dyDescent="0.2">
      <c r="A312">
        <v>301</v>
      </c>
      <c r="B312" s="19" t="s">
        <v>751</v>
      </c>
      <c r="C312">
        <v>31</v>
      </c>
      <c r="D312" s="19" t="s">
        <v>377</v>
      </c>
      <c r="E312" s="19" t="s">
        <v>347</v>
      </c>
      <c r="F312">
        <v>55</v>
      </c>
      <c r="G312">
        <v>4</v>
      </c>
      <c r="H312">
        <v>17</v>
      </c>
      <c r="I312">
        <v>21</v>
      </c>
      <c r="J312">
        <v>7</v>
      </c>
      <c r="K312">
        <v>30</v>
      </c>
      <c r="L312">
        <v>3</v>
      </c>
      <c r="M312">
        <v>1</v>
      </c>
      <c r="N312">
        <v>0</v>
      </c>
      <c r="O312">
        <v>2</v>
      </c>
      <c r="P312">
        <v>14</v>
      </c>
      <c r="Q312">
        <v>3</v>
      </c>
      <c r="R312">
        <v>0</v>
      </c>
      <c r="S312">
        <v>71</v>
      </c>
      <c r="T312">
        <v>5.6</v>
      </c>
      <c r="U312">
        <v>185</v>
      </c>
      <c r="V312" s="19" t="s">
        <v>2250</v>
      </c>
      <c r="W312" s="19" t="s">
        <v>1912</v>
      </c>
      <c r="X312">
        <v>0</v>
      </c>
      <c r="Y312">
        <v>0</v>
      </c>
      <c r="AA312">
        <v>66</v>
      </c>
      <c r="AB312">
        <v>35</v>
      </c>
      <c r="AC312">
        <v>19</v>
      </c>
      <c r="AD312">
        <v>67</v>
      </c>
      <c r="AE312" s="19" t="s">
        <v>60</v>
      </c>
    </row>
    <row r="313" spans="1:31" x14ac:dyDescent="0.2">
      <c r="A313">
        <v>302</v>
      </c>
      <c r="B313" s="19" t="s">
        <v>881</v>
      </c>
      <c r="C313">
        <v>24</v>
      </c>
      <c r="D313" s="19" t="s">
        <v>430</v>
      </c>
      <c r="E313" s="19" t="s">
        <v>322</v>
      </c>
      <c r="F313">
        <v>54</v>
      </c>
      <c r="G313">
        <v>9</v>
      </c>
      <c r="H313">
        <v>12</v>
      </c>
      <c r="I313">
        <v>21</v>
      </c>
      <c r="J313">
        <v>-6</v>
      </c>
      <c r="K313">
        <v>14</v>
      </c>
      <c r="L313">
        <v>7</v>
      </c>
      <c r="M313">
        <v>2</v>
      </c>
      <c r="N313">
        <v>0</v>
      </c>
      <c r="O313">
        <v>1</v>
      </c>
      <c r="P313">
        <v>7</v>
      </c>
      <c r="Q313">
        <v>5</v>
      </c>
      <c r="R313">
        <v>0</v>
      </c>
      <c r="S313">
        <v>81</v>
      </c>
      <c r="T313">
        <v>11.1</v>
      </c>
      <c r="U313">
        <v>144</v>
      </c>
      <c r="V313" s="19" t="s">
        <v>2251</v>
      </c>
      <c r="W313" s="19" t="s">
        <v>1867</v>
      </c>
      <c r="X313">
        <v>56</v>
      </c>
      <c r="Y313">
        <v>79</v>
      </c>
      <c r="Z313">
        <v>41.5</v>
      </c>
      <c r="AA313">
        <v>14</v>
      </c>
      <c r="AB313">
        <v>33</v>
      </c>
      <c r="AC313">
        <v>9</v>
      </c>
      <c r="AD313">
        <v>33</v>
      </c>
      <c r="AE313" s="19" t="s">
        <v>60</v>
      </c>
    </row>
    <row r="314" spans="1:31" x14ac:dyDescent="0.2">
      <c r="A314">
        <v>303</v>
      </c>
      <c r="B314" s="19" t="s">
        <v>759</v>
      </c>
      <c r="C314">
        <v>31</v>
      </c>
      <c r="D314" s="19" t="s">
        <v>361</v>
      </c>
      <c r="E314" s="19" t="s">
        <v>334</v>
      </c>
      <c r="F314">
        <v>51</v>
      </c>
      <c r="G314">
        <v>12</v>
      </c>
      <c r="H314">
        <v>8</v>
      </c>
      <c r="I314">
        <v>20</v>
      </c>
      <c r="J314">
        <v>-6</v>
      </c>
      <c r="K314">
        <v>54</v>
      </c>
      <c r="L314">
        <v>10</v>
      </c>
      <c r="M314">
        <v>0</v>
      </c>
      <c r="N314">
        <v>2</v>
      </c>
      <c r="O314">
        <v>1</v>
      </c>
      <c r="P314">
        <v>6</v>
      </c>
      <c r="Q314">
        <v>0</v>
      </c>
      <c r="R314">
        <v>2</v>
      </c>
      <c r="S314">
        <v>63</v>
      </c>
      <c r="T314">
        <v>19</v>
      </c>
      <c r="U314">
        <v>122</v>
      </c>
      <c r="V314" s="19" t="s">
        <v>2023</v>
      </c>
      <c r="W314" s="19" t="s">
        <v>1521</v>
      </c>
      <c r="X314">
        <v>21</v>
      </c>
      <c r="Y314">
        <v>9</v>
      </c>
      <c r="Z314">
        <v>70</v>
      </c>
      <c r="AA314">
        <v>30</v>
      </c>
      <c r="AB314">
        <v>95</v>
      </c>
      <c r="AC314">
        <v>6</v>
      </c>
      <c r="AD314">
        <v>32</v>
      </c>
      <c r="AE314" s="19" t="s">
        <v>60</v>
      </c>
    </row>
    <row r="315" spans="1:31" x14ac:dyDescent="0.2">
      <c r="A315">
        <v>304</v>
      </c>
      <c r="B315" s="19" t="s">
        <v>661</v>
      </c>
      <c r="C315">
        <v>32</v>
      </c>
      <c r="D315" s="19" t="s">
        <v>415</v>
      </c>
      <c r="E315" s="19" t="s">
        <v>334</v>
      </c>
      <c r="F315">
        <v>52</v>
      </c>
      <c r="G315">
        <v>10</v>
      </c>
      <c r="H315">
        <v>10</v>
      </c>
      <c r="I315">
        <v>20</v>
      </c>
      <c r="J315">
        <v>1</v>
      </c>
      <c r="K315">
        <v>24</v>
      </c>
      <c r="L315">
        <v>5</v>
      </c>
      <c r="M315">
        <v>1</v>
      </c>
      <c r="N315">
        <v>4</v>
      </c>
      <c r="O315">
        <v>0</v>
      </c>
      <c r="P315">
        <v>9</v>
      </c>
      <c r="Q315">
        <v>0</v>
      </c>
      <c r="R315">
        <v>1</v>
      </c>
      <c r="S315">
        <v>65</v>
      </c>
      <c r="T315">
        <v>15.4</v>
      </c>
      <c r="U315">
        <v>143</v>
      </c>
      <c r="V315" s="19" t="s">
        <v>2652</v>
      </c>
      <c r="W315" s="19" t="s">
        <v>1885</v>
      </c>
      <c r="X315">
        <v>27</v>
      </c>
      <c r="Y315">
        <v>45</v>
      </c>
      <c r="Z315">
        <v>37.5</v>
      </c>
      <c r="AA315">
        <v>28</v>
      </c>
      <c r="AB315">
        <v>55</v>
      </c>
      <c r="AC315">
        <v>25</v>
      </c>
      <c r="AD315">
        <v>38</v>
      </c>
      <c r="AE315" s="19" t="s">
        <v>60</v>
      </c>
    </row>
    <row r="316" spans="1:31" x14ac:dyDescent="0.2">
      <c r="A316">
        <v>305</v>
      </c>
      <c r="B316" s="19" t="s">
        <v>662</v>
      </c>
      <c r="C316">
        <v>28</v>
      </c>
      <c r="D316" s="19" t="s">
        <v>364</v>
      </c>
      <c r="E316" s="19" t="s">
        <v>338</v>
      </c>
      <c r="F316">
        <v>60</v>
      </c>
      <c r="G316">
        <v>12</v>
      </c>
      <c r="H316">
        <v>8</v>
      </c>
      <c r="I316">
        <v>20</v>
      </c>
      <c r="J316">
        <v>4</v>
      </c>
      <c r="K316">
        <v>20</v>
      </c>
      <c r="L316">
        <v>12</v>
      </c>
      <c r="M316">
        <v>0</v>
      </c>
      <c r="N316">
        <v>0</v>
      </c>
      <c r="O316">
        <v>4</v>
      </c>
      <c r="P316">
        <v>7</v>
      </c>
      <c r="Q316">
        <v>0</v>
      </c>
      <c r="R316">
        <v>1</v>
      </c>
      <c r="S316">
        <v>129</v>
      </c>
      <c r="T316">
        <v>9.3000000000000007</v>
      </c>
      <c r="U316">
        <v>226</v>
      </c>
      <c r="V316" s="19" t="s">
        <v>2653</v>
      </c>
      <c r="W316" s="19" t="s">
        <v>1007</v>
      </c>
      <c r="X316">
        <v>19</v>
      </c>
      <c r="Y316">
        <v>20</v>
      </c>
      <c r="Z316">
        <v>48.7</v>
      </c>
      <c r="AA316">
        <v>33</v>
      </c>
      <c r="AB316">
        <v>77</v>
      </c>
      <c r="AC316">
        <v>12</v>
      </c>
      <c r="AD316">
        <v>30</v>
      </c>
      <c r="AE316" s="19" t="s">
        <v>60</v>
      </c>
    </row>
    <row r="317" spans="1:31" x14ac:dyDescent="0.2">
      <c r="A317">
        <v>306</v>
      </c>
      <c r="B317" s="19" t="s">
        <v>549</v>
      </c>
      <c r="C317">
        <v>30</v>
      </c>
      <c r="D317" s="19" t="s">
        <v>380</v>
      </c>
      <c r="E317" s="19" t="s">
        <v>338</v>
      </c>
      <c r="F317">
        <v>51</v>
      </c>
      <c r="G317">
        <v>3</v>
      </c>
      <c r="H317">
        <v>17</v>
      </c>
      <c r="I317">
        <v>20</v>
      </c>
      <c r="J317">
        <v>-2</v>
      </c>
      <c r="K317">
        <v>19</v>
      </c>
      <c r="L317">
        <v>3</v>
      </c>
      <c r="M317">
        <v>0</v>
      </c>
      <c r="N317">
        <v>0</v>
      </c>
      <c r="O317">
        <v>0</v>
      </c>
      <c r="P317">
        <v>13</v>
      </c>
      <c r="Q317">
        <v>4</v>
      </c>
      <c r="R317">
        <v>0</v>
      </c>
      <c r="S317">
        <v>68</v>
      </c>
      <c r="T317">
        <v>4.4000000000000004</v>
      </c>
      <c r="U317">
        <v>133</v>
      </c>
      <c r="V317" s="19" t="s">
        <v>2654</v>
      </c>
      <c r="W317" s="19" t="s">
        <v>1705</v>
      </c>
      <c r="X317">
        <v>97</v>
      </c>
      <c r="Y317">
        <v>99</v>
      </c>
      <c r="Z317">
        <v>49.5</v>
      </c>
      <c r="AA317">
        <v>20</v>
      </c>
      <c r="AB317">
        <v>12</v>
      </c>
      <c r="AC317">
        <v>11</v>
      </c>
      <c r="AD317">
        <v>31</v>
      </c>
      <c r="AE317" s="19" t="s">
        <v>60</v>
      </c>
    </row>
    <row r="318" spans="1:31" x14ac:dyDescent="0.2">
      <c r="A318">
        <v>307</v>
      </c>
      <c r="B318" s="19" t="s">
        <v>691</v>
      </c>
      <c r="C318">
        <v>26</v>
      </c>
      <c r="D318" s="19" t="s">
        <v>364</v>
      </c>
      <c r="E318" s="19" t="s">
        <v>347</v>
      </c>
      <c r="F318">
        <v>59</v>
      </c>
      <c r="G318">
        <v>4</v>
      </c>
      <c r="H318">
        <v>16</v>
      </c>
      <c r="I318">
        <v>20</v>
      </c>
      <c r="J318">
        <v>11</v>
      </c>
      <c r="K318">
        <v>23</v>
      </c>
      <c r="L318">
        <v>4</v>
      </c>
      <c r="M318">
        <v>0</v>
      </c>
      <c r="N318">
        <v>0</v>
      </c>
      <c r="O318">
        <v>0</v>
      </c>
      <c r="P318">
        <v>16</v>
      </c>
      <c r="Q318">
        <v>0</v>
      </c>
      <c r="R318">
        <v>0</v>
      </c>
      <c r="S318">
        <v>59</v>
      </c>
      <c r="T318">
        <v>6.8</v>
      </c>
      <c r="U318">
        <v>137</v>
      </c>
      <c r="V318" s="19" t="s">
        <v>2655</v>
      </c>
      <c r="W318" s="19" t="s">
        <v>1713</v>
      </c>
      <c r="X318">
        <v>0</v>
      </c>
      <c r="Y318">
        <v>0</v>
      </c>
      <c r="AA318">
        <v>121</v>
      </c>
      <c r="AB318">
        <v>77</v>
      </c>
      <c r="AC318">
        <v>10</v>
      </c>
      <c r="AD318">
        <v>38</v>
      </c>
      <c r="AE318" s="19" t="s">
        <v>60</v>
      </c>
    </row>
    <row r="319" spans="1:31" x14ac:dyDescent="0.2">
      <c r="A319">
        <v>308</v>
      </c>
      <c r="B319" s="19" t="s">
        <v>695</v>
      </c>
      <c r="C319">
        <v>29</v>
      </c>
      <c r="D319" s="19" t="s">
        <v>324</v>
      </c>
      <c r="E319" s="19" t="s">
        <v>322</v>
      </c>
      <c r="F319">
        <v>45</v>
      </c>
      <c r="G319">
        <v>13</v>
      </c>
      <c r="H319">
        <v>7</v>
      </c>
      <c r="I319">
        <v>20</v>
      </c>
      <c r="J319">
        <v>-9</v>
      </c>
      <c r="K319">
        <v>14</v>
      </c>
      <c r="L319">
        <v>10</v>
      </c>
      <c r="M319">
        <v>3</v>
      </c>
      <c r="N319">
        <v>0</v>
      </c>
      <c r="O319">
        <v>2</v>
      </c>
      <c r="P319">
        <v>4</v>
      </c>
      <c r="Q319">
        <v>3</v>
      </c>
      <c r="R319">
        <v>0</v>
      </c>
      <c r="S319">
        <v>67</v>
      </c>
      <c r="T319">
        <v>19.399999999999999</v>
      </c>
      <c r="U319">
        <v>127</v>
      </c>
      <c r="V319" s="19" t="s">
        <v>2252</v>
      </c>
      <c r="W319" s="19" t="s">
        <v>1591</v>
      </c>
      <c r="X319">
        <v>76</v>
      </c>
      <c r="Y319">
        <v>88</v>
      </c>
      <c r="Z319">
        <v>46.3</v>
      </c>
      <c r="AA319">
        <v>17</v>
      </c>
      <c r="AB319">
        <v>41</v>
      </c>
      <c r="AC319">
        <v>9</v>
      </c>
      <c r="AD319">
        <v>15</v>
      </c>
      <c r="AE319" s="19" t="s">
        <v>60</v>
      </c>
    </row>
    <row r="320" spans="1:31" x14ac:dyDescent="0.2">
      <c r="A320">
        <v>309</v>
      </c>
      <c r="B320" s="19" t="s">
        <v>803</v>
      </c>
      <c r="C320">
        <v>25</v>
      </c>
      <c r="D320" s="19" t="s">
        <v>350</v>
      </c>
      <c r="E320" s="19" t="s">
        <v>322</v>
      </c>
      <c r="F320">
        <v>52</v>
      </c>
      <c r="G320">
        <v>7</v>
      </c>
      <c r="H320">
        <v>13</v>
      </c>
      <c r="I320">
        <v>20</v>
      </c>
      <c r="J320">
        <v>22</v>
      </c>
      <c r="K320">
        <v>33</v>
      </c>
      <c r="L320">
        <v>7</v>
      </c>
      <c r="M320">
        <v>0</v>
      </c>
      <c r="N320">
        <v>0</v>
      </c>
      <c r="O320">
        <v>1</v>
      </c>
      <c r="P320">
        <v>12</v>
      </c>
      <c r="Q320">
        <v>1</v>
      </c>
      <c r="R320">
        <v>0</v>
      </c>
      <c r="S320">
        <v>46</v>
      </c>
      <c r="T320">
        <v>15.2</v>
      </c>
      <c r="U320">
        <v>89</v>
      </c>
      <c r="V320" s="19" t="s">
        <v>2656</v>
      </c>
      <c r="W320" s="19" t="s">
        <v>2657</v>
      </c>
      <c r="X320">
        <v>6</v>
      </c>
      <c r="Y320">
        <v>14</v>
      </c>
      <c r="Z320">
        <v>30</v>
      </c>
      <c r="AA320">
        <v>19</v>
      </c>
      <c r="AB320">
        <v>54</v>
      </c>
      <c r="AC320">
        <v>11</v>
      </c>
      <c r="AD320">
        <v>40</v>
      </c>
      <c r="AE320" s="19" t="s">
        <v>60</v>
      </c>
    </row>
    <row r="321" spans="1:31" x14ac:dyDescent="0.2">
      <c r="A321">
        <v>310</v>
      </c>
      <c r="B321" s="19" t="s">
        <v>736</v>
      </c>
      <c r="C321">
        <v>22</v>
      </c>
      <c r="D321" s="19" t="s">
        <v>329</v>
      </c>
      <c r="E321" s="19" t="s">
        <v>322</v>
      </c>
      <c r="F321">
        <v>56</v>
      </c>
      <c r="G321">
        <v>7</v>
      </c>
      <c r="H321">
        <v>13</v>
      </c>
      <c r="I321">
        <v>20</v>
      </c>
      <c r="J321">
        <v>-7</v>
      </c>
      <c r="K321">
        <v>10</v>
      </c>
      <c r="L321">
        <v>6</v>
      </c>
      <c r="M321">
        <v>1</v>
      </c>
      <c r="N321">
        <v>0</v>
      </c>
      <c r="O321">
        <v>0</v>
      </c>
      <c r="P321">
        <v>10</v>
      </c>
      <c r="Q321">
        <v>3</v>
      </c>
      <c r="R321">
        <v>0</v>
      </c>
      <c r="S321">
        <v>73</v>
      </c>
      <c r="T321">
        <v>9.6</v>
      </c>
      <c r="U321">
        <v>135</v>
      </c>
      <c r="V321" s="19" t="s">
        <v>2127</v>
      </c>
      <c r="W321" s="19" t="s">
        <v>1658</v>
      </c>
      <c r="X321">
        <v>285</v>
      </c>
      <c r="Y321">
        <v>341</v>
      </c>
      <c r="Z321">
        <v>45.5</v>
      </c>
      <c r="AA321">
        <v>26</v>
      </c>
      <c r="AB321">
        <v>32</v>
      </c>
      <c r="AC321">
        <v>17</v>
      </c>
      <c r="AD321">
        <v>39</v>
      </c>
      <c r="AE321" s="19" t="s">
        <v>60</v>
      </c>
    </row>
    <row r="322" spans="1:31" x14ac:dyDescent="0.2">
      <c r="A322">
        <v>311</v>
      </c>
      <c r="B322" s="19" t="s">
        <v>891</v>
      </c>
      <c r="C322">
        <v>29</v>
      </c>
      <c r="D322" s="19" t="s">
        <v>342</v>
      </c>
      <c r="E322" s="19" t="s">
        <v>347</v>
      </c>
      <c r="F322">
        <v>47</v>
      </c>
      <c r="G322">
        <v>2</v>
      </c>
      <c r="H322">
        <v>18</v>
      </c>
      <c r="I322">
        <v>20</v>
      </c>
      <c r="J322">
        <v>-1</v>
      </c>
      <c r="K322">
        <v>6</v>
      </c>
      <c r="L322">
        <v>2</v>
      </c>
      <c r="M322">
        <v>0</v>
      </c>
      <c r="N322">
        <v>0</v>
      </c>
      <c r="O322">
        <v>0</v>
      </c>
      <c r="P322">
        <v>12</v>
      </c>
      <c r="Q322">
        <v>6</v>
      </c>
      <c r="R322">
        <v>0</v>
      </c>
      <c r="S322">
        <v>96</v>
      </c>
      <c r="T322">
        <v>2.1</v>
      </c>
      <c r="U322">
        <v>214</v>
      </c>
      <c r="V322" s="19" t="s">
        <v>2658</v>
      </c>
      <c r="W322" s="19" t="s">
        <v>2121</v>
      </c>
      <c r="X322">
        <v>0</v>
      </c>
      <c r="Y322">
        <v>0</v>
      </c>
      <c r="AA322">
        <v>77</v>
      </c>
      <c r="AB322">
        <v>29</v>
      </c>
      <c r="AC322">
        <v>30</v>
      </c>
      <c r="AD322">
        <v>67</v>
      </c>
      <c r="AE322" s="19" t="s">
        <v>60</v>
      </c>
    </row>
    <row r="323" spans="1:31" x14ac:dyDescent="0.2">
      <c r="A323">
        <v>312</v>
      </c>
      <c r="B323" s="19" t="s">
        <v>742</v>
      </c>
      <c r="C323">
        <v>32</v>
      </c>
      <c r="D323" s="19" t="s">
        <v>344</v>
      </c>
      <c r="E323" s="19" t="s">
        <v>322</v>
      </c>
      <c r="F323">
        <v>57</v>
      </c>
      <c r="G323">
        <v>9</v>
      </c>
      <c r="H323">
        <v>11</v>
      </c>
      <c r="I323">
        <v>20</v>
      </c>
      <c r="J323">
        <v>0</v>
      </c>
      <c r="K323">
        <v>12</v>
      </c>
      <c r="L323">
        <v>7</v>
      </c>
      <c r="M323">
        <v>2</v>
      </c>
      <c r="N323">
        <v>0</v>
      </c>
      <c r="O323">
        <v>1</v>
      </c>
      <c r="P323">
        <v>8</v>
      </c>
      <c r="Q323">
        <v>2</v>
      </c>
      <c r="R323">
        <v>1</v>
      </c>
      <c r="S323">
        <v>72</v>
      </c>
      <c r="T323">
        <v>12.5</v>
      </c>
      <c r="U323">
        <v>135</v>
      </c>
      <c r="V323" s="19" t="s">
        <v>2659</v>
      </c>
      <c r="W323" s="19" t="s">
        <v>689</v>
      </c>
      <c r="X323">
        <v>13</v>
      </c>
      <c r="Y323">
        <v>18</v>
      </c>
      <c r="Z323">
        <v>41.9</v>
      </c>
      <c r="AA323">
        <v>40</v>
      </c>
      <c r="AB323">
        <v>78</v>
      </c>
      <c r="AC323">
        <v>8</v>
      </c>
      <c r="AD323">
        <v>19</v>
      </c>
      <c r="AE323" s="19" t="s">
        <v>60</v>
      </c>
    </row>
    <row r="324" spans="1:31" x14ac:dyDescent="0.2">
      <c r="A324">
        <v>313</v>
      </c>
      <c r="B324" s="19" t="s">
        <v>631</v>
      </c>
      <c r="C324">
        <v>28</v>
      </c>
      <c r="D324" s="19" t="s">
        <v>353</v>
      </c>
      <c r="E324" s="19" t="s">
        <v>325</v>
      </c>
      <c r="F324">
        <v>53</v>
      </c>
      <c r="G324">
        <v>6</v>
      </c>
      <c r="H324">
        <v>14</v>
      </c>
      <c r="I324">
        <v>20</v>
      </c>
      <c r="J324">
        <v>3</v>
      </c>
      <c r="K324">
        <v>52</v>
      </c>
      <c r="L324">
        <v>6</v>
      </c>
      <c r="M324">
        <v>0</v>
      </c>
      <c r="N324">
        <v>0</v>
      </c>
      <c r="O324">
        <v>1</v>
      </c>
      <c r="P324">
        <v>13</v>
      </c>
      <c r="Q324">
        <v>1</v>
      </c>
      <c r="R324">
        <v>0</v>
      </c>
      <c r="S324">
        <v>62</v>
      </c>
      <c r="T324">
        <v>9.6999999999999993</v>
      </c>
      <c r="U324">
        <v>140</v>
      </c>
      <c r="V324" s="19" t="s">
        <v>2253</v>
      </c>
      <c r="W324" s="19" t="s">
        <v>1854</v>
      </c>
      <c r="X324">
        <v>8</v>
      </c>
      <c r="Y324">
        <v>10</v>
      </c>
      <c r="Z324">
        <v>44.4</v>
      </c>
      <c r="AA324">
        <v>42</v>
      </c>
      <c r="AB324">
        <v>164</v>
      </c>
      <c r="AC324">
        <v>3</v>
      </c>
      <c r="AD324">
        <v>36</v>
      </c>
      <c r="AE324" s="19" t="s">
        <v>60</v>
      </c>
    </row>
    <row r="325" spans="1:31" x14ac:dyDescent="0.2">
      <c r="A325">
        <v>314</v>
      </c>
      <c r="B325" s="19" t="s">
        <v>745</v>
      </c>
      <c r="C325">
        <v>33</v>
      </c>
      <c r="D325" s="19" t="s">
        <v>324</v>
      </c>
      <c r="E325" s="19" t="s">
        <v>347</v>
      </c>
      <c r="F325">
        <v>41</v>
      </c>
      <c r="G325">
        <v>10</v>
      </c>
      <c r="H325">
        <v>10</v>
      </c>
      <c r="I325">
        <v>20</v>
      </c>
      <c r="J325">
        <v>-9</v>
      </c>
      <c r="K325">
        <v>18</v>
      </c>
      <c r="L325">
        <v>5</v>
      </c>
      <c r="M325">
        <v>5</v>
      </c>
      <c r="N325">
        <v>0</v>
      </c>
      <c r="O325">
        <v>2</v>
      </c>
      <c r="P325">
        <v>6</v>
      </c>
      <c r="Q325">
        <v>4</v>
      </c>
      <c r="R325">
        <v>0</v>
      </c>
      <c r="S325">
        <v>67</v>
      </c>
      <c r="T325">
        <v>14.9</v>
      </c>
      <c r="U325">
        <v>170</v>
      </c>
      <c r="V325" s="19" t="s">
        <v>2254</v>
      </c>
      <c r="W325" s="19" t="s">
        <v>1868</v>
      </c>
      <c r="X325">
        <v>0</v>
      </c>
      <c r="Y325">
        <v>0</v>
      </c>
      <c r="AA325">
        <v>56</v>
      </c>
      <c r="AB325">
        <v>32</v>
      </c>
      <c r="AC325">
        <v>9</v>
      </c>
      <c r="AD325">
        <v>59</v>
      </c>
      <c r="AE325" s="19" t="s">
        <v>60</v>
      </c>
    </row>
    <row r="326" spans="1:31" x14ac:dyDescent="0.2">
      <c r="A326">
        <v>315</v>
      </c>
      <c r="B326" s="19" t="s">
        <v>777</v>
      </c>
      <c r="C326">
        <v>26</v>
      </c>
      <c r="D326" s="19" t="s">
        <v>401</v>
      </c>
      <c r="E326" s="19" t="s">
        <v>322</v>
      </c>
      <c r="F326">
        <v>58</v>
      </c>
      <c r="G326">
        <v>6</v>
      </c>
      <c r="H326">
        <v>14</v>
      </c>
      <c r="I326">
        <v>20</v>
      </c>
      <c r="J326">
        <v>8</v>
      </c>
      <c r="K326">
        <v>58</v>
      </c>
      <c r="L326">
        <v>6</v>
      </c>
      <c r="M326">
        <v>0</v>
      </c>
      <c r="N326">
        <v>0</v>
      </c>
      <c r="O326">
        <v>1</v>
      </c>
      <c r="P326">
        <v>14</v>
      </c>
      <c r="Q326">
        <v>0</v>
      </c>
      <c r="R326">
        <v>0</v>
      </c>
      <c r="S326">
        <v>81</v>
      </c>
      <c r="T326">
        <v>7.4</v>
      </c>
      <c r="U326">
        <v>165</v>
      </c>
      <c r="V326" s="19" t="s">
        <v>2660</v>
      </c>
      <c r="W326" s="19" t="s">
        <v>1631</v>
      </c>
      <c r="X326">
        <v>299</v>
      </c>
      <c r="Y326">
        <v>285</v>
      </c>
      <c r="Z326">
        <v>51.2</v>
      </c>
      <c r="AA326">
        <v>37</v>
      </c>
      <c r="AB326">
        <v>198</v>
      </c>
      <c r="AC326">
        <v>8</v>
      </c>
      <c r="AD326">
        <v>38</v>
      </c>
      <c r="AE326" s="19" t="s">
        <v>60</v>
      </c>
    </row>
    <row r="327" spans="1:31" x14ac:dyDescent="0.2">
      <c r="A327">
        <v>316</v>
      </c>
      <c r="B327" s="19" t="s">
        <v>559</v>
      </c>
      <c r="C327">
        <v>21</v>
      </c>
      <c r="D327" s="19" t="s">
        <v>395</v>
      </c>
      <c r="E327" s="19" t="s">
        <v>347</v>
      </c>
      <c r="F327">
        <v>44</v>
      </c>
      <c r="G327">
        <v>8</v>
      </c>
      <c r="H327">
        <v>12</v>
      </c>
      <c r="I327">
        <v>20</v>
      </c>
      <c r="J327">
        <v>-1</v>
      </c>
      <c r="K327">
        <v>18</v>
      </c>
      <c r="L327">
        <v>8</v>
      </c>
      <c r="M327">
        <v>0</v>
      </c>
      <c r="N327">
        <v>0</v>
      </c>
      <c r="O327">
        <v>3</v>
      </c>
      <c r="P327">
        <v>11</v>
      </c>
      <c r="Q327">
        <v>1</v>
      </c>
      <c r="R327">
        <v>0</v>
      </c>
      <c r="S327">
        <v>66</v>
      </c>
      <c r="T327">
        <v>12.1</v>
      </c>
      <c r="U327">
        <v>178</v>
      </c>
      <c r="V327" s="19" t="s">
        <v>2661</v>
      </c>
      <c r="W327" s="19" t="s">
        <v>1812</v>
      </c>
      <c r="X327">
        <v>0</v>
      </c>
      <c r="Y327">
        <v>0</v>
      </c>
      <c r="AA327">
        <v>66</v>
      </c>
      <c r="AB327">
        <v>13</v>
      </c>
      <c r="AC327">
        <v>18</v>
      </c>
      <c r="AD327">
        <v>48</v>
      </c>
      <c r="AE327" s="19" t="s">
        <v>60</v>
      </c>
    </row>
    <row r="328" spans="1:31" x14ac:dyDescent="0.2">
      <c r="A328">
        <v>317</v>
      </c>
      <c r="B328" s="19" t="s">
        <v>673</v>
      </c>
      <c r="C328">
        <v>29</v>
      </c>
      <c r="D328" s="19" t="s">
        <v>377</v>
      </c>
      <c r="E328" s="19" t="s">
        <v>347</v>
      </c>
      <c r="F328">
        <v>56</v>
      </c>
      <c r="G328">
        <v>6</v>
      </c>
      <c r="H328">
        <v>14</v>
      </c>
      <c r="I328">
        <v>20</v>
      </c>
      <c r="J328">
        <v>15</v>
      </c>
      <c r="K328">
        <v>26</v>
      </c>
      <c r="L328">
        <v>6</v>
      </c>
      <c r="M328">
        <v>0</v>
      </c>
      <c r="N328">
        <v>0</v>
      </c>
      <c r="O328">
        <v>0</v>
      </c>
      <c r="P328">
        <v>11</v>
      </c>
      <c r="Q328">
        <v>3</v>
      </c>
      <c r="R328">
        <v>0</v>
      </c>
      <c r="S328">
        <v>111</v>
      </c>
      <c r="T328">
        <v>5.4</v>
      </c>
      <c r="U328">
        <v>238</v>
      </c>
      <c r="V328" s="19" t="s">
        <v>2255</v>
      </c>
      <c r="W328" s="19" t="s">
        <v>2256</v>
      </c>
      <c r="X328">
        <v>0</v>
      </c>
      <c r="Y328">
        <v>0</v>
      </c>
      <c r="AA328">
        <v>94</v>
      </c>
      <c r="AB328">
        <v>23</v>
      </c>
      <c r="AC328">
        <v>18</v>
      </c>
      <c r="AD328">
        <v>89</v>
      </c>
      <c r="AE328" s="19" t="s">
        <v>60</v>
      </c>
    </row>
    <row r="329" spans="1:31" x14ac:dyDescent="0.2">
      <c r="A329">
        <v>318</v>
      </c>
      <c r="B329" s="19" t="s">
        <v>710</v>
      </c>
      <c r="C329">
        <v>28</v>
      </c>
      <c r="D329" s="19" t="s">
        <v>357</v>
      </c>
      <c r="E329" s="19" t="s">
        <v>322</v>
      </c>
      <c r="F329">
        <v>55</v>
      </c>
      <c r="G329">
        <v>5</v>
      </c>
      <c r="H329">
        <v>15</v>
      </c>
      <c r="I329">
        <v>20</v>
      </c>
      <c r="J329">
        <v>0</v>
      </c>
      <c r="K329">
        <v>6</v>
      </c>
      <c r="L329">
        <v>4</v>
      </c>
      <c r="M329">
        <v>1</v>
      </c>
      <c r="N329">
        <v>0</v>
      </c>
      <c r="O329">
        <v>0</v>
      </c>
      <c r="P329">
        <v>14</v>
      </c>
      <c r="Q329">
        <v>0</v>
      </c>
      <c r="R329">
        <v>1</v>
      </c>
      <c r="S329">
        <v>52</v>
      </c>
      <c r="T329">
        <v>9.6</v>
      </c>
      <c r="U329">
        <v>116</v>
      </c>
      <c r="V329" s="19" t="s">
        <v>2662</v>
      </c>
      <c r="W329" s="19" t="s">
        <v>1846</v>
      </c>
      <c r="X329">
        <v>317</v>
      </c>
      <c r="Y329">
        <v>277</v>
      </c>
      <c r="Z329">
        <v>53.4</v>
      </c>
      <c r="AA329">
        <v>26</v>
      </c>
      <c r="AB329">
        <v>58</v>
      </c>
      <c r="AC329">
        <v>20</v>
      </c>
      <c r="AD329">
        <v>45</v>
      </c>
      <c r="AE329" s="19" t="s">
        <v>60</v>
      </c>
    </row>
    <row r="330" spans="1:31" x14ac:dyDescent="0.2">
      <c r="A330">
        <v>319</v>
      </c>
      <c r="B330" s="19" t="s">
        <v>788</v>
      </c>
      <c r="C330">
        <v>27</v>
      </c>
      <c r="D330" s="19" t="s">
        <v>430</v>
      </c>
      <c r="E330" s="19" t="s">
        <v>322</v>
      </c>
      <c r="F330">
        <v>52</v>
      </c>
      <c r="G330">
        <v>11</v>
      </c>
      <c r="H330">
        <v>9</v>
      </c>
      <c r="I330">
        <v>20</v>
      </c>
      <c r="J330">
        <v>-18</v>
      </c>
      <c r="K330">
        <v>8</v>
      </c>
      <c r="L330">
        <v>8</v>
      </c>
      <c r="M330">
        <v>3</v>
      </c>
      <c r="N330">
        <v>0</v>
      </c>
      <c r="O330">
        <v>1</v>
      </c>
      <c r="P330">
        <v>7</v>
      </c>
      <c r="Q330">
        <v>2</v>
      </c>
      <c r="R330">
        <v>0</v>
      </c>
      <c r="S330">
        <v>103</v>
      </c>
      <c r="T330">
        <v>10.7</v>
      </c>
      <c r="U330">
        <v>218</v>
      </c>
      <c r="V330" s="19" t="s">
        <v>2257</v>
      </c>
      <c r="W330" s="19" t="s">
        <v>2024</v>
      </c>
      <c r="X330">
        <v>19</v>
      </c>
      <c r="Y330">
        <v>48</v>
      </c>
      <c r="Z330">
        <v>28.4</v>
      </c>
      <c r="AA330">
        <v>21</v>
      </c>
      <c r="AB330">
        <v>15</v>
      </c>
      <c r="AC330">
        <v>12</v>
      </c>
      <c r="AD330">
        <v>37</v>
      </c>
      <c r="AE330" s="19" t="s">
        <v>60</v>
      </c>
    </row>
    <row r="331" spans="1:31" x14ac:dyDescent="0.2">
      <c r="A331">
        <v>320</v>
      </c>
      <c r="B331" s="19" t="s">
        <v>931</v>
      </c>
      <c r="C331">
        <v>32</v>
      </c>
      <c r="D331" s="19" t="s">
        <v>430</v>
      </c>
      <c r="E331" s="19" t="s">
        <v>347</v>
      </c>
      <c r="F331">
        <v>56</v>
      </c>
      <c r="G331">
        <v>3</v>
      </c>
      <c r="H331">
        <v>17</v>
      </c>
      <c r="I331">
        <v>20</v>
      </c>
      <c r="J331">
        <v>-32</v>
      </c>
      <c r="K331">
        <v>67</v>
      </c>
      <c r="L331">
        <v>3</v>
      </c>
      <c r="M331">
        <v>0</v>
      </c>
      <c r="N331">
        <v>0</v>
      </c>
      <c r="O331">
        <v>0</v>
      </c>
      <c r="P331">
        <v>11</v>
      </c>
      <c r="Q331">
        <v>5</v>
      </c>
      <c r="R331">
        <v>1</v>
      </c>
      <c r="S331">
        <v>123</v>
      </c>
      <c r="T331">
        <v>2.4</v>
      </c>
      <c r="U331">
        <v>299</v>
      </c>
      <c r="V331" s="19" t="s">
        <v>2258</v>
      </c>
      <c r="W331" s="19" t="s">
        <v>2086</v>
      </c>
      <c r="X331">
        <v>0</v>
      </c>
      <c r="Y331">
        <v>0</v>
      </c>
      <c r="AA331">
        <v>129</v>
      </c>
      <c r="AB331">
        <v>127</v>
      </c>
      <c r="AC331">
        <v>19</v>
      </c>
      <c r="AD331">
        <v>90</v>
      </c>
      <c r="AE331" s="19" t="s">
        <v>60</v>
      </c>
    </row>
    <row r="332" spans="1:31" x14ac:dyDescent="0.2">
      <c r="A332">
        <v>321</v>
      </c>
      <c r="B332" s="19" t="s">
        <v>598</v>
      </c>
      <c r="C332">
        <v>20</v>
      </c>
      <c r="D332" s="19" t="s">
        <v>933</v>
      </c>
      <c r="E332" s="19" t="s">
        <v>347</v>
      </c>
      <c r="F332">
        <v>52</v>
      </c>
      <c r="G332">
        <v>5</v>
      </c>
      <c r="H332">
        <v>15</v>
      </c>
      <c r="I332">
        <v>20</v>
      </c>
      <c r="J332">
        <v>-17</v>
      </c>
      <c r="K332">
        <v>14</v>
      </c>
      <c r="L332">
        <v>2</v>
      </c>
      <c r="M332">
        <v>3</v>
      </c>
      <c r="N332">
        <v>0</v>
      </c>
      <c r="O332">
        <v>1</v>
      </c>
      <c r="P332">
        <v>6</v>
      </c>
      <c r="Q332">
        <v>9</v>
      </c>
      <c r="R332">
        <v>0</v>
      </c>
      <c r="S332">
        <v>50</v>
      </c>
      <c r="T332">
        <v>10</v>
      </c>
      <c r="U332">
        <v>149</v>
      </c>
      <c r="V332" s="19" t="s">
        <v>2663</v>
      </c>
      <c r="W332" s="19" t="s">
        <v>1831</v>
      </c>
      <c r="X332">
        <v>0</v>
      </c>
      <c r="Y332">
        <v>0</v>
      </c>
      <c r="AA332">
        <v>31</v>
      </c>
      <c r="AB332">
        <v>15</v>
      </c>
      <c r="AC332">
        <v>10</v>
      </c>
      <c r="AD332">
        <v>54</v>
      </c>
      <c r="AE332" s="19" t="s">
        <v>60</v>
      </c>
    </row>
    <row r="333" spans="1:31" x14ac:dyDescent="0.2">
      <c r="A333">
        <v>321</v>
      </c>
      <c r="B333" s="19" t="s">
        <v>598</v>
      </c>
      <c r="C333">
        <v>20</v>
      </c>
      <c r="D333" s="19" t="s">
        <v>355</v>
      </c>
      <c r="E333" s="19" t="s">
        <v>347</v>
      </c>
      <c r="F333">
        <v>31</v>
      </c>
      <c r="G333">
        <v>3</v>
      </c>
      <c r="H333">
        <v>11</v>
      </c>
      <c r="I333">
        <v>14</v>
      </c>
      <c r="J333">
        <v>-9</v>
      </c>
      <c r="K333">
        <v>8</v>
      </c>
      <c r="L333">
        <v>1</v>
      </c>
      <c r="M333">
        <v>2</v>
      </c>
      <c r="N333">
        <v>0</v>
      </c>
      <c r="O333">
        <v>0</v>
      </c>
      <c r="P333">
        <v>5</v>
      </c>
      <c r="Q333">
        <v>6</v>
      </c>
      <c r="R333">
        <v>0</v>
      </c>
      <c r="S333">
        <v>31</v>
      </c>
      <c r="T333">
        <v>9.6999999999999993</v>
      </c>
      <c r="U333">
        <v>84</v>
      </c>
      <c r="V333" s="19" t="s">
        <v>1500</v>
      </c>
      <c r="W333" s="19" t="s">
        <v>1495</v>
      </c>
      <c r="X333">
        <v>0</v>
      </c>
      <c r="Y333">
        <v>0</v>
      </c>
      <c r="AA333">
        <v>15</v>
      </c>
      <c r="AB333">
        <v>9</v>
      </c>
      <c r="AC333">
        <v>5</v>
      </c>
      <c r="AD333">
        <v>32</v>
      </c>
      <c r="AE333" s="19" t="s">
        <v>60</v>
      </c>
    </row>
    <row r="334" spans="1:31" x14ac:dyDescent="0.2">
      <c r="A334">
        <v>321</v>
      </c>
      <c r="B334" s="19" t="s">
        <v>598</v>
      </c>
      <c r="C334">
        <v>20</v>
      </c>
      <c r="D334" s="19" t="s">
        <v>440</v>
      </c>
      <c r="E334" s="19" t="s">
        <v>347</v>
      </c>
      <c r="F334">
        <v>21</v>
      </c>
      <c r="G334">
        <v>2</v>
      </c>
      <c r="H334">
        <v>4</v>
      </c>
      <c r="I334">
        <v>6</v>
      </c>
      <c r="J334">
        <v>-8</v>
      </c>
      <c r="K334">
        <v>6</v>
      </c>
      <c r="L334">
        <v>1</v>
      </c>
      <c r="M334">
        <v>1</v>
      </c>
      <c r="N334">
        <v>0</v>
      </c>
      <c r="O334">
        <v>1</v>
      </c>
      <c r="P334">
        <v>1</v>
      </c>
      <c r="Q334">
        <v>3</v>
      </c>
      <c r="R334">
        <v>0</v>
      </c>
      <c r="S334">
        <v>19</v>
      </c>
      <c r="T334">
        <v>10.5</v>
      </c>
      <c r="U334">
        <v>65</v>
      </c>
      <c r="V334" s="19" t="s">
        <v>2664</v>
      </c>
      <c r="W334" s="19" t="s">
        <v>1907</v>
      </c>
      <c r="X334">
        <v>0</v>
      </c>
      <c r="Y334">
        <v>0</v>
      </c>
      <c r="AA334">
        <v>16</v>
      </c>
      <c r="AB334">
        <v>6</v>
      </c>
      <c r="AC334">
        <v>5</v>
      </c>
      <c r="AD334">
        <v>22</v>
      </c>
      <c r="AE334" s="19" t="s">
        <v>60</v>
      </c>
    </row>
    <row r="335" spans="1:31" x14ac:dyDescent="0.2">
      <c r="A335">
        <v>322</v>
      </c>
      <c r="B335" s="19" t="s">
        <v>681</v>
      </c>
      <c r="C335">
        <v>24</v>
      </c>
      <c r="D335" s="19" t="s">
        <v>502</v>
      </c>
      <c r="E335" s="19" t="s">
        <v>347</v>
      </c>
      <c r="F335">
        <v>56</v>
      </c>
      <c r="G335">
        <v>3</v>
      </c>
      <c r="H335">
        <v>16</v>
      </c>
      <c r="I335">
        <v>19</v>
      </c>
      <c r="J335">
        <v>-1</v>
      </c>
      <c r="K335">
        <v>10</v>
      </c>
      <c r="L335">
        <v>3</v>
      </c>
      <c r="M335">
        <v>0</v>
      </c>
      <c r="N335">
        <v>0</v>
      </c>
      <c r="O335">
        <v>0</v>
      </c>
      <c r="P335">
        <v>16</v>
      </c>
      <c r="Q335">
        <v>0</v>
      </c>
      <c r="R335">
        <v>0</v>
      </c>
      <c r="S335">
        <v>72</v>
      </c>
      <c r="T335">
        <v>4.2</v>
      </c>
      <c r="U335">
        <v>184</v>
      </c>
      <c r="V335" s="19" t="s">
        <v>2259</v>
      </c>
      <c r="W335" s="19" t="s">
        <v>2030</v>
      </c>
      <c r="X335">
        <v>0</v>
      </c>
      <c r="Y335">
        <v>0</v>
      </c>
      <c r="AA335">
        <v>79</v>
      </c>
      <c r="AB335">
        <v>24</v>
      </c>
      <c r="AC335">
        <v>18</v>
      </c>
      <c r="AD335">
        <v>78</v>
      </c>
      <c r="AE335" s="19" t="s">
        <v>60</v>
      </c>
    </row>
    <row r="336" spans="1:31" x14ac:dyDescent="0.2">
      <c r="A336">
        <v>323</v>
      </c>
      <c r="B336" s="19" t="s">
        <v>684</v>
      </c>
      <c r="C336">
        <v>30</v>
      </c>
      <c r="D336" s="19" t="s">
        <v>368</v>
      </c>
      <c r="E336" s="19" t="s">
        <v>338</v>
      </c>
      <c r="F336">
        <v>58</v>
      </c>
      <c r="G336">
        <v>8</v>
      </c>
      <c r="H336">
        <v>11</v>
      </c>
      <c r="I336">
        <v>19</v>
      </c>
      <c r="J336">
        <v>-5</v>
      </c>
      <c r="K336">
        <v>23</v>
      </c>
      <c r="L336">
        <v>8</v>
      </c>
      <c r="M336">
        <v>0</v>
      </c>
      <c r="N336">
        <v>0</v>
      </c>
      <c r="O336">
        <v>1</v>
      </c>
      <c r="P336">
        <v>11</v>
      </c>
      <c r="Q336">
        <v>0</v>
      </c>
      <c r="R336">
        <v>0</v>
      </c>
      <c r="S336">
        <v>69</v>
      </c>
      <c r="T336">
        <v>11.6</v>
      </c>
      <c r="U336">
        <v>132</v>
      </c>
      <c r="V336" s="19" t="s">
        <v>2260</v>
      </c>
      <c r="W336" s="19" t="s">
        <v>1925</v>
      </c>
      <c r="X336">
        <v>353</v>
      </c>
      <c r="Y336">
        <v>337</v>
      </c>
      <c r="Z336">
        <v>51.2</v>
      </c>
      <c r="AA336">
        <v>35</v>
      </c>
      <c r="AB336">
        <v>19</v>
      </c>
      <c r="AC336">
        <v>9</v>
      </c>
      <c r="AD336">
        <v>28</v>
      </c>
      <c r="AE336" s="19" t="s">
        <v>60</v>
      </c>
    </row>
    <row r="337" spans="1:31" x14ac:dyDescent="0.2">
      <c r="A337">
        <v>324</v>
      </c>
      <c r="B337" s="19" t="s">
        <v>764</v>
      </c>
      <c r="C337">
        <v>27</v>
      </c>
      <c r="D337" s="19" t="s">
        <v>350</v>
      </c>
      <c r="E337" s="19" t="s">
        <v>347</v>
      </c>
      <c r="F337">
        <v>44</v>
      </c>
      <c r="G337">
        <v>3</v>
      </c>
      <c r="H337">
        <v>16</v>
      </c>
      <c r="I337">
        <v>19</v>
      </c>
      <c r="J337">
        <v>2</v>
      </c>
      <c r="K337">
        <v>57</v>
      </c>
      <c r="L337">
        <v>3</v>
      </c>
      <c r="M337">
        <v>0</v>
      </c>
      <c r="N337">
        <v>0</v>
      </c>
      <c r="O337">
        <v>2</v>
      </c>
      <c r="P337">
        <v>14</v>
      </c>
      <c r="Q337">
        <v>2</v>
      </c>
      <c r="R337">
        <v>0</v>
      </c>
      <c r="S337">
        <v>52</v>
      </c>
      <c r="T337">
        <v>5.8</v>
      </c>
      <c r="U337">
        <v>126</v>
      </c>
      <c r="V337" s="19" t="s">
        <v>2665</v>
      </c>
      <c r="W337" s="19" t="s">
        <v>2428</v>
      </c>
      <c r="X337">
        <v>0</v>
      </c>
      <c r="Y337">
        <v>0</v>
      </c>
      <c r="AA337">
        <v>45</v>
      </c>
      <c r="AB337">
        <v>54</v>
      </c>
      <c r="AC337">
        <v>14</v>
      </c>
      <c r="AD337">
        <v>37</v>
      </c>
      <c r="AE337" s="19" t="s">
        <v>60</v>
      </c>
    </row>
    <row r="338" spans="1:31" x14ac:dyDescent="0.2">
      <c r="A338">
        <v>325</v>
      </c>
      <c r="B338" s="19" t="s">
        <v>688</v>
      </c>
      <c r="C338">
        <v>25</v>
      </c>
      <c r="D338" s="19" t="s">
        <v>321</v>
      </c>
      <c r="E338" s="19" t="s">
        <v>322</v>
      </c>
      <c r="F338">
        <v>56</v>
      </c>
      <c r="G338">
        <v>8</v>
      </c>
      <c r="H338">
        <v>11</v>
      </c>
      <c r="I338">
        <v>19</v>
      </c>
      <c r="J338">
        <v>10</v>
      </c>
      <c r="K338">
        <v>18</v>
      </c>
      <c r="L338">
        <v>8</v>
      </c>
      <c r="M338">
        <v>0</v>
      </c>
      <c r="N338">
        <v>0</v>
      </c>
      <c r="O338">
        <v>0</v>
      </c>
      <c r="P338">
        <v>11</v>
      </c>
      <c r="Q338">
        <v>0</v>
      </c>
      <c r="R338">
        <v>0</v>
      </c>
      <c r="S338">
        <v>63</v>
      </c>
      <c r="T338">
        <v>12.7</v>
      </c>
      <c r="U338">
        <v>132</v>
      </c>
      <c r="V338" s="19" t="s">
        <v>2666</v>
      </c>
      <c r="W338" s="19" t="s">
        <v>760</v>
      </c>
      <c r="X338">
        <v>408</v>
      </c>
      <c r="Y338">
        <v>288</v>
      </c>
      <c r="Z338">
        <v>58.6</v>
      </c>
      <c r="AA338">
        <v>48</v>
      </c>
      <c r="AB338">
        <v>26</v>
      </c>
      <c r="AC338">
        <v>16</v>
      </c>
      <c r="AD338">
        <v>28</v>
      </c>
      <c r="AE338" s="19" t="s">
        <v>60</v>
      </c>
    </row>
    <row r="339" spans="1:31" x14ac:dyDescent="0.2">
      <c r="A339">
        <v>326</v>
      </c>
      <c r="B339" s="19" t="s">
        <v>1083</v>
      </c>
      <c r="C339">
        <v>27</v>
      </c>
      <c r="D339" s="19" t="s">
        <v>401</v>
      </c>
      <c r="E339" s="19" t="s">
        <v>347</v>
      </c>
      <c r="F339">
        <v>37</v>
      </c>
      <c r="G339">
        <v>5</v>
      </c>
      <c r="H339">
        <v>14</v>
      </c>
      <c r="I339">
        <v>19</v>
      </c>
      <c r="J339">
        <v>-7</v>
      </c>
      <c r="K339">
        <v>28</v>
      </c>
      <c r="L339">
        <v>5</v>
      </c>
      <c r="M339">
        <v>0</v>
      </c>
      <c r="N339">
        <v>0</v>
      </c>
      <c r="O339">
        <v>2</v>
      </c>
      <c r="P339">
        <v>12</v>
      </c>
      <c r="Q339">
        <v>2</v>
      </c>
      <c r="R339">
        <v>0</v>
      </c>
      <c r="S339">
        <v>60</v>
      </c>
      <c r="T339">
        <v>8.3000000000000007</v>
      </c>
      <c r="U339">
        <v>156</v>
      </c>
      <c r="V339" s="19" t="s">
        <v>2667</v>
      </c>
      <c r="W339" s="19" t="s">
        <v>1907</v>
      </c>
      <c r="X339">
        <v>0</v>
      </c>
      <c r="Y339">
        <v>0</v>
      </c>
      <c r="AA339">
        <v>65</v>
      </c>
      <c r="AB339">
        <v>21</v>
      </c>
      <c r="AC339">
        <v>7</v>
      </c>
      <c r="AD339">
        <v>45</v>
      </c>
      <c r="AE339" s="19" t="s">
        <v>60</v>
      </c>
    </row>
    <row r="340" spans="1:31" x14ac:dyDescent="0.2">
      <c r="A340">
        <v>327</v>
      </c>
      <c r="B340" s="19" t="s">
        <v>694</v>
      </c>
      <c r="C340">
        <v>33</v>
      </c>
      <c r="D340" s="19" t="s">
        <v>361</v>
      </c>
      <c r="E340" s="19" t="s">
        <v>334</v>
      </c>
      <c r="F340">
        <v>57</v>
      </c>
      <c r="G340">
        <v>6</v>
      </c>
      <c r="H340">
        <v>13</v>
      </c>
      <c r="I340">
        <v>19</v>
      </c>
      <c r="J340">
        <v>0</v>
      </c>
      <c r="K340">
        <v>26</v>
      </c>
      <c r="L340">
        <v>4</v>
      </c>
      <c r="M340">
        <v>2</v>
      </c>
      <c r="N340">
        <v>0</v>
      </c>
      <c r="O340">
        <v>0</v>
      </c>
      <c r="P340">
        <v>11</v>
      </c>
      <c r="Q340">
        <v>2</v>
      </c>
      <c r="R340">
        <v>0</v>
      </c>
      <c r="S340">
        <v>95</v>
      </c>
      <c r="T340">
        <v>6.3</v>
      </c>
      <c r="U340">
        <v>180</v>
      </c>
      <c r="V340" s="19" t="s">
        <v>2261</v>
      </c>
      <c r="W340" s="19" t="s">
        <v>2035</v>
      </c>
      <c r="X340">
        <v>6</v>
      </c>
      <c r="Y340">
        <v>4</v>
      </c>
      <c r="Z340">
        <v>60</v>
      </c>
      <c r="AA340">
        <v>12</v>
      </c>
      <c r="AB340">
        <v>68</v>
      </c>
      <c r="AC340">
        <v>9</v>
      </c>
      <c r="AD340">
        <v>26</v>
      </c>
      <c r="AE340" s="19" t="s">
        <v>60</v>
      </c>
    </row>
    <row r="341" spans="1:31" x14ac:dyDescent="0.2">
      <c r="A341">
        <v>328</v>
      </c>
      <c r="B341" s="19" t="s">
        <v>954</v>
      </c>
      <c r="C341">
        <v>26</v>
      </c>
      <c r="D341" s="19" t="s">
        <v>395</v>
      </c>
      <c r="E341" s="19" t="s">
        <v>322</v>
      </c>
      <c r="F341">
        <v>46</v>
      </c>
      <c r="G341">
        <v>13</v>
      </c>
      <c r="H341">
        <v>6</v>
      </c>
      <c r="I341">
        <v>19</v>
      </c>
      <c r="J341">
        <v>2</v>
      </c>
      <c r="K341">
        <v>23</v>
      </c>
      <c r="L341">
        <v>12</v>
      </c>
      <c r="M341">
        <v>1</v>
      </c>
      <c r="N341">
        <v>0</v>
      </c>
      <c r="O341">
        <v>3</v>
      </c>
      <c r="P341">
        <v>5</v>
      </c>
      <c r="Q341">
        <v>1</v>
      </c>
      <c r="R341">
        <v>0</v>
      </c>
      <c r="S341">
        <v>79</v>
      </c>
      <c r="T341">
        <v>16.5</v>
      </c>
      <c r="U341">
        <v>125</v>
      </c>
      <c r="V341" s="19" t="s">
        <v>2668</v>
      </c>
      <c r="W341" s="19" t="s">
        <v>995</v>
      </c>
      <c r="X341">
        <v>304</v>
      </c>
      <c r="Y341">
        <v>274</v>
      </c>
      <c r="Z341">
        <v>52.6</v>
      </c>
      <c r="AA341">
        <v>27</v>
      </c>
      <c r="AB341">
        <v>31</v>
      </c>
      <c r="AC341">
        <v>2</v>
      </c>
      <c r="AD341">
        <v>24</v>
      </c>
      <c r="AE341" s="19" t="s">
        <v>60</v>
      </c>
    </row>
    <row r="342" spans="1:31" x14ac:dyDescent="0.2">
      <c r="A342">
        <v>329</v>
      </c>
      <c r="B342" s="19" t="s">
        <v>769</v>
      </c>
      <c r="C342">
        <v>24</v>
      </c>
      <c r="D342" s="19" t="s">
        <v>333</v>
      </c>
      <c r="E342" s="19" t="s">
        <v>325</v>
      </c>
      <c r="F342">
        <v>57</v>
      </c>
      <c r="G342">
        <v>8</v>
      </c>
      <c r="H342">
        <v>11</v>
      </c>
      <c r="I342">
        <v>19</v>
      </c>
      <c r="J342">
        <v>-1</v>
      </c>
      <c r="K342">
        <v>30</v>
      </c>
      <c r="L342">
        <v>7</v>
      </c>
      <c r="M342">
        <v>1</v>
      </c>
      <c r="N342">
        <v>0</v>
      </c>
      <c r="O342">
        <v>1</v>
      </c>
      <c r="P342">
        <v>10</v>
      </c>
      <c r="Q342">
        <v>1</v>
      </c>
      <c r="R342">
        <v>0</v>
      </c>
      <c r="S342">
        <v>55</v>
      </c>
      <c r="T342">
        <v>14.5</v>
      </c>
      <c r="U342">
        <v>96</v>
      </c>
      <c r="V342" s="19" t="s">
        <v>2669</v>
      </c>
      <c r="W342" s="19" t="s">
        <v>967</v>
      </c>
      <c r="X342">
        <v>93</v>
      </c>
      <c r="Y342">
        <v>65</v>
      </c>
      <c r="Z342">
        <v>58.9</v>
      </c>
      <c r="AA342">
        <v>24</v>
      </c>
      <c r="AB342">
        <v>88</v>
      </c>
      <c r="AC342">
        <v>17</v>
      </c>
      <c r="AD342">
        <v>18</v>
      </c>
      <c r="AE342" s="19" t="s">
        <v>60</v>
      </c>
    </row>
    <row r="343" spans="1:31" x14ac:dyDescent="0.2">
      <c r="A343">
        <v>330</v>
      </c>
      <c r="B343" s="19" t="s">
        <v>744</v>
      </c>
      <c r="C343">
        <v>36</v>
      </c>
      <c r="D343" s="19" t="s">
        <v>336</v>
      </c>
      <c r="E343" s="19" t="s">
        <v>322</v>
      </c>
      <c r="F343">
        <v>57</v>
      </c>
      <c r="G343">
        <v>8</v>
      </c>
      <c r="H343">
        <v>11</v>
      </c>
      <c r="I343">
        <v>19</v>
      </c>
      <c r="J343">
        <v>-4</v>
      </c>
      <c r="K343">
        <v>34</v>
      </c>
      <c r="L343">
        <v>5</v>
      </c>
      <c r="M343">
        <v>3</v>
      </c>
      <c r="N343">
        <v>0</v>
      </c>
      <c r="O343">
        <v>1</v>
      </c>
      <c r="P343">
        <v>10</v>
      </c>
      <c r="Q343">
        <v>1</v>
      </c>
      <c r="R343">
        <v>0</v>
      </c>
      <c r="S343">
        <v>106</v>
      </c>
      <c r="T343">
        <v>7.5</v>
      </c>
      <c r="U343">
        <v>186</v>
      </c>
      <c r="V343" s="19" t="s">
        <v>2670</v>
      </c>
      <c r="W343" s="19" t="s">
        <v>1669</v>
      </c>
      <c r="X343">
        <v>34</v>
      </c>
      <c r="Y343">
        <v>62</v>
      </c>
      <c r="Z343">
        <v>35.4</v>
      </c>
      <c r="AA343">
        <v>24</v>
      </c>
      <c r="AB343">
        <v>49</v>
      </c>
      <c r="AC343">
        <v>18</v>
      </c>
      <c r="AD343">
        <v>48</v>
      </c>
      <c r="AE343" s="19" t="s">
        <v>60</v>
      </c>
    </row>
    <row r="344" spans="1:31" x14ac:dyDescent="0.2">
      <c r="A344">
        <v>331</v>
      </c>
      <c r="B344" s="19" t="s">
        <v>704</v>
      </c>
      <c r="C344">
        <v>32</v>
      </c>
      <c r="D344" s="19" t="s">
        <v>353</v>
      </c>
      <c r="E344" s="19" t="s">
        <v>347</v>
      </c>
      <c r="F344">
        <v>43</v>
      </c>
      <c r="G344">
        <v>4</v>
      </c>
      <c r="H344">
        <v>15</v>
      </c>
      <c r="I344">
        <v>19</v>
      </c>
      <c r="J344">
        <v>-8</v>
      </c>
      <c r="K344">
        <v>44</v>
      </c>
      <c r="L344">
        <v>3</v>
      </c>
      <c r="M344">
        <v>1</v>
      </c>
      <c r="N344">
        <v>0</v>
      </c>
      <c r="O344">
        <v>2</v>
      </c>
      <c r="P344">
        <v>12</v>
      </c>
      <c r="Q344">
        <v>3</v>
      </c>
      <c r="R344">
        <v>0</v>
      </c>
      <c r="S344">
        <v>70</v>
      </c>
      <c r="T344">
        <v>5.7</v>
      </c>
      <c r="U344">
        <v>160</v>
      </c>
      <c r="V344" s="19" t="s">
        <v>2262</v>
      </c>
      <c r="W344" s="19" t="s">
        <v>1928</v>
      </c>
      <c r="X344">
        <v>0</v>
      </c>
      <c r="Y344">
        <v>0</v>
      </c>
      <c r="AA344">
        <v>76</v>
      </c>
      <c r="AB344">
        <v>6</v>
      </c>
      <c r="AC344">
        <v>18</v>
      </c>
      <c r="AD344">
        <v>49</v>
      </c>
      <c r="AE344" s="19" t="s">
        <v>60</v>
      </c>
    </row>
    <row r="345" spans="1:31" x14ac:dyDescent="0.2">
      <c r="A345">
        <v>332</v>
      </c>
      <c r="B345" s="19" t="s">
        <v>815</v>
      </c>
      <c r="C345">
        <v>25</v>
      </c>
      <c r="D345" s="19" t="s">
        <v>350</v>
      </c>
      <c r="E345" s="19" t="s">
        <v>347</v>
      </c>
      <c r="F345">
        <v>54</v>
      </c>
      <c r="G345">
        <v>5</v>
      </c>
      <c r="H345">
        <v>14</v>
      </c>
      <c r="I345">
        <v>19</v>
      </c>
      <c r="J345">
        <v>41</v>
      </c>
      <c r="K345">
        <v>49</v>
      </c>
      <c r="L345">
        <v>5</v>
      </c>
      <c r="M345">
        <v>0</v>
      </c>
      <c r="N345">
        <v>0</v>
      </c>
      <c r="O345">
        <v>0</v>
      </c>
      <c r="P345">
        <v>12</v>
      </c>
      <c r="Q345">
        <v>1</v>
      </c>
      <c r="R345">
        <v>1</v>
      </c>
      <c r="S345">
        <v>78</v>
      </c>
      <c r="T345">
        <v>6.4</v>
      </c>
      <c r="U345">
        <v>174</v>
      </c>
      <c r="V345" s="19" t="s">
        <v>2671</v>
      </c>
      <c r="W345" s="19" t="s">
        <v>1928</v>
      </c>
      <c r="X345">
        <v>0</v>
      </c>
      <c r="Y345">
        <v>0</v>
      </c>
      <c r="AA345">
        <v>74</v>
      </c>
      <c r="AB345">
        <v>41</v>
      </c>
      <c r="AC345">
        <v>16</v>
      </c>
      <c r="AD345">
        <v>53</v>
      </c>
      <c r="AE345" s="19" t="s">
        <v>60</v>
      </c>
    </row>
    <row r="346" spans="1:31" x14ac:dyDescent="0.2">
      <c r="A346">
        <v>333</v>
      </c>
      <c r="B346" s="19" t="s">
        <v>560</v>
      </c>
      <c r="C346">
        <v>33</v>
      </c>
      <c r="D346" s="19" t="s">
        <v>344</v>
      </c>
      <c r="E346" s="19" t="s">
        <v>334</v>
      </c>
      <c r="F346">
        <v>55</v>
      </c>
      <c r="G346">
        <v>8</v>
      </c>
      <c r="H346">
        <v>11</v>
      </c>
      <c r="I346">
        <v>19</v>
      </c>
      <c r="J346">
        <v>-4</v>
      </c>
      <c r="K346">
        <v>14</v>
      </c>
      <c r="L346">
        <v>7</v>
      </c>
      <c r="M346">
        <v>1</v>
      </c>
      <c r="N346">
        <v>0</v>
      </c>
      <c r="O346">
        <v>2</v>
      </c>
      <c r="P346">
        <v>7</v>
      </c>
      <c r="Q346">
        <v>4</v>
      </c>
      <c r="R346">
        <v>0</v>
      </c>
      <c r="S346">
        <v>76</v>
      </c>
      <c r="T346">
        <v>10.5</v>
      </c>
      <c r="U346">
        <v>134</v>
      </c>
      <c r="V346" s="19" t="s">
        <v>2263</v>
      </c>
      <c r="W346" s="19" t="s">
        <v>809</v>
      </c>
      <c r="X346">
        <v>3</v>
      </c>
      <c r="Y346">
        <v>3</v>
      </c>
      <c r="Z346">
        <v>50</v>
      </c>
      <c r="AA346">
        <v>20</v>
      </c>
      <c r="AB346">
        <v>66</v>
      </c>
      <c r="AC346">
        <v>7</v>
      </c>
      <c r="AD346">
        <v>38</v>
      </c>
      <c r="AE346" s="19" t="s">
        <v>60</v>
      </c>
    </row>
    <row r="347" spans="1:31" x14ac:dyDescent="0.2">
      <c r="A347">
        <v>334</v>
      </c>
      <c r="B347" s="19" t="s">
        <v>708</v>
      </c>
      <c r="C347">
        <v>30</v>
      </c>
      <c r="D347" s="19" t="s">
        <v>327</v>
      </c>
      <c r="E347" s="19" t="s">
        <v>347</v>
      </c>
      <c r="F347">
        <v>59</v>
      </c>
      <c r="G347">
        <v>7</v>
      </c>
      <c r="H347">
        <v>12</v>
      </c>
      <c r="I347">
        <v>19</v>
      </c>
      <c r="J347">
        <v>-14</v>
      </c>
      <c r="K347">
        <v>86</v>
      </c>
      <c r="L347">
        <v>7</v>
      </c>
      <c r="M347">
        <v>0</v>
      </c>
      <c r="N347">
        <v>0</v>
      </c>
      <c r="O347">
        <v>0</v>
      </c>
      <c r="P347">
        <v>10</v>
      </c>
      <c r="Q347">
        <v>0</v>
      </c>
      <c r="R347">
        <v>2</v>
      </c>
      <c r="S347">
        <v>125</v>
      </c>
      <c r="T347">
        <v>5.6</v>
      </c>
      <c r="U347">
        <v>266</v>
      </c>
      <c r="V347" s="19" t="s">
        <v>2672</v>
      </c>
      <c r="W347" s="19" t="s">
        <v>1556</v>
      </c>
      <c r="X347">
        <v>0</v>
      </c>
      <c r="Y347">
        <v>0</v>
      </c>
      <c r="AA347">
        <v>130</v>
      </c>
      <c r="AB347">
        <v>84</v>
      </c>
      <c r="AC347">
        <v>15</v>
      </c>
      <c r="AD347">
        <v>65</v>
      </c>
      <c r="AE347" s="19" t="s">
        <v>60</v>
      </c>
    </row>
    <row r="348" spans="1:31" x14ac:dyDescent="0.2">
      <c r="A348">
        <v>335</v>
      </c>
      <c r="B348" s="19" t="s">
        <v>870</v>
      </c>
      <c r="C348">
        <v>21</v>
      </c>
      <c r="D348" s="19" t="s">
        <v>423</v>
      </c>
      <c r="E348" s="19" t="s">
        <v>322</v>
      </c>
      <c r="F348">
        <v>46</v>
      </c>
      <c r="G348">
        <v>10</v>
      </c>
      <c r="H348">
        <v>9</v>
      </c>
      <c r="I348">
        <v>19</v>
      </c>
      <c r="J348">
        <v>5</v>
      </c>
      <c r="K348">
        <v>8</v>
      </c>
      <c r="L348">
        <v>8</v>
      </c>
      <c r="M348">
        <v>2</v>
      </c>
      <c r="N348">
        <v>0</v>
      </c>
      <c r="O348">
        <v>0</v>
      </c>
      <c r="P348">
        <v>7</v>
      </c>
      <c r="Q348">
        <v>2</v>
      </c>
      <c r="R348">
        <v>0</v>
      </c>
      <c r="S348">
        <v>45</v>
      </c>
      <c r="T348">
        <v>22.2</v>
      </c>
      <c r="U348">
        <v>95</v>
      </c>
      <c r="V348" s="19" t="s">
        <v>2673</v>
      </c>
      <c r="W348" s="19" t="s">
        <v>2026</v>
      </c>
      <c r="X348">
        <v>71</v>
      </c>
      <c r="Y348">
        <v>165</v>
      </c>
      <c r="Z348">
        <v>30.1</v>
      </c>
      <c r="AA348">
        <v>24</v>
      </c>
      <c r="AB348">
        <v>3</v>
      </c>
      <c r="AC348">
        <v>13</v>
      </c>
      <c r="AD348">
        <v>25</v>
      </c>
      <c r="AE348" s="19" t="s">
        <v>60</v>
      </c>
    </row>
    <row r="349" spans="1:31" x14ac:dyDescent="0.2">
      <c r="A349">
        <v>336</v>
      </c>
      <c r="B349" s="19" t="s">
        <v>985</v>
      </c>
      <c r="C349">
        <v>24</v>
      </c>
      <c r="D349" s="19" t="s">
        <v>344</v>
      </c>
      <c r="E349" s="19" t="s">
        <v>322</v>
      </c>
      <c r="F349">
        <v>43</v>
      </c>
      <c r="G349">
        <v>7</v>
      </c>
      <c r="H349">
        <v>12</v>
      </c>
      <c r="I349">
        <v>19</v>
      </c>
      <c r="J349">
        <v>-8</v>
      </c>
      <c r="K349">
        <v>12</v>
      </c>
      <c r="L349">
        <v>5</v>
      </c>
      <c r="M349">
        <v>2</v>
      </c>
      <c r="N349">
        <v>0</v>
      </c>
      <c r="O349">
        <v>2</v>
      </c>
      <c r="P349">
        <v>10</v>
      </c>
      <c r="Q349">
        <v>2</v>
      </c>
      <c r="R349">
        <v>0</v>
      </c>
      <c r="S349">
        <v>84</v>
      </c>
      <c r="T349">
        <v>8.3000000000000007</v>
      </c>
      <c r="U349">
        <v>181</v>
      </c>
      <c r="V349" s="19" t="s">
        <v>2674</v>
      </c>
      <c r="W349" s="19" t="s">
        <v>1849</v>
      </c>
      <c r="X349">
        <v>4</v>
      </c>
      <c r="Y349">
        <v>5</v>
      </c>
      <c r="Z349">
        <v>44.4</v>
      </c>
      <c r="AA349">
        <v>20</v>
      </c>
      <c r="AB349">
        <v>33</v>
      </c>
      <c r="AC349">
        <v>14</v>
      </c>
      <c r="AD349">
        <v>39</v>
      </c>
      <c r="AE349" s="19" t="s">
        <v>60</v>
      </c>
    </row>
    <row r="350" spans="1:31" x14ac:dyDescent="0.2">
      <c r="A350">
        <v>337</v>
      </c>
      <c r="B350" s="19" t="s">
        <v>821</v>
      </c>
      <c r="C350">
        <v>25</v>
      </c>
      <c r="D350" s="19" t="s">
        <v>364</v>
      </c>
      <c r="E350" s="19" t="s">
        <v>347</v>
      </c>
      <c r="F350">
        <v>53</v>
      </c>
      <c r="G350">
        <v>3</v>
      </c>
      <c r="H350">
        <v>16</v>
      </c>
      <c r="I350">
        <v>19</v>
      </c>
      <c r="J350">
        <v>5</v>
      </c>
      <c r="K350">
        <v>10</v>
      </c>
      <c r="L350">
        <v>3</v>
      </c>
      <c r="M350">
        <v>0</v>
      </c>
      <c r="N350">
        <v>0</v>
      </c>
      <c r="O350">
        <v>0</v>
      </c>
      <c r="P350">
        <v>16</v>
      </c>
      <c r="Q350">
        <v>0</v>
      </c>
      <c r="R350">
        <v>0</v>
      </c>
      <c r="S350">
        <v>66</v>
      </c>
      <c r="T350">
        <v>4.5</v>
      </c>
      <c r="U350">
        <v>140</v>
      </c>
      <c r="V350" s="19" t="s">
        <v>2675</v>
      </c>
      <c r="W350" s="19" t="s">
        <v>495</v>
      </c>
      <c r="X350">
        <v>0</v>
      </c>
      <c r="Y350">
        <v>0</v>
      </c>
      <c r="AA350">
        <v>85</v>
      </c>
      <c r="AB350">
        <v>61</v>
      </c>
      <c r="AC350">
        <v>19</v>
      </c>
      <c r="AD350">
        <v>65</v>
      </c>
      <c r="AE350" s="19" t="s">
        <v>60</v>
      </c>
    </row>
    <row r="351" spans="1:31" x14ac:dyDescent="0.2">
      <c r="A351">
        <v>338</v>
      </c>
      <c r="B351" s="19" t="s">
        <v>562</v>
      </c>
      <c r="C351">
        <v>33</v>
      </c>
      <c r="D351" s="19" t="s">
        <v>520</v>
      </c>
      <c r="E351" s="19" t="s">
        <v>322</v>
      </c>
      <c r="F351">
        <v>37</v>
      </c>
      <c r="G351">
        <v>9</v>
      </c>
      <c r="H351">
        <v>10</v>
      </c>
      <c r="I351">
        <v>19</v>
      </c>
      <c r="J351">
        <v>6</v>
      </c>
      <c r="K351">
        <v>8</v>
      </c>
      <c r="L351">
        <v>6</v>
      </c>
      <c r="M351">
        <v>2</v>
      </c>
      <c r="N351">
        <v>1</v>
      </c>
      <c r="O351">
        <v>2</v>
      </c>
      <c r="P351">
        <v>9</v>
      </c>
      <c r="Q351">
        <v>1</v>
      </c>
      <c r="R351">
        <v>0</v>
      </c>
      <c r="S351">
        <v>71</v>
      </c>
      <c r="T351">
        <v>12.7</v>
      </c>
      <c r="U351">
        <v>131</v>
      </c>
      <c r="V351" s="19" t="s">
        <v>2676</v>
      </c>
      <c r="W351" s="19" t="s">
        <v>1714</v>
      </c>
      <c r="X351">
        <v>26</v>
      </c>
      <c r="Y351">
        <v>17</v>
      </c>
      <c r="Z351">
        <v>60.5</v>
      </c>
      <c r="AA351">
        <v>35</v>
      </c>
      <c r="AB351">
        <v>28</v>
      </c>
      <c r="AC351">
        <v>18</v>
      </c>
      <c r="AD351">
        <v>40</v>
      </c>
      <c r="AE351" s="19" t="s">
        <v>60</v>
      </c>
    </row>
    <row r="352" spans="1:31" x14ac:dyDescent="0.2">
      <c r="A352">
        <v>339</v>
      </c>
      <c r="B352" s="19" t="s">
        <v>713</v>
      </c>
      <c r="C352">
        <v>24</v>
      </c>
      <c r="D352" s="19" t="s">
        <v>412</v>
      </c>
      <c r="E352" s="19" t="s">
        <v>347</v>
      </c>
      <c r="F352">
        <v>48</v>
      </c>
      <c r="G352">
        <v>4</v>
      </c>
      <c r="H352">
        <v>15</v>
      </c>
      <c r="I352">
        <v>19</v>
      </c>
      <c r="J352">
        <v>15</v>
      </c>
      <c r="K352">
        <v>10</v>
      </c>
      <c r="L352">
        <v>4</v>
      </c>
      <c r="M352">
        <v>0</v>
      </c>
      <c r="N352">
        <v>0</v>
      </c>
      <c r="O352">
        <v>1</v>
      </c>
      <c r="P352">
        <v>15</v>
      </c>
      <c r="Q352">
        <v>0</v>
      </c>
      <c r="R352">
        <v>0</v>
      </c>
      <c r="S352">
        <v>67</v>
      </c>
      <c r="T352">
        <v>6</v>
      </c>
      <c r="U352">
        <v>173</v>
      </c>
      <c r="V352" s="19" t="s">
        <v>2677</v>
      </c>
      <c r="W352" s="19" t="s">
        <v>2678</v>
      </c>
      <c r="X352">
        <v>0</v>
      </c>
      <c r="Y352">
        <v>0</v>
      </c>
      <c r="AA352">
        <v>37</v>
      </c>
      <c r="AB352">
        <v>35</v>
      </c>
      <c r="AC352">
        <v>11</v>
      </c>
      <c r="AD352">
        <v>37</v>
      </c>
      <c r="AE352" s="19" t="s">
        <v>60</v>
      </c>
    </row>
    <row r="353" spans="1:31" x14ac:dyDescent="0.2">
      <c r="A353">
        <v>340</v>
      </c>
      <c r="B353" s="19" t="s">
        <v>755</v>
      </c>
      <c r="C353">
        <v>37</v>
      </c>
      <c r="D353" s="19" t="s">
        <v>344</v>
      </c>
      <c r="E353" s="19" t="s">
        <v>322</v>
      </c>
      <c r="F353">
        <v>57</v>
      </c>
      <c r="G353">
        <v>7</v>
      </c>
      <c r="H353">
        <v>12</v>
      </c>
      <c r="I353">
        <v>19</v>
      </c>
      <c r="J353">
        <v>-18</v>
      </c>
      <c r="K353">
        <v>30</v>
      </c>
      <c r="L353">
        <v>4</v>
      </c>
      <c r="M353">
        <v>3</v>
      </c>
      <c r="N353">
        <v>0</v>
      </c>
      <c r="O353">
        <v>0</v>
      </c>
      <c r="P353">
        <v>10</v>
      </c>
      <c r="Q353">
        <v>2</v>
      </c>
      <c r="R353">
        <v>0</v>
      </c>
      <c r="S353">
        <v>76</v>
      </c>
      <c r="T353">
        <v>9.1999999999999993</v>
      </c>
      <c r="U353">
        <v>132</v>
      </c>
      <c r="V353" s="19" t="s">
        <v>2679</v>
      </c>
      <c r="W353" s="19" t="s">
        <v>1351</v>
      </c>
      <c r="X353">
        <v>448</v>
      </c>
      <c r="Y353">
        <v>289</v>
      </c>
      <c r="Z353">
        <v>60.8</v>
      </c>
      <c r="AA353">
        <v>26</v>
      </c>
      <c r="AB353">
        <v>14</v>
      </c>
      <c r="AC353">
        <v>16</v>
      </c>
      <c r="AD353">
        <v>41</v>
      </c>
      <c r="AE353" s="19" t="s">
        <v>60</v>
      </c>
    </row>
    <row r="354" spans="1:31" x14ac:dyDescent="0.2">
      <c r="A354">
        <v>341</v>
      </c>
      <c r="B354" s="19" t="s">
        <v>719</v>
      </c>
      <c r="C354">
        <v>28</v>
      </c>
      <c r="D354" s="19" t="s">
        <v>373</v>
      </c>
      <c r="E354" s="19" t="s">
        <v>347</v>
      </c>
      <c r="F354">
        <v>56</v>
      </c>
      <c r="G354">
        <v>3</v>
      </c>
      <c r="H354">
        <v>16</v>
      </c>
      <c r="I354">
        <v>19</v>
      </c>
      <c r="J354">
        <v>7</v>
      </c>
      <c r="K354">
        <v>36</v>
      </c>
      <c r="L354">
        <v>3</v>
      </c>
      <c r="M354">
        <v>0</v>
      </c>
      <c r="N354">
        <v>0</v>
      </c>
      <c r="O354">
        <v>1</v>
      </c>
      <c r="P354">
        <v>15</v>
      </c>
      <c r="Q354">
        <v>0</v>
      </c>
      <c r="R354">
        <v>1</v>
      </c>
      <c r="S354">
        <v>51</v>
      </c>
      <c r="T354">
        <v>5.9</v>
      </c>
      <c r="U354">
        <v>118</v>
      </c>
      <c r="V354" s="19" t="s">
        <v>2680</v>
      </c>
      <c r="W354" s="19" t="s">
        <v>2681</v>
      </c>
      <c r="X354">
        <v>0</v>
      </c>
      <c r="Y354">
        <v>0</v>
      </c>
      <c r="AA354">
        <v>87</v>
      </c>
      <c r="AB354">
        <v>119</v>
      </c>
      <c r="AC354">
        <v>23</v>
      </c>
      <c r="AD354">
        <v>80</v>
      </c>
      <c r="AE354" s="19" t="s">
        <v>60</v>
      </c>
    </row>
    <row r="355" spans="1:31" x14ac:dyDescent="0.2">
      <c r="A355">
        <v>342</v>
      </c>
      <c r="B355" s="19" t="s">
        <v>657</v>
      </c>
      <c r="C355">
        <v>22</v>
      </c>
      <c r="D355" s="19" t="s">
        <v>336</v>
      </c>
      <c r="E355" s="19" t="s">
        <v>347</v>
      </c>
      <c r="F355">
        <v>56</v>
      </c>
      <c r="G355">
        <v>7</v>
      </c>
      <c r="H355">
        <v>12</v>
      </c>
      <c r="I355">
        <v>19</v>
      </c>
      <c r="J355">
        <v>6</v>
      </c>
      <c r="K355">
        <v>24</v>
      </c>
      <c r="L355">
        <v>6</v>
      </c>
      <c r="M355">
        <v>1</v>
      </c>
      <c r="N355">
        <v>0</v>
      </c>
      <c r="O355">
        <v>1</v>
      </c>
      <c r="P355">
        <v>10</v>
      </c>
      <c r="Q355">
        <v>2</v>
      </c>
      <c r="R355">
        <v>0</v>
      </c>
      <c r="S355">
        <v>93</v>
      </c>
      <c r="T355">
        <v>7.5</v>
      </c>
      <c r="U355">
        <v>238</v>
      </c>
      <c r="V355" s="19" t="s">
        <v>2682</v>
      </c>
      <c r="W355" s="19" t="s">
        <v>2461</v>
      </c>
      <c r="X355">
        <v>0</v>
      </c>
      <c r="Y355">
        <v>0</v>
      </c>
      <c r="AA355">
        <v>59</v>
      </c>
      <c r="AB355">
        <v>25</v>
      </c>
      <c r="AC355">
        <v>15</v>
      </c>
      <c r="AD355">
        <v>44</v>
      </c>
      <c r="AE355" s="19" t="s">
        <v>60</v>
      </c>
    </row>
    <row r="356" spans="1:31" x14ac:dyDescent="0.2">
      <c r="A356">
        <v>343</v>
      </c>
      <c r="B356" s="19" t="s">
        <v>680</v>
      </c>
      <c r="C356">
        <v>30</v>
      </c>
      <c r="D356" s="19" t="s">
        <v>412</v>
      </c>
      <c r="E356" s="19" t="s">
        <v>347</v>
      </c>
      <c r="F356">
        <v>56</v>
      </c>
      <c r="G356">
        <v>4</v>
      </c>
      <c r="H356">
        <v>15</v>
      </c>
      <c r="I356">
        <v>19</v>
      </c>
      <c r="J356">
        <v>12</v>
      </c>
      <c r="K356">
        <v>34</v>
      </c>
      <c r="L356">
        <v>4</v>
      </c>
      <c r="M356">
        <v>0</v>
      </c>
      <c r="N356">
        <v>0</v>
      </c>
      <c r="O356">
        <v>0</v>
      </c>
      <c r="P356">
        <v>15</v>
      </c>
      <c r="Q356">
        <v>0</v>
      </c>
      <c r="R356">
        <v>0</v>
      </c>
      <c r="S356">
        <v>63</v>
      </c>
      <c r="T356">
        <v>6.3</v>
      </c>
      <c r="U356">
        <v>156</v>
      </c>
      <c r="V356" s="19" t="s">
        <v>2683</v>
      </c>
      <c r="W356" s="19" t="s">
        <v>2411</v>
      </c>
      <c r="X356">
        <v>0</v>
      </c>
      <c r="Y356">
        <v>0</v>
      </c>
      <c r="AA356">
        <v>79</v>
      </c>
      <c r="AB356">
        <v>54</v>
      </c>
      <c r="AC356">
        <v>19</v>
      </c>
      <c r="AD356">
        <v>60</v>
      </c>
      <c r="AE356" s="19" t="s">
        <v>60</v>
      </c>
    </row>
    <row r="357" spans="1:31" x14ac:dyDescent="0.2">
      <c r="A357">
        <v>344</v>
      </c>
      <c r="B357" s="19" t="s">
        <v>761</v>
      </c>
      <c r="C357">
        <v>29</v>
      </c>
      <c r="D357" s="19" t="s">
        <v>361</v>
      </c>
      <c r="E357" s="19" t="s">
        <v>347</v>
      </c>
      <c r="F357">
        <v>57</v>
      </c>
      <c r="G357">
        <v>6</v>
      </c>
      <c r="H357">
        <v>12</v>
      </c>
      <c r="I357">
        <v>18</v>
      </c>
      <c r="J357">
        <v>-3</v>
      </c>
      <c r="K357">
        <v>24</v>
      </c>
      <c r="L357">
        <v>6</v>
      </c>
      <c r="M357">
        <v>0</v>
      </c>
      <c r="N357">
        <v>0</v>
      </c>
      <c r="O357">
        <v>0</v>
      </c>
      <c r="P357">
        <v>12</v>
      </c>
      <c r="Q357">
        <v>0</v>
      </c>
      <c r="R357">
        <v>0</v>
      </c>
      <c r="S357">
        <v>48</v>
      </c>
      <c r="T357">
        <v>12.5</v>
      </c>
      <c r="U357">
        <v>113</v>
      </c>
      <c r="V357" s="19" t="s">
        <v>2264</v>
      </c>
      <c r="W357" s="19" t="s">
        <v>1962</v>
      </c>
      <c r="X357">
        <v>0</v>
      </c>
      <c r="Y357">
        <v>0</v>
      </c>
      <c r="AA357">
        <v>124</v>
      </c>
      <c r="AB357">
        <v>26</v>
      </c>
      <c r="AC357">
        <v>23</v>
      </c>
      <c r="AD357">
        <v>43</v>
      </c>
      <c r="AE357" s="19" t="s">
        <v>60</v>
      </c>
    </row>
    <row r="358" spans="1:31" x14ac:dyDescent="0.2">
      <c r="A358">
        <v>345</v>
      </c>
      <c r="B358" s="19" t="s">
        <v>626</v>
      </c>
      <c r="C358">
        <v>34</v>
      </c>
      <c r="D358" s="19" t="s">
        <v>502</v>
      </c>
      <c r="E358" s="19" t="s">
        <v>347</v>
      </c>
      <c r="F358">
        <v>57</v>
      </c>
      <c r="G358">
        <v>1</v>
      </c>
      <c r="H358">
        <v>17</v>
      </c>
      <c r="I358">
        <v>18</v>
      </c>
      <c r="J358">
        <v>-23</v>
      </c>
      <c r="K358">
        <v>12</v>
      </c>
      <c r="L358">
        <v>1</v>
      </c>
      <c r="M358">
        <v>0</v>
      </c>
      <c r="N358">
        <v>0</v>
      </c>
      <c r="O358">
        <v>0</v>
      </c>
      <c r="P358">
        <v>8</v>
      </c>
      <c r="Q358">
        <v>8</v>
      </c>
      <c r="R358">
        <v>1</v>
      </c>
      <c r="S358">
        <v>72</v>
      </c>
      <c r="T358">
        <v>1.4</v>
      </c>
      <c r="U358">
        <v>182</v>
      </c>
      <c r="V358" s="19" t="s">
        <v>2265</v>
      </c>
      <c r="W358" s="19" t="s">
        <v>1503</v>
      </c>
      <c r="X358">
        <v>0</v>
      </c>
      <c r="Y358">
        <v>0</v>
      </c>
      <c r="AA358">
        <v>53</v>
      </c>
      <c r="AB358">
        <v>8</v>
      </c>
      <c r="AC358">
        <v>13</v>
      </c>
      <c r="AD358">
        <v>51</v>
      </c>
      <c r="AE358" s="19" t="s">
        <v>60</v>
      </c>
    </row>
    <row r="359" spans="1:31" x14ac:dyDescent="0.2">
      <c r="A359">
        <v>346</v>
      </c>
      <c r="B359" s="19" t="s">
        <v>855</v>
      </c>
      <c r="C359">
        <v>26</v>
      </c>
      <c r="D359" s="19" t="s">
        <v>350</v>
      </c>
      <c r="E359" s="19" t="s">
        <v>334</v>
      </c>
      <c r="F359">
        <v>49</v>
      </c>
      <c r="G359">
        <v>9</v>
      </c>
      <c r="H359">
        <v>9</v>
      </c>
      <c r="I359">
        <v>18</v>
      </c>
      <c r="J359">
        <v>9</v>
      </c>
      <c r="K359">
        <v>14</v>
      </c>
      <c r="L359">
        <v>9</v>
      </c>
      <c r="M359">
        <v>0</v>
      </c>
      <c r="N359">
        <v>0</v>
      </c>
      <c r="O359">
        <v>2</v>
      </c>
      <c r="P359">
        <v>9</v>
      </c>
      <c r="Q359">
        <v>0</v>
      </c>
      <c r="R359">
        <v>0</v>
      </c>
      <c r="S359">
        <v>66</v>
      </c>
      <c r="T359">
        <v>13.6</v>
      </c>
      <c r="U359">
        <v>141</v>
      </c>
      <c r="V359" s="19" t="s">
        <v>2684</v>
      </c>
      <c r="W359" s="19" t="s">
        <v>1665</v>
      </c>
      <c r="X359">
        <v>19</v>
      </c>
      <c r="Y359">
        <v>28</v>
      </c>
      <c r="Z359">
        <v>40.4</v>
      </c>
      <c r="AA359">
        <v>25</v>
      </c>
      <c r="AB359">
        <v>44</v>
      </c>
      <c r="AC359">
        <v>10</v>
      </c>
      <c r="AD359">
        <v>31</v>
      </c>
      <c r="AE359" s="19" t="s">
        <v>60</v>
      </c>
    </row>
    <row r="360" spans="1:31" x14ac:dyDescent="0.2">
      <c r="A360">
        <v>347</v>
      </c>
      <c r="B360" s="19" t="s">
        <v>860</v>
      </c>
      <c r="C360">
        <v>23</v>
      </c>
      <c r="D360" s="19" t="s">
        <v>377</v>
      </c>
      <c r="E360" s="19" t="s">
        <v>322</v>
      </c>
      <c r="F360">
        <v>55</v>
      </c>
      <c r="G360">
        <v>6</v>
      </c>
      <c r="H360">
        <v>12</v>
      </c>
      <c r="I360">
        <v>18</v>
      </c>
      <c r="J360">
        <v>-8</v>
      </c>
      <c r="K360">
        <v>12</v>
      </c>
      <c r="L360">
        <v>5</v>
      </c>
      <c r="M360">
        <v>1</v>
      </c>
      <c r="N360">
        <v>0</v>
      </c>
      <c r="O360">
        <v>0</v>
      </c>
      <c r="P360">
        <v>11</v>
      </c>
      <c r="Q360">
        <v>1</v>
      </c>
      <c r="R360">
        <v>0</v>
      </c>
      <c r="S360">
        <v>86</v>
      </c>
      <c r="T360">
        <v>7</v>
      </c>
      <c r="U360">
        <v>170</v>
      </c>
      <c r="V360" s="19" t="s">
        <v>2266</v>
      </c>
      <c r="W360" s="19" t="s">
        <v>1476</v>
      </c>
      <c r="X360">
        <v>0</v>
      </c>
      <c r="Y360">
        <v>1</v>
      </c>
      <c r="Z360">
        <v>0</v>
      </c>
      <c r="AA360">
        <v>30</v>
      </c>
      <c r="AB360">
        <v>8</v>
      </c>
      <c r="AC360">
        <v>10</v>
      </c>
      <c r="AD360">
        <v>36</v>
      </c>
      <c r="AE360" s="19" t="s">
        <v>60</v>
      </c>
    </row>
    <row r="361" spans="1:31" x14ac:dyDescent="0.2">
      <c r="A361">
        <v>348</v>
      </c>
      <c r="B361" s="19" t="s">
        <v>707</v>
      </c>
      <c r="C361">
        <v>33</v>
      </c>
      <c r="D361" s="19" t="s">
        <v>393</v>
      </c>
      <c r="E361" s="19" t="s">
        <v>338</v>
      </c>
      <c r="F361">
        <v>54</v>
      </c>
      <c r="G361">
        <v>7</v>
      </c>
      <c r="H361">
        <v>11</v>
      </c>
      <c r="I361">
        <v>18</v>
      </c>
      <c r="J361">
        <v>4</v>
      </c>
      <c r="K361">
        <v>27</v>
      </c>
      <c r="L361">
        <v>6</v>
      </c>
      <c r="M361">
        <v>0</v>
      </c>
      <c r="N361">
        <v>1</v>
      </c>
      <c r="O361">
        <v>2</v>
      </c>
      <c r="P361">
        <v>11</v>
      </c>
      <c r="Q361">
        <v>0</v>
      </c>
      <c r="R361">
        <v>0</v>
      </c>
      <c r="S361">
        <v>71</v>
      </c>
      <c r="T361">
        <v>9.9</v>
      </c>
      <c r="U361">
        <v>166</v>
      </c>
      <c r="V361" s="19" t="s">
        <v>2685</v>
      </c>
      <c r="W361" s="19" t="s">
        <v>1077</v>
      </c>
      <c r="X361">
        <v>24</v>
      </c>
      <c r="Y361">
        <v>27</v>
      </c>
      <c r="Z361">
        <v>47.1</v>
      </c>
      <c r="AA361">
        <v>37</v>
      </c>
      <c r="AB361">
        <v>91</v>
      </c>
      <c r="AC361">
        <v>11</v>
      </c>
      <c r="AD361">
        <v>30</v>
      </c>
      <c r="AE361" s="19" t="s">
        <v>60</v>
      </c>
    </row>
    <row r="362" spans="1:31" x14ac:dyDescent="0.2">
      <c r="A362">
        <v>349</v>
      </c>
      <c r="B362" s="19" t="s">
        <v>671</v>
      </c>
      <c r="C362">
        <v>32</v>
      </c>
      <c r="D362" s="19" t="s">
        <v>357</v>
      </c>
      <c r="E362" s="19" t="s">
        <v>347</v>
      </c>
      <c r="F362">
        <v>56</v>
      </c>
      <c r="G362">
        <v>3</v>
      </c>
      <c r="H362">
        <v>15</v>
      </c>
      <c r="I362">
        <v>18</v>
      </c>
      <c r="J362">
        <v>15</v>
      </c>
      <c r="K362">
        <v>31</v>
      </c>
      <c r="L362">
        <v>3</v>
      </c>
      <c r="M362">
        <v>0</v>
      </c>
      <c r="N362">
        <v>0</v>
      </c>
      <c r="O362">
        <v>0</v>
      </c>
      <c r="P362">
        <v>15</v>
      </c>
      <c r="Q362">
        <v>0</v>
      </c>
      <c r="R362">
        <v>0</v>
      </c>
      <c r="S362">
        <v>51</v>
      </c>
      <c r="T362">
        <v>5.9</v>
      </c>
      <c r="U362">
        <v>119</v>
      </c>
      <c r="V362" s="19" t="s">
        <v>2686</v>
      </c>
      <c r="W362" s="19" t="s">
        <v>2687</v>
      </c>
      <c r="X362">
        <v>0</v>
      </c>
      <c r="Y362">
        <v>0</v>
      </c>
      <c r="AA362">
        <v>136</v>
      </c>
      <c r="AB362">
        <v>79</v>
      </c>
      <c r="AC362">
        <v>18</v>
      </c>
      <c r="AD362">
        <v>66</v>
      </c>
      <c r="AE362" s="19" t="s">
        <v>60</v>
      </c>
    </row>
    <row r="363" spans="1:31" x14ac:dyDescent="0.2">
      <c r="A363">
        <v>350</v>
      </c>
      <c r="B363" s="19" t="s">
        <v>493</v>
      </c>
      <c r="C363">
        <v>34</v>
      </c>
      <c r="D363" s="19" t="s">
        <v>380</v>
      </c>
      <c r="E363" s="19" t="s">
        <v>334</v>
      </c>
      <c r="F363">
        <v>25</v>
      </c>
      <c r="G363">
        <v>6</v>
      </c>
      <c r="H363">
        <v>12</v>
      </c>
      <c r="I363">
        <v>18</v>
      </c>
      <c r="J363">
        <v>-2</v>
      </c>
      <c r="K363">
        <v>8</v>
      </c>
      <c r="L363">
        <v>4</v>
      </c>
      <c r="M363">
        <v>1</v>
      </c>
      <c r="N363">
        <v>1</v>
      </c>
      <c r="O363">
        <v>1</v>
      </c>
      <c r="P363">
        <v>8</v>
      </c>
      <c r="Q363">
        <v>4</v>
      </c>
      <c r="R363">
        <v>0</v>
      </c>
      <c r="S363">
        <v>71</v>
      </c>
      <c r="T363">
        <v>8.5</v>
      </c>
      <c r="U363">
        <v>126</v>
      </c>
      <c r="V363" s="19" t="s">
        <v>494</v>
      </c>
      <c r="W363" s="19" t="s">
        <v>495</v>
      </c>
      <c r="X363">
        <v>2</v>
      </c>
      <c r="Y363">
        <v>2</v>
      </c>
      <c r="Z363">
        <v>50</v>
      </c>
      <c r="AA363">
        <v>9</v>
      </c>
      <c r="AB363">
        <v>19</v>
      </c>
      <c r="AC363">
        <v>8</v>
      </c>
      <c r="AD363">
        <v>18</v>
      </c>
      <c r="AE363" s="19" t="s">
        <v>60</v>
      </c>
    </row>
    <row r="364" spans="1:31" x14ac:dyDescent="0.2">
      <c r="A364">
        <v>351</v>
      </c>
      <c r="B364" s="19" t="s">
        <v>787</v>
      </c>
      <c r="C364">
        <v>20</v>
      </c>
      <c r="D364" s="19" t="s">
        <v>368</v>
      </c>
      <c r="E364" s="19" t="s">
        <v>347</v>
      </c>
      <c r="F364">
        <v>58</v>
      </c>
      <c r="G364">
        <v>6</v>
      </c>
      <c r="H364">
        <v>12</v>
      </c>
      <c r="I364">
        <v>18</v>
      </c>
      <c r="J364">
        <v>-20</v>
      </c>
      <c r="K364">
        <v>16</v>
      </c>
      <c r="L364">
        <v>5</v>
      </c>
      <c r="M364">
        <v>1</v>
      </c>
      <c r="N364">
        <v>0</v>
      </c>
      <c r="O364">
        <v>1</v>
      </c>
      <c r="P364">
        <v>6</v>
      </c>
      <c r="Q364">
        <v>6</v>
      </c>
      <c r="R364">
        <v>0</v>
      </c>
      <c r="S364">
        <v>59</v>
      </c>
      <c r="T364">
        <v>10.199999999999999</v>
      </c>
      <c r="U364">
        <v>177</v>
      </c>
      <c r="V364" s="19" t="s">
        <v>2267</v>
      </c>
      <c r="W364" s="19" t="s">
        <v>517</v>
      </c>
      <c r="X364">
        <v>0</v>
      </c>
      <c r="Y364">
        <v>0</v>
      </c>
      <c r="AA364">
        <v>51</v>
      </c>
      <c r="AB364">
        <v>15</v>
      </c>
      <c r="AC364">
        <v>8</v>
      </c>
      <c r="AD364">
        <v>53</v>
      </c>
      <c r="AE364" s="19" t="s">
        <v>60</v>
      </c>
    </row>
    <row r="365" spans="1:31" x14ac:dyDescent="0.2">
      <c r="A365">
        <v>352</v>
      </c>
      <c r="B365" s="19" t="s">
        <v>676</v>
      </c>
      <c r="C365">
        <v>34</v>
      </c>
      <c r="D365" s="19" t="s">
        <v>401</v>
      </c>
      <c r="E365" s="19" t="s">
        <v>347</v>
      </c>
      <c r="F365">
        <v>58</v>
      </c>
      <c r="G365">
        <v>4</v>
      </c>
      <c r="H365">
        <v>14</v>
      </c>
      <c r="I365">
        <v>18</v>
      </c>
      <c r="J365">
        <v>26</v>
      </c>
      <c r="K365">
        <v>16</v>
      </c>
      <c r="L365">
        <v>4</v>
      </c>
      <c r="M365">
        <v>0</v>
      </c>
      <c r="N365">
        <v>0</v>
      </c>
      <c r="O365">
        <v>1</v>
      </c>
      <c r="P365">
        <v>14</v>
      </c>
      <c r="Q365">
        <v>0</v>
      </c>
      <c r="R365">
        <v>0</v>
      </c>
      <c r="S365">
        <v>60</v>
      </c>
      <c r="T365">
        <v>6.7</v>
      </c>
      <c r="U365">
        <v>162</v>
      </c>
      <c r="V365" s="19" t="s">
        <v>2688</v>
      </c>
      <c r="W365" s="19" t="s">
        <v>1647</v>
      </c>
      <c r="X365">
        <v>0</v>
      </c>
      <c r="Y365">
        <v>0</v>
      </c>
      <c r="AA365">
        <v>67</v>
      </c>
      <c r="AB365">
        <v>60</v>
      </c>
      <c r="AC365">
        <v>12</v>
      </c>
      <c r="AD365">
        <v>57</v>
      </c>
      <c r="AE365" s="19" t="s">
        <v>60</v>
      </c>
    </row>
    <row r="366" spans="1:31" x14ac:dyDescent="0.2">
      <c r="A366">
        <v>353</v>
      </c>
      <c r="B366" s="19" t="s">
        <v>876</v>
      </c>
      <c r="C366">
        <v>34</v>
      </c>
      <c r="D366" s="19" t="s">
        <v>342</v>
      </c>
      <c r="E366" s="19" t="s">
        <v>334</v>
      </c>
      <c r="F366">
        <v>54</v>
      </c>
      <c r="G366">
        <v>10</v>
      </c>
      <c r="H366">
        <v>8</v>
      </c>
      <c r="I366">
        <v>18</v>
      </c>
      <c r="J366">
        <v>-8</v>
      </c>
      <c r="K366">
        <v>2</v>
      </c>
      <c r="L366">
        <v>8</v>
      </c>
      <c r="M366">
        <v>1</v>
      </c>
      <c r="N366">
        <v>1</v>
      </c>
      <c r="O366">
        <v>1</v>
      </c>
      <c r="P366">
        <v>8</v>
      </c>
      <c r="Q366">
        <v>0</v>
      </c>
      <c r="R366">
        <v>0</v>
      </c>
      <c r="S366">
        <v>62</v>
      </c>
      <c r="T366">
        <v>16.100000000000001</v>
      </c>
      <c r="U366">
        <v>122</v>
      </c>
      <c r="V366" s="19" t="s">
        <v>2149</v>
      </c>
      <c r="W366" s="19" t="s">
        <v>1866</v>
      </c>
      <c r="X366">
        <v>17</v>
      </c>
      <c r="Y366">
        <v>36</v>
      </c>
      <c r="Z366">
        <v>32.1</v>
      </c>
      <c r="AA366">
        <v>11</v>
      </c>
      <c r="AB366">
        <v>21</v>
      </c>
      <c r="AC366">
        <v>10</v>
      </c>
      <c r="AD366">
        <v>52</v>
      </c>
      <c r="AE366" s="19" t="s">
        <v>60</v>
      </c>
    </row>
    <row r="367" spans="1:31" x14ac:dyDescent="0.2">
      <c r="A367">
        <v>354</v>
      </c>
      <c r="B367" s="19" t="s">
        <v>753</v>
      </c>
      <c r="C367">
        <v>27</v>
      </c>
      <c r="D367" s="19" t="s">
        <v>344</v>
      </c>
      <c r="E367" s="19" t="s">
        <v>347</v>
      </c>
      <c r="F367">
        <v>56</v>
      </c>
      <c r="G367">
        <v>9</v>
      </c>
      <c r="H367">
        <v>9</v>
      </c>
      <c r="I367">
        <v>18</v>
      </c>
      <c r="J367">
        <v>-4</v>
      </c>
      <c r="K367">
        <v>97</v>
      </c>
      <c r="L367">
        <v>9</v>
      </c>
      <c r="M367">
        <v>0</v>
      </c>
      <c r="N367">
        <v>0</v>
      </c>
      <c r="O367">
        <v>1</v>
      </c>
      <c r="P367">
        <v>9</v>
      </c>
      <c r="Q367">
        <v>0</v>
      </c>
      <c r="R367">
        <v>0</v>
      </c>
      <c r="S367">
        <v>64</v>
      </c>
      <c r="T367">
        <v>14.1</v>
      </c>
      <c r="U367">
        <v>189</v>
      </c>
      <c r="V367" s="19" t="s">
        <v>2689</v>
      </c>
      <c r="W367" s="19" t="s">
        <v>1871</v>
      </c>
      <c r="X367">
        <v>0</v>
      </c>
      <c r="Y367">
        <v>0</v>
      </c>
      <c r="AA367">
        <v>68</v>
      </c>
      <c r="AB367">
        <v>93</v>
      </c>
      <c r="AC367">
        <v>10</v>
      </c>
      <c r="AD367">
        <v>48</v>
      </c>
      <c r="AE367" s="19" t="s">
        <v>60</v>
      </c>
    </row>
    <row r="368" spans="1:31" x14ac:dyDescent="0.2">
      <c r="A368">
        <v>355</v>
      </c>
      <c r="B368" s="19" t="s">
        <v>1069</v>
      </c>
      <c r="C368">
        <v>26</v>
      </c>
      <c r="D368" s="19" t="s">
        <v>933</v>
      </c>
      <c r="E368" s="19" t="s">
        <v>322</v>
      </c>
      <c r="F368">
        <v>38</v>
      </c>
      <c r="G368">
        <v>7</v>
      </c>
      <c r="H368">
        <v>11</v>
      </c>
      <c r="I368">
        <v>18</v>
      </c>
      <c r="J368">
        <v>9</v>
      </c>
      <c r="K368">
        <v>10</v>
      </c>
      <c r="L368">
        <v>7</v>
      </c>
      <c r="M368">
        <v>0</v>
      </c>
      <c r="N368">
        <v>0</v>
      </c>
      <c r="O368">
        <v>1</v>
      </c>
      <c r="P368">
        <v>11</v>
      </c>
      <c r="Q368">
        <v>0</v>
      </c>
      <c r="R368">
        <v>0</v>
      </c>
      <c r="S368">
        <v>58</v>
      </c>
      <c r="T368">
        <v>12.1</v>
      </c>
      <c r="U368">
        <v>111</v>
      </c>
      <c r="V368" s="19" t="s">
        <v>2083</v>
      </c>
      <c r="W368" s="19" t="s">
        <v>1313</v>
      </c>
      <c r="X368">
        <v>3</v>
      </c>
      <c r="Y368">
        <v>13</v>
      </c>
      <c r="Z368">
        <v>18.8</v>
      </c>
      <c r="AA368">
        <v>13</v>
      </c>
      <c r="AB368">
        <v>40</v>
      </c>
      <c r="AC368">
        <v>5</v>
      </c>
      <c r="AD368">
        <v>17</v>
      </c>
      <c r="AE368" s="19" t="s">
        <v>60</v>
      </c>
    </row>
    <row r="369" spans="1:31" x14ac:dyDescent="0.2">
      <c r="A369">
        <v>355</v>
      </c>
      <c r="B369" s="19" t="s">
        <v>1069</v>
      </c>
      <c r="C369">
        <v>26</v>
      </c>
      <c r="D369" s="19" t="s">
        <v>502</v>
      </c>
      <c r="E369" s="19" t="s">
        <v>322</v>
      </c>
      <c r="F369">
        <v>8</v>
      </c>
      <c r="G369">
        <v>0</v>
      </c>
      <c r="H369">
        <v>1</v>
      </c>
      <c r="I369">
        <v>1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7</v>
      </c>
      <c r="T369">
        <v>0</v>
      </c>
      <c r="U369">
        <v>13</v>
      </c>
      <c r="V369" s="19" t="s">
        <v>1070</v>
      </c>
      <c r="W369" s="19" t="s">
        <v>1071</v>
      </c>
      <c r="X369">
        <v>1</v>
      </c>
      <c r="Y369">
        <v>0</v>
      </c>
      <c r="Z369">
        <v>100</v>
      </c>
      <c r="AA369">
        <v>1</v>
      </c>
      <c r="AB369">
        <v>9</v>
      </c>
      <c r="AC369">
        <v>1</v>
      </c>
      <c r="AD369">
        <v>2</v>
      </c>
      <c r="AE369" s="19" t="s">
        <v>60</v>
      </c>
    </row>
    <row r="370" spans="1:31" x14ac:dyDescent="0.2">
      <c r="A370">
        <v>355</v>
      </c>
      <c r="B370" s="19" t="s">
        <v>1069</v>
      </c>
      <c r="C370">
        <v>26</v>
      </c>
      <c r="D370" s="19" t="s">
        <v>361</v>
      </c>
      <c r="E370" s="19" t="s">
        <v>322</v>
      </c>
      <c r="F370">
        <v>30</v>
      </c>
      <c r="G370">
        <v>7</v>
      </c>
      <c r="H370">
        <v>10</v>
      </c>
      <c r="I370">
        <v>17</v>
      </c>
      <c r="J370">
        <v>9</v>
      </c>
      <c r="K370">
        <v>8</v>
      </c>
      <c r="L370">
        <v>7</v>
      </c>
      <c r="M370">
        <v>0</v>
      </c>
      <c r="N370">
        <v>0</v>
      </c>
      <c r="O370">
        <v>1</v>
      </c>
      <c r="P370">
        <v>10</v>
      </c>
      <c r="Q370">
        <v>0</v>
      </c>
      <c r="R370">
        <v>0</v>
      </c>
      <c r="S370">
        <v>51</v>
      </c>
      <c r="T370">
        <v>13.7</v>
      </c>
      <c r="U370">
        <v>98</v>
      </c>
      <c r="V370" s="19" t="s">
        <v>2084</v>
      </c>
      <c r="W370" s="19" t="s">
        <v>1077</v>
      </c>
      <c r="X370">
        <v>2</v>
      </c>
      <c r="Y370">
        <v>13</v>
      </c>
      <c r="Z370">
        <v>13.3</v>
      </c>
      <c r="AA370">
        <v>12</v>
      </c>
      <c r="AB370">
        <v>31</v>
      </c>
      <c r="AC370">
        <v>4</v>
      </c>
      <c r="AD370">
        <v>15</v>
      </c>
      <c r="AE370" s="19" t="s">
        <v>60</v>
      </c>
    </row>
    <row r="371" spans="1:31" x14ac:dyDescent="0.2">
      <c r="A371">
        <v>356</v>
      </c>
      <c r="B371" s="19" t="s">
        <v>1840</v>
      </c>
      <c r="C371">
        <v>24</v>
      </c>
      <c r="D371" s="19" t="s">
        <v>933</v>
      </c>
      <c r="E371" s="19" t="s">
        <v>334</v>
      </c>
      <c r="F371">
        <v>47</v>
      </c>
      <c r="G371">
        <v>11</v>
      </c>
      <c r="H371">
        <v>7</v>
      </c>
      <c r="I371">
        <v>18</v>
      </c>
      <c r="J371">
        <v>-2</v>
      </c>
      <c r="K371">
        <v>6</v>
      </c>
      <c r="L371">
        <v>11</v>
      </c>
      <c r="M371">
        <v>0</v>
      </c>
      <c r="N371">
        <v>0</v>
      </c>
      <c r="O371">
        <v>3</v>
      </c>
      <c r="P371">
        <v>7</v>
      </c>
      <c r="Q371">
        <v>0</v>
      </c>
      <c r="R371">
        <v>0</v>
      </c>
      <c r="S371">
        <v>74</v>
      </c>
      <c r="T371">
        <v>14.9</v>
      </c>
      <c r="U371">
        <v>158</v>
      </c>
      <c r="V371" s="19" t="s">
        <v>2690</v>
      </c>
      <c r="W371" s="19" t="s">
        <v>1931</v>
      </c>
      <c r="X371">
        <v>3</v>
      </c>
      <c r="Y371">
        <v>6</v>
      </c>
      <c r="Z371">
        <v>33.299999999999997</v>
      </c>
      <c r="AA371">
        <v>14</v>
      </c>
      <c r="AB371">
        <v>38</v>
      </c>
      <c r="AC371">
        <v>7</v>
      </c>
      <c r="AD371">
        <v>24</v>
      </c>
      <c r="AE371" s="19" t="s">
        <v>60</v>
      </c>
    </row>
    <row r="372" spans="1:31" x14ac:dyDescent="0.2">
      <c r="A372">
        <v>356</v>
      </c>
      <c r="B372" s="19" t="s">
        <v>1840</v>
      </c>
      <c r="C372">
        <v>24</v>
      </c>
      <c r="D372" s="19" t="s">
        <v>377</v>
      </c>
      <c r="E372" s="19" t="s">
        <v>334</v>
      </c>
      <c r="F372">
        <v>29</v>
      </c>
      <c r="G372">
        <v>3</v>
      </c>
      <c r="H372">
        <v>3</v>
      </c>
      <c r="I372">
        <v>6</v>
      </c>
      <c r="J372">
        <v>-6</v>
      </c>
      <c r="K372">
        <v>6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36</v>
      </c>
      <c r="T372">
        <v>8.3000000000000007</v>
      </c>
      <c r="U372">
        <v>79</v>
      </c>
      <c r="V372" s="19" t="s">
        <v>1586</v>
      </c>
      <c r="W372" s="19" t="s">
        <v>1587</v>
      </c>
      <c r="X372">
        <v>0</v>
      </c>
      <c r="Y372">
        <v>0</v>
      </c>
      <c r="AA372">
        <v>8</v>
      </c>
      <c r="AB372">
        <v>28</v>
      </c>
      <c r="AC372">
        <v>3</v>
      </c>
      <c r="AD372">
        <v>15</v>
      </c>
      <c r="AE372" s="19" t="s">
        <v>60</v>
      </c>
    </row>
    <row r="373" spans="1:31" x14ac:dyDescent="0.2">
      <c r="A373">
        <v>356</v>
      </c>
      <c r="B373" s="19" t="s">
        <v>1840</v>
      </c>
      <c r="C373">
        <v>24</v>
      </c>
      <c r="D373" s="19" t="s">
        <v>373</v>
      </c>
      <c r="E373" s="19" t="s">
        <v>334</v>
      </c>
      <c r="F373">
        <v>18</v>
      </c>
      <c r="G373">
        <v>8</v>
      </c>
      <c r="H373">
        <v>4</v>
      </c>
      <c r="I373">
        <v>12</v>
      </c>
      <c r="J373">
        <v>4</v>
      </c>
      <c r="K373">
        <v>0</v>
      </c>
      <c r="L373">
        <v>8</v>
      </c>
      <c r="M373">
        <v>0</v>
      </c>
      <c r="N373">
        <v>0</v>
      </c>
      <c r="O373">
        <v>3</v>
      </c>
      <c r="P373">
        <v>4</v>
      </c>
      <c r="Q373">
        <v>0</v>
      </c>
      <c r="R373">
        <v>0</v>
      </c>
      <c r="S373">
        <v>38</v>
      </c>
      <c r="T373">
        <v>21.1</v>
      </c>
      <c r="U373">
        <v>79</v>
      </c>
      <c r="V373" s="19" t="s">
        <v>2691</v>
      </c>
      <c r="W373" s="19" t="s">
        <v>2692</v>
      </c>
      <c r="X373">
        <v>3</v>
      </c>
      <c r="Y373">
        <v>6</v>
      </c>
      <c r="Z373">
        <v>33.299999999999997</v>
      </c>
      <c r="AA373">
        <v>6</v>
      </c>
      <c r="AB373">
        <v>10</v>
      </c>
      <c r="AC373">
        <v>4</v>
      </c>
      <c r="AD373">
        <v>9</v>
      </c>
      <c r="AE373" s="19" t="s">
        <v>60</v>
      </c>
    </row>
    <row r="374" spans="1:31" x14ac:dyDescent="0.2">
      <c r="A374">
        <v>357</v>
      </c>
      <c r="B374" s="19" t="s">
        <v>794</v>
      </c>
      <c r="C374">
        <v>27</v>
      </c>
      <c r="D374" s="19" t="s">
        <v>344</v>
      </c>
      <c r="E374" s="19" t="s">
        <v>322</v>
      </c>
      <c r="F374">
        <v>48</v>
      </c>
      <c r="G374">
        <v>7</v>
      </c>
      <c r="H374">
        <v>10</v>
      </c>
      <c r="I374">
        <v>17</v>
      </c>
      <c r="J374">
        <v>5</v>
      </c>
      <c r="K374">
        <v>24</v>
      </c>
      <c r="L374">
        <v>5</v>
      </c>
      <c r="M374">
        <v>0</v>
      </c>
      <c r="N374">
        <v>2</v>
      </c>
      <c r="O374">
        <v>2</v>
      </c>
      <c r="P374">
        <v>10</v>
      </c>
      <c r="Q374">
        <v>0</v>
      </c>
      <c r="R374">
        <v>0</v>
      </c>
      <c r="S374">
        <v>73</v>
      </c>
      <c r="T374">
        <v>9.6</v>
      </c>
      <c r="U374">
        <v>128</v>
      </c>
      <c r="V374" s="19" t="s">
        <v>2693</v>
      </c>
      <c r="W374" s="19" t="s">
        <v>2614</v>
      </c>
      <c r="X374">
        <v>198</v>
      </c>
      <c r="Y374">
        <v>217</v>
      </c>
      <c r="Z374">
        <v>47.7</v>
      </c>
      <c r="AA374">
        <v>25</v>
      </c>
      <c r="AB374">
        <v>105</v>
      </c>
      <c r="AC374">
        <v>15</v>
      </c>
      <c r="AD374">
        <v>25</v>
      </c>
      <c r="AE374" s="19" t="s">
        <v>60</v>
      </c>
    </row>
    <row r="375" spans="1:31" x14ac:dyDescent="0.2">
      <c r="A375">
        <v>358</v>
      </c>
      <c r="B375" s="19" t="s">
        <v>763</v>
      </c>
      <c r="C375">
        <v>20</v>
      </c>
      <c r="D375" s="19" t="s">
        <v>357</v>
      </c>
      <c r="E375" s="19" t="s">
        <v>334</v>
      </c>
      <c r="F375">
        <v>43</v>
      </c>
      <c r="G375">
        <v>7</v>
      </c>
      <c r="H375">
        <v>10</v>
      </c>
      <c r="I375">
        <v>17</v>
      </c>
      <c r="J375">
        <v>2</v>
      </c>
      <c r="K375">
        <v>14</v>
      </c>
      <c r="L375">
        <v>7</v>
      </c>
      <c r="M375">
        <v>0</v>
      </c>
      <c r="N375">
        <v>0</v>
      </c>
      <c r="O375">
        <v>1</v>
      </c>
      <c r="P375">
        <v>9</v>
      </c>
      <c r="Q375">
        <v>1</v>
      </c>
      <c r="R375">
        <v>0</v>
      </c>
      <c r="S375">
        <v>65</v>
      </c>
      <c r="T375">
        <v>10.8</v>
      </c>
      <c r="U375">
        <v>123</v>
      </c>
      <c r="V375" s="19" t="s">
        <v>2085</v>
      </c>
      <c r="W375" s="19" t="s">
        <v>1824</v>
      </c>
      <c r="X375">
        <v>2</v>
      </c>
      <c r="Y375">
        <v>4</v>
      </c>
      <c r="Z375">
        <v>33.299999999999997</v>
      </c>
      <c r="AA375">
        <v>23</v>
      </c>
      <c r="AB375">
        <v>45</v>
      </c>
      <c r="AC375">
        <v>6</v>
      </c>
      <c r="AD375">
        <v>43</v>
      </c>
      <c r="AE375" s="19" t="s">
        <v>60</v>
      </c>
    </row>
    <row r="376" spans="1:31" x14ac:dyDescent="0.2">
      <c r="A376">
        <v>359</v>
      </c>
      <c r="B376" s="19" t="s">
        <v>624</v>
      </c>
      <c r="C376">
        <v>32</v>
      </c>
      <c r="D376" s="19" t="s">
        <v>344</v>
      </c>
      <c r="E376" s="19" t="s">
        <v>347</v>
      </c>
      <c r="F376">
        <v>57</v>
      </c>
      <c r="G376">
        <v>3</v>
      </c>
      <c r="H376">
        <v>14</v>
      </c>
      <c r="I376">
        <v>17</v>
      </c>
      <c r="J376">
        <v>10</v>
      </c>
      <c r="K376">
        <v>34</v>
      </c>
      <c r="L376">
        <v>3</v>
      </c>
      <c r="M376">
        <v>0</v>
      </c>
      <c r="N376">
        <v>0</v>
      </c>
      <c r="O376">
        <v>0</v>
      </c>
      <c r="P376">
        <v>13</v>
      </c>
      <c r="Q376">
        <v>0</v>
      </c>
      <c r="R376">
        <v>1</v>
      </c>
      <c r="S376">
        <v>55</v>
      </c>
      <c r="T376">
        <v>5.5</v>
      </c>
      <c r="U376">
        <v>136</v>
      </c>
      <c r="V376" s="19" t="s">
        <v>2694</v>
      </c>
      <c r="W376" s="19" t="s">
        <v>1366</v>
      </c>
      <c r="X376">
        <v>0</v>
      </c>
      <c r="Y376">
        <v>0</v>
      </c>
      <c r="AA376">
        <v>82</v>
      </c>
      <c r="AB376">
        <v>84</v>
      </c>
      <c r="AC376">
        <v>18</v>
      </c>
      <c r="AD376">
        <v>58</v>
      </c>
      <c r="AE376" s="19" t="s">
        <v>60</v>
      </c>
    </row>
    <row r="377" spans="1:31" x14ac:dyDescent="0.2">
      <c r="A377">
        <v>360</v>
      </c>
      <c r="B377" s="19" t="s">
        <v>734</v>
      </c>
      <c r="C377">
        <v>22</v>
      </c>
      <c r="D377" s="19" t="s">
        <v>368</v>
      </c>
      <c r="E377" s="19" t="s">
        <v>347</v>
      </c>
      <c r="F377">
        <v>48</v>
      </c>
      <c r="G377">
        <v>6</v>
      </c>
      <c r="H377">
        <v>11</v>
      </c>
      <c r="I377">
        <v>17</v>
      </c>
      <c r="J377">
        <v>6</v>
      </c>
      <c r="K377">
        <v>54</v>
      </c>
      <c r="L377">
        <v>6</v>
      </c>
      <c r="M377">
        <v>0</v>
      </c>
      <c r="N377">
        <v>0</v>
      </c>
      <c r="O377">
        <v>2</v>
      </c>
      <c r="P377">
        <v>9</v>
      </c>
      <c r="Q377">
        <v>1</v>
      </c>
      <c r="R377">
        <v>1</v>
      </c>
      <c r="S377">
        <v>57</v>
      </c>
      <c r="T377">
        <v>10.5</v>
      </c>
      <c r="U377">
        <v>139</v>
      </c>
      <c r="V377" s="19" t="s">
        <v>2000</v>
      </c>
      <c r="W377" s="19" t="s">
        <v>1630</v>
      </c>
      <c r="X377">
        <v>0</v>
      </c>
      <c r="Y377">
        <v>0</v>
      </c>
      <c r="AA377">
        <v>104</v>
      </c>
      <c r="AB377">
        <v>63</v>
      </c>
      <c r="AC377">
        <v>18</v>
      </c>
      <c r="AD377">
        <v>56</v>
      </c>
      <c r="AE377" s="19" t="s">
        <v>60</v>
      </c>
    </row>
    <row r="378" spans="1:31" x14ac:dyDescent="0.2">
      <c r="A378">
        <v>361</v>
      </c>
      <c r="B378" s="19" t="s">
        <v>625</v>
      </c>
      <c r="C378">
        <v>29</v>
      </c>
      <c r="D378" s="19" t="s">
        <v>353</v>
      </c>
      <c r="E378" s="19" t="s">
        <v>322</v>
      </c>
      <c r="F378">
        <v>44</v>
      </c>
      <c r="G378">
        <v>8</v>
      </c>
      <c r="H378">
        <v>9</v>
      </c>
      <c r="I378">
        <v>17</v>
      </c>
      <c r="J378">
        <v>-3</v>
      </c>
      <c r="K378">
        <v>27</v>
      </c>
      <c r="L378">
        <v>7</v>
      </c>
      <c r="M378">
        <v>1</v>
      </c>
      <c r="N378">
        <v>0</v>
      </c>
      <c r="O378">
        <v>1</v>
      </c>
      <c r="P378">
        <v>6</v>
      </c>
      <c r="Q378">
        <v>3</v>
      </c>
      <c r="R378">
        <v>0</v>
      </c>
      <c r="S378">
        <v>86</v>
      </c>
      <c r="T378">
        <v>9.3000000000000007</v>
      </c>
      <c r="U378">
        <v>148</v>
      </c>
      <c r="V378" s="19" t="s">
        <v>2268</v>
      </c>
      <c r="W378" s="19" t="s">
        <v>1741</v>
      </c>
      <c r="X378">
        <v>2</v>
      </c>
      <c r="Y378">
        <v>3</v>
      </c>
      <c r="Z378">
        <v>40</v>
      </c>
      <c r="AA378">
        <v>12</v>
      </c>
      <c r="AB378">
        <v>34</v>
      </c>
      <c r="AC378">
        <v>2</v>
      </c>
      <c r="AD378">
        <v>31</v>
      </c>
      <c r="AE378" s="19" t="s">
        <v>60</v>
      </c>
    </row>
    <row r="379" spans="1:31" x14ac:dyDescent="0.2">
      <c r="A379">
        <v>362</v>
      </c>
      <c r="B379" s="19" t="s">
        <v>690</v>
      </c>
      <c r="C379">
        <v>32</v>
      </c>
      <c r="D379" s="19" t="s">
        <v>333</v>
      </c>
      <c r="E379" s="19" t="s">
        <v>322</v>
      </c>
      <c r="F379">
        <v>56</v>
      </c>
      <c r="G379">
        <v>2</v>
      </c>
      <c r="H379">
        <v>15</v>
      </c>
      <c r="I379">
        <v>17</v>
      </c>
      <c r="J379">
        <v>1</v>
      </c>
      <c r="K379">
        <v>16</v>
      </c>
      <c r="L379">
        <v>1</v>
      </c>
      <c r="M379">
        <v>0</v>
      </c>
      <c r="N379">
        <v>1</v>
      </c>
      <c r="O379">
        <v>0</v>
      </c>
      <c r="P379">
        <v>13</v>
      </c>
      <c r="Q379">
        <v>0</v>
      </c>
      <c r="R379">
        <v>2</v>
      </c>
      <c r="S379">
        <v>33</v>
      </c>
      <c r="T379">
        <v>6.1</v>
      </c>
      <c r="U379">
        <v>74</v>
      </c>
      <c r="V379" s="19" t="s">
        <v>2269</v>
      </c>
      <c r="W379" s="19" t="s">
        <v>1991</v>
      </c>
      <c r="X379">
        <v>225</v>
      </c>
      <c r="Y379">
        <v>192</v>
      </c>
      <c r="Z379">
        <v>54</v>
      </c>
      <c r="AA379">
        <v>42</v>
      </c>
      <c r="AB379">
        <v>75</v>
      </c>
      <c r="AC379">
        <v>14</v>
      </c>
      <c r="AD379">
        <v>18</v>
      </c>
      <c r="AE379" s="19" t="s">
        <v>60</v>
      </c>
    </row>
    <row r="380" spans="1:31" x14ac:dyDescent="0.2">
      <c r="A380">
        <v>363</v>
      </c>
      <c r="B380" s="19" t="s">
        <v>1026</v>
      </c>
      <c r="C380">
        <v>32</v>
      </c>
      <c r="D380" s="19" t="s">
        <v>520</v>
      </c>
      <c r="E380" s="19" t="s">
        <v>322</v>
      </c>
      <c r="F380">
        <v>44</v>
      </c>
      <c r="G380">
        <v>4</v>
      </c>
      <c r="H380">
        <v>13</v>
      </c>
      <c r="I380">
        <v>17</v>
      </c>
      <c r="J380">
        <v>6</v>
      </c>
      <c r="K380">
        <v>11</v>
      </c>
      <c r="L380">
        <v>3</v>
      </c>
      <c r="M380">
        <v>1</v>
      </c>
      <c r="N380">
        <v>0</v>
      </c>
      <c r="O380">
        <v>0</v>
      </c>
      <c r="P380">
        <v>11</v>
      </c>
      <c r="Q380">
        <v>2</v>
      </c>
      <c r="R380">
        <v>0</v>
      </c>
      <c r="S380">
        <v>43</v>
      </c>
      <c r="T380">
        <v>9.3000000000000007</v>
      </c>
      <c r="U380">
        <v>97</v>
      </c>
      <c r="V380" s="19" t="s">
        <v>2695</v>
      </c>
      <c r="W380" s="19" t="s">
        <v>1829</v>
      </c>
      <c r="X380">
        <v>195</v>
      </c>
      <c r="Y380">
        <v>252</v>
      </c>
      <c r="Z380">
        <v>43.6</v>
      </c>
      <c r="AA380">
        <v>36</v>
      </c>
      <c r="AB380">
        <v>17</v>
      </c>
      <c r="AC380">
        <v>19</v>
      </c>
      <c r="AD380">
        <v>28</v>
      </c>
      <c r="AE380" s="19" t="s">
        <v>60</v>
      </c>
    </row>
    <row r="381" spans="1:31" x14ac:dyDescent="0.2">
      <c r="A381">
        <v>364</v>
      </c>
      <c r="B381" s="19" t="s">
        <v>512</v>
      </c>
      <c r="C381">
        <v>24</v>
      </c>
      <c r="D381" s="19" t="s">
        <v>502</v>
      </c>
      <c r="E381" s="19" t="s">
        <v>322</v>
      </c>
      <c r="F381">
        <v>34</v>
      </c>
      <c r="G381">
        <v>8</v>
      </c>
      <c r="H381">
        <v>9</v>
      </c>
      <c r="I381">
        <v>17</v>
      </c>
      <c r="J381">
        <v>-13</v>
      </c>
      <c r="K381">
        <v>11</v>
      </c>
      <c r="L381">
        <v>7</v>
      </c>
      <c r="M381">
        <v>1</v>
      </c>
      <c r="N381">
        <v>0</v>
      </c>
      <c r="O381">
        <v>1</v>
      </c>
      <c r="P381">
        <v>7</v>
      </c>
      <c r="Q381">
        <v>2</v>
      </c>
      <c r="R381">
        <v>0</v>
      </c>
      <c r="S381">
        <v>79</v>
      </c>
      <c r="T381">
        <v>10.1</v>
      </c>
      <c r="U381">
        <v>151</v>
      </c>
      <c r="V381" s="19" t="s">
        <v>1920</v>
      </c>
      <c r="W381" s="19" t="s">
        <v>1883</v>
      </c>
      <c r="X381">
        <v>11</v>
      </c>
      <c r="Y381">
        <v>10</v>
      </c>
      <c r="Z381">
        <v>52.4</v>
      </c>
      <c r="AA381">
        <v>27</v>
      </c>
      <c r="AB381">
        <v>91</v>
      </c>
      <c r="AC381">
        <v>4</v>
      </c>
      <c r="AD381">
        <v>21</v>
      </c>
      <c r="AE381" s="19" t="s">
        <v>60</v>
      </c>
    </row>
    <row r="382" spans="1:31" x14ac:dyDescent="0.2">
      <c r="A382">
        <v>365</v>
      </c>
      <c r="B382" s="19" t="s">
        <v>743</v>
      </c>
      <c r="C382">
        <v>26</v>
      </c>
      <c r="D382" s="19" t="s">
        <v>353</v>
      </c>
      <c r="E382" s="19" t="s">
        <v>322</v>
      </c>
      <c r="F382">
        <v>57</v>
      </c>
      <c r="G382">
        <v>9</v>
      </c>
      <c r="H382">
        <v>8</v>
      </c>
      <c r="I382">
        <v>17</v>
      </c>
      <c r="J382">
        <v>5</v>
      </c>
      <c r="K382">
        <v>108</v>
      </c>
      <c r="L382">
        <v>8</v>
      </c>
      <c r="M382">
        <v>0</v>
      </c>
      <c r="N382">
        <v>1</v>
      </c>
      <c r="O382">
        <v>3</v>
      </c>
      <c r="P382">
        <v>7</v>
      </c>
      <c r="Q382">
        <v>1</v>
      </c>
      <c r="R382">
        <v>0</v>
      </c>
      <c r="S382">
        <v>73</v>
      </c>
      <c r="T382">
        <v>12.3</v>
      </c>
      <c r="U382">
        <v>152</v>
      </c>
      <c r="V382" s="19" t="s">
        <v>2270</v>
      </c>
      <c r="W382" s="19" t="s">
        <v>723</v>
      </c>
      <c r="X382">
        <v>256</v>
      </c>
      <c r="Y382">
        <v>169</v>
      </c>
      <c r="Z382">
        <v>60.2</v>
      </c>
      <c r="AA382">
        <v>46</v>
      </c>
      <c r="AB382">
        <v>158</v>
      </c>
      <c r="AC382">
        <v>22</v>
      </c>
      <c r="AD382">
        <v>32</v>
      </c>
      <c r="AE382" s="19" t="s">
        <v>60</v>
      </c>
    </row>
    <row r="383" spans="1:31" x14ac:dyDescent="0.2">
      <c r="A383">
        <v>366</v>
      </c>
      <c r="B383" s="19" t="s">
        <v>554</v>
      </c>
      <c r="C383">
        <v>26</v>
      </c>
      <c r="D383" s="19" t="s">
        <v>324</v>
      </c>
      <c r="E383" s="19" t="s">
        <v>322</v>
      </c>
      <c r="F383">
        <v>34</v>
      </c>
      <c r="G383">
        <v>7</v>
      </c>
      <c r="H383">
        <v>10</v>
      </c>
      <c r="I383">
        <v>17</v>
      </c>
      <c r="J383">
        <v>3</v>
      </c>
      <c r="K383">
        <v>10</v>
      </c>
      <c r="L383">
        <v>7</v>
      </c>
      <c r="M383">
        <v>0</v>
      </c>
      <c r="N383">
        <v>0</v>
      </c>
      <c r="O383">
        <v>1</v>
      </c>
      <c r="P383">
        <v>9</v>
      </c>
      <c r="Q383">
        <v>1</v>
      </c>
      <c r="R383">
        <v>0</v>
      </c>
      <c r="S383">
        <v>51</v>
      </c>
      <c r="T383">
        <v>13.7</v>
      </c>
      <c r="U383">
        <v>97</v>
      </c>
      <c r="V383" s="19" t="s">
        <v>2271</v>
      </c>
      <c r="W383" s="19" t="s">
        <v>2014</v>
      </c>
      <c r="X383">
        <v>26</v>
      </c>
      <c r="Y383">
        <v>32</v>
      </c>
      <c r="Z383">
        <v>44.8</v>
      </c>
      <c r="AA383">
        <v>10</v>
      </c>
      <c r="AB383">
        <v>34</v>
      </c>
      <c r="AC383">
        <v>6</v>
      </c>
      <c r="AD383">
        <v>29</v>
      </c>
      <c r="AE383" s="19" t="s">
        <v>60</v>
      </c>
    </row>
    <row r="384" spans="1:31" x14ac:dyDescent="0.2">
      <c r="A384">
        <v>367</v>
      </c>
      <c r="B384" s="19" t="s">
        <v>906</v>
      </c>
      <c r="C384">
        <v>28</v>
      </c>
      <c r="D384" s="19" t="s">
        <v>373</v>
      </c>
      <c r="E384" s="19" t="s">
        <v>322</v>
      </c>
      <c r="F384">
        <v>46</v>
      </c>
      <c r="G384">
        <v>6</v>
      </c>
      <c r="H384">
        <v>11</v>
      </c>
      <c r="I384">
        <v>17</v>
      </c>
      <c r="J384">
        <v>10</v>
      </c>
      <c r="K384">
        <v>21</v>
      </c>
      <c r="L384">
        <v>6</v>
      </c>
      <c r="M384">
        <v>0</v>
      </c>
      <c r="N384">
        <v>0</v>
      </c>
      <c r="O384">
        <v>1</v>
      </c>
      <c r="P384">
        <v>11</v>
      </c>
      <c r="Q384">
        <v>0</v>
      </c>
      <c r="R384">
        <v>0</v>
      </c>
      <c r="S384">
        <v>42</v>
      </c>
      <c r="T384">
        <v>14.3</v>
      </c>
      <c r="U384">
        <v>89</v>
      </c>
      <c r="V384" s="19" t="s">
        <v>2150</v>
      </c>
      <c r="W384" s="19" t="s">
        <v>1524</v>
      </c>
      <c r="X384">
        <v>203</v>
      </c>
      <c r="Y384">
        <v>190</v>
      </c>
      <c r="Z384">
        <v>51.7</v>
      </c>
      <c r="AA384">
        <v>25</v>
      </c>
      <c r="AB384">
        <v>41</v>
      </c>
      <c r="AC384">
        <v>8</v>
      </c>
      <c r="AD384">
        <v>27</v>
      </c>
      <c r="AE384" s="19" t="s">
        <v>60</v>
      </c>
    </row>
    <row r="385" spans="1:31" x14ac:dyDescent="0.2">
      <c r="A385">
        <v>368</v>
      </c>
      <c r="B385" s="19" t="s">
        <v>776</v>
      </c>
      <c r="C385">
        <v>35</v>
      </c>
      <c r="D385" s="19" t="s">
        <v>452</v>
      </c>
      <c r="E385" s="19" t="s">
        <v>322</v>
      </c>
      <c r="F385">
        <v>38</v>
      </c>
      <c r="G385">
        <v>10</v>
      </c>
      <c r="H385">
        <v>7</v>
      </c>
      <c r="I385">
        <v>17</v>
      </c>
      <c r="J385">
        <v>-18</v>
      </c>
      <c r="K385">
        <v>22</v>
      </c>
      <c r="L385">
        <v>6</v>
      </c>
      <c r="M385">
        <v>4</v>
      </c>
      <c r="N385">
        <v>0</v>
      </c>
      <c r="O385">
        <v>1</v>
      </c>
      <c r="P385">
        <v>6</v>
      </c>
      <c r="Q385">
        <v>1</v>
      </c>
      <c r="R385">
        <v>0</v>
      </c>
      <c r="S385">
        <v>89</v>
      </c>
      <c r="T385">
        <v>11.2</v>
      </c>
      <c r="U385">
        <v>174</v>
      </c>
      <c r="V385" s="19" t="s">
        <v>2696</v>
      </c>
      <c r="W385" s="19" t="s">
        <v>1611</v>
      </c>
      <c r="X385">
        <v>10</v>
      </c>
      <c r="Y385">
        <v>14</v>
      </c>
      <c r="Z385">
        <v>41.7</v>
      </c>
      <c r="AA385">
        <v>6</v>
      </c>
      <c r="AB385">
        <v>51</v>
      </c>
      <c r="AC385">
        <v>7</v>
      </c>
      <c r="AD385">
        <v>43</v>
      </c>
      <c r="AE385" s="19" t="s">
        <v>60</v>
      </c>
    </row>
    <row r="386" spans="1:31" x14ac:dyDescent="0.2">
      <c r="A386">
        <v>369</v>
      </c>
      <c r="B386" s="19" t="s">
        <v>915</v>
      </c>
      <c r="C386">
        <v>26</v>
      </c>
      <c r="D386" s="19" t="s">
        <v>423</v>
      </c>
      <c r="E386" s="19" t="s">
        <v>322</v>
      </c>
      <c r="F386">
        <v>20</v>
      </c>
      <c r="G386">
        <v>6</v>
      </c>
      <c r="H386">
        <v>11</v>
      </c>
      <c r="I386">
        <v>17</v>
      </c>
      <c r="J386">
        <v>0</v>
      </c>
      <c r="K386">
        <v>6</v>
      </c>
      <c r="L386">
        <v>5</v>
      </c>
      <c r="M386">
        <v>1</v>
      </c>
      <c r="N386">
        <v>0</v>
      </c>
      <c r="O386">
        <v>1</v>
      </c>
      <c r="P386">
        <v>6</v>
      </c>
      <c r="Q386">
        <v>5</v>
      </c>
      <c r="R386">
        <v>0</v>
      </c>
      <c r="S386">
        <v>28</v>
      </c>
      <c r="T386">
        <v>21.4</v>
      </c>
      <c r="U386">
        <v>62</v>
      </c>
      <c r="V386" s="19" t="s">
        <v>2697</v>
      </c>
      <c r="W386" s="19" t="s">
        <v>1617</v>
      </c>
      <c r="X386">
        <v>127</v>
      </c>
      <c r="Y386">
        <v>132</v>
      </c>
      <c r="Z386">
        <v>49</v>
      </c>
      <c r="AA386">
        <v>11</v>
      </c>
      <c r="AB386">
        <v>6</v>
      </c>
      <c r="AC386">
        <v>3</v>
      </c>
      <c r="AD386">
        <v>10</v>
      </c>
      <c r="AE386" s="19" t="s">
        <v>60</v>
      </c>
    </row>
    <row r="387" spans="1:31" x14ac:dyDescent="0.2">
      <c r="A387">
        <v>370</v>
      </c>
      <c r="B387" s="19" t="s">
        <v>749</v>
      </c>
      <c r="C387">
        <v>28</v>
      </c>
      <c r="D387" s="19" t="s">
        <v>377</v>
      </c>
      <c r="E387" s="19" t="s">
        <v>325</v>
      </c>
      <c r="F387">
        <v>43</v>
      </c>
      <c r="G387">
        <v>8</v>
      </c>
      <c r="H387">
        <v>9</v>
      </c>
      <c r="I387">
        <v>17</v>
      </c>
      <c r="J387">
        <v>9</v>
      </c>
      <c r="K387">
        <v>62</v>
      </c>
      <c r="L387">
        <v>8</v>
      </c>
      <c r="M387">
        <v>0</v>
      </c>
      <c r="N387">
        <v>0</v>
      </c>
      <c r="O387">
        <v>2</v>
      </c>
      <c r="P387">
        <v>9</v>
      </c>
      <c r="Q387">
        <v>0</v>
      </c>
      <c r="R387">
        <v>0</v>
      </c>
      <c r="S387">
        <v>55</v>
      </c>
      <c r="T387">
        <v>14.5</v>
      </c>
      <c r="U387">
        <v>123</v>
      </c>
      <c r="V387" s="19" t="s">
        <v>2272</v>
      </c>
      <c r="W387" s="19" t="s">
        <v>1885</v>
      </c>
      <c r="X387">
        <v>2</v>
      </c>
      <c r="Y387">
        <v>5</v>
      </c>
      <c r="Z387">
        <v>28.6</v>
      </c>
      <c r="AA387">
        <v>30</v>
      </c>
      <c r="AB387">
        <v>158</v>
      </c>
      <c r="AC387">
        <v>8</v>
      </c>
      <c r="AD387">
        <v>16</v>
      </c>
      <c r="AE387" s="19" t="s">
        <v>60</v>
      </c>
    </row>
    <row r="388" spans="1:31" x14ac:dyDescent="0.2">
      <c r="A388">
        <v>371</v>
      </c>
      <c r="B388" s="19" t="s">
        <v>817</v>
      </c>
      <c r="C388">
        <v>23</v>
      </c>
      <c r="D388" s="19" t="s">
        <v>423</v>
      </c>
      <c r="E388" s="19" t="s">
        <v>347</v>
      </c>
      <c r="F388">
        <v>57</v>
      </c>
      <c r="G388">
        <v>4</v>
      </c>
      <c r="H388">
        <v>13</v>
      </c>
      <c r="I388">
        <v>17</v>
      </c>
      <c r="J388">
        <v>2</v>
      </c>
      <c r="K388">
        <v>8</v>
      </c>
      <c r="L388">
        <v>4</v>
      </c>
      <c r="M388">
        <v>0</v>
      </c>
      <c r="N388">
        <v>0</v>
      </c>
      <c r="O388">
        <v>0</v>
      </c>
      <c r="P388">
        <v>11</v>
      </c>
      <c r="Q388">
        <v>0</v>
      </c>
      <c r="R388">
        <v>2</v>
      </c>
      <c r="S388">
        <v>87</v>
      </c>
      <c r="T388">
        <v>4.5999999999999996</v>
      </c>
      <c r="U388">
        <v>185</v>
      </c>
      <c r="V388" s="19" t="s">
        <v>2698</v>
      </c>
      <c r="W388" s="19" t="s">
        <v>1953</v>
      </c>
      <c r="X388">
        <v>0</v>
      </c>
      <c r="Y388">
        <v>0</v>
      </c>
      <c r="AA388">
        <v>61</v>
      </c>
      <c r="AB388">
        <v>27</v>
      </c>
      <c r="AC388">
        <v>17</v>
      </c>
      <c r="AD388">
        <v>60</v>
      </c>
      <c r="AE388" s="19" t="s">
        <v>60</v>
      </c>
    </row>
    <row r="389" spans="1:31" x14ac:dyDescent="0.2">
      <c r="A389">
        <v>372</v>
      </c>
      <c r="B389" s="19" t="s">
        <v>515</v>
      </c>
      <c r="C389">
        <v>34</v>
      </c>
      <c r="D389" s="19" t="s">
        <v>333</v>
      </c>
      <c r="E389" s="19" t="s">
        <v>322</v>
      </c>
      <c r="F389">
        <v>27</v>
      </c>
      <c r="G389">
        <v>7</v>
      </c>
      <c r="H389">
        <v>10</v>
      </c>
      <c r="I389">
        <v>17</v>
      </c>
      <c r="J389">
        <v>10</v>
      </c>
      <c r="K389">
        <v>2</v>
      </c>
      <c r="L389">
        <v>6</v>
      </c>
      <c r="M389">
        <v>1</v>
      </c>
      <c r="N389">
        <v>0</v>
      </c>
      <c r="O389">
        <v>2</v>
      </c>
      <c r="P389">
        <v>7</v>
      </c>
      <c r="Q389">
        <v>3</v>
      </c>
      <c r="R389">
        <v>0</v>
      </c>
      <c r="S389">
        <v>31</v>
      </c>
      <c r="T389">
        <v>22.6</v>
      </c>
      <c r="U389">
        <v>69</v>
      </c>
      <c r="V389" s="19" t="s">
        <v>516</v>
      </c>
      <c r="W389" s="19" t="s">
        <v>517</v>
      </c>
      <c r="X389">
        <v>126</v>
      </c>
      <c r="Y389">
        <v>109</v>
      </c>
      <c r="Z389">
        <v>53.6</v>
      </c>
      <c r="AA389">
        <v>6</v>
      </c>
      <c r="AB389">
        <v>18</v>
      </c>
      <c r="AC389">
        <v>3</v>
      </c>
      <c r="AD389">
        <v>21</v>
      </c>
      <c r="AE389" s="19" t="s">
        <v>60</v>
      </c>
    </row>
    <row r="390" spans="1:31" x14ac:dyDescent="0.2">
      <c r="A390">
        <v>373</v>
      </c>
      <c r="B390" s="19" t="s">
        <v>826</v>
      </c>
      <c r="C390">
        <v>31</v>
      </c>
      <c r="D390" s="19" t="s">
        <v>452</v>
      </c>
      <c r="E390" s="19" t="s">
        <v>347</v>
      </c>
      <c r="F390">
        <v>57</v>
      </c>
      <c r="G390">
        <v>1</v>
      </c>
      <c r="H390">
        <v>16</v>
      </c>
      <c r="I390">
        <v>17</v>
      </c>
      <c r="J390">
        <v>-10</v>
      </c>
      <c r="K390">
        <v>26</v>
      </c>
      <c r="L390">
        <v>1</v>
      </c>
      <c r="M390">
        <v>0</v>
      </c>
      <c r="N390">
        <v>0</v>
      </c>
      <c r="O390">
        <v>0</v>
      </c>
      <c r="P390">
        <v>14</v>
      </c>
      <c r="Q390">
        <v>2</v>
      </c>
      <c r="R390">
        <v>0</v>
      </c>
      <c r="S390">
        <v>85</v>
      </c>
      <c r="T390">
        <v>1.2</v>
      </c>
      <c r="U390">
        <v>208</v>
      </c>
      <c r="V390" s="19" t="s">
        <v>2699</v>
      </c>
      <c r="W390" s="19" t="s">
        <v>2700</v>
      </c>
      <c r="X390">
        <v>0</v>
      </c>
      <c r="Y390">
        <v>0</v>
      </c>
      <c r="AA390">
        <v>56</v>
      </c>
      <c r="AB390">
        <v>46</v>
      </c>
      <c r="AC390">
        <v>16</v>
      </c>
      <c r="AD390">
        <v>82</v>
      </c>
      <c r="AE390" s="19" t="s">
        <v>60</v>
      </c>
    </row>
    <row r="391" spans="1:31" x14ac:dyDescent="0.2">
      <c r="A391">
        <v>374</v>
      </c>
      <c r="B391" s="19" t="s">
        <v>991</v>
      </c>
      <c r="C391">
        <v>36</v>
      </c>
      <c r="D391" s="19" t="s">
        <v>355</v>
      </c>
      <c r="E391" s="19" t="s">
        <v>347</v>
      </c>
      <c r="F391">
        <v>58</v>
      </c>
      <c r="G391">
        <v>6</v>
      </c>
      <c r="H391">
        <v>11</v>
      </c>
      <c r="I391">
        <v>17</v>
      </c>
      <c r="J391">
        <v>-1</v>
      </c>
      <c r="K391">
        <v>14</v>
      </c>
      <c r="L391">
        <v>4</v>
      </c>
      <c r="M391">
        <v>2</v>
      </c>
      <c r="N391">
        <v>0</v>
      </c>
      <c r="O391">
        <v>2</v>
      </c>
      <c r="P391">
        <v>8</v>
      </c>
      <c r="Q391">
        <v>3</v>
      </c>
      <c r="R391">
        <v>0</v>
      </c>
      <c r="S391">
        <v>69</v>
      </c>
      <c r="T391">
        <v>8.6999999999999993</v>
      </c>
      <c r="U391">
        <v>164</v>
      </c>
      <c r="V391" s="19" t="s">
        <v>2273</v>
      </c>
      <c r="W391" s="19" t="s">
        <v>1647</v>
      </c>
      <c r="X391">
        <v>0</v>
      </c>
      <c r="Y391">
        <v>0</v>
      </c>
      <c r="AA391">
        <v>108</v>
      </c>
      <c r="AB391">
        <v>70</v>
      </c>
      <c r="AC391">
        <v>12</v>
      </c>
      <c r="AD391">
        <v>46</v>
      </c>
      <c r="AE391" s="19" t="s">
        <v>60</v>
      </c>
    </row>
    <row r="392" spans="1:31" x14ac:dyDescent="0.2">
      <c r="A392">
        <v>375</v>
      </c>
      <c r="B392" s="19" t="s">
        <v>790</v>
      </c>
      <c r="C392">
        <v>29</v>
      </c>
      <c r="D392" s="19" t="s">
        <v>355</v>
      </c>
      <c r="E392" s="19" t="s">
        <v>322</v>
      </c>
      <c r="F392">
        <v>58</v>
      </c>
      <c r="G392">
        <v>5</v>
      </c>
      <c r="H392">
        <v>12</v>
      </c>
      <c r="I392">
        <v>17</v>
      </c>
      <c r="J392">
        <v>11</v>
      </c>
      <c r="K392">
        <v>25</v>
      </c>
      <c r="L392">
        <v>5</v>
      </c>
      <c r="M392">
        <v>0</v>
      </c>
      <c r="N392">
        <v>0</v>
      </c>
      <c r="O392">
        <v>1</v>
      </c>
      <c r="P392">
        <v>12</v>
      </c>
      <c r="Q392">
        <v>0</v>
      </c>
      <c r="R392">
        <v>0</v>
      </c>
      <c r="S392">
        <v>66</v>
      </c>
      <c r="T392">
        <v>7.6</v>
      </c>
      <c r="U392">
        <v>137</v>
      </c>
      <c r="V392" s="19" t="s">
        <v>2012</v>
      </c>
      <c r="W392" s="19" t="s">
        <v>2022</v>
      </c>
      <c r="X392">
        <v>40</v>
      </c>
      <c r="Y392">
        <v>62</v>
      </c>
      <c r="Z392">
        <v>39.200000000000003</v>
      </c>
      <c r="AA392">
        <v>30</v>
      </c>
      <c r="AB392">
        <v>286</v>
      </c>
      <c r="AC392">
        <v>17</v>
      </c>
      <c r="AD392">
        <v>39</v>
      </c>
      <c r="AE392" s="19" t="s">
        <v>60</v>
      </c>
    </row>
    <row r="393" spans="1:31" x14ac:dyDescent="0.2">
      <c r="A393">
        <v>376</v>
      </c>
      <c r="B393" s="19" t="s">
        <v>653</v>
      </c>
      <c r="C393">
        <v>20</v>
      </c>
      <c r="D393" s="19" t="s">
        <v>452</v>
      </c>
      <c r="E393" s="19" t="s">
        <v>334</v>
      </c>
      <c r="F393">
        <v>46</v>
      </c>
      <c r="G393">
        <v>9</v>
      </c>
      <c r="H393">
        <v>8</v>
      </c>
      <c r="I393">
        <v>17</v>
      </c>
      <c r="J393">
        <v>-3</v>
      </c>
      <c r="K393">
        <v>2</v>
      </c>
      <c r="L393">
        <v>7</v>
      </c>
      <c r="M393">
        <v>2</v>
      </c>
      <c r="N393">
        <v>0</v>
      </c>
      <c r="O393">
        <v>0</v>
      </c>
      <c r="P393">
        <v>5</v>
      </c>
      <c r="Q393">
        <v>3</v>
      </c>
      <c r="R393">
        <v>0</v>
      </c>
      <c r="S393">
        <v>68</v>
      </c>
      <c r="T393">
        <v>13.2</v>
      </c>
      <c r="U393">
        <v>124</v>
      </c>
      <c r="V393" s="19" t="s">
        <v>2274</v>
      </c>
      <c r="W393" s="19" t="s">
        <v>1602</v>
      </c>
      <c r="X393">
        <v>14</v>
      </c>
      <c r="Y393">
        <v>19</v>
      </c>
      <c r="Z393">
        <v>42.4</v>
      </c>
      <c r="AA393">
        <v>17</v>
      </c>
      <c r="AB393">
        <v>36</v>
      </c>
      <c r="AC393">
        <v>4</v>
      </c>
      <c r="AD393">
        <v>26</v>
      </c>
      <c r="AE393" s="19" t="s">
        <v>60</v>
      </c>
    </row>
    <row r="394" spans="1:31" x14ac:dyDescent="0.2">
      <c r="A394">
        <v>377</v>
      </c>
      <c r="B394" s="19" t="s">
        <v>831</v>
      </c>
      <c r="C394">
        <v>27</v>
      </c>
      <c r="D394" s="19" t="s">
        <v>401</v>
      </c>
      <c r="E394" s="19" t="s">
        <v>334</v>
      </c>
      <c r="F394">
        <v>36</v>
      </c>
      <c r="G394">
        <v>9</v>
      </c>
      <c r="H394">
        <v>8</v>
      </c>
      <c r="I394">
        <v>17</v>
      </c>
      <c r="J394">
        <v>11</v>
      </c>
      <c r="K394">
        <v>10</v>
      </c>
      <c r="L394">
        <v>9</v>
      </c>
      <c r="M394">
        <v>0</v>
      </c>
      <c r="N394">
        <v>0</v>
      </c>
      <c r="O394">
        <v>1</v>
      </c>
      <c r="P394">
        <v>8</v>
      </c>
      <c r="Q394">
        <v>0</v>
      </c>
      <c r="R394">
        <v>0</v>
      </c>
      <c r="S394">
        <v>35</v>
      </c>
      <c r="T394">
        <v>25.7</v>
      </c>
      <c r="U394">
        <v>56</v>
      </c>
      <c r="V394" s="19" t="s">
        <v>2701</v>
      </c>
      <c r="W394" s="19" t="s">
        <v>2702</v>
      </c>
      <c r="X394">
        <v>15</v>
      </c>
      <c r="Y394">
        <v>21</v>
      </c>
      <c r="Z394">
        <v>41.7</v>
      </c>
      <c r="AA394">
        <v>10</v>
      </c>
      <c r="AB394">
        <v>23</v>
      </c>
      <c r="AC394">
        <v>7</v>
      </c>
      <c r="AD394">
        <v>12</v>
      </c>
      <c r="AE394" s="19" t="s">
        <v>60</v>
      </c>
    </row>
    <row r="395" spans="1:31" x14ac:dyDescent="0.2">
      <c r="A395">
        <v>378</v>
      </c>
      <c r="B395" s="19" t="s">
        <v>758</v>
      </c>
      <c r="C395">
        <v>30</v>
      </c>
      <c r="D395" s="19" t="s">
        <v>353</v>
      </c>
      <c r="E395" s="19" t="s">
        <v>347</v>
      </c>
      <c r="F395">
        <v>56</v>
      </c>
      <c r="G395">
        <v>1</v>
      </c>
      <c r="H395">
        <v>16</v>
      </c>
      <c r="I395">
        <v>17</v>
      </c>
      <c r="J395">
        <v>20</v>
      </c>
      <c r="K395">
        <v>123</v>
      </c>
      <c r="L395">
        <v>1</v>
      </c>
      <c r="M395">
        <v>0</v>
      </c>
      <c r="N395">
        <v>0</v>
      </c>
      <c r="O395">
        <v>0</v>
      </c>
      <c r="P395">
        <v>16</v>
      </c>
      <c r="Q395">
        <v>0</v>
      </c>
      <c r="R395">
        <v>0</v>
      </c>
      <c r="S395">
        <v>66</v>
      </c>
      <c r="T395">
        <v>1.5</v>
      </c>
      <c r="U395">
        <v>173</v>
      </c>
      <c r="V395" s="19" t="s">
        <v>2275</v>
      </c>
      <c r="W395" s="19" t="s">
        <v>2276</v>
      </c>
      <c r="X395">
        <v>0</v>
      </c>
      <c r="Y395">
        <v>0</v>
      </c>
      <c r="AA395">
        <v>78</v>
      </c>
      <c r="AB395">
        <v>139</v>
      </c>
      <c r="AC395">
        <v>28</v>
      </c>
      <c r="AD395">
        <v>68</v>
      </c>
      <c r="AE395" s="19" t="s">
        <v>60</v>
      </c>
    </row>
    <row r="396" spans="1:31" x14ac:dyDescent="0.2">
      <c r="A396">
        <v>379</v>
      </c>
      <c r="B396" s="19" t="s">
        <v>664</v>
      </c>
      <c r="C396">
        <v>36</v>
      </c>
      <c r="D396" s="19" t="s">
        <v>401</v>
      </c>
      <c r="E396" s="19" t="s">
        <v>347</v>
      </c>
      <c r="F396">
        <v>58</v>
      </c>
      <c r="G396">
        <v>2</v>
      </c>
      <c r="H396">
        <v>14</v>
      </c>
      <c r="I396">
        <v>16</v>
      </c>
      <c r="J396">
        <v>20</v>
      </c>
      <c r="K396">
        <v>33</v>
      </c>
      <c r="L396">
        <v>2</v>
      </c>
      <c r="M396">
        <v>0</v>
      </c>
      <c r="N396">
        <v>0</v>
      </c>
      <c r="O396">
        <v>0</v>
      </c>
      <c r="P396">
        <v>13</v>
      </c>
      <c r="Q396">
        <v>0</v>
      </c>
      <c r="R396">
        <v>1</v>
      </c>
      <c r="S396">
        <v>43</v>
      </c>
      <c r="T396">
        <v>4.7</v>
      </c>
      <c r="U396">
        <v>121</v>
      </c>
      <c r="V396" s="19" t="s">
        <v>2703</v>
      </c>
      <c r="W396" s="19" t="s">
        <v>1712</v>
      </c>
      <c r="X396">
        <v>0</v>
      </c>
      <c r="Y396">
        <v>0</v>
      </c>
      <c r="AA396">
        <v>118</v>
      </c>
      <c r="AB396">
        <v>55</v>
      </c>
      <c r="AC396">
        <v>10</v>
      </c>
      <c r="AD396">
        <v>69</v>
      </c>
      <c r="AE396" s="19" t="s">
        <v>60</v>
      </c>
    </row>
    <row r="397" spans="1:31" x14ac:dyDescent="0.2">
      <c r="A397">
        <v>380</v>
      </c>
      <c r="B397" s="19" t="s">
        <v>798</v>
      </c>
      <c r="C397">
        <v>32</v>
      </c>
      <c r="D397" s="19" t="s">
        <v>412</v>
      </c>
      <c r="E397" s="19" t="s">
        <v>322</v>
      </c>
      <c r="F397">
        <v>56</v>
      </c>
      <c r="G397">
        <v>8</v>
      </c>
      <c r="H397">
        <v>8</v>
      </c>
      <c r="I397">
        <v>16</v>
      </c>
      <c r="J397">
        <v>8</v>
      </c>
      <c r="K397">
        <v>61</v>
      </c>
      <c r="L397">
        <v>8</v>
      </c>
      <c r="M397">
        <v>0</v>
      </c>
      <c r="N397">
        <v>0</v>
      </c>
      <c r="O397">
        <v>1</v>
      </c>
      <c r="P397">
        <v>8</v>
      </c>
      <c r="Q397">
        <v>0</v>
      </c>
      <c r="R397">
        <v>0</v>
      </c>
      <c r="S397">
        <v>52</v>
      </c>
      <c r="T397">
        <v>15.4</v>
      </c>
      <c r="U397">
        <v>94</v>
      </c>
      <c r="V397" s="19" t="s">
        <v>2704</v>
      </c>
      <c r="W397" s="19" t="s">
        <v>2705</v>
      </c>
      <c r="X397">
        <v>11</v>
      </c>
      <c r="Y397">
        <v>13</v>
      </c>
      <c r="Z397">
        <v>45.8</v>
      </c>
      <c r="AA397">
        <v>28</v>
      </c>
      <c r="AB397">
        <v>116</v>
      </c>
      <c r="AC397">
        <v>11</v>
      </c>
      <c r="AD397">
        <v>33</v>
      </c>
      <c r="AE397" s="19" t="s">
        <v>60</v>
      </c>
    </row>
    <row r="398" spans="1:31" x14ac:dyDescent="0.2">
      <c r="A398">
        <v>381</v>
      </c>
      <c r="B398" s="19" t="s">
        <v>890</v>
      </c>
      <c r="C398">
        <v>35</v>
      </c>
      <c r="D398" s="19" t="s">
        <v>364</v>
      </c>
      <c r="E398" s="19" t="s">
        <v>322</v>
      </c>
      <c r="F398">
        <v>52</v>
      </c>
      <c r="G398">
        <v>4</v>
      </c>
      <c r="H398">
        <v>12</v>
      </c>
      <c r="I398">
        <v>16</v>
      </c>
      <c r="J398">
        <v>-5</v>
      </c>
      <c r="K398">
        <v>51</v>
      </c>
      <c r="L398">
        <v>4</v>
      </c>
      <c r="M398">
        <v>0</v>
      </c>
      <c r="N398">
        <v>0</v>
      </c>
      <c r="O398">
        <v>0</v>
      </c>
      <c r="P398">
        <v>12</v>
      </c>
      <c r="Q398">
        <v>0</v>
      </c>
      <c r="R398">
        <v>0</v>
      </c>
      <c r="S398">
        <v>47</v>
      </c>
      <c r="T398">
        <v>8.5</v>
      </c>
      <c r="U398">
        <v>90</v>
      </c>
      <c r="V398" s="19" t="s">
        <v>2706</v>
      </c>
      <c r="W398" s="19" t="s">
        <v>1780</v>
      </c>
      <c r="X398">
        <v>355</v>
      </c>
      <c r="Y398">
        <v>374</v>
      </c>
      <c r="Z398">
        <v>48.7</v>
      </c>
      <c r="AA398">
        <v>41</v>
      </c>
      <c r="AB398">
        <v>99</v>
      </c>
      <c r="AC398">
        <v>15</v>
      </c>
      <c r="AD398">
        <v>35</v>
      </c>
      <c r="AE398" s="19" t="s">
        <v>60</v>
      </c>
    </row>
    <row r="399" spans="1:31" x14ac:dyDescent="0.2">
      <c r="A399">
        <v>382</v>
      </c>
      <c r="B399" s="19" t="s">
        <v>668</v>
      </c>
      <c r="C399">
        <v>32</v>
      </c>
      <c r="D399" s="19" t="s">
        <v>415</v>
      </c>
      <c r="E399" s="19" t="s">
        <v>347</v>
      </c>
      <c r="F399">
        <v>57</v>
      </c>
      <c r="G399">
        <v>2</v>
      </c>
      <c r="H399">
        <v>14</v>
      </c>
      <c r="I399">
        <v>16</v>
      </c>
      <c r="J399">
        <v>4</v>
      </c>
      <c r="K399">
        <v>21</v>
      </c>
      <c r="L399">
        <v>2</v>
      </c>
      <c r="M399">
        <v>0</v>
      </c>
      <c r="N399">
        <v>0</v>
      </c>
      <c r="O399">
        <v>0</v>
      </c>
      <c r="P399">
        <v>11</v>
      </c>
      <c r="Q399">
        <v>2</v>
      </c>
      <c r="R399">
        <v>1</v>
      </c>
      <c r="S399">
        <v>74</v>
      </c>
      <c r="T399">
        <v>2.7</v>
      </c>
      <c r="U399">
        <v>172</v>
      </c>
      <c r="V399" s="19" t="s">
        <v>2707</v>
      </c>
      <c r="W399" s="19" t="s">
        <v>2483</v>
      </c>
      <c r="X399">
        <v>0</v>
      </c>
      <c r="Y399">
        <v>0</v>
      </c>
      <c r="AA399">
        <v>69</v>
      </c>
      <c r="AB399">
        <v>65</v>
      </c>
      <c r="AC399">
        <v>8</v>
      </c>
      <c r="AD399">
        <v>55</v>
      </c>
      <c r="AE399" s="19" t="s">
        <v>60</v>
      </c>
    </row>
    <row r="400" spans="1:31" x14ac:dyDescent="0.2">
      <c r="A400">
        <v>383</v>
      </c>
      <c r="B400" s="19" t="s">
        <v>862</v>
      </c>
      <c r="C400">
        <v>33</v>
      </c>
      <c r="D400" s="19" t="s">
        <v>353</v>
      </c>
      <c r="E400" s="19" t="s">
        <v>322</v>
      </c>
      <c r="F400">
        <v>57</v>
      </c>
      <c r="G400">
        <v>4</v>
      </c>
      <c r="H400">
        <v>12</v>
      </c>
      <c r="I400">
        <v>16</v>
      </c>
      <c r="J400">
        <v>1</v>
      </c>
      <c r="K400">
        <v>41</v>
      </c>
      <c r="L400">
        <v>4</v>
      </c>
      <c r="M400">
        <v>0</v>
      </c>
      <c r="N400">
        <v>0</v>
      </c>
      <c r="O400">
        <v>0</v>
      </c>
      <c r="P400">
        <v>12</v>
      </c>
      <c r="Q400">
        <v>0</v>
      </c>
      <c r="R400">
        <v>0</v>
      </c>
      <c r="S400">
        <v>77</v>
      </c>
      <c r="T400">
        <v>5.2</v>
      </c>
      <c r="U400">
        <v>139</v>
      </c>
      <c r="V400" s="19" t="s">
        <v>2277</v>
      </c>
      <c r="W400" s="19" t="s">
        <v>1866</v>
      </c>
      <c r="X400">
        <v>250</v>
      </c>
      <c r="Y400">
        <v>270</v>
      </c>
      <c r="Z400">
        <v>48.1</v>
      </c>
      <c r="AA400">
        <v>36</v>
      </c>
      <c r="AB400">
        <v>63</v>
      </c>
      <c r="AC400">
        <v>14</v>
      </c>
      <c r="AD400">
        <v>43</v>
      </c>
      <c r="AE400" s="19" t="s">
        <v>60</v>
      </c>
    </row>
    <row r="401" spans="1:31" x14ac:dyDescent="0.2">
      <c r="A401">
        <v>384</v>
      </c>
      <c r="B401" s="19" t="s">
        <v>775</v>
      </c>
      <c r="C401">
        <v>22</v>
      </c>
      <c r="D401" s="19" t="s">
        <v>359</v>
      </c>
      <c r="E401" s="19" t="s">
        <v>322</v>
      </c>
      <c r="F401">
        <v>54</v>
      </c>
      <c r="G401">
        <v>6</v>
      </c>
      <c r="H401">
        <v>10</v>
      </c>
      <c r="I401">
        <v>16</v>
      </c>
      <c r="J401">
        <v>-3</v>
      </c>
      <c r="K401">
        <v>22</v>
      </c>
      <c r="L401">
        <v>4</v>
      </c>
      <c r="M401">
        <v>2</v>
      </c>
      <c r="N401">
        <v>0</v>
      </c>
      <c r="O401">
        <v>1</v>
      </c>
      <c r="P401">
        <v>8</v>
      </c>
      <c r="Q401">
        <v>2</v>
      </c>
      <c r="R401">
        <v>0</v>
      </c>
      <c r="S401">
        <v>50</v>
      </c>
      <c r="T401">
        <v>12</v>
      </c>
      <c r="U401">
        <v>105</v>
      </c>
      <c r="V401" s="19" t="s">
        <v>2708</v>
      </c>
      <c r="W401" s="19" t="s">
        <v>2022</v>
      </c>
      <c r="X401">
        <v>226</v>
      </c>
      <c r="Y401">
        <v>218</v>
      </c>
      <c r="Z401">
        <v>50.9</v>
      </c>
      <c r="AA401">
        <v>35</v>
      </c>
      <c r="AB401">
        <v>73</v>
      </c>
      <c r="AC401">
        <v>7</v>
      </c>
      <c r="AD401">
        <v>23</v>
      </c>
      <c r="AE401" s="19" t="s">
        <v>60</v>
      </c>
    </row>
    <row r="402" spans="1:31" x14ac:dyDescent="0.2">
      <c r="A402">
        <v>385</v>
      </c>
      <c r="B402" s="19" t="s">
        <v>778</v>
      </c>
      <c r="C402">
        <v>21</v>
      </c>
      <c r="D402" s="19" t="s">
        <v>329</v>
      </c>
      <c r="E402" s="19" t="s">
        <v>322</v>
      </c>
      <c r="F402">
        <v>45</v>
      </c>
      <c r="G402">
        <v>5</v>
      </c>
      <c r="H402">
        <v>11</v>
      </c>
      <c r="I402">
        <v>16</v>
      </c>
      <c r="J402">
        <v>-16</v>
      </c>
      <c r="K402">
        <v>17</v>
      </c>
      <c r="L402">
        <v>3</v>
      </c>
      <c r="M402">
        <v>2</v>
      </c>
      <c r="N402">
        <v>0</v>
      </c>
      <c r="O402">
        <v>0</v>
      </c>
      <c r="P402">
        <v>8</v>
      </c>
      <c r="Q402">
        <v>3</v>
      </c>
      <c r="R402">
        <v>0</v>
      </c>
      <c r="S402">
        <v>51</v>
      </c>
      <c r="T402">
        <v>9.8000000000000007</v>
      </c>
      <c r="U402">
        <v>97</v>
      </c>
      <c r="V402" s="19" t="s">
        <v>2278</v>
      </c>
      <c r="W402" s="19" t="s">
        <v>1955</v>
      </c>
      <c r="X402">
        <v>92</v>
      </c>
      <c r="Y402">
        <v>96</v>
      </c>
      <c r="Z402">
        <v>48.9</v>
      </c>
      <c r="AA402">
        <v>13</v>
      </c>
      <c r="AB402">
        <v>23</v>
      </c>
      <c r="AC402">
        <v>14</v>
      </c>
      <c r="AD402">
        <v>37</v>
      </c>
      <c r="AE402" s="19" t="s">
        <v>60</v>
      </c>
    </row>
    <row r="403" spans="1:31" x14ac:dyDescent="0.2">
      <c r="A403">
        <v>386</v>
      </c>
      <c r="B403" s="19" t="s">
        <v>752</v>
      </c>
      <c r="C403">
        <v>25</v>
      </c>
      <c r="D403" s="19" t="s">
        <v>380</v>
      </c>
      <c r="E403" s="19" t="s">
        <v>325</v>
      </c>
      <c r="F403">
        <v>40</v>
      </c>
      <c r="G403">
        <v>4</v>
      </c>
      <c r="H403">
        <v>12</v>
      </c>
      <c r="I403">
        <v>16</v>
      </c>
      <c r="J403">
        <v>-3</v>
      </c>
      <c r="K403">
        <v>2</v>
      </c>
      <c r="L403">
        <v>4</v>
      </c>
      <c r="M403">
        <v>0</v>
      </c>
      <c r="N403">
        <v>0</v>
      </c>
      <c r="O403">
        <v>0</v>
      </c>
      <c r="P403">
        <v>7</v>
      </c>
      <c r="Q403">
        <v>5</v>
      </c>
      <c r="R403">
        <v>0</v>
      </c>
      <c r="S403">
        <v>51</v>
      </c>
      <c r="T403">
        <v>7.8</v>
      </c>
      <c r="U403">
        <v>106</v>
      </c>
      <c r="V403" s="19" t="s">
        <v>2101</v>
      </c>
      <c r="W403" s="19" t="s">
        <v>852</v>
      </c>
      <c r="X403">
        <v>0</v>
      </c>
      <c r="Y403">
        <v>2</v>
      </c>
      <c r="Z403">
        <v>0</v>
      </c>
      <c r="AA403">
        <v>13</v>
      </c>
      <c r="AB403">
        <v>24</v>
      </c>
      <c r="AC403">
        <v>10</v>
      </c>
      <c r="AD403">
        <v>33</v>
      </c>
      <c r="AE403" s="19" t="s">
        <v>60</v>
      </c>
    </row>
    <row r="404" spans="1:31" x14ac:dyDescent="0.2">
      <c r="A404">
        <v>387</v>
      </c>
      <c r="B404" s="19" t="s">
        <v>789</v>
      </c>
      <c r="C404">
        <v>26</v>
      </c>
      <c r="D404" s="19" t="s">
        <v>353</v>
      </c>
      <c r="E404" s="19" t="s">
        <v>325</v>
      </c>
      <c r="F404">
        <v>38</v>
      </c>
      <c r="G404">
        <v>9</v>
      </c>
      <c r="H404">
        <v>7</v>
      </c>
      <c r="I404">
        <v>16</v>
      </c>
      <c r="J404">
        <v>6</v>
      </c>
      <c r="K404">
        <v>32</v>
      </c>
      <c r="L404">
        <v>7</v>
      </c>
      <c r="M404">
        <v>1</v>
      </c>
      <c r="N404">
        <v>1</v>
      </c>
      <c r="O404">
        <v>0</v>
      </c>
      <c r="P404">
        <v>5</v>
      </c>
      <c r="Q404">
        <v>2</v>
      </c>
      <c r="R404">
        <v>0</v>
      </c>
      <c r="S404">
        <v>49</v>
      </c>
      <c r="T404">
        <v>18.399999999999999</v>
      </c>
      <c r="U404">
        <v>98</v>
      </c>
      <c r="V404" s="19" t="s">
        <v>2279</v>
      </c>
      <c r="W404" s="19" t="s">
        <v>696</v>
      </c>
      <c r="X404">
        <v>3</v>
      </c>
      <c r="Y404">
        <v>4</v>
      </c>
      <c r="Z404">
        <v>42.9</v>
      </c>
      <c r="AA404">
        <v>25</v>
      </c>
      <c r="AB404">
        <v>124</v>
      </c>
      <c r="AC404">
        <v>9</v>
      </c>
      <c r="AD404">
        <v>18</v>
      </c>
      <c r="AE404" s="19" t="s">
        <v>60</v>
      </c>
    </row>
    <row r="405" spans="1:31" x14ac:dyDescent="0.2">
      <c r="A405">
        <v>388</v>
      </c>
      <c r="B405" s="19" t="s">
        <v>791</v>
      </c>
      <c r="C405">
        <v>20</v>
      </c>
      <c r="D405" s="19" t="s">
        <v>440</v>
      </c>
      <c r="E405" s="19" t="s">
        <v>347</v>
      </c>
      <c r="F405">
        <v>46</v>
      </c>
      <c r="G405">
        <v>4</v>
      </c>
      <c r="H405">
        <v>12</v>
      </c>
      <c r="I405">
        <v>16</v>
      </c>
      <c r="J405">
        <v>-9</v>
      </c>
      <c r="K405">
        <v>10</v>
      </c>
      <c r="L405">
        <v>4</v>
      </c>
      <c r="M405">
        <v>0</v>
      </c>
      <c r="N405">
        <v>0</v>
      </c>
      <c r="O405">
        <v>0</v>
      </c>
      <c r="P405">
        <v>9</v>
      </c>
      <c r="Q405">
        <v>3</v>
      </c>
      <c r="R405">
        <v>0</v>
      </c>
      <c r="S405">
        <v>40</v>
      </c>
      <c r="T405">
        <v>10</v>
      </c>
      <c r="U405">
        <v>105</v>
      </c>
      <c r="V405" s="19" t="s">
        <v>2709</v>
      </c>
      <c r="W405" s="19" t="s">
        <v>649</v>
      </c>
      <c r="X405">
        <v>0</v>
      </c>
      <c r="Y405">
        <v>0</v>
      </c>
      <c r="AA405">
        <v>42</v>
      </c>
      <c r="AB405">
        <v>11</v>
      </c>
      <c r="AC405">
        <v>7</v>
      </c>
      <c r="AD405">
        <v>37</v>
      </c>
      <c r="AE405" s="19" t="s">
        <v>60</v>
      </c>
    </row>
    <row r="406" spans="1:31" x14ac:dyDescent="0.2">
      <c r="A406">
        <v>389</v>
      </c>
      <c r="B406" s="19" t="s">
        <v>940</v>
      </c>
      <c r="C406">
        <v>34</v>
      </c>
      <c r="D406" s="19" t="s">
        <v>373</v>
      </c>
      <c r="E406" s="19" t="s">
        <v>322</v>
      </c>
      <c r="F406">
        <v>42</v>
      </c>
      <c r="G406">
        <v>6</v>
      </c>
      <c r="H406">
        <v>9</v>
      </c>
      <c r="I406">
        <v>15</v>
      </c>
      <c r="J406">
        <v>9</v>
      </c>
      <c r="K406">
        <v>17</v>
      </c>
      <c r="L406">
        <v>6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</v>
      </c>
      <c r="T406">
        <v>11.1</v>
      </c>
      <c r="U406">
        <v>99</v>
      </c>
      <c r="V406" s="19" t="s">
        <v>2151</v>
      </c>
      <c r="W406" s="19" t="s">
        <v>961</v>
      </c>
      <c r="X406">
        <v>181</v>
      </c>
      <c r="Y406">
        <v>149</v>
      </c>
      <c r="Z406">
        <v>54.8</v>
      </c>
      <c r="AA406">
        <v>31</v>
      </c>
      <c r="AB406">
        <v>46</v>
      </c>
      <c r="AC406">
        <v>6</v>
      </c>
      <c r="AD406">
        <v>10</v>
      </c>
      <c r="AE406" s="19" t="s">
        <v>60</v>
      </c>
    </row>
    <row r="407" spans="1:31" x14ac:dyDescent="0.2">
      <c r="A407">
        <v>390</v>
      </c>
      <c r="B407" s="19" t="s">
        <v>728</v>
      </c>
      <c r="C407">
        <v>32</v>
      </c>
      <c r="D407" s="19" t="s">
        <v>355</v>
      </c>
      <c r="E407" s="19" t="s">
        <v>347</v>
      </c>
      <c r="F407">
        <v>42</v>
      </c>
      <c r="G407">
        <v>3</v>
      </c>
      <c r="H407">
        <v>12</v>
      </c>
      <c r="I407">
        <v>15</v>
      </c>
      <c r="J407">
        <v>13</v>
      </c>
      <c r="K407">
        <v>8</v>
      </c>
      <c r="L407">
        <v>3</v>
      </c>
      <c r="M407">
        <v>0</v>
      </c>
      <c r="N407">
        <v>0</v>
      </c>
      <c r="O407">
        <v>1</v>
      </c>
      <c r="P407">
        <v>11</v>
      </c>
      <c r="Q407">
        <v>1</v>
      </c>
      <c r="R407">
        <v>0</v>
      </c>
      <c r="S407">
        <v>43</v>
      </c>
      <c r="T407">
        <v>7</v>
      </c>
      <c r="U407">
        <v>111</v>
      </c>
      <c r="V407" s="19" t="s">
        <v>1803</v>
      </c>
      <c r="W407" s="19" t="s">
        <v>1742</v>
      </c>
      <c r="X407">
        <v>0</v>
      </c>
      <c r="Y407">
        <v>0</v>
      </c>
      <c r="AA407">
        <v>91</v>
      </c>
      <c r="AB407">
        <v>8</v>
      </c>
      <c r="AC407">
        <v>9</v>
      </c>
      <c r="AD407">
        <v>30</v>
      </c>
      <c r="AE407" s="19" t="s">
        <v>60</v>
      </c>
    </row>
    <row r="408" spans="1:31" x14ac:dyDescent="0.2">
      <c r="A408">
        <v>391</v>
      </c>
      <c r="B408" s="19" t="s">
        <v>796</v>
      </c>
      <c r="C408">
        <v>34</v>
      </c>
      <c r="D408" s="19" t="s">
        <v>380</v>
      </c>
      <c r="E408" s="19" t="s">
        <v>322</v>
      </c>
      <c r="F408">
        <v>57</v>
      </c>
      <c r="G408">
        <v>7</v>
      </c>
      <c r="H408">
        <v>8</v>
      </c>
      <c r="I408">
        <v>15</v>
      </c>
      <c r="J408">
        <v>1</v>
      </c>
      <c r="K408">
        <v>10</v>
      </c>
      <c r="L408">
        <v>6</v>
      </c>
      <c r="M408">
        <v>0</v>
      </c>
      <c r="N408">
        <v>1</v>
      </c>
      <c r="O408">
        <v>0</v>
      </c>
      <c r="P408">
        <v>7</v>
      </c>
      <c r="Q408">
        <v>0</v>
      </c>
      <c r="R408">
        <v>1</v>
      </c>
      <c r="S408">
        <v>49</v>
      </c>
      <c r="T408">
        <v>14.3</v>
      </c>
      <c r="U408">
        <v>96</v>
      </c>
      <c r="V408" s="19" t="s">
        <v>2710</v>
      </c>
      <c r="W408" s="19" t="s">
        <v>1706</v>
      </c>
      <c r="X408">
        <v>248</v>
      </c>
      <c r="Y408">
        <v>212</v>
      </c>
      <c r="Z408">
        <v>53.9</v>
      </c>
      <c r="AA408">
        <v>41</v>
      </c>
      <c r="AB408">
        <v>109</v>
      </c>
      <c r="AC408">
        <v>8</v>
      </c>
      <c r="AD408">
        <v>39</v>
      </c>
      <c r="AE408" s="19" t="s">
        <v>60</v>
      </c>
    </row>
    <row r="409" spans="1:31" x14ac:dyDescent="0.2">
      <c r="A409">
        <v>392</v>
      </c>
      <c r="B409" s="19" t="s">
        <v>686</v>
      </c>
      <c r="C409">
        <v>24</v>
      </c>
      <c r="D409" s="19" t="s">
        <v>329</v>
      </c>
      <c r="E409" s="19" t="s">
        <v>347</v>
      </c>
      <c r="F409">
        <v>54</v>
      </c>
      <c r="G409">
        <v>4</v>
      </c>
      <c r="H409">
        <v>11</v>
      </c>
      <c r="I409">
        <v>15</v>
      </c>
      <c r="J409">
        <v>-1</v>
      </c>
      <c r="K409">
        <v>45</v>
      </c>
      <c r="L409">
        <v>3</v>
      </c>
      <c r="M409">
        <v>0</v>
      </c>
      <c r="N409">
        <v>1</v>
      </c>
      <c r="O409">
        <v>1</v>
      </c>
      <c r="P409">
        <v>10</v>
      </c>
      <c r="Q409">
        <v>0</v>
      </c>
      <c r="R409">
        <v>1</v>
      </c>
      <c r="S409">
        <v>80</v>
      </c>
      <c r="T409">
        <v>5</v>
      </c>
      <c r="U409">
        <v>175</v>
      </c>
      <c r="V409" s="19" t="s">
        <v>2280</v>
      </c>
      <c r="W409" s="19" t="s">
        <v>1490</v>
      </c>
      <c r="X409">
        <v>0</v>
      </c>
      <c r="Y409">
        <v>0</v>
      </c>
      <c r="AA409">
        <v>60</v>
      </c>
      <c r="AB409">
        <v>84</v>
      </c>
      <c r="AC409">
        <v>11</v>
      </c>
      <c r="AD409">
        <v>44</v>
      </c>
      <c r="AE409" s="19" t="s">
        <v>60</v>
      </c>
    </row>
    <row r="410" spans="1:31" x14ac:dyDescent="0.2">
      <c r="A410">
        <v>393</v>
      </c>
      <c r="B410" s="19" t="s">
        <v>949</v>
      </c>
      <c r="C410">
        <v>20</v>
      </c>
      <c r="D410" s="19" t="s">
        <v>502</v>
      </c>
      <c r="E410" s="19" t="s">
        <v>322</v>
      </c>
      <c r="F410">
        <v>47</v>
      </c>
      <c r="G410">
        <v>9</v>
      </c>
      <c r="H410">
        <v>6</v>
      </c>
      <c r="I410">
        <v>15</v>
      </c>
      <c r="J410">
        <v>-5</v>
      </c>
      <c r="K410">
        <v>18</v>
      </c>
      <c r="L410">
        <v>4</v>
      </c>
      <c r="M410">
        <v>5</v>
      </c>
      <c r="N410">
        <v>0</v>
      </c>
      <c r="O410">
        <v>0</v>
      </c>
      <c r="P410">
        <v>4</v>
      </c>
      <c r="Q410">
        <v>2</v>
      </c>
      <c r="R410">
        <v>0</v>
      </c>
      <c r="S410">
        <v>61</v>
      </c>
      <c r="T410">
        <v>14.8</v>
      </c>
      <c r="U410">
        <v>115</v>
      </c>
      <c r="V410" s="19" t="s">
        <v>2281</v>
      </c>
      <c r="W410" s="19" t="s">
        <v>1867</v>
      </c>
      <c r="X410">
        <v>227</v>
      </c>
      <c r="Y410">
        <v>251</v>
      </c>
      <c r="Z410">
        <v>47.5</v>
      </c>
      <c r="AA410">
        <v>18</v>
      </c>
      <c r="AB410">
        <v>65</v>
      </c>
      <c r="AC410">
        <v>6</v>
      </c>
      <c r="AD410">
        <v>33</v>
      </c>
      <c r="AE410" s="19" t="s">
        <v>60</v>
      </c>
    </row>
    <row r="411" spans="1:31" x14ac:dyDescent="0.2">
      <c r="A411">
        <v>394</v>
      </c>
      <c r="B411" s="19" t="s">
        <v>741</v>
      </c>
      <c r="C411">
        <v>27</v>
      </c>
      <c r="D411" s="19" t="s">
        <v>342</v>
      </c>
      <c r="E411" s="19" t="s">
        <v>322</v>
      </c>
      <c r="F411">
        <v>39</v>
      </c>
      <c r="G411">
        <v>9</v>
      </c>
      <c r="H411">
        <v>6</v>
      </c>
      <c r="I411">
        <v>15</v>
      </c>
      <c r="J411">
        <v>-4</v>
      </c>
      <c r="K411">
        <v>20</v>
      </c>
      <c r="L411">
        <v>9</v>
      </c>
      <c r="M411">
        <v>0</v>
      </c>
      <c r="N411">
        <v>0</v>
      </c>
      <c r="O411">
        <v>0</v>
      </c>
      <c r="P411">
        <v>6</v>
      </c>
      <c r="Q411">
        <v>0</v>
      </c>
      <c r="R411">
        <v>0</v>
      </c>
      <c r="S411">
        <v>46</v>
      </c>
      <c r="T411">
        <v>19.600000000000001</v>
      </c>
      <c r="U411">
        <v>81</v>
      </c>
      <c r="V411" s="19" t="s">
        <v>1785</v>
      </c>
      <c r="W411" s="19" t="s">
        <v>1680</v>
      </c>
      <c r="X411">
        <v>199</v>
      </c>
      <c r="Y411">
        <v>194</v>
      </c>
      <c r="Z411">
        <v>50.6</v>
      </c>
      <c r="AA411">
        <v>9</v>
      </c>
      <c r="AB411">
        <v>66</v>
      </c>
      <c r="AC411">
        <v>8</v>
      </c>
      <c r="AD411">
        <v>34</v>
      </c>
      <c r="AE411" s="19" t="s">
        <v>60</v>
      </c>
    </row>
    <row r="412" spans="1:31" x14ac:dyDescent="0.2">
      <c r="A412">
        <v>395</v>
      </c>
      <c r="B412" s="19" t="s">
        <v>770</v>
      </c>
      <c r="C412">
        <v>32</v>
      </c>
      <c r="D412" s="19" t="s">
        <v>342</v>
      </c>
      <c r="E412" s="19" t="s">
        <v>347</v>
      </c>
      <c r="F412">
        <v>51</v>
      </c>
      <c r="G412">
        <v>6</v>
      </c>
      <c r="H412">
        <v>9</v>
      </c>
      <c r="I412">
        <v>15</v>
      </c>
      <c r="J412">
        <v>4</v>
      </c>
      <c r="K412">
        <v>17</v>
      </c>
      <c r="L412">
        <v>6</v>
      </c>
      <c r="M412">
        <v>0</v>
      </c>
      <c r="N412">
        <v>0</v>
      </c>
      <c r="O412">
        <v>1</v>
      </c>
      <c r="P412">
        <v>9</v>
      </c>
      <c r="Q412">
        <v>0</v>
      </c>
      <c r="R412">
        <v>0</v>
      </c>
      <c r="S412">
        <v>65</v>
      </c>
      <c r="T412">
        <v>9.1999999999999993</v>
      </c>
      <c r="U412">
        <v>130</v>
      </c>
      <c r="V412" s="19" t="s">
        <v>2711</v>
      </c>
      <c r="W412" s="19" t="s">
        <v>1213</v>
      </c>
      <c r="X412">
        <v>0</v>
      </c>
      <c r="Y412">
        <v>0</v>
      </c>
      <c r="AA412">
        <v>51</v>
      </c>
      <c r="AB412">
        <v>24</v>
      </c>
      <c r="AC412">
        <v>17</v>
      </c>
      <c r="AD412">
        <v>41</v>
      </c>
      <c r="AE412" s="19" t="s">
        <v>60</v>
      </c>
    </row>
    <row r="413" spans="1:31" x14ac:dyDescent="0.2">
      <c r="A413">
        <v>396</v>
      </c>
      <c r="B413" s="19" t="s">
        <v>859</v>
      </c>
      <c r="C413">
        <v>35</v>
      </c>
      <c r="D413" s="19" t="s">
        <v>412</v>
      </c>
      <c r="E413" s="19" t="s">
        <v>347</v>
      </c>
      <c r="F413">
        <v>54</v>
      </c>
      <c r="G413">
        <v>4</v>
      </c>
      <c r="H413">
        <v>11</v>
      </c>
      <c r="I413">
        <v>15</v>
      </c>
      <c r="J413">
        <v>-10</v>
      </c>
      <c r="K413">
        <v>22</v>
      </c>
      <c r="L413">
        <v>4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32</v>
      </c>
      <c r="T413">
        <v>12.5</v>
      </c>
      <c r="U413">
        <v>109</v>
      </c>
      <c r="V413" s="19" t="s">
        <v>2712</v>
      </c>
      <c r="W413" s="19" t="s">
        <v>1475</v>
      </c>
      <c r="X413">
        <v>0</v>
      </c>
      <c r="Y413">
        <v>0</v>
      </c>
      <c r="AA413">
        <v>60</v>
      </c>
      <c r="AB413">
        <v>33</v>
      </c>
      <c r="AC413">
        <v>11</v>
      </c>
      <c r="AD413">
        <v>48</v>
      </c>
      <c r="AE413" s="19" t="s">
        <v>60</v>
      </c>
    </row>
    <row r="414" spans="1:31" x14ac:dyDescent="0.2">
      <c r="A414">
        <v>397</v>
      </c>
      <c r="B414" s="19" t="s">
        <v>972</v>
      </c>
      <c r="C414">
        <v>28</v>
      </c>
      <c r="D414" s="19" t="s">
        <v>342</v>
      </c>
      <c r="E414" s="19" t="s">
        <v>334</v>
      </c>
      <c r="F414">
        <v>58</v>
      </c>
      <c r="G414">
        <v>5</v>
      </c>
      <c r="H414">
        <v>10</v>
      </c>
      <c r="I414">
        <v>15</v>
      </c>
      <c r="J414">
        <v>-11</v>
      </c>
      <c r="K414">
        <v>44</v>
      </c>
      <c r="L414">
        <v>5</v>
      </c>
      <c r="M414">
        <v>0</v>
      </c>
      <c r="N414">
        <v>0</v>
      </c>
      <c r="O414">
        <v>0</v>
      </c>
      <c r="P414">
        <v>9</v>
      </c>
      <c r="Q414">
        <v>0</v>
      </c>
      <c r="R414">
        <v>1</v>
      </c>
      <c r="S414">
        <v>52</v>
      </c>
      <c r="T414">
        <v>9.6</v>
      </c>
      <c r="U414">
        <v>100</v>
      </c>
      <c r="V414" s="19" t="s">
        <v>2713</v>
      </c>
      <c r="W414" s="19" t="s">
        <v>1239</v>
      </c>
      <c r="X414">
        <v>9</v>
      </c>
      <c r="Y414">
        <v>14</v>
      </c>
      <c r="Z414">
        <v>39.1</v>
      </c>
      <c r="AA414">
        <v>29</v>
      </c>
      <c r="AB414">
        <v>197</v>
      </c>
      <c r="AC414">
        <v>4</v>
      </c>
      <c r="AD414">
        <v>27</v>
      </c>
      <c r="AE414" s="19" t="s">
        <v>60</v>
      </c>
    </row>
    <row r="415" spans="1:31" x14ac:dyDescent="0.2">
      <c r="A415">
        <v>398</v>
      </c>
      <c r="B415" s="19" t="s">
        <v>811</v>
      </c>
      <c r="C415">
        <v>33</v>
      </c>
      <c r="D415" s="19" t="s">
        <v>520</v>
      </c>
      <c r="E415" s="19" t="s">
        <v>347</v>
      </c>
      <c r="F415">
        <v>57</v>
      </c>
      <c r="G415">
        <v>5</v>
      </c>
      <c r="H415">
        <v>10</v>
      </c>
      <c r="I415">
        <v>15</v>
      </c>
      <c r="J415">
        <v>1</v>
      </c>
      <c r="K415">
        <v>32</v>
      </c>
      <c r="L415">
        <v>5</v>
      </c>
      <c r="M415">
        <v>0</v>
      </c>
      <c r="N415">
        <v>0</v>
      </c>
      <c r="O415">
        <v>1</v>
      </c>
      <c r="P415">
        <v>10</v>
      </c>
      <c r="Q415">
        <v>0</v>
      </c>
      <c r="R415">
        <v>0</v>
      </c>
      <c r="S415">
        <v>63</v>
      </c>
      <c r="T415">
        <v>7.9</v>
      </c>
      <c r="U415">
        <v>140</v>
      </c>
      <c r="V415" s="19" t="s">
        <v>2714</v>
      </c>
      <c r="W415" s="19" t="s">
        <v>2715</v>
      </c>
      <c r="X415">
        <v>0</v>
      </c>
      <c r="Y415">
        <v>0</v>
      </c>
      <c r="AA415">
        <v>124</v>
      </c>
      <c r="AB415">
        <v>76</v>
      </c>
      <c r="AC415">
        <v>12</v>
      </c>
      <c r="AD415">
        <v>35</v>
      </c>
      <c r="AE415" s="19" t="s">
        <v>60</v>
      </c>
    </row>
    <row r="416" spans="1:31" x14ac:dyDescent="0.2">
      <c r="A416">
        <v>399</v>
      </c>
      <c r="B416" s="19" t="s">
        <v>1044</v>
      </c>
      <c r="C416">
        <v>32</v>
      </c>
      <c r="D416" s="19" t="s">
        <v>344</v>
      </c>
      <c r="E416" s="19" t="s">
        <v>338</v>
      </c>
      <c r="F416">
        <v>45</v>
      </c>
      <c r="G416">
        <v>4</v>
      </c>
      <c r="H416">
        <v>11</v>
      </c>
      <c r="I416">
        <v>15</v>
      </c>
      <c r="J416">
        <v>2</v>
      </c>
      <c r="K416">
        <v>17</v>
      </c>
      <c r="L416">
        <v>3</v>
      </c>
      <c r="M416">
        <v>0</v>
      </c>
      <c r="N416">
        <v>1</v>
      </c>
      <c r="O416">
        <v>1</v>
      </c>
      <c r="P416">
        <v>11</v>
      </c>
      <c r="Q416">
        <v>0</v>
      </c>
      <c r="R416">
        <v>0</v>
      </c>
      <c r="S416">
        <v>46</v>
      </c>
      <c r="T416">
        <v>8.6999999999999993</v>
      </c>
      <c r="U416">
        <v>107</v>
      </c>
      <c r="V416" s="19" t="s">
        <v>2716</v>
      </c>
      <c r="W416" s="19" t="s">
        <v>1521</v>
      </c>
      <c r="X416">
        <v>306</v>
      </c>
      <c r="Y416">
        <v>264</v>
      </c>
      <c r="Z416">
        <v>53.7</v>
      </c>
      <c r="AA416">
        <v>31</v>
      </c>
      <c r="AB416">
        <v>86</v>
      </c>
      <c r="AC416">
        <v>6</v>
      </c>
      <c r="AD416">
        <v>27</v>
      </c>
      <c r="AE416" s="19" t="s">
        <v>60</v>
      </c>
    </row>
    <row r="417" spans="1:31" x14ac:dyDescent="0.2">
      <c r="A417">
        <v>400</v>
      </c>
      <c r="B417" s="19" t="s">
        <v>814</v>
      </c>
      <c r="C417">
        <v>22</v>
      </c>
      <c r="D417" s="19" t="s">
        <v>336</v>
      </c>
      <c r="E417" s="19" t="s">
        <v>347</v>
      </c>
      <c r="F417">
        <v>52</v>
      </c>
      <c r="G417">
        <v>6</v>
      </c>
      <c r="H417">
        <v>9</v>
      </c>
      <c r="I417">
        <v>15</v>
      </c>
      <c r="J417">
        <v>-4</v>
      </c>
      <c r="K417">
        <v>4</v>
      </c>
      <c r="L417">
        <v>6</v>
      </c>
      <c r="M417">
        <v>0</v>
      </c>
      <c r="N417">
        <v>0</v>
      </c>
      <c r="O417">
        <v>2</v>
      </c>
      <c r="P417">
        <v>8</v>
      </c>
      <c r="Q417">
        <v>1</v>
      </c>
      <c r="R417">
        <v>0</v>
      </c>
      <c r="S417">
        <v>51</v>
      </c>
      <c r="T417">
        <v>11.8</v>
      </c>
      <c r="U417">
        <v>141</v>
      </c>
      <c r="V417" s="19" t="s">
        <v>2717</v>
      </c>
      <c r="W417" s="19" t="s">
        <v>545</v>
      </c>
      <c r="X417">
        <v>0</v>
      </c>
      <c r="Y417">
        <v>0</v>
      </c>
      <c r="AA417">
        <v>76</v>
      </c>
      <c r="AB417">
        <v>27</v>
      </c>
      <c r="AC417">
        <v>12</v>
      </c>
      <c r="AD417">
        <v>46</v>
      </c>
      <c r="AE417" s="19" t="s">
        <v>60</v>
      </c>
    </row>
    <row r="418" spans="1:31" x14ac:dyDescent="0.2">
      <c r="A418">
        <v>401</v>
      </c>
      <c r="B418" s="19" t="s">
        <v>639</v>
      </c>
      <c r="C418">
        <v>30</v>
      </c>
      <c r="D418" s="19" t="s">
        <v>415</v>
      </c>
      <c r="E418" s="19" t="s">
        <v>338</v>
      </c>
      <c r="F418">
        <v>45</v>
      </c>
      <c r="G418">
        <v>7</v>
      </c>
      <c r="H418">
        <v>8</v>
      </c>
      <c r="I418">
        <v>15</v>
      </c>
      <c r="J418">
        <v>-3</v>
      </c>
      <c r="K418">
        <v>6</v>
      </c>
      <c r="L418">
        <v>6</v>
      </c>
      <c r="M418">
        <v>0</v>
      </c>
      <c r="N418">
        <v>1</v>
      </c>
      <c r="O418">
        <v>1</v>
      </c>
      <c r="P418">
        <v>7</v>
      </c>
      <c r="Q418">
        <v>0</v>
      </c>
      <c r="R418">
        <v>1</v>
      </c>
      <c r="S418">
        <v>80</v>
      </c>
      <c r="T418">
        <v>8.8000000000000007</v>
      </c>
      <c r="U418">
        <v>164</v>
      </c>
      <c r="V418" s="19" t="s">
        <v>2718</v>
      </c>
      <c r="W418" s="19" t="s">
        <v>1617</v>
      </c>
      <c r="X418">
        <v>3</v>
      </c>
      <c r="Y418">
        <v>13</v>
      </c>
      <c r="Z418">
        <v>18.8</v>
      </c>
      <c r="AA418">
        <v>24</v>
      </c>
      <c r="AB418">
        <v>33</v>
      </c>
      <c r="AC418">
        <v>17</v>
      </c>
      <c r="AD418">
        <v>35</v>
      </c>
      <c r="AE418" s="19" t="s">
        <v>60</v>
      </c>
    </row>
    <row r="419" spans="1:31" x14ac:dyDescent="0.2">
      <c r="A419">
        <v>402</v>
      </c>
      <c r="B419" s="19" t="s">
        <v>925</v>
      </c>
      <c r="C419">
        <v>21</v>
      </c>
      <c r="D419" s="19" t="s">
        <v>380</v>
      </c>
      <c r="E419" s="19" t="s">
        <v>322</v>
      </c>
      <c r="F419">
        <v>41</v>
      </c>
      <c r="G419">
        <v>7</v>
      </c>
      <c r="H419">
        <v>8</v>
      </c>
      <c r="I419">
        <v>15</v>
      </c>
      <c r="J419">
        <v>-5</v>
      </c>
      <c r="K419">
        <v>16</v>
      </c>
      <c r="L419">
        <v>6</v>
      </c>
      <c r="M419">
        <v>1</v>
      </c>
      <c r="N419">
        <v>0</v>
      </c>
      <c r="O419">
        <v>2</v>
      </c>
      <c r="P419">
        <v>5</v>
      </c>
      <c r="Q419">
        <v>3</v>
      </c>
      <c r="R419">
        <v>0</v>
      </c>
      <c r="S419">
        <v>51</v>
      </c>
      <c r="T419">
        <v>13.7</v>
      </c>
      <c r="U419">
        <v>84</v>
      </c>
      <c r="V419" s="19" t="s">
        <v>2719</v>
      </c>
      <c r="W419" s="19" t="s">
        <v>1588</v>
      </c>
      <c r="X419">
        <v>97</v>
      </c>
      <c r="Y419">
        <v>167</v>
      </c>
      <c r="Z419">
        <v>36.700000000000003</v>
      </c>
      <c r="AA419">
        <v>23</v>
      </c>
      <c r="AB419">
        <v>11</v>
      </c>
      <c r="AC419">
        <v>4</v>
      </c>
      <c r="AD419">
        <v>30</v>
      </c>
      <c r="AE419" s="19" t="s">
        <v>60</v>
      </c>
    </row>
    <row r="420" spans="1:31" x14ac:dyDescent="0.2">
      <c r="A420">
        <v>403</v>
      </c>
      <c r="B420" s="19" t="s">
        <v>819</v>
      </c>
      <c r="C420">
        <v>30</v>
      </c>
      <c r="D420" s="19" t="s">
        <v>393</v>
      </c>
      <c r="E420" s="19" t="s">
        <v>338</v>
      </c>
      <c r="F420">
        <v>44</v>
      </c>
      <c r="G420">
        <v>10</v>
      </c>
      <c r="H420">
        <v>5</v>
      </c>
      <c r="I420">
        <v>15</v>
      </c>
      <c r="J420">
        <v>7</v>
      </c>
      <c r="K420">
        <v>2</v>
      </c>
      <c r="L420">
        <v>10</v>
      </c>
      <c r="M420">
        <v>0</v>
      </c>
      <c r="N420">
        <v>0</v>
      </c>
      <c r="O420">
        <v>2</v>
      </c>
      <c r="P420">
        <v>4</v>
      </c>
      <c r="Q420">
        <v>0</v>
      </c>
      <c r="R420">
        <v>1</v>
      </c>
      <c r="S420">
        <v>59</v>
      </c>
      <c r="T420">
        <v>16.899999999999999</v>
      </c>
      <c r="U420">
        <v>125</v>
      </c>
      <c r="V420" s="19" t="s">
        <v>1966</v>
      </c>
      <c r="W420" s="19" t="s">
        <v>1022</v>
      </c>
      <c r="X420">
        <v>1</v>
      </c>
      <c r="Y420">
        <v>12</v>
      </c>
      <c r="Z420">
        <v>7.7</v>
      </c>
      <c r="AA420">
        <v>7</v>
      </c>
      <c r="AB420">
        <v>60</v>
      </c>
      <c r="AC420">
        <v>7</v>
      </c>
      <c r="AD420">
        <v>16</v>
      </c>
      <c r="AE420" s="19" t="s">
        <v>60</v>
      </c>
    </row>
    <row r="421" spans="1:31" x14ac:dyDescent="0.2">
      <c r="A421">
        <v>404</v>
      </c>
      <c r="B421" s="19" t="s">
        <v>709</v>
      </c>
      <c r="C421">
        <v>30</v>
      </c>
      <c r="D421" s="19" t="s">
        <v>364</v>
      </c>
      <c r="E421" s="19" t="s">
        <v>347</v>
      </c>
      <c r="F421">
        <v>57</v>
      </c>
      <c r="G421">
        <v>1</v>
      </c>
      <c r="H421">
        <v>14</v>
      </c>
      <c r="I421">
        <v>15</v>
      </c>
      <c r="J421">
        <v>14</v>
      </c>
      <c r="K421">
        <v>10</v>
      </c>
      <c r="L421">
        <v>1</v>
      </c>
      <c r="M421">
        <v>0</v>
      </c>
      <c r="N421">
        <v>0</v>
      </c>
      <c r="O421">
        <v>0</v>
      </c>
      <c r="P421">
        <v>14</v>
      </c>
      <c r="Q421">
        <v>0</v>
      </c>
      <c r="R421">
        <v>0</v>
      </c>
      <c r="S421">
        <v>72</v>
      </c>
      <c r="T421">
        <v>1.4</v>
      </c>
      <c r="U421">
        <v>169</v>
      </c>
      <c r="V421" s="19" t="s">
        <v>2720</v>
      </c>
      <c r="W421" s="19" t="s">
        <v>1627</v>
      </c>
      <c r="X421">
        <v>0</v>
      </c>
      <c r="Y421">
        <v>0</v>
      </c>
      <c r="AA421">
        <v>111</v>
      </c>
      <c r="AB421">
        <v>86</v>
      </c>
      <c r="AC421">
        <v>9</v>
      </c>
      <c r="AD421">
        <v>52</v>
      </c>
      <c r="AE421" s="19" t="s">
        <v>60</v>
      </c>
    </row>
    <row r="422" spans="1:31" x14ac:dyDescent="0.2">
      <c r="A422">
        <v>405</v>
      </c>
      <c r="B422" s="19" t="s">
        <v>593</v>
      </c>
      <c r="C422">
        <v>29</v>
      </c>
      <c r="D422" s="19" t="s">
        <v>502</v>
      </c>
      <c r="E422" s="19" t="s">
        <v>325</v>
      </c>
      <c r="F422">
        <v>40</v>
      </c>
      <c r="G422">
        <v>7</v>
      </c>
      <c r="H422">
        <v>8</v>
      </c>
      <c r="I422">
        <v>15</v>
      </c>
      <c r="J422">
        <v>-2</v>
      </c>
      <c r="K422">
        <v>12</v>
      </c>
      <c r="L422">
        <v>6</v>
      </c>
      <c r="M422">
        <v>1</v>
      </c>
      <c r="N422">
        <v>0</v>
      </c>
      <c r="O422">
        <v>2</v>
      </c>
      <c r="P422">
        <v>5</v>
      </c>
      <c r="Q422">
        <v>2</v>
      </c>
      <c r="R422">
        <v>1</v>
      </c>
      <c r="S422">
        <v>62</v>
      </c>
      <c r="T422">
        <v>11.3</v>
      </c>
      <c r="U422">
        <v>115</v>
      </c>
      <c r="V422" s="19" t="s">
        <v>2282</v>
      </c>
      <c r="W422" s="19" t="s">
        <v>727</v>
      </c>
      <c r="X422">
        <v>162</v>
      </c>
      <c r="Y422">
        <v>178</v>
      </c>
      <c r="Z422">
        <v>47.6</v>
      </c>
      <c r="AA422">
        <v>16</v>
      </c>
      <c r="AB422">
        <v>30</v>
      </c>
      <c r="AC422">
        <v>9</v>
      </c>
      <c r="AD422">
        <v>21</v>
      </c>
      <c r="AE422" s="19" t="s">
        <v>60</v>
      </c>
    </row>
    <row r="423" spans="1:31" x14ac:dyDescent="0.2">
      <c r="A423">
        <v>406</v>
      </c>
      <c r="B423" s="19" t="s">
        <v>718</v>
      </c>
      <c r="C423">
        <v>29</v>
      </c>
      <c r="D423" s="19" t="s">
        <v>327</v>
      </c>
      <c r="E423" s="19" t="s">
        <v>347</v>
      </c>
      <c r="F423">
        <v>30</v>
      </c>
      <c r="G423">
        <v>5</v>
      </c>
      <c r="H423">
        <v>10</v>
      </c>
      <c r="I423">
        <v>15</v>
      </c>
      <c r="J423">
        <v>-9</v>
      </c>
      <c r="K423">
        <v>8</v>
      </c>
      <c r="L423">
        <v>2</v>
      </c>
      <c r="M423">
        <v>1</v>
      </c>
      <c r="N423">
        <v>2</v>
      </c>
      <c r="O423">
        <v>1</v>
      </c>
      <c r="P423">
        <v>9</v>
      </c>
      <c r="Q423">
        <v>1</v>
      </c>
      <c r="R423">
        <v>0</v>
      </c>
      <c r="S423">
        <v>55</v>
      </c>
      <c r="T423">
        <v>9.1</v>
      </c>
      <c r="U423">
        <v>126</v>
      </c>
      <c r="V423" s="19" t="s">
        <v>2721</v>
      </c>
      <c r="W423" s="19" t="s">
        <v>1989</v>
      </c>
      <c r="X423">
        <v>0</v>
      </c>
      <c r="Y423">
        <v>0</v>
      </c>
      <c r="AA423">
        <v>51</v>
      </c>
      <c r="AB423">
        <v>8</v>
      </c>
      <c r="AC423">
        <v>10</v>
      </c>
      <c r="AD423">
        <v>33</v>
      </c>
      <c r="AE423" s="19" t="s">
        <v>60</v>
      </c>
    </row>
    <row r="424" spans="1:31" x14ac:dyDescent="0.2">
      <c r="A424">
        <v>407</v>
      </c>
      <c r="B424" s="19" t="s">
        <v>1001</v>
      </c>
      <c r="C424">
        <v>22</v>
      </c>
      <c r="D424" s="19" t="s">
        <v>520</v>
      </c>
      <c r="E424" s="19" t="s">
        <v>322</v>
      </c>
      <c r="F424">
        <v>55</v>
      </c>
      <c r="G424">
        <v>3</v>
      </c>
      <c r="H424">
        <v>12</v>
      </c>
      <c r="I424">
        <v>15</v>
      </c>
      <c r="J424">
        <v>4</v>
      </c>
      <c r="K424">
        <v>15</v>
      </c>
      <c r="L424">
        <v>3</v>
      </c>
      <c r="M424">
        <v>0</v>
      </c>
      <c r="N424">
        <v>0</v>
      </c>
      <c r="O424">
        <v>0</v>
      </c>
      <c r="P424">
        <v>12</v>
      </c>
      <c r="Q424">
        <v>0</v>
      </c>
      <c r="R424">
        <v>0</v>
      </c>
      <c r="S424">
        <v>62</v>
      </c>
      <c r="T424">
        <v>4.8</v>
      </c>
      <c r="U424">
        <v>117</v>
      </c>
      <c r="V424" s="19" t="s">
        <v>2722</v>
      </c>
      <c r="W424" s="19" t="s">
        <v>1239</v>
      </c>
      <c r="X424">
        <v>0</v>
      </c>
      <c r="Y424">
        <v>5</v>
      </c>
      <c r="Z424">
        <v>0</v>
      </c>
      <c r="AA424">
        <v>26</v>
      </c>
      <c r="AB424">
        <v>51</v>
      </c>
      <c r="AC424">
        <v>12</v>
      </c>
      <c r="AD424">
        <v>29</v>
      </c>
      <c r="AE424" s="19" t="s">
        <v>60</v>
      </c>
    </row>
    <row r="425" spans="1:31" x14ac:dyDescent="0.2">
      <c r="A425">
        <v>408</v>
      </c>
      <c r="B425" s="19" t="s">
        <v>609</v>
      </c>
      <c r="C425">
        <v>24</v>
      </c>
      <c r="D425" s="19" t="s">
        <v>933</v>
      </c>
      <c r="E425" s="19" t="s">
        <v>322</v>
      </c>
      <c r="F425">
        <v>26</v>
      </c>
      <c r="G425">
        <v>5</v>
      </c>
      <c r="H425">
        <v>10</v>
      </c>
      <c r="I425">
        <v>15</v>
      </c>
      <c r="J425">
        <v>-10</v>
      </c>
      <c r="K425">
        <v>4</v>
      </c>
      <c r="L425">
        <v>5</v>
      </c>
      <c r="M425">
        <v>0</v>
      </c>
      <c r="N425">
        <v>0</v>
      </c>
      <c r="O425">
        <v>0</v>
      </c>
      <c r="P425">
        <v>5</v>
      </c>
      <c r="Q425">
        <v>5</v>
      </c>
      <c r="R425">
        <v>0</v>
      </c>
      <c r="S425">
        <v>37</v>
      </c>
      <c r="T425">
        <v>13.5</v>
      </c>
      <c r="U425">
        <v>77</v>
      </c>
      <c r="V425" s="19" t="s">
        <v>2723</v>
      </c>
      <c r="W425" s="19" t="s">
        <v>2724</v>
      </c>
      <c r="X425">
        <v>176</v>
      </c>
      <c r="Y425">
        <v>179</v>
      </c>
      <c r="Z425">
        <v>49.6</v>
      </c>
      <c r="AA425">
        <v>21</v>
      </c>
      <c r="AB425">
        <v>17</v>
      </c>
      <c r="AC425">
        <v>7</v>
      </c>
      <c r="AD425">
        <v>23</v>
      </c>
      <c r="AE425" s="19" t="s">
        <v>60</v>
      </c>
    </row>
    <row r="426" spans="1:31" x14ac:dyDescent="0.2">
      <c r="A426">
        <v>408</v>
      </c>
      <c r="B426" s="19" t="s">
        <v>609</v>
      </c>
      <c r="C426">
        <v>24</v>
      </c>
      <c r="D426" s="19" t="s">
        <v>355</v>
      </c>
      <c r="E426" s="19" t="s">
        <v>322</v>
      </c>
      <c r="F426">
        <v>17</v>
      </c>
      <c r="G426">
        <v>4</v>
      </c>
      <c r="H426">
        <v>9</v>
      </c>
      <c r="I426">
        <v>13</v>
      </c>
      <c r="J426">
        <v>-6</v>
      </c>
      <c r="K426">
        <v>2</v>
      </c>
      <c r="L426">
        <v>4</v>
      </c>
      <c r="M426">
        <v>0</v>
      </c>
      <c r="N426">
        <v>0</v>
      </c>
      <c r="O426">
        <v>0</v>
      </c>
      <c r="P426">
        <v>4</v>
      </c>
      <c r="Q426">
        <v>5</v>
      </c>
      <c r="R426">
        <v>0</v>
      </c>
      <c r="S426">
        <v>27</v>
      </c>
      <c r="T426">
        <v>14.8</v>
      </c>
      <c r="U426">
        <v>55</v>
      </c>
      <c r="V426" s="19" t="s">
        <v>610</v>
      </c>
      <c r="W426" s="19" t="s">
        <v>611</v>
      </c>
      <c r="X426">
        <v>107</v>
      </c>
      <c r="Y426">
        <v>113</v>
      </c>
      <c r="Z426">
        <v>48.6</v>
      </c>
      <c r="AA426">
        <v>8</v>
      </c>
      <c r="AB426">
        <v>11</v>
      </c>
      <c r="AC426">
        <v>5</v>
      </c>
      <c r="AD426">
        <v>13</v>
      </c>
      <c r="AE426" s="19" t="s">
        <v>60</v>
      </c>
    </row>
    <row r="427" spans="1:31" x14ac:dyDescent="0.2">
      <c r="A427">
        <v>408</v>
      </c>
      <c r="B427" s="19" t="s">
        <v>609</v>
      </c>
      <c r="C427">
        <v>24</v>
      </c>
      <c r="D427" s="19" t="s">
        <v>440</v>
      </c>
      <c r="E427" s="19" t="s">
        <v>322</v>
      </c>
      <c r="F427">
        <v>9</v>
      </c>
      <c r="G427">
        <v>1</v>
      </c>
      <c r="H427">
        <v>1</v>
      </c>
      <c r="I427">
        <v>2</v>
      </c>
      <c r="J427">
        <v>-4</v>
      </c>
      <c r="K427">
        <v>2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10</v>
      </c>
      <c r="T427">
        <v>10</v>
      </c>
      <c r="U427">
        <v>22</v>
      </c>
      <c r="V427" s="19" t="s">
        <v>2725</v>
      </c>
      <c r="W427" s="19" t="s">
        <v>1446</v>
      </c>
      <c r="X427">
        <v>69</v>
      </c>
      <c r="Y427">
        <v>66</v>
      </c>
      <c r="Z427">
        <v>51.1</v>
      </c>
      <c r="AA427">
        <v>13</v>
      </c>
      <c r="AB427">
        <v>6</v>
      </c>
      <c r="AC427">
        <v>2</v>
      </c>
      <c r="AD427">
        <v>10</v>
      </c>
      <c r="AE427" s="19" t="s">
        <v>60</v>
      </c>
    </row>
    <row r="428" spans="1:31" x14ac:dyDescent="0.2">
      <c r="A428">
        <v>409</v>
      </c>
      <c r="B428" s="19" t="s">
        <v>883</v>
      </c>
      <c r="C428">
        <v>29</v>
      </c>
      <c r="D428" s="19" t="s">
        <v>370</v>
      </c>
      <c r="E428" s="19" t="s">
        <v>347</v>
      </c>
      <c r="F428">
        <v>48</v>
      </c>
      <c r="G428">
        <v>5</v>
      </c>
      <c r="H428">
        <v>9</v>
      </c>
      <c r="I428">
        <v>14</v>
      </c>
      <c r="J428">
        <v>-10</v>
      </c>
      <c r="K428">
        <v>28</v>
      </c>
      <c r="L428">
        <v>2</v>
      </c>
      <c r="M428">
        <v>3</v>
      </c>
      <c r="N428">
        <v>0</v>
      </c>
      <c r="O428">
        <v>1</v>
      </c>
      <c r="P428">
        <v>6</v>
      </c>
      <c r="Q428">
        <v>3</v>
      </c>
      <c r="R428">
        <v>0</v>
      </c>
      <c r="S428">
        <v>58</v>
      </c>
      <c r="T428">
        <v>8.6</v>
      </c>
      <c r="U428">
        <v>116</v>
      </c>
      <c r="V428" s="19" t="s">
        <v>2726</v>
      </c>
      <c r="W428" s="19" t="s">
        <v>2727</v>
      </c>
      <c r="X428">
        <v>0</v>
      </c>
      <c r="Y428">
        <v>0</v>
      </c>
      <c r="AA428">
        <v>36</v>
      </c>
      <c r="AB428">
        <v>63</v>
      </c>
      <c r="AC428">
        <v>22</v>
      </c>
      <c r="AD428">
        <v>29</v>
      </c>
      <c r="AE428" s="19" t="s">
        <v>60</v>
      </c>
    </row>
    <row r="429" spans="1:31" x14ac:dyDescent="0.2">
      <c r="A429">
        <v>410</v>
      </c>
      <c r="B429" s="19" t="s">
        <v>687</v>
      </c>
      <c r="C429">
        <v>36</v>
      </c>
      <c r="D429" s="19" t="s">
        <v>415</v>
      </c>
      <c r="E429" s="19" t="s">
        <v>347</v>
      </c>
      <c r="F429">
        <v>49</v>
      </c>
      <c r="G429">
        <v>3</v>
      </c>
      <c r="H429">
        <v>11</v>
      </c>
      <c r="I429">
        <v>14</v>
      </c>
      <c r="J429">
        <v>2</v>
      </c>
      <c r="K429">
        <v>28</v>
      </c>
      <c r="L429">
        <v>3</v>
      </c>
      <c r="M429">
        <v>0</v>
      </c>
      <c r="N429">
        <v>0</v>
      </c>
      <c r="O429">
        <v>0</v>
      </c>
      <c r="P429">
        <v>9</v>
      </c>
      <c r="Q429">
        <v>1</v>
      </c>
      <c r="R429">
        <v>1</v>
      </c>
      <c r="S429">
        <v>70</v>
      </c>
      <c r="T429">
        <v>4.3</v>
      </c>
      <c r="U429">
        <v>178</v>
      </c>
      <c r="V429" s="19" t="s">
        <v>2728</v>
      </c>
      <c r="W429" s="19" t="s">
        <v>2729</v>
      </c>
      <c r="X429">
        <v>0</v>
      </c>
      <c r="Y429">
        <v>0</v>
      </c>
      <c r="AA429">
        <v>54</v>
      </c>
      <c r="AB429">
        <v>24</v>
      </c>
      <c r="AC429">
        <v>13</v>
      </c>
      <c r="AD429">
        <v>60</v>
      </c>
      <c r="AE429" s="19" t="s">
        <v>60</v>
      </c>
    </row>
    <row r="430" spans="1:31" x14ac:dyDescent="0.2">
      <c r="A430">
        <v>411</v>
      </c>
      <c r="B430" s="19" t="s">
        <v>853</v>
      </c>
      <c r="C430">
        <v>32</v>
      </c>
      <c r="D430" s="19" t="s">
        <v>350</v>
      </c>
      <c r="E430" s="19" t="s">
        <v>322</v>
      </c>
      <c r="F430">
        <v>49</v>
      </c>
      <c r="G430">
        <v>7</v>
      </c>
      <c r="H430">
        <v>7</v>
      </c>
      <c r="I430">
        <v>14</v>
      </c>
      <c r="J430">
        <v>2</v>
      </c>
      <c r="K430">
        <v>20</v>
      </c>
      <c r="L430">
        <v>7</v>
      </c>
      <c r="M430">
        <v>0</v>
      </c>
      <c r="N430">
        <v>0</v>
      </c>
      <c r="O430">
        <v>1</v>
      </c>
      <c r="P430">
        <v>7</v>
      </c>
      <c r="Q430">
        <v>0</v>
      </c>
      <c r="R430">
        <v>0</v>
      </c>
      <c r="S430">
        <v>64</v>
      </c>
      <c r="T430">
        <v>10.9</v>
      </c>
      <c r="U430">
        <v>119</v>
      </c>
      <c r="V430" s="19" t="s">
        <v>2730</v>
      </c>
      <c r="W430" s="19" t="s">
        <v>1117</v>
      </c>
      <c r="X430">
        <v>48</v>
      </c>
      <c r="Y430">
        <v>79</v>
      </c>
      <c r="Z430">
        <v>37.799999999999997</v>
      </c>
      <c r="AA430">
        <v>29</v>
      </c>
      <c r="AB430">
        <v>130</v>
      </c>
      <c r="AC430">
        <v>4</v>
      </c>
      <c r="AD430">
        <v>27</v>
      </c>
      <c r="AE430" s="19" t="s">
        <v>60</v>
      </c>
    </row>
    <row r="431" spans="1:31" x14ac:dyDescent="0.2">
      <c r="A431">
        <v>412</v>
      </c>
      <c r="B431" s="19" t="s">
        <v>805</v>
      </c>
      <c r="C431">
        <v>31</v>
      </c>
      <c r="D431" s="19" t="s">
        <v>336</v>
      </c>
      <c r="E431" s="19" t="s">
        <v>338</v>
      </c>
      <c r="F431">
        <v>55</v>
      </c>
      <c r="G431">
        <v>3</v>
      </c>
      <c r="H431">
        <v>11</v>
      </c>
      <c r="I431">
        <v>14</v>
      </c>
      <c r="J431">
        <v>-2</v>
      </c>
      <c r="K431">
        <v>88</v>
      </c>
      <c r="L431">
        <v>3</v>
      </c>
      <c r="M431">
        <v>0</v>
      </c>
      <c r="N431">
        <v>0</v>
      </c>
      <c r="O431">
        <v>0</v>
      </c>
      <c r="P431">
        <v>11</v>
      </c>
      <c r="Q431">
        <v>0</v>
      </c>
      <c r="R431">
        <v>0</v>
      </c>
      <c r="S431">
        <v>30</v>
      </c>
      <c r="T431">
        <v>10</v>
      </c>
      <c r="U431">
        <v>64</v>
      </c>
      <c r="V431" s="19" t="s">
        <v>2731</v>
      </c>
      <c r="W431" s="19" t="s">
        <v>1936</v>
      </c>
      <c r="X431">
        <v>5</v>
      </c>
      <c r="Y431">
        <v>6</v>
      </c>
      <c r="Z431">
        <v>45.5</v>
      </c>
      <c r="AA431">
        <v>15</v>
      </c>
      <c r="AB431">
        <v>167</v>
      </c>
      <c r="AC431">
        <v>4</v>
      </c>
      <c r="AD431">
        <v>30</v>
      </c>
      <c r="AE431" s="19" t="s">
        <v>60</v>
      </c>
    </row>
    <row r="432" spans="1:31" x14ac:dyDescent="0.2">
      <c r="A432">
        <v>413</v>
      </c>
      <c r="B432" s="19" t="s">
        <v>812</v>
      </c>
      <c r="C432">
        <v>29</v>
      </c>
      <c r="D432" s="19" t="s">
        <v>357</v>
      </c>
      <c r="E432" s="19" t="s">
        <v>322</v>
      </c>
      <c r="F432">
        <v>51</v>
      </c>
      <c r="G432">
        <v>4</v>
      </c>
      <c r="H432">
        <v>10</v>
      </c>
      <c r="I432">
        <v>14</v>
      </c>
      <c r="J432">
        <v>2</v>
      </c>
      <c r="K432">
        <v>12</v>
      </c>
      <c r="L432">
        <v>3</v>
      </c>
      <c r="M432">
        <v>0</v>
      </c>
      <c r="N432">
        <v>1</v>
      </c>
      <c r="O432">
        <v>0</v>
      </c>
      <c r="P432">
        <v>10</v>
      </c>
      <c r="Q432">
        <v>0</v>
      </c>
      <c r="R432">
        <v>0</v>
      </c>
      <c r="S432">
        <v>49</v>
      </c>
      <c r="T432">
        <v>8.1999999999999993</v>
      </c>
      <c r="U432">
        <v>82</v>
      </c>
      <c r="V432" s="19" t="s">
        <v>2732</v>
      </c>
      <c r="W432" s="19" t="s">
        <v>1022</v>
      </c>
      <c r="X432">
        <v>38</v>
      </c>
      <c r="Y432">
        <v>35</v>
      </c>
      <c r="Z432">
        <v>52.1</v>
      </c>
      <c r="AA432">
        <v>33</v>
      </c>
      <c r="AB432">
        <v>108</v>
      </c>
      <c r="AC432">
        <v>12</v>
      </c>
      <c r="AD432">
        <v>25</v>
      </c>
      <c r="AE432" s="19" t="s">
        <v>60</v>
      </c>
    </row>
    <row r="433" spans="1:31" x14ac:dyDescent="0.2">
      <c r="A433">
        <v>414</v>
      </c>
      <c r="B433" s="19" t="s">
        <v>784</v>
      </c>
      <c r="C433">
        <v>26</v>
      </c>
      <c r="D433" s="19" t="s">
        <v>368</v>
      </c>
      <c r="E433" s="19" t="s">
        <v>322</v>
      </c>
      <c r="F433">
        <v>53</v>
      </c>
      <c r="G433">
        <v>6</v>
      </c>
      <c r="H433">
        <v>8</v>
      </c>
      <c r="I433">
        <v>14</v>
      </c>
      <c r="J433">
        <v>-4</v>
      </c>
      <c r="K433">
        <v>8</v>
      </c>
      <c r="L433">
        <v>5</v>
      </c>
      <c r="M433">
        <v>0</v>
      </c>
      <c r="N433">
        <v>1</v>
      </c>
      <c r="O433">
        <v>0</v>
      </c>
      <c r="P433">
        <v>8</v>
      </c>
      <c r="Q433">
        <v>0</v>
      </c>
      <c r="R433">
        <v>0</v>
      </c>
      <c r="S433">
        <v>58</v>
      </c>
      <c r="T433">
        <v>10.3</v>
      </c>
      <c r="U433">
        <v>119</v>
      </c>
      <c r="V433" s="19" t="s">
        <v>2283</v>
      </c>
      <c r="W433" s="19" t="s">
        <v>1675</v>
      </c>
      <c r="X433">
        <v>116</v>
      </c>
      <c r="Y433">
        <v>121</v>
      </c>
      <c r="Z433">
        <v>48.9</v>
      </c>
      <c r="AA433">
        <v>44</v>
      </c>
      <c r="AB433">
        <v>53</v>
      </c>
      <c r="AC433">
        <v>10</v>
      </c>
      <c r="AD433">
        <v>27</v>
      </c>
      <c r="AE433" s="19" t="s">
        <v>60</v>
      </c>
    </row>
    <row r="434" spans="1:31" x14ac:dyDescent="0.2">
      <c r="A434">
        <v>415</v>
      </c>
      <c r="B434" s="19" t="s">
        <v>715</v>
      </c>
      <c r="C434">
        <v>31</v>
      </c>
      <c r="D434" s="19" t="s">
        <v>502</v>
      </c>
      <c r="E434" s="19" t="s">
        <v>322</v>
      </c>
      <c r="F434">
        <v>43</v>
      </c>
      <c r="G434">
        <v>4</v>
      </c>
      <c r="H434">
        <v>10</v>
      </c>
      <c r="I434">
        <v>14</v>
      </c>
      <c r="J434">
        <v>-17</v>
      </c>
      <c r="K434">
        <v>16</v>
      </c>
      <c r="L434">
        <v>4</v>
      </c>
      <c r="M434">
        <v>0</v>
      </c>
      <c r="N434">
        <v>0</v>
      </c>
      <c r="O434">
        <v>0</v>
      </c>
      <c r="P434">
        <v>9</v>
      </c>
      <c r="Q434">
        <v>1</v>
      </c>
      <c r="R434">
        <v>0</v>
      </c>
      <c r="S434">
        <v>34</v>
      </c>
      <c r="T434">
        <v>11.8</v>
      </c>
      <c r="U434">
        <v>61</v>
      </c>
      <c r="V434" s="19" t="s">
        <v>2284</v>
      </c>
      <c r="W434" s="19" t="s">
        <v>1720</v>
      </c>
      <c r="X434">
        <v>178</v>
      </c>
      <c r="Y434">
        <v>203</v>
      </c>
      <c r="Z434">
        <v>46.7</v>
      </c>
      <c r="AA434">
        <v>24</v>
      </c>
      <c r="AB434">
        <v>53</v>
      </c>
      <c r="AC434">
        <v>11</v>
      </c>
      <c r="AD434">
        <v>17</v>
      </c>
      <c r="AE434" s="19" t="s">
        <v>60</v>
      </c>
    </row>
    <row r="435" spans="1:31" x14ac:dyDescent="0.2">
      <c r="A435">
        <v>416</v>
      </c>
      <c r="B435" s="19" t="s">
        <v>930</v>
      </c>
      <c r="C435">
        <v>24</v>
      </c>
      <c r="D435" s="19" t="s">
        <v>329</v>
      </c>
      <c r="E435" s="19" t="s">
        <v>347</v>
      </c>
      <c r="F435">
        <v>56</v>
      </c>
      <c r="G435">
        <v>2</v>
      </c>
      <c r="H435">
        <v>12</v>
      </c>
      <c r="I435">
        <v>14</v>
      </c>
      <c r="J435">
        <v>-13</v>
      </c>
      <c r="K435">
        <v>11</v>
      </c>
      <c r="L435">
        <v>2</v>
      </c>
      <c r="M435">
        <v>0</v>
      </c>
      <c r="N435">
        <v>0</v>
      </c>
      <c r="O435">
        <v>0</v>
      </c>
      <c r="P435">
        <v>12</v>
      </c>
      <c r="Q435">
        <v>0</v>
      </c>
      <c r="R435">
        <v>0</v>
      </c>
      <c r="S435">
        <v>59</v>
      </c>
      <c r="T435">
        <v>3.4</v>
      </c>
      <c r="U435">
        <v>157</v>
      </c>
      <c r="V435" s="19" t="s">
        <v>2285</v>
      </c>
      <c r="W435" s="19" t="s">
        <v>1719</v>
      </c>
      <c r="X435">
        <v>0</v>
      </c>
      <c r="Y435">
        <v>0</v>
      </c>
      <c r="AA435">
        <v>79</v>
      </c>
      <c r="AB435">
        <v>21</v>
      </c>
      <c r="AC435">
        <v>19</v>
      </c>
      <c r="AD435">
        <v>62</v>
      </c>
      <c r="AE435" s="19" t="s">
        <v>60</v>
      </c>
    </row>
    <row r="436" spans="1:31" x14ac:dyDescent="0.2">
      <c r="A436">
        <v>417</v>
      </c>
      <c r="B436" s="19" t="s">
        <v>757</v>
      </c>
      <c r="C436">
        <v>31</v>
      </c>
      <c r="D436" s="19" t="s">
        <v>393</v>
      </c>
      <c r="E436" s="19" t="s">
        <v>347</v>
      </c>
      <c r="F436">
        <v>57</v>
      </c>
      <c r="G436">
        <v>4</v>
      </c>
      <c r="H436">
        <v>10</v>
      </c>
      <c r="I436">
        <v>14</v>
      </c>
      <c r="J436">
        <v>-5</v>
      </c>
      <c r="K436">
        <v>47</v>
      </c>
      <c r="L436">
        <v>4</v>
      </c>
      <c r="M436">
        <v>0</v>
      </c>
      <c r="N436">
        <v>0</v>
      </c>
      <c r="O436">
        <v>0</v>
      </c>
      <c r="P436">
        <v>8</v>
      </c>
      <c r="Q436">
        <v>1</v>
      </c>
      <c r="R436">
        <v>1</v>
      </c>
      <c r="S436">
        <v>124</v>
      </c>
      <c r="T436">
        <v>3.2</v>
      </c>
      <c r="U436">
        <v>330</v>
      </c>
      <c r="V436" s="19" t="s">
        <v>2733</v>
      </c>
      <c r="W436" s="19" t="s">
        <v>2734</v>
      </c>
      <c r="X436">
        <v>0</v>
      </c>
      <c r="Y436">
        <v>0</v>
      </c>
      <c r="AA436">
        <v>87</v>
      </c>
      <c r="AB436">
        <v>93</v>
      </c>
      <c r="AC436">
        <v>22</v>
      </c>
      <c r="AD436">
        <v>65</v>
      </c>
      <c r="AE436" s="19" t="s">
        <v>60</v>
      </c>
    </row>
    <row r="437" spans="1:31" x14ac:dyDescent="0.2">
      <c r="A437">
        <v>418</v>
      </c>
      <c r="B437" s="19" t="s">
        <v>888</v>
      </c>
      <c r="C437">
        <v>32</v>
      </c>
      <c r="D437" s="19" t="s">
        <v>933</v>
      </c>
      <c r="E437" s="19" t="s">
        <v>322</v>
      </c>
      <c r="F437">
        <v>51</v>
      </c>
      <c r="G437">
        <v>3</v>
      </c>
      <c r="H437">
        <v>11</v>
      </c>
      <c r="I437">
        <v>14</v>
      </c>
      <c r="J437">
        <v>0</v>
      </c>
      <c r="K437">
        <v>20</v>
      </c>
      <c r="L437">
        <v>2</v>
      </c>
      <c r="M437">
        <v>0</v>
      </c>
      <c r="N437">
        <v>1</v>
      </c>
      <c r="O437">
        <v>0</v>
      </c>
      <c r="P437">
        <v>10</v>
      </c>
      <c r="Q437">
        <v>0</v>
      </c>
      <c r="R437">
        <v>1</v>
      </c>
      <c r="S437">
        <v>73</v>
      </c>
      <c r="T437">
        <v>4.0999999999999996</v>
      </c>
      <c r="U437">
        <v>136</v>
      </c>
      <c r="V437" s="19" t="s">
        <v>2286</v>
      </c>
      <c r="W437" s="19" t="s">
        <v>1818</v>
      </c>
      <c r="X437">
        <v>405</v>
      </c>
      <c r="Y437">
        <v>328</v>
      </c>
      <c r="Z437">
        <v>55.3</v>
      </c>
      <c r="AA437">
        <v>29</v>
      </c>
      <c r="AB437">
        <v>40</v>
      </c>
      <c r="AC437">
        <v>7</v>
      </c>
      <c r="AD437">
        <v>40</v>
      </c>
      <c r="AE437" s="19" t="s">
        <v>60</v>
      </c>
    </row>
    <row r="438" spans="1:31" x14ac:dyDescent="0.2">
      <c r="A438">
        <v>418</v>
      </c>
      <c r="B438" s="19" t="s">
        <v>888</v>
      </c>
      <c r="C438">
        <v>32</v>
      </c>
      <c r="D438" s="19" t="s">
        <v>415</v>
      </c>
      <c r="E438" s="19" t="s">
        <v>322</v>
      </c>
      <c r="F438">
        <v>30</v>
      </c>
      <c r="G438">
        <v>0</v>
      </c>
      <c r="H438">
        <v>5</v>
      </c>
      <c r="I438">
        <v>5</v>
      </c>
      <c r="J438">
        <v>3</v>
      </c>
      <c r="K438">
        <v>6</v>
      </c>
      <c r="L438">
        <v>0</v>
      </c>
      <c r="M438">
        <v>0</v>
      </c>
      <c r="N438">
        <v>0</v>
      </c>
      <c r="O438">
        <v>0</v>
      </c>
      <c r="P438">
        <v>4</v>
      </c>
      <c r="Q438">
        <v>0</v>
      </c>
      <c r="R438">
        <v>1</v>
      </c>
      <c r="S438">
        <v>42</v>
      </c>
      <c r="T438">
        <v>0</v>
      </c>
      <c r="U438">
        <v>88</v>
      </c>
      <c r="V438" s="19" t="s">
        <v>1489</v>
      </c>
      <c r="W438" s="19" t="s">
        <v>1490</v>
      </c>
      <c r="X438">
        <v>219</v>
      </c>
      <c r="Y438">
        <v>195</v>
      </c>
      <c r="Z438">
        <v>52.9</v>
      </c>
      <c r="AA438">
        <v>11</v>
      </c>
      <c r="AB438">
        <v>22</v>
      </c>
      <c r="AC438">
        <v>4</v>
      </c>
      <c r="AD438">
        <v>25</v>
      </c>
      <c r="AE438" s="19" t="s">
        <v>60</v>
      </c>
    </row>
    <row r="439" spans="1:31" x14ac:dyDescent="0.2">
      <c r="A439">
        <v>418</v>
      </c>
      <c r="B439" s="19" t="s">
        <v>888</v>
      </c>
      <c r="C439">
        <v>32</v>
      </c>
      <c r="D439" s="19" t="s">
        <v>361</v>
      </c>
      <c r="E439" s="19" t="s">
        <v>322</v>
      </c>
      <c r="F439">
        <v>21</v>
      </c>
      <c r="G439">
        <v>3</v>
      </c>
      <c r="H439">
        <v>6</v>
      </c>
      <c r="I439">
        <v>9</v>
      </c>
      <c r="J439">
        <v>-3</v>
      </c>
      <c r="K439">
        <v>14</v>
      </c>
      <c r="L439">
        <v>2</v>
      </c>
      <c r="M439">
        <v>0</v>
      </c>
      <c r="N439">
        <v>1</v>
      </c>
      <c r="O439">
        <v>0</v>
      </c>
      <c r="P439">
        <v>6</v>
      </c>
      <c r="Q439">
        <v>0</v>
      </c>
      <c r="R439">
        <v>0</v>
      </c>
      <c r="S439">
        <v>31</v>
      </c>
      <c r="T439">
        <v>9.6999999999999993</v>
      </c>
      <c r="U439">
        <v>48</v>
      </c>
      <c r="V439" s="19" t="s">
        <v>2287</v>
      </c>
      <c r="W439" s="19" t="s">
        <v>1574</v>
      </c>
      <c r="X439">
        <v>186</v>
      </c>
      <c r="Y439">
        <v>133</v>
      </c>
      <c r="Z439">
        <v>58.3</v>
      </c>
      <c r="AA439">
        <v>18</v>
      </c>
      <c r="AB439">
        <v>18</v>
      </c>
      <c r="AC439">
        <v>3</v>
      </c>
      <c r="AD439">
        <v>15</v>
      </c>
      <c r="AE439" s="19" t="s">
        <v>60</v>
      </c>
    </row>
    <row r="440" spans="1:31" x14ac:dyDescent="0.2">
      <c r="A440">
        <v>419</v>
      </c>
      <c r="B440" s="19" t="s">
        <v>836</v>
      </c>
      <c r="C440">
        <v>25</v>
      </c>
      <c r="D440" s="19" t="s">
        <v>933</v>
      </c>
      <c r="E440" s="19" t="s">
        <v>334</v>
      </c>
      <c r="F440">
        <v>35</v>
      </c>
      <c r="G440">
        <v>7</v>
      </c>
      <c r="H440">
        <v>7</v>
      </c>
      <c r="I440">
        <v>14</v>
      </c>
      <c r="J440">
        <v>-4</v>
      </c>
      <c r="K440">
        <v>6</v>
      </c>
      <c r="L440">
        <v>4</v>
      </c>
      <c r="M440">
        <v>3</v>
      </c>
      <c r="N440">
        <v>0</v>
      </c>
      <c r="O440">
        <v>1</v>
      </c>
      <c r="P440">
        <v>7</v>
      </c>
      <c r="Q440">
        <v>0</v>
      </c>
      <c r="R440">
        <v>0</v>
      </c>
      <c r="S440">
        <v>43</v>
      </c>
      <c r="T440">
        <v>16.3</v>
      </c>
      <c r="U440">
        <v>86</v>
      </c>
      <c r="V440" s="19" t="s">
        <v>2128</v>
      </c>
      <c r="W440" s="19" t="s">
        <v>1579</v>
      </c>
      <c r="X440">
        <v>1</v>
      </c>
      <c r="Y440">
        <v>2</v>
      </c>
      <c r="Z440">
        <v>33.299999999999997</v>
      </c>
      <c r="AA440">
        <v>8</v>
      </c>
      <c r="AB440">
        <v>23</v>
      </c>
      <c r="AC440">
        <v>5</v>
      </c>
      <c r="AD440">
        <v>32</v>
      </c>
      <c r="AE440" s="19" t="s">
        <v>60</v>
      </c>
    </row>
    <row r="441" spans="1:31" x14ac:dyDescent="0.2">
      <c r="A441">
        <v>419</v>
      </c>
      <c r="B441" s="19" t="s">
        <v>836</v>
      </c>
      <c r="C441">
        <v>25</v>
      </c>
      <c r="D441" s="19" t="s">
        <v>368</v>
      </c>
      <c r="E441" s="19" t="s">
        <v>334</v>
      </c>
      <c r="F441">
        <v>15</v>
      </c>
      <c r="G441">
        <v>2</v>
      </c>
      <c r="H441">
        <v>4</v>
      </c>
      <c r="I441">
        <v>6</v>
      </c>
      <c r="J441">
        <v>-3</v>
      </c>
      <c r="K441">
        <v>6</v>
      </c>
      <c r="L441">
        <v>1</v>
      </c>
      <c r="M441">
        <v>1</v>
      </c>
      <c r="N441">
        <v>0</v>
      </c>
      <c r="O441">
        <v>0</v>
      </c>
      <c r="P441">
        <v>4</v>
      </c>
      <c r="Q441">
        <v>0</v>
      </c>
      <c r="R441">
        <v>0</v>
      </c>
      <c r="S441">
        <v>20</v>
      </c>
      <c r="T441">
        <v>10</v>
      </c>
      <c r="U441">
        <v>44</v>
      </c>
      <c r="V441" s="19" t="s">
        <v>1504</v>
      </c>
      <c r="W441" s="19" t="s">
        <v>785</v>
      </c>
      <c r="X441">
        <v>0</v>
      </c>
      <c r="Y441">
        <v>0</v>
      </c>
      <c r="AA441">
        <v>3</v>
      </c>
      <c r="AB441">
        <v>10</v>
      </c>
      <c r="AC441">
        <v>1</v>
      </c>
      <c r="AD441">
        <v>14</v>
      </c>
      <c r="AE441" s="19" t="s">
        <v>60</v>
      </c>
    </row>
    <row r="442" spans="1:31" x14ac:dyDescent="0.2">
      <c r="A442">
        <v>419</v>
      </c>
      <c r="B442" s="19" t="s">
        <v>836</v>
      </c>
      <c r="C442">
        <v>25</v>
      </c>
      <c r="D442" s="19" t="s">
        <v>502</v>
      </c>
      <c r="E442" s="19" t="s">
        <v>334</v>
      </c>
      <c r="F442">
        <v>20</v>
      </c>
      <c r="G442">
        <v>5</v>
      </c>
      <c r="H442">
        <v>3</v>
      </c>
      <c r="I442">
        <v>8</v>
      </c>
      <c r="J442">
        <v>-1</v>
      </c>
      <c r="K442">
        <v>0</v>
      </c>
      <c r="L442">
        <v>3</v>
      </c>
      <c r="M442">
        <v>2</v>
      </c>
      <c r="N442">
        <v>0</v>
      </c>
      <c r="O442">
        <v>1</v>
      </c>
      <c r="P442">
        <v>3</v>
      </c>
      <c r="Q442">
        <v>0</v>
      </c>
      <c r="R442">
        <v>0</v>
      </c>
      <c r="S442">
        <v>23</v>
      </c>
      <c r="T442">
        <v>21.7</v>
      </c>
      <c r="U442">
        <v>42</v>
      </c>
      <c r="V442" s="19" t="s">
        <v>2129</v>
      </c>
      <c r="W442" s="19" t="s">
        <v>1838</v>
      </c>
      <c r="X442">
        <v>1</v>
      </c>
      <c r="Y442">
        <v>2</v>
      </c>
      <c r="Z442">
        <v>33.299999999999997</v>
      </c>
      <c r="AA442">
        <v>5</v>
      </c>
      <c r="AB442">
        <v>13</v>
      </c>
      <c r="AC442">
        <v>4</v>
      </c>
      <c r="AD442">
        <v>18</v>
      </c>
      <c r="AE442" s="19" t="s">
        <v>60</v>
      </c>
    </row>
    <row r="443" spans="1:31" x14ac:dyDescent="0.2">
      <c r="A443">
        <v>420</v>
      </c>
      <c r="B443" s="19" t="s">
        <v>834</v>
      </c>
      <c r="C443">
        <v>25</v>
      </c>
      <c r="D443" s="19" t="s">
        <v>430</v>
      </c>
      <c r="E443" s="19" t="s">
        <v>347</v>
      </c>
      <c r="F443">
        <v>55</v>
      </c>
      <c r="G443">
        <v>3</v>
      </c>
      <c r="H443">
        <v>10</v>
      </c>
      <c r="I443">
        <v>13</v>
      </c>
      <c r="J443">
        <v>11</v>
      </c>
      <c r="K443">
        <v>33</v>
      </c>
      <c r="L443">
        <v>3</v>
      </c>
      <c r="M443">
        <v>0</v>
      </c>
      <c r="N443">
        <v>0</v>
      </c>
      <c r="O443">
        <v>2</v>
      </c>
      <c r="P443">
        <v>9</v>
      </c>
      <c r="Q443">
        <v>0</v>
      </c>
      <c r="R443">
        <v>1</v>
      </c>
      <c r="S443">
        <v>45</v>
      </c>
      <c r="T443">
        <v>6.7</v>
      </c>
      <c r="U443">
        <v>108</v>
      </c>
      <c r="V443" s="19" t="s">
        <v>2288</v>
      </c>
      <c r="W443" s="19" t="s">
        <v>1820</v>
      </c>
      <c r="X443">
        <v>0</v>
      </c>
      <c r="Y443">
        <v>0</v>
      </c>
      <c r="AA443">
        <v>82</v>
      </c>
      <c r="AB443">
        <v>84</v>
      </c>
      <c r="AC443">
        <v>34</v>
      </c>
      <c r="AD443">
        <v>70</v>
      </c>
      <c r="AE443" s="19" t="s">
        <v>60</v>
      </c>
    </row>
    <row r="444" spans="1:31" x14ac:dyDescent="0.2">
      <c r="A444">
        <v>421</v>
      </c>
      <c r="B444" s="19" t="s">
        <v>947</v>
      </c>
      <c r="C444">
        <v>29</v>
      </c>
      <c r="D444" s="19" t="s">
        <v>393</v>
      </c>
      <c r="E444" s="19" t="s">
        <v>347</v>
      </c>
      <c r="F444">
        <v>50</v>
      </c>
      <c r="G444">
        <v>1</v>
      </c>
      <c r="H444">
        <v>12</v>
      </c>
      <c r="I444">
        <v>13</v>
      </c>
      <c r="J444">
        <v>20</v>
      </c>
      <c r="K444">
        <v>16</v>
      </c>
      <c r="L444">
        <v>1</v>
      </c>
      <c r="M444">
        <v>0</v>
      </c>
      <c r="N444">
        <v>0</v>
      </c>
      <c r="O444">
        <v>1</v>
      </c>
      <c r="P444">
        <v>12</v>
      </c>
      <c r="Q444">
        <v>0</v>
      </c>
      <c r="R444">
        <v>0</v>
      </c>
      <c r="S444">
        <v>70</v>
      </c>
      <c r="T444">
        <v>1.4</v>
      </c>
      <c r="U444">
        <v>188</v>
      </c>
      <c r="V444" s="19" t="s">
        <v>2735</v>
      </c>
      <c r="W444" s="19" t="s">
        <v>2736</v>
      </c>
      <c r="X444">
        <v>0</v>
      </c>
      <c r="Y444">
        <v>0</v>
      </c>
      <c r="AA444">
        <v>43</v>
      </c>
      <c r="AB444">
        <v>25</v>
      </c>
      <c r="AC444">
        <v>23</v>
      </c>
      <c r="AD444">
        <v>47</v>
      </c>
      <c r="AE444" s="19" t="s">
        <v>60</v>
      </c>
    </row>
    <row r="445" spans="1:31" x14ac:dyDescent="0.2">
      <c r="A445">
        <v>422</v>
      </c>
      <c r="B445" s="19" t="s">
        <v>948</v>
      </c>
      <c r="C445">
        <v>30</v>
      </c>
      <c r="D445" s="19" t="s">
        <v>329</v>
      </c>
      <c r="E445" s="19" t="s">
        <v>322</v>
      </c>
      <c r="F445">
        <v>43</v>
      </c>
      <c r="G445">
        <v>6</v>
      </c>
      <c r="H445">
        <v>7</v>
      </c>
      <c r="I445">
        <v>13</v>
      </c>
      <c r="J445">
        <v>-6</v>
      </c>
      <c r="K445">
        <v>10</v>
      </c>
      <c r="L445">
        <v>5</v>
      </c>
      <c r="M445">
        <v>0</v>
      </c>
      <c r="N445">
        <v>1</v>
      </c>
      <c r="O445">
        <v>1</v>
      </c>
      <c r="P445">
        <v>6</v>
      </c>
      <c r="Q445">
        <v>0</v>
      </c>
      <c r="R445">
        <v>1</v>
      </c>
      <c r="S445">
        <v>51</v>
      </c>
      <c r="T445">
        <v>11.8</v>
      </c>
      <c r="U445">
        <v>106</v>
      </c>
      <c r="V445" s="19" t="s">
        <v>2289</v>
      </c>
      <c r="W445" s="19" t="s">
        <v>1141</v>
      </c>
      <c r="X445">
        <v>316</v>
      </c>
      <c r="Y445">
        <v>322</v>
      </c>
      <c r="Z445">
        <v>49.5</v>
      </c>
      <c r="AA445">
        <v>33</v>
      </c>
      <c r="AB445">
        <v>45</v>
      </c>
      <c r="AC445">
        <v>8</v>
      </c>
      <c r="AD445">
        <v>32</v>
      </c>
      <c r="AE445" s="19" t="s">
        <v>60</v>
      </c>
    </row>
    <row r="446" spans="1:31" x14ac:dyDescent="0.2">
      <c r="A446">
        <v>423</v>
      </c>
      <c r="B446" s="19" t="s">
        <v>765</v>
      </c>
      <c r="C446">
        <v>29</v>
      </c>
      <c r="D446" s="19" t="s">
        <v>361</v>
      </c>
      <c r="E446" s="19" t="s">
        <v>322</v>
      </c>
      <c r="F446">
        <v>43</v>
      </c>
      <c r="G446">
        <v>7</v>
      </c>
      <c r="H446">
        <v>6</v>
      </c>
      <c r="I446">
        <v>13</v>
      </c>
      <c r="J446">
        <v>-11</v>
      </c>
      <c r="K446">
        <v>8</v>
      </c>
      <c r="L446">
        <v>6</v>
      </c>
      <c r="M446">
        <v>0</v>
      </c>
      <c r="N446">
        <v>1</v>
      </c>
      <c r="O446">
        <v>2</v>
      </c>
      <c r="P446">
        <v>6</v>
      </c>
      <c r="Q446">
        <v>0</v>
      </c>
      <c r="R446">
        <v>0</v>
      </c>
      <c r="S446">
        <v>47</v>
      </c>
      <c r="T446">
        <v>14.9</v>
      </c>
      <c r="U446">
        <v>100</v>
      </c>
      <c r="V446" s="19" t="s">
        <v>1999</v>
      </c>
      <c r="W446" s="19" t="s">
        <v>1117</v>
      </c>
      <c r="X446">
        <v>297</v>
      </c>
      <c r="Y446">
        <v>241</v>
      </c>
      <c r="Z446">
        <v>55.2</v>
      </c>
      <c r="AA446">
        <v>33</v>
      </c>
      <c r="AB446">
        <v>48</v>
      </c>
      <c r="AC446">
        <v>9</v>
      </c>
      <c r="AD446">
        <v>34</v>
      </c>
      <c r="AE446" s="19" t="s">
        <v>60</v>
      </c>
    </row>
    <row r="447" spans="1:31" x14ac:dyDescent="0.2">
      <c r="A447">
        <v>424</v>
      </c>
      <c r="B447" s="19" t="s">
        <v>849</v>
      </c>
      <c r="C447">
        <v>24</v>
      </c>
      <c r="D447" s="19" t="s">
        <v>520</v>
      </c>
      <c r="E447" s="19" t="s">
        <v>347</v>
      </c>
      <c r="F447">
        <v>42</v>
      </c>
      <c r="G447">
        <v>6</v>
      </c>
      <c r="H447">
        <v>7</v>
      </c>
      <c r="I447">
        <v>13</v>
      </c>
      <c r="J447">
        <v>6</v>
      </c>
      <c r="K447">
        <v>24</v>
      </c>
      <c r="L447">
        <v>6</v>
      </c>
      <c r="M447">
        <v>0</v>
      </c>
      <c r="N447">
        <v>0</v>
      </c>
      <c r="O447">
        <v>0</v>
      </c>
      <c r="P447">
        <v>6</v>
      </c>
      <c r="Q447">
        <v>1</v>
      </c>
      <c r="R447">
        <v>0</v>
      </c>
      <c r="S447">
        <v>30</v>
      </c>
      <c r="T447">
        <v>20</v>
      </c>
      <c r="U447">
        <v>76</v>
      </c>
      <c r="V447" s="19" t="s">
        <v>2737</v>
      </c>
      <c r="W447" s="19" t="s">
        <v>2457</v>
      </c>
      <c r="X447">
        <v>0</v>
      </c>
      <c r="Y447">
        <v>0</v>
      </c>
      <c r="AA447">
        <v>44</v>
      </c>
      <c r="AB447">
        <v>26</v>
      </c>
      <c r="AC447">
        <v>5</v>
      </c>
      <c r="AD447">
        <v>30</v>
      </c>
      <c r="AE447" s="19" t="s">
        <v>60</v>
      </c>
    </row>
    <row r="448" spans="1:31" x14ac:dyDescent="0.2">
      <c r="A448">
        <v>425</v>
      </c>
      <c r="B448" s="19" t="s">
        <v>602</v>
      </c>
      <c r="C448">
        <v>24</v>
      </c>
      <c r="D448" s="19" t="s">
        <v>403</v>
      </c>
      <c r="E448" s="19" t="s">
        <v>334</v>
      </c>
      <c r="F448">
        <v>21</v>
      </c>
      <c r="G448">
        <v>10</v>
      </c>
      <c r="H448">
        <v>3</v>
      </c>
      <c r="I448">
        <v>13</v>
      </c>
      <c r="J448">
        <v>7</v>
      </c>
      <c r="K448">
        <v>18</v>
      </c>
      <c r="L448">
        <v>7</v>
      </c>
      <c r="M448">
        <v>3</v>
      </c>
      <c r="N448">
        <v>0</v>
      </c>
      <c r="O448">
        <v>2</v>
      </c>
      <c r="P448">
        <v>3</v>
      </c>
      <c r="Q448">
        <v>0</v>
      </c>
      <c r="R448">
        <v>0</v>
      </c>
      <c r="S448">
        <v>41</v>
      </c>
      <c r="T448">
        <v>24.4</v>
      </c>
      <c r="U448">
        <v>75</v>
      </c>
      <c r="V448" s="19" t="s">
        <v>1929</v>
      </c>
      <c r="W448" s="19" t="s">
        <v>603</v>
      </c>
      <c r="X448">
        <v>1</v>
      </c>
      <c r="Y448">
        <v>1</v>
      </c>
      <c r="Z448">
        <v>50</v>
      </c>
      <c r="AA448">
        <v>18</v>
      </c>
      <c r="AB448">
        <v>20</v>
      </c>
      <c r="AC448">
        <v>8</v>
      </c>
      <c r="AD448">
        <v>11</v>
      </c>
      <c r="AE448" s="19" t="s">
        <v>60</v>
      </c>
    </row>
    <row r="449" spans="1:31" x14ac:dyDescent="0.2">
      <c r="A449">
        <v>426</v>
      </c>
      <c r="B449" s="19" t="s">
        <v>630</v>
      </c>
      <c r="C449">
        <v>35</v>
      </c>
      <c r="D449" s="19" t="s">
        <v>350</v>
      </c>
      <c r="E449" s="19" t="s">
        <v>347</v>
      </c>
      <c r="F449">
        <v>22</v>
      </c>
      <c r="G449">
        <v>0</v>
      </c>
      <c r="H449">
        <v>13</v>
      </c>
      <c r="I449">
        <v>13</v>
      </c>
      <c r="J449">
        <v>2</v>
      </c>
      <c r="K449">
        <v>8</v>
      </c>
      <c r="L449">
        <v>0</v>
      </c>
      <c r="M449">
        <v>0</v>
      </c>
      <c r="N449">
        <v>0</v>
      </c>
      <c r="O449">
        <v>0</v>
      </c>
      <c r="P449">
        <v>7</v>
      </c>
      <c r="Q449">
        <v>6</v>
      </c>
      <c r="R449">
        <v>0</v>
      </c>
      <c r="S449">
        <v>34</v>
      </c>
      <c r="T449">
        <v>0</v>
      </c>
      <c r="U449">
        <v>95</v>
      </c>
      <c r="V449" s="19" t="s">
        <v>2738</v>
      </c>
      <c r="W449" s="19" t="s">
        <v>1989</v>
      </c>
      <c r="X449">
        <v>0</v>
      </c>
      <c r="Y449">
        <v>0</v>
      </c>
      <c r="AA449">
        <v>30</v>
      </c>
      <c r="AB449">
        <v>8</v>
      </c>
      <c r="AC449">
        <v>6</v>
      </c>
      <c r="AD449">
        <v>28</v>
      </c>
      <c r="AE449" s="19" t="s">
        <v>60</v>
      </c>
    </row>
    <row r="450" spans="1:31" x14ac:dyDescent="0.2">
      <c r="A450">
        <v>427</v>
      </c>
      <c r="B450" s="19" t="s">
        <v>894</v>
      </c>
      <c r="C450">
        <v>23</v>
      </c>
      <c r="D450" s="19" t="s">
        <v>350</v>
      </c>
      <c r="E450" s="19" t="s">
        <v>322</v>
      </c>
      <c r="F450">
        <v>41</v>
      </c>
      <c r="G450">
        <v>5</v>
      </c>
      <c r="H450">
        <v>8</v>
      </c>
      <c r="I450">
        <v>13</v>
      </c>
      <c r="J450">
        <v>4</v>
      </c>
      <c r="K450">
        <v>8</v>
      </c>
      <c r="L450">
        <v>5</v>
      </c>
      <c r="M450">
        <v>0</v>
      </c>
      <c r="N450">
        <v>0</v>
      </c>
      <c r="O450">
        <v>0</v>
      </c>
      <c r="P450">
        <v>8</v>
      </c>
      <c r="Q450">
        <v>0</v>
      </c>
      <c r="R450">
        <v>0</v>
      </c>
      <c r="S450">
        <v>51</v>
      </c>
      <c r="T450">
        <v>9.8000000000000007</v>
      </c>
      <c r="U450">
        <v>106</v>
      </c>
      <c r="V450" s="19" t="s">
        <v>2739</v>
      </c>
      <c r="W450" s="19" t="s">
        <v>1298</v>
      </c>
      <c r="X450">
        <v>122</v>
      </c>
      <c r="Y450">
        <v>131</v>
      </c>
      <c r="Z450">
        <v>48.2</v>
      </c>
      <c r="AA450">
        <v>13</v>
      </c>
      <c r="AB450">
        <v>56</v>
      </c>
      <c r="AC450">
        <v>12</v>
      </c>
      <c r="AD450">
        <v>41</v>
      </c>
      <c r="AE450" s="19" t="s">
        <v>60</v>
      </c>
    </row>
    <row r="451" spans="1:31" x14ac:dyDescent="0.2">
      <c r="A451">
        <v>428</v>
      </c>
      <c r="B451" s="19" t="s">
        <v>968</v>
      </c>
      <c r="C451">
        <v>31</v>
      </c>
      <c r="D451" s="19" t="s">
        <v>393</v>
      </c>
      <c r="E451" s="19" t="s">
        <v>322</v>
      </c>
      <c r="F451">
        <v>45</v>
      </c>
      <c r="G451">
        <v>5</v>
      </c>
      <c r="H451">
        <v>8</v>
      </c>
      <c r="I451">
        <v>13</v>
      </c>
      <c r="J451">
        <v>4</v>
      </c>
      <c r="K451">
        <v>14</v>
      </c>
      <c r="L451">
        <v>5</v>
      </c>
      <c r="M451">
        <v>0</v>
      </c>
      <c r="N451">
        <v>0</v>
      </c>
      <c r="O451">
        <v>2</v>
      </c>
      <c r="P451">
        <v>7</v>
      </c>
      <c r="Q451">
        <v>1</v>
      </c>
      <c r="R451">
        <v>0</v>
      </c>
      <c r="S451">
        <v>39</v>
      </c>
      <c r="T451">
        <v>12.8</v>
      </c>
      <c r="U451">
        <v>85</v>
      </c>
      <c r="V451" s="19" t="s">
        <v>2740</v>
      </c>
      <c r="W451" s="19" t="s">
        <v>2741</v>
      </c>
      <c r="X451">
        <v>254</v>
      </c>
      <c r="Y451">
        <v>209</v>
      </c>
      <c r="Z451">
        <v>54.9</v>
      </c>
      <c r="AA451">
        <v>30</v>
      </c>
      <c r="AB451">
        <v>29</v>
      </c>
      <c r="AC451">
        <v>10</v>
      </c>
      <c r="AD451">
        <v>28</v>
      </c>
      <c r="AE451" s="19" t="s">
        <v>60</v>
      </c>
    </row>
    <row r="452" spans="1:31" x14ac:dyDescent="0.2">
      <c r="A452">
        <v>429</v>
      </c>
      <c r="B452" s="19" t="s">
        <v>1036</v>
      </c>
      <c r="C452">
        <v>21</v>
      </c>
      <c r="D452" s="19" t="s">
        <v>368</v>
      </c>
      <c r="E452" s="19" t="s">
        <v>322</v>
      </c>
      <c r="F452">
        <v>57</v>
      </c>
      <c r="G452">
        <v>6</v>
      </c>
      <c r="H452">
        <v>7</v>
      </c>
      <c r="I452">
        <v>13</v>
      </c>
      <c r="J452">
        <v>-11</v>
      </c>
      <c r="K452">
        <v>29</v>
      </c>
      <c r="L452">
        <v>5</v>
      </c>
      <c r="M452">
        <v>1</v>
      </c>
      <c r="N452">
        <v>0</v>
      </c>
      <c r="O452">
        <v>1</v>
      </c>
      <c r="P452">
        <v>6</v>
      </c>
      <c r="Q452">
        <v>1</v>
      </c>
      <c r="R452">
        <v>0</v>
      </c>
      <c r="S452">
        <v>92</v>
      </c>
      <c r="T452">
        <v>6.5</v>
      </c>
      <c r="U452">
        <v>169</v>
      </c>
      <c r="V452" s="19" t="s">
        <v>2290</v>
      </c>
      <c r="W452" s="19" t="s">
        <v>1476</v>
      </c>
      <c r="X452">
        <v>149</v>
      </c>
      <c r="Y452">
        <v>150</v>
      </c>
      <c r="Z452">
        <v>49.8</v>
      </c>
      <c r="AA452">
        <v>35</v>
      </c>
      <c r="AB452">
        <v>131</v>
      </c>
      <c r="AC452">
        <v>10</v>
      </c>
      <c r="AD452">
        <v>37</v>
      </c>
      <c r="AE452" s="19" t="s">
        <v>60</v>
      </c>
    </row>
    <row r="453" spans="1:31" x14ac:dyDescent="0.2">
      <c r="A453">
        <v>430</v>
      </c>
      <c r="B453" s="19" t="s">
        <v>913</v>
      </c>
      <c r="C453">
        <v>30</v>
      </c>
      <c r="D453" s="19" t="s">
        <v>355</v>
      </c>
      <c r="E453" s="19" t="s">
        <v>347</v>
      </c>
      <c r="F453">
        <v>51</v>
      </c>
      <c r="G453">
        <v>1</v>
      </c>
      <c r="H453">
        <v>12</v>
      </c>
      <c r="I453">
        <v>13</v>
      </c>
      <c r="J453">
        <v>0</v>
      </c>
      <c r="K453">
        <v>57</v>
      </c>
      <c r="L453">
        <v>1</v>
      </c>
      <c r="M453">
        <v>0</v>
      </c>
      <c r="N453">
        <v>0</v>
      </c>
      <c r="O453">
        <v>0</v>
      </c>
      <c r="P453">
        <v>12</v>
      </c>
      <c r="Q453">
        <v>0</v>
      </c>
      <c r="R453">
        <v>0</v>
      </c>
      <c r="S453">
        <v>41</v>
      </c>
      <c r="T453">
        <v>2.4</v>
      </c>
      <c r="U453">
        <v>99</v>
      </c>
      <c r="V453" s="19" t="s">
        <v>2291</v>
      </c>
      <c r="W453" s="19" t="s">
        <v>1570</v>
      </c>
      <c r="X453">
        <v>0</v>
      </c>
      <c r="Y453">
        <v>0</v>
      </c>
      <c r="AA453">
        <v>75</v>
      </c>
      <c r="AB453">
        <v>68</v>
      </c>
      <c r="AC453">
        <v>5</v>
      </c>
      <c r="AD453">
        <v>34</v>
      </c>
      <c r="AE453" s="19" t="s">
        <v>60</v>
      </c>
    </row>
    <row r="454" spans="1:31" x14ac:dyDescent="0.2">
      <c r="A454">
        <v>431</v>
      </c>
      <c r="B454" s="19" t="s">
        <v>779</v>
      </c>
      <c r="C454">
        <v>33</v>
      </c>
      <c r="D454" s="19" t="s">
        <v>344</v>
      </c>
      <c r="E454" s="19" t="s">
        <v>322</v>
      </c>
      <c r="F454">
        <v>56</v>
      </c>
      <c r="G454">
        <v>7</v>
      </c>
      <c r="H454">
        <v>6</v>
      </c>
      <c r="I454">
        <v>13</v>
      </c>
      <c r="J454">
        <v>-11</v>
      </c>
      <c r="K454">
        <v>28</v>
      </c>
      <c r="L454">
        <v>5</v>
      </c>
      <c r="M454">
        <v>2</v>
      </c>
      <c r="N454">
        <v>0</v>
      </c>
      <c r="O454">
        <v>1</v>
      </c>
      <c r="P454">
        <v>6</v>
      </c>
      <c r="Q454">
        <v>0</v>
      </c>
      <c r="R454">
        <v>0</v>
      </c>
      <c r="S454">
        <v>70</v>
      </c>
      <c r="T454">
        <v>10</v>
      </c>
      <c r="U454">
        <v>138</v>
      </c>
      <c r="V454" s="19" t="s">
        <v>2742</v>
      </c>
      <c r="W454" s="19" t="s">
        <v>2633</v>
      </c>
      <c r="X454">
        <v>82</v>
      </c>
      <c r="Y454">
        <v>124</v>
      </c>
      <c r="Z454">
        <v>39.799999999999997</v>
      </c>
      <c r="AA454">
        <v>36</v>
      </c>
      <c r="AB454">
        <v>71</v>
      </c>
      <c r="AC454">
        <v>8</v>
      </c>
      <c r="AD454">
        <v>44</v>
      </c>
      <c r="AE454" s="19" t="s">
        <v>60</v>
      </c>
    </row>
    <row r="455" spans="1:31" x14ac:dyDescent="0.2">
      <c r="A455">
        <v>432</v>
      </c>
      <c r="B455" s="19" t="s">
        <v>750</v>
      </c>
      <c r="C455">
        <v>32</v>
      </c>
      <c r="D455" s="19" t="s">
        <v>502</v>
      </c>
      <c r="E455" s="19" t="s">
        <v>347</v>
      </c>
      <c r="F455">
        <v>57</v>
      </c>
      <c r="G455">
        <v>1</v>
      </c>
      <c r="H455">
        <v>12</v>
      </c>
      <c r="I455">
        <v>13</v>
      </c>
      <c r="J455">
        <v>-15</v>
      </c>
      <c r="K455">
        <v>16</v>
      </c>
      <c r="L455">
        <v>1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71</v>
      </c>
      <c r="T455">
        <v>1.4</v>
      </c>
      <c r="U455">
        <v>172</v>
      </c>
      <c r="V455" s="19" t="s">
        <v>2292</v>
      </c>
      <c r="W455" s="19" t="s">
        <v>1832</v>
      </c>
      <c r="X455">
        <v>0</v>
      </c>
      <c r="Y455">
        <v>0</v>
      </c>
      <c r="AA455">
        <v>140</v>
      </c>
      <c r="AB455">
        <v>65</v>
      </c>
      <c r="AC455">
        <v>24</v>
      </c>
      <c r="AD455">
        <v>66</v>
      </c>
      <c r="AE455" s="19" t="s">
        <v>60</v>
      </c>
    </row>
    <row r="456" spans="1:31" x14ac:dyDescent="0.2">
      <c r="A456">
        <v>433</v>
      </c>
      <c r="B456" s="19" t="s">
        <v>818</v>
      </c>
      <c r="C456">
        <v>27</v>
      </c>
      <c r="D456" s="19" t="s">
        <v>359</v>
      </c>
      <c r="E456" s="19" t="s">
        <v>334</v>
      </c>
      <c r="F456">
        <v>54</v>
      </c>
      <c r="G456">
        <v>8</v>
      </c>
      <c r="H456">
        <v>5</v>
      </c>
      <c r="I456">
        <v>13</v>
      </c>
      <c r="J456">
        <v>1</v>
      </c>
      <c r="K456">
        <v>8</v>
      </c>
      <c r="L456">
        <v>7</v>
      </c>
      <c r="M456">
        <v>0</v>
      </c>
      <c r="N456">
        <v>1</v>
      </c>
      <c r="O456">
        <v>0</v>
      </c>
      <c r="P456">
        <v>5</v>
      </c>
      <c r="Q456">
        <v>0</v>
      </c>
      <c r="R456">
        <v>0</v>
      </c>
      <c r="S456">
        <v>41</v>
      </c>
      <c r="T456">
        <v>19.5</v>
      </c>
      <c r="U456">
        <v>84</v>
      </c>
      <c r="V456" s="19" t="s">
        <v>2743</v>
      </c>
      <c r="W456" s="19" t="s">
        <v>2744</v>
      </c>
      <c r="X456">
        <v>2</v>
      </c>
      <c r="Y456">
        <v>12</v>
      </c>
      <c r="Z456">
        <v>14.3</v>
      </c>
      <c r="AA456">
        <v>27</v>
      </c>
      <c r="AB456">
        <v>44</v>
      </c>
      <c r="AC456">
        <v>12</v>
      </c>
      <c r="AD456">
        <v>19</v>
      </c>
      <c r="AE456" s="19" t="s">
        <v>60</v>
      </c>
    </row>
    <row r="457" spans="1:31" x14ac:dyDescent="0.2">
      <c r="A457">
        <v>434</v>
      </c>
      <c r="B457" s="19" t="s">
        <v>825</v>
      </c>
      <c r="C457">
        <v>33</v>
      </c>
      <c r="D457" s="19" t="s">
        <v>324</v>
      </c>
      <c r="E457" s="19" t="s">
        <v>338</v>
      </c>
      <c r="F457">
        <v>32</v>
      </c>
      <c r="G457">
        <v>6</v>
      </c>
      <c r="H457">
        <v>7</v>
      </c>
      <c r="I457">
        <v>13</v>
      </c>
      <c r="J457">
        <v>-8</v>
      </c>
      <c r="K457">
        <v>14</v>
      </c>
      <c r="L457">
        <v>4</v>
      </c>
      <c r="M457">
        <v>2</v>
      </c>
      <c r="N457">
        <v>0</v>
      </c>
      <c r="O457">
        <v>0</v>
      </c>
      <c r="P457">
        <v>5</v>
      </c>
      <c r="Q457">
        <v>2</v>
      </c>
      <c r="R457">
        <v>0</v>
      </c>
      <c r="S457">
        <v>56</v>
      </c>
      <c r="T457">
        <v>10.7</v>
      </c>
      <c r="U457">
        <v>117</v>
      </c>
      <c r="V457" s="19" t="s">
        <v>1797</v>
      </c>
      <c r="W457" s="19" t="s">
        <v>967</v>
      </c>
      <c r="X457">
        <v>3</v>
      </c>
      <c r="Y457">
        <v>8</v>
      </c>
      <c r="Z457">
        <v>27.3</v>
      </c>
      <c r="AA457">
        <v>11</v>
      </c>
      <c r="AB457">
        <v>17</v>
      </c>
      <c r="AC457">
        <v>10</v>
      </c>
      <c r="AD457">
        <v>27</v>
      </c>
      <c r="AE457" s="19" t="s">
        <v>60</v>
      </c>
    </row>
    <row r="458" spans="1:31" x14ac:dyDescent="0.2">
      <c r="A458">
        <v>435</v>
      </c>
      <c r="B458" s="19" t="s">
        <v>717</v>
      </c>
      <c r="C458">
        <v>31</v>
      </c>
      <c r="D458" s="19" t="s">
        <v>321</v>
      </c>
      <c r="E458" s="19" t="s">
        <v>347</v>
      </c>
      <c r="F458">
        <v>43</v>
      </c>
      <c r="G458">
        <v>1</v>
      </c>
      <c r="H458">
        <v>12</v>
      </c>
      <c r="I458">
        <v>13</v>
      </c>
      <c r="J458">
        <v>26</v>
      </c>
      <c r="K458">
        <v>20</v>
      </c>
      <c r="L458">
        <v>1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73</v>
      </c>
      <c r="T458">
        <v>1.4</v>
      </c>
      <c r="U458">
        <v>155</v>
      </c>
      <c r="V458" s="19" t="s">
        <v>2745</v>
      </c>
      <c r="W458" s="19" t="s">
        <v>2746</v>
      </c>
      <c r="X458">
        <v>0</v>
      </c>
      <c r="Y458">
        <v>0</v>
      </c>
      <c r="AA458">
        <v>61</v>
      </c>
      <c r="AB458">
        <v>16</v>
      </c>
      <c r="AC458">
        <v>15</v>
      </c>
      <c r="AD458">
        <v>46</v>
      </c>
      <c r="AE458" s="19" t="s">
        <v>60</v>
      </c>
    </row>
    <row r="459" spans="1:31" x14ac:dyDescent="0.2">
      <c r="A459">
        <v>436</v>
      </c>
      <c r="B459" s="19" t="s">
        <v>998</v>
      </c>
      <c r="C459">
        <v>25</v>
      </c>
      <c r="D459" s="19" t="s">
        <v>502</v>
      </c>
      <c r="E459" s="19" t="s">
        <v>347</v>
      </c>
      <c r="F459">
        <v>52</v>
      </c>
      <c r="G459">
        <v>3</v>
      </c>
      <c r="H459">
        <v>10</v>
      </c>
      <c r="I459">
        <v>13</v>
      </c>
      <c r="J459">
        <v>-6</v>
      </c>
      <c r="K459">
        <v>60</v>
      </c>
      <c r="L459">
        <v>3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58</v>
      </c>
      <c r="T459">
        <v>5.2</v>
      </c>
      <c r="U459">
        <v>125</v>
      </c>
      <c r="V459" s="19" t="s">
        <v>2293</v>
      </c>
      <c r="W459" s="19" t="s">
        <v>1693</v>
      </c>
      <c r="X459">
        <v>0</v>
      </c>
      <c r="Y459">
        <v>0</v>
      </c>
      <c r="AA459">
        <v>38</v>
      </c>
      <c r="AB459">
        <v>76</v>
      </c>
      <c r="AC459">
        <v>7</v>
      </c>
      <c r="AD459">
        <v>42</v>
      </c>
      <c r="AE459" s="19" t="s">
        <v>60</v>
      </c>
    </row>
    <row r="460" spans="1:31" x14ac:dyDescent="0.2">
      <c r="A460">
        <v>437</v>
      </c>
      <c r="B460" s="19" t="s">
        <v>654</v>
      </c>
      <c r="C460">
        <v>30</v>
      </c>
      <c r="D460" s="19" t="s">
        <v>377</v>
      </c>
      <c r="E460" s="19" t="s">
        <v>338</v>
      </c>
      <c r="F460">
        <v>37</v>
      </c>
      <c r="G460">
        <v>8</v>
      </c>
      <c r="H460">
        <v>5</v>
      </c>
      <c r="I460">
        <v>13</v>
      </c>
      <c r="J460">
        <v>-5</v>
      </c>
      <c r="K460">
        <v>18</v>
      </c>
      <c r="L460">
        <v>8</v>
      </c>
      <c r="M460">
        <v>0</v>
      </c>
      <c r="N460">
        <v>0</v>
      </c>
      <c r="O460">
        <v>1</v>
      </c>
      <c r="P460">
        <v>4</v>
      </c>
      <c r="Q460">
        <v>0</v>
      </c>
      <c r="R460">
        <v>1</v>
      </c>
      <c r="S460">
        <v>53</v>
      </c>
      <c r="T460">
        <v>15.1</v>
      </c>
      <c r="U460">
        <v>98</v>
      </c>
      <c r="V460" s="19" t="s">
        <v>2294</v>
      </c>
      <c r="W460" s="19" t="s">
        <v>2035</v>
      </c>
      <c r="X460">
        <v>1</v>
      </c>
      <c r="Y460">
        <v>7</v>
      </c>
      <c r="Z460">
        <v>12.5</v>
      </c>
      <c r="AA460">
        <v>11</v>
      </c>
      <c r="AB460">
        <v>45</v>
      </c>
      <c r="AC460">
        <v>4</v>
      </c>
      <c r="AD460">
        <v>24</v>
      </c>
      <c r="AE460" s="19" t="s">
        <v>60</v>
      </c>
    </row>
    <row r="461" spans="1:31" x14ac:dyDescent="0.2">
      <c r="A461">
        <v>438</v>
      </c>
      <c r="B461" s="19" t="s">
        <v>917</v>
      </c>
      <c r="C461">
        <v>34</v>
      </c>
      <c r="D461" s="19" t="s">
        <v>933</v>
      </c>
      <c r="E461" s="19" t="s">
        <v>338</v>
      </c>
      <c r="F461">
        <v>57</v>
      </c>
      <c r="G461">
        <v>5</v>
      </c>
      <c r="H461">
        <v>8</v>
      </c>
      <c r="I461">
        <v>13</v>
      </c>
      <c r="J461">
        <v>-3</v>
      </c>
      <c r="K461">
        <v>12</v>
      </c>
      <c r="L461">
        <v>4</v>
      </c>
      <c r="M461">
        <v>1</v>
      </c>
      <c r="N461">
        <v>0</v>
      </c>
      <c r="O461">
        <v>0</v>
      </c>
      <c r="P461">
        <v>7</v>
      </c>
      <c r="Q461">
        <v>1</v>
      </c>
      <c r="R461">
        <v>0</v>
      </c>
      <c r="S461">
        <v>62</v>
      </c>
      <c r="T461">
        <v>8.1</v>
      </c>
      <c r="U461">
        <v>127</v>
      </c>
      <c r="V461" s="19" t="s">
        <v>2747</v>
      </c>
      <c r="W461" s="19" t="s">
        <v>2748</v>
      </c>
      <c r="X461">
        <v>6</v>
      </c>
      <c r="Y461">
        <v>8</v>
      </c>
      <c r="Z461">
        <v>42.9</v>
      </c>
      <c r="AA461">
        <v>46</v>
      </c>
      <c r="AB461">
        <v>96</v>
      </c>
      <c r="AC461">
        <v>8</v>
      </c>
      <c r="AD461">
        <v>29</v>
      </c>
      <c r="AE461" s="19" t="s">
        <v>60</v>
      </c>
    </row>
    <row r="462" spans="1:31" x14ac:dyDescent="0.2">
      <c r="A462">
        <v>438</v>
      </c>
      <c r="B462" s="19" t="s">
        <v>917</v>
      </c>
      <c r="C462">
        <v>34</v>
      </c>
      <c r="D462" s="19" t="s">
        <v>395</v>
      </c>
      <c r="E462" s="19" t="s">
        <v>338</v>
      </c>
      <c r="F462">
        <v>51</v>
      </c>
      <c r="G462">
        <v>4</v>
      </c>
      <c r="H462">
        <v>6</v>
      </c>
      <c r="I462">
        <v>10</v>
      </c>
      <c r="J462">
        <v>-5</v>
      </c>
      <c r="K462">
        <v>12</v>
      </c>
      <c r="L462">
        <v>4</v>
      </c>
      <c r="M462">
        <v>0</v>
      </c>
      <c r="N462">
        <v>0</v>
      </c>
      <c r="O462">
        <v>0</v>
      </c>
      <c r="P462">
        <v>5</v>
      </c>
      <c r="Q462">
        <v>1</v>
      </c>
      <c r="R462">
        <v>0</v>
      </c>
      <c r="S462">
        <v>53</v>
      </c>
      <c r="T462">
        <v>7.5</v>
      </c>
      <c r="U462">
        <v>108</v>
      </c>
      <c r="V462" s="19" t="s">
        <v>2047</v>
      </c>
      <c r="W462" s="19" t="s">
        <v>871</v>
      </c>
      <c r="X462">
        <v>6</v>
      </c>
      <c r="Y462">
        <v>8</v>
      </c>
      <c r="Z462">
        <v>42.9</v>
      </c>
      <c r="AA462">
        <v>41</v>
      </c>
      <c r="AB462">
        <v>89</v>
      </c>
      <c r="AC462">
        <v>7</v>
      </c>
      <c r="AD462">
        <v>26</v>
      </c>
      <c r="AE462" s="19" t="s">
        <v>60</v>
      </c>
    </row>
    <row r="463" spans="1:31" x14ac:dyDescent="0.2">
      <c r="A463">
        <v>438</v>
      </c>
      <c r="B463" s="19" t="s">
        <v>917</v>
      </c>
      <c r="C463">
        <v>34</v>
      </c>
      <c r="D463" s="19" t="s">
        <v>380</v>
      </c>
      <c r="E463" s="19" t="s">
        <v>338</v>
      </c>
      <c r="F463">
        <v>6</v>
      </c>
      <c r="G463">
        <v>1</v>
      </c>
      <c r="H463">
        <v>2</v>
      </c>
      <c r="I463">
        <v>3</v>
      </c>
      <c r="J463">
        <v>2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9</v>
      </c>
      <c r="T463">
        <v>11.1</v>
      </c>
      <c r="U463">
        <v>19</v>
      </c>
      <c r="V463" s="19" t="s">
        <v>2749</v>
      </c>
      <c r="W463" s="19" t="s">
        <v>2750</v>
      </c>
      <c r="X463">
        <v>0</v>
      </c>
      <c r="Y463">
        <v>0</v>
      </c>
      <c r="AA463">
        <v>5</v>
      </c>
      <c r="AB463">
        <v>7</v>
      </c>
      <c r="AC463">
        <v>1</v>
      </c>
      <c r="AD463">
        <v>3</v>
      </c>
      <c r="AE463" s="19" t="s">
        <v>60</v>
      </c>
    </row>
    <row r="464" spans="1:31" x14ac:dyDescent="0.2">
      <c r="A464">
        <v>439</v>
      </c>
      <c r="B464" s="19" t="s">
        <v>840</v>
      </c>
      <c r="C464">
        <v>31</v>
      </c>
      <c r="D464" s="19" t="s">
        <v>393</v>
      </c>
      <c r="E464" s="19" t="s">
        <v>338</v>
      </c>
      <c r="F464">
        <v>46</v>
      </c>
      <c r="G464">
        <v>6</v>
      </c>
      <c r="H464">
        <v>6</v>
      </c>
      <c r="I464">
        <v>12</v>
      </c>
      <c r="J464">
        <v>2</v>
      </c>
      <c r="K464">
        <v>16</v>
      </c>
      <c r="L464">
        <v>6</v>
      </c>
      <c r="M464">
        <v>0</v>
      </c>
      <c r="N464">
        <v>0</v>
      </c>
      <c r="O464">
        <v>2</v>
      </c>
      <c r="P464">
        <v>6</v>
      </c>
      <c r="Q464">
        <v>0</v>
      </c>
      <c r="R464">
        <v>0</v>
      </c>
      <c r="S464">
        <v>55</v>
      </c>
      <c r="T464">
        <v>10.9</v>
      </c>
      <c r="U464">
        <v>112</v>
      </c>
      <c r="V464" s="19" t="s">
        <v>2751</v>
      </c>
      <c r="W464" s="19" t="s">
        <v>2752</v>
      </c>
      <c r="X464">
        <v>1</v>
      </c>
      <c r="Y464">
        <v>4</v>
      </c>
      <c r="Z464">
        <v>20</v>
      </c>
      <c r="AA464">
        <v>11</v>
      </c>
      <c r="AB464">
        <v>112</v>
      </c>
      <c r="AC464">
        <v>11</v>
      </c>
      <c r="AD464">
        <v>14</v>
      </c>
      <c r="AE464" s="19" t="s">
        <v>60</v>
      </c>
    </row>
    <row r="465" spans="1:31" x14ac:dyDescent="0.2">
      <c r="A465">
        <v>440</v>
      </c>
      <c r="B465" s="19" t="s">
        <v>762</v>
      </c>
      <c r="C465">
        <v>34</v>
      </c>
      <c r="D465" s="19" t="s">
        <v>368</v>
      </c>
      <c r="E465" s="19" t="s">
        <v>347</v>
      </c>
      <c r="F465">
        <v>58</v>
      </c>
      <c r="G465">
        <v>5</v>
      </c>
      <c r="H465">
        <v>7</v>
      </c>
      <c r="I465">
        <v>12</v>
      </c>
      <c r="J465">
        <v>-3</v>
      </c>
      <c r="K465">
        <v>52</v>
      </c>
      <c r="L465">
        <v>5</v>
      </c>
      <c r="M465">
        <v>0</v>
      </c>
      <c r="N465">
        <v>0</v>
      </c>
      <c r="O465">
        <v>0</v>
      </c>
      <c r="P465">
        <v>7</v>
      </c>
      <c r="Q465">
        <v>0</v>
      </c>
      <c r="R465">
        <v>0</v>
      </c>
      <c r="S465">
        <v>72</v>
      </c>
      <c r="T465">
        <v>6.9</v>
      </c>
      <c r="U465">
        <v>180</v>
      </c>
      <c r="V465" s="19" t="s">
        <v>2295</v>
      </c>
      <c r="W465" s="19" t="s">
        <v>1719</v>
      </c>
      <c r="X465">
        <v>0</v>
      </c>
      <c r="Y465">
        <v>0</v>
      </c>
      <c r="AA465">
        <v>119</v>
      </c>
      <c r="AB465">
        <v>118</v>
      </c>
      <c r="AC465">
        <v>20</v>
      </c>
      <c r="AD465">
        <v>58</v>
      </c>
      <c r="AE465" s="19" t="s">
        <v>60</v>
      </c>
    </row>
    <row r="466" spans="1:31" x14ac:dyDescent="0.2">
      <c r="A466">
        <v>441</v>
      </c>
      <c r="B466" s="19" t="s">
        <v>800</v>
      </c>
      <c r="C466">
        <v>25</v>
      </c>
      <c r="D466" s="19" t="s">
        <v>361</v>
      </c>
      <c r="E466" s="19" t="s">
        <v>322</v>
      </c>
      <c r="F466">
        <v>23</v>
      </c>
      <c r="G466">
        <v>7</v>
      </c>
      <c r="H466">
        <v>5</v>
      </c>
      <c r="I466">
        <v>12</v>
      </c>
      <c r="J466">
        <v>0</v>
      </c>
      <c r="K466">
        <v>23</v>
      </c>
      <c r="L466">
        <v>7</v>
      </c>
      <c r="M466">
        <v>0</v>
      </c>
      <c r="N466">
        <v>0</v>
      </c>
      <c r="O466">
        <v>0</v>
      </c>
      <c r="P466">
        <v>3</v>
      </c>
      <c r="Q466">
        <v>2</v>
      </c>
      <c r="R466">
        <v>0</v>
      </c>
      <c r="S466">
        <v>32</v>
      </c>
      <c r="T466">
        <v>21.9</v>
      </c>
      <c r="U466">
        <v>64</v>
      </c>
      <c r="V466" s="19" t="s">
        <v>2296</v>
      </c>
      <c r="W466" s="19" t="s">
        <v>1677</v>
      </c>
      <c r="X466">
        <v>47</v>
      </c>
      <c r="Y466">
        <v>64</v>
      </c>
      <c r="Z466">
        <v>42.3</v>
      </c>
      <c r="AA466">
        <v>22</v>
      </c>
      <c r="AB466">
        <v>29</v>
      </c>
      <c r="AC466">
        <v>10</v>
      </c>
      <c r="AD466">
        <v>11</v>
      </c>
      <c r="AE466" s="19" t="s">
        <v>60</v>
      </c>
    </row>
    <row r="467" spans="1:31" x14ac:dyDescent="0.2">
      <c r="A467">
        <v>442</v>
      </c>
      <c r="B467" s="19" t="s">
        <v>732</v>
      </c>
      <c r="C467">
        <v>35</v>
      </c>
      <c r="D467" s="19" t="s">
        <v>395</v>
      </c>
      <c r="E467" s="19" t="s">
        <v>347</v>
      </c>
      <c r="F467">
        <v>58</v>
      </c>
      <c r="G467">
        <v>3</v>
      </c>
      <c r="H467">
        <v>9</v>
      </c>
      <c r="I467">
        <v>12</v>
      </c>
      <c r="J467">
        <v>-12</v>
      </c>
      <c r="K467">
        <v>43</v>
      </c>
      <c r="L467">
        <v>3</v>
      </c>
      <c r="M467">
        <v>0</v>
      </c>
      <c r="N467">
        <v>0</v>
      </c>
      <c r="O467">
        <v>2</v>
      </c>
      <c r="P467">
        <v>8</v>
      </c>
      <c r="Q467">
        <v>0</v>
      </c>
      <c r="R467">
        <v>1</v>
      </c>
      <c r="S467">
        <v>40</v>
      </c>
      <c r="T467">
        <v>7.5</v>
      </c>
      <c r="U467">
        <v>96</v>
      </c>
      <c r="V467" s="19" t="s">
        <v>2753</v>
      </c>
      <c r="W467" s="19" t="s">
        <v>545</v>
      </c>
      <c r="X467">
        <v>0</v>
      </c>
      <c r="Y467">
        <v>0</v>
      </c>
      <c r="AA467">
        <v>74</v>
      </c>
      <c r="AB467">
        <v>149</v>
      </c>
      <c r="AC467">
        <v>9</v>
      </c>
      <c r="AD467">
        <v>33</v>
      </c>
      <c r="AE467" s="19" t="s">
        <v>60</v>
      </c>
    </row>
    <row r="468" spans="1:31" x14ac:dyDescent="0.2">
      <c r="A468">
        <v>443</v>
      </c>
      <c r="B468" s="19" t="s">
        <v>846</v>
      </c>
      <c r="C468">
        <v>34</v>
      </c>
      <c r="D468" s="19" t="s">
        <v>415</v>
      </c>
      <c r="E468" s="19" t="s">
        <v>347</v>
      </c>
      <c r="F468">
        <v>57</v>
      </c>
      <c r="G468">
        <v>1</v>
      </c>
      <c r="H468">
        <v>11</v>
      </c>
      <c r="I468">
        <v>12</v>
      </c>
      <c r="J468">
        <v>4</v>
      </c>
      <c r="K468">
        <v>14</v>
      </c>
      <c r="L468">
        <v>1</v>
      </c>
      <c r="M468">
        <v>0</v>
      </c>
      <c r="N468">
        <v>0</v>
      </c>
      <c r="O468">
        <v>0</v>
      </c>
      <c r="P468">
        <v>10</v>
      </c>
      <c r="Q468">
        <v>0</v>
      </c>
      <c r="R468">
        <v>1</v>
      </c>
      <c r="S468">
        <v>53</v>
      </c>
      <c r="T468">
        <v>1.9</v>
      </c>
      <c r="U468">
        <v>133</v>
      </c>
      <c r="V468" s="19" t="s">
        <v>2754</v>
      </c>
      <c r="W468" s="19" t="s">
        <v>1938</v>
      </c>
      <c r="X468">
        <v>0</v>
      </c>
      <c r="Y468">
        <v>0</v>
      </c>
      <c r="AA468">
        <v>66</v>
      </c>
      <c r="AB468">
        <v>28</v>
      </c>
      <c r="AC468">
        <v>16</v>
      </c>
      <c r="AD468">
        <v>68</v>
      </c>
      <c r="AE468" s="19" t="s">
        <v>60</v>
      </c>
    </row>
    <row r="469" spans="1:31" x14ac:dyDescent="0.2">
      <c r="A469">
        <v>444</v>
      </c>
      <c r="B469" s="19" t="s">
        <v>802</v>
      </c>
      <c r="C469">
        <v>27</v>
      </c>
      <c r="D469" s="19" t="s">
        <v>324</v>
      </c>
      <c r="E469" s="19" t="s">
        <v>347</v>
      </c>
      <c r="F469">
        <v>55</v>
      </c>
      <c r="G469">
        <v>4</v>
      </c>
      <c r="H469">
        <v>8</v>
      </c>
      <c r="I469">
        <v>12</v>
      </c>
      <c r="J469">
        <v>-2</v>
      </c>
      <c r="K469">
        <v>20</v>
      </c>
      <c r="L469">
        <v>4</v>
      </c>
      <c r="M469">
        <v>0</v>
      </c>
      <c r="N469">
        <v>0</v>
      </c>
      <c r="O469">
        <v>0</v>
      </c>
      <c r="P469">
        <v>8</v>
      </c>
      <c r="Q469">
        <v>0</v>
      </c>
      <c r="R469">
        <v>0</v>
      </c>
      <c r="S469">
        <v>65</v>
      </c>
      <c r="T469">
        <v>6.2</v>
      </c>
      <c r="U469">
        <v>142</v>
      </c>
      <c r="V469" s="19" t="s">
        <v>2297</v>
      </c>
      <c r="W469" s="19" t="s">
        <v>1954</v>
      </c>
      <c r="X469">
        <v>0</v>
      </c>
      <c r="Y469">
        <v>0</v>
      </c>
      <c r="AA469">
        <v>105</v>
      </c>
      <c r="AB469">
        <v>94</v>
      </c>
      <c r="AC469">
        <v>21</v>
      </c>
      <c r="AD469">
        <v>62</v>
      </c>
      <c r="AE469" s="19" t="s">
        <v>60</v>
      </c>
    </row>
    <row r="470" spans="1:31" x14ac:dyDescent="0.2">
      <c r="A470">
        <v>445</v>
      </c>
      <c r="B470" s="19" t="s">
        <v>1087</v>
      </c>
      <c r="C470">
        <v>27</v>
      </c>
      <c r="D470" s="19" t="s">
        <v>321</v>
      </c>
      <c r="E470" s="19" t="s">
        <v>347</v>
      </c>
      <c r="F470">
        <v>40</v>
      </c>
      <c r="G470">
        <v>3</v>
      </c>
      <c r="H470">
        <v>9</v>
      </c>
      <c r="I470">
        <v>12</v>
      </c>
      <c r="J470">
        <v>12</v>
      </c>
      <c r="K470">
        <v>15</v>
      </c>
      <c r="L470">
        <v>3</v>
      </c>
      <c r="M470">
        <v>0</v>
      </c>
      <c r="N470">
        <v>0</v>
      </c>
      <c r="O470">
        <v>1</v>
      </c>
      <c r="P470">
        <v>9</v>
      </c>
      <c r="Q470">
        <v>0</v>
      </c>
      <c r="R470">
        <v>0</v>
      </c>
      <c r="S470">
        <v>31</v>
      </c>
      <c r="T470">
        <v>9.6999999999999993</v>
      </c>
      <c r="U470">
        <v>109</v>
      </c>
      <c r="V470" s="19" t="s">
        <v>2298</v>
      </c>
      <c r="W470" s="19" t="s">
        <v>1917</v>
      </c>
      <c r="X470">
        <v>0</v>
      </c>
      <c r="Y470">
        <v>0</v>
      </c>
      <c r="AA470">
        <v>37</v>
      </c>
      <c r="AB470">
        <v>15</v>
      </c>
      <c r="AC470">
        <v>9</v>
      </c>
      <c r="AD470">
        <v>36</v>
      </c>
      <c r="AE470" s="19" t="s">
        <v>60</v>
      </c>
    </row>
    <row r="471" spans="1:31" x14ac:dyDescent="0.2">
      <c r="A471">
        <v>446</v>
      </c>
      <c r="B471" s="19" t="s">
        <v>956</v>
      </c>
      <c r="C471">
        <v>22</v>
      </c>
      <c r="D471" s="19" t="s">
        <v>403</v>
      </c>
      <c r="E471" s="19" t="s">
        <v>334</v>
      </c>
      <c r="F471">
        <v>43</v>
      </c>
      <c r="G471">
        <v>4</v>
      </c>
      <c r="H471">
        <v>8</v>
      </c>
      <c r="I471">
        <v>12</v>
      </c>
      <c r="J471">
        <v>-7</v>
      </c>
      <c r="K471">
        <v>40</v>
      </c>
      <c r="L471">
        <v>4</v>
      </c>
      <c r="M471">
        <v>0</v>
      </c>
      <c r="N471">
        <v>0</v>
      </c>
      <c r="O471">
        <v>0</v>
      </c>
      <c r="P471">
        <v>8</v>
      </c>
      <c r="Q471">
        <v>0</v>
      </c>
      <c r="R471">
        <v>0</v>
      </c>
      <c r="S471">
        <v>27</v>
      </c>
      <c r="T471">
        <v>14.8</v>
      </c>
      <c r="U471">
        <v>57</v>
      </c>
      <c r="V471" s="19" t="s">
        <v>2755</v>
      </c>
      <c r="W471" s="19" t="s">
        <v>1848</v>
      </c>
      <c r="X471">
        <v>4</v>
      </c>
      <c r="Y471">
        <v>2</v>
      </c>
      <c r="Z471">
        <v>66.7</v>
      </c>
      <c r="AA471">
        <v>11</v>
      </c>
      <c r="AB471">
        <v>68</v>
      </c>
      <c r="AC471">
        <v>10</v>
      </c>
      <c r="AD471">
        <v>31</v>
      </c>
      <c r="AE471" s="19" t="s">
        <v>60</v>
      </c>
    </row>
    <row r="472" spans="1:31" x14ac:dyDescent="0.2">
      <c r="A472">
        <v>447</v>
      </c>
      <c r="B472" s="19" t="s">
        <v>958</v>
      </c>
      <c r="C472">
        <v>32</v>
      </c>
      <c r="D472" s="19" t="s">
        <v>329</v>
      </c>
      <c r="E472" s="19" t="s">
        <v>347</v>
      </c>
      <c r="F472">
        <v>57</v>
      </c>
      <c r="G472">
        <v>0</v>
      </c>
      <c r="H472">
        <v>12</v>
      </c>
      <c r="I472">
        <v>12</v>
      </c>
      <c r="J472">
        <v>-3</v>
      </c>
      <c r="K472">
        <v>28</v>
      </c>
      <c r="L472">
        <v>0</v>
      </c>
      <c r="M472">
        <v>0</v>
      </c>
      <c r="N472">
        <v>0</v>
      </c>
      <c r="O472">
        <v>0</v>
      </c>
      <c r="P472">
        <v>8</v>
      </c>
      <c r="Q472">
        <v>3</v>
      </c>
      <c r="R472">
        <v>1</v>
      </c>
      <c r="S472">
        <v>59</v>
      </c>
      <c r="T472">
        <v>0</v>
      </c>
      <c r="U472">
        <v>138</v>
      </c>
      <c r="V472" s="19" t="s">
        <v>2299</v>
      </c>
      <c r="W472" s="19" t="s">
        <v>1822</v>
      </c>
      <c r="X472">
        <v>0</v>
      </c>
      <c r="Y472">
        <v>0</v>
      </c>
      <c r="AA472">
        <v>42</v>
      </c>
      <c r="AB472">
        <v>25</v>
      </c>
      <c r="AC472">
        <v>16</v>
      </c>
      <c r="AD472">
        <v>37</v>
      </c>
      <c r="AE472" s="19" t="s">
        <v>60</v>
      </c>
    </row>
    <row r="473" spans="1:31" x14ac:dyDescent="0.2">
      <c r="A473">
        <v>448</v>
      </c>
      <c r="B473" s="19" t="s">
        <v>897</v>
      </c>
      <c r="C473">
        <v>23</v>
      </c>
      <c r="D473" s="19" t="s">
        <v>329</v>
      </c>
      <c r="E473" s="19" t="s">
        <v>347</v>
      </c>
      <c r="F473">
        <v>57</v>
      </c>
      <c r="G473">
        <v>5</v>
      </c>
      <c r="H473">
        <v>7</v>
      </c>
      <c r="I473">
        <v>12</v>
      </c>
      <c r="J473">
        <v>-12</v>
      </c>
      <c r="K473">
        <v>24</v>
      </c>
      <c r="L473">
        <v>5</v>
      </c>
      <c r="M473">
        <v>0</v>
      </c>
      <c r="N473">
        <v>0</v>
      </c>
      <c r="O473">
        <v>1</v>
      </c>
      <c r="P473">
        <v>7</v>
      </c>
      <c r="Q473">
        <v>0</v>
      </c>
      <c r="R473">
        <v>0</v>
      </c>
      <c r="S473">
        <v>58</v>
      </c>
      <c r="T473">
        <v>8.6</v>
      </c>
      <c r="U473">
        <v>129</v>
      </c>
      <c r="V473" s="19" t="s">
        <v>2300</v>
      </c>
      <c r="W473" s="19" t="s">
        <v>1831</v>
      </c>
      <c r="X473">
        <v>0</v>
      </c>
      <c r="Y473">
        <v>0</v>
      </c>
      <c r="AA473">
        <v>47</v>
      </c>
      <c r="AB473">
        <v>36</v>
      </c>
      <c r="AC473">
        <v>26</v>
      </c>
      <c r="AD473">
        <v>68</v>
      </c>
      <c r="AE473" s="19" t="s">
        <v>60</v>
      </c>
    </row>
    <row r="474" spans="1:31" x14ac:dyDescent="0.2">
      <c r="A474">
        <v>449</v>
      </c>
      <c r="B474" s="19" t="s">
        <v>1094</v>
      </c>
      <c r="C474">
        <v>29</v>
      </c>
      <c r="D474" s="19" t="s">
        <v>327</v>
      </c>
      <c r="E474" s="19" t="s">
        <v>334</v>
      </c>
      <c r="F474">
        <v>19</v>
      </c>
      <c r="G474">
        <v>5</v>
      </c>
      <c r="H474">
        <v>7</v>
      </c>
      <c r="I474">
        <v>12</v>
      </c>
      <c r="J474">
        <v>8</v>
      </c>
      <c r="K474">
        <v>2</v>
      </c>
      <c r="L474">
        <v>5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39</v>
      </c>
      <c r="T474">
        <v>12.8</v>
      </c>
      <c r="U474">
        <v>59</v>
      </c>
      <c r="V474" s="19" t="s">
        <v>2301</v>
      </c>
      <c r="W474" s="19" t="s">
        <v>863</v>
      </c>
      <c r="X474">
        <v>0</v>
      </c>
      <c r="Y474">
        <v>1</v>
      </c>
      <c r="Z474">
        <v>0</v>
      </c>
      <c r="AA474">
        <v>8</v>
      </c>
      <c r="AB474">
        <v>38</v>
      </c>
      <c r="AC474">
        <v>1</v>
      </c>
      <c r="AD474">
        <v>13</v>
      </c>
      <c r="AE474" s="19" t="s">
        <v>60</v>
      </c>
    </row>
    <row r="475" spans="1:31" x14ac:dyDescent="0.2">
      <c r="A475">
        <v>450</v>
      </c>
      <c r="B475" s="19" t="s">
        <v>899</v>
      </c>
      <c r="C475">
        <v>25</v>
      </c>
      <c r="D475" s="19" t="s">
        <v>430</v>
      </c>
      <c r="E475" s="19" t="s">
        <v>325</v>
      </c>
      <c r="F475">
        <v>55</v>
      </c>
      <c r="G475">
        <v>5</v>
      </c>
      <c r="H475">
        <v>7</v>
      </c>
      <c r="I475">
        <v>12</v>
      </c>
      <c r="J475">
        <v>-3</v>
      </c>
      <c r="K475">
        <v>91</v>
      </c>
      <c r="L475">
        <v>5</v>
      </c>
      <c r="M475">
        <v>0</v>
      </c>
      <c r="N475">
        <v>0</v>
      </c>
      <c r="O475">
        <v>0</v>
      </c>
      <c r="P475">
        <v>6</v>
      </c>
      <c r="Q475">
        <v>1</v>
      </c>
      <c r="R475">
        <v>0</v>
      </c>
      <c r="S475">
        <v>55</v>
      </c>
      <c r="T475">
        <v>9.1</v>
      </c>
      <c r="U475">
        <v>129</v>
      </c>
      <c r="V475" s="19" t="s">
        <v>2302</v>
      </c>
      <c r="W475" s="19" t="s">
        <v>799</v>
      </c>
      <c r="X475">
        <v>10</v>
      </c>
      <c r="Y475">
        <v>22</v>
      </c>
      <c r="Z475">
        <v>31.3</v>
      </c>
      <c r="AA475">
        <v>33</v>
      </c>
      <c r="AB475">
        <v>202</v>
      </c>
      <c r="AC475">
        <v>12</v>
      </c>
      <c r="AD475">
        <v>21</v>
      </c>
      <c r="AE475" s="19" t="s">
        <v>60</v>
      </c>
    </row>
    <row r="476" spans="1:31" x14ac:dyDescent="0.2">
      <c r="A476">
        <v>451</v>
      </c>
      <c r="B476" s="19" t="s">
        <v>1039</v>
      </c>
      <c r="C476">
        <v>25</v>
      </c>
      <c r="D476" s="19" t="s">
        <v>342</v>
      </c>
      <c r="E476" s="19" t="s">
        <v>347</v>
      </c>
      <c r="F476">
        <v>58</v>
      </c>
      <c r="G476">
        <v>3</v>
      </c>
      <c r="H476">
        <v>9</v>
      </c>
      <c r="I476">
        <v>12</v>
      </c>
      <c r="J476">
        <v>6</v>
      </c>
      <c r="K476">
        <v>18</v>
      </c>
      <c r="L476">
        <v>3</v>
      </c>
      <c r="M476">
        <v>0</v>
      </c>
      <c r="N476">
        <v>0</v>
      </c>
      <c r="O476">
        <v>0</v>
      </c>
      <c r="P476">
        <v>9</v>
      </c>
      <c r="Q476">
        <v>0</v>
      </c>
      <c r="R476">
        <v>0</v>
      </c>
      <c r="S476">
        <v>50</v>
      </c>
      <c r="T476">
        <v>6</v>
      </c>
      <c r="U476">
        <v>125</v>
      </c>
      <c r="V476" s="19" t="s">
        <v>2756</v>
      </c>
      <c r="W476" s="19" t="s">
        <v>1475</v>
      </c>
      <c r="X476">
        <v>0</v>
      </c>
      <c r="Y476">
        <v>0</v>
      </c>
      <c r="AA476">
        <v>82</v>
      </c>
      <c r="AB476">
        <v>87</v>
      </c>
      <c r="AC476">
        <v>8</v>
      </c>
      <c r="AD476">
        <v>73</v>
      </c>
      <c r="AE476" s="19" t="s">
        <v>60</v>
      </c>
    </row>
    <row r="477" spans="1:31" x14ac:dyDescent="0.2">
      <c r="A477">
        <v>452</v>
      </c>
      <c r="B477" s="19" t="s">
        <v>706</v>
      </c>
      <c r="C477">
        <v>29</v>
      </c>
      <c r="D477" s="19" t="s">
        <v>327</v>
      </c>
      <c r="E477" s="19" t="s">
        <v>338</v>
      </c>
      <c r="F477">
        <v>50</v>
      </c>
      <c r="G477">
        <v>6</v>
      </c>
      <c r="H477">
        <v>6</v>
      </c>
      <c r="I477">
        <v>12</v>
      </c>
      <c r="J477">
        <v>-21</v>
      </c>
      <c r="K477">
        <v>36</v>
      </c>
      <c r="L477">
        <v>6</v>
      </c>
      <c r="M477">
        <v>0</v>
      </c>
      <c r="N477">
        <v>0</v>
      </c>
      <c r="O477">
        <v>1</v>
      </c>
      <c r="P477">
        <v>6</v>
      </c>
      <c r="Q477">
        <v>0</v>
      </c>
      <c r="R477">
        <v>0</v>
      </c>
      <c r="S477">
        <v>48</v>
      </c>
      <c r="T477">
        <v>12.5</v>
      </c>
      <c r="U477">
        <v>108</v>
      </c>
      <c r="V477" s="19" t="s">
        <v>2757</v>
      </c>
      <c r="W477" s="19" t="s">
        <v>1924</v>
      </c>
      <c r="X477">
        <v>2</v>
      </c>
      <c r="Y477">
        <v>4</v>
      </c>
      <c r="Z477">
        <v>33.299999999999997</v>
      </c>
      <c r="AA477">
        <v>18</v>
      </c>
      <c r="AB477">
        <v>50</v>
      </c>
      <c r="AC477">
        <v>7</v>
      </c>
      <c r="AD477">
        <v>32</v>
      </c>
      <c r="AE477" s="19" t="s">
        <v>60</v>
      </c>
    </row>
    <row r="478" spans="1:31" x14ac:dyDescent="0.2">
      <c r="A478">
        <v>453</v>
      </c>
      <c r="B478" s="19" t="s">
        <v>912</v>
      </c>
      <c r="C478">
        <v>30</v>
      </c>
      <c r="D478" s="19" t="s">
        <v>452</v>
      </c>
      <c r="E478" s="19" t="s">
        <v>334</v>
      </c>
      <c r="F478">
        <v>56</v>
      </c>
      <c r="G478">
        <v>5</v>
      </c>
      <c r="H478">
        <v>7</v>
      </c>
      <c r="I478">
        <v>12</v>
      </c>
      <c r="J478">
        <v>-13</v>
      </c>
      <c r="K478">
        <v>69</v>
      </c>
      <c r="L478">
        <v>4</v>
      </c>
      <c r="M478">
        <v>0</v>
      </c>
      <c r="N478">
        <v>1</v>
      </c>
      <c r="O478">
        <v>0</v>
      </c>
      <c r="P478">
        <v>7</v>
      </c>
      <c r="Q478">
        <v>0</v>
      </c>
      <c r="R478">
        <v>0</v>
      </c>
      <c r="S478">
        <v>83</v>
      </c>
      <c r="T478">
        <v>6</v>
      </c>
      <c r="U478">
        <v>149</v>
      </c>
      <c r="V478" s="19" t="s">
        <v>2758</v>
      </c>
      <c r="W478" s="19" t="s">
        <v>1885</v>
      </c>
      <c r="X478">
        <v>409</v>
      </c>
      <c r="Y478">
        <v>367</v>
      </c>
      <c r="Z478">
        <v>52.7</v>
      </c>
      <c r="AA478">
        <v>56</v>
      </c>
      <c r="AB478">
        <v>157</v>
      </c>
      <c r="AC478">
        <v>16</v>
      </c>
      <c r="AD478">
        <v>32</v>
      </c>
      <c r="AE478" s="19" t="s">
        <v>60</v>
      </c>
    </row>
    <row r="479" spans="1:31" x14ac:dyDescent="0.2">
      <c r="A479">
        <v>454</v>
      </c>
      <c r="B479" s="19" t="s">
        <v>1049</v>
      </c>
      <c r="C479">
        <v>32</v>
      </c>
      <c r="D479" s="19" t="s">
        <v>329</v>
      </c>
      <c r="E479" s="19" t="s">
        <v>347</v>
      </c>
      <c r="F479">
        <v>57</v>
      </c>
      <c r="G479">
        <v>4</v>
      </c>
      <c r="H479">
        <v>8</v>
      </c>
      <c r="I479">
        <v>12</v>
      </c>
      <c r="J479">
        <v>-5</v>
      </c>
      <c r="K479">
        <v>46</v>
      </c>
      <c r="L479">
        <v>4</v>
      </c>
      <c r="M479">
        <v>0</v>
      </c>
      <c r="N479">
        <v>0</v>
      </c>
      <c r="O479">
        <v>0</v>
      </c>
      <c r="P479">
        <v>8</v>
      </c>
      <c r="Q479">
        <v>0</v>
      </c>
      <c r="R479">
        <v>0</v>
      </c>
      <c r="S479">
        <v>53</v>
      </c>
      <c r="T479">
        <v>7.5</v>
      </c>
      <c r="U479">
        <v>117</v>
      </c>
      <c r="V479" s="19" t="s">
        <v>2303</v>
      </c>
      <c r="W479" s="19" t="s">
        <v>1611</v>
      </c>
      <c r="X479">
        <v>0</v>
      </c>
      <c r="Y479">
        <v>0</v>
      </c>
      <c r="AA479">
        <v>84</v>
      </c>
      <c r="AB479">
        <v>55</v>
      </c>
      <c r="AC479">
        <v>12</v>
      </c>
      <c r="AD479">
        <v>48</v>
      </c>
      <c r="AE479" s="19" t="s">
        <v>60</v>
      </c>
    </row>
    <row r="480" spans="1:31" x14ac:dyDescent="0.2">
      <c r="A480">
        <v>455</v>
      </c>
      <c r="B480" s="19" t="s">
        <v>641</v>
      </c>
      <c r="C480">
        <v>25</v>
      </c>
      <c r="D480" s="19" t="s">
        <v>361</v>
      </c>
      <c r="E480" s="19" t="s">
        <v>322</v>
      </c>
      <c r="F480">
        <v>17</v>
      </c>
      <c r="G480">
        <v>6</v>
      </c>
      <c r="H480">
        <v>6</v>
      </c>
      <c r="I480">
        <v>12</v>
      </c>
      <c r="J480">
        <v>7</v>
      </c>
      <c r="K480">
        <v>8</v>
      </c>
      <c r="L480">
        <v>5</v>
      </c>
      <c r="M480">
        <v>1</v>
      </c>
      <c r="N480">
        <v>0</v>
      </c>
      <c r="O480">
        <v>2</v>
      </c>
      <c r="P480">
        <v>6</v>
      </c>
      <c r="Q480">
        <v>0</v>
      </c>
      <c r="R480">
        <v>0</v>
      </c>
      <c r="S480">
        <v>24</v>
      </c>
      <c r="T480">
        <v>25</v>
      </c>
      <c r="U480">
        <v>41</v>
      </c>
      <c r="V480" s="19" t="s">
        <v>642</v>
      </c>
      <c r="W480" s="19" t="s">
        <v>643</v>
      </c>
      <c r="X480">
        <v>37</v>
      </c>
      <c r="Y480">
        <v>52</v>
      </c>
      <c r="Z480">
        <v>41.6</v>
      </c>
      <c r="AA480">
        <v>5</v>
      </c>
      <c r="AB480">
        <v>26</v>
      </c>
      <c r="AC480">
        <v>1</v>
      </c>
      <c r="AD480">
        <v>4</v>
      </c>
      <c r="AE480" s="19" t="s">
        <v>60</v>
      </c>
    </row>
    <row r="481" spans="1:31" x14ac:dyDescent="0.2">
      <c r="A481">
        <v>456</v>
      </c>
      <c r="B481" s="19" t="s">
        <v>872</v>
      </c>
      <c r="C481">
        <v>30</v>
      </c>
      <c r="D481" s="19" t="s">
        <v>350</v>
      </c>
      <c r="E481" s="19" t="s">
        <v>338</v>
      </c>
      <c r="F481">
        <v>34</v>
      </c>
      <c r="G481">
        <v>6</v>
      </c>
      <c r="H481">
        <v>6</v>
      </c>
      <c r="I481">
        <v>12</v>
      </c>
      <c r="J481">
        <v>-10</v>
      </c>
      <c r="K481">
        <v>18</v>
      </c>
      <c r="L481">
        <v>5</v>
      </c>
      <c r="M481">
        <v>1</v>
      </c>
      <c r="N481">
        <v>0</v>
      </c>
      <c r="O481">
        <v>1</v>
      </c>
      <c r="P481">
        <v>5</v>
      </c>
      <c r="Q481">
        <v>1</v>
      </c>
      <c r="R481">
        <v>0</v>
      </c>
      <c r="S481">
        <v>48</v>
      </c>
      <c r="T481">
        <v>12.5</v>
      </c>
      <c r="U481">
        <v>93</v>
      </c>
      <c r="V481" s="19" t="s">
        <v>2122</v>
      </c>
      <c r="W481" s="19" t="s">
        <v>1817</v>
      </c>
      <c r="X481">
        <v>202</v>
      </c>
      <c r="Y481">
        <v>169</v>
      </c>
      <c r="Z481">
        <v>54.4</v>
      </c>
      <c r="AA481">
        <v>16</v>
      </c>
      <c r="AB481">
        <v>42</v>
      </c>
      <c r="AC481">
        <v>7</v>
      </c>
      <c r="AD481">
        <v>20</v>
      </c>
      <c r="AE481" s="19" t="s">
        <v>60</v>
      </c>
    </row>
    <row r="482" spans="1:31" x14ac:dyDescent="0.2">
      <c r="A482">
        <v>457</v>
      </c>
      <c r="B482" s="19" t="s">
        <v>920</v>
      </c>
      <c r="C482">
        <v>27</v>
      </c>
      <c r="D482" s="19" t="s">
        <v>353</v>
      </c>
      <c r="E482" s="19" t="s">
        <v>347</v>
      </c>
      <c r="F482">
        <v>56</v>
      </c>
      <c r="G482">
        <v>4</v>
      </c>
      <c r="H482">
        <v>8</v>
      </c>
      <c r="I482">
        <v>12</v>
      </c>
      <c r="J482">
        <v>-7</v>
      </c>
      <c r="K482">
        <v>20</v>
      </c>
      <c r="L482">
        <v>4</v>
      </c>
      <c r="M482">
        <v>0</v>
      </c>
      <c r="N482">
        <v>0</v>
      </c>
      <c r="O482">
        <v>0</v>
      </c>
      <c r="P482">
        <v>8</v>
      </c>
      <c r="Q482">
        <v>0</v>
      </c>
      <c r="R482">
        <v>0</v>
      </c>
      <c r="S482">
        <v>59</v>
      </c>
      <c r="T482">
        <v>6.8</v>
      </c>
      <c r="U482">
        <v>152</v>
      </c>
      <c r="V482" s="19" t="s">
        <v>2304</v>
      </c>
      <c r="W482" s="19" t="s">
        <v>1571</v>
      </c>
      <c r="X482">
        <v>0</v>
      </c>
      <c r="Y482">
        <v>0</v>
      </c>
      <c r="AA482">
        <v>101</v>
      </c>
      <c r="AB482">
        <v>67</v>
      </c>
      <c r="AC482">
        <v>9</v>
      </c>
      <c r="AD482">
        <v>46</v>
      </c>
      <c r="AE482" s="19" t="s">
        <v>60</v>
      </c>
    </row>
    <row r="483" spans="1:31" x14ac:dyDescent="0.2">
      <c r="A483">
        <v>458</v>
      </c>
      <c r="B483" s="19" t="s">
        <v>674</v>
      </c>
      <c r="C483">
        <v>23</v>
      </c>
      <c r="D483" s="19" t="s">
        <v>440</v>
      </c>
      <c r="E483" s="19" t="s">
        <v>322</v>
      </c>
      <c r="F483">
        <v>45</v>
      </c>
      <c r="G483">
        <v>3</v>
      </c>
      <c r="H483">
        <v>9</v>
      </c>
      <c r="I483">
        <v>12</v>
      </c>
      <c r="J483">
        <v>1</v>
      </c>
      <c r="K483">
        <v>20</v>
      </c>
      <c r="L483">
        <v>3</v>
      </c>
      <c r="M483">
        <v>0</v>
      </c>
      <c r="N483">
        <v>0</v>
      </c>
      <c r="O483">
        <v>1</v>
      </c>
      <c r="P483">
        <v>9</v>
      </c>
      <c r="Q483">
        <v>0</v>
      </c>
      <c r="R483">
        <v>0</v>
      </c>
      <c r="S483">
        <v>44</v>
      </c>
      <c r="T483">
        <v>6.8</v>
      </c>
      <c r="U483">
        <v>103</v>
      </c>
      <c r="V483" s="19" t="s">
        <v>2305</v>
      </c>
      <c r="W483" s="19" t="s">
        <v>1487</v>
      </c>
      <c r="X483">
        <v>301</v>
      </c>
      <c r="Y483">
        <v>195</v>
      </c>
      <c r="Z483">
        <v>60.7</v>
      </c>
      <c r="AA483">
        <v>10</v>
      </c>
      <c r="AB483">
        <v>105</v>
      </c>
      <c r="AC483">
        <v>8</v>
      </c>
      <c r="AD483">
        <v>25</v>
      </c>
      <c r="AE483" s="19" t="s">
        <v>60</v>
      </c>
    </row>
    <row r="484" spans="1:31" x14ac:dyDescent="0.2">
      <c r="A484">
        <v>459</v>
      </c>
      <c r="B484" s="19" t="s">
        <v>822</v>
      </c>
      <c r="C484">
        <v>25</v>
      </c>
      <c r="D484" s="19" t="s">
        <v>440</v>
      </c>
      <c r="E484" s="19" t="s">
        <v>325</v>
      </c>
      <c r="F484">
        <v>50</v>
      </c>
      <c r="G484">
        <v>10</v>
      </c>
      <c r="H484">
        <v>2</v>
      </c>
      <c r="I484">
        <v>12</v>
      </c>
      <c r="J484">
        <v>-9</v>
      </c>
      <c r="K484">
        <v>20</v>
      </c>
      <c r="L484">
        <v>10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48</v>
      </c>
      <c r="T484">
        <v>20.8</v>
      </c>
      <c r="U484">
        <v>85</v>
      </c>
      <c r="V484" s="19" t="s">
        <v>2306</v>
      </c>
      <c r="W484" s="19" t="s">
        <v>1845</v>
      </c>
      <c r="X484">
        <v>119</v>
      </c>
      <c r="Y484">
        <v>163</v>
      </c>
      <c r="Z484">
        <v>42.2</v>
      </c>
      <c r="AA484">
        <v>27</v>
      </c>
      <c r="AB484">
        <v>23</v>
      </c>
      <c r="AC484">
        <v>6</v>
      </c>
      <c r="AD484">
        <v>25</v>
      </c>
      <c r="AE484" s="19" t="s">
        <v>60</v>
      </c>
    </row>
    <row r="485" spans="1:31" x14ac:dyDescent="0.2">
      <c r="A485">
        <v>460</v>
      </c>
      <c r="B485" s="19" t="s">
        <v>878</v>
      </c>
      <c r="C485">
        <v>29</v>
      </c>
      <c r="D485" s="19" t="s">
        <v>401</v>
      </c>
      <c r="E485" s="19" t="s">
        <v>322</v>
      </c>
      <c r="F485">
        <v>57</v>
      </c>
      <c r="G485">
        <v>4</v>
      </c>
      <c r="H485">
        <v>8</v>
      </c>
      <c r="I485">
        <v>12</v>
      </c>
      <c r="J485">
        <v>-10</v>
      </c>
      <c r="K485">
        <v>20</v>
      </c>
      <c r="L485">
        <v>3</v>
      </c>
      <c r="M485">
        <v>0</v>
      </c>
      <c r="N485">
        <v>1</v>
      </c>
      <c r="O485">
        <v>0</v>
      </c>
      <c r="P485">
        <v>7</v>
      </c>
      <c r="Q485">
        <v>0</v>
      </c>
      <c r="R485">
        <v>1</v>
      </c>
      <c r="S485">
        <v>48</v>
      </c>
      <c r="T485">
        <v>8.3000000000000007</v>
      </c>
      <c r="U485">
        <v>115</v>
      </c>
      <c r="V485" s="19" t="s">
        <v>2759</v>
      </c>
      <c r="W485" s="19" t="s">
        <v>1082</v>
      </c>
      <c r="X485">
        <v>449</v>
      </c>
      <c r="Y485">
        <v>381</v>
      </c>
      <c r="Z485">
        <v>54.1</v>
      </c>
      <c r="AA485">
        <v>46</v>
      </c>
      <c r="AB485">
        <v>30</v>
      </c>
      <c r="AC485">
        <v>10</v>
      </c>
      <c r="AD485">
        <v>36</v>
      </c>
      <c r="AE485" s="19" t="s">
        <v>60</v>
      </c>
    </row>
    <row r="486" spans="1:31" x14ac:dyDescent="0.2">
      <c r="A486">
        <v>461</v>
      </c>
      <c r="B486" s="19" t="s">
        <v>880</v>
      </c>
      <c r="C486">
        <v>24</v>
      </c>
      <c r="D486" s="19" t="s">
        <v>415</v>
      </c>
      <c r="E486" s="19" t="s">
        <v>322</v>
      </c>
      <c r="F486">
        <v>50</v>
      </c>
      <c r="G486">
        <v>3</v>
      </c>
      <c r="H486">
        <v>9</v>
      </c>
      <c r="I486">
        <v>12</v>
      </c>
      <c r="J486">
        <v>-7</v>
      </c>
      <c r="K486">
        <v>19</v>
      </c>
      <c r="L486">
        <v>3</v>
      </c>
      <c r="M486">
        <v>0</v>
      </c>
      <c r="N486">
        <v>0</v>
      </c>
      <c r="O486">
        <v>0</v>
      </c>
      <c r="P486">
        <v>9</v>
      </c>
      <c r="Q486">
        <v>0</v>
      </c>
      <c r="R486">
        <v>0</v>
      </c>
      <c r="S486">
        <v>57</v>
      </c>
      <c r="T486">
        <v>5.3</v>
      </c>
      <c r="U486">
        <v>118</v>
      </c>
      <c r="V486" s="19" t="s">
        <v>2760</v>
      </c>
      <c r="W486" s="19" t="s">
        <v>2761</v>
      </c>
      <c r="X486">
        <v>239</v>
      </c>
      <c r="Y486">
        <v>195</v>
      </c>
      <c r="Z486">
        <v>55.1</v>
      </c>
      <c r="AA486">
        <v>26</v>
      </c>
      <c r="AB486">
        <v>31</v>
      </c>
      <c r="AC486">
        <v>11</v>
      </c>
      <c r="AD486">
        <v>23</v>
      </c>
      <c r="AE486" s="19" t="s">
        <v>60</v>
      </c>
    </row>
    <row r="487" spans="1:31" x14ac:dyDescent="0.2">
      <c r="A487">
        <v>462</v>
      </c>
      <c r="B487" s="19" t="s">
        <v>1068</v>
      </c>
      <c r="C487">
        <v>25</v>
      </c>
      <c r="D487" s="19" t="s">
        <v>452</v>
      </c>
      <c r="E487" s="19" t="s">
        <v>347</v>
      </c>
      <c r="F487">
        <v>43</v>
      </c>
      <c r="G487">
        <v>1</v>
      </c>
      <c r="H487">
        <v>11</v>
      </c>
      <c r="I487">
        <v>12</v>
      </c>
      <c r="J487">
        <v>-4</v>
      </c>
      <c r="K487">
        <v>27</v>
      </c>
      <c r="L487">
        <v>1</v>
      </c>
      <c r="M487">
        <v>0</v>
      </c>
      <c r="N487">
        <v>0</v>
      </c>
      <c r="O487">
        <v>0</v>
      </c>
      <c r="P487">
        <v>11</v>
      </c>
      <c r="Q487">
        <v>0</v>
      </c>
      <c r="R487">
        <v>0</v>
      </c>
      <c r="S487">
        <v>45</v>
      </c>
      <c r="T487">
        <v>2.2000000000000002</v>
      </c>
      <c r="U487">
        <v>99</v>
      </c>
      <c r="V487" s="19" t="s">
        <v>2762</v>
      </c>
      <c r="W487" s="19" t="s">
        <v>1603</v>
      </c>
      <c r="X487">
        <v>0</v>
      </c>
      <c r="Y487">
        <v>0</v>
      </c>
      <c r="AA487">
        <v>35</v>
      </c>
      <c r="AB487">
        <v>17</v>
      </c>
      <c r="AC487">
        <v>11</v>
      </c>
      <c r="AD487">
        <v>36</v>
      </c>
      <c r="AE487" s="19" t="s">
        <v>60</v>
      </c>
    </row>
    <row r="488" spans="1:31" x14ac:dyDescent="0.2">
      <c r="A488">
        <v>463</v>
      </c>
      <c r="B488" s="19" t="s">
        <v>793</v>
      </c>
      <c r="C488">
        <v>23</v>
      </c>
      <c r="D488" s="19" t="s">
        <v>403</v>
      </c>
      <c r="E488" s="19" t="s">
        <v>347</v>
      </c>
      <c r="F488">
        <v>40</v>
      </c>
      <c r="G488">
        <v>1</v>
      </c>
      <c r="H488">
        <v>10</v>
      </c>
      <c r="I488">
        <v>11</v>
      </c>
      <c r="J488">
        <v>11</v>
      </c>
      <c r="K488">
        <v>16</v>
      </c>
      <c r="L488">
        <v>1</v>
      </c>
      <c r="M488">
        <v>0</v>
      </c>
      <c r="N488">
        <v>0</v>
      </c>
      <c r="O488">
        <v>0</v>
      </c>
      <c r="P488">
        <v>9</v>
      </c>
      <c r="Q488">
        <v>1</v>
      </c>
      <c r="R488">
        <v>0</v>
      </c>
      <c r="S488">
        <v>26</v>
      </c>
      <c r="T488">
        <v>3.8</v>
      </c>
      <c r="U488">
        <v>88</v>
      </c>
      <c r="V488" s="19" t="s">
        <v>2061</v>
      </c>
      <c r="W488" s="19" t="s">
        <v>1642</v>
      </c>
      <c r="X488">
        <v>0</v>
      </c>
      <c r="Y488">
        <v>0</v>
      </c>
      <c r="AA488">
        <v>39</v>
      </c>
      <c r="AB488">
        <v>46</v>
      </c>
      <c r="AC488">
        <v>5</v>
      </c>
      <c r="AD488">
        <v>28</v>
      </c>
      <c r="AE488" s="19" t="s">
        <v>60</v>
      </c>
    </row>
    <row r="489" spans="1:31" x14ac:dyDescent="0.2">
      <c r="A489">
        <v>464</v>
      </c>
      <c r="B489" s="19" t="s">
        <v>721</v>
      </c>
      <c r="C489">
        <v>30</v>
      </c>
      <c r="D489" s="19" t="s">
        <v>368</v>
      </c>
      <c r="E489" s="19" t="s">
        <v>322</v>
      </c>
      <c r="F489">
        <v>48</v>
      </c>
      <c r="G489">
        <v>5</v>
      </c>
      <c r="H489">
        <v>6</v>
      </c>
      <c r="I489">
        <v>11</v>
      </c>
      <c r="J489">
        <v>-4</v>
      </c>
      <c r="K489">
        <v>30</v>
      </c>
      <c r="L489">
        <v>5</v>
      </c>
      <c r="M489">
        <v>0</v>
      </c>
      <c r="N489">
        <v>0</v>
      </c>
      <c r="O489">
        <v>2</v>
      </c>
      <c r="P489">
        <v>6</v>
      </c>
      <c r="Q489">
        <v>0</v>
      </c>
      <c r="R489">
        <v>0</v>
      </c>
      <c r="S489">
        <v>47</v>
      </c>
      <c r="T489">
        <v>10.6</v>
      </c>
      <c r="U489">
        <v>89</v>
      </c>
      <c r="V489" s="19" t="s">
        <v>2307</v>
      </c>
      <c r="W489" s="19" t="s">
        <v>1605</v>
      </c>
      <c r="X489">
        <v>5</v>
      </c>
      <c r="Y489">
        <v>14</v>
      </c>
      <c r="Z489">
        <v>26.3</v>
      </c>
      <c r="AA489">
        <v>21</v>
      </c>
      <c r="AB489">
        <v>64</v>
      </c>
      <c r="AC489">
        <v>0</v>
      </c>
      <c r="AD489">
        <v>20</v>
      </c>
      <c r="AE489" s="19" t="s">
        <v>60</v>
      </c>
    </row>
    <row r="490" spans="1:31" x14ac:dyDescent="0.2">
      <c r="A490">
        <v>465</v>
      </c>
      <c r="B490" s="19" t="s">
        <v>795</v>
      </c>
      <c r="C490">
        <v>21</v>
      </c>
      <c r="D490" s="19" t="s">
        <v>321</v>
      </c>
      <c r="E490" s="19" t="s">
        <v>322</v>
      </c>
      <c r="F490">
        <v>43</v>
      </c>
      <c r="G490">
        <v>5</v>
      </c>
      <c r="H490">
        <v>6</v>
      </c>
      <c r="I490">
        <v>11</v>
      </c>
      <c r="J490">
        <v>7</v>
      </c>
      <c r="K490">
        <v>8</v>
      </c>
      <c r="L490">
        <v>5</v>
      </c>
      <c r="M490">
        <v>0</v>
      </c>
      <c r="N490">
        <v>0</v>
      </c>
      <c r="O490">
        <v>3</v>
      </c>
      <c r="P490">
        <v>6</v>
      </c>
      <c r="Q490">
        <v>0</v>
      </c>
      <c r="R490">
        <v>0</v>
      </c>
      <c r="S490">
        <v>50</v>
      </c>
      <c r="T490">
        <v>10</v>
      </c>
      <c r="U490">
        <v>87</v>
      </c>
      <c r="V490" s="19" t="s">
        <v>2763</v>
      </c>
      <c r="W490" s="19" t="s">
        <v>2764</v>
      </c>
      <c r="X490">
        <v>13</v>
      </c>
      <c r="Y490">
        <v>20</v>
      </c>
      <c r="Z490">
        <v>39.4</v>
      </c>
      <c r="AA490">
        <v>12</v>
      </c>
      <c r="AB490">
        <v>29</v>
      </c>
      <c r="AC490">
        <v>4</v>
      </c>
      <c r="AD490">
        <v>17</v>
      </c>
      <c r="AE490" s="19" t="s">
        <v>60</v>
      </c>
    </row>
    <row r="491" spans="1:31" x14ac:dyDescent="0.2">
      <c r="A491">
        <v>466</v>
      </c>
      <c r="B491" s="19" t="s">
        <v>887</v>
      </c>
      <c r="C491">
        <v>20</v>
      </c>
      <c r="D491" s="19" t="s">
        <v>520</v>
      </c>
      <c r="E491" s="19" t="s">
        <v>325</v>
      </c>
      <c r="F491">
        <v>41</v>
      </c>
      <c r="G491">
        <v>5</v>
      </c>
      <c r="H491">
        <v>6</v>
      </c>
      <c r="I491">
        <v>11</v>
      </c>
      <c r="J491">
        <v>-3</v>
      </c>
      <c r="K491">
        <v>16</v>
      </c>
      <c r="L491">
        <v>4</v>
      </c>
      <c r="M491">
        <v>1</v>
      </c>
      <c r="N491">
        <v>0</v>
      </c>
      <c r="O491">
        <v>2</v>
      </c>
      <c r="P491">
        <v>5</v>
      </c>
      <c r="Q491">
        <v>1</v>
      </c>
      <c r="R491">
        <v>0</v>
      </c>
      <c r="S491">
        <v>44</v>
      </c>
      <c r="T491">
        <v>11.4</v>
      </c>
      <c r="U491">
        <v>97</v>
      </c>
      <c r="V491" s="19" t="s">
        <v>2765</v>
      </c>
      <c r="W491" s="19" t="s">
        <v>2766</v>
      </c>
      <c r="X491">
        <v>41</v>
      </c>
      <c r="Y491">
        <v>58</v>
      </c>
      <c r="Z491">
        <v>41.4</v>
      </c>
      <c r="AA491">
        <v>22</v>
      </c>
      <c r="AB491">
        <v>4</v>
      </c>
      <c r="AC491">
        <v>9</v>
      </c>
      <c r="AD491">
        <v>23</v>
      </c>
      <c r="AE491" s="19" t="s">
        <v>60</v>
      </c>
    </row>
    <row r="492" spans="1:31" x14ac:dyDescent="0.2">
      <c r="A492">
        <v>467</v>
      </c>
      <c r="B492" s="19" t="s">
        <v>1545</v>
      </c>
      <c r="C492">
        <v>20</v>
      </c>
      <c r="D492" s="19" t="s">
        <v>324</v>
      </c>
      <c r="E492" s="19" t="s">
        <v>338</v>
      </c>
      <c r="F492">
        <v>15</v>
      </c>
      <c r="G492">
        <v>3</v>
      </c>
      <c r="H492">
        <v>8</v>
      </c>
      <c r="I492">
        <v>11</v>
      </c>
      <c r="J492">
        <v>2</v>
      </c>
      <c r="K492">
        <v>2</v>
      </c>
      <c r="L492">
        <v>2</v>
      </c>
      <c r="M492">
        <v>1</v>
      </c>
      <c r="N492">
        <v>0</v>
      </c>
      <c r="O492">
        <v>1</v>
      </c>
      <c r="P492">
        <v>6</v>
      </c>
      <c r="Q492">
        <v>2</v>
      </c>
      <c r="R492">
        <v>0</v>
      </c>
      <c r="S492">
        <v>27</v>
      </c>
      <c r="T492">
        <v>11.1</v>
      </c>
      <c r="U492">
        <v>49</v>
      </c>
      <c r="V492" s="19" t="s">
        <v>1967</v>
      </c>
      <c r="W492" s="19" t="s">
        <v>1493</v>
      </c>
      <c r="X492">
        <v>0</v>
      </c>
      <c r="Y492">
        <v>0</v>
      </c>
      <c r="AA492">
        <v>5</v>
      </c>
      <c r="AB492">
        <v>9</v>
      </c>
      <c r="AC492">
        <v>0</v>
      </c>
      <c r="AD492">
        <v>15</v>
      </c>
      <c r="AE492" s="19" t="s">
        <v>60</v>
      </c>
    </row>
    <row r="493" spans="1:31" x14ac:dyDescent="0.2">
      <c r="A493">
        <v>468</v>
      </c>
      <c r="B493" s="19" t="s">
        <v>730</v>
      </c>
      <c r="C493">
        <v>25</v>
      </c>
      <c r="D493" s="19" t="s">
        <v>324</v>
      </c>
      <c r="E493" s="19" t="s">
        <v>322</v>
      </c>
      <c r="F493">
        <v>42</v>
      </c>
      <c r="G493">
        <v>2</v>
      </c>
      <c r="H493">
        <v>9</v>
      </c>
      <c r="I493">
        <v>11</v>
      </c>
      <c r="J493">
        <v>-15</v>
      </c>
      <c r="K493">
        <v>18</v>
      </c>
      <c r="L493">
        <v>1</v>
      </c>
      <c r="M493">
        <v>0</v>
      </c>
      <c r="N493">
        <v>1</v>
      </c>
      <c r="O493">
        <v>0</v>
      </c>
      <c r="P493">
        <v>8</v>
      </c>
      <c r="Q493">
        <v>0</v>
      </c>
      <c r="R493">
        <v>1</v>
      </c>
      <c r="S493">
        <v>44</v>
      </c>
      <c r="T493">
        <v>4.5</v>
      </c>
      <c r="U493">
        <v>86</v>
      </c>
      <c r="V493" s="19" t="s">
        <v>1739</v>
      </c>
      <c r="W493" s="19" t="s">
        <v>1521</v>
      </c>
      <c r="X493">
        <v>267</v>
      </c>
      <c r="Y493">
        <v>244</v>
      </c>
      <c r="Z493">
        <v>52.3</v>
      </c>
      <c r="AA493">
        <v>36</v>
      </c>
      <c r="AB493">
        <v>117</v>
      </c>
      <c r="AC493">
        <v>7</v>
      </c>
      <c r="AD493">
        <v>24</v>
      </c>
      <c r="AE493" s="19" t="s">
        <v>60</v>
      </c>
    </row>
    <row r="494" spans="1:31" x14ac:dyDescent="0.2">
      <c r="A494">
        <v>469</v>
      </c>
      <c r="B494" s="19" t="s">
        <v>848</v>
      </c>
      <c r="C494">
        <v>25</v>
      </c>
      <c r="D494" s="19" t="s">
        <v>327</v>
      </c>
      <c r="E494" s="19" t="s">
        <v>347</v>
      </c>
      <c r="F494">
        <v>54</v>
      </c>
      <c r="G494">
        <v>1</v>
      </c>
      <c r="H494">
        <v>10</v>
      </c>
      <c r="I494">
        <v>11</v>
      </c>
      <c r="J494">
        <v>4</v>
      </c>
      <c r="K494">
        <v>21</v>
      </c>
      <c r="L494">
        <v>1</v>
      </c>
      <c r="M494">
        <v>0</v>
      </c>
      <c r="N494">
        <v>0</v>
      </c>
      <c r="O494">
        <v>1</v>
      </c>
      <c r="P494">
        <v>10</v>
      </c>
      <c r="Q494">
        <v>0</v>
      </c>
      <c r="R494">
        <v>0</v>
      </c>
      <c r="S494">
        <v>32</v>
      </c>
      <c r="T494">
        <v>3.1</v>
      </c>
      <c r="U494">
        <v>85</v>
      </c>
      <c r="V494" s="19" t="s">
        <v>2767</v>
      </c>
      <c r="W494" s="19" t="s">
        <v>2768</v>
      </c>
      <c r="X494">
        <v>0</v>
      </c>
      <c r="Y494">
        <v>0</v>
      </c>
      <c r="AA494">
        <v>90</v>
      </c>
      <c r="AB494">
        <v>82</v>
      </c>
      <c r="AC494">
        <v>11</v>
      </c>
      <c r="AD494">
        <v>40</v>
      </c>
      <c r="AE494" s="19" t="s">
        <v>60</v>
      </c>
    </row>
    <row r="495" spans="1:31" x14ac:dyDescent="0.2">
      <c r="A495">
        <v>470</v>
      </c>
      <c r="B495" s="19" t="s">
        <v>1086</v>
      </c>
      <c r="C495">
        <v>34</v>
      </c>
      <c r="D495" s="19" t="s">
        <v>355</v>
      </c>
      <c r="E495" s="19" t="s">
        <v>338</v>
      </c>
      <c r="F495">
        <v>46</v>
      </c>
      <c r="G495">
        <v>6</v>
      </c>
      <c r="H495">
        <v>5</v>
      </c>
      <c r="I495">
        <v>11</v>
      </c>
      <c r="J495">
        <v>-11</v>
      </c>
      <c r="K495">
        <v>54</v>
      </c>
      <c r="L495">
        <v>4</v>
      </c>
      <c r="M495">
        <v>2</v>
      </c>
      <c r="N495">
        <v>0</v>
      </c>
      <c r="O495">
        <v>0</v>
      </c>
      <c r="P495">
        <v>5</v>
      </c>
      <c r="Q495">
        <v>0</v>
      </c>
      <c r="R495">
        <v>0</v>
      </c>
      <c r="S495">
        <v>54</v>
      </c>
      <c r="T495">
        <v>11.1</v>
      </c>
      <c r="U495">
        <v>92</v>
      </c>
      <c r="V495" s="19" t="s">
        <v>2102</v>
      </c>
      <c r="W495" s="19" t="s">
        <v>1472</v>
      </c>
      <c r="X495">
        <v>9</v>
      </c>
      <c r="Y495">
        <v>10</v>
      </c>
      <c r="Z495">
        <v>47.4</v>
      </c>
      <c r="AA495">
        <v>38</v>
      </c>
      <c r="AB495">
        <v>145</v>
      </c>
      <c r="AC495">
        <v>7</v>
      </c>
      <c r="AD495">
        <v>23</v>
      </c>
      <c r="AE495" s="19" t="s">
        <v>60</v>
      </c>
    </row>
    <row r="496" spans="1:31" x14ac:dyDescent="0.2">
      <c r="A496">
        <v>471</v>
      </c>
      <c r="B496" s="19" t="s">
        <v>854</v>
      </c>
      <c r="C496">
        <v>35</v>
      </c>
      <c r="D496" s="19" t="s">
        <v>336</v>
      </c>
      <c r="E496" s="19" t="s">
        <v>347</v>
      </c>
      <c r="F496">
        <v>44</v>
      </c>
      <c r="G496">
        <v>1</v>
      </c>
      <c r="H496">
        <v>10</v>
      </c>
      <c r="I496">
        <v>11</v>
      </c>
      <c r="J496">
        <v>-2</v>
      </c>
      <c r="K496">
        <v>28</v>
      </c>
      <c r="L496">
        <v>1</v>
      </c>
      <c r="M496">
        <v>0</v>
      </c>
      <c r="N496">
        <v>0</v>
      </c>
      <c r="O496">
        <v>0</v>
      </c>
      <c r="P496">
        <v>10</v>
      </c>
      <c r="Q496">
        <v>0</v>
      </c>
      <c r="R496">
        <v>0</v>
      </c>
      <c r="S496">
        <v>50</v>
      </c>
      <c r="T496">
        <v>2</v>
      </c>
      <c r="U496">
        <v>138</v>
      </c>
      <c r="V496" s="19" t="s">
        <v>2769</v>
      </c>
      <c r="W496" s="19" t="s">
        <v>2001</v>
      </c>
      <c r="X496">
        <v>0</v>
      </c>
      <c r="Y496">
        <v>0</v>
      </c>
      <c r="AA496">
        <v>74</v>
      </c>
      <c r="AB496">
        <v>149</v>
      </c>
      <c r="AC496">
        <v>8</v>
      </c>
      <c r="AD496">
        <v>36</v>
      </c>
      <c r="AE496" s="19" t="s">
        <v>60</v>
      </c>
    </row>
    <row r="497" spans="1:31" x14ac:dyDescent="0.2">
      <c r="A497">
        <v>472</v>
      </c>
      <c r="B497" s="19" t="s">
        <v>804</v>
      </c>
      <c r="C497">
        <v>27</v>
      </c>
      <c r="D497" s="19" t="s">
        <v>452</v>
      </c>
      <c r="E497" s="19" t="s">
        <v>347</v>
      </c>
      <c r="F497">
        <v>43</v>
      </c>
      <c r="G497">
        <v>2</v>
      </c>
      <c r="H497">
        <v>9</v>
      </c>
      <c r="I497">
        <v>11</v>
      </c>
      <c r="J497">
        <v>-11</v>
      </c>
      <c r="K497">
        <v>34</v>
      </c>
      <c r="L497">
        <v>2</v>
      </c>
      <c r="M497">
        <v>0</v>
      </c>
      <c r="N497">
        <v>0</v>
      </c>
      <c r="O497">
        <v>1</v>
      </c>
      <c r="P497">
        <v>8</v>
      </c>
      <c r="Q497">
        <v>0</v>
      </c>
      <c r="R497">
        <v>1</v>
      </c>
      <c r="S497">
        <v>32</v>
      </c>
      <c r="T497">
        <v>6.3</v>
      </c>
      <c r="U497">
        <v>100</v>
      </c>
      <c r="V497" s="19" t="s">
        <v>2770</v>
      </c>
      <c r="W497" s="19" t="s">
        <v>2771</v>
      </c>
      <c r="X497">
        <v>0</v>
      </c>
      <c r="Y497">
        <v>0</v>
      </c>
      <c r="AA497">
        <v>38</v>
      </c>
      <c r="AB497">
        <v>54</v>
      </c>
      <c r="AC497">
        <v>11</v>
      </c>
      <c r="AD497">
        <v>34</v>
      </c>
      <c r="AE497" s="19" t="s">
        <v>60</v>
      </c>
    </row>
    <row r="498" spans="1:31" x14ac:dyDescent="0.2">
      <c r="A498">
        <v>473</v>
      </c>
      <c r="B498" s="19" t="s">
        <v>1090</v>
      </c>
      <c r="C498">
        <v>23</v>
      </c>
      <c r="D498" s="19" t="s">
        <v>412</v>
      </c>
      <c r="E498" s="19" t="s">
        <v>322</v>
      </c>
      <c r="F498">
        <v>25</v>
      </c>
      <c r="G498">
        <v>4</v>
      </c>
      <c r="H498">
        <v>7</v>
      </c>
      <c r="I498">
        <v>11</v>
      </c>
      <c r="J498">
        <v>1</v>
      </c>
      <c r="K498">
        <v>2</v>
      </c>
      <c r="L498">
        <v>4</v>
      </c>
      <c r="M498">
        <v>0</v>
      </c>
      <c r="N498">
        <v>0</v>
      </c>
      <c r="O498">
        <v>0</v>
      </c>
      <c r="P498">
        <v>4</v>
      </c>
      <c r="Q498">
        <v>3</v>
      </c>
      <c r="R498">
        <v>0</v>
      </c>
      <c r="S498">
        <v>27</v>
      </c>
      <c r="T498">
        <v>14.8</v>
      </c>
      <c r="U498">
        <v>46</v>
      </c>
      <c r="V498" s="19" t="s">
        <v>2772</v>
      </c>
      <c r="W498" s="19" t="s">
        <v>2773</v>
      </c>
      <c r="X498">
        <v>23</v>
      </c>
      <c r="Y498">
        <v>38</v>
      </c>
      <c r="Z498">
        <v>37.700000000000003</v>
      </c>
      <c r="AA498">
        <v>7</v>
      </c>
      <c r="AB498">
        <v>28</v>
      </c>
      <c r="AC498">
        <v>2</v>
      </c>
      <c r="AD498">
        <v>15</v>
      </c>
      <c r="AE498" s="19" t="s">
        <v>60</v>
      </c>
    </row>
    <row r="499" spans="1:31" x14ac:dyDescent="0.2">
      <c r="A499">
        <v>474</v>
      </c>
      <c r="B499" s="19" t="s">
        <v>737</v>
      </c>
      <c r="C499">
        <v>24</v>
      </c>
      <c r="D499" s="19" t="s">
        <v>336</v>
      </c>
      <c r="E499" s="19" t="s">
        <v>347</v>
      </c>
      <c r="F499">
        <v>48</v>
      </c>
      <c r="G499">
        <v>2</v>
      </c>
      <c r="H499">
        <v>9</v>
      </c>
      <c r="I499">
        <v>11</v>
      </c>
      <c r="J499">
        <v>-10</v>
      </c>
      <c r="K499">
        <v>20</v>
      </c>
      <c r="L499">
        <v>2</v>
      </c>
      <c r="M499">
        <v>0</v>
      </c>
      <c r="N499">
        <v>0</v>
      </c>
      <c r="O499">
        <v>0</v>
      </c>
      <c r="P499">
        <v>7</v>
      </c>
      <c r="Q499">
        <v>0</v>
      </c>
      <c r="R499">
        <v>2</v>
      </c>
      <c r="S499">
        <v>33</v>
      </c>
      <c r="T499">
        <v>6.1</v>
      </c>
      <c r="U499">
        <v>107</v>
      </c>
      <c r="V499" s="19" t="s">
        <v>2087</v>
      </c>
      <c r="W499" s="19" t="s">
        <v>1572</v>
      </c>
      <c r="X499">
        <v>0</v>
      </c>
      <c r="Y499">
        <v>0</v>
      </c>
      <c r="AA499">
        <v>68</v>
      </c>
      <c r="AB499">
        <v>54</v>
      </c>
      <c r="AC499">
        <v>22</v>
      </c>
      <c r="AD499">
        <v>37</v>
      </c>
      <c r="AE499" s="19" t="s">
        <v>60</v>
      </c>
    </row>
    <row r="500" spans="1:31" x14ac:dyDescent="0.2">
      <c r="A500">
        <v>475</v>
      </c>
      <c r="B500" s="19" t="s">
        <v>771</v>
      </c>
      <c r="C500">
        <v>28</v>
      </c>
      <c r="D500" s="19" t="s">
        <v>502</v>
      </c>
      <c r="E500" s="19" t="s">
        <v>334</v>
      </c>
      <c r="F500">
        <v>39</v>
      </c>
      <c r="G500">
        <v>2</v>
      </c>
      <c r="H500">
        <v>9</v>
      </c>
      <c r="I500">
        <v>11</v>
      </c>
      <c r="J500">
        <v>-5</v>
      </c>
      <c r="K500">
        <v>4</v>
      </c>
      <c r="L500">
        <v>1</v>
      </c>
      <c r="M500">
        <v>0</v>
      </c>
      <c r="N500">
        <v>1</v>
      </c>
      <c r="O500">
        <v>1</v>
      </c>
      <c r="P500">
        <v>9</v>
      </c>
      <c r="Q500">
        <v>0</v>
      </c>
      <c r="R500">
        <v>0</v>
      </c>
      <c r="S500">
        <v>29</v>
      </c>
      <c r="T500">
        <v>6.9</v>
      </c>
      <c r="U500">
        <v>67</v>
      </c>
      <c r="V500" s="19" t="s">
        <v>1892</v>
      </c>
      <c r="W500" s="19" t="s">
        <v>1678</v>
      </c>
      <c r="X500">
        <v>4</v>
      </c>
      <c r="Y500">
        <v>11</v>
      </c>
      <c r="Z500">
        <v>26.7</v>
      </c>
      <c r="AA500">
        <v>28</v>
      </c>
      <c r="AB500">
        <v>85</v>
      </c>
      <c r="AC500">
        <v>10</v>
      </c>
      <c r="AD500">
        <v>23</v>
      </c>
      <c r="AE500" s="19" t="s">
        <v>60</v>
      </c>
    </row>
    <row r="501" spans="1:31" x14ac:dyDescent="0.2">
      <c r="A501">
        <v>476</v>
      </c>
      <c r="B501" s="19" t="s">
        <v>971</v>
      </c>
      <c r="C501">
        <v>24</v>
      </c>
      <c r="D501" s="19" t="s">
        <v>412</v>
      </c>
      <c r="E501" s="19" t="s">
        <v>347</v>
      </c>
      <c r="F501">
        <v>52</v>
      </c>
      <c r="G501">
        <v>1</v>
      </c>
      <c r="H501">
        <v>10</v>
      </c>
      <c r="I501">
        <v>11</v>
      </c>
      <c r="J501">
        <v>-2</v>
      </c>
      <c r="K501">
        <v>26</v>
      </c>
      <c r="L501">
        <v>1</v>
      </c>
      <c r="M501">
        <v>0</v>
      </c>
      <c r="N501">
        <v>0</v>
      </c>
      <c r="O501">
        <v>0</v>
      </c>
      <c r="P501">
        <v>9</v>
      </c>
      <c r="Q501">
        <v>0</v>
      </c>
      <c r="R501">
        <v>1</v>
      </c>
      <c r="S501">
        <v>65</v>
      </c>
      <c r="T501">
        <v>1.5</v>
      </c>
      <c r="U501">
        <v>139</v>
      </c>
      <c r="V501" s="19" t="s">
        <v>2774</v>
      </c>
      <c r="W501" s="19" t="s">
        <v>582</v>
      </c>
      <c r="X501">
        <v>0</v>
      </c>
      <c r="Y501">
        <v>0</v>
      </c>
      <c r="AA501">
        <v>76</v>
      </c>
      <c r="AB501">
        <v>91</v>
      </c>
      <c r="AC501">
        <v>22</v>
      </c>
      <c r="AD501">
        <v>55</v>
      </c>
      <c r="AE501" s="19" t="s">
        <v>60</v>
      </c>
    </row>
    <row r="502" spans="1:31" x14ac:dyDescent="0.2">
      <c r="A502">
        <v>477</v>
      </c>
      <c r="B502" s="19" t="s">
        <v>900</v>
      </c>
      <c r="C502">
        <v>27</v>
      </c>
      <c r="D502" s="19" t="s">
        <v>344</v>
      </c>
      <c r="E502" s="19" t="s">
        <v>338</v>
      </c>
      <c r="F502">
        <v>41</v>
      </c>
      <c r="G502">
        <v>5</v>
      </c>
      <c r="H502">
        <v>6</v>
      </c>
      <c r="I502">
        <v>11</v>
      </c>
      <c r="J502">
        <v>0</v>
      </c>
      <c r="K502">
        <v>14</v>
      </c>
      <c r="L502">
        <v>5</v>
      </c>
      <c r="M502">
        <v>0</v>
      </c>
      <c r="N502">
        <v>0</v>
      </c>
      <c r="O502">
        <v>1</v>
      </c>
      <c r="P502">
        <v>6</v>
      </c>
      <c r="Q502">
        <v>0</v>
      </c>
      <c r="R502">
        <v>0</v>
      </c>
      <c r="S502">
        <v>46</v>
      </c>
      <c r="T502">
        <v>10.9</v>
      </c>
      <c r="U502">
        <v>89</v>
      </c>
      <c r="V502" s="19" t="s">
        <v>2775</v>
      </c>
      <c r="W502" s="19" t="s">
        <v>2776</v>
      </c>
      <c r="X502">
        <v>0</v>
      </c>
      <c r="Y502">
        <v>1</v>
      </c>
      <c r="Z502">
        <v>0</v>
      </c>
      <c r="AA502">
        <v>9</v>
      </c>
      <c r="AB502">
        <v>126</v>
      </c>
      <c r="AC502">
        <v>10</v>
      </c>
      <c r="AD502">
        <v>15</v>
      </c>
      <c r="AE502" s="19" t="s">
        <v>60</v>
      </c>
    </row>
    <row r="503" spans="1:31" x14ac:dyDescent="0.2">
      <c r="A503">
        <v>478</v>
      </c>
      <c r="B503" s="19" t="s">
        <v>1041</v>
      </c>
      <c r="C503">
        <v>31</v>
      </c>
      <c r="D503" s="19" t="s">
        <v>357</v>
      </c>
      <c r="E503" s="19" t="s">
        <v>322</v>
      </c>
      <c r="F503">
        <v>40</v>
      </c>
      <c r="G503">
        <v>8</v>
      </c>
      <c r="H503">
        <v>3</v>
      </c>
      <c r="I503">
        <v>11</v>
      </c>
      <c r="J503">
        <v>-3</v>
      </c>
      <c r="K503">
        <v>12</v>
      </c>
      <c r="L503">
        <v>6</v>
      </c>
      <c r="M503">
        <v>0</v>
      </c>
      <c r="N503">
        <v>2</v>
      </c>
      <c r="O503">
        <v>1</v>
      </c>
      <c r="P503">
        <v>3</v>
      </c>
      <c r="Q503">
        <v>0</v>
      </c>
      <c r="R503">
        <v>0</v>
      </c>
      <c r="S503">
        <v>48</v>
      </c>
      <c r="T503">
        <v>16.7</v>
      </c>
      <c r="U503">
        <v>92</v>
      </c>
      <c r="V503" s="19" t="s">
        <v>2777</v>
      </c>
      <c r="W503" s="19" t="s">
        <v>1608</v>
      </c>
      <c r="X503">
        <v>261</v>
      </c>
      <c r="Y503">
        <v>200</v>
      </c>
      <c r="Z503">
        <v>56.6</v>
      </c>
      <c r="AA503">
        <v>27</v>
      </c>
      <c r="AB503">
        <v>72</v>
      </c>
      <c r="AC503">
        <v>10</v>
      </c>
      <c r="AD503">
        <v>29</v>
      </c>
      <c r="AE503" s="19" t="s">
        <v>60</v>
      </c>
    </row>
    <row r="504" spans="1:31" x14ac:dyDescent="0.2">
      <c r="A504">
        <v>479</v>
      </c>
      <c r="B504" s="19" t="s">
        <v>976</v>
      </c>
      <c r="C504">
        <v>26</v>
      </c>
      <c r="D504" s="19" t="s">
        <v>324</v>
      </c>
      <c r="E504" s="19" t="s">
        <v>347</v>
      </c>
      <c r="F504">
        <v>42</v>
      </c>
      <c r="G504">
        <v>1</v>
      </c>
      <c r="H504">
        <v>10</v>
      </c>
      <c r="I504">
        <v>11</v>
      </c>
      <c r="J504">
        <v>-6</v>
      </c>
      <c r="K504">
        <v>27</v>
      </c>
      <c r="L504">
        <v>1</v>
      </c>
      <c r="M504">
        <v>0</v>
      </c>
      <c r="N504">
        <v>0</v>
      </c>
      <c r="O504">
        <v>0</v>
      </c>
      <c r="P504">
        <v>8</v>
      </c>
      <c r="Q504">
        <v>2</v>
      </c>
      <c r="R504">
        <v>0</v>
      </c>
      <c r="S504">
        <v>33</v>
      </c>
      <c r="T504">
        <v>3</v>
      </c>
      <c r="U504">
        <v>96</v>
      </c>
      <c r="V504" s="19" t="s">
        <v>2308</v>
      </c>
      <c r="W504" s="19" t="s">
        <v>1810</v>
      </c>
      <c r="X504">
        <v>0</v>
      </c>
      <c r="Y504">
        <v>0</v>
      </c>
      <c r="AA504">
        <v>83</v>
      </c>
      <c r="AB504">
        <v>36</v>
      </c>
      <c r="AC504">
        <v>6</v>
      </c>
      <c r="AD504">
        <v>46</v>
      </c>
      <c r="AE504" s="19" t="s">
        <v>60</v>
      </c>
    </row>
    <row r="505" spans="1:31" x14ac:dyDescent="0.2">
      <c r="A505">
        <v>480</v>
      </c>
      <c r="B505" s="19" t="s">
        <v>1047</v>
      </c>
      <c r="C505">
        <v>27</v>
      </c>
      <c r="D505" s="19" t="s">
        <v>520</v>
      </c>
      <c r="E505" s="19" t="s">
        <v>325</v>
      </c>
      <c r="F505">
        <v>32</v>
      </c>
      <c r="G505">
        <v>5</v>
      </c>
      <c r="H505">
        <v>6</v>
      </c>
      <c r="I505">
        <v>11</v>
      </c>
      <c r="J505">
        <v>0</v>
      </c>
      <c r="K505">
        <v>9</v>
      </c>
      <c r="L505">
        <v>5</v>
      </c>
      <c r="M505">
        <v>0</v>
      </c>
      <c r="N505">
        <v>0</v>
      </c>
      <c r="O505">
        <v>1</v>
      </c>
      <c r="P505">
        <v>6</v>
      </c>
      <c r="Q505">
        <v>0</v>
      </c>
      <c r="R505">
        <v>0</v>
      </c>
      <c r="S505">
        <v>41</v>
      </c>
      <c r="T505">
        <v>12.2</v>
      </c>
      <c r="U505">
        <v>79</v>
      </c>
      <c r="V505" s="19" t="s">
        <v>2778</v>
      </c>
      <c r="W505" s="19" t="s">
        <v>1706</v>
      </c>
      <c r="X505">
        <v>129</v>
      </c>
      <c r="Y505">
        <v>116</v>
      </c>
      <c r="Z505">
        <v>52.7</v>
      </c>
      <c r="AA505">
        <v>8</v>
      </c>
      <c r="AB505">
        <v>37</v>
      </c>
      <c r="AC505">
        <v>4</v>
      </c>
      <c r="AD505">
        <v>15</v>
      </c>
      <c r="AE505" s="19" t="s">
        <v>60</v>
      </c>
    </row>
    <row r="506" spans="1:31" x14ac:dyDescent="0.2">
      <c r="A506">
        <v>481</v>
      </c>
      <c r="B506" s="19" t="s">
        <v>921</v>
      </c>
      <c r="C506">
        <v>29</v>
      </c>
      <c r="D506" s="19" t="s">
        <v>440</v>
      </c>
      <c r="E506" s="19" t="s">
        <v>347</v>
      </c>
      <c r="F506">
        <v>58</v>
      </c>
      <c r="G506">
        <v>1</v>
      </c>
      <c r="H506">
        <v>10</v>
      </c>
      <c r="I506">
        <v>11</v>
      </c>
      <c r="J506">
        <v>-4</v>
      </c>
      <c r="K506">
        <v>56</v>
      </c>
      <c r="L506">
        <v>1</v>
      </c>
      <c r="M506">
        <v>0</v>
      </c>
      <c r="N506">
        <v>0</v>
      </c>
      <c r="O506">
        <v>0</v>
      </c>
      <c r="P506">
        <v>10</v>
      </c>
      <c r="Q506">
        <v>0</v>
      </c>
      <c r="R506">
        <v>0</v>
      </c>
      <c r="S506">
        <v>49</v>
      </c>
      <c r="T506">
        <v>2</v>
      </c>
      <c r="U506">
        <v>136</v>
      </c>
      <c r="V506" s="19" t="s">
        <v>2779</v>
      </c>
      <c r="W506" s="19" t="s">
        <v>835</v>
      </c>
      <c r="X506">
        <v>0</v>
      </c>
      <c r="Y506">
        <v>0</v>
      </c>
      <c r="AA506">
        <v>98</v>
      </c>
      <c r="AB506">
        <v>54</v>
      </c>
      <c r="AC506">
        <v>11</v>
      </c>
      <c r="AD506">
        <v>62</v>
      </c>
      <c r="AE506" s="19" t="s">
        <v>60</v>
      </c>
    </row>
    <row r="507" spans="1:31" x14ac:dyDescent="0.2">
      <c r="A507">
        <v>482</v>
      </c>
      <c r="B507" s="19" t="s">
        <v>1061</v>
      </c>
      <c r="C507">
        <v>24</v>
      </c>
      <c r="D507" s="19" t="s">
        <v>359</v>
      </c>
      <c r="E507" s="19" t="s">
        <v>347</v>
      </c>
      <c r="F507">
        <v>47</v>
      </c>
      <c r="G507">
        <v>4</v>
      </c>
      <c r="H507">
        <v>7</v>
      </c>
      <c r="I507">
        <v>11</v>
      </c>
      <c r="J507">
        <v>-6</v>
      </c>
      <c r="K507">
        <v>30</v>
      </c>
      <c r="L507">
        <v>4</v>
      </c>
      <c r="M507">
        <v>0</v>
      </c>
      <c r="N507">
        <v>0</v>
      </c>
      <c r="O507">
        <v>1</v>
      </c>
      <c r="P507">
        <v>7</v>
      </c>
      <c r="Q507">
        <v>0</v>
      </c>
      <c r="R507">
        <v>0</v>
      </c>
      <c r="S507">
        <v>47</v>
      </c>
      <c r="T507">
        <v>8.5</v>
      </c>
      <c r="U507">
        <v>135</v>
      </c>
      <c r="V507" s="19" t="s">
        <v>2780</v>
      </c>
      <c r="W507" s="19" t="s">
        <v>484</v>
      </c>
      <c r="X507">
        <v>0</v>
      </c>
      <c r="Y507">
        <v>0</v>
      </c>
      <c r="AA507">
        <v>62</v>
      </c>
      <c r="AB507">
        <v>70</v>
      </c>
      <c r="AC507">
        <v>2</v>
      </c>
      <c r="AD507">
        <v>31</v>
      </c>
      <c r="AE507" s="19" t="s">
        <v>60</v>
      </c>
    </row>
    <row r="508" spans="1:31" x14ac:dyDescent="0.2">
      <c r="A508">
        <v>483</v>
      </c>
      <c r="B508" s="19" t="s">
        <v>875</v>
      </c>
      <c r="C508">
        <v>24</v>
      </c>
      <c r="D508" s="19" t="s">
        <v>359</v>
      </c>
      <c r="E508" s="19" t="s">
        <v>347</v>
      </c>
      <c r="F508">
        <v>57</v>
      </c>
      <c r="G508">
        <v>2</v>
      </c>
      <c r="H508">
        <v>9</v>
      </c>
      <c r="I508">
        <v>11</v>
      </c>
      <c r="J508">
        <v>-15</v>
      </c>
      <c r="K508">
        <v>16</v>
      </c>
      <c r="L508">
        <v>2</v>
      </c>
      <c r="M508">
        <v>0</v>
      </c>
      <c r="N508">
        <v>0</v>
      </c>
      <c r="O508">
        <v>0</v>
      </c>
      <c r="P508">
        <v>9</v>
      </c>
      <c r="Q508">
        <v>0</v>
      </c>
      <c r="R508">
        <v>0</v>
      </c>
      <c r="S508">
        <v>74</v>
      </c>
      <c r="T508">
        <v>2.7</v>
      </c>
      <c r="U508">
        <v>177</v>
      </c>
      <c r="V508" s="19" t="s">
        <v>2781</v>
      </c>
      <c r="W508" s="19" t="s">
        <v>2782</v>
      </c>
      <c r="X508">
        <v>0</v>
      </c>
      <c r="Y508">
        <v>0</v>
      </c>
      <c r="AA508">
        <v>91</v>
      </c>
      <c r="AB508">
        <v>123</v>
      </c>
      <c r="AC508">
        <v>17</v>
      </c>
      <c r="AD508">
        <v>64</v>
      </c>
      <c r="AE508" s="19" t="s">
        <v>60</v>
      </c>
    </row>
    <row r="509" spans="1:31" x14ac:dyDescent="0.2">
      <c r="A509">
        <v>484</v>
      </c>
      <c r="B509" s="19" t="s">
        <v>992</v>
      </c>
      <c r="C509">
        <v>31</v>
      </c>
      <c r="D509" s="19" t="s">
        <v>933</v>
      </c>
      <c r="E509" s="19" t="s">
        <v>347</v>
      </c>
      <c r="F509">
        <v>45</v>
      </c>
      <c r="G509">
        <v>3</v>
      </c>
      <c r="H509">
        <v>8</v>
      </c>
      <c r="I509">
        <v>11</v>
      </c>
      <c r="J509">
        <v>4</v>
      </c>
      <c r="K509">
        <v>18</v>
      </c>
      <c r="L509">
        <v>3</v>
      </c>
      <c r="M509">
        <v>0</v>
      </c>
      <c r="N509">
        <v>0</v>
      </c>
      <c r="O509">
        <v>1</v>
      </c>
      <c r="P509">
        <v>8</v>
      </c>
      <c r="Q509">
        <v>0</v>
      </c>
      <c r="R509">
        <v>0</v>
      </c>
      <c r="S509">
        <v>50</v>
      </c>
      <c r="T509">
        <v>6</v>
      </c>
      <c r="U509">
        <v>126</v>
      </c>
      <c r="V509" s="19" t="s">
        <v>2783</v>
      </c>
      <c r="W509" s="19" t="s">
        <v>2784</v>
      </c>
      <c r="X509">
        <v>0</v>
      </c>
      <c r="Y509">
        <v>0</v>
      </c>
      <c r="AA509">
        <v>51</v>
      </c>
      <c r="AB509">
        <v>22</v>
      </c>
      <c r="AC509">
        <v>11</v>
      </c>
      <c r="AD509">
        <v>56</v>
      </c>
      <c r="AE509" s="19" t="s">
        <v>60</v>
      </c>
    </row>
    <row r="510" spans="1:31" x14ac:dyDescent="0.2">
      <c r="A510">
        <v>484</v>
      </c>
      <c r="B510" s="19" t="s">
        <v>992</v>
      </c>
      <c r="C510">
        <v>31</v>
      </c>
      <c r="D510" s="19" t="s">
        <v>327</v>
      </c>
      <c r="E510" s="19" t="s">
        <v>347</v>
      </c>
      <c r="F510">
        <v>6</v>
      </c>
      <c r="G510">
        <v>0</v>
      </c>
      <c r="H510">
        <v>0</v>
      </c>
      <c r="I510">
        <v>0</v>
      </c>
      <c r="J510">
        <v>0</v>
      </c>
      <c r="K510">
        <v>8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</v>
      </c>
      <c r="T510">
        <v>0</v>
      </c>
      <c r="U510">
        <v>9</v>
      </c>
      <c r="V510" s="19" t="s">
        <v>994</v>
      </c>
      <c r="W510" s="19" t="s">
        <v>995</v>
      </c>
      <c r="X510">
        <v>0</v>
      </c>
      <c r="Y510">
        <v>0</v>
      </c>
      <c r="AA510">
        <v>3</v>
      </c>
      <c r="AB510">
        <v>2</v>
      </c>
      <c r="AC510">
        <v>2</v>
      </c>
      <c r="AD510">
        <v>8</v>
      </c>
      <c r="AE510" s="19" t="s">
        <v>60</v>
      </c>
    </row>
    <row r="511" spans="1:31" x14ac:dyDescent="0.2">
      <c r="A511">
        <v>484</v>
      </c>
      <c r="B511" s="19" t="s">
        <v>992</v>
      </c>
      <c r="C511">
        <v>31</v>
      </c>
      <c r="D511" s="19" t="s">
        <v>357</v>
      </c>
      <c r="E511" s="19" t="s">
        <v>347</v>
      </c>
      <c r="F511">
        <v>39</v>
      </c>
      <c r="G511">
        <v>3</v>
      </c>
      <c r="H511">
        <v>8</v>
      </c>
      <c r="I511">
        <v>11</v>
      </c>
      <c r="J511">
        <v>4</v>
      </c>
      <c r="K511">
        <v>10</v>
      </c>
      <c r="L511">
        <v>3</v>
      </c>
      <c r="M511">
        <v>0</v>
      </c>
      <c r="N511">
        <v>0</v>
      </c>
      <c r="O511">
        <v>1</v>
      </c>
      <c r="P511">
        <v>8</v>
      </c>
      <c r="Q511">
        <v>0</v>
      </c>
      <c r="R511">
        <v>0</v>
      </c>
      <c r="S511">
        <v>47</v>
      </c>
      <c r="T511">
        <v>6.4</v>
      </c>
      <c r="U511">
        <v>117</v>
      </c>
      <c r="V511" s="19" t="s">
        <v>2785</v>
      </c>
      <c r="W511" s="19" t="s">
        <v>1671</v>
      </c>
      <c r="X511">
        <v>0</v>
      </c>
      <c r="Y511">
        <v>0</v>
      </c>
      <c r="AA511">
        <v>48</v>
      </c>
      <c r="AB511">
        <v>20</v>
      </c>
      <c r="AC511">
        <v>9</v>
      </c>
      <c r="AD511">
        <v>48</v>
      </c>
      <c r="AE511" s="19" t="s">
        <v>60</v>
      </c>
    </row>
    <row r="512" spans="1:31" x14ac:dyDescent="0.2">
      <c r="A512">
        <v>485</v>
      </c>
      <c r="B512" s="19" t="s">
        <v>756</v>
      </c>
      <c r="C512">
        <v>31</v>
      </c>
      <c r="D512" s="19" t="s">
        <v>502</v>
      </c>
      <c r="E512" s="19" t="s">
        <v>322</v>
      </c>
      <c r="F512">
        <v>37</v>
      </c>
      <c r="G512">
        <v>4</v>
      </c>
      <c r="H512">
        <v>7</v>
      </c>
      <c r="I512">
        <v>11</v>
      </c>
      <c r="J512">
        <v>-3</v>
      </c>
      <c r="K512">
        <v>24</v>
      </c>
      <c r="L512">
        <v>4</v>
      </c>
      <c r="M512">
        <v>0</v>
      </c>
      <c r="N512">
        <v>0</v>
      </c>
      <c r="O512">
        <v>1</v>
      </c>
      <c r="P512">
        <v>7</v>
      </c>
      <c r="Q512">
        <v>0</v>
      </c>
      <c r="R512">
        <v>0</v>
      </c>
      <c r="S512">
        <v>34</v>
      </c>
      <c r="T512">
        <v>11.8</v>
      </c>
      <c r="U512">
        <v>61</v>
      </c>
      <c r="V512" s="19" t="s">
        <v>2309</v>
      </c>
      <c r="W512" s="19" t="s">
        <v>935</v>
      </c>
      <c r="X512">
        <v>51</v>
      </c>
      <c r="Y512">
        <v>42</v>
      </c>
      <c r="Z512">
        <v>54.8</v>
      </c>
      <c r="AA512">
        <v>27</v>
      </c>
      <c r="AB512">
        <v>144</v>
      </c>
      <c r="AC512">
        <v>3</v>
      </c>
      <c r="AD512">
        <v>19</v>
      </c>
      <c r="AE512" s="19" t="s">
        <v>60</v>
      </c>
    </row>
    <row r="513" spans="1:31" x14ac:dyDescent="0.2">
      <c r="A513">
        <v>486</v>
      </c>
      <c r="B513" s="19" t="s">
        <v>1129</v>
      </c>
      <c r="C513">
        <v>30</v>
      </c>
      <c r="D513" s="19" t="s">
        <v>403</v>
      </c>
      <c r="E513" s="19" t="s">
        <v>322</v>
      </c>
      <c r="F513">
        <v>42</v>
      </c>
      <c r="G513">
        <v>3</v>
      </c>
      <c r="H513">
        <v>7</v>
      </c>
      <c r="I513">
        <v>10</v>
      </c>
      <c r="J513">
        <v>-1</v>
      </c>
      <c r="K513">
        <v>22</v>
      </c>
      <c r="L513">
        <v>2</v>
      </c>
      <c r="M513">
        <v>0</v>
      </c>
      <c r="N513">
        <v>1</v>
      </c>
      <c r="O513">
        <v>0</v>
      </c>
      <c r="P513">
        <v>6</v>
      </c>
      <c r="Q513">
        <v>0</v>
      </c>
      <c r="R513">
        <v>1</v>
      </c>
      <c r="S513">
        <v>43</v>
      </c>
      <c r="T513">
        <v>7</v>
      </c>
      <c r="U513">
        <v>88</v>
      </c>
      <c r="V513" s="19" t="s">
        <v>1930</v>
      </c>
      <c r="W513" s="19" t="s">
        <v>1888</v>
      </c>
      <c r="X513">
        <v>158</v>
      </c>
      <c r="Y513">
        <v>145</v>
      </c>
      <c r="Z513">
        <v>52.1</v>
      </c>
      <c r="AA513">
        <v>24</v>
      </c>
      <c r="AB513">
        <v>49</v>
      </c>
      <c r="AC513">
        <v>11</v>
      </c>
      <c r="AD513">
        <v>14</v>
      </c>
      <c r="AE513" s="19" t="s">
        <v>60</v>
      </c>
    </row>
    <row r="514" spans="1:31" x14ac:dyDescent="0.2">
      <c r="A514">
        <v>487</v>
      </c>
      <c r="B514" s="19" t="s">
        <v>886</v>
      </c>
      <c r="C514">
        <v>32</v>
      </c>
      <c r="D514" s="19" t="s">
        <v>359</v>
      </c>
      <c r="E514" s="19" t="s">
        <v>322</v>
      </c>
      <c r="F514">
        <v>39</v>
      </c>
      <c r="G514">
        <v>4</v>
      </c>
      <c r="H514">
        <v>6</v>
      </c>
      <c r="I514">
        <v>10</v>
      </c>
      <c r="J514">
        <v>-5</v>
      </c>
      <c r="K514">
        <v>10</v>
      </c>
      <c r="L514">
        <v>4</v>
      </c>
      <c r="M514">
        <v>0</v>
      </c>
      <c r="N514">
        <v>0</v>
      </c>
      <c r="O514">
        <v>0</v>
      </c>
      <c r="P514">
        <v>6</v>
      </c>
      <c r="Q514">
        <v>0</v>
      </c>
      <c r="R514">
        <v>0</v>
      </c>
      <c r="S514">
        <v>37</v>
      </c>
      <c r="T514">
        <v>10.8</v>
      </c>
      <c r="U514">
        <v>94</v>
      </c>
      <c r="V514" s="19" t="s">
        <v>2786</v>
      </c>
      <c r="W514" s="19" t="s">
        <v>1764</v>
      </c>
      <c r="X514">
        <v>24</v>
      </c>
      <c r="Y514">
        <v>19</v>
      </c>
      <c r="Z514">
        <v>55.8</v>
      </c>
      <c r="AA514">
        <v>17</v>
      </c>
      <c r="AB514">
        <v>31</v>
      </c>
      <c r="AC514">
        <v>11</v>
      </c>
      <c r="AD514">
        <v>17</v>
      </c>
      <c r="AE514" s="19" t="s">
        <v>60</v>
      </c>
    </row>
    <row r="515" spans="1:31" x14ac:dyDescent="0.2">
      <c r="A515">
        <v>488</v>
      </c>
      <c r="B515" s="19" t="s">
        <v>842</v>
      </c>
      <c r="C515">
        <v>26</v>
      </c>
      <c r="D515" s="19" t="s">
        <v>395</v>
      </c>
      <c r="E515" s="19" t="s">
        <v>322</v>
      </c>
      <c r="F515">
        <v>55</v>
      </c>
      <c r="G515">
        <v>5</v>
      </c>
      <c r="H515">
        <v>5</v>
      </c>
      <c r="I515">
        <v>10</v>
      </c>
      <c r="J515">
        <v>-15</v>
      </c>
      <c r="K515">
        <v>17</v>
      </c>
      <c r="L515">
        <v>5</v>
      </c>
      <c r="M515">
        <v>0</v>
      </c>
      <c r="N515">
        <v>0</v>
      </c>
      <c r="O515">
        <v>1</v>
      </c>
      <c r="P515">
        <v>4</v>
      </c>
      <c r="Q515">
        <v>1</v>
      </c>
      <c r="R515">
        <v>0</v>
      </c>
      <c r="S515">
        <v>47</v>
      </c>
      <c r="T515">
        <v>10.6</v>
      </c>
      <c r="U515">
        <v>108</v>
      </c>
      <c r="V515" s="19" t="s">
        <v>2787</v>
      </c>
      <c r="W515" s="19" t="s">
        <v>1480</v>
      </c>
      <c r="X515">
        <v>40</v>
      </c>
      <c r="Y515">
        <v>39</v>
      </c>
      <c r="Z515">
        <v>50.6</v>
      </c>
      <c r="AA515">
        <v>18</v>
      </c>
      <c r="AB515">
        <v>153</v>
      </c>
      <c r="AC515">
        <v>7</v>
      </c>
      <c r="AD515">
        <v>21</v>
      </c>
      <c r="AE515" s="19" t="s">
        <v>60</v>
      </c>
    </row>
    <row r="516" spans="1:31" x14ac:dyDescent="0.2">
      <c r="A516">
        <v>489</v>
      </c>
      <c r="B516" s="19" t="s">
        <v>1014</v>
      </c>
      <c r="C516">
        <v>25</v>
      </c>
      <c r="D516" s="19" t="s">
        <v>350</v>
      </c>
      <c r="E516" s="19" t="s">
        <v>347</v>
      </c>
      <c r="F516">
        <v>34</v>
      </c>
      <c r="G516">
        <v>1</v>
      </c>
      <c r="H516">
        <v>9</v>
      </c>
      <c r="I516">
        <v>10</v>
      </c>
      <c r="J516">
        <v>7</v>
      </c>
      <c r="K516">
        <v>40</v>
      </c>
      <c r="L516">
        <v>1</v>
      </c>
      <c r="M516">
        <v>0</v>
      </c>
      <c r="N516">
        <v>0</v>
      </c>
      <c r="O516">
        <v>0</v>
      </c>
      <c r="P516">
        <v>8</v>
      </c>
      <c r="Q516">
        <v>0</v>
      </c>
      <c r="R516">
        <v>1</v>
      </c>
      <c r="S516">
        <v>44</v>
      </c>
      <c r="T516">
        <v>2.2999999999999998</v>
      </c>
      <c r="U516">
        <v>98</v>
      </c>
      <c r="V516" s="19" t="s">
        <v>2123</v>
      </c>
      <c r="W516" s="19" t="s">
        <v>2038</v>
      </c>
      <c r="X516">
        <v>0</v>
      </c>
      <c r="Y516">
        <v>0</v>
      </c>
      <c r="AA516">
        <v>31</v>
      </c>
      <c r="AB516">
        <v>38</v>
      </c>
      <c r="AC516">
        <v>5</v>
      </c>
      <c r="AD516">
        <v>18</v>
      </c>
      <c r="AE516" s="19" t="s">
        <v>60</v>
      </c>
    </row>
    <row r="517" spans="1:31" x14ac:dyDescent="0.2">
      <c r="A517">
        <v>490</v>
      </c>
      <c r="B517" s="19" t="s">
        <v>851</v>
      </c>
      <c r="C517">
        <v>38</v>
      </c>
      <c r="D517" s="19" t="s">
        <v>329</v>
      </c>
      <c r="E517" s="19" t="s">
        <v>338</v>
      </c>
      <c r="F517">
        <v>33</v>
      </c>
      <c r="G517">
        <v>2</v>
      </c>
      <c r="H517">
        <v>8</v>
      </c>
      <c r="I517">
        <v>10</v>
      </c>
      <c r="J517">
        <v>1</v>
      </c>
      <c r="K517">
        <v>23</v>
      </c>
      <c r="L517">
        <v>2</v>
      </c>
      <c r="M517">
        <v>0</v>
      </c>
      <c r="N517">
        <v>0</v>
      </c>
      <c r="O517">
        <v>0</v>
      </c>
      <c r="P517">
        <v>5</v>
      </c>
      <c r="Q517">
        <v>2</v>
      </c>
      <c r="R517">
        <v>1</v>
      </c>
      <c r="S517">
        <v>27</v>
      </c>
      <c r="T517">
        <v>7.4</v>
      </c>
      <c r="U517">
        <v>46</v>
      </c>
      <c r="V517" s="19" t="s">
        <v>2310</v>
      </c>
      <c r="W517" s="19" t="s">
        <v>2034</v>
      </c>
      <c r="X517">
        <v>148</v>
      </c>
      <c r="Y517">
        <v>155</v>
      </c>
      <c r="Z517">
        <v>48.8</v>
      </c>
      <c r="AA517">
        <v>26</v>
      </c>
      <c r="AB517">
        <v>79</v>
      </c>
      <c r="AC517">
        <v>3</v>
      </c>
      <c r="AD517">
        <v>19</v>
      </c>
      <c r="AE517" s="19" t="s">
        <v>60</v>
      </c>
    </row>
    <row r="518" spans="1:31" x14ac:dyDescent="0.2">
      <c r="A518">
        <v>491</v>
      </c>
      <c r="B518" s="19" t="s">
        <v>1319</v>
      </c>
      <c r="C518">
        <v>28</v>
      </c>
      <c r="D518" s="19" t="s">
        <v>403</v>
      </c>
      <c r="E518" s="19" t="s">
        <v>334</v>
      </c>
      <c r="F518">
        <v>28</v>
      </c>
      <c r="G518">
        <v>8</v>
      </c>
      <c r="H518">
        <v>2</v>
      </c>
      <c r="I518">
        <v>10</v>
      </c>
      <c r="J518">
        <v>3</v>
      </c>
      <c r="K518">
        <v>8</v>
      </c>
      <c r="L518">
        <v>8</v>
      </c>
      <c r="M518">
        <v>0</v>
      </c>
      <c r="N518">
        <v>0</v>
      </c>
      <c r="O518">
        <v>1</v>
      </c>
      <c r="P518">
        <v>2</v>
      </c>
      <c r="Q518">
        <v>0</v>
      </c>
      <c r="R518">
        <v>0</v>
      </c>
      <c r="S518">
        <v>33</v>
      </c>
      <c r="T518">
        <v>24.2</v>
      </c>
      <c r="U518">
        <v>63</v>
      </c>
      <c r="V518" s="19" t="s">
        <v>2788</v>
      </c>
      <c r="W518" s="19" t="s">
        <v>2789</v>
      </c>
      <c r="X518">
        <v>2</v>
      </c>
      <c r="Y518">
        <v>5</v>
      </c>
      <c r="Z518">
        <v>28.6</v>
      </c>
      <c r="AA518">
        <v>16</v>
      </c>
      <c r="AB518">
        <v>82</v>
      </c>
      <c r="AC518">
        <v>4</v>
      </c>
      <c r="AD518">
        <v>12</v>
      </c>
      <c r="AE518" s="19" t="s">
        <v>60</v>
      </c>
    </row>
    <row r="519" spans="1:31" x14ac:dyDescent="0.2">
      <c r="A519">
        <v>492</v>
      </c>
      <c r="B519" s="19" t="s">
        <v>738</v>
      </c>
      <c r="C519">
        <v>35</v>
      </c>
      <c r="D519" s="19" t="s">
        <v>327</v>
      </c>
      <c r="E519" s="19" t="s">
        <v>322</v>
      </c>
      <c r="F519">
        <v>44</v>
      </c>
      <c r="G519">
        <v>2</v>
      </c>
      <c r="H519">
        <v>8</v>
      </c>
      <c r="I519">
        <v>10</v>
      </c>
      <c r="J519">
        <v>-9</v>
      </c>
      <c r="K519">
        <v>14</v>
      </c>
      <c r="L519">
        <v>2</v>
      </c>
      <c r="M519">
        <v>0</v>
      </c>
      <c r="N519">
        <v>0</v>
      </c>
      <c r="O519">
        <v>0</v>
      </c>
      <c r="P519">
        <v>4</v>
      </c>
      <c r="Q519">
        <v>3</v>
      </c>
      <c r="R519">
        <v>1</v>
      </c>
      <c r="S519">
        <v>63</v>
      </c>
      <c r="T519">
        <v>3.2</v>
      </c>
      <c r="U519">
        <v>115</v>
      </c>
      <c r="V519" s="19" t="s">
        <v>2790</v>
      </c>
      <c r="W519" s="19" t="s">
        <v>2791</v>
      </c>
      <c r="X519">
        <v>241</v>
      </c>
      <c r="Y519">
        <v>199</v>
      </c>
      <c r="Z519">
        <v>54.8</v>
      </c>
      <c r="AA519">
        <v>57</v>
      </c>
      <c r="AB519">
        <v>25</v>
      </c>
      <c r="AC519">
        <v>10</v>
      </c>
      <c r="AD519">
        <v>29</v>
      </c>
      <c r="AE519" s="19" t="s">
        <v>60</v>
      </c>
    </row>
    <row r="520" spans="1:31" x14ac:dyDescent="0.2">
      <c r="A520">
        <v>493</v>
      </c>
      <c r="B520" s="19" t="s">
        <v>893</v>
      </c>
      <c r="C520">
        <v>31</v>
      </c>
      <c r="D520" s="19" t="s">
        <v>355</v>
      </c>
      <c r="E520" s="19" t="s">
        <v>322</v>
      </c>
      <c r="F520">
        <v>44</v>
      </c>
      <c r="G520">
        <v>3</v>
      </c>
      <c r="H520">
        <v>7</v>
      </c>
      <c r="I520">
        <v>10</v>
      </c>
      <c r="J520">
        <v>-5</v>
      </c>
      <c r="K520">
        <v>11</v>
      </c>
      <c r="L520">
        <v>3</v>
      </c>
      <c r="M520">
        <v>0</v>
      </c>
      <c r="N520">
        <v>0</v>
      </c>
      <c r="O520">
        <v>2</v>
      </c>
      <c r="P520">
        <v>5</v>
      </c>
      <c r="Q520">
        <v>2</v>
      </c>
      <c r="R520">
        <v>0</v>
      </c>
      <c r="S520">
        <v>42</v>
      </c>
      <c r="T520">
        <v>7.1</v>
      </c>
      <c r="U520">
        <v>95</v>
      </c>
      <c r="V520" s="19" t="s">
        <v>2311</v>
      </c>
      <c r="W520" s="19" t="s">
        <v>1909</v>
      </c>
      <c r="X520">
        <v>19</v>
      </c>
      <c r="Y520">
        <v>17</v>
      </c>
      <c r="Z520">
        <v>52.8</v>
      </c>
      <c r="AA520">
        <v>19</v>
      </c>
      <c r="AB520">
        <v>27</v>
      </c>
      <c r="AC520">
        <v>14</v>
      </c>
      <c r="AD520">
        <v>35</v>
      </c>
      <c r="AE520" s="19" t="s">
        <v>60</v>
      </c>
    </row>
    <row r="521" spans="1:31" x14ac:dyDescent="0.2">
      <c r="A521">
        <v>494</v>
      </c>
      <c r="B521" s="19" t="s">
        <v>772</v>
      </c>
      <c r="C521">
        <v>29</v>
      </c>
      <c r="D521" s="19" t="s">
        <v>357</v>
      </c>
      <c r="E521" s="19" t="s">
        <v>322</v>
      </c>
      <c r="F521">
        <v>36</v>
      </c>
      <c r="G521">
        <v>6</v>
      </c>
      <c r="H521">
        <v>4</v>
      </c>
      <c r="I521">
        <v>10</v>
      </c>
      <c r="J521">
        <v>-2</v>
      </c>
      <c r="K521">
        <v>25</v>
      </c>
      <c r="L521">
        <v>6</v>
      </c>
      <c r="M521">
        <v>0</v>
      </c>
      <c r="N521">
        <v>0</v>
      </c>
      <c r="O521">
        <v>2</v>
      </c>
      <c r="P521">
        <v>4</v>
      </c>
      <c r="Q521">
        <v>0</v>
      </c>
      <c r="R521">
        <v>0</v>
      </c>
      <c r="S521">
        <v>32</v>
      </c>
      <c r="T521">
        <v>18.8</v>
      </c>
      <c r="U521">
        <v>56</v>
      </c>
      <c r="V521" s="19" t="s">
        <v>1643</v>
      </c>
      <c r="W521" s="19" t="s">
        <v>895</v>
      </c>
      <c r="X521">
        <v>2</v>
      </c>
      <c r="Y521">
        <v>12</v>
      </c>
      <c r="Z521">
        <v>14.3</v>
      </c>
      <c r="AA521">
        <v>26</v>
      </c>
      <c r="AB521">
        <v>127</v>
      </c>
      <c r="AC521">
        <v>7</v>
      </c>
      <c r="AD521">
        <v>13</v>
      </c>
      <c r="AE521" s="19" t="s">
        <v>60</v>
      </c>
    </row>
    <row r="522" spans="1:31" x14ac:dyDescent="0.2">
      <c r="A522">
        <v>495</v>
      </c>
      <c r="B522" s="19" t="s">
        <v>905</v>
      </c>
      <c r="C522">
        <v>23</v>
      </c>
      <c r="D522" s="19" t="s">
        <v>364</v>
      </c>
      <c r="E522" s="19" t="s">
        <v>322</v>
      </c>
      <c r="F522">
        <v>57</v>
      </c>
      <c r="G522">
        <v>2</v>
      </c>
      <c r="H522">
        <v>8</v>
      </c>
      <c r="I522">
        <v>10</v>
      </c>
      <c r="J522">
        <v>1</v>
      </c>
      <c r="K522">
        <v>12</v>
      </c>
      <c r="L522">
        <v>2</v>
      </c>
      <c r="M522">
        <v>0</v>
      </c>
      <c r="N522">
        <v>0</v>
      </c>
      <c r="O522">
        <v>0</v>
      </c>
      <c r="P522">
        <v>8</v>
      </c>
      <c r="Q522">
        <v>0</v>
      </c>
      <c r="R522">
        <v>0</v>
      </c>
      <c r="S522">
        <v>46</v>
      </c>
      <c r="T522">
        <v>4.3</v>
      </c>
      <c r="U522">
        <v>85</v>
      </c>
      <c r="V522" s="19" t="s">
        <v>2792</v>
      </c>
      <c r="W522" s="19" t="s">
        <v>2793</v>
      </c>
      <c r="X522">
        <v>84</v>
      </c>
      <c r="Y522">
        <v>133</v>
      </c>
      <c r="Z522">
        <v>38.700000000000003</v>
      </c>
      <c r="AA522">
        <v>17</v>
      </c>
      <c r="AB522">
        <v>36</v>
      </c>
      <c r="AC522">
        <v>5</v>
      </c>
      <c r="AD522">
        <v>23</v>
      </c>
      <c r="AE522" s="19" t="s">
        <v>60</v>
      </c>
    </row>
    <row r="523" spans="1:31" x14ac:dyDescent="0.2">
      <c r="A523">
        <v>496</v>
      </c>
      <c r="B523" s="19" t="s">
        <v>867</v>
      </c>
      <c r="C523">
        <v>36</v>
      </c>
      <c r="D523" s="19" t="s">
        <v>350</v>
      </c>
      <c r="E523" s="19" t="s">
        <v>347</v>
      </c>
      <c r="F523">
        <v>23</v>
      </c>
      <c r="G523">
        <v>4</v>
      </c>
      <c r="H523">
        <v>6</v>
      </c>
      <c r="I523">
        <v>10</v>
      </c>
      <c r="J523">
        <v>2</v>
      </c>
      <c r="K523">
        <v>2</v>
      </c>
      <c r="L523">
        <v>4</v>
      </c>
      <c r="M523">
        <v>0</v>
      </c>
      <c r="N523">
        <v>0</v>
      </c>
      <c r="O523">
        <v>0</v>
      </c>
      <c r="P523">
        <v>6</v>
      </c>
      <c r="Q523">
        <v>0</v>
      </c>
      <c r="R523">
        <v>0</v>
      </c>
      <c r="S523">
        <v>23</v>
      </c>
      <c r="T523">
        <v>17.399999999999999</v>
      </c>
      <c r="U523">
        <v>59</v>
      </c>
      <c r="V523" s="19" t="s">
        <v>2794</v>
      </c>
      <c r="W523" s="19" t="s">
        <v>1878</v>
      </c>
      <c r="X523">
        <v>0</v>
      </c>
      <c r="Y523">
        <v>0</v>
      </c>
      <c r="AA523">
        <v>38</v>
      </c>
      <c r="AB523">
        <v>9</v>
      </c>
      <c r="AC523">
        <v>10</v>
      </c>
      <c r="AD523">
        <v>26</v>
      </c>
      <c r="AE523" s="19" t="s">
        <v>60</v>
      </c>
    </row>
    <row r="524" spans="1:31" x14ac:dyDescent="0.2">
      <c r="A524">
        <v>497</v>
      </c>
      <c r="B524" s="19" t="s">
        <v>982</v>
      </c>
      <c r="C524">
        <v>24</v>
      </c>
      <c r="D524" s="19" t="s">
        <v>336</v>
      </c>
      <c r="E524" s="19" t="s">
        <v>347</v>
      </c>
      <c r="F524">
        <v>42</v>
      </c>
      <c r="G524">
        <v>3</v>
      </c>
      <c r="H524">
        <v>7</v>
      </c>
      <c r="I524">
        <v>10</v>
      </c>
      <c r="J524">
        <v>0</v>
      </c>
      <c r="K524">
        <v>20</v>
      </c>
      <c r="L524">
        <v>3</v>
      </c>
      <c r="M524">
        <v>0</v>
      </c>
      <c r="N524">
        <v>0</v>
      </c>
      <c r="O524">
        <v>1</v>
      </c>
      <c r="P524">
        <v>6</v>
      </c>
      <c r="Q524">
        <v>0</v>
      </c>
      <c r="R524">
        <v>1</v>
      </c>
      <c r="S524">
        <v>42</v>
      </c>
      <c r="T524">
        <v>7.1</v>
      </c>
      <c r="U524">
        <v>112</v>
      </c>
      <c r="V524" s="19" t="s">
        <v>2795</v>
      </c>
      <c r="W524" s="19" t="s">
        <v>2796</v>
      </c>
      <c r="X524">
        <v>0</v>
      </c>
      <c r="Y524">
        <v>0</v>
      </c>
      <c r="AA524">
        <v>67</v>
      </c>
      <c r="AB524">
        <v>17</v>
      </c>
      <c r="AC524">
        <v>13</v>
      </c>
      <c r="AD524">
        <v>31</v>
      </c>
      <c r="AE524" s="19" t="s">
        <v>60</v>
      </c>
    </row>
    <row r="525" spans="1:31" x14ac:dyDescent="0.2">
      <c r="A525">
        <v>498</v>
      </c>
      <c r="B525" s="19" t="s">
        <v>918</v>
      </c>
      <c r="C525">
        <v>33</v>
      </c>
      <c r="D525" s="19" t="s">
        <v>344</v>
      </c>
      <c r="E525" s="19" t="s">
        <v>338</v>
      </c>
      <c r="F525">
        <v>48</v>
      </c>
      <c r="G525">
        <v>7</v>
      </c>
      <c r="H525">
        <v>3</v>
      </c>
      <c r="I525">
        <v>10</v>
      </c>
      <c r="J525">
        <v>4</v>
      </c>
      <c r="K525">
        <v>23</v>
      </c>
      <c r="L525">
        <v>7</v>
      </c>
      <c r="M525">
        <v>0</v>
      </c>
      <c r="N525">
        <v>0</v>
      </c>
      <c r="O525">
        <v>2</v>
      </c>
      <c r="P525">
        <v>3</v>
      </c>
      <c r="Q525">
        <v>0</v>
      </c>
      <c r="R525">
        <v>0</v>
      </c>
      <c r="S525">
        <v>41</v>
      </c>
      <c r="T525">
        <v>17.100000000000001</v>
      </c>
      <c r="U525">
        <v>81</v>
      </c>
      <c r="V525" s="19" t="s">
        <v>2797</v>
      </c>
      <c r="W525" s="19" t="s">
        <v>1853</v>
      </c>
      <c r="X525">
        <v>4</v>
      </c>
      <c r="Y525">
        <v>14</v>
      </c>
      <c r="Z525">
        <v>22.2</v>
      </c>
      <c r="AA525">
        <v>25</v>
      </c>
      <c r="AB525">
        <v>65</v>
      </c>
      <c r="AC525">
        <v>5</v>
      </c>
      <c r="AD525">
        <v>25</v>
      </c>
      <c r="AE525" s="19" t="s">
        <v>60</v>
      </c>
    </row>
    <row r="526" spans="1:31" x14ac:dyDescent="0.2">
      <c r="A526">
        <v>499</v>
      </c>
      <c r="B526" s="19" t="s">
        <v>1056</v>
      </c>
      <c r="C526">
        <v>31</v>
      </c>
      <c r="D526" s="19" t="s">
        <v>380</v>
      </c>
      <c r="E526" s="19" t="s">
        <v>347</v>
      </c>
      <c r="F526">
        <v>58</v>
      </c>
      <c r="G526">
        <v>3</v>
      </c>
      <c r="H526">
        <v>7</v>
      </c>
      <c r="I526">
        <v>10</v>
      </c>
      <c r="J526">
        <v>9</v>
      </c>
      <c r="K526">
        <v>30</v>
      </c>
      <c r="L526">
        <v>3</v>
      </c>
      <c r="M526">
        <v>0</v>
      </c>
      <c r="N526">
        <v>0</v>
      </c>
      <c r="O526">
        <v>2</v>
      </c>
      <c r="P526">
        <v>6</v>
      </c>
      <c r="Q526">
        <v>0</v>
      </c>
      <c r="R526">
        <v>1</v>
      </c>
      <c r="S526">
        <v>82</v>
      </c>
      <c r="T526">
        <v>3.7</v>
      </c>
      <c r="U526">
        <v>221</v>
      </c>
      <c r="V526" s="19" t="s">
        <v>2798</v>
      </c>
      <c r="W526" s="19" t="s">
        <v>2799</v>
      </c>
      <c r="X526">
        <v>0</v>
      </c>
      <c r="Y526">
        <v>0</v>
      </c>
      <c r="AA526">
        <v>100</v>
      </c>
      <c r="AB526">
        <v>39</v>
      </c>
      <c r="AC526">
        <v>28</v>
      </c>
      <c r="AD526">
        <v>51</v>
      </c>
      <c r="AE526" s="19" t="s">
        <v>60</v>
      </c>
    </row>
    <row r="527" spans="1:31" x14ac:dyDescent="0.2">
      <c r="A527">
        <v>500</v>
      </c>
      <c r="B527" s="19" t="s">
        <v>989</v>
      </c>
      <c r="C527">
        <v>27</v>
      </c>
      <c r="D527" s="19" t="s">
        <v>344</v>
      </c>
      <c r="E527" s="19" t="s">
        <v>347</v>
      </c>
      <c r="F527">
        <v>41</v>
      </c>
      <c r="G527">
        <v>0</v>
      </c>
      <c r="H527">
        <v>10</v>
      </c>
      <c r="I527">
        <v>10</v>
      </c>
      <c r="J527">
        <v>-1</v>
      </c>
      <c r="K527">
        <v>8</v>
      </c>
      <c r="L527">
        <v>0</v>
      </c>
      <c r="M527">
        <v>0</v>
      </c>
      <c r="N527">
        <v>0</v>
      </c>
      <c r="O527">
        <v>0</v>
      </c>
      <c r="P527">
        <v>10</v>
      </c>
      <c r="Q527">
        <v>0</v>
      </c>
      <c r="R527">
        <v>0</v>
      </c>
      <c r="S527">
        <v>53</v>
      </c>
      <c r="T527">
        <v>0</v>
      </c>
      <c r="U527">
        <v>136</v>
      </c>
      <c r="V527" s="19" t="s">
        <v>2800</v>
      </c>
      <c r="W527" s="19" t="s">
        <v>2388</v>
      </c>
      <c r="X527">
        <v>0</v>
      </c>
      <c r="Y527">
        <v>0</v>
      </c>
      <c r="AA527">
        <v>66</v>
      </c>
      <c r="AB527">
        <v>37</v>
      </c>
      <c r="AC527">
        <v>17</v>
      </c>
      <c r="AD527">
        <v>41</v>
      </c>
      <c r="AE527" s="19" t="s">
        <v>60</v>
      </c>
    </row>
    <row r="528" spans="1:31" x14ac:dyDescent="0.2">
      <c r="A528">
        <v>501</v>
      </c>
      <c r="B528" s="19" t="s">
        <v>1064</v>
      </c>
      <c r="C528">
        <v>30</v>
      </c>
      <c r="D528" s="19" t="s">
        <v>452</v>
      </c>
      <c r="E528" s="19" t="s">
        <v>325</v>
      </c>
      <c r="F528">
        <v>38</v>
      </c>
      <c r="G528">
        <v>6</v>
      </c>
      <c r="H528">
        <v>4</v>
      </c>
      <c r="I528">
        <v>10</v>
      </c>
      <c r="J528">
        <v>-6</v>
      </c>
      <c r="K528">
        <v>31</v>
      </c>
      <c r="L528">
        <v>6</v>
      </c>
      <c r="M528">
        <v>0</v>
      </c>
      <c r="N528">
        <v>0</v>
      </c>
      <c r="O528">
        <v>1</v>
      </c>
      <c r="P528">
        <v>3</v>
      </c>
      <c r="Q528">
        <v>0</v>
      </c>
      <c r="R528">
        <v>1</v>
      </c>
      <c r="S528">
        <v>51</v>
      </c>
      <c r="T528">
        <v>11.8</v>
      </c>
      <c r="U528">
        <v>103</v>
      </c>
      <c r="V528" s="19" t="s">
        <v>2801</v>
      </c>
      <c r="W528" s="19" t="s">
        <v>1826</v>
      </c>
      <c r="X528">
        <v>3</v>
      </c>
      <c r="Y528">
        <v>11</v>
      </c>
      <c r="Z528">
        <v>21.4</v>
      </c>
      <c r="AA528">
        <v>11</v>
      </c>
      <c r="AB528">
        <v>111</v>
      </c>
      <c r="AC528">
        <v>13</v>
      </c>
      <c r="AD528">
        <v>15</v>
      </c>
      <c r="AE528" s="19" t="s">
        <v>60</v>
      </c>
    </row>
    <row r="529" spans="1:31" x14ac:dyDescent="0.2">
      <c r="A529">
        <v>502</v>
      </c>
      <c r="B529" s="19" t="s">
        <v>754</v>
      </c>
      <c r="C529">
        <v>26</v>
      </c>
      <c r="D529" s="19" t="s">
        <v>933</v>
      </c>
      <c r="E529" s="19" t="s">
        <v>347</v>
      </c>
      <c r="F529">
        <v>58</v>
      </c>
      <c r="G529">
        <v>2</v>
      </c>
      <c r="H529">
        <v>8</v>
      </c>
      <c r="I529">
        <v>10</v>
      </c>
      <c r="J529">
        <v>-8</v>
      </c>
      <c r="K529">
        <v>16</v>
      </c>
      <c r="L529">
        <v>2</v>
      </c>
      <c r="M529">
        <v>0</v>
      </c>
      <c r="N529">
        <v>0</v>
      </c>
      <c r="O529">
        <v>0</v>
      </c>
      <c r="P529">
        <v>7</v>
      </c>
      <c r="Q529">
        <v>0</v>
      </c>
      <c r="R529">
        <v>1</v>
      </c>
      <c r="S529">
        <v>54</v>
      </c>
      <c r="T529">
        <v>3.7</v>
      </c>
      <c r="U529">
        <v>119</v>
      </c>
      <c r="V529" s="19" t="s">
        <v>2802</v>
      </c>
      <c r="W529" s="19" t="s">
        <v>2531</v>
      </c>
      <c r="X529">
        <v>0</v>
      </c>
      <c r="Y529">
        <v>0</v>
      </c>
      <c r="AA529">
        <v>56</v>
      </c>
      <c r="AB529">
        <v>13</v>
      </c>
      <c r="AC529">
        <v>17</v>
      </c>
      <c r="AD529">
        <v>57</v>
      </c>
      <c r="AE529" s="19" t="s">
        <v>60</v>
      </c>
    </row>
    <row r="530" spans="1:31" x14ac:dyDescent="0.2">
      <c r="A530">
        <v>502</v>
      </c>
      <c r="B530" s="19" t="s">
        <v>754</v>
      </c>
      <c r="C530">
        <v>26</v>
      </c>
      <c r="D530" s="19" t="s">
        <v>452</v>
      </c>
      <c r="E530" s="19" t="s">
        <v>347</v>
      </c>
      <c r="F530">
        <v>30</v>
      </c>
      <c r="G530">
        <v>1</v>
      </c>
      <c r="H530">
        <v>8</v>
      </c>
      <c r="I530">
        <v>9</v>
      </c>
      <c r="J530">
        <v>-1</v>
      </c>
      <c r="K530">
        <v>10</v>
      </c>
      <c r="L530">
        <v>1</v>
      </c>
      <c r="M530">
        <v>0</v>
      </c>
      <c r="N530">
        <v>0</v>
      </c>
      <c r="O530">
        <v>0</v>
      </c>
      <c r="P530">
        <v>7</v>
      </c>
      <c r="Q530">
        <v>0</v>
      </c>
      <c r="R530">
        <v>1</v>
      </c>
      <c r="S530">
        <v>30</v>
      </c>
      <c r="T530">
        <v>3.3</v>
      </c>
      <c r="U530">
        <v>67</v>
      </c>
      <c r="V530" s="19" t="s">
        <v>1502</v>
      </c>
      <c r="W530" s="19" t="s">
        <v>1302</v>
      </c>
      <c r="X530">
        <v>0</v>
      </c>
      <c r="Y530">
        <v>0</v>
      </c>
      <c r="AA530">
        <v>25</v>
      </c>
      <c r="AB530">
        <v>5</v>
      </c>
      <c r="AC530">
        <v>9</v>
      </c>
      <c r="AD530">
        <v>22</v>
      </c>
      <c r="AE530" s="19" t="s">
        <v>60</v>
      </c>
    </row>
    <row r="531" spans="1:31" x14ac:dyDescent="0.2">
      <c r="A531">
        <v>502</v>
      </c>
      <c r="B531" s="19" t="s">
        <v>754</v>
      </c>
      <c r="C531">
        <v>26</v>
      </c>
      <c r="D531" s="19" t="s">
        <v>327</v>
      </c>
      <c r="E531" s="19" t="s">
        <v>347</v>
      </c>
      <c r="F531">
        <v>28</v>
      </c>
      <c r="G531">
        <v>1</v>
      </c>
      <c r="H531">
        <v>0</v>
      </c>
      <c r="I531">
        <v>1</v>
      </c>
      <c r="J531">
        <v>-7</v>
      </c>
      <c r="K531">
        <v>6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24</v>
      </c>
      <c r="T531">
        <v>4.2</v>
      </c>
      <c r="U531">
        <v>52</v>
      </c>
      <c r="V531" s="19" t="s">
        <v>2803</v>
      </c>
      <c r="W531" s="19" t="s">
        <v>1465</v>
      </c>
      <c r="X531">
        <v>0</v>
      </c>
      <c r="Y531">
        <v>0</v>
      </c>
      <c r="AA531">
        <v>31</v>
      </c>
      <c r="AB531">
        <v>8</v>
      </c>
      <c r="AC531">
        <v>8</v>
      </c>
      <c r="AD531">
        <v>35</v>
      </c>
      <c r="AE531" s="19" t="s">
        <v>60</v>
      </c>
    </row>
    <row r="532" spans="1:31" x14ac:dyDescent="0.2">
      <c r="A532">
        <v>503</v>
      </c>
      <c r="B532" s="19" t="s">
        <v>1067</v>
      </c>
      <c r="C532">
        <v>29</v>
      </c>
      <c r="D532" s="19" t="s">
        <v>933</v>
      </c>
      <c r="E532" s="19" t="s">
        <v>347</v>
      </c>
      <c r="F532">
        <v>55</v>
      </c>
      <c r="G532">
        <v>2</v>
      </c>
      <c r="H532">
        <v>8</v>
      </c>
      <c r="I532">
        <v>10</v>
      </c>
      <c r="J532">
        <v>-7</v>
      </c>
      <c r="K532">
        <v>22</v>
      </c>
      <c r="L532">
        <v>2</v>
      </c>
      <c r="M532">
        <v>0</v>
      </c>
      <c r="N532">
        <v>0</v>
      </c>
      <c r="O532">
        <v>0</v>
      </c>
      <c r="P532">
        <v>8</v>
      </c>
      <c r="Q532">
        <v>0</v>
      </c>
      <c r="R532">
        <v>0</v>
      </c>
      <c r="S532">
        <v>46</v>
      </c>
      <c r="T532">
        <v>4.3</v>
      </c>
      <c r="U532">
        <v>134</v>
      </c>
      <c r="V532" s="19" t="s">
        <v>2312</v>
      </c>
      <c r="W532" s="19" t="s">
        <v>1986</v>
      </c>
      <c r="X532">
        <v>0</v>
      </c>
      <c r="Y532">
        <v>0</v>
      </c>
      <c r="AA532">
        <v>76</v>
      </c>
      <c r="AB532">
        <v>86</v>
      </c>
      <c r="AC532">
        <v>10</v>
      </c>
      <c r="AD532">
        <v>42</v>
      </c>
      <c r="AE532" s="19" t="s">
        <v>60</v>
      </c>
    </row>
    <row r="533" spans="1:31" x14ac:dyDescent="0.2">
      <c r="A533">
        <v>503</v>
      </c>
      <c r="B533" s="19" t="s">
        <v>1067</v>
      </c>
      <c r="C533">
        <v>29</v>
      </c>
      <c r="D533" s="19" t="s">
        <v>342</v>
      </c>
      <c r="E533" s="19" t="s">
        <v>347</v>
      </c>
      <c r="F533">
        <v>47</v>
      </c>
      <c r="G533">
        <v>2</v>
      </c>
      <c r="H533">
        <v>5</v>
      </c>
      <c r="I533">
        <v>7</v>
      </c>
      <c r="J533">
        <v>-8</v>
      </c>
      <c r="K533">
        <v>20</v>
      </c>
      <c r="L533">
        <v>2</v>
      </c>
      <c r="M533">
        <v>0</v>
      </c>
      <c r="N533">
        <v>0</v>
      </c>
      <c r="O533">
        <v>0</v>
      </c>
      <c r="P533">
        <v>5</v>
      </c>
      <c r="Q533">
        <v>0</v>
      </c>
      <c r="R533">
        <v>0</v>
      </c>
      <c r="S533">
        <v>33</v>
      </c>
      <c r="T533">
        <v>6.1</v>
      </c>
      <c r="U533">
        <v>105</v>
      </c>
      <c r="V533" s="19" t="s">
        <v>1935</v>
      </c>
      <c r="W533" s="19" t="s">
        <v>1701</v>
      </c>
      <c r="X533">
        <v>0</v>
      </c>
      <c r="Y533">
        <v>0</v>
      </c>
      <c r="AA533">
        <v>63</v>
      </c>
      <c r="AB533">
        <v>73</v>
      </c>
      <c r="AC533">
        <v>9</v>
      </c>
      <c r="AD533">
        <v>35</v>
      </c>
      <c r="AE533" s="19" t="s">
        <v>60</v>
      </c>
    </row>
    <row r="534" spans="1:31" x14ac:dyDescent="0.2">
      <c r="A534">
        <v>503</v>
      </c>
      <c r="B534" s="19" t="s">
        <v>1067</v>
      </c>
      <c r="C534">
        <v>29</v>
      </c>
      <c r="D534" s="19" t="s">
        <v>430</v>
      </c>
      <c r="E534" s="19" t="s">
        <v>347</v>
      </c>
      <c r="F534">
        <v>8</v>
      </c>
      <c r="G534">
        <v>0</v>
      </c>
      <c r="H534">
        <v>3</v>
      </c>
      <c r="I534">
        <v>3</v>
      </c>
      <c r="J534">
        <v>1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3</v>
      </c>
      <c r="Q534">
        <v>0</v>
      </c>
      <c r="R534">
        <v>0</v>
      </c>
      <c r="S534">
        <v>13</v>
      </c>
      <c r="T534">
        <v>0</v>
      </c>
      <c r="U534">
        <v>29</v>
      </c>
      <c r="V534" s="19" t="s">
        <v>2313</v>
      </c>
      <c r="W534" s="19" t="s">
        <v>1717</v>
      </c>
      <c r="X534">
        <v>0</v>
      </c>
      <c r="Y534">
        <v>0</v>
      </c>
      <c r="AA534">
        <v>13</v>
      </c>
      <c r="AB534">
        <v>13</v>
      </c>
      <c r="AC534">
        <v>1</v>
      </c>
      <c r="AD534">
        <v>7</v>
      </c>
      <c r="AE534" s="19" t="s">
        <v>60</v>
      </c>
    </row>
    <row r="535" spans="1:31" x14ac:dyDescent="0.2">
      <c r="A535">
        <v>504</v>
      </c>
      <c r="B535" s="19" t="s">
        <v>792</v>
      </c>
      <c r="C535">
        <v>26</v>
      </c>
      <c r="D535" s="19" t="s">
        <v>415</v>
      </c>
      <c r="E535" s="19" t="s">
        <v>347</v>
      </c>
      <c r="F535">
        <v>55</v>
      </c>
      <c r="G535">
        <v>2</v>
      </c>
      <c r="H535">
        <v>7</v>
      </c>
      <c r="I535">
        <v>9</v>
      </c>
      <c r="J535">
        <v>4</v>
      </c>
      <c r="K535">
        <v>14</v>
      </c>
      <c r="L535">
        <v>2</v>
      </c>
      <c r="M535">
        <v>0</v>
      </c>
      <c r="N535">
        <v>0</v>
      </c>
      <c r="O535">
        <v>0</v>
      </c>
      <c r="P535">
        <v>7</v>
      </c>
      <c r="Q535">
        <v>0</v>
      </c>
      <c r="R535">
        <v>0</v>
      </c>
      <c r="S535">
        <v>45</v>
      </c>
      <c r="T535">
        <v>4.4000000000000004</v>
      </c>
      <c r="U535">
        <v>120</v>
      </c>
      <c r="V535" s="19" t="s">
        <v>2804</v>
      </c>
      <c r="W535" s="19" t="s">
        <v>1486</v>
      </c>
      <c r="X535">
        <v>0</v>
      </c>
      <c r="Y535">
        <v>0</v>
      </c>
      <c r="AA535">
        <v>79</v>
      </c>
      <c r="AB535">
        <v>61</v>
      </c>
      <c r="AC535">
        <v>9</v>
      </c>
      <c r="AD535">
        <v>40</v>
      </c>
      <c r="AE535" s="19" t="s">
        <v>60</v>
      </c>
    </row>
    <row r="536" spans="1:31" x14ac:dyDescent="0.2">
      <c r="A536">
        <v>505</v>
      </c>
      <c r="B536" s="19" t="s">
        <v>884</v>
      </c>
      <c r="C536">
        <v>24</v>
      </c>
      <c r="D536" s="19" t="s">
        <v>321</v>
      </c>
      <c r="E536" s="19" t="s">
        <v>322</v>
      </c>
      <c r="F536">
        <v>43</v>
      </c>
      <c r="G536">
        <v>1</v>
      </c>
      <c r="H536">
        <v>8</v>
      </c>
      <c r="I536">
        <v>9</v>
      </c>
      <c r="J536">
        <v>7</v>
      </c>
      <c r="K536">
        <v>12</v>
      </c>
      <c r="L536">
        <v>1</v>
      </c>
      <c r="M536">
        <v>0</v>
      </c>
      <c r="N536">
        <v>0</v>
      </c>
      <c r="O536">
        <v>0</v>
      </c>
      <c r="P536">
        <v>8</v>
      </c>
      <c r="Q536">
        <v>0</v>
      </c>
      <c r="R536">
        <v>0</v>
      </c>
      <c r="S536">
        <v>23</v>
      </c>
      <c r="T536">
        <v>4.3</v>
      </c>
      <c r="U536">
        <v>56</v>
      </c>
      <c r="V536" s="19" t="s">
        <v>2805</v>
      </c>
      <c r="W536" s="19" t="s">
        <v>2806</v>
      </c>
      <c r="X536">
        <v>65</v>
      </c>
      <c r="Y536">
        <v>85</v>
      </c>
      <c r="Z536">
        <v>43.3</v>
      </c>
      <c r="AA536">
        <v>18</v>
      </c>
      <c r="AB536">
        <v>40</v>
      </c>
      <c r="AC536">
        <v>5</v>
      </c>
      <c r="AD536">
        <v>20</v>
      </c>
      <c r="AE536" s="19" t="s">
        <v>60</v>
      </c>
    </row>
    <row r="537" spans="1:31" x14ac:dyDescent="0.2">
      <c r="A537">
        <v>506</v>
      </c>
      <c r="B537" s="19" t="s">
        <v>1593</v>
      </c>
      <c r="C537">
        <v>20</v>
      </c>
      <c r="D537" s="19" t="s">
        <v>403</v>
      </c>
      <c r="E537" s="19" t="s">
        <v>322</v>
      </c>
      <c r="F537">
        <v>23</v>
      </c>
      <c r="G537">
        <v>2</v>
      </c>
      <c r="H537">
        <v>7</v>
      </c>
      <c r="I537">
        <v>9</v>
      </c>
      <c r="J537">
        <v>-7</v>
      </c>
      <c r="K537">
        <v>12</v>
      </c>
      <c r="L537">
        <v>1</v>
      </c>
      <c r="M537">
        <v>1</v>
      </c>
      <c r="N537">
        <v>0</v>
      </c>
      <c r="O537">
        <v>0</v>
      </c>
      <c r="P537">
        <v>5</v>
      </c>
      <c r="Q537">
        <v>2</v>
      </c>
      <c r="R537">
        <v>0</v>
      </c>
      <c r="S537">
        <v>24</v>
      </c>
      <c r="T537">
        <v>8.3000000000000007</v>
      </c>
      <c r="U537">
        <v>44</v>
      </c>
      <c r="V537" s="19" t="s">
        <v>2807</v>
      </c>
      <c r="W537" s="19" t="s">
        <v>1614</v>
      </c>
      <c r="X537">
        <v>3</v>
      </c>
      <c r="Y537">
        <v>6</v>
      </c>
      <c r="Z537">
        <v>33.299999999999997</v>
      </c>
      <c r="AA537">
        <v>12</v>
      </c>
      <c r="AB537">
        <v>20</v>
      </c>
      <c r="AC537">
        <v>2</v>
      </c>
      <c r="AD537">
        <v>15</v>
      </c>
      <c r="AE537" s="19" t="s">
        <v>60</v>
      </c>
    </row>
    <row r="538" spans="1:31" x14ac:dyDescent="0.2">
      <c r="A538">
        <v>507</v>
      </c>
      <c r="B538" s="19" t="s">
        <v>839</v>
      </c>
      <c r="C538">
        <v>33</v>
      </c>
      <c r="D538" s="19" t="s">
        <v>359</v>
      </c>
      <c r="E538" s="19" t="s">
        <v>322</v>
      </c>
      <c r="F538">
        <v>57</v>
      </c>
      <c r="G538">
        <v>3</v>
      </c>
      <c r="H538">
        <v>6</v>
      </c>
      <c r="I538">
        <v>9</v>
      </c>
      <c r="J538">
        <v>-3</v>
      </c>
      <c r="K538">
        <v>48</v>
      </c>
      <c r="L538">
        <v>3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1</v>
      </c>
      <c r="S538">
        <v>55</v>
      </c>
      <c r="T538">
        <v>5.5</v>
      </c>
      <c r="U538">
        <v>110</v>
      </c>
      <c r="V538" s="19" t="s">
        <v>2808</v>
      </c>
      <c r="W538" s="19" t="s">
        <v>1888</v>
      </c>
      <c r="X538">
        <v>207</v>
      </c>
      <c r="Y538">
        <v>179</v>
      </c>
      <c r="Z538">
        <v>53.6</v>
      </c>
      <c r="AA538">
        <v>28</v>
      </c>
      <c r="AB538">
        <v>81</v>
      </c>
      <c r="AC538">
        <v>10</v>
      </c>
      <c r="AD538">
        <v>23</v>
      </c>
      <c r="AE538" s="19" t="s">
        <v>60</v>
      </c>
    </row>
    <row r="539" spans="1:31" x14ac:dyDescent="0.2">
      <c r="A539">
        <v>508</v>
      </c>
      <c r="B539" s="19" t="s">
        <v>844</v>
      </c>
      <c r="C539">
        <v>23</v>
      </c>
      <c r="D539" s="19" t="s">
        <v>329</v>
      </c>
      <c r="E539" s="19" t="s">
        <v>322</v>
      </c>
      <c r="F539">
        <v>52</v>
      </c>
      <c r="G539">
        <v>3</v>
      </c>
      <c r="H539">
        <v>6</v>
      </c>
      <c r="I539">
        <v>9</v>
      </c>
      <c r="J539">
        <v>-15</v>
      </c>
      <c r="K539">
        <v>45</v>
      </c>
      <c r="L539">
        <v>2</v>
      </c>
      <c r="M539">
        <v>1</v>
      </c>
      <c r="N539">
        <v>0</v>
      </c>
      <c r="O539">
        <v>1</v>
      </c>
      <c r="P539">
        <v>5</v>
      </c>
      <c r="Q539">
        <v>1</v>
      </c>
      <c r="R539">
        <v>0</v>
      </c>
      <c r="S539">
        <v>51</v>
      </c>
      <c r="T539">
        <v>5.9</v>
      </c>
      <c r="U539">
        <v>111</v>
      </c>
      <c r="V539" s="19" t="s">
        <v>2314</v>
      </c>
      <c r="W539" s="19" t="s">
        <v>1707</v>
      </c>
      <c r="X539">
        <v>26</v>
      </c>
      <c r="Y539">
        <v>45</v>
      </c>
      <c r="Z539">
        <v>36.6</v>
      </c>
      <c r="AA539">
        <v>27</v>
      </c>
      <c r="AB539">
        <v>184</v>
      </c>
      <c r="AC539">
        <v>13</v>
      </c>
      <c r="AD539">
        <v>27</v>
      </c>
      <c r="AE539" s="19" t="s">
        <v>60</v>
      </c>
    </row>
    <row r="540" spans="1:31" x14ac:dyDescent="0.2">
      <c r="A540">
        <v>509</v>
      </c>
      <c r="B540" s="19" t="s">
        <v>1079</v>
      </c>
      <c r="C540">
        <v>19</v>
      </c>
      <c r="D540" s="19" t="s">
        <v>324</v>
      </c>
      <c r="E540" s="19" t="s">
        <v>347</v>
      </c>
      <c r="F540">
        <v>45</v>
      </c>
      <c r="G540">
        <v>1</v>
      </c>
      <c r="H540">
        <v>8</v>
      </c>
      <c r="I540">
        <v>9</v>
      </c>
      <c r="J540">
        <v>-2</v>
      </c>
      <c r="K540">
        <v>14</v>
      </c>
      <c r="L540">
        <v>1</v>
      </c>
      <c r="M540">
        <v>0</v>
      </c>
      <c r="N540">
        <v>0</v>
      </c>
      <c r="O540">
        <v>0</v>
      </c>
      <c r="P540">
        <v>8</v>
      </c>
      <c r="Q540">
        <v>0</v>
      </c>
      <c r="R540">
        <v>0</v>
      </c>
      <c r="S540">
        <v>42</v>
      </c>
      <c r="T540">
        <v>2.4</v>
      </c>
      <c r="U540">
        <v>102</v>
      </c>
      <c r="V540" s="19" t="s">
        <v>1964</v>
      </c>
      <c r="W540" s="19" t="s">
        <v>1007</v>
      </c>
      <c r="X540">
        <v>0</v>
      </c>
      <c r="Y540">
        <v>0</v>
      </c>
      <c r="AA540">
        <v>41</v>
      </c>
      <c r="AB540">
        <v>42</v>
      </c>
      <c r="AC540">
        <v>11</v>
      </c>
      <c r="AD540">
        <v>48</v>
      </c>
      <c r="AE540" s="19" t="s">
        <v>60</v>
      </c>
    </row>
    <row r="541" spans="1:31" x14ac:dyDescent="0.2">
      <c r="A541">
        <v>510</v>
      </c>
      <c r="B541" s="19" t="s">
        <v>847</v>
      </c>
      <c r="C541">
        <v>36</v>
      </c>
      <c r="D541" s="19" t="s">
        <v>412</v>
      </c>
      <c r="E541" s="19" t="s">
        <v>322</v>
      </c>
      <c r="F541">
        <v>43</v>
      </c>
      <c r="G541">
        <v>2</v>
      </c>
      <c r="H541">
        <v>7</v>
      </c>
      <c r="I541">
        <v>9</v>
      </c>
      <c r="J541">
        <v>0</v>
      </c>
      <c r="K541">
        <v>6</v>
      </c>
      <c r="L541">
        <v>1</v>
      </c>
      <c r="M541">
        <v>0</v>
      </c>
      <c r="N541">
        <v>1</v>
      </c>
      <c r="O541">
        <v>0</v>
      </c>
      <c r="P541">
        <v>7</v>
      </c>
      <c r="Q541">
        <v>0</v>
      </c>
      <c r="R541">
        <v>0</v>
      </c>
      <c r="S541">
        <v>38</v>
      </c>
      <c r="T541">
        <v>5.3</v>
      </c>
      <c r="U541">
        <v>80</v>
      </c>
      <c r="V541" s="19" t="s">
        <v>2809</v>
      </c>
      <c r="W541" s="19" t="s">
        <v>1425</v>
      </c>
      <c r="X541">
        <v>224</v>
      </c>
      <c r="Y541">
        <v>160</v>
      </c>
      <c r="Z541">
        <v>58.3</v>
      </c>
      <c r="AA541">
        <v>24</v>
      </c>
      <c r="AB541">
        <v>33</v>
      </c>
      <c r="AC541">
        <v>4</v>
      </c>
      <c r="AD541">
        <v>26</v>
      </c>
      <c r="AE541" s="19" t="s">
        <v>60</v>
      </c>
    </row>
    <row r="542" spans="1:31" x14ac:dyDescent="0.2">
      <c r="A542">
        <v>511</v>
      </c>
      <c r="B542" s="19" t="s">
        <v>1029</v>
      </c>
      <c r="C542">
        <v>32</v>
      </c>
      <c r="D542" s="19" t="s">
        <v>324</v>
      </c>
      <c r="E542" s="19" t="s">
        <v>334</v>
      </c>
      <c r="F542">
        <v>55</v>
      </c>
      <c r="G542">
        <v>4</v>
      </c>
      <c r="H542">
        <v>5</v>
      </c>
      <c r="I542">
        <v>9</v>
      </c>
      <c r="J542">
        <v>-13</v>
      </c>
      <c r="K542">
        <v>40</v>
      </c>
      <c r="L542">
        <v>4</v>
      </c>
      <c r="M542">
        <v>0</v>
      </c>
      <c r="N542">
        <v>0</v>
      </c>
      <c r="O542">
        <v>0</v>
      </c>
      <c r="P542">
        <v>5</v>
      </c>
      <c r="Q542">
        <v>0</v>
      </c>
      <c r="R542">
        <v>0</v>
      </c>
      <c r="S542">
        <v>50</v>
      </c>
      <c r="T542">
        <v>8</v>
      </c>
      <c r="U542">
        <v>88</v>
      </c>
      <c r="V542" s="19" t="s">
        <v>1927</v>
      </c>
      <c r="W542" s="19" t="s">
        <v>1845</v>
      </c>
      <c r="X542">
        <v>14</v>
      </c>
      <c r="Y542">
        <v>19</v>
      </c>
      <c r="Z542">
        <v>42.4</v>
      </c>
      <c r="AA542">
        <v>43</v>
      </c>
      <c r="AB542">
        <v>83</v>
      </c>
      <c r="AC542">
        <v>8</v>
      </c>
      <c r="AD542">
        <v>25</v>
      </c>
      <c r="AE542" s="19" t="s">
        <v>60</v>
      </c>
    </row>
    <row r="543" spans="1:31" x14ac:dyDescent="0.2">
      <c r="A543">
        <v>512</v>
      </c>
      <c r="B543" s="19" t="s">
        <v>1337</v>
      </c>
      <c r="C543">
        <v>24</v>
      </c>
      <c r="D543" s="19" t="s">
        <v>342</v>
      </c>
      <c r="E543" s="19" t="s">
        <v>334</v>
      </c>
      <c r="F543">
        <v>27</v>
      </c>
      <c r="G543">
        <v>3</v>
      </c>
      <c r="H543">
        <v>6</v>
      </c>
      <c r="I543">
        <v>9</v>
      </c>
      <c r="J543">
        <v>0</v>
      </c>
      <c r="K543">
        <v>10</v>
      </c>
      <c r="L543">
        <v>3</v>
      </c>
      <c r="M543">
        <v>0</v>
      </c>
      <c r="N543">
        <v>0</v>
      </c>
      <c r="O543">
        <v>0</v>
      </c>
      <c r="P543">
        <v>6</v>
      </c>
      <c r="Q543">
        <v>0</v>
      </c>
      <c r="R543">
        <v>0</v>
      </c>
      <c r="S543">
        <v>30</v>
      </c>
      <c r="T543">
        <v>10</v>
      </c>
      <c r="U543">
        <v>69</v>
      </c>
      <c r="V543" s="19" t="s">
        <v>2810</v>
      </c>
      <c r="W543" s="19" t="s">
        <v>1674</v>
      </c>
      <c r="X543">
        <v>3</v>
      </c>
      <c r="Y543">
        <v>11</v>
      </c>
      <c r="Z543">
        <v>21.4</v>
      </c>
      <c r="AA543">
        <v>11</v>
      </c>
      <c r="AB543">
        <v>29</v>
      </c>
      <c r="AC543">
        <v>1</v>
      </c>
      <c r="AD543">
        <v>20</v>
      </c>
      <c r="AE543" s="19" t="s">
        <v>60</v>
      </c>
    </row>
    <row r="544" spans="1:31" x14ac:dyDescent="0.2">
      <c r="A544">
        <v>513</v>
      </c>
      <c r="B544" s="19" t="s">
        <v>861</v>
      </c>
      <c r="C544">
        <v>26</v>
      </c>
      <c r="D544" s="19" t="s">
        <v>353</v>
      </c>
      <c r="E544" s="19" t="s">
        <v>347</v>
      </c>
      <c r="F544">
        <v>33</v>
      </c>
      <c r="G544">
        <v>0</v>
      </c>
      <c r="H544">
        <v>9</v>
      </c>
      <c r="I544">
        <v>9</v>
      </c>
      <c r="J544">
        <v>3</v>
      </c>
      <c r="K544">
        <v>12</v>
      </c>
      <c r="L544">
        <v>0</v>
      </c>
      <c r="M544">
        <v>0</v>
      </c>
      <c r="N544">
        <v>0</v>
      </c>
      <c r="O544">
        <v>0</v>
      </c>
      <c r="P544">
        <v>7</v>
      </c>
      <c r="Q544">
        <v>2</v>
      </c>
      <c r="R544">
        <v>0</v>
      </c>
      <c r="S544">
        <v>30</v>
      </c>
      <c r="T544">
        <v>0</v>
      </c>
      <c r="U544">
        <v>90</v>
      </c>
      <c r="V544" s="19" t="s">
        <v>2062</v>
      </c>
      <c r="W544" s="19" t="s">
        <v>1601</v>
      </c>
      <c r="X544">
        <v>0</v>
      </c>
      <c r="Y544">
        <v>0</v>
      </c>
      <c r="AA544">
        <v>26</v>
      </c>
      <c r="AB544">
        <v>19</v>
      </c>
      <c r="AC544">
        <v>5</v>
      </c>
      <c r="AD544">
        <v>41</v>
      </c>
      <c r="AE544" s="19" t="s">
        <v>60</v>
      </c>
    </row>
    <row r="545" spans="1:31" x14ac:dyDescent="0.2">
      <c r="A545">
        <v>514</v>
      </c>
      <c r="B545" s="19" t="s">
        <v>1034</v>
      </c>
      <c r="C545">
        <v>28</v>
      </c>
      <c r="D545" s="19" t="s">
        <v>403</v>
      </c>
      <c r="E545" s="19" t="s">
        <v>347</v>
      </c>
      <c r="F545">
        <v>43</v>
      </c>
      <c r="G545">
        <v>1</v>
      </c>
      <c r="H545">
        <v>8</v>
      </c>
      <c r="I545">
        <v>9</v>
      </c>
      <c r="J545">
        <v>2</v>
      </c>
      <c r="K545">
        <v>15</v>
      </c>
      <c r="L545">
        <v>1</v>
      </c>
      <c r="M545">
        <v>0</v>
      </c>
      <c r="N545">
        <v>0</v>
      </c>
      <c r="O545">
        <v>0</v>
      </c>
      <c r="P545">
        <v>8</v>
      </c>
      <c r="Q545">
        <v>0</v>
      </c>
      <c r="R545">
        <v>0</v>
      </c>
      <c r="S545">
        <v>20</v>
      </c>
      <c r="T545">
        <v>5</v>
      </c>
      <c r="U545">
        <v>67</v>
      </c>
      <c r="V545" s="19" t="s">
        <v>2811</v>
      </c>
      <c r="W545" s="19" t="s">
        <v>2812</v>
      </c>
      <c r="X545">
        <v>0</v>
      </c>
      <c r="Y545">
        <v>0</v>
      </c>
      <c r="AA545">
        <v>35</v>
      </c>
      <c r="AB545">
        <v>90</v>
      </c>
      <c r="AC545">
        <v>8</v>
      </c>
      <c r="AD545">
        <v>38</v>
      </c>
      <c r="AE545" s="19" t="s">
        <v>60</v>
      </c>
    </row>
    <row r="546" spans="1:31" x14ac:dyDescent="0.2">
      <c r="A546">
        <v>515</v>
      </c>
      <c r="B546" s="19" t="s">
        <v>901</v>
      </c>
      <c r="C546">
        <v>25</v>
      </c>
      <c r="D546" s="19" t="s">
        <v>393</v>
      </c>
      <c r="E546" s="19" t="s">
        <v>322</v>
      </c>
      <c r="F546">
        <v>36</v>
      </c>
      <c r="G546">
        <v>2</v>
      </c>
      <c r="H546">
        <v>7</v>
      </c>
      <c r="I546">
        <v>9</v>
      </c>
      <c r="J546">
        <v>1</v>
      </c>
      <c r="K546">
        <v>8</v>
      </c>
      <c r="L546">
        <v>2</v>
      </c>
      <c r="M546">
        <v>0</v>
      </c>
      <c r="N546">
        <v>0</v>
      </c>
      <c r="O546">
        <v>0</v>
      </c>
      <c r="P546">
        <v>7</v>
      </c>
      <c r="Q546">
        <v>0</v>
      </c>
      <c r="R546">
        <v>0</v>
      </c>
      <c r="S546">
        <v>38</v>
      </c>
      <c r="T546">
        <v>5.3</v>
      </c>
      <c r="U546">
        <v>73</v>
      </c>
      <c r="V546" s="19" t="s">
        <v>2813</v>
      </c>
      <c r="W546" s="19" t="s">
        <v>2761</v>
      </c>
      <c r="X546">
        <v>98</v>
      </c>
      <c r="Y546">
        <v>106</v>
      </c>
      <c r="Z546">
        <v>48</v>
      </c>
      <c r="AA546">
        <v>14</v>
      </c>
      <c r="AB546">
        <v>57</v>
      </c>
      <c r="AC546">
        <v>3</v>
      </c>
      <c r="AD546">
        <v>24</v>
      </c>
      <c r="AE546" s="19" t="s">
        <v>60</v>
      </c>
    </row>
    <row r="547" spans="1:31" x14ac:dyDescent="0.2">
      <c r="A547">
        <v>516</v>
      </c>
      <c r="B547" s="19" t="s">
        <v>1040</v>
      </c>
      <c r="C547">
        <v>23</v>
      </c>
      <c r="D547" s="19" t="s">
        <v>430</v>
      </c>
      <c r="E547" s="19" t="s">
        <v>347</v>
      </c>
      <c r="F547">
        <v>42</v>
      </c>
      <c r="G547">
        <v>4</v>
      </c>
      <c r="H547">
        <v>5</v>
      </c>
      <c r="I547">
        <v>9</v>
      </c>
      <c r="J547">
        <v>-7</v>
      </c>
      <c r="K547">
        <v>28</v>
      </c>
      <c r="L547">
        <v>4</v>
      </c>
      <c r="M547">
        <v>0</v>
      </c>
      <c r="N547">
        <v>0</v>
      </c>
      <c r="O547">
        <v>1</v>
      </c>
      <c r="P547">
        <v>4</v>
      </c>
      <c r="Q547">
        <v>0</v>
      </c>
      <c r="R547">
        <v>1</v>
      </c>
      <c r="S547">
        <v>47</v>
      </c>
      <c r="T547">
        <v>8.5</v>
      </c>
      <c r="U547">
        <v>102</v>
      </c>
      <c r="V547" s="19" t="s">
        <v>2315</v>
      </c>
      <c r="W547" s="19" t="s">
        <v>1650</v>
      </c>
      <c r="X547">
        <v>0</v>
      </c>
      <c r="Y547">
        <v>0</v>
      </c>
      <c r="AA547">
        <v>72</v>
      </c>
      <c r="AB547">
        <v>56</v>
      </c>
      <c r="AC547">
        <v>4</v>
      </c>
      <c r="AD547">
        <v>41</v>
      </c>
      <c r="AE547" s="19" t="s">
        <v>60</v>
      </c>
    </row>
    <row r="548" spans="1:31" x14ac:dyDescent="0.2">
      <c r="A548">
        <v>517</v>
      </c>
      <c r="B548" s="19" t="s">
        <v>975</v>
      </c>
      <c r="C548">
        <v>28</v>
      </c>
      <c r="D548" s="19" t="s">
        <v>342</v>
      </c>
      <c r="E548" s="19" t="s">
        <v>347</v>
      </c>
      <c r="F548">
        <v>44</v>
      </c>
      <c r="G548">
        <v>0</v>
      </c>
      <c r="H548">
        <v>9</v>
      </c>
      <c r="I548">
        <v>9</v>
      </c>
      <c r="J548">
        <v>1</v>
      </c>
      <c r="K548">
        <v>55</v>
      </c>
      <c r="L548">
        <v>0</v>
      </c>
      <c r="M548">
        <v>0</v>
      </c>
      <c r="N548">
        <v>0</v>
      </c>
      <c r="O548">
        <v>0</v>
      </c>
      <c r="P548">
        <v>9</v>
      </c>
      <c r="Q548">
        <v>0</v>
      </c>
      <c r="R548">
        <v>0</v>
      </c>
      <c r="S548">
        <v>44</v>
      </c>
      <c r="T548">
        <v>0</v>
      </c>
      <c r="U548">
        <v>117</v>
      </c>
      <c r="V548" s="19" t="s">
        <v>2814</v>
      </c>
      <c r="W548" s="19" t="s">
        <v>2815</v>
      </c>
      <c r="X548">
        <v>0</v>
      </c>
      <c r="Y548">
        <v>0</v>
      </c>
      <c r="AA548">
        <v>74</v>
      </c>
      <c r="AB548">
        <v>171</v>
      </c>
      <c r="AC548">
        <v>7</v>
      </c>
      <c r="AD548">
        <v>30</v>
      </c>
      <c r="AE548" s="19" t="s">
        <v>60</v>
      </c>
    </row>
    <row r="549" spans="1:31" x14ac:dyDescent="0.2">
      <c r="A549">
        <v>518</v>
      </c>
      <c r="B549" s="19" t="s">
        <v>1043</v>
      </c>
      <c r="C549">
        <v>27</v>
      </c>
      <c r="D549" s="19" t="s">
        <v>520</v>
      </c>
      <c r="E549" s="19" t="s">
        <v>347</v>
      </c>
      <c r="F549">
        <v>57</v>
      </c>
      <c r="G549">
        <v>2</v>
      </c>
      <c r="H549">
        <v>7</v>
      </c>
      <c r="I549">
        <v>9</v>
      </c>
      <c r="J549">
        <v>16</v>
      </c>
      <c r="K549">
        <v>54</v>
      </c>
      <c r="L549">
        <v>2</v>
      </c>
      <c r="M549">
        <v>0</v>
      </c>
      <c r="N549">
        <v>0</v>
      </c>
      <c r="O549">
        <v>1</v>
      </c>
      <c r="P549">
        <v>6</v>
      </c>
      <c r="Q549">
        <v>0</v>
      </c>
      <c r="R549">
        <v>1</v>
      </c>
      <c r="S549">
        <v>37</v>
      </c>
      <c r="T549">
        <v>5.4</v>
      </c>
      <c r="U549">
        <v>125</v>
      </c>
      <c r="V549" s="19" t="s">
        <v>2816</v>
      </c>
      <c r="W549" s="19" t="s">
        <v>1938</v>
      </c>
      <c r="X549">
        <v>0</v>
      </c>
      <c r="Y549">
        <v>1</v>
      </c>
      <c r="Z549">
        <v>0</v>
      </c>
      <c r="AA549">
        <v>96</v>
      </c>
      <c r="AB549">
        <v>34</v>
      </c>
      <c r="AC549">
        <v>12</v>
      </c>
      <c r="AD549">
        <v>65</v>
      </c>
      <c r="AE549" s="19" t="s">
        <v>60</v>
      </c>
    </row>
    <row r="550" spans="1:31" x14ac:dyDescent="0.2">
      <c r="A550">
        <v>519</v>
      </c>
      <c r="B550" s="19" t="s">
        <v>981</v>
      </c>
      <c r="C550">
        <v>29</v>
      </c>
      <c r="D550" s="19" t="s">
        <v>370</v>
      </c>
      <c r="E550" s="19" t="s">
        <v>347</v>
      </c>
      <c r="F550">
        <v>57</v>
      </c>
      <c r="G550">
        <v>1</v>
      </c>
      <c r="H550">
        <v>8</v>
      </c>
      <c r="I550">
        <v>9</v>
      </c>
      <c r="J550">
        <v>4</v>
      </c>
      <c r="K550">
        <v>45</v>
      </c>
      <c r="L550">
        <v>1</v>
      </c>
      <c r="M550">
        <v>0</v>
      </c>
      <c r="N550">
        <v>0</v>
      </c>
      <c r="O550">
        <v>0</v>
      </c>
      <c r="P550">
        <v>8</v>
      </c>
      <c r="Q550">
        <v>0</v>
      </c>
      <c r="R550">
        <v>0</v>
      </c>
      <c r="S550">
        <v>55</v>
      </c>
      <c r="T550">
        <v>1.8</v>
      </c>
      <c r="U550">
        <v>138</v>
      </c>
      <c r="V550" s="19" t="s">
        <v>2817</v>
      </c>
      <c r="W550" s="19" t="s">
        <v>1932</v>
      </c>
      <c r="X550">
        <v>0</v>
      </c>
      <c r="Y550">
        <v>0</v>
      </c>
      <c r="AA550">
        <v>66</v>
      </c>
      <c r="AB550">
        <v>97</v>
      </c>
      <c r="AC550">
        <v>15</v>
      </c>
      <c r="AD550">
        <v>57</v>
      </c>
      <c r="AE550" s="19" t="s">
        <v>60</v>
      </c>
    </row>
    <row r="551" spans="1:31" x14ac:dyDescent="0.2">
      <c r="A551">
        <v>520</v>
      </c>
      <c r="B551" s="19" t="s">
        <v>780</v>
      </c>
      <c r="C551">
        <v>24</v>
      </c>
      <c r="D551" s="19" t="s">
        <v>336</v>
      </c>
      <c r="E551" s="19" t="s">
        <v>322</v>
      </c>
      <c r="F551">
        <v>29</v>
      </c>
      <c r="G551">
        <v>1</v>
      </c>
      <c r="H551">
        <v>8</v>
      </c>
      <c r="I551">
        <v>9</v>
      </c>
      <c r="J551">
        <v>-2</v>
      </c>
      <c r="K551">
        <v>8</v>
      </c>
      <c r="L551">
        <v>1</v>
      </c>
      <c r="M551">
        <v>0</v>
      </c>
      <c r="N551">
        <v>0</v>
      </c>
      <c r="O551">
        <v>1</v>
      </c>
      <c r="P551">
        <v>8</v>
      </c>
      <c r="Q551">
        <v>0</v>
      </c>
      <c r="R551">
        <v>0</v>
      </c>
      <c r="S551">
        <v>31</v>
      </c>
      <c r="T551">
        <v>3.2</v>
      </c>
      <c r="U551">
        <v>69</v>
      </c>
      <c r="V551" s="19" t="s">
        <v>1839</v>
      </c>
      <c r="W551" s="19" t="s">
        <v>935</v>
      </c>
      <c r="X551">
        <v>11</v>
      </c>
      <c r="Y551">
        <v>17</v>
      </c>
      <c r="Z551">
        <v>39.299999999999997</v>
      </c>
      <c r="AA551">
        <v>8</v>
      </c>
      <c r="AB551">
        <v>53</v>
      </c>
      <c r="AC551">
        <v>1</v>
      </c>
      <c r="AD551">
        <v>14</v>
      </c>
      <c r="AE551" s="19" t="s">
        <v>60</v>
      </c>
    </row>
    <row r="552" spans="1:31" x14ac:dyDescent="0.2">
      <c r="A552">
        <v>521</v>
      </c>
      <c r="B552" s="19" t="s">
        <v>869</v>
      </c>
      <c r="C552">
        <v>36</v>
      </c>
      <c r="D552" s="19" t="s">
        <v>344</v>
      </c>
      <c r="E552" s="19" t="s">
        <v>334</v>
      </c>
      <c r="F552">
        <v>36</v>
      </c>
      <c r="G552">
        <v>0</v>
      </c>
      <c r="H552">
        <v>9</v>
      </c>
      <c r="I552">
        <v>9</v>
      </c>
      <c r="J552">
        <v>-5</v>
      </c>
      <c r="K552">
        <v>6</v>
      </c>
      <c r="L552">
        <v>0</v>
      </c>
      <c r="M552">
        <v>0</v>
      </c>
      <c r="N552">
        <v>0</v>
      </c>
      <c r="O552">
        <v>0</v>
      </c>
      <c r="P552">
        <v>4</v>
      </c>
      <c r="Q552">
        <v>5</v>
      </c>
      <c r="R552">
        <v>0</v>
      </c>
      <c r="S552">
        <v>45</v>
      </c>
      <c r="T552">
        <v>0</v>
      </c>
      <c r="U552">
        <v>87</v>
      </c>
      <c r="V552" s="19" t="s">
        <v>2818</v>
      </c>
      <c r="W552" s="19" t="s">
        <v>1661</v>
      </c>
      <c r="X552">
        <v>8</v>
      </c>
      <c r="Y552">
        <v>11</v>
      </c>
      <c r="Z552">
        <v>42.1</v>
      </c>
      <c r="AA552">
        <v>16</v>
      </c>
      <c r="AB552">
        <v>22</v>
      </c>
      <c r="AC552">
        <v>10</v>
      </c>
      <c r="AD552">
        <v>18</v>
      </c>
      <c r="AE552" s="19" t="s">
        <v>60</v>
      </c>
    </row>
    <row r="553" spans="1:31" x14ac:dyDescent="0.2">
      <c r="A553">
        <v>522</v>
      </c>
      <c r="B553" s="19" t="s">
        <v>1051</v>
      </c>
      <c r="C553">
        <v>23</v>
      </c>
      <c r="D553" s="19" t="s">
        <v>393</v>
      </c>
      <c r="E553" s="19" t="s">
        <v>347</v>
      </c>
      <c r="F553">
        <v>37</v>
      </c>
      <c r="G553">
        <v>1</v>
      </c>
      <c r="H553">
        <v>8</v>
      </c>
      <c r="I553">
        <v>9</v>
      </c>
      <c r="J553">
        <v>5</v>
      </c>
      <c r="K553">
        <v>6</v>
      </c>
      <c r="L553">
        <v>1</v>
      </c>
      <c r="M553">
        <v>0</v>
      </c>
      <c r="N553">
        <v>0</v>
      </c>
      <c r="O553">
        <v>0</v>
      </c>
      <c r="P553">
        <v>8</v>
      </c>
      <c r="Q553">
        <v>0</v>
      </c>
      <c r="R553">
        <v>0</v>
      </c>
      <c r="S553">
        <v>43</v>
      </c>
      <c r="T553">
        <v>2.2999999999999998</v>
      </c>
      <c r="U553">
        <v>121</v>
      </c>
      <c r="V553" s="19" t="s">
        <v>2036</v>
      </c>
      <c r="W553" s="19" t="s">
        <v>1925</v>
      </c>
      <c r="X553">
        <v>0</v>
      </c>
      <c r="Y553">
        <v>0</v>
      </c>
      <c r="AA553">
        <v>21</v>
      </c>
      <c r="AB553">
        <v>9</v>
      </c>
      <c r="AC553">
        <v>5</v>
      </c>
      <c r="AD553">
        <v>31</v>
      </c>
      <c r="AE553" s="19" t="s">
        <v>60</v>
      </c>
    </row>
    <row r="554" spans="1:31" x14ac:dyDescent="0.2">
      <c r="A554">
        <v>523</v>
      </c>
      <c r="B554" s="19" t="s">
        <v>1412</v>
      </c>
      <c r="C554">
        <v>22</v>
      </c>
      <c r="D554" s="19" t="s">
        <v>933</v>
      </c>
      <c r="E554" s="19" t="s">
        <v>338</v>
      </c>
      <c r="F554">
        <v>45</v>
      </c>
      <c r="G554">
        <v>4</v>
      </c>
      <c r="H554">
        <v>5</v>
      </c>
      <c r="I554">
        <v>9</v>
      </c>
      <c r="J554">
        <v>-4</v>
      </c>
      <c r="K554">
        <v>0</v>
      </c>
      <c r="L554">
        <v>4</v>
      </c>
      <c r="M554">
        <v>0</v>
      </c>
      <c r="N554">
        <v>0</v>
      </c>
      <c r="O554">
        <v>0</v>
      </c>
      <c r="P554">
        <v>5</v>
      </c>
      <c r="Q554">
        <v>0</v>
      </c>
      <c r="R554">
        <v>0</v>
      </c>
      <c r="S554">
        <v>59</v>
      </c>
      <c r="T554">
        <v>6.8</v>
      </c>
      <c r="U554">
        <v>129</v>
      </c>
      <c r="V554" s="19" t="s">
        <v>2819</v>
      </c>
      <c r="W554" s="19" t="s">
        <v>1706</v>
      </c>
      <c r="X554">
        <v>6</v>
      </c>
      <c r="Y554">
        <v>9</v>
      </c>
      <c r="Z554">
        <v>40</v>
      </c>
      <c r="AA554">
        <v>25</v>
      </c>
      <c r="AB554">
        <v>55</v>
      </c>
      <c r="AC554">
        <v>5</v>
      </c>
      <c r="AD554">
        <v>22</v>
      </c>
      <c r="AE554" s="19" t="s">
        <v>60</v>
      </c>
    </row>
    <row r="555" spans="1:31" x14ac:dyDescent="0.2">
      <c r="A555">
        <v>523</v>
      </c>
      <c r="B555" s="19" t="s">
        <v>1412</v>
      </c>
      <c r="C555">
        <v>22</v>
      </c>
      <c r="D555" s="19" t="s">
        <v>355</v>
      </c>
      <c r="E555" s="19" t="s">
        <v>338</v>
      </c>
      <c r="F555">
        <v>18</v>
      </c>
      <c r="G555">
        <v>0</v>
      </c>
      <c r="H555">
        <v>0</v>
      </c>
      <c r="I555">
        <v>0</v>
      </c>
      <c r="J555">
        <v>-3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</v>
      </c>
      <c r="T555">
        <v>0</v>
      </c>
      <c r="U555">
        <v>40</v>
      </c>
      <c r="V555" s="19" t="s">
        <v>1517</v>
      </c>
      <c r="W555" s="19" t="s">
        <v>1368</v>
      </c>
      <c r="X555">
        <v>2</v>
      </c>
      <c r="Y555">
        <v>1</v>
      </c>
      <c r="Z555">
        <v>66.7</v>
      </c>
      <c r="AA555">
        <v>8</v>
      </c>
      <c r="AB555">
        <v>29</v>
      </c>
      <c r="AC555">
        <v>1</v>
      </c>
      <c r="AD555">
        <v>7</v>
      </c>
      <c r="AE555" s="19" t="s">
        <v>60</v>
      </c>
    </row>
    <row r="556" spans="1:31" x14ac:dyDescent="0.2">
      <c r="A556">
        <v>523</v>
      </c>
      <c r="B556" s="19" t="s">
        <v>1412</v>
      </c>
      <c r="C556">
        <v>22</v>
      </c>
      <c r="D556" s="19" t="s">
        <v>440</v>
      </c>
      <c r="E556" s="19" t="s">
        <v>338</v>
      </c>
      <c r="F556">
        <v>27</v>
      </c>
      <c r="G556">
        <v>4</v>
      </c>
      <c r="H556">
        <v>5</v>
      </c>
      <c r="I556">
        <v>9</v>
      </c>
      <c r="J556">
        <v>-1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41</v>
      </c>
      <c r="T556">
        <v>9.8000000000000007</v>
      </c>
      <c r="U556">
        <v>89</v>
      </c>
      <c r="V556" s="19" t="s">
        <v>2820</v>
      </c>
      <c r="W556" s="19" t="s">
        <v>2821</v>
      </c>
      <c r="X556">
        <v>4</v>
      </c>
      <c r="Y556">
        <v>8</v>
      </c>
      <c r="Z556">
        <v>33.299999999999997</v>
      </c>
      <c r="AA556">
        <v>17</v>
      </c>
      <c r="AB556">
        <v>26</v>
      </c>
      <c r="AC556">
        <v>4</v>
      </c>
      <c r="AD556">
        <v>15</v>
      </c>
      <c r="AE556" s="19" t="s">
        <v>60</v>
      </c>
    </row>
    <row r="557" spans="1:31" x14ac:dyDescent="0.2">
      <c r="A557">
        <v>524</v>
      </c>
      <c r="B557" s="19" t="s">
        <v>916</v>
      </c>
      <c r="C557">
        <v>33</v>
      </c>
      <c r="D557" s="19" t="s">
        <v>520</v>
      </c>
      <c r="E557" s="19" t="s">
        <v>347</v>
      </c>
      <c r="F557">
        <v>55</v>
      </c>
      <c r="G557">
        <v>3</v>
      </c>
      <c r="H557">
        <v>6</v>
      </c>
      <c r="I557">
        <v>9</v>
      </c>
      <c r="J557">
        <v>8</v>
      </c>
      <c r="K557">
        <v>18</v>
      </c>
      <c r="L557">
        <v>3</v>
      </c>
      <c r="M557">
        <v>0</v>
      </c>
      <c r="N557">
        <v>0</v>
      </c>
      <c r="O557">
        <v>1</v>
      </c>
      <c r="P557">
        <v>6</v>
      </c>
      <c r="Q557">
        <v>0</v>
      </c>
      <c r="R557">
        <v>0</v>
      </c>
      <c r="S557">
        <v>51</v>
      </c>
      <c r="T557">
        <v>5.9</v>
      </c>
      <c r="U557">
        <v>110</v>
      </c>
      <c r="V557" s="19" t="s">
        <v>2822</v>
      </c>
      <c r="W557" s="19" t="s">
        <v>1673</v>
      </c>
      <c r="X557">
        <v>0</v>
      </c>
      <c r="Y557">
        <v>0</v>
      </c>
      <c r="AA557">
        <v>81</v>
      </c>
      <c r="AB557">
        <v>72</v>
      </c>
      <c r="AC557">
        <v>16</v>
      </c>
      <c r="AD557">
        <v>49</v>
      </c>
      <c r="AE557" s="19" t="s">
        <v>60</v>
      </c>
    </row>
    <row r="558" spans="1:31" x14ac:dyDescent="0.2">
      <c r="A558">
        <v>525</v>
      </c>
      <c r="B558" s="19" t="s">
        <v>984</v>
      </c>
      <c r="C558">
        <v>27</v>
      </c>
      <c r="D558" s="19" t="s">
        <v>452</v>
      </c>
      <c r="E558" s="19" t="s">
        <v>347</v>
      </c>
      <c r="F558">
        <v>54</v>
      </c>
      <c r="G558">
        <v>3</v>
      </c>
      <c r="H558">
        <v>6</v>
      </c>
      <c r="I558">
        <v>9</v>
      </c>
      <c r="J558">
        <v>-14</v>
      </c>
      <c r="K558">
        <v>14</v>
      </c>
      <c r="L558">
        <v>3</v>
      </c>
      <c r="M558">
        <v>0</v>
      </c>
      <c r="N558">
        <v>0</v>
      </c>
      <c r="O558">
        <v>0</v>
      </c>
      <c r="P558">
        <v>6</v>
      </c>
      <c r="Q558">
        <v>0</v>
      </c>
      <c r="R558">
        <v>0</v>
      </c>
      <c r="S558">
        <v>55</v>
      </c>
      <c r="T558">
        <v>5.5</v>
      </c>
      <c r="U558">
        <v>136</v>
      </c>
      <c r="V558" s="19" t="s">
        <v>2823</v>
      </c>
      <c r="W558" s="19" t="s">
        <v>858</v>
      </c>
      <c r="X558">
        <v>0</v>
      </c>
      <c r="Y558">
        <v>0</v>
      </c>
      <c r="AA558">
        <v>56</v>
      </c>
      <c r="AB558">
        <v>24</v>
      </c>
      <c r="AC558">
        <v>14</v>
      </c>
      <c r="AD558">
        <v>61</v>
      </c>
      <c r="AE558" s="19" t="s">
        <v>60</v>
      </c>
    </row>
    <row r="559" spans="1:31" x14ac:dyDescent="0.2">
      <c r="A559">
        <v>526</v>
      </c>
      <c r="B559" s="19" t="s">
        <v>782</v>
      </c>
      <c r="C559">
        <v>33</v>
      </c>
      <c r="D559" s="19" t="s">
        <v>333</v>
      </c>
      <c r="E559" s="19" t="s">
        <v>347</v>
      </c>
      <c r="F559">
        <v>51</v>
      </c>
      <c r="G559">
        <v>2</v>
      </c>
      <c r="H559">
        <v>7</v>
      </c>
      <c r="I559">
        <v>9</v>
      </c>
      <c r="J559">
        <v>2</v>
      </c>
      <c r="K559">
        <v>47</v>
      </c>
      <c r="L559">
        <v>2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56</v>
      </c>
      <c r="T559">
        <v>3.6</v>
      </c>
      <c r="U559">
        <v>118</v>
      </c>
      <c r="V559" s="19" t="s">
        <v>2824</v>
      </c>
      <c r="W559" s="19" t="s">
        <v>2825</v>
      </c>
      <c r="X559">
        <v>0</v>
      </c>
      <c r="Y559">
        <v>0</v>
      </c>
      <c r="AA559">
        <v>77</v>
      </c>
      <c r="AB559">
        <v>83</v>
      </c>
      <c r="AC559">
        <v>9</v>
      </c>
      <c r="AD559">
        <v>42</v>
      </c>
      <c r="AE559" s="19" t="s">
        <v>60</v>
      </c>
    </row>
    <row r="560" spans="1:31" x14ac:dyDescent="0.2">
      <c r="A560">
        <v>527</v>
      </c>
      <c r="B560" s="19" t="s">
        <v>1112</v>
      </c>
      <c r="C560">
        <v>26</v>
      </c>
      <c r="D560" s="19" t="s">
        <v>324</v>
      </c>
      <c r="E560" s="19" t="s">
        <v>325</v>
      </c>
      <c r="F560">
        <v>16</v>
      </c>
      <c r="G560">
        <v>8</v>
      </c>
      <c r="H560">
        <v>1</v>
      </c>
      <c r="I560">
        <v>9</v>
      </c>
      <c r="J560">
        <v>3</v>
      </c>
      <c r="K560">
        <v>10</v>
      </c>
      <c r="L560">
        <v>4</v>
      </c>
      <c r="M560">
        <v>4</v>
      </c>
      <c r="N560">
        <v>0</v>
      </c>
      <c r="O560">
        <v>2</v>
      </c>
      <c r="P560">
        <v>1</v>
      </c>
      <c r="Q560">
        <v>0</v>
      </c>
      <c r="R560">
        <v>0</v>
      </c>
      <c r="S560">
        <v>34</v>
      </c>
      <c r="T560">
        <v>23.5</v>
      </c>
      <c r="U560">
        <v>51</v>
      </c>
      <c r="V560" s="19" t="s">
        <v>2130</v>
      </c>
      <c r="W560" s="19" t="s">
        <v>964</v>
      </c>
      <c r="X560">
        <v>9</v>
      </c>
      <c r="Y560">
        <v>5</v>
      </c>
      <c r="Z560">
        <v>64.3</v>
      </c>
      <c r="AA560">
        <v>3</v>
      </c>
      <c r="AB560">
        <v>36</v>
      </c>
      <c r="AC560">
        <v>2</v>
      </c>
      <c r="AD560">
        <v>7</v>
      </c>
      <c r="AE560" s="19" t="s">
        <v>60</v>
      </c>
    </row>
    <row r="561" spans="1:31" x14ac:dyDescent="0.2">
      <c r="A561">
        <v>528</v>
      </c>
      <c r="B561" s="19" t="s">
        <v>786</v>
      </c>
      <c r="C561">
        <v>21</v>
      </c>
      <c r="D561" s="19" t="s">
        <v>329</v>
      </c>
      <c r="E561" s="19" t="s">
        <v>347</v>
      </c>
      <c r="F561">
        <v>31</v>
      </c>
      <c r="G561">
        <v>2</v>
      </c>
      <c r="H561">
        <v>7</v>
      </c>
      <c r="I561">
        <v>9</v>
      </c>
      <c r="J561">
        <v>0</v>
      </c>
      <c r="K561">
        <v>30</v>
      </c>
      <c r="L561">
        <v>2</v>
      </c>
      <c r="M561">
        <v>0</v>
      </c>
      <c r="N561">
        <v>0</v>
      </c>
      <c r="O561">
        <v>1</v>
      </c>
      <c r="P561">
        <v>7</v>
      </c>
      <c r="Q561">
        <v>0</v>
      </c>
      <c r="R561">
        <v>0</v>
      </c>
      <c r="S561">
        <v>48</v>
      </c>
      <c r="T561">
        <v>4.2</v>
      </c>
      <c r="U561">
        <v>128</v>
      </c>
      <c r="V561" s="19" t="s">
        <v>2316</v>
      </c>
      <c r="W561" s="19" t="s">
        <v>1696</v>
      </c>
      <c r="X561">
        <v>0</v>
      </c>
      <c r="Y561">
        <v>0</v>
      </c>
      <c r="AA561">
        <v>36</v>
      </c>
      <c r="AB561">
        <v>28</v>
      </c>
      <c r="AC561">
        <v>7</v>
      </c>
      <c r="AD561">
        <v>41</v>
      </c>
      <c r="AE561" s="19" t="s">
        <v>60</v>
      </c>
    </row>
    <row r="562" spans="1:31" x14ac:dyDescent="0.2">
      <c r="A562">
        <v>529</v>
      </c>
      <c r="B562" s="19" t="s">
        <v>824</v>
      </c>
      <c r="C562">
        <v>33</v>
      </c>
      <c r="D562" s="19" t="s">
        <v>359</v>
      </c>
      <c r="E562" s="19" t="s">
        <v>338</v>
      </c>
      <c r="F562">
        <v>37</v>
      </c>
      <c r="G562">
        <v>1</v>
      </c>
      <c r="H562">
        <v>8</v>
      </c>
      <c r="I562">
        <v>9</v>
      </c>
      <c r="J562">
        <v>-4</v>
      </c>
      <c r="K562">
        <v>8</v>
      </c>
      <c r="L562">
        <v>1</v>
      </c>
      <c r="M562">
        <v>0</v>
      </c>
      <c r="N562">
        <v>0</v>
      </c>
      <c r="O562">
        <v>0</v>
      </c>
      <c r="P562">
        <v>6</v>
      </c>
      <c r="Q562">
        <v>2</v>
      </c>
      <c r="R562">
        <v>0</v>
      </c>
      <c r="S562">
        <v>55</v>
      </c>
      <c r="T562">
        <v>1.8</v>
      </c>
      <c r="U562">
        <v>113</v>
      </c>
      <c r="V562" s="19" t="s">
        <v>1681</v>
      </c>
      <c r="W562" s="19" t="s">
        <v>1618</v>
      </c>
      <c r="X562">
        <v>8</v>
      </c>
      <c r="Y562">
        <v>6</v>
      </c>
      <c r="Z562">
        <v>57.1</v>
      </c>
      <c r="AA562">
        <v>25</v>
      </c>
      <c r="AB562">
        <v>17</v>
      </c>
      <c r="AC562">
        <v>13</v>
      </c>
      <c r="AD562">
        <v>26</v>
      </c>
      <c r="AE562" s="19" t="s">
        <v>60</v>
      </c>
    </row>
    <row r="563" spans="1:31" x14ac:dyDescent="0.2">
      <c r="A563">
        <v>530</v>
      </c>
      <c r="B563" s="19" t="s">
        <v>1120</v>
      </c>
      <c r="C563">
        <v>30</v>
      </c>
      <c r="D563" s="19" t="s">
        <v>355</v>
      </c>
      <c r="E563" s="19" t="s">
        <v>322</v>
      </c>
      <c r="F563">
        <v>35</v>
      </c>
      <c r="G563">
        <v>3</v>
      </c>
      <c r="H563">
        <v>6</v>
      </c>
      <c r="I563">
        <v>9</v>
      </c>
      <c r="J563">
        <v>1</v>
      </c>
      <c r="K563">
        <v>8</v>
      </c>
      <c r="L563">
        <v>3</v>
      </c>
      <c r="M563">
        <v>0</v>
      </c>
      <c r="N563">
        <v>0</v>
      </c>
      <c r="O563">
        <v>0</v>
      </c>
      <c r="P563">
        <v>6</v>
      </c>
      <c r="Q563">
        <v>0</v>
      </c>
      <c r="R563">
        <v>0</v>
      </c>
      <c r="S563">
        <v>30</v>
      </c>
      <c r="T563">
        <v>10</v>
      </c>
      <c r="U563">
        <v>55</v>
      </c>
      <c r="V563" s="19" t="s">
        <v>2317</v>
      </c>
      <c r="W563" s="19" t="s">
        <v>1843</v>
      </c>
      <c r="X563">
        <v>176</v>
      </c>
      <c r="Y563">
        <v>142</v>
      </c>
      <c r="Z563">
        <v>55.3</v>
      </c>
      <c r="AA563">
        <v>15</v>
      </c>
      <c r="AB563">
        <v>35</v>
      </c>
      <c r="AC563">
        <v>7</v>
      </c>
      <c r="AD563">
        <v>14</v>
      </c>
      <c r="AE563" s="19" t="s">
        <v>60</v>
      </c>
    </row>
    <row r="564" spans="1:31" x14ac:dyDescent="0.2">
      <c r="A564">
        <v>531</v>
      </c>
      <c r="B564" s="19" t="s">
        <v>997</v>
      </c>
      <c r="C564">
        <v>22</v>
      </c>
      <c r="D564" s="19" t="s">
        <v>452</v>
      </c>
      <c r="E564" s="19" t="s">
        <v>322</v>
      </c>
      <c r="F564">
        <v>49</v>
      </c>
      <c r="G564">
        <v>2</v>
      </c>
      <c r="H564">
        <v>7</v>
      </c>
      <c r="I564">
        <v>9</v>
      </c>
      <c r="J564">
        <v>-8</v>
      </c>
      <c r="K564">
        <v>14</v>
      </c>
      <c r="L564">
        <v>1</v>
      </c>
      <c r="M564">
        <v>0</v>
      </c>
      <c r="N564">
        <v>1</v>
      </c>
      <c r="O564">
        <v>0</v>
      </c>
      <c r="P564">
        <v>7</v>
      </c>
      <c r="Q564">
        <v>0</v>
      </c>
      <c r="R564">
        <v>0</v>
      </c>
      <c r="S564">
        <v>55</v>
      </c>
      <c r="T564">
        <v>3.6</v>
      </c>
      <c r="U564">
        <v>106</v>
      </c>
      <c r="V564" s="19" t="s">
        <v>2063</v>
      </c>
      <c r="W564" s="19" t="s">
        <v>1732</v>
      </c>
      <c r="X564">
        <v>159</v>
      </c>
      <c r="Y564">
        <v>197</v>
      </c>
      <c r="Z564">
        <v>44.7</v>
      </c>
      <c r="AA564">
        <v>20</v>
      </c>
      <c r="AB564">
        <v>41</v>
      </c>
      <c r="AC564">
        <v>9</v>
      </c>
      <c r="AD564">
        <v>28</v>
      </c>
      <c r="AE564" s="19" t="s">
        <v>60</v>
      </c>
    </row>
    <row r="565" spans="1:31" x14ac:dyDescent="0.2">
      <c r="A565">
        <v>532</v>
      </c>
      <c r="B565" s="19" t="s">
        <v>877</v>
      </c>
      <c r="C565">
        <v>31</v>
      </c>
      <c r="D565" s="19" t="s">
        <v>933</v>
      </c>
      <c r="E565" s="19" t="s">
        <v>347</v>
      </c>
      <c r="F565">
        <v>52</v>
      </c>
      <c r="G565">
        <v>4</v>
      </c>
      <c r="H565">
        <v>5</v>
      </c>
      <c r="I565">
        <v>9</v>
      </c>
      <c r="J565">
        <v>2</v>
      </c>
      <c r="K565">
        <v>22</v>
      </c>
      <c r="L565">
        <v>4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45</v>
      </c>
      <c r="T565">
        <v>8.9</v>
      </c>
      <c r="U565">
        <v>110</v>
      </c>
      <c r="V565" s="19" t="s">
        <v>2826</v>
      </c>
      <c r="W565" s="19" t="s">
        <v>1603</v>
      </c>
      <c r="X565">
        <v>0</v>
      </c>
      <c r="Y565">
        <v>0</v>
      </c>
      <c r="AA565">
        <v>69</v>
      </c>
      <c r="AB565">
        <v>80</v>
      </c>
      <c r="AC565">
        <v>15</v>
      </c>
      <c r="AD565">
        <v>57</v>
      </c>
      <c r="AE565" s="19" t="s">
        <v>60</v>
      </c>
    </row>
    <row r="566" spans="1:31" x14ac:dyDescent="0.2">
      <c r="A566">
        <v>532</v>
      </c>
      <c r="B566" s="19" t="s">
        <v>877</v>
      </c>
      <c r="C566">
        <v>31</v>
      </c>
      <c r="D566" s="19" t="s">
        <v>359</v>
      </c>
      <c r="E566" s="19" t="s">
        <v>347</v>
      </c>
      <c r="F566">
        <v>46</v>
      </c>
      <c r="G566">
        <v>3</v>
      </c>
      <c r="H566">
        <v>5</v>
      </c>
      <c r="I566">
        <v>8</v>
      </c>
      <c r="J566">
        <v>4</v>
      </c>
      <c r="K566">
        <v>18</v>
      </c>
      <c r="L566">
        <v>3</v>
      </c>
      <c r="M566">
        <v>0</v>
      </c>
      <c r="N566">
        <v>0</v>
      </c>
      <c r="O566">
        <v>0</v>
      </c>
      <c r="P566">
        <v>5</v>
      </c>
      <c r="Q566">
        <v>0</v>
      </c>
      <c r="R566">
        <v>0</v>
      </c>
      <c r="S566">
        <v>39</v>
      </c>
      <c r="T566">
        <v>7.7</v>
      </c>
      <c r="U566">
        <v>94</v>
      </c>
      <c r="V566" s="19" t="s">
        <v>1922</v>
      </c>
      <c r="W566" s="19" t="s">
        <v>563</v>
      </c>
      <c r="X566">
        <v>0</v>
      </c>
      <c r="Y566">
        <v>0</v>
      </c>
      <c r="AA566">
        <v>66</v>
      </c>
      <c r="AB566">
        <v>71</v>
      </c>
      <c r="AC566">
        <v>14</v>
      </c>
      <c r="AD566">
        <v>49</v>
      </c>
      <c r="AE566" s="19" t="s">
        <v>60</v>
      </c>
    </row>
    <row r="567" spans="1:31" x14ac:dyDescent="0.2">
      <c r="A567">
        <v>532</v>
      </c>
      <c r="B567" s="19" t="s">
        <v>877</v>
      </c>
      <c r="C567">
        <v>31</v>
      </c>
      <c r="D567" s="19" t="s">
        <v>380</v>
      </c>
      <c r="E567" s="19" t="s">
        <v>347</v>
      </c>
      <c r="F567">
        <v>6</v>
      </c>
      <c r="G567">
        <v>1</v>
      </c>
      <c r="H567">
        <v>0</v>
      </c>
      <c r="I567">
        <v>1</v>
      </c>
      <c r="J567">
        <v>-2</v>
      </c>
      <c r="K567">
        <v>4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6</v>
      </c>
      <c r="T567">
        <v>16.7</v>
      </c>
      <c r="U567">
        <v>16</v>
      </c>
      <c r="V567" s="19" t="s">
        <v>2827</v>
      </c>
      <c r="W567" s="19" t="s">
        <v>2828</v>
      </c>
      <c r="X567">
        <v>0</v>
      </c>
      <c r="Y567">
        <v>0</v>
      </c>
      <c r="AA567">
        <v>3</v>
      </c>
      <c r="AB567">
        <v>9</v>
      </c>
      <c r="AC567">
        <v>1</v>
      </c>
      <c r="AD567">
        <v>8</v>
      </c>
      <c r="AE567" s="19" t="s">
        <v>60</v>
      </c>
    </row>
    <row r="568" spans="1:31" x14ac:dyDescent="0.2">
      <c r="A568">
        <v>533</v>
      </c>
      <c r="B568" s="19" t="s">
        <v>1097</v>
      </c>
      <c r="C568">
        <v>32</v>
      </c>
      <c r="D568" s="19" t="s">
        <v>2829</v>
      </c>
      <c r="E568" s="19" t="s">
        <v>347</v>
      </c>
      <c r="F568">
        <v>57</v>
      </c>
      <c r="G568">
        <v>1</v>
      </c>
      <c r="H568">
        <v>8</v>
      </c>
      <c r="I568">
        <v>9</v>
      </c>
      <c r="J568">
        <v>-4</v>
      </c>
      <c r="K568">
        <v>28</v>
      </c>
      <c r="L568">
        <v>1</v>
      </c>
      <c r="M568">
        <v>0</v>
      </c>
      <c r="N568">
        <v>0</v>
      </c>
      <c r="O568">
        <v>0</v>
      </c>
      <c r="P568">
        <v>8</v>
      </c>
      <c r="Q568">
        <v>0</v>
      </c>
      <c r="R568">
        <v>0</v>
      </c>
      <c r="S568">
        <v>62</v>
      </c>
      <c r="T568">
        <v>1.6</v>
      </c>
      <c r="U568">
        <v>155</v>
      </c>
      <c r="V568" s="19" t="s">
        <v>2830</v>
      </c>
      <c r="W568" s="19" t="s">
        <v>495</v>
      </c>
      <c r="X568">
        <v>0</v>
      </c>
      <c r="Y568">
        <v>0</v>
      </c>
      <c r="AA568">
        <v>80</v>
      </c>
      <c r="AB568">
        <v>9</v>
      </c>
      <c r="AC568">
        <v>9</v>
      </c>
      <c r="AD568">
        <v>40</v>
      </c>
      <c r="AE568" s="19" t="s">
        <v>60</v>
      </c>
    </row>
    <row r="569" spans="1:31" x14ac:dyDescent="0.2">
      <c r="A569">
        <v>533</v>
      </c>
      <c r="B569" s="19" t="s">
        <v>1097</v>
      </c>
      <c r="C569">
        <v>32</v>
      </c>
      <c r="D569" s="19" t="s">
        <v>327</v>
      </c>
      <c r="E569" s="19" t="s">
        <v>347</v>
      </c>
      <c r="F569">
        <v>31</v>
      </c>
      <c r="G569">
        <v>0</v>
      </c>
      <c r="H569">
        <v>2</v>
      </c>
      <c r="I569">
        <v>2</v>
      </c>
      <c r="J569">
        <v>-7</v>
      </c>
      <c r="K569">
        <v>10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0</v>
      </c>
      <c r="S569">
        <v>33</v>
      </c>
      <c r="T569">
        <v>0</v>
      </c>
      <c r="U569">
        <v>87</v>
      </c>
      <c r="V569" s="19" t="s">
        <v>1506</v>
      </c>
      <c r="W569" s="19" t="s">
        <v>1507</v>
      </c>
      <c r="X569">
        <v>0</v>
      </c>
      <c r="Y569">
        <v>0</v>
      </c>
      <c r="AA569">
        <v>38</v>
      </c>
      <c r="AB569">
        <v>4</v>
      </c>
      <c r="AC569">
        <v>5</v>
      </c>
      <c r="AD569">
        <v>18</v>
      </c>
      <c r="AE569" s="19" t="s">
        <v>60</v>
      </c>
    </row>
    <row r="570" spans="1:31" x14ac:dyDescent="0.2">
      <c r="A570">
        <v>533</v>
      </c>
      <c r="B570" s="19" t="s">
        <v>1097</v>
      </c>
      <c r="C570">
        <v>32</v>
      </c>
      <c r="D570" s="19" t="s">
        <v>373</v>
      </c>
      <c r="E570" s="19" t="s">
        <v>347</v>
      </c>
      <c r="F570">
        <v>25</v>
      </c>
      <c r="G570">
        <v>1</v>
      </c>
      <c r="H570">
        <v>6</v>
      </c>
      <c r="I570">
        <v>7</v>
      </c>
      <c r="J570">
        <v>2</v>
      </c>
      <c r="K570">
        <v>18</v>
      </c>
      <c r="L570">
        <v>1</v>
      </c>
      <c r="M570">
        <v>0</v>
      </c>
      <c r="N570">
        <v>0</v>
      </c>
      <c r="O570">
        <v>0</v>
      </c>
      <c r="P570">
        <v>6</v>
      </c>
      <c r="Q570">
        <v>0</v>
      </c>
      <c r="R570">
        <v>0</v>
      </c>
      <c r="S570">
        <v>29</v>
      </c>
      <c r="T570">
        <v>3.4</v>
      </c>
      <c r="U570">
        <v>68</v>
      </c>
      <c r="V570" s="19" t="s">
        <v>2831</v>
      </c>
      <c r="W570" s="19" t="s">
        <v>2832</v>
      </c>
      <c r="X570">
        <v>0</v>
      </c>
      <c r="Y570">
        <v>0</v>
      </c>
      <c r="AA570">
        <v>39</v>
      </c>
      <c r="AB570">
        <v>5</v>
      </c>
      <c r="AC570">
        <v>3</v>
      </c>
      <c r="AD570">
        <v>22</v>
      </c>
      <c r="AE570" s="19" t="s">
        <v>60</v>
      </c>
    </row>
    <row r="571" spans="1:31" x14ac:dyDescent="0.2">
      <c r="A571">
        <v>533</v>
      </c>
      <c r="B571" s="19" t="s">
        <v>1097</v>
      </c>
      <c r="C571">
        <v>32</v>
      </c>
      <c r="D571" s="19" t="s">
        <v>321</v>
      </c>
      <c r="E571" s="19" t="s">
        <v>347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V571" s="19" t="s">
        <v>2570</v>
      </c>
      <c r="W571" s="19" t="s">
        <v>2570</v>
      </c>
      <c r="X571">
        <v>0</v>
      </c>
      <c r="Y571">
        <v>0</v>
      </c>
      <c r="AA571">
        <v>3</v>
      </c>
      <c r="AB571">
        <v>0</v>
      </c>
      <c r="AC571">
        <v>1</v>
      </c>
      <c r="AD571">
        <v>0</v>
      </c>
      <c r="AE571" s="19" t="s">
        <v>60</v>
      </c>
    </row>
    <row r="572" spans="1:31" x14ac:dyDescent="0.2">
      <c r="A572">
        <v>534</v>
      </c>
      <c r="B572" s="19" t="s">
        <v>941</v>
      </c>
      <c r="C572">
        <v>25</v>
      </c>
      <c r="D572" s="19" t="s">
        <v>333</v>
      </c>
      <c r="E572" s="19" t="s">
        <v>322</v>
      </c>
      <c r="F572">
        <v>48</v>
      </c>
      <c r="G572">
        <v>4</v>
      </c>
      <c r="H572">
        <v>4</v>
      </c>
      <c r="I572">
        <v>8</v>
      </c>
      <c r="J572">
        <v>3</v>
      </c>
      <c r="K572">
        <v>6</v>
      </c>
      <c r="L572">
        <v>3</v>
      </c>
      <c r="M572">
        <v>0</v>
      </c>
      <c r="N572">
        <v>1</v>
      </c>
      <c r="O572">
        <v>1</v>
      </c>
      <c r="P572">
        <v>4</v>
      </c>
      <c r="Q572">
        <v>0</v>
      </c>
      <c r="R572">
        <v>0</v>
      </c>
      <c r="S572">
        <v>26</v>
      </c>
      <c r="T572">
        <v>15.4</v>
      </c>
      <c r="U572">
        <v>51</v>
      </c>
      <c r="V572" s="19" t="s">
        <v>2833</v>
      </c>
      <c r="W572" s="19" t="s">
        <v>935</v>
      </c>
      <c r="X572">
        <v>15</v>
      </c>
      <c r="Y572">
        <v>17</v>
      </c>
      <c r="Z572">
        <v>46.9</v>
      </c>
      <c r="AA572">
        <v>26</v>
      </c>
      <c r="AB572">
        <v>18</v>
      </c>
      <c r="AC572">
        <v>8</v>
      </c>
      <c r="AD572">
        <v>30</v>
      </c>
      <c r="AE572" s="19" t="s">
        <v>60</v>
      </c>
    </row>
    <row r="573" spans="1:31" x14ac:dyDescent="0.2">
      <c r="A573">
        <v>535</v>
      </c>
      <c r="B573" s="19" t="s">
        <v>1134</v>
      </c>
      <c r="C573">
        <v>31</v>
      </c>
      <c r="D573" s="19" t="s">
        <v>440</v>
      </c>
      <c r="E573" s="19" t="s">
        <v>322</v>
      </c>
      <c r="F573">
        <v>11</v>
      </c>
      <c r="G573">
        <v>5</v>
      </c>
      <c r="H573">
        <v>3</v>
      </c>
      <c r="I573">
        <v>8</v>
      </c>
      <c r="J573">
        <v>2</v>
      </c>
      <c r="K573">
        <v>2</v>
      </c>
      <c r="L573">
        <v>3</v>
      </c>
      <c r="M573">
        <v>0</v>
      </c>
      <c r="N573">
        <v>2</v>
      </c>
      <c r="O573">
        <v>1</v>
      </c>
      <c r="P573">
        <v>3</v>
      </c>
      <c r="Q573">
        <v>0</v>
      </c>
      <c r="R573">
        <v>0</v>
      </c>
      <c r="S573">
        <v>21</v>
      </c>
      <c r="T573">
        <v>23.8</v>
      </c>
      <c r="U573">
        <v>33</v>
      </c>
      <c r="V573" s="19" t="s">
        <v>2834</v>
      </c>
      <c r="W573" s="19" t="s">
        <v>904</v>
      </c>
      <c r="X573">
        <v>70</v>
      </c>
      <c r="Y573">
        <v>84</v>
      </c>
      <c r="Z573">
        <v>45.5</v>
      </c>
      <c r="AA573">
        <v>4</v>
      </c>
      <c r="AB573">
        <v>26</v>
      </c>
      <c r="AC573">
        <v>2</v>
      </c>
      <c r="AD573">
        <v>10</v>
      </c>
      <c r="AE573" s="19" t="s">
        <v>60</v>
      </c>
    </row>
    <row r="574" spans="1:31" x14ac:dyDescent="0.2">
      <c r="A574">
        <v>536</v>
      </c>
      <c r="B574" s="19" t="s">
        <v>838</v>
      </c>
      <c r="C574">
        <v>27</v>
      </c>
      <c r="D574" s="19" t="s">
        <v>370</v>
      </c>
      <c r="E574" s="19" t="s">
        <v>322</v>
      </c>
      <c r="F574">
        <v>51</v>
      </c>
      <c r="G574">
        <v>3</v>
      </c>
      <c r="H574">
        <v>5</v>
      </c>
      <c r="I574">
        <v>8</v>
      </c>
      <c r="J574">
        <v>-7</v>
      </c>
      <c r="K574">
        <v>16</v>
      </c>
      <c r="L574">
        <v>3</v>
      </c>
      <c r="M574">
        <v>0</v>
      </c>
      <c r="N574">
        <v>0</v>
      </c>
      <c r="O574">
        <v>1</v>
      </c>
      <c r="P574">
        <v>4</v>
      </c>
      <c r="Q574">
        <v>1</v>
      </c>
      <c r="R574">
        <v>0</v>
      </c>
      <c r="S574">
        <v>41</v>
      </c>
      <c r="T574">
        <v>7.3</v>
      </c>
      <c r="U574">
        <v>83</v>
      </c>
      <c r="V574" s="19" t="s">
        <v>2835</v>
      </c>
      <c r="W574" s="19" t="s">
        <v>2836</v>
      </c>
      <c r="X574">
        <v>24</v>
      </c>
      <c r="Y574">
        <v>51</v>
      </c>
      <c r="Z574">
        <v>32</v>
      </c>
      <c r="AA574">
        <v>24</v>
      </c>
      <c r="AB574">
        <v>100</v>
      </c>
      <c r="AC574">
        <v>4</v>
      </c>
      <c r="AD574">
        <v>33</v>
      </c>
      <c r="AE574" s="19" t="s">
        <v>60</v>
      </c>
    </row>
    <row r="575" spans="1:31" x14ac:dyDescent="0.2">
      <c r="A575">
        <v>537</v>
      </c>
      <c r="B575" s="19" t="s">
        <v>841</v>
      </c>
      <c r="C575">
        <v>32</v>
      </c>
      <c r="D575" s="19" t="s">
        <v>415</v>
      </c>
      <c r="E575" s="19" t="s">
        <v>347</v>
      </c>
      <c r="F575">
        <v>57</v>
      </c>
      <c r="G575">
        <v>1</v>
      </c>
      <c r="H575">
        <v>7</v>
      </c>
      <c r="I575">
        <v>8</v>
      </c>
      <c r="J575">
        <v>-4</v>
      </c>
      <c r="K575">
        <v>10</v>
      </c>
      <c r="L575">
        <v>1</v>
      </c>
      <c r="M575">
        <v>0</v>
      </c>
      <c r="N575">
        <v>0</v>
      </c>
      <c r="O575">
        <v>0</v>
      </c>
      <c r="P575">
        <v>6</v>
      </c>
      <c r="Q575">
        <v>0</v>
      </c>
      <c r="R575">
        <v>1</v>
      </c>
      <c r="S575">
        <v>43</v>
      </c>
      <c r="T575">
        <v>2.2999999999999998</v>
      </c>
      <c r="U575">
        <v>134</v>
      </c>
      <c r="V575" s="19" t="s">
        <v>2837</v>
      </c>
      <c r="W575" s="19" t="s">
        <v>2838</v>
      </c>
      <c r="X575">
        <v>0</v>
      </c>
      <c r="Y575">
        <v>0</v>
      </c>
      <c r="AA575">
        <v>75</v>
      </c>
      <c r="AB575">
        <v>23</v>
      </c>
      <c r="AC575">
        <v>12</v>
      </c>
      <c r="AD575">
        <v>43</v>
      </c>
      <c r="AE575" s="19" t="s">
        <v>60</v>
      </c>
    </row>
    <row r="576" spans="1:31" x14ac:dyDescent="0.2">
      <c r="A576">
        <v>538</v>
      </c>
      <c r="B576" s="19" t="s">
        <v>953</v>
      </c>
      <c r="C576">
        <v>27</v>
      </c>
      <c r="D576" s="19" t="s">
        <v>377</v>
      </c>
      <c r="E576" s="19" t="s">
        <v>347</v>
      </c>
      <c r="F576">
        <v>50</v>
      </c>
      <c r="G576">
        <v>4</v>
      </c>
      <c r="H576">
        <v>4</v>
      </c>
      <c r="I576">
        <v>8</v>
      </c>
      <c r="J576">
        <v>-11</v>
      </c>
      <c r="K576">
        <v>18</v>
      </c>
      <c r="L576">
        <v>4</v>
      </c>
      <c r="M576">
        <v>0</v>
      </c>
      <c r="N576">
        <v>0</v>
      </c>
      <c r="O576">
        <v>1</v>
      </c>
      <c r="P576">
        <v>4</v>
      </c>
      <c r="Q576">
        <v>0</v>
      </c>
      <c r="R576">
        <v>0</v>
      </c>
      <c r="S576">
        <v>52</v>
      </c>
      <c r="T576">
        <v>7.7</v>
      </c>
      <c r="U576">
        <v>126</v>
      </c>
      <c r="V576" s="19" t="s">
        <v>2318</v>
      </c>
      <c r="W576" s="19" t="s">
        <v>1821</v>
      </c>
      <c r="X576">
        <v>0</v>
      </c>
      <c r="Y576">
        <v>0</v>
      </c>
      <c r="AA576">
        <v>84</v>
      </c>
      <c r="AB576">
        <v>42</v>
      </c>
      <c r="AC576">
        <v>12</v>
      </c>
      <c r="AD576">
        <v>42</v>
      </c>
      <c r="AE576" s="19" t="s">
        <v>60</v>
      </c>
    </row>
    <row r="577" spans="1:31" x14ac:dyDescent="0.2">
      <c r="A577">
        <v>539</v>
      </c>
      <c r="B577" s="19" t="s">
        <v>850</v>
      </c>
      <c r="C577">
        <v>29</v>
      </c>
      <c r="D577" s="19" t="s">
        <v>415</v>
      </c>
      <c r="E577" s="19" t="s">
        <v>338</v>
      </c>
      <c r="F577">
        <v>44</v>
      </c>
      <c r="G577">
        <v>6</v>
      </c>
      <c r="H577">
        <v>2</v>
      </c>
      <c r="I577">
        <v>8</v>
      </c>
      <c r="J577">
        <v>-6</v>
      </c>
      <c r="K577">
        <v>14</v>
      </c>
      <c r="L577">
        <v>6</v>
      </c>
      <c r="M577">
        <v>0</v>
      </c>
      <c r="N577">
        <v>0</v>
      </c>
      <c r="O577">
        <v>1</v>
      </c>
      <c r="P577">
        <v>2</v>
      </c>
      <c r="Q577">
        <v>0</v>
      </c>
      <c r="R577">
        <v>0</v>
      </c>
      <c r="S577">
        <v>73</v>
      </c>
      <c r="T577">
        <v>8.1999999999999993</v>
      </c>
      <c r="U577">
        <v>155</v>
      </c>
      <c r="V577" s="19" t="s">
        <v>2839</v>
      </c>
      <c r="W577" s="19" t="s">
        <v>1849</v>
      </c>
      <c r="X577">
        <v>9</v>
      </c>
      <c r="Y577">
        <v>15</v>
      </c>
      <c r="Z577">
        <v>37.5</v>
      </c>
      <c r="AA577">
        <v>9</v>
      </c>
      <c r="AB577">
        <v>46</v>
      </c>
      <c r="AC577">
        <v>11</v>
      </c>
      <c r="AD577">
        <v>49</v>
      </c>
      <c r="AE577" s="19" t="s">
        <v>60</v>
      </c>
    </row>
    <row r="578" spans="1:31" x14ac:dyDescent="0.2">
      <c r="A578">
        <v>540</v>
      </c>
      <c r="B578" s="19" t="s">
        <v>896</v>
      </c>
      <c r="C578">
        <v>33</v>
      </c>
      <c r="D578" s="19" t="s">
        <v>327</v>
      </c>
      <c r="E578" s="19" t="s">
        <v>322</v>
      </c>
      <c r="F578">
        <v>43</v>
      </c>
      <c r="G578">
        <v>1</v>
      </c>
      <c r="H578">
        <v>7</v>
      </c>
      <c r="I578">
        <v>8</v>
      </c>
      <c r="J578">
        <v>-8</v>
      </c>
      <c r="K578">
        <v>22</v>
      </c>
      <c r="L578">
        <v>1</v>
      </c>
      <c r="M578">
        <v>0</v>
      </c>
      <c r="N578">
        <v>0</v>
      </c>
      <c r="O578">
        <v>0</v>
      </c>
      <c r="P578">
        <v>6</v>
      </c>
      <c r="Q578">
        <v>0</v>
      </c>
      <c r="R578">
        <v>1</v>
      </c>
      <c r="S578">
        <v>24</v>
      </c>
      <c r="T578">
        <v>4.2</v>
      </c>
      <c r="U578">
        <v>53</v>
      </c>
      <c r="V578" s="19" t="s">
        <v>2840</v>
      </c>
      <c r="W578" s="19" t="s">
        <v>1602</v>
      </c>
      <c r="X578">
        <v>7</v>
      </c>
      <c r="Y578">
        <v>12</v>
      </c>
      <c r="Z578">
        <v>36.799999999999997</v>
      </c>
      <c r="AA578">
        <v>13</v>
      </c>
      <c r="AB578">
        <v>10</v>
      </c>
      <c r="AC578">
        <v>5</v>
      </c>
      <c r="AD578">
        <v>14</v>
      </c>
      <c r="AE578" s="19" t="s">
        <v>60</v>
      </c>
    </row>
    <row r="579" spans="1:31" x14ac:dyDescent="0.2">
      <c r="A579">
        <v>541</v>
      </c>
      <c r="B579" s="19" t="s">
        <v>970</v>
      </c>
      <c r="C579">
        <v>27</v>
      </c>
      <c r="D579" s="19" t="s">
        <v>452</v>
      </c>
      <c r="E579" s="19" t="s">
        <v>322</v>
      </c>
      <c r="F579">
        <v>44</v>
      </c>
      <c r="G579">
        <v>3</v>
      </c>
      <c r="H579">
        <v>5</v>
      </c>
      <c r="I579">
        <v>8</v>
      </c>
      <c r="J579">
        <v>-16</v>
      </c>
      <c r="K579">
        <v>16</v>
      </c>
      <c r="L579">
        <v>3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48</v>
      </c>
      <c r="T579">
        <v>6.3</v>
      </c>
      <c r="U579">
        <v>94</v>
      </c>
      <c r="V579" s="19" t="s">
        <v>2841</v>
      </c>
      <c r="W579" s="19" t="s">
        <v>2752</v>
      </c>
      <c r="X579">
        <v>24</v>
      </c>
      <c r="Y579">
        <v>35</v>
      </c>
      <c r="Z579">
        <v>40.700000000000003</v>
      </c>
      <c r="AA579">
        <v>13</v>
      </c>
      <c r="AB579">
        <v>49</v>
      </c>
      <c r="AC579">
        <v>13</v>
      </c>
      <c r="AD579">
        <v>18</v>
      </c>
      <c r="AE579" s="19" t="s">
        <v>60</v>
      </c>
    </row>
    <row r="580" spans="1:31" x14ac:dyDescent="0.2">
      <c r="A580">
        <v>542</v>
      </c>
      <c r="B580" s="19" t="s">
        <v>898</v>
      </c>
      <c r="C580">
        <v>24</v>
      </c>
      <c r="D580" s="19" t="s">
        <v>520</v>
      </c>
      <c r="E580" s="19" t="s">
        <v>325</v>
      </c>
      <c r="F580">
        <v>40</v>
      </c>
      <c r="G580">
        <v>3</v>
      </c>
      <c r="H580">
        <v>5</v>
      </c>
      <c r="I580">
        <v>8</v>
      </c>
      <c r="J580">
        <v>-6</v>
      </c>
      <c r="K580">
        <v>21</v>
      </c>
      <c r="L580">
        <v>3</v>
      </c>
      <c r="M580">
        <v>0</v>
      </c>
      <c r="N580">
        <v>0</v>
      </c>
      <c r="O580">
        <v>0</v>
      </c>
      <c r="P580">
        <v>5</v>
      </c>
      <c r="Q580">
        <v>0</v>
      </c>
      <c r="R580">
        <v>0</v>
      </c>
      <c r="S580">
        <v>29</v>
      </c>
      <c r="T580">
        <v>10.3</v>
      </c>
      <c r="U580">
        <v>75</v>
      </c>
      <c r="V580" s="19" t="s">
        <v>2319</v>
      </c>
      <c r="W580" s="19" t="s">
        <v>1544</v>
      </c>
      <c r="X580">
        <v>3</v>
      </c>
      <c r="Y580">
        <v>9</v>
      </c>
      <c r="Z580">
        <v>25</v>
      </c>
      <c r="AA580">
        <v>24</v>
      </c>
      <c r="AB580">
        <v>98</v>
      </c>
      <c r="AC580">
        <v>9</v>
      </c>
      <c r="AD580">
        <v>19</v>
      </c>
      <c r="AE580" s="19" t="s">
        <v>60</v>
      </c>
    </row>
    <row r="581" spans="1:31" x14ac:dyDescent="0.2">
      <c r="A581">
        <v>543</v>
      </c>
      <c r="B581" s="19" t="s">
        <v>1194</v>
      </c>
      <c r="C581">
        <v>31</v>
      </c>
      <c r="D581" s="19" t="s">
        <v>430</v>
      </c>
      <c r="E581" s="19" t="s">
        <v>338</v>
      </c>
      <c r="F581">
        <v>50</v>
      </c>
      <c r="G581">
        <v>4</v>
      </c>
      <c r="H581">
        <v>4</v>
      </c>
      <c r="I581">
        <v>8</v>
      </c>
      <c r="J581">
        <v>0</v>
      </c>
      <c r="K581">
        <v>59</v>
      </c>
      <c r="L581">
        <v>4</v>
      </c>
      <c r="M581">
        <v>0</v>
      </c>
      <c r="N581">
        <v>0</v>
      </c>
      <c r="O581">
        <v>1</v>
      </c>
      <c r="P581">
        <v>4</v>
      </c>
      <c r="Q581">
        <v>0</v>
      </c>
      <c r="R581">
        <v>0</v>
      </c>
      <c r="S581">
        <v>48</v>
      </c>
      <c r="T581">
        <v>8.3000000000000007</v>
      </c>
      <c r="U581">
        <v>87</v>
      </c>
      <c r="V581" s="19" t="s">
        <v>2320</v>
      </c>
      <c r="W581" s="19" t="s">
        <v>1804</v>
      </c>
      <c r="X581">
        <v>4</v>
      </c>
      <c r="Y581">
        <v>8</v>
      </c>
      <c r="Z581">
        <v>33.299999999999997</v>
      </c>
      <c r="AA581">
        <v>15</v>
      </c>
      <c r="AB581">
        <v>117</v>
      </c>
      <c r="AC581">
        <v>2</v>
      </c>
      <c r="AD581">
        <v>17</v>
      </c>
      <c r="AE581" s="19" t="s">
        <v>60</v>
      </c>
    </row>
    <row r="582" spans="1:31" x14ac:dyDescent="0.2">
      <c r="A582">
        <v>544</v>
      </c>
      <c r="B582" s="19" t="s">
        <v>910</v>
      </c>
      <c r="C582">
        <v>27</v>
      </c>
      <c r="D582" s="19" t="s">
        <v>423</v>
      </c>
      <c r="E582" s="19" t="s">
        <v>338</v>
      </c>
      <c r="F582">
        <v>57</v>
      </c>
      <c r="G582">
        <v>4</v>
      </c>
      <c r="H582">
        <v>4</v>
      </c>
      <c r="I582">
        <v>8</v>
      </c>
      <c r="J582">
        <v>-7</v>
      </c>
      <c r="K582">
        <v>20</v>
      </c>
      <c r="L582">
        <v>3</v>
      </c>
      <c r="M582">
        <v>0</v>
      </c>
      <c r="N582">
        <v>1</v>
      </c>
      <c r="O582">
        <v>0</v>
      </c>
      <c r="P582">
        <v>4</v>
      </c>
      <c r="Q582">
        <v>0</v>
      </c>
      <c r="R582">
        <v>0</v>
      </c>
      <c r="S582">
        <v>49</v>
      </c>
      <c r="T582">
        <v>8.1999999999999993</v>
      </c>
      <c r="U582">
        <v>85</v>
      </c>
      <c r="V582" s="19" t="s">
        <v>2842</v>
      </c>
      <c r="W582" s="19" t="s">
        <v>1843</v>
      </c>
      <c r="X582">
        <v>5</v>
      </c>
      <c r="Y582">
        <v>9</v>
      </c>
      <c r="Z582">
        <v>35.700000000000003</v>
      </c>
      <c r="AA582">
        <v>56</v>
      </c>
      <c r="AB582">
        <v>201</v>
      </c>
      <c r="AC582">
        <v>9</v>
      </c>
      <c r="AD582">
        <v>27</v>
      </c>
      <c r="AE582" s="19" t="s">
        <v>60</v>
      </c>
    </row>
    <row r="583" spans="1:31" x14ac:dyDescent="0.2">
      <c r="A583">
        <v>545</v>
      </c>
      <c r="B583" s="19" t="s">
        <v>1107</v>
      </c>
      <c r="C583">
        <v>29</v>
      </c>
      <c r="D583" s="19" t="s">
        <v>415</v>
      </c>
      <c r="E583" s="19" t="s">
        <v>325</v>
      </c>
      <c r="F583">
        <v>40</v>
      </c>
      <c r="G583">
        <v>3</v>
      </c>
      <c r="H583">
        <v>5</v>
      </c>
      <c r="I583">
        <v>8</v>
      </c>
      <c r="J583">
        <v>-5</v>
      </c>
      <c r="K583">
        <v>39</v>
      </c>
      <c r="L583">
        <v>3</v>
      </c>
      <c r="M583">
        <v>0</v>
      </c>
      <c r="N583">
        <v>0</v>
      </c>
      <c r="O583">
        <v>0</v>
      </c>
      <c r="P583">
        <v>5</v>
      </c>
      <c r="Q583">
        <v>0</v>
      </c>
      <c r="R583">
        <v>0</v>
      </c>
      <c r="S583">
        <v>38</v>
      </c>
      <c r="T583">
        <v>7.9</v>
      </c>
      <c r="U583">
        <v>86</v>
      </c>
      <c r="V583" s="19" t="s">
        <v>2843</v>
      </c>
      <c r="W583" s="19" t="s">
        <v>1348</v>
      </c>
      <c r="X583">
        <v>2</v>
      </c>
      <c r="Y583">
        <v>6</v>
      </c>
      <c r="Z583">
        <v>25</v>
      </c>
      <c r="AA583">
        <v>19</v>
      </c>
      <c r="AB583">
        <v>123</v>
      </c>
      <c r="AC583">
        <v>6</v>
      </c>
      <c r="AD583">
        <v>15</v>
      </c>
      <c r="AE583" s="19" t="s">
        <v>60</v>
      </c>
    </row>
    <row r="584" spans="1:31" x14ac:dyDescent="0.2">
      <c r="A584">
        <v>546</v>
      </c>
      <c r="B584" s="19" t="s">
        <v>1046</v>
      </c>
      <c r="C584">
        <v>33</v>
      </c>
      <c r="D584" s="19" t="s">
        <v>380</v>
      </c>
      <c r="E584" s="19" t="s">
        <v>347</v>
      </c>
      <c r="F584">
        <v>56</v>
      </c>
      <c r="G584">
        <v>1</v>
      </c>
      <c r="H584">
        <v>7</v>
      </c>
      <c r="I584">
        <v>8</v>
      </c>
      <c r="J584">
        <v>-3</v>
      </c>
      <c r="K584">
        <v>72</v>
      </c>
      <c r="L584">
        <v>1</v>
      </c>
      <c r="M584">
        <v>0</v>
      </c>
      <c r="N584">
        <v>0</v>
      </c>
      <c r="O584">
        <v>0</v>
      </c>
      <c r="P584">
        <v>7</v>
      </c>
      <c r="Q584">
        <v>0</v>
      </c>
      <c r="R584">
        <v>0</v>
      </c>
      <c r="S584">
        <v>49</v>
      </c>
      <c r="T584">
        <v>2</v>
      </c>
      <c r="U584">
        <v>135</v>
      </c>
      <c r="V584" s="19" t="s">
        <v>2844</v>
      </c>
      <c r="W584" s="19" t="s">
        <v>603</v>
      </c>
      <c r="X584">
        <v>0</v>
      </c>
      <c r="Y584">
        <v>0</v>
      </c>
      <c r="AA584">
        <v>66</v>
      </c>
      <c r="AB584">
        <v>55</v>
      </c>
      <c r="AC584">
        <v>11</v>
      </c>
      <c r="AD584">
        <v>46</v>
      </c>
      <c r="AE584" s="19" t="s">
        <v>60</v>
      </c>
    </row>
    <row r="585" spans="1:31" x14ac:dyDescent="0.2">
      <c r="A585">
        <v>547</v>
      </c>
      <c r="B585" s="19" t="s">
        <v>868</v>
      </c>
      <c r="C585">
        <v>29</v>
      </c>
      <c r="D585" s="19" t="s">
        <v>364</v>
      </c>
      <c r="E585" s="19" t="s">
        <v>338</v>
      </c>
      <c r="F585">
        <v>31</v>
      </c>
      <c r="G585">
        <v>4</v>
      </c>
      <c r="H585">
        <v>4</v>
      </c>
      <c r="I585">
        <v>8</v>
      </c>
      <c r="J585">
        <v>0</v>
      </c>
      <c r="K585">
        <v>4</v>
      </c>
      <c r="L585">
        <v>4</v>
      </c>
      <c r="M585">
        <v>0</v>
      </c>
      <c r="N585">
        <v>0</v>
      </c>
      <c r="O585">
        <v>2</v>
      </c>
      <c r="P585">
        <v>4</v>
      </c>
      <c r="Q585">
        <v>0</v>
      </c>
      <c r="R585">
        <v>0</v>
      </c>
      <c r="S585">
        <v>33</v>
      </c>
      <c r="T585">
        <v>12.1</v>
      </c>
      <c r="U585">
        <v>57</v>
      </c>
      <c r="V585" s="19" t="s">
        <v>2153</v>
      </c>
      <c r="W585" s="19" t="s">
        <v>1901</v>
      </c>
      <c r="X585">
        <v>8</v>
      </c>
      <c r="Y585">
        <v>4</v>
      </c>
      <c r="Z585">
        <v>66.7</v>
      </c>
      <c r="AA585">
        <v>3</v>
      </c>
      <c r="AB585">
        <v>9</v>
      </c>
      <c r="AC585">
        <v>4</v>
      </c>
      <c r="AD585">
        <v>19</v>
      </c>
      <c r="AE585" s="19" t="s">
        <v>60</v>
      </c>
    </row>
    <row r="586" spans="1:31" x14ac:dyDescent="0.2">
      <c r="A586">
        <v>548</v>
      </c>
      <c r="B586" s="19" t="s">
        <v>1048</v>
      </c>
      <c r="C586">
        <v>18</v>
      </c>
      <c r="D586" s="19" t="s">
        <v>324</v>
      </c>
      <c r="E586" s="19" t="s">
        <v>325</v>
      </c>
      <c r="F586">
        <v>18</v>
      </c>
      <c r="G586">
        <v>2</v>
      </c>
      <c r="H586">
        <v>6</v>
      </c>
      <c r="I586">
        <v>8</v>
      </c>
      <c r="J586">
        <v>1</v>
      </c>
      <c r="K586">
        <v>4</v>
      </c>
      <c r="L586">
        <v>2</v>
      </c>
      <c r="M586">
        <v>0</v>
      </c>
      <c r="N586">
        <v>0</v>
      </c>
      <c r="O586">
        <v>0</v>
      </c>
      <c r="P586">
        <v>5</v>
      </c>
      <c r="Q586">
        <v>1</v>
      </c>
      <c r="R586">
        <v>0</v>
      </c>
      <c r="S586">
        <v>23</v>
      </c>
      <c r="T586">
        <v>8.6999999999999993</v>
      </c>
      <c r="U586">
        <v>44</v>
      </c>
      <c r="V586" s="19" t="s">
        <v>2321</v>
      </c>
      <c r="W586" s="19" t="s">
        <v>1619</v>
      </c>
      <c r="X586">
        <v>56</v>
      </c>
      <c r="Y586">
        <v>69</v>
      </c>
      <c r="Z586">
        <v>44.8</v>
      </c>
      <c r="AA586">
        <v>10</v>
      </c>
      <c r="AB586">
        <v>7</v>
      </c>
      <c r="AC586">
        <v>0</v>
      </c>
      <c r="AD586">
        <v>11</v>
      </c>
      <c r="AE586" s="19" t="s">
        <v>60</v>
      </c>
    </row>
    <row r="587" spans="1:31" x14ac:dyDescent="0.2">
      <c r="A587">
        <v>549</v>
      </c>
      <c r="B587" s="19" t="s">
        <v>816</v>
      </c>
      <c r="C587">
        <v>35</v>
      </c>
      <c r="D587" s="19" t="s">
        <v>440</v>
      </c>
      <c r="E587" s="19" t="s">
        <v>347</v>
      </c>
      <c r="F587">
        <v>57</v>
      </c>
      <c r="G587">
        <v>1</v>
      </c>
      <c r="H587">
        <v>7</v>
      </c>
      <c r="I587">
        <v>8</v>
      </c>
      <c r="J587">
        <v>-25</v>
      </c>
      <c r="K587">
        <v>40</v>
      </c>
      <c r="L587">
        <v>1</v>
      </c>
      <c r="M587">
        <v>0</v>
      </c>
      <c r="N587">
        <v>0</v>
      </c>
      <c r="O587">
        <v>0</v>
      </c>
      <c r="P587">
        <v>7</v>
      </c>
      <c r="Q587">
        <v>0</v>
      </c>
      <c r="R587">
        <v>0</v>
      </c>
      <c r="S587">
        <v>71</v>
      </c>
      <c r="T587">
        <v>1.4</v>
      </c>
      <c r="U587">
        <v>164</v>
      </c>
      <c r="V587" s="19" t="s">
        <v>2322</v>
      </c>
      <c r="W587" s="19" t="s">
        <v>1907</v>
      </c>
      <c r="X587">
        <v>0</v>
      </c>
      <c r="Y587">
        <v>0</v>
      </c>
      <c r="AA587">
        <v>91</v>
      </c>
      <c r="AB587">
        <v>65</v>
      </c>
      <c r="AC587">
        <v>20</v>
      </c>
      <c r="AD587">
        <v>60</v>
      </c>
      <c r="AE587" s="19" t="s">
        <v>60</v>
      </c>
    </row>
    <row r="588" spans="1:31" x14ac:dyDescent="0.2">
      <c r="A588">
        <v>550</v>
      </c>
      <c r="B588" s="19" t="s">
        <v>1214</v>
      </c>
      <c r="C588">
        <v>20</v>
      </c>
      <c r="D588" s="19" t="s">
        <v>359</v>
      </c>
      <c r="E588" s="19" t="s">
        <v>334</v>
      </c>
      <c r="F588">
        <v>24</v>
      </c>
      <c r="G588">
        <v>3</v>
      </c>
      <c r="H588">
        <v>5</v>
      </c>
      <c r="I588">
        <v>8</v>
      </c>
      <c r="J588">
        <v>-3</v>
      </c>
      <c r="K588">
        <v>4</v>
      </c>
      <c r="L588">
        <v>2</v>
      </c>
      <c r="M588">
        <v>1</v>
      </c>
      <c r="N588">
        <v>0</v>
      </c>
      <c r="O588">
        <v>0</v>
      </c>
      <c r="P588">
        <v>4</v>
      </c>
      <c r="Q588">
        <v>1</v>
      </c>
      <c r="R588">
        <v>0</v>
      </c>
      <c r="S588">
        <v>30</v>
      </c>
      <c r="T588">
        <v>10</v>
      </c>
      <c r="U588">
        <v>59</v>
      </c>
      <c r="V588" s="19" t="s">
        <v>2845</v>
      </c>
      <c r="W588" s="19" t="s">
        <v>1919</v>
      </c>
      <c r="X588">
        <v>3</v>
      </c>
      <c r="Y588">
        <v>1</v>
      </c>
      <c r="Z588">
        <v>75</v>
      </c>
      <c r="AA588">
        <v>14</v>
      </c>
      <c r="AB588">
        <v>18</v>
      </c>
      <c r="AC588">
        <v>5</v>
      </c>
      <c r="AD588">
        <v>16</v>
      </c>
      <c r="AE588" s="19" t="s">
        <v>60</v>
      </c>
    </row>
    <row r="589" spans="1:31" x14ac:dyDescent="0.2">
      <c r="A589">
        <v>551</v>
      </c>
      <c r="B589" s="19" t="s">
        <v>873</v>
      </c>
      <c r="C589">
        <v>38</v>
      </c>
      <c r="D589" s="19" t="s">
        <v>370</v>
      </c>
      <c r="E589" s="19" t="s">
        <v>347</v>
      </c>
      <c r="F589">
        <v>55</v>
      </c>
      <c r="G589">
        <v>0</v>
      </c>
      <c r="H589">
        <v>8</v>
      </c>
      <c r="I589">
        <v>8</v>
      </c>
      <c r="J589">
        <v>-9</v>
      </c>
      <c r="K589">
        <v>22</v>
      </c>
      <c r="L589">
        <v>0</v>
      </c>
      <c r="M589">
        <v>0</v>
      </c>
      <c r="N589">
        <v>0</v>
      </c>
      <c r="O589">
        <v>0</v>
      </c>
      <c r="P589">
        <v>6</v>
      </c>
      <c r="Q589">
        <v>2</v>
      </c>
      <c r="R589">
        <v>0</v>
      </c>
      <c r="S589">
        <v>43</v>
      </c>
      <c r="T589">
        <v>0</v>
      </c>
      <c r="U589">
        <v>129</v>
      </c>
      <c r="V589" s="19" t="s">
        <v>2846</v>
      </c>
      <c r="W589" s="19" t="s">
        <v>1302</v>
      </c>
      <c r="X589">
        <v>0</v>
      </c>
      <c r="Y589">
        <v>0</v>
      </c>
      <c r="AA589">
        <v>54</v>
      </c>
      <c r="AB589">
        <v>53</v>
      </c>
      <c r="AC589">
        <v>2</v>
      </c>
      <c r="AD589">
        <v>42</v>
      </c>
      <c r="AE589" s="19" t="s">
        <v>60</v>
      </c>
    </row>
    <row r="590" spans="1:31" x14ac:dyDescent="0.2">
      <c r="A590">
        <v>552</v>
      </c>
      <c r="B590" s="19" t="s">
        <v>445</v>
      </c>
      <c r="C590">
        <v>21</v>
      </c>
      <c r="D590" s="19" t="s">
        <v>440</v>
      </c>
      <c r="E590" s="19" t="s">
        <v>347</v>
      </c>
      <c r="F590">
        <v>48</v>
      </c>
      <c r="G590">
        <v>2</v>
      </c>
      <c r="H590">
        <v>6</v>
      </c>
      <c r="I590">
        <v>8</v>
      </c>
      <c r="J590">
        <v>-7</v>
      </c>
      <c r="K590">
        <v>14</v>
      </c>
      <c r="L590">
        <v>2</v>
      </c>
      <c r="M590">
        <v>0</v>
      </c>
      <c r="N590">
        <v>0</v>
      </c>
      <c r="O590">
        <v>0</v>
      </c>
      <c r="P590">
        <v>6</v>
      </c>
      <c r="Q590">
        <v>0</v>
      </c>
      <c r="R590">
        <v>0</v>
      </c>
      <c r="S590">
        <v>29</v>
      </c>
      <c r="T590">
        <v>6.9</v>
      </c>
      <c r="U590">
        <v>99</v>
      </c>
      <c r="V590" s="19" t="s">
        <v>2847</v>
      </c>
      <c r="W590" s="19" t="s">
        <v>1585</v>
      </c>
      <c r="X590">
        <v>0</v>
      </c>
      <c r="Y590">
        <v>0</v>
      </c>
      <c r="AA590">
        <v>61</v>
      </c>
      <c r="AB590">
        <v>87</v>
      </c>
      <c r="AC590">
        <v>11</v>
      </c>
      <c r="AD590">
        <v>47</v>
      </c>
      <c r="AE590" s="19" t="s">
        <v>60</v>
      </c>
    </row>
    <row r="591" spans="1:31" x14ac:dyDescent="0.2">
      <c r="A591">
        <v>553</v>
      </c>
      <c r="B591" s="19" t="s">
        <v>922</v>
      </c>
      <c r="C591">
        <v>30</v>
      </c>
      <c r="D591" s="19" t="s">
        <v>344</v>
      </c>
      <c r="E591" s="19" t="s">
        <v>347</v>
      </c>
      <c r="F591">
        <v>40</v>
      </c>
      <c r="G591">
        <v>2</v>
      </c>
      <c r="H591">
        <v>6</v>
      </c>
      <c r="I591">
        <v>8</v>
      </c>
      <c r="J591">
        <v>-1</v>
      </c>
      <c r="K591">
        <v>19</v>
      </c>
      <c r="L591">
        <v>1</v>
      </c>
      <c r="M591">
        <v>1</v>
      </c>
      <c r="N591">
        <v>0</v>
      </c>
      <c r="O591">
        <v>1</v>
      </c>
      <c r="P591">
        <v>5</v>
      </c>
      <c r="Q591">
        <v>1</v>
      </c>
      <c r="R591">
        <v>0</v>
      </c>
      <c r="S591">
        <v>76</v>
      </c>
      <c r="T591">
        <v>2.6</v>
      </c>
      <c r="U591">
        <v>174</v>
      </c>
      <c r="V591" s="19" t="s">
        <v>1841</v>
      </c>
      <c r="W591" s="19" t="s">
        <v>1657</v>
      </c>
      <c r="X591">
        <v>0</v>
      </c>
      <c r="Y591">
        <v>0</v>
      </c>
      <c r="AA591">
        <v>64</v>
      </c>
      <c r="AB591">
        <v>84</v>
      </c>
      <c r="AC591">
        <v>11</v>
      </c>
      <c r="AD591">
        <v>47</v>
      </c>
      <c r="AE591" s="19" t="s">
        <v>60</v>
      </c>
    </row>
    <row r="592" spans="1:31" x14ac:dyDescent="0.2">
      <c r="A592">
        <v>554</v>
      </c>
      <c r="B592" s="19" t="s">
        <v>987</v>
      </c>
      <c r="C592">
        <v>33</v>
      </c>
      <c r="D592" s="19" t="s">
        <v>342</v>
      </c>
      <c r="E592" s="19" t="s">
        <v>338</v>
      </c>
      <c r="F592">
        <v>40</v>
      </c>
      <c r="G592">
        <v>3</v>
      </c>
      <c r="H592">
        <v>5</v>
      </c>
      <c r="I592">
        <v>8</v>
      </c>
      <c r="J592">
        <v>-1</v>
      </c>
      <c r="K592">
        <v>14</v>
      </c>
      <c r="L592">
        <v>3</v>
      </c>
      <c r="M592">
        <v>0</v>
      </c>
      <c r="N592">
        <v>0</v>
      </c>
      <c r="O592">
        <v>0</v>
      </c>
      <c r="P592">
        <v>5</v>
      </c>
      <c r="Q592">
        <v>0</v>
      </c>
      <c r="R592">
        <v>0</v>
      </c>
      <c r="S592">
        <v>66</v>
      </c>
      <c r="T592">
        <v>4.5</v>
      </c>
      <c r="U592">
        <v>120</v>
      </c>
      <c r="V592" s="19" t="s">
        <v>2848</v>
      </c>
      <c r="W592" s="19" t="s">
        <v>988</v>
      </c>
      <c r="X592">
        <v>9</v>
      </c>
      <c r="Y592">
        <v>20</v>
      </c>
      <c r="Z592">
        <v>31</v>
      </c>
      <c r="AA592">
        <v>17</v>
      </c>
      <c r="AB592">
        <v>9</v>
      </c>
      <c r="AC592">
        <v>9</v>
      </c>
      <c r="AD592">
        <v>26</v>
      </c>
      <c r="AE592" s="19" t="s">
        <v>60</v>
      </c>
    </row>
    <row r="593" spans="1:31" x14ac:dyDescent="0.2">
      <c r="A593">
        <v>555</v>
      </c>
      <c r="B593" s="19" t="s">
        <v>1063</v>
      </c>
      <c r="C593">
        <v>32</v>
      </c>
      <c r="D593" s="19" t="s">
        <v>342</v>
      </c>
      <c r="E593" s="19" t="s">
        <v>322</v>
      </c>
      <c r="F593">
        <v>42</v>
      </c>
      <c r="G593">
        <v>4</v>
      </c>
      <c r="H593">
        <v>4</v>
      </c>
      <c r="I593">
        <v>8</v>
      </c>
      <c r="J593">
        <v>-7</v>
      </c>
      <c r="K593">
        <v>15</v>
      </c>
      <c r="L593">
        <v>4</v>
      </c>
      <c r="M593">
        <v>0</v>
      </c>
      <c r="N593">
        <v>0</v>
      </c>
      <c r="O593">
        <v>1</v>
      </c>
      <c r="P593">
        <v>3</v>
      </c>
      <c r="Q593">
        <v>1</v>
      </c>
      <c r="R593">
        <v>0</v>
      </c>
      <c r="S593">
        <v>44</v>
      </c>
      <c r="T593">
        <v>9.1</v>
      </c>
      <c r="U593">
        <v>84</v>
      </c>
      <c r="V593" s="19" t="s">
        <v>2849</v>
      </c>
      <c r="W593" s="19" t="s">
        <v>1602</v>
      </c>
      <c r="X593">
        <v>241</v>
      </c>
      <c r="Y593">
        <v>197</v>
      </c>
      <c r="Z593">
        <v>55</v>
      </c>
      <c r="AA593">
        <v>29</v>
      </c>
      <c r="AB593">
        <v>63</v>
      </c>
      <c r="AC593">
        <v>5</v>
      </c>
      <c r="AD593">
        <v>22</v>
      </c>
      <c r="AE593" s="19" t="s">
        <v>60</v>
      </c>
    </row>
    <row r="594" spans="1:31" x14ac:dyDescent="0.2">
      <c r="A594">
        <v>556</v>
      </c>
      <c r="B594" s="19" t="s">
        <v>1555</v>
      </c>
      <c r="C594">
        <v>20</v>
      </c>
      <c r="D594" s="19" t="s">
        <v>502</v>
      </c>
      <c r="E594" s="19" t="s">
        <v>322</v>
      </c>
      <c r="F594">
        <v>18</v>
      </c>
      <c r="G594">
        <v>1</v>
      </c>
      <c r="H594">
        <v>7</v>
      </c>
      <c r="I594">
        <v>8</v>
      </c>
      <c r="J594">
        <v>4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1</v>
      </c>
      <c r="S594">
        <v>17</v>
      </c>
      <c r="T594">
        <v>5.9</v>
      </c>
      <c r="U594">
        <v>42</v>
      </c>
      <c r="V594" s="19" t="s">
        <v>2037</v>
      </c>
      <c r="W594" s="19" t="s">
        <v>1895</v>
      </c>
      <c r="X594">
        <v>4</v>
      </c>
      <c r="Y594">
        <v>6</v>
      </c>
      <c r="Z594">
        <v>40</v>
      </c>
      <c r="AA594">
        <v>10</v>
      </c>
      <c r="AB594">
        <v>33</v>
      </c>
      <c r="AC594">
        <v>2</v>
      </c>
      <c r="AD594">
        <v>8</v>
      </c>
      <c r="AE594" s="19" t="s">
        <v>60</v>
      </c>
    </row>
    <row r="595" spans="1:31" x14ac:dyDescent="0.2">
      <c r="A595">
        <v>557</v>
      </c>
      <c r="B595" s="19" t="s">
        <v>926</v>
      </c>
      <c r="C595">
        <v>32</v>
      </c>
      <c r="D595" s="19" t="s">
        <v>336</v>
      </c>
      <c r="E595" s="19" t="s">
        <v>322</v>
      </c>
      <c r="F595">
        <v>32</v>
      </c>
      <c r="G595">
        <v>3</v>
      </c>
      <c r="H595">
        <v>5</v>
      </c>
      <c r="I595">
        <v>8</v>
      </c>
      <c r="J595">
        <v>-7</v>
      </c>
      <c r="K595">
        <v>27</v>
      </c>
      <c r="L595">
        <v>2</v>
      </c>
      <c r="M595">
        <v>1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35</v>
      </c>
      <c r="T595">
        <v>8.6</v>
      </c>
      <c r="U595">
        <v>81</v>
      </c>
      <c r="V595" s="19" t="s">
        <v>2064</v>
      </c>
      <c r="W595" s="19" t="s">
        <v>1887</v>
      </c>
      <c r="X595">
        <v>91</v>
      </c>
      <c r="Y595">
        <v>103</v>
      </c>
      <c r="Z595">
        <v>46.9</v>
      </c>
      <c r="AA595">
        <v>7</v>
      </c>
      <c r="AB595">
        <v>16</v>
      </c>
      <c r="AC595">
        <v>5</v>
      </c>
      <c r="AD595">
        <v>19</v>
      </c>
      <c r="AE595" s="19" t="s">
        <v>60</v>
      </c>
    </row>
    <row r="596" spans="1:31" x14ac:dyDescent="0.2">
      <c r="A596">
        <v>558</v>
      </c>
      <c r="B596" s="19" t="s">
        <v>996</v>
      </c>
      <c r="C596">
        <v>24</v>
      </c>
      <c r="D596" s="19" t="s">
        <v>361</v>
      </c>
      <c r="E596" s="19" t="s">
        <v>347</v>
      </c>
      <c r="F596">
        <v>39</v>
      </c>
      <c r="G596">
        <v>0</v>
      </c>
      <c r="H596">
        <v>8</v>
      </c>
      <c r="I596">
        <v>8</v>
      </c>
      <c r="J596">
        <v>-2</v>
      </c>
      <c r="K596">
        <v>36</v>
      </c>
      <c r="L596">
        <v>0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12</v>
      </c>
      <c r="T596">
        <v>0</v>
      </c>
      <c r="U596">
        <v>60</v>
      </c>
      <c r="V596" s="19" t="s">
        <v>2323</v>
      </c>
      <c r="W596" s="19" t="s">
        <v>1631</v>
      </c>
      <c r="X596">
        <v>0</v>
      </c>
      <c r="Y596">
        <v>0</v>
      </c>
      <c r="AA596">
        <v>17</v>
      </c>
      <c r="AB596">
        <v>73</v>
      </c>
      <c r="AC596">
        <v>7</v>
      </c>
      <c r="AD596">
        <v>38</v>
      </c>
      <c r="AE596" s="19" t="s">
        <v>60</v>
      </c>
    </row>
    <row r="597" spans="1:31" x14ac:dyDescent="0.2">
      <c r="A597">
        <v>559</v>
      </c>
      <c r="B597" s="19" t="s">
        <v>1984</v>
      </c>
      <c r="C597">
        <v>28</v>
      </c>
      <c r="D597" s="19" t="s">
        <v>370</v>
      </c>
      <c r="E597" s="19" t="s">
        <v>338</v>
      </c>
      <c r="F597">
        <v>10</v>
      </c>
      <c r="G597">
        <v>3</v>
      </c>
      <c r="H597">
        <v>5</v>
      </c>
      <c r="I597">
        <v>8</v>
      </c>
      <c r="J597">
        <v>-7</v>
      </c>
      <c r="K597">
        <v>31</v>
      </c>
      <c r="L597">
        <v>1</v>
      </c>
      <c r="M597">
        <v>2</v>
      </c>
      <c r="N597">
        <v>0</v>
      </c>
      <c r="O597">
        <v>0</v>
      </c>
      <c r="P597">
        <v>1</v>
      </c>
      <c r="Q597">
        <v>4</v>
      </c>
      <c r="R597">
        <v>0</v>
      </c>
      <c r="S597">
        <v>29</v>
      </c>
      <c r="T597">
        <v>10.3</v>
      </c>
      <c r="U597">
        <v>56</v>
      </c>
      <c r="V597" s="19" t="s">
        <v>2850</v>
      </c>
      <c r="W597" s="19" t="s">
        <v>1906</v>
      </c>
      <c r="X597">
        <v>1</v>
      </c>
      <c r="Y597">
        <v>3</v>
      </c>
      <c r="Z597">
        <v>25</v>
      </c>
      <c r="AA597">
        <v>2</v>
      </c>
      <c r="AB597">
        <v>12</v>
      </c>
      <c r="AC597">
        <v>1</v>
      </c>
      <c r="AD597">
        <v>11</v>
      </c>
      <c r="AE597" s="19" t="s">
        <v>60</v>
      </c>
    </row>
    <row r="598" spans="1:31" x14ac:dyDescent="0.2">
      <c r="A598">
        <v>560</v>
      </c>
      <c r="B598" s="19" t="s">
        <v>929</v>
      </c>
      <c r="C598">
        <v>34</v>
      </c>
      <c r="D598" s="19" t="s">
        <v>364</v>
      </c>
      <c r="E598" s="19" t="s">
        <v>347</v>
      </c>
      <c r="F598">
        <v>46</v>
      </c>
      <c r="G598">
        <v>2</v>
      </c>
      <c r="H598">
        <v>6</v>
      </c>
      <c r="I598">
        <v>8</v>
      </c>
      <c r="J598">
        <v>-5</v>
      </c>
      <c r="K598">
        <v>16</v>
      </c>
      <c r="L598">
        <v>2</v>
      </c>
      <c r="M598">
        <v>0</v>
      </c>
      <c r="N598">
        <v>0</v>
      </c>
      <c r="O598">
        <v>1</v>
      </c>
      <c r="P598">
        <v>6</v>
      </c>
      <c r="Q598">
        <v>0</v>
      </c>
      <c r="R598">
        <v>0</v>
      </c>
      <c r="S598">
        <v>27</v>
      </c>
      <c r="T598">
        <v>7.4</v>
      </c>
      <c r="U598">
        <v>75</v>
      </c>
      <c r="V598" s="19" t="s">
        <v>2851</v>
      </c>
      <c r="W598" s="19" t="s">
        <v>2852</v>
      </c>
      <c r="X598">
        <v>0</v>
      </c>
      <c r="Y598">
        <v>0</v>
      </c>
      <c r="AA598">
        <v>67</v>
      </c>
      <c r="AB598">
        <v>6</v>
      </c>
      <c r="AC598">
        <v>11</v>
      </c>
      <c r="AD598">
        <v>33</v>
      </c>
      <c r="AE598" s="19" t="s">
        <v>60</v>
      </c>
    </row>
    <row r="599" spans="1:31" x14ac:dyDescent="0.2">
      <c r="A599">
        <v>561</v>
      </c>
      <c r="B599" s="19" t="s">
        <v>1008</v>
      </c>
      <c r="C599">
        <v>29</v>
      </c>
      <c r="D599" s="19" t="s">
        <v>933</v>
      </c>
      <c r="E599" s="19" t="s">
        <v>338</v>
      </c>
      <c r="F599">
        <v>21</v>
      </c>
      <c r="G599">
        <v>3</v>
      </c>
      <c r="H599">
        <v>5</v>
      </c>
      <c r="I599">
        <v>8</v>
      </c>
      <c r="J599">
        <v>2</v>
      </c>
      <c r="K599">
        <v>10</v>
      </c>
      <c r="L599">
        <v>3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18</v>
      </c>
      <c r="T599">
        <v>16.7</v>
      </c>
      <c r="U599">
        <v>28</v>
      </c>
      <c r="V599" s="19" t="s">
        <v>1889</v>
      </c>
      <c r="W599" s="19" t="s">
        <v>1293</v>
      </c>
      <c r="X599">
        <v>1</v>
      </c>
      <c r="Y599">
        <v>2</v>
      </c>
      <c r="Z599">
        <v>33.299999999999997</v>
      </c>
      <c r="AA599">
        <v>12</v>
      </c>
      <c r="AB599">
        <v>78</v>
      </c>
      <c r="AC599">
        <v>4</v>
      </c>
      <c r="AD599">
        <v>2</v>
      </c>
      <c r="AE599" s="19" t="s">
        <v>60</v>
      </c>
    </row>
    <row r="600" spans="1:31" x14ac:dyDescent="0.2">
      <c r="A600">
        <v>561</v>
      </c>
      <c r="B600" s="19" t="s">
        <v>1008</v>
      </c>
      <c r="C600">
        <v>29</v>
      </c>
      <c r="D600" s="19" t="s">
        <v>357</v>
      </c>
      <c r="E600" s="19" t="s">
        <v>338</v>
      </c>
      <c r="F600">
        <v>8</v>
      </c>
      <c r="G600">
        <v>1</v>
      </c>
      <c r="H600">
        <v>2</v>
      </c>
      <c r="I600">
        <v>3</v>
      </c>
      <c r="J600">
        <v>-2</v>
      </c>
      <c r="K600">
        <v>4</v>
      </c>
      <c r="L600">
        <v>1</v>
      </c>
      <c r="M600">
        <v>0</v>
      </c>
      <c r="N600">
        <v>0</v>
      </c>
      <c r="O600">
        <v>0</v>
      </c>
      <c r="P600">
        <v>2</v>
      </c>
      <c r="Q600">
        <v>0</v>
      </c>
      <c r="R600">
        <v>0</v>
      </c>
      <c r="S600">
        <v>7</v>
      </c>
      <c r="T600">
        <v>14.3</v>
      </c>
      <c r="U600">
        <v>11</v>
      </c>
      <c r="V600" s="19" t="s">
        <v>1009</v>
      </c>
      <c r="W600" s="19" t="s">
        <v>1010</v>
      </c>
      <c r="X600">
        <v>1</v>
      </c>
      <c r="Y600">
        <v>0</v>
      </c>
      <c r="Z600">
        <v>100</v>
      </c>
      <c r="AA600">
        <v>5</v>
      </c>
      <c r="AB600">
        <v>28</v>
      </c>
      <c r="AC600">
        <v>1</v>
      </c>
      <c r="AD600">
        <v>2</v>
      </c>
      <c r="AE600" s="19" t="s">
        <v>60</v>
      </c>
    </row>
    <row r="601" spans="1:31" x14ac:dyDescent="0.2">
      <c r="A601">
        <v>561</v>
      </c>
      <c r="B601" s="19" t="s">
        <v>1008</v>
      </c>
      <c r="C601">
        <v>29</v>
      </c>
      <c r="D601" s="19" t="s">
        <v>361</v>
      </c>
      <c r="E601" s="19" t="s">
        <v>338</v>
      </c>
      <c r="F601">
        <v>13</v>
      </c>
      <c r="G601">
        <v>2</v>
      </c>
      <c r="H601">
        <v>3</v>
      </c>
      <c r="I601">
        <v>5</v>
      </c>
      <c r="J601">
        <v>4</v>
      </c>
      <c r="K601">
        <v>6</v>
      </c>
      <c r="L601">
        <v>2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11</v>
      </c>
      <c r="T601">
        <v>18.2</v>
      </c>
      <c r="U601">
        <v>17</v>
      </c>
      <c r="V601" s="19" t="s">
        <v>1890</v>
      </c>
      <c r="W601" s="19" t="s">
        <v>1891</v>
      </c>
      <c r="X601">
        <v>0</v>
      </c>
      <c r="Y601">
        <v>2</v>
      </c>
      <c r="Z601">
        <v>0</v>
      </c>
      <c r="AA601">
        <v>7</v>
      </c>
      <c r="AB601">
        <v>50</v>
      </c>
      <c r="AC601">
        <v>3</v>
      </c>
      <c r="AD601">
        <v>0</v>
      </c>
      <c r="AE601" s="19" t="s">
        <v>60</v>
      </c>
    </row>
    <row r="602" spans="1:31" x14ac:dyDescent="0.2">
      <c r="A602">
        <v>562</v>
      </c>
      <c r="B602" s="19" t="s">
        <v>1131</v>
      </c>
      <c r="C602">
        <v>26</v>
      </c>
      <c r="D602" s="19" t="s">
        <v>353</v>
      </c>
      <c r="E602" s="19" t="s">
        <v>347</v>
      </c>
      <c r="F602">
        <v>37</v>
      </c>
      <c r="G602">
        <v>2</v>
      </c>
      <c r="H602">
        <v>5</v>
      </c>
      <c r="I602">
        <v>7</v>
      </c>
      <c r="J602">
        <v>22</v>
      </c>
      <c r="K602">
        <v>33</v>
      </c>
      <c r="L602">
        <v>2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23</v>
      </c>
      <c r="T602">
        <v>8.6999999999999993</v>
      </c>
      <c r="U602">
        <v>65</v>
      </c>
      <c r="V602" s="19" t="s">
        <v>2324</v>
      </c>
      <c r="W602" s="19" t="s">
        <v>614</v>
      </c>
      <c r="X602">
        <v>0</v>
      </c>
      <c r="Y602">
        <v>0</v>
      </c>
      <c r="AA602">
        <v>44</v>
      </c>
      <c r="AB602">
        <v>60</v>
      </c>
      <c r="AC602">
        <v>6</v>
      </c>
      <c r="AD602">
        <v>29</v>
      </c>
      <c r="AE602" s="19" t="s">
        <v>60</v>
      </c>
    </row>
    <row r="603" spans="1:31" x14ac:dyDescent="0.2">
      <c r="A603">
        <v>563</v>
      </c>
      <c r="B603" s="19" t="s">
        <v>885</v>
      </c>
      <c r="C603">
        <v>33</v>
      </c>
      <c r="D603" s="19" t="s">
        <v>933</v>
      </c>
      <c r="E603" s="19" t="s">
        <v>322</v>
      </c>
      <c r="F603">
        <v>37</v>
      </c>
      <c r="G603">
        <v>6</v>
      </c>
      <c r="H603">
        <v>1</v>
      </c>
      <c r="I603">
        <v>7</v>
      </c>
      <c r="J603">
        <v>-8</v>
      </c>
      <c r="K603">
        <v>25</v>
      </c>
      <c r="L603">
        <v>5</v>
      </c>
      <c r="M603">
        <v>0</v>
      </c>
      <c r="N603">
        <v>1</v>
      </c>
      <c r="O603">
        <v>1</v>
      </c>
      <c r="P603">
        <v>1</v>
      </c>
      <c r="Q603">
        <v>0</v>
      </c>
      <c r="R603">
        <v>0</v>
      </c>
      <c r="S603">
        <v>58</v>
      </c>
      <c r="T603">
        <v>10.3</v>
      </c>
      <c r="U603">
        <v>101</v>
      </c>
      <c r="V603" s="19" t="s">
        <v>2853</v>
      </c>
      <c r="W603" s="19" t="s">
        <v>1931</v>
      </c>
      <c r="X603">
        <v>139</v>
      </c>
      <c r="Y603">
        <v>137</v>
      </c>
      <c r="Z603">
        <v>50.4</v>
      </c>
      <c r="AA603">
        <v>22</v>
      </c>
      <c r="AB603">
        <v>76</v>
      </c>
      <c r="AC603">
        <v>3</v>
      </c>
      <c r="AD603">
        <v>13</v>
      </c>
      <c r="AE603" s="19" t="s">
        <v>60</v>
      </c>
    </row>
    <row r="604" spans="1:31" x14ac:dyDescent="0.2">
      <c r="A604">
        <v>563</v>
      </c>
      <c r="B604" s="19" t="s">
        <v>885</v>
      </c>
      <c r="C604">
        <v>33</v>
      </c>
      <c r="D604" s="19" t="s">
        <v>502</v>
      </c>
      <c r="E604" s="19" t="s">
        <v>322</v>
      </c>
      <c r="F604">
        <v>35</v>
      </c>
      <c r="G604">
        <v>6</v>
      </c>
      <c r="H604">
        <v>1</v>
      </c>
      <c r="I604">
        <v>7</v>
      </c>
      <c r="J604">
        <v>-7</v>
      </c>
      <c r="K604">
        <v>25</v>
      </c>
      <c r="L604">
        <v>5</v>
      </c>
      <c r="M604">
        <v>0</v>
      </c>
      <c r="N604">
        <v>1</v>
      </c>
      <c r="O604">
        <v>1</v>
      </c>
      <c r="P604">
        <v>1</v>
      </c>
      <c r="Q604">
        <v>0</v>
      </c>
      <c r="R604">
        <v>0</v>
      </c>
      <c r="S604">
        <v>54</v>
      </c>
      <c r="T604">
        <v>11.1</v>
      </c>
      <c r="U604">
        <v>94</v>
      </c>
      <c r="V604" s="19" t="s">
        <v>2131</v>
      </c>
      <c r="W604" s="19" t="s">
        <v>1842</v>
      </c>
      <c r="X604">
        <v>134</v>
      </c>
      <c r="Y604">
        <v>128</v>
      </c>
      <c r="Z604">
        <v>51.1</v>
      </c>
      <c r="AA604">
        <v>22</v>
      </c>
      <c r="AB604">
        <v>73</v>
      </c>
      <c r="AC604">
        <v>3</v>
      </c>
      <c r="AD604">
        <v>12</v>
      </c>
      <c r="AE604" s="19" t="s">
        <v>60</v>
      </c>
    </row>
    <row r="605" spans="1:31" x14ac:dyDescent="0.2">
      <c r="A605">
        <v>563</v>
      </c>
      <c r="B605" s="19" t="s">
        <v>885</v>
      </c>
      <c r="C605">
        <v>33</v>
      </c>
      <c r="D605" s="19" t="s">
        <v>395</v>
      </c>
      <c r="E605" s="19" t="s">
        <v>322</v>
      </c>
      <c r="F605">
        <v>2</v>
      </c>
      <c r="G605">
        <v>0</v>
      </c>
      <c r="H605">
        <v>0</v>
      </c>
      <c r="I605">
        <v>0</v>
      </c>
      <c r="J605">
        <v>-1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4</v>
      </c>
      <c r="T605">
        <v>0</v>
      </c>
      <c r="U605">
        <v>7</v>
      </c>
      <c r="V605" s="19" t="s">
        <v>2388</v>
      </c>
      <c r="W605" s="19" t="s">
        <v>2854</v>
      </c>
      <c r="X605">
        <v>5</v>
      </c>
      <c r="Y605">
        <v>9</v>
      </c>
      <c r="Z605">
        <v>35.700000000000003</v>
      </c>
      <c r="AA605">
        <v>0</v>
      </c>
      <c r="AB605">
        <v>3</v>
      </c>
      <c r="AC605">
        <v>0</v>
      </c>
      <c r="AD605">
        <v>1</v>
      </c>
      <c r="AE605" s="19" t="s">
        <v>60</v>
      </c>
    </row>
    <row r="606" spans="1:31" x14ac:dyDescent="0.2">
      <c r="A606">
        <v>564</v>
      </c>
      <c r="B606" s="19" t="s">
        <v>837</v>
      </c>
      <c r="C606">
        <v>32</v>
      </c>
      <c r="D606" s="19" t="s">
        <v>333</v>
      </c>
      <c r="E606" s="19" t="s">
        <v>322</v>
      </c>
      <c r="F606">
        <v>47</v>
      </c>
      <c r="G606">
        <v>2</v>
      </c>
      <c r="H606">
        <v>5</v>
      </c>
      <c r="I606">
        <v>7</v>
      </c>
      <c r="J606">
        <v>-5</v>
      </c>
      <c r="K606">
        <v>20</v>
      </c>
      <c r="L606">
        <v>2</v>
      </c>
      <c r="M606">
        <v>0</v>
      </c>
      <c r="N606">
        <v>0</v>
      </c>
      <c r="O606">
        <v>1</v>
      </c>
      <c r="P606">
        <v>5</v>
      </c>
      <c r="Q606">
        <v>0</v>
      </c>
      <c r="R606">
        <v>0</v>
      </c>
      <c r="S606">
        <v>37</v>
      </c>
      <c r="T606">
        <v>5.4</v>
      </c>
      <c r="U606">
        <v>85</v>
      </c>
      <c r="V606" s="19" t="s">
        <v>2855</v>
      </c>
      <c r="W606" s="19" t="s">
        <v>1590</v>
      </c>
      <c r="X606">
        <v>81</v>
      </c>
      <c r="Y606">
        <v>116</v>
      </c>
      <c r="Z606">
        <v>41.1</v>
      </c>
      <c r="AA606">
        <v>26</v>
      </c>
      <c r="AB606">
        <v>70</v>
      </c>
      <c r="AC606">
        <v>7</v>
      </c>
      <c r="AD606">
        <v>20</v>
      </c>
      <c r="AE606" s="19" t="s">
        <v>60</v>
      </c>
    </row>
    <row r="607" spans="1:31" x14ac:dyDescent="0.2">
      <c r="A607">
        <v>565</v>
      </c>
      <c r="B607" s="19" t="s">
        <v>1265</v>
      </c>
      <c r="C607">
        <v>20</v>
      </c>
      <c r="D607" s="19" t="s">
        <v>401</v>
      </c>
      <c r="E607" s="19" t="s">
        <v>338</v>
      </c>
      <c r="F607">
        <v>28</v>
      </c>
      <c r="G607">
        <v>3</v>
      </c>
      <c r="H607">
        <v>4</v>
      </c>
      <c r="I607">
        <v>7</v>
      </c>
      <c r="J607">
        <v>2</v>
      </c>
      <c r="K607">
        <v>8</v>
      </c>
      <c r="L607">
        <v>2</v>
      </c>
      <c r="M607">
        <v>1</v>
      </c>
      <c r="N607">
        <v>0</v>
      </c>
      <c r="O607">
        <v>0</v>
      </c>
      <c r="P607">
        <v>2</v>
      </c>
      <c r="Q607">
        <v>2</v>
      </c>
      <c r="R607">
        <v>0</v>
      </c>
      <c r="S607">
        <v>43</v>
      </c>
      <c r="T607">
        <v>7</v>
      </c>
      <c r="U607">
        <v>93</v>
      </c>
      <c r="V607" s="19" t="s">
        <v>2104</v>
      </c>
      <c r="W607" s="19" t="s">
        <v>1903</v>
      </c>
      <c r="X607">
        <v>6</v>
      </c>
      <c r="Y607">
        <v>14</v>
      </c>
      <c r="Z607">
        <v>30</v>
      </c>
      <c r="AA607">
        <v>18</v>
      </c>
      <c r="AB607">
        <v>16</v>
      </c>
      <c r="AC607">
        <v>4</v>
      </c>
      <c r="AD607">
        <v>18</v>
      </c>
      <c r="AE607" s="19" t="s">
        <v>60</v>
      </c>
    </row>
    <row r="608" spans="1:31" x14ac:dyDescent="0.2">
      <c r="A608">
        <v>566</v>
      </c>
      <c r="B608" s="19" t="s">
        <v>946</v>
      </c>
      <c r="C608">
        <v>28</v>
      </c>
      <c r="D608" s="19" t="s">
        <v>350</v>
      </c>
      <c r="E608" s="19" t="s">
        <v>347</v>
      </c>
      <c r="F608">
        <v>37</v>
      </c>
      <c r="G608">
        <v>1</v>
      </c>
      <c r="H608">
        <v>6</v>
      </c>
      <c r="I608">
        <v>7</v>
      </c>
      <c r="J608">
        <v>1</v>
      </c>
      <c r="K608">
        <v>43</v>
      </c>
      <c r="L608">
        <v>1</v>
      </c>
      <c r="M608">
        <v>0</v>
      </c>
      <c r="N608">
        <v>0</v>
      </c>
      <c r="O608">
        <v>0</v>
      </c>
      <c r="P608">
        <v>5</v>
      </c>
      <c r="Q608">
        <v>0</v>
      </c>
      <c r="R608">
        <v>1</v>
      </c>
      <c r="S608">
        <v>32</v>
      </c>
      <c r="T608">
        <v>3.1</v>
      </c>
      <c r="U608">
        <v>74</v>
      </c>
      <c r="V608" s="19" t="s">
        <v>2856</v>
      </c>
      <c r="W608" s="19" t="s">
        <v>1923</v>
      </c>
      <c r="X608">
        <v>0</v>
      </c>
      <c r="Y608">
        <v>0</v>
      </c>
      <c r="AA608">
        <v>67</v>
      </c>
      <c r="AB608">
        <v>73</v>
      </c>
      <c r="AC608">
        <v>6</v>
      </c>
      <c r="AD608">
        <v>33</v>
      </c>
      <c r="AE608" s="19" t="s">
        <v>60</v>
      </c>
    </row>
    <row r="609" spans="1:31" x14ac:dyDescent="0.2">
      <c r="A609">
        <v>567</v>
      </c>
      <c r="B609" s="19" t="s">
        <v>889</v>
      </c>
      <c r="C609">
        <v>21</v>
      </c>
      <c r="D609" s="19" t="s">
        <v>368</v>
      </c>
      <c r="E609" s="19" t="s">
        <v>322</v>
      </c>
      <c r="F609">
        <v>28</v>
      </c>
      <c r="G609">
        <v>2</v>
      </c>
      <c r="H609">
        <v>5</v>
      </c>
      <c r="I609">
        <v>7</v>
      </c>
      <c r="J609">
        <v>-7</v>
      </c>
      <c r="K609">
        <v>4</v>
      </c>
      <c r="L609">
        <v>2</v>
      </c>
      <c r="M609">
        <v>0</v>
      </c>
      <c r="N609">
        <v>0</v>
      </c>
      <c r="O609">
        <v>0</v>
      </c>
      <c r="P609">
        <v>2</v>
      </c>
      <c r="Q609">
        <v>3</v>
      </c>
      <c r="R609">
        <v>0</v>
      </c>
      <c r="S609">
        <v>31</v>
      </c>
      <c r="T609">
        <v>6.5</v>
      </c>
      <c r="U609">
        <v>59</v>
      </c>
      <c r="V609" s="19" t="s">
        <v>1721</v>
      </c>
      <c r="W609" s="19" t="s">
        <v>1644</v>
      </c>
      <c r="X609">
        <v>55</v>
      </c>
      <c r="Y609">
        <v>91</v>
      </c>
      <c r="Z609">
        <v>37.700000000000003</v>
      </c>
      <c r="AA609">
        <v>9</v>
      </c>
      <c r="AB609">
        <v>8</v>
      </c>
      <c r="AC609">
        <v>8</v>
      </c>
      <c r="AD609">
        <v>17</v>
      </c>
      <c r="AE609" s="19" t="s">
        <v>60</v>
      </c>
    </row>
    <row r="610" spans="1:31" x14ac:dyDescent="0.2">
      <c r="A610">
        <v>568</v>
      </c>
      <c r="B610" s="19" t="s">
        <v>962</v>
      </c>
      <c r="C610">
        <v>34</v>
      </c>
      <c r="D610" s="19" t="s">
        <v>430</v>
      </c>
      <c r="E610" s="19" t="s">
        <v>347</v>
      </c>
      <c r="F610">
        <v>53</v>
      </c>
      <c r="G610">
        <v>0</v>
      </c>
      <c r="H610">
        <v>7</v>
      </c>
      <c r="I610">
        <v>7</v>
      </c>
      <c r="J610">
        <v>-5</v>
      </c>
      <c r="K610">
        <v>34</v>
      </c>
      <c r="L610">
        <v>0</v>
      </c>
      <c r="M610">
        <v>0</v>
      </c>
      <c r="N610">
        <v>0</v>
      </c>
      <c r="O610">
        <v>0</v>
      </c>
      <c r="P610">
        <v>7</v>
      </c>
      <c r="Q610">
        <v>0</v>
      </c>
      <c r="R610">
        <v>0</v>
      </c>
      <c r="S610">
        <v>29</v>
      </c>
      <c r="T610">
        <v>0</v>
      </c>
      <c r="U610">
        <v>91</v>
      </c>
      <c r="V610" s="19" t="s">
        <v>2013</v>
      </c>
      <c r="W610" s="19" t="s">
        <v>1672</v>
      </c>
      <c r="X610">
        <v>0</v>
      </c>
      <c r="Y610">
        <v>0</v>
      </c>
      <c r="AA610">
        <v>67</v>
      </c>
      <c r="AB610">
        <v>34</v>
      </c>
      <c r="AC610">
        <v>8</v>
      </c>
      <c r="AD610">
        <v>42</v>
      </c>
      <c r="AE610" s="19" t="s">
        <v>60</v>
      </c>
    </row>
    <row r="611" spans="1:31" x14ac:dyDescent="0.2">
      <c r="A611">
        <v>569</v>
      </c>
      <c r="B611" s="19" t="s">
        <v>969</v>
      </c>
      <c r="C611">
        <v>34</v>
      </c>
      <c r="D611" s="19" t="s">
        <v>357</v>
      </c>
      <c r="E611" s="19" t="s">
        <v>322</v>
      </c>
      <c r="F611">
        <v>38</v>
      </c>
      <c r="G611">
        <v>6</v>
      </c>
      <c r="H611">
        <v>1</v>
      </c>
      <c r="I611">
        <v>7</v>
      </c>
      <c r="J611">
        <v>-8</v>
      </c>
      <c r="K611">
        <v>6</v>
      </c>
      <c r="L611">
        <v>6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33</v>
      </c>
      <c r="T611">
        <v>18.2</v>
      </c>
      <c r="U611">
        <v>54</v>
      </c>
      <c r="V611" s="19" t="s">
        <v>2857</v>
      </c>
      <c r="W611" s="19" t="s">
        <v>2858</v>
      </c>
      <c r="X611">
        <v>11</v>
      </c>
      <c r="Y611">
        <v>6</v>
      </c>
      <c r="Z611">
        <v>64.7</v>
      </c>
      <c r="AA611">
        <v>6</v>
      </c>
      <c r="AB611">
        <v>23</v>
      </c>
      <c r="AC611">
        <v>4</v>
      </c>
      <c r="AD611">
        <v>11</v>
      </c>
      <c r="AE611" s="19" t="s">
        <v>60</v>
      </c>
    </row>
    <row r="612" spans="1:31" x14ac:dyDescent="0.2">
      <c r="A612">
        <v>570</v>
      </c>
      <c r="B612" s="19" t="s">
        <v>1033</v>
      </c>
      <c r="C612">
        <v>25</v>
      </c>
      <c r="D612" s="19" t="s">
        <v>368</v>
      </c>
      <c r="E612" s="19" t="s">
        <v>347</v>
      </c>
      <c r="F612">
        <v>58</v>
      </c>
      <c r="G612">
        <v>1</v>
      </c>
      <c r="H612">
        <v>6</v>
      </c>
      <c r="I612">
        <v>7</v>
      </c>
      <c r="J612">
        <v>-10</v>
      </c>
      <c r="K612">
        <v>12</v>
      </c>
      <c r="L612">
        <v>1</v>
      </c>
      <c r="M612">
        <v>0</v>
      </c>
      <c r="N612">
        <v>0</v>
      </c>
      <c r="O612">
        <v>0</v>
      </c>
      <c r="P612">
        <v>6</v>
      </c>
      <c r="Q612">
        <v>0</v>
      </c>
      <c r="R612">
        <v>0</v>
      </c>
      <c r="S612">
        <v>42</v>
      </c>
      <c r="T612">
        <v>2.4</v>
      </c>
      <c r="U612">
        <v>127</v>
      </c>
      <c r="V612" s="19" t="s">
        <v>2325</v>
      </c>
      <c r="W612" s="19" t="s">
        <v>463</v>
      </c>
      <c r="X612">
        <v>0</v>
      </c>
      <c r="Y612">
        <v>0</v>
      </c>
      <c r="AA612">
        <v>81</v>
      </c>
      <c r="AB612">
        <v>43</v>
      </c>
      <c r="AC612">
        <v>15</v>
      </c>
      <c r="AD612">
        <v>47</v>
      </c>
      <c r="AE612" s="19" t="s">
        <v>60</v>
      </c>
    </row>
    <row r="613" spans="1:31" x14ac:dyDescent="0.2">
      <c r="A613">
        <v>571</v>
      </c>
      <c r="B613" s="19" t="s">
        <v>806</v>
      </c>
      <c r="C613">
        <v>33</v>
      </c>
      <c r="D613" s="19" t="s">
        <v>342</v>
      </c>
      <c r="E613" s="19" t="s">
        <v>322</v>
      </c>
      <c r="F613">
        <v>14</v>
      </c>
      <c r="G613">
        <v>4</v>
      </c>
      <c r="H613">
        <v>3</v>
      </c>
      <c r="I613">
        <v>7</v>
      </c>
      <c r="J613">
        <v>-1</v>
      </c>
      <c r="K613">
        <v>4</v>
      </c>
      <c r="L613">
        <v>2</v>
      </c>
      <c r="M613">
        <v>1</v>
      </c>
      <c r="N613">
        <v>1</v>
      </c>
      <c r="O613">
        <v>1</v>
      </c>
      <c r="P613">
        <v>3</v>
      </c>
      <c r="Q613">
        <v>0</v>
      </c>
      <c r="R613">
        <v>0</v>
      </c>
      <c r="S613">
        <v>30</v>
      </c>
      <c r="T613">
        <v>13.3</v>
      </c>
      <c r="U613">
        <v>48</v>
      </c>
      <c r="V613" s="19" t="s">
        <v>807</v>
      </c>
      <c r="W613" s="19" t="s">
        <v>689</v>
      </c>
      <c r="X613">
        <v>91</v>
      </c>
      <c r="Y613">
        <v>67</v>
      </c>
      <c r="Z613">
        <v>57.6</v>
      </c>
      <c r="AA613">
        <v>13</v>
      </c>
      <c r="AB613">
        <v>3</v>
      </c>
      <c r="AC613">
        <v>3</v>
      </c>
      <c r="AD613">
        <v>11</v>
      </c>
      <c r="AE613" s="19" t="s">
        <v>60</v>
      </c>
    </row>
    <row r="614" spans="1:31" x14ac:dyDescent="0.2">
      <c r="A614">
        <v>572</v>
      </c>
      <c r="B614" s="19" t="s">
        <v>1096</v>
      </c>
      <c r="C614">
        <v>29</v>
      </c>
      <c r="D614" s="19" t="s">
        <v>321</v>
      </c>
      <c r="E614" s="19" t="s">
        <v>325</v>
      </c>
      <c r="F614">
        <v>29</v>
      </c>
      <c r="G614">
        <v>2</v>
      </c>
      <c r="H614">
        <v>5</v>
      </c>
      <c r="I614">
        <v>7</v>
      </c>
      <c r="J614">
        <v>0</v>
      </c>
      <c r="K614">
        <v>6</v>
      </c>
      <c r="L614">
        <v>2</v>
      </c>
      <c r="M614">
        <v>0</v>
      </c>
      <c r="N614">
        <v>0</v>
      </c>
      <c r="O614">
        <v>0</v>
      </c>
      <c r="P614">
        <v>5</v>
      </c>
      <c r="Q614">
        <v>0</v>
      </c>
      <c r="R614">
        <v>0</v>
      </c>
      <c r="S614">
        <v>25</v>
      </c>
      <c r="T614">
        <v>8</v>
      </c>
      <c r="U614">
        <v>45</v>
      </c>
      <c r="V614" s="19" t="s">
        <v>2859</v>
      </c>
      <c r="W614" s="19" t="s">
        <v>1328</v>
      </c>
      <c r="X614">
        <v>3</v>
      </c>
      <c r="Y614">
        <v>6</v>
      </c>
      <c r="Z614">
        <v>33.299999999999997</v>
      </c>
      <c r="AA614">
        <v>10</v>
      </c>
      <c r="AB614">
        <v>44</v>
      </c>
      <c r="AC614">
        <v>4</v>
      </c>
      <c r="AD614">
        <v>10</v>
      </c>
      <c r="AE614" s="19" t="s">
        <v>60</v>
      </c>
    </row>
    <row r="615" spans="1:31" x14ac:dyDescent="0.2">
      <c r="A615">
        <v>573</v>
      </c>
      <c r="B615" s="19" t="s">
        <v>1532</v>
      </c>
      <c r="C615">
        <v>20</v>
      </c>
      <c r="D615" s="19" t="s">
        <v>329</v>
      </c>
      <c r="E615" s="19" t="s">
        <v>338</v>
      </c>
      <c r="F615">
        <v>21</v>
      </c>
      <c r="G615">
        <v>5</v>
      </c>
      <c r="H615">
        <v>2</v>
      </c>
      <c r="I615">
        <v>7</v>
      </c>
      <c r="J615">
        <v>-8</v>
      </c>
      <c r="K615">
        <v>6</v>
      </c>
      <c r="L615">
        <v>3</v>
      </c>
      <c r="M615">
        <v>2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32</v>
      </c>
      <c r="T615">
        <v>15.6</v>
      </c>
      <c r="U615">
        <v>71</v>
      </c>
      <c r="V615" s="19" t="s">
        <v>2048</v>
      </c>
      <c r="W615" s="19" t="s">
        <v>1924</v>
      </c>
      <c r="X615">
        <v>1</v>
      </c>
      <c r="Y615">
        <v>1</v>
      </c>
      <c r="Z615">
        <v>50</v>
      </c>
      <c r="AA615">
        <v>7</v>
      </c>
      <c r="AB615">
        <v>33</v>
      </c>
      <c r="AC615">
        <v>5</v>
      </c>
      <c r="AD615">
        <v>9</v>
      </c>
      <c r="AE615" s="19" t="s">
        <v>60</v>
      </c>
    </row>
    <row r="616" spans="1:31" x14ac:dyDescent="0.2">
      <c r="A616">
        <v>574</v>
      </c>
      <c r="B616" s="19" t="s">
        <v>907</v>
      </c>
      <c r="C616">
        <v>26</v>
      </c>
      <c r="D616" s="19" t="s">
        <v>377</v>
      </c>
      <c r="E616" s="19" t="s">
        <v>322</v>
      </c>
      <c r="F616">
        <v>42</v>
      </c>
      <c r="G616">
        <v>2</v>
      </c>
      <c r="H616">
        <v>5</v>
      </c>
      <c r="I616">
        <v>7</v>
      </c>
      <c r="J616">
        <v>-4</v>
      </c>
      <c r="K616">
        <v>4</v>
      </c>
      <c r="L616">
        <v>2</v>
      </c>
      <c r="M616">
        <v>0</v>
      </c>
      <c r="N616">
        <v>0</v>
      </c>
      <c r="O616">
        <v>0</v>
      </c>
      <c r="P616">
        <v>5</v>
      </c>
      <c r="Q616">
        <v>0</v>
      </c>
      <c r="R616">
        <v>0</v>
      </c>
      <c r="S616">
        <v>33</v>
      </c>
      <c r="T616">
        <v>6.1</v>
      </c>
      <c r="U616">
        <v>55</v>
      </c>
      <c r="V616" s="19" t="s">
        <v>2009</v>
      </c>
      <c r="W616" s="19" t="s">
        <v>1844</v>
      </c>
      <c r="X616">
        <v>113</v>
      </c>
      <c r="Y616">
        <v>97</v>
      </c>
      <c r="Z616">
        <v>53.8</v>
      </c>
      <c r="AA616">
        <v>18</v>
      </c>
      <c r="AB616">
        <v>19</v>
      </c>
      <c r="AC616">
        <v>4</v>
      </c>
      <c r="AD616">
        <v>24</v>
      </c>
      <c r="AE616" s="19" t="s">
        <v>60</v>
      </c>
    </row>
    <row r="617" spans="1:31" x14ac:dyDescent="0.2">
      <c r="A617">
        <v>575</v>
      </c>
      <c r="B617" s="19" t="s">
        <v>1045</v>
      </c>
      <c r="C617">
        <v>25</v>
      </c>
      <c r="D617" s="19" t="s">
        <v>333</v>
      </c>
      <c r="E617" s="19" t="s">
        <v>347</v>
      </c>
      <c r="F617">
        <v>31</v>
      </c>
      <c r="G617">
        <v>3</v>
      </c>
      <c r="H617">
        <v>4</v>
      </c>
      <c r="I617">
        <v>7</v>
      </c>
      <c r="J617">
        <v>9</v>
      </c>
      <c r="K617">
        <v>12</v>
      </c>
      <c r="L617">
        <v>3</v>
      </c>
      <c r="M617">
        <v>0</v>
      </c>
      <c r="N617">
        <v>0</v>
      </c>
      <c r="O617">
        <v>0</v>
      </c>
      <c r="P617">
        <v>4</v>
      </c>
      <c r="Q617">
        <v>0</v>
      </c>
      <c r="R617">
        <v>0</v>
      </c>
      <c r="S617">
        <v>29</v>
      </c>
      <c r="T617">
        <v>10.3</v>
      </c>
      <c r="U617">
        <v>73</v>
      </c>
      <c r="V617" s="19" t="s">
        <v>2860</v>
      </c>
      <c r="W617" s="19" t="s">
        <v>1490</v>
      </c>
      <c r="X617">
        <v>0</v>
      </c>
      <c r="Y617">
        <v>0</v>
      </c>
      <c r="AA617">
        <v>31</v>
      </c>
      <c r="AB617">
        <v>22</v>
      </c>
      <c r="AC617">
        <v>5</v>
      </c>
      <c r="AD617">
        <v>34</v>
      </c>
      <c r="AE617" s="19" t="s">
        <v>60</v>
      </c>
    </row>
    <row r="618" spans="1:31" x14ac:dyDescent="0.2">
      <c r="A618">
        <v>576</v>
      </c>
      <c r="B618" s="19" t="s">
        <v>908</v>
      </c>
      <c r="C618">
        <v>31</v>
      </c>
      <c r="D618" s="19" t="s">
        <v>333</v>
      </c>
      <c r="E618" s="19" t="s">
        <v>347</v>
      </c>
      <c r="F618">
        <v>40</v>
      </c>
      <c r="G618">
        <v>1</v>
      </c>
      <c r="H618">
        <v>6</v>
      </c>
      <c r="I618">
        <v>7</v>
      </c>
      <c r="J618">
        <v>-1</v>
      </c>
      <c r="K618">
        <v>36</v>
      </c>
      <c r="L618">
        <v>1</v>
      </c>
      <c r="M618">
        <v>0</v>
      </c>
      <c r="N618">
        <v>0</v>
      </c>
      <c r="O618">
        <v>0</v>
      </c>
      <c r="P618">
        <v>6</v>
      </c>
      <c r="Q618">
        <v>0</v>
      </c>
      <c r="R618">
        <v>0</v>
      </c>
      <c r="S618">
        <v>24</v>
      </c>
      <c r="T618">
        <v>4.2</v>
      </c>
      <c r="U618">
        <v>50</v>
      </c>
      <c r="V618" s="19" t="s">
        <v>2326</v>
      </c>
      <c r="W618" s="19" t="s">
        <v>1818</v>
      </c>
      <c r="X618">
        <v>0</v>
      </c>
      <c r="Y618">
        <v>0</v>
      </c>
      <c r="AA618">
        <v>68</v>
      </c>
      <c r="AB618">
        <v>57</v>
      </c>
      <c r="AC618">
        <v>7</v>
      </c>
      <c r="AD618">
        <v>37</v>
      </c>
      <c r="AE618" s="19" t="s">
        <v>60</v>
      </c>
    </row>
    <row r="619" spans="1:31" x14ac:dyDescent="0.2">
      <c r="A619">
        <v>577</v>
      </c>
      <c r="B619" s="19" t="s">
        <v>914</v>
      </c>
      <c r="C619">
        <v>24</v>
      </c>
      <c r="D619" s="19" t="s">
        <v>324</v>
      </c>
      <c r="E619" s="19" t="s">
        <v>347</v>
      </c>
      <c r="F619">
        <v>26</v>
      </c>
      <c r="G619">
        <v>3</v>
      </c>
      <c r="H619">
        <v>4</v>
      </c>
      <c r="I619">
        <v>7</v>
      </c>
      <c r="J619">
        <v>-4</v>
      </c>
      <c r="K619">
        <v>12</v>
      </c>
      <c r="L619">
        <v>3</v>
      </c>
      <c r="M619">
        <v>0</v>
      </c>
      <c r="N619">
        <v>0</v>
      </c>
      <c r="O619">
        <v>0</v>
      </c>
      <c r="P619">
        <v>4</v>
      </c>
      <c r="Q619">
        <v>0</v>
      </c>
      <c r="R619">
        <v>0</v>
      </c>
      <c r="S619">
        <v>22</v>
      </c>
      <c r="T619">
        <v>13.6</v>
      </c>
      <c r="U619">
        <v>55</v>
      </c>
      <c r="V619" s="19" t="s">
        <v>1798</v>
      </c>
      <c r="W619" s="19" t="s">
        <v>1669</v>
      </c>
      <c r="X619">
        <v>0</v>
      </c>
      <c r="Y619">
        <v>0</v>
      </c>
      <c r="AA619">
        <v>35</v>
      </c>
      <c r="AB619">
        <v>13</v>
      </c>
      <c r="AC619">
        <v>4</v>
      </c>
      <c r="AD619">
        <v>29</v>
      </c>
      <c r="AE619" s="19" t="s">
        <v>60</v>
      </c>
    </row>
    <row r="620" spans="1:31" x14ac:dyDescent="0.2">
      <c r="A620">
        <v>578</v>
      </c>
      <c r="B620" s="19" t="s">
        <v>1050</v>
      </c>
      <c r="C620">
        <v>32</v>
      </c>
      <c r="D620" s="19" t="s">
        <v>395</v>
      </c>
      <c r="E620" s="19" t="s">
        <v>334</v>
      </c>
      <c r="F620">
        <v>38</v>
      </c>
      <c r="G620">
        <v>3</v>
      </c>
      <c r="H620">
        <v>4</v>
      </c>
      <c r="I620">
        <v>7</v>
      </c>
      <c r="J620">
        <v>-12</v>
      </c>
      <c r="K620">
        <v>33</v>
      </c>
      <c r="L620">
        <v>2</v>
      </c>
      <c r="M620">
        <v>1</v>
      </c>
      <c r="N620">
        <v>0</v>
      </c>
      <c r="O620">
        <v>1</v>
      </c>
      <c r="P620">
        <v>2</v>
      </c>
      <c r="Q620">
        <v>2</v>
      </c>
      <c r="R620">
        <v>0</v>
      </c>
      <c r="S620">
        <v>52</v>
      </c>
      <c r="T620">
        <v>5.8</v>
      </c>
      <c r="U620">
        <v>93</v>
      </c>
      <c r="V620" s="19" t="s">
        <v>1765</v>
      </c>
      <c r="W620" s="19" t="s">
        <v>1707</v>
      </c>
      <c r="X620">
        <v>16</v>
      </c>
      <c r="Y620">
        <v>17</v>
      </c>
      <c r="Z620">
        <v>48.5</v>
      </c>
      <c r="AA620">
        <v>15</v>
      </c>
      <c r="AB620">
        <v>33</v>
      </c>
      <c r="AC620">
        <v>3</v>
      </c>
      <c r="AD620">
        <v>23</v>
      </c>
      <c r="AE620" s="19" t="s">
        <v>60</v>
      </c>
    </row>
    <row r="621" spans="1:31" x14ac:dyDescent="0.2">
      <c r="A621">
        <v>579</v>
      </c>
      <c r="B621" s="19" t="s">
        <v>923</v>
      </c>
      <c r="C621">
        <v>32</v>
      </c>
      <c r="D621" s="19" t="s">
        <v>393</v>
      </c>
      <c r="E621" s="19" t="s">
        <v>347</v>
      </c>
      <c r="F621">
        <v>29</v>
      </c>
      <c r="G621">
        <v>1</v>
      </c>
      <c r="H621">
        <v>6</v>
      </c>
      <c r="I621">
        <v>7</v>
      </c>
      <c r="J621">
        <v>9</v>
      </c>
      <c r="K621">
        <v>14</v>
      </c>
      <c r="L621">
        <v>0</v>
      </c>
      <c r="M621">
        <v>0</v>
      </c>
      <c r="N621">
        <v>1</v>
      </c>
      <c r="O621">
        <v>0</v>
      </c>
      <c r="P621">
        <v>6</v>
      </c>
      <c r="Q621">
        <v>0</v>
      </c>
      <c r="R621">
        <v>0</v>
      </c>
      <c r="S621">
        <v>45</v>
      </c>
      <c r="T621">
        <v>2.2000000000000002</v>
      </c>
      <c r="U621">
        <v>108</v>
      </c>
      <c r="V621" s="19" t="s">
        <v>1908</v>
      </c>
      <c r="W621" s="19" t="s">
        <v>1716</v>
      </c>
      <c r="X621">
        <v>0</v>
      </c>
      <c r="Y621">
        <v>0</v>
      </c>
      <c r="AA621">
        <v>27</v>
      </c>
      <c r="AB621">
        <v>14</v>
      </c>
      <c r="AC621">
        <v>3</v>
      </c>
      <c r="AD621">
        <v>20</v>
      </c>
      <c r="AE621" s="19" t="s">
        <v>60</v>
      </c>
    </row>
    <row r="622" spans="1:31" x14ac:dyDescent="0.2">
      <c r="A622">
        <v>580</v>
      </c>
      <c r="B622" s="19" t="s">
        <v>986</v>
      </c>
      <c r="C622">
        <v>25</v>
      </c>
      <c r="D622" s="19" t="s">
        <v>342</v>
      </c>
      <c r="E622" s="19" t="s">
        <v>338</v>
      </c>
      <c r="F622">
        <v>41</v>
      </c>
      <c r="G622">
        <v>3</v>
      </c>
      <c r="H622">
        <v>4</v>
      </c>
      <c r="I622">
        <v>7</v>
      </c>
      <c r="J622">
        <v>-4</v>
      </c>
      <c r="K622">
        <v>12</v>
      </c>
      <c r="L622">
        <v>3</v>
      </c>
      <c r="M622">
        <v>0</v>
      </c>
      <c r="N622">
        <v>0</v>
      </c>
      <c r="O622">
        <v>0</v>
      </c>
      <c r="P622">
        <v>4</v>
      </c>
      <c r="Q622">
        <v>0</v>
      </c>
      <c r="R622">
        <v>0</v>
      </c>
      <c r="S622">
        <v>32</v>
      </c>
      <c r="T622">
        <v>9.4</v>
      </c>
      <c r="U622">
        <v>70</v>
      </c>
      <c r="V622" s="19" t="s">
        <v>2861</v>
      </c>
      <c r="W622" s="19" t="s">
        <v>2339</v>
      </c>
      <c r="X622">
        <v>6</v>
      </c>
      <c r="Y622">
        <v>4</v>
      </c>
      <c r="Z622">
        <v>60</v>
      </c>
      <c r="AA622">
        <v>8</v>
      </c>
      <c r="AB622">
        <v>74</v>
      </c>
      <c r="AC622">
        <v>3</v>
      </c>
      <c r="AD622">
        <v>20</v>
      </c>
      <c r="AE622" s="19" t="s">
        <v>60</v>
      </c>
    </row>
    <row r="623" spans="1:31" x14ac:dyDescent="0.2">
      <c r="A623">
        <v>581</v>
      </c>
      <c r="B623" s="19" t="s">
        <v>820</v>
      </c>
      <c r="C623">
        <v>22</v>
      </c>
      <c r="D623" s="19" t="s">
        <v>423</v>
      </c>
      <c r="E623" s="19" t="s">
        <v>334</v>
      </c>
      <c r="F623">
        <v>16</v>
      </c>
      <c r="G623">
        <v>3</v>
      </c>
      <c r="H623">
        <v>4</v>
      </c>
      <c r="I623">
        <v>7</v>
      </c>
      <c r="J623">
        <v>-3</v>
      </c>
      <c r="K623">
        <v>0</v>
      </c>
      <c r="L623">
        <v>3</v>
      </c>
      <c r="M623">
        <v>0</v>
      </c>
      <c r="N623">
        <v>0</v>
      </c>
      <c r="O623">
        <v>0</v>
      </c>
      <c r="P623">
        <v>2</v>
      </c>
      <c r="Q623">
        <v>2</v>
      </c>
      <c r="R623">
        <v>0</v>
      </c>
      <c r="S623">
        <v>16</v>
      </c>
      <c r="T623">
        <v>18.8</v>
      </c>
      <c r="U623">
        <v>39</v>
      </c>
      <c r="V623" s="19" t="s">
        <v>2862</v>
      </c>
      <c r="W623" s="19" t="s">
        <v>1735</v>
      </c>
      <c r="X623">
        <v>1</v>
      </c>
      <c r="Y623">
        <v>0</v>
      </c>
      <c r="Z623">
        <v>100</v>
      </c>
      <c r="AA623">
        <v>10</v>
      </c>
      <c r="AB623">
        <v>7</v>
      </c>
      <c r="AC623">
        <v>4</v>
      </c>
      <c r="AD623">
        <v>11</v>
      </c>
      <c r="AE623" s="19" t="s">
        <v>60</v>
      </c>
    </row>
    <row r="624" spans="1:31" x14ac:dyDescent="0.2">
      <c r="A624">
        <v>582</v>
      </c>
      <c r="B624" s="19" t="s">
        <v>990</v>
      </c>
      <c r="C624">
        <v>36</v>
      </c>
      <c r="D624" s="19" t="s">
        <v>344</v>
      </c>
      <c r="E624" s="19" t="s">
        <v>347</v>
      </c>
      <c r="F624">
        <v>43</v>
      </c>
      <c r="G624">
        <v>1</v>
      </c>
      <c r="H624">
        <v>6</v>
      </c>
      <c r="I624">
        <v>7</v>
      </c>
      <c r="J624">
        <v>-8</v>
      </c>
      <c r="K624">
        <v>27</v>
      </c>
      <c r="L624">
        <v>1</v>
      </c>
      <c r="M624">
        <v>0</v>
      </c>
      <c r="N624">
        <v>0</v>
      </c>
      <c r="O624">
        <v>0</v>
      </c>
      <c r="P624">
        <v>6</v>
      </c>
      <c r="Q624">
        <v>0</v>
      </c>
      <c r="R624">
        <v>0</v>
      </c>
      <c r="S624">
        <v>31</v>
      </c>
      <c r="T624">
        <v>3.2</v>
      </c>
      <c r="U624">
        <v>84</v>
      </c>
      <c r="V624" s="19" t="s">
        <v>2863</v>
      </c>
      <c r="W624" s="19" t="s">
        <v>1524</v>
      </c>
      <c r="X624">
        <v>0</v>
      </c>
      <c r="Y624">
        <v>0</v>
      </c>
      <c r="AA624">
        <v>53</v>
      </c>
      <c r="AB624">
        <v>133</v>
      </c>
      <c r="AC624">
        <v>6</v>
      </c>
      <c r="AD624">
        <v>38</v>
      </c>
      <c r="AE624" s="19" t="s">
        <v>60</v>
      </c>
    </row>
    <row r="625" spans="1:31" x14ac:dyDescent="0.2">
      <c r="A625">
        <v>583</v>
      </c>
      <c r="B625" s="19" t="s">
        <v>1062</v>
      </c>
      <c r="C625">
        <v>32</v>
      </c>
      <c r="D625" s="19" t="s">
        <v>403</v>
      </c>
      <c r="E625" s="19" t="s">
        <v>347</v>
      </c>
      <c r="F625">
        <v>57</v>
      </c>
      <c r="G625">
        <v>2</v>
      </c>
      <c r="H625">
        <v>5</v>
      </c>
      <c r="I625">
        <v>7</v>
      </c>
      <c r="J625">
        <v>-5</v>
      </c>
      <c r="K625">
        <v>27</v>
      </c>
      <c r="L625">
        <v>2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71</v>
      </c>
      <c r="T625">
        <v>2.8</v>
      </c>
      <c r="U625">
        <v>186</v>
      </c>
      <c r="V625" s="19" t="s">
        <v>2864</v>
      </c>
      <c r="W625" s="19" t="s">
        <v>1882</v>
      </c>
      <c r="X625">
        <v>0</v>
      </c>
      <c r="Y625">
        <v>0</v>
      </c>
      <c r="AA625">
        <v>109</v>
      </c>
      <c r="AB625">
        <v>91</v>
      </c>
      <c r="AC625">
        <v>10</v>
      </c>
      <c r="AD625">
        <v>38</v>
      </c>
      <c r="AE625" s="19" t="s">
        <v>60</v>
      </c>
    </row>
    <row r="626" spans="1:31" x14ac:dyDescent="0.2">
      <c r="A626">
        <v>584</v>
      </c>
      <c r="B626" s="19" t="s">
        <v>1118</v>
      </c>
      <c r="C626">
        <v>28</v>
      </c>
      <c r="D626" s="19" t="s">
        <v>395</v>
      </c>
      <c r="E626" s="19" t="s">
        <v>347</v>
      </c>
      <c r="F626">
        <v>58</v>
      </c>
      <c r="G626">
        <v>0</v>
      </c>
      <c r="H626">
        <v>7</v>
      </c>
      <c r="I626">
        <v>7</v>
      </c>
      <c r="J626">
        <v>-12</v>
      </c>
      <c r="K626">
        <v>44</v>
      </c>
      <c r="L626">
        <v>0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1</v>
      </c>
      <c r="S626">
        <v>44</v>
      </c>
      <c r="T626">
        <v>0</v>
      </c>
      <c r="U626">
        <v>116</v>
      </c>
      <c r="V626" s="19" t="s">
        <v>2865</v>
      </c>
      <c r="W626" s="19" t="s">
        <v>1733</v>
      </c>
      <c r="X626">
        <v>0</v>
      </c>
      <c r="Y626">
        <v>0</v>
      </c>
      <c r="AA626">
        <v>95</v>
      </c>
      <c r="AB626">
        <v>76</v>
      </c>
      <c r="AC626">
        <v>20</v>
      </c>
      <c r="AD626">
        <v>76</v>
      </c>
      <c r="AE626" s="19" t="s">
        <v>60</v>
      </c>
    </row>
    <row r="627" spans="1:31" x14ac:dyDescent="0.2">
      <c r="A627">
        <v>585</v>
      </c>
      <c r="B627" s="19" t="s">
        <v>1554</v>
      </c>
      <c r="C627">
        <v>26</v>
      </c>
      <c r="D627" s="19" t="s">
        <v>373</v>
      </c>
      <c r="E627" s="19" t="s">
        <v>347</v>
      </c>
      <c r="F627">
        <v>17</v>
      </c>
      <c r="G627">
        <v>0</v>
      </c>
      <c r="H627">
        <v>7</v>
      </c>
      <c r="I627">
        <v>7</v>
      </c>
      <c r="J627">
        <v>7</v>
      </c>
      <c r="K627">
        <v>6</v>
      </c>
      <c r="L627">
        <v>0</v>
      </c>
      <c r="M627">
        <v>0</v>
      </c>
      <c r="N627">
        <v>0</v>
      </c>
      <c r="O627">
        <v>0</v>
      </c>
      <c r="P627">
        <v>7</v>
      </c>
      <c r="Q627">
        <v>0</v>
      </c>
      <c r="R627">
        <v>0</v>
      </c>
      <c r="S627">
        <v>16</v>
      </c>
      <c r="T627">
        <v>0</v>
      </c>
      <c r="U627">
        <v>34</v>
      </c>
      <c r="V627" s="19" t="s">
        <v>2049</v>
      </c>
      <c r="W627" s="19" t="s">
        <v>1573</v>
      </c>
      <c r="X627">
        <v>0</v>
      </c>
      <c r="Y627">
        <v>0</v>
      </c>
      <c r="AA627">
        <v>23</v>
      </c>
      <c r="AB627">
        <v>40</v>
      </c>
      <c r="AC627">
        <v>4</v>
      </c>
      <c r="AD627">
        <v>17</v>
      </c>
      <c r="AE627" s="19" t="s">
        <v>60</v>
      </c>
    </row>
    <row r="628" spans="1:31" x14ac:dyDescent="0.2">
      <c r="A628">
        <v>586</v>
      </c>
      <c r="B628" s="19" t="s">
        <v>1122</v>
      </c>
      <c r="C628">
        <v>26</v>
      </c>
      <c r="D628" s="19" t="s">
        <v>502</v>
      </c>
      <c r="E628" s="19" t="s">
        <v>334</v>
      </c>
      <c r="F628">
        <v>41</v>
      </c>
      <c r="G628">
        <v>3</v>
      </c>
      <c r="H628">
        <v>4</v>
      </c>
      <c r="I628">
        <v>7</v>
      </c>
      <c r="J628">
        <v>-10</v>
      </c>
      <c r="K628">
        <v>24</v>
      </c>
      <c r="L628">
        <v>2</v>
      </c>
      <c r="M628">
        <v>0</v>
      </c>
      <c r="N628">
        <v>1</v>
      </c>
      <c r="O628">
        <v>0</v>
      </c>
      <c r="P628">
        <v>3</v>
      </c>
      <c r="Q628">
        <v>0</v>
      </c>
      <c r="R628">
        <v>1</v>
      </c>
      <c r="S628">
        <v>42</v>
      </c>
      <c r="T628">
        <v>7.1</v>
      </c>
      <c r="U628">
        <v>71</v>
      </c>
      <c r="V628" s="19" t="s">
        <v>2327</v>
      </c>
      <c r="W628" s="19" t="s">
        <v>1762</v>
      </c>
      <c r="X628">
        <v>1</v>
      </c>
      <c r="Y628">
        <v>2</v>
      </c>
      <c r="Z628">
        <v>33.299999999999997</v>
      </c>
      <c r="AA628">
        <v>39</v>
      </c>
      <c r="AB628">
        <v>89</v>
      </c>
      <c r="AC628">
        <v>6</v>
      </c>
      <c r="AD628">
        <v>19</v>
      </c>
      <c r="AE628" s="19" t="s">
        <v>60</v>
      </c>
    </row>
    <row r="629" spans="1:31" x14ac:dyDescent="0.2">
      <c r="A629">
        <v>587</v>
      </c>
      <c r="B629" s="19" t="s">
        <v>943</v>
      </c>
      <c r="C629">
        <v>29</v>
      </c>
      <c r="D629" s="19" t="s">
        <v>359</v>
      </c>
      <c r="E629" s="19" t="s">
        <v>347</v>
      </c>
      <c r="F629">
        <v>50</v>
      </c>
      <c r="G629">
        <v>3</v>
      </c>
      <c r="H629">
        <v>3</v>
      </c>
      <c r="I629">
        <v>6</v>
      </c>
      <c r="J629">
        <v>-5</v>
      </c>
      <c r="K629">
        <v>28</v>
      </c>
      <c r="L629">
        <v>3</v>
      </c>
      <c r="M629">
        <v>0</v>
      </c>
      <c r="N629">
        <v>0</v>
      </c>
      <c r="O629">
        <v>2</v>
      </c>
      <c r="P629">
        <v>3</v>
      </c>
      <c r="Q629">
        <v>0</v>
      </c>
      <c r="R629">
        <v>0</v>
      </c>
      <c r="S629">
        <v>49</v>
      </c>
      <c r="T629">
        <v>6.1</v>
      </c>
      <c r="U629">
        <v>123</v>
      </c>
      <c r="V629" s="19" t="s">
        <v>2866</v>
      </c>
      <c r="W629" s="19" t="s">
        <v>1938</v>
      </c>
      <c r="X629">
        <v>0</v>
      </c>
      <c r="Y629">
        <v>0</v>
      </c>
      <c r="AA629">
        <v>70</v>
      </c>
      <c r="AB629">
        <v>72</v>
      </c>
      <c r="AC629">
        <v>11</v>
      </c>
      <c r="AD629">
        <v>45</v>
      </c>
      <c r="AE629" s="19" t="s">
        <v>60</v>
      </c>
    </row>
    <row r="630" spans="1:31" x14ac:dyDescent="0.2">
      <c r="A630">
        <v>588</v>
      </c>
      <c r="B630" s="19" t="s">
        <v>845</v>
      </c>
      <c r="C630">
        <v>28</v>
      </c>
      <c r="D630" s="19" t="s">
        <v>364</v>
      </c>
      <c r="E630" s="19" t="s">
        <v>334</v>
      </c>
      <c r="F630">
        <v>60</v>
      </c>
      <c r="G630">
        <v>4</v>
      </c>
      <c r="H630">
        <v>2</v>
      </c>
      <c r="I630">
        <v>6</v>
      </c>
      <c r="J630">
        <v>-4</v>
      </c>
      <c r="K630">
        <v>58</v>
      </c>
      <c r="L630">
        <v>3</v>
      </c>
      <c r="M630">
        <v>0</v>
      </c>
      <c r="N630">
        <v>1</v>
      </c>
      <c r="O630">
        <v>0</v>
      </c>
      <c r="P630">
        <v>2</v>
      </c>
      <c r="Q630">
        <v>0</v>
      </c>
      <c r="R630">
        <v>0</v>
      </c>
      <c r="S630">
        <v>44</v>
      </c>
      <c r="T630">
        <v>9.1</v>
      </c>
      <c r="U630">
        <v>101</v>
      </c>
      <c r="V630" s="19" t="s">
        <v>2867</v>
      </c>
      <c r="W630" s="19" t="s">
        <v>1933</v>
      </c>
      <c r="X630">
        <v>11</v>
      </c>
      <c r="Y630">
        <v>23</v>
      </c>
      <c r="Z630">
        <v>32.4</v>
      </c>
      <c r="AA630">
        <v>38</v>
      </c>
      <c r="AB630">
        <v>118</v>
      </c>
      <c r="AC630">
        <v>6</v>
      </c>
      <c r="AD630">
        <v>18</v>
      </c>
      <c r="AE630" s="19" t="s">
        <v>60</v>
      </c>
    </row>
    <row r="631" spans="1:31" x14ac:dyDescent="0.2">
      <c r="A631">
        <v>589</v>
      </c>
      <c r="B631" s="19" t="s">
        <v>1027</v>
      </c>
      <c r="C631">
        <v>31</v>
      </c>
      <c r="D631" s="19" t="s">
        <v>377</v>
      </c>
      <c r="E631" s="19" t="s">
        <v>322</v>
      </c>
      <c r="F631">
        <v>25</v>
      </c>
      <c r="G631">
        <v>2</v>
      </c>
      <c r="H631">
        <v>4</v>
      </c>
      <c r="I631">
        <v>6</v>
      </c>
      <c r="J631">
        <v>-1</v>
      </c>
      <c r="K631">
        <v>12</v>
      </c>
      <c r="L631">
        <v>0</v>
      </c>
      <c r="M631">
        <v>0</v>
      </c>
      <c r="N631">
        <v>2</v>
      </c>
      <c r="O631">
        <v>1</v>
      </c>
      <c r="P631">
        <v>4</v>
      </c>
      <c r="Q631">
        <v>0</v>
      </c>
      <c r="R631">
        <v>0</v>
      </c>
      <c r="S631">
        <v>29</v>
      </c>
      <c r="T631">
        <v>6.9</v>
      </c>
      <c r="U631">
        <v>61</v>
      </c>
      <c r="V631" s="19" t="s">
        <v>1988</v>
      </c>
      <c r="W631" s="19" t="s">
        <v>1632</v>
      </c>
      <c r="X631">
        <v>103</v>
      </c>
      <c r="Y631">
        <v>78</v>
      </c>
      <c r="Z631">
        <v>56.9</v>
      </c>
      <c r="AA631">
        <v>21</v>
      </c>
      <c r="AB631">
        <v>44</v>
      </c>
      <c r="AC631">
        <v>6</v>
      </c>
      <c r="AD631">
        <v>7</v>
      </c>
      <c r="AE631" s="19" t="s">
        <v>60</v>
      </c>
    </row>
    <row r="632" spans="1:31" x14ac:dyDescent="0.2">
      <c r="A632">
        <v>590</v>
      </c>
      <c r="B632" s="19" t="s">
        <v>1168</v>
      </c>
      <c r="C632">
        <v>19</v>
      </c>
      <c r="D632" s="19" t="s">
        <v>430</v>
      </c>
      <c r="E632" s="19" t="s">
        <v>325</v>
      </c>
      <c r="F632">
        <v>13</v>
      </c>
      <c r="G632">
        <v>3</v>
      </c>
      <c r="H632">
        <v>3</v>
      </c>
      <c r="I632">
        <v>6</v>
      </c>
      <c r="J632">
        <v>-9</v>
      </c>
      <c r="K632">
        <v>0</v>
      </c>
      <c r="L632">
        <v>2</v>
      </c>
      <c r="M632">
        <v>1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25</v>
      </c>
      <c r="T632">
        <v>12</v>
      </c>
      <c r="U632">
        <v>55</v>
      </c>
      <c r="V632" s="19" t="s">
        <v>1905</v>
      </c>
      <c r="W632" s="19" t="s">
        <v>1685</v>
      </c>
      <c r="X632">
        <v>1</v>
      </c>
      <c r="Y632">
        <v>8</v>
      </c>
      <c r="Z632">
        <v>11.1</v>
      </c>
      <c r="AA632">
        <v>10</v>
      </c>
      <c r="AB632">
        <v>6</v>
      </c>
      <c r="AC632">
        <v>4</v>
      </c>
      <c r="AD632">
        <v>19</v>
      </c>
      <c r="AE632" s="19" t="s">
        <v>60</v>
      </c>
    </row>
    <row r="633" spans="1:31" x14ac:dyDescent="0.2">
      <c r="A633">
        <v>591</v>
      </c>
      <c r="B633" s="19" t="s">
        <v>1091</v>
      </c>
      <c r="C633">
        <v>28</v>
      </c>
      <c r="D633" s="19" t="s">
        <v>336</v>
      </c>
      <c r="E633" s="19" t="s">
        <v>322</v>
      </c>
      <c r="F633">
        <v>32</v>
      </c>
      <c r="G633">
        <v>3</v>
      </c>
      <c r="H633">
        <v>3</v>
      </c>
      <c r="I633">
        <v>6</v>
      </c>
      <c r="J633">
        <v>-3</v>
      </c>
      <c r="K633">
        <v>13</v>
      </c>
      <c r="L633">
        <v>3</v>
      </c>
      <c r="M633">
        <v>0</v>
      </c>
      <c r="N633">
        <v>0</v>
      </c>
      <c r="O633">
        <v>0</v>
      </c>
      <c r="P633">
        <v>3</v>
      </c>
      <c r="Q633">
        <v>0</v>
      </c>
      <c r="R633">
        <v>0</v>
      </c>
      <c r="S633">
        <v>21</v>
      </c>
      <c r="T633">
        <v>14.3</v>
      </c>
      <c r="U633">
        <v>53</v>
      </c>
      <c r="V633" s="19" t="s">
        <v>2868</v>
      </c>
      <c r="W633" s="19" t="s">
        <v>979</v>
      </c>
      <c r="X633">
        <v>90</v>
      </c>
      <c r="Y633">
        <v>90</v>
      </c>
      <c r="Z633">
        <v>50</v>
      </c>
      <c r="AA633">
        <v>19</v>
      </c>
      <c r="AB633">
        <v>87</v>
      </c>
      <c r="AC633">
        <v>4</v>
      </c>
      <c r="AD633">
        <v>20</v>
      </c>
      <c r="AE633" s="19" t="s">
        <v>60</v>
      </c>
    </row>
    <row r="634" spans="1:31" x14ac:dyDescent="0.2">
      <c r="A634">
        <v>592</v>
      </c>
      <c r="B634" s="19" t="s">
        <v>1350</v>
      </c>
      <c r="C634">
        <v>31</v>
      </c>
      <c r="D634" s="19" t="s">
        <v>440</v>
      </c>
      <c r="E634" s="19" t="s">
        <v>322</v>
      </c>
      <c r="F634">
        <v>35</v>
      </c>
      <c r="G634">
        <v>2</v>
      </c>
      <c r="H634">
        <v>4</v>
      </c>
      <c r="I634">
        <v>6</v>
      </c>
      <c r="J634">
        <v>-12</v>
      </c>
      <c r="K634">
        <v>8</v>
      </c>
      <c r="L634">
        <v>2</v>
      </c>
      <c r="M634">
        <v>0</v>
      </c>
      <c r="N634">
        <v>0</v>
      </c>
      <c r="O634">
        <v>0</v>
      </c>
      <c r="P634">
        <v>4</v>
      </c>
      <c r="Q634">
        <v>0</v>
      </c>
      <c r="R634">
        <v>0</v>
      </c>
      <c r="S634">
        <v>35</v>
      </c>
      <c r="T634">
        <v>5.7</v>
      </c>
      <c r="U634">
        <v>62</v>
      </c>
      <c r="V634" s="19" t="s">
        <v>2869</v>
      </c>
      <c r="W634" s="19" t="s">
        <v>1684</v>
      </c>
      <c r="X634">
        <v>266</v>
      </c>
      <c r="Y634">
        <v>233</v>
      </c>
      <c r="Z634">
        <v>53.3</v>
      </c>
      <c r="AA634">
        <v>19</v>
      </c>
      <c r="AB634">
        <v>40</v>
      </c>
      <c r="AC634">
        <v>6</v>
      </c>
      <c r="AD634">
        <v>18</v>
      </c>
      <c r="AE634" s="19" t="s">
        <v>60</v>
      </c>
    </row>
    <row r="635" spans="1:31" x14ac:dyDescent="0.2">
      <c r="A635">
        <v>593</v>
      </c>
      <c r="B635" s="19" t="s">
        <v>1105</v>
      </c>
      <c r="C635">
        <v>26</v>
      </c>
      <c r="D635" s="19" t="s">
        <v>380</v>
      </c>
      <c r="E635" s="19" t="s">
        <v>325</v>
      </c>
      <c r="F635">
        <v>42</v>
      </c>
      <c r="G635">
        <v>2</v>
      </c>
      <c r="H635">
        <v>4</v>
      </c>
      <c r="I635">
        <v>6</v>
      </c>
      <c r="J635">
        <v>-3</v>
      </c>
      <c r="K635">
        <v>31</v>
      </c>
      <c r="L635">
        <v>2</v>
      </c>
      <c r="M635">
        <v>0</v>
      </c>
      <c r="N635">
        <v>0</v>
      </c>
      <c r="O635">
        <v>0</v>
      </c>
      <c r="P635">
        <v>4</v>
      </c>
      <c r="Q635">
        <v>0</v>
      </c>
      <c r="R635">
        <v>0</v>
      </c>
      <c r="S635">
        <v>34</v>
      </c>
      <c r="T635">
        <v>5.9</v>
      </c>
      <c r="U635">
        <v>61</v>
      </c>
      <c r="V635" s="19" t="s">
        <v>2870</v>
      </c>
      <c r="W635" s="19" t="s">
        <v>1870</v>
      </c>
      <c r="X635">
        <v>42</v>
      </c>
      <c r="Y635">
        <v>26</v>
      </c>
      <c r="Z635">
        <v>61.8</v>
      </c>
      <c r="AA635">
        <v>15</v>
      </c>
      <c r="AB635">
        <v>84</v>
      </c>
      <c r="AC635">
        <v>4</v>
      </c>
      <c r="AD635">
        <v>16</v>
      </c>
      <c r="AE635" s="19" t="s">
        <v>60</v>
      </c>
    </row>
    <row r="636" spans="1:31" x14ac:dyDescent="0.2">
      <c r="A636">
        <v>594</v>
      </c>
      <c r="B636" s="19" t="s">
        <v>865</v>
      </c>
      <c r="C636">
        <v>24</v>
      </c>
      <c r="D636" s="19" t="s">
        <v>350</v>
      </c>
      <c r="E636" s="19" t="s">
        <v>347</v>
      </c>
      <c r="F636">
        <v>33</v>
      </c>
      <c r="G636">
        <v>2</v>
      </c>
      <c r="H636">
        <v>4</v>
      </c>
      <c r="I636">
        <v>6</v>
      </c>
      <c r="J636">
        <v>12</v>
      </c>
      <c r="K636">
        <v>43</v>
      </c>
      <c r="L636">
        <v>2</v>
      </c>
      <c r="M636">
        <v>0</v>
      </c>
      <c r="N636">
        <v>0</v>
      </c>
      <c r="O636">
        <v>0</v>
      </c>
      <c r="P636">
        <v>4</v>
      </c>
      <c r="Q636">
        <v>0</v>
      </c>
      <c r="R636">
        <v>0</v>
      </c>
      <c r="S636">
        <v>24</v>
      </c>
      <c r="T636">
        <v>8.3000000000000007</v>
      </c>
      <c r="U636">
        <v>64</v>
      </c>
      <c r="V636" s="19" t="s">
        <v>2871</v>
      </c>
      <c r="W636" s="19" t="s">
        <v>2487</v>
      </c>
      <c r="X636">
        <v>0</v>
      </c>
      <c r="Y636">
        <v>0</v>
      </c>
      <c r="AA636">
        <v>33</v>
      </c>
      <c r="AB636">
        <v>55</v>
      </c>
      <c r="AC636">
        <v>5</v>
      </c>
      <c r="AD636">
        <v>25</v>
      </c>
      <c r="AE636" s="19" t="s">
        <v>60</v>
      </c>
    </row>
    <row r="637" spans="1:31" x14ac:dyDescent="0.2">
      <c r="A637">
        <v>595</v>
      </c>
      <c r="B637" s="19" t="s">
        <v>1205</v>
      </c>
      <c r="C637">
        <v>23</v>
      </c>
      <c r="D637" s="19" t="s">
        <v>359</v>
      </c>
      <c r="E637" s="19" t="s">
        <v>347</v>
      </c>
      <c r="F637">
        <v>28</v>
      </c>
      <c r="G637">
        <v>0</v>
      </c>
      <c r="H637">
        <v>6</v>
      </c>
      <c r="I637">
        <v>6</v>
      </c>
      <c r="J637">
        <v>-4</v>
      </c>
      <c r="K637">
        <v>4</v>
      </c>
      <c r="L637">
        <v>0</v>
      </c>
      <c r="M637">
        <v>0</v>
      </c>
      <c r="N637">
        <v>0</v>
      </c>
      <c r="O637">
        <v>0</v>
      </c>
      <c r="P637">
        <v>4</v>
      </c>
      <c r="Q637">
        <v>2</v>
      </c>
      <c r="R637">
        <v>0</v>
      </c>
      <c r="S637">
        <v>23</v>
      </c>
      <c r="T637">
        <v>0</v>
      </c>
      <c r="U637">
        <v>88</v>
      </c>
      <c r="V637" s="19" t="s">
        <v>2106</v>
      </c>
      <c r="W637" s="19" t="s">
        <v>1477</v>
      </c>
      <c r="X637">
        <v>0</v>
      </c>
      <c r="Y637">
        <v>0</v>
      </c>
      <c r="AA637">
        <v>28</v>
      </c>
      <c r="AB637">
        <v>9</v>
      </c>
      <c r="AC637">
        <v>4</v>
      </c>
      <c r="AD637">
        <v>21</v>
      </c>
      <c r="AE637" s="19" t="s">
        <v>60</v>
      </c>
    </row>
    <row r="638" spans="1:31" x14ac:dyDescent="0.2">
      <c r="A638">
        <v>596</v>
      </c>
      <c r="B638" s="19" t="s">
        <v>983</v>
      </c>
      <c r="C638">
        <v>21</v>
      </c>
      <c r="D638" s="19" t="s">
        <v>520</v>
      </c>
      <c r="E638" s="19" t="s">
        <v>334</v>
      </c>
      <c r="F638">
        <v>24</v>
      </c>
      <c r="G638">
        <v>4</v>
      </c>
      <c r="H638">
        <v>2</v>
      </c>
      <c r="I638">
        <v>6</v>
      </c>
      <c r="J638">
        <v>1</v>
      </c>
      <c r="K638">
        <v>6</v>
      </c>
      <c r="L638">
        <v>3</v>
      </c>
      <c r="M638">
        <v>1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31</v>
      </c>
      <c r="T638">
        <v>12.9</v>
      </c>
      <c r="U638">
        <v>68</v>
      </c>
      <c r="V638" s="19" t="s">
        <v>1613</v>
      </c>
      <c r="W638" s="19" t="s">
        <v>1544</v>
      </c>
      <c r="X638">
        <v>2</v>
      </c>
      <c r="Y638">
        <v>4</v>
      </c>
      <c r="Z638">
        <v>33.299999999999997</v>
      </c>
      <c r="AA638">
        <v>4</v>
      </c>
      <c r="AB638">
        <v>20</v>
      </c>
      <c r="AC638">
        <v>1</v>
      </c>
      <c r="AD638">
        <v>13</v>
      </c>
      <c r="AE638" s="19" t="s">
        <v>60</v>
      </c>
    </row>
    <row r="639" spans="1:31" x14ac:dyDescent="0.2">
      <c r="A639">
        <v>597</v>
      </c>
      <c r="B639" s="19" t="s">
        <v>1057</v>
      </c>
      <c r="C639">
        <v>31</v>
      </c>
      <c r="D639" s="19" t="s">
        <v>395</v>
      </c>
      <c r="E639" s="19" t="s">
        <v>347</v>
      </c>
      <c r="F639">
        <v>34</v>
      </c>
      <c r="G639">
        <v>1</v>
      </c>
      <c r="H639">
        <v>5</v>
      </c>
      <c r="I639">
        <v>6</v>
      </c>
      <c r="J639">
        <v>-11</v>
      </c>
      <c r="K639">
        <v>6</v>
      </c>
      <c r="L639">
        <v>1</v>
      </c>
      <c r="M639">
        <v>0</v>
      </c>
      <c r="N639">
        <v>0</v>
      </c>
      <c r="O639">
        <v>0</v>
      </c>
      <c r="P639">
        <v>5</v>
      </c>
      <c r="Q639">
        <v>0</v>
      </c>
      <c r="R639">
        <v>0</v>
      </c>
      <c r="S639">
        <v>42</v>
      </c>
      <c r="T639">
        <v>2.4</v>
      </c>
      <c r="U639">
        <v>81</v>
      </c>
      <c r="V639" s="19" t="s">
        <v>2872</v>
      </c>
      <c r="W639" s="19" t="s">
        <v>2782</v>
      </c>
      <c r="X639">
        <v>0</v>
      </c>
      <c r="Y639">
        <v>0</v>
      </c>
      <c r="AA639">
        <v>74</v>
      </c>
      <c r="AB639">
        <v>11</v>
      </c>
      <c r="AC639">
        <v>15</v>
      </c>
      <c r="AD639">
        <v>19</v>
      </c>
      <c r="AE639" s="19" t="s">
        <v>60</v>
      </c>
    </row>
    <row r="640" spans="1:31" x14ac:dyDescent="0.2">
      <c r="A640">
        <v>598</v>
      </c>
      <c r="B640" s="19" t="s">
        <v>1553</v>
      </c>
      <c r="C640">
        <v>31</v>
      </c>
      <c r="D640" s="19" t="s">
        <v>403</v>
      </c>
      <c r="E640" s="19" t="s">
        <v>347</v>
      </c>
      <c r="F640">
        <v>20</v>
      </c>
      <c r="G640">
        <v>1</v>
      </c>
      <c r="H640">
        <v>5</v>
      </c>
      <c r="I640">
        <v>6</v>
      </c>
      <c r="J640">
        <v>-5</v>
      </c>
      <c r="K640">
        <v>4</v>
      </c>
      <c r="L640">
        <v>1</v>
      </c>
      <c r="M640">
        <v>0</v>
      </c>
      <c r="N640">
        <v>0</v>
      </c>
      <c r="O640">
        <v>0</v>
      </c>
      <c r="P640">
        <v>4</v>
      </c>
      <c r="Q640">
        <v>0</v>
      </c>
      <c r="R640">
        <v>1</v>
      </c>
      <c r="S640">
        <v>33</v>
      </c>
      <c r="T640">
        <v>3</v>
      </c>
      <c r="U640">
        <v>72</v>
      </c>
      <c r="V640" s="19" t="s">
        <v>2873</v>
      </c>
      <c r="W640" s="19" t="s">
        <v>1647</v>
      </c>
      <c r="X640">
        <v>0</v>
      </c>
      <c r="Y640">
        <v>0</v>
      </c>
      <c r="AA640">
        <v>27</v>
      </c>
      <c r="AB640">
        <v>20</v>
      </c>
      <c r="AC640">
        <v>6</v>
      </c>
      <c r="AD640">
        <v>15</v>
      </c>
      <c r="AE640" s="19" t="s">
        <v>60</v>
      </c>
    </row>
    <row r="641" spans="1:31" x14ac:dyDescent="0.2">
      <c r="A641">
        <v>599</v>
      </c>
      <c r="B641" s="19" t="s">
        <v>1224</v>
      </c>
      <c r="C641">
        <v>22</v>
      </c>
      <c r="D641" s="19" t="s">
        <v>452</v>
      </c>
      <c r="E641" s="19" t="s">
        <v>338</v>
      </c>
      <c r="F641">
        <v>27</v>
      </c>
      <c r="G641">
        <v>4</v>
      </c>
      <c r="H641">
        <v>2</v>
      </c>
      <c r="I641">
        <v>6</v>
      </c>
      <c r="J641">
        <v>-9</v>
      </c>
      <c r="K641">
        <v>13</v>
      </c>
      <c r="L641">
        <v>4</v>
      </c>
      <c r="M641">
        <v>0</v>
      </c>
      <c r="N641">
        <v>0</v>
      </c>
      <c r="O641">
        <v>1</v>
      </c>
      <c r="P641">
        <v>2</v>
      </c>
      <c r="Q641">
        <v>0</v>
      </c>
      <c r="R641">
        <v>0</v>
      </c>
      <c r="S641">
        <v>24</v>
      </c>
      <c r="T641">
        <v>16.7</v>
      </c>
      <c r="U641">
        <v>53</v>
      </c>
      <c r="V641" s="19" t="s">
        <v>2874</v>
      </c>
      <c r="W641" s="19" t="s">
        <v>1855</v>
      </c>
      <c r="X641">
        <v>0</v>
      </c>
      <c r="Y641">
        <v>1</v>
      </c>
      <c r="Z641">
        <v>0</v>
      </c>
      <c r="AA641">
        <v>20</v>
      </c>
      <c r="AB641">
        <v>68</v>
      </c>
      <c r="AC641">
        <v>3</v>
      </c>
      <c r="AD641">
        <v>11</v>
      </c>
      <c r="AE641" s="19" t="s">
        <v>60</v>
      </c>
    </row>
    <row r="642" spans="1:31" x14ac:dyDescent="0.2">
      <c r="A642">
        <v>600</v>
      </c>
      <c r="B642" s="19" t="s">
        <v>879</v>
      </c>
      <c r="C642">
        <v>27</v>
      </c>
      <c r="D642" s="19" t="s">
        <v>423</v>
      </c>
      <c r="E642" s="19" t="s">
        <v>347</v>
      </c>
      <c r="F642">
        <v>33</v>
      </c>
      <c r="G642">
        <v>0</v>
      </c>
      <c r="H642">
        <v>6</v>
      </c>
      <c r="I642">
        <v>6</v>
      </c>
      <c r="J642">
        <v>-11</v>
      </c>
      <c r="K642">
        <v>16</v>
      </c>
      <c r="L642">
        <v>0</v>
      </c>
      <c r="M642">
        <v>0</v>
      </c>
      <c r="N642">
        <v>0</v>
      </c>
      <c r="O642">
        <v>0</v>
      </c>
      <c r="P642">
        <v>6</v>
      </c>
      <c r="Q642">
        <v>0</v>
      </c>
      <c r="R642">
        <v>0</v>
      </c>
      <c r="S642">
        <v>33</v>
      </c>
      <c r="T642">
        <v>0</v>
      </c>
      <c r="U642">
        <v>90</v>
      </c>
      <c r="V642" s="19" t="s">
        <v>1558</v>
      </c>
      <c r="W642" s="19" t="s">
        <v>1089</v>
      </c>
      <c r="X642">
        <v>0</v>
      </c>
      <c r="Y642">
        <v>0</v>
      </c>
      <c r="AA642">
        <v>70</v>
      </c>
      <c r="AB642">
        <v>25</v>
      </c>
      <c r="AC642">
        <v>8</v>
      </c>
      <c r="AD642">
        <v>40</v>
      </c>
      <c r="AE642" s="19" t="s">
        <v>60</v>
      </c>
    </row>
    <row r="643" spans="1:31" x14ac:dyDescent="0.2">
      <c r="A643">
        <v>601</v>
      </c>
      <c r="B643" s="19" t="s">
        <v>999</v>
      </c>
      <c r="C643">
        <v>31</v>
      </c>
      <c r="D643" s="19" t="s">
        <v>336</v>
      </c>
      <c r="E643" s="19" t="s">
        <v>338</v>
      </c>
      <c r="F643">
        <v>38</v>
      </c>
      <c r="G643">
        <v>3</v>
      </c>
      <c r="H643">
        <v>3</v>
      </c>
      <c r="I643">
        <v>6</v>
      </c>
      <c r="J643">
        <v>-10</v>
      </c>
      <c r="K643">
        <v>36</v>
      </c>
      <c r="L643">
        <v>3</v>
      </c>
      <c r="M643">
        <v>0</v>
      </c>
      <c r="N643">
        <v>0</v>
      </c>
      <c r="O643">
        <v>1</v>
      </c>
      <c r="P643">
        <v>2</v>
      </c>
      <c r="Q643">
        <v>1</v>
      </c>
      <c r="R643">
        <v>0</v>
      </c>
      <c r="S643">
        <v>68</v>
      </c>
      <c r="T643">
        <v>4.4000000000000004</v>
      </c>
      <c r="U643">
        <v>118</v>
      </c>
      <c r="V643" s="19" t="s">
        <v>1633</v>
      </c>
      <c r="W643" s="19" t="s">
        <v>967</v>
      </c>
      <c r="X643">
        <v>5</v>
      </c>
      <c r="Y643">
        <v>8</v>
      </c>
      <c r="Z643">
        <v>38.5</v>
      </c>
      <c r="AA643">
        <v>24</v>
      </c>
      <c r="AB643">
        <v>67</v>
      </c>
      <c r="AC643">
        <v>5</v>
      </c>
      <c r="AD643">
        <v>15</v>
      </c>
      <c r="AE643" s="19" t="s">
        <v>60</v>
      </c>
    </row>
    <row r="644" spans="1:31" x14ac:dyDescent="0.2">
      <c r="A644">
        <v>602</v>
      </c>
      <c r="B644" s="19" t="s">
        <v>1449</v>
      </c>
      <c r="C644">
        <v>25</v>
      </c>
      <c r="D644" s="19" t="s">
        <v>933</v>
      </c>
      <c r="E644" s="19" t="s">
        <v>347</v>
      </c>
      <c r="F644">
        <v>21</v>
      </c>
      <c r="G644">
        <v>1</v>
      </c>
      <c r="H644">
        <v>5</v>
      </c>
      <c r="I644">
        <v>6</v>
      </c>
      <c r="J644">
        <v>5</v>
      </c>
      <c r="K644">
        <v>10</v>
      </c>
      <c r="L644">
        <v>1</v>
      </c>
      <c r="M644">
        <v>0</v>
      </c>
      <c r="N644">
        <v>0</v>
      </c>
      <c r="O644">
        <v>0</v>
      </c>
      <c r="P644">
        <v>5</v>
      </c>
      <c r="Q644">
        <v>0</v>
      </c>
      <c r="R644">
        <v>0</v>
      </c>
      <c r="S644">
        <v>16</v>
      </c>
      <c r="T644">
        <v>6.3</v>
      </c>
      <c r="U644">
        <v>50</v>
      </c>
      <c r="V644" s="19" t="s">
        <v>2875</v>
      </c>
      <c r="W644" s="19" t="s">
        <v>1298</v>
      </c>
      <c r="X644">
        <v>0</v>
      </c>
      <c r="Y644">
        <v>0</v>
      </c>
      <c r="AA644">
        <v>22</v>
      </c>
      <c r="AB644">
        <v>24</v>
      </c>
      <c r="AC644">
        <v>5</v>
      </c>
      <c r="AD644">
        <v>10</v>
      </c>
      <c r="AE644" s="19" t="s">
        <v>60</v>
      </c>
    </row>
    <row r="645" spans="1:31" x14ac:dyDescent="0.2">
      <c r="A645">
        <v>602</v>
      </c>
      <c r="B645" s="19" t="s">
        <v>1449</v>
      </c>
      <c r="C645">
        <v>25</v>
      </c>
      <c r="D645" s="19" t="s">
        <v>321</v>
      </c>
      <c r="E645" s="19" t="s">
        <v>347</v>
      </c>
      <c r="F645">
        <v>16</v>
      </c>
      <c r="G645">
        <v>1</v>
      </c>
      <c r="H645">
        <v>2</v>
      </c>
      <c r="I645">
        <v>3</v>
      </c>
      <c r="J645">
        <v>-1</v>
      </c>
      <c r="K645">
        <v>6</v>
      </c>
      <c r="L645">
        <v>1</v>
      </c>
      <c r="M645">
        <v>0</v>
      </c>
      <c r="N645">
        <v>0</v>
      </c>
      <c r="O645">
        <v>0</v>
      </c>
      <c r="P645">
        <v>2</v>
      </c>
      <c r="Q645">
        <v>0</v>
      </c>
      <c r="R645">
        <v>0</v>
      </c>
      <c r="S645">
        <v>14</v>
      </c>
      <c r="T645">
        <v>7.1</v>
      </c>
      <c r="U645">
        <v>43</v>
      </c>
      <c r="V645" s="19" t="s">
        <v>1970</v>
      </c>
      <c r="W645" s="19" t="s">
        <v>1590</v>
      </c>
      <c r="X645">
        <v>0</v>
      </c>
      <c r="Y645">
        <v>0</v>
      </c>
      <c r="AA645">
        <v>19</v>
      </c>
      <c r="AB645">
        <v>19</v>
      </c>
      <c r="AC645">
        <v>3</v>
      </c>
      <c r="AD645">
        <v>6</v>
      </c>
      <c r="AE645" s="19" t="s">
        <v>60</v>
      </c>
    </row>
    <row r="646" spans="1:31" x14ac:dyDescent="0.2">
      <c r="A646">
        <v>602</v>
      </c>
      <c r="B646" s="19" t="s">
        <v>1449</v>
      </c>
      <c r="C646">
        <v>25</v>
      </c>
      <c r="D646" s="19" t="s">
        <v>373</v>
      </c>
      <c r="E646" s="19" t="s">
        <v>347</v>
      </c>
      <c r="F646">
        <v>5</v>
      </c>
      <c r="G646">
        <v>0</v>
      </c>
      <c r="H646">
        <v>3</v>
      </c>
      <c r="I646">
        <v>3</v>
      </c>
      <c r="J646">
        <v>6</v>
      </c>
      <c r="K646">
        <v>4</v>
      </c>
      <c r="L646">
        <v>0</v>
      </c>
      <c r="M646">
        <v>0</v>
      </c>
      <c r="N646">
        <v>0</v>
      </c>
      <c r="O646">
        <v>0</v>
      </c>
      <c r="P646">
        <v>3</v>
      </c>
      <c r="Q646">
        <v>0</v>
      </c>
      <c r="R646">
        <v>0</v>
      </c>
      <c r="S646">
        <v>2</v>
      </c>
      <c r="T646">
        <v>0</v>
      </c>
      <c r="U646">
        <v>7</v>
      </c>
      <c r="V646" s="19" t="s">
        <v>2876</v>
      </c>
      <c r="W646" s="19" t="s">
        <v>1313</v>
      </c>
      <c r="X646">
        <v>0</v>
      </c>
      <c r="Y646">
        <v>0</v>
      </c>
      <c r="AA646">
        <v>3</v>
      </c>
      <c r="AB646">
        <v>5</v>
      </c>
      <c r="AC646">
        <v>2</v>
      </c>
      <c r="AD646">
        <v>4</v>
      </c>
      <c r="AE646" s="19" t="s">
        <v>60</v>
      </c>
    </row>
    <row r="647" spans="1:31" x14ac:dyDescent="0.2">
      <c r="A647">
        <v>603</v>
      </c>
      <c r="B647" s="19" t="s">
        <v>1002</v>
      </c>
      <c r="C647">
        <v>31</v>
      </c>
      <c r="D647" s="19" t="s">
        <v>377</v>
      </c>
      <c r="E647" s="19" t="s">
        <v>322</v>
      </c>
      <c r="F647">
        <v>26</v>
      </c>
      <c r="G647">
        <v>1</v>
      </c>
      <c r="H647">
        <v>4</v>
      </c>
      <c r="I647">
        <v>5</v>
      </c>
      <c r="J647">
        <v>-1</v>
      </c>
      <c r="K647">
        <v>12</v>
      </c>
      <c r="L647">
        <v>1</v>
      </c>
      <c r="M647">
        <v>0</v>
      </c>
      <c r="N647">
        <v>0</v>
      </c>
      <c r="O647">
        <v>0</v>
      </c>
      <c r="P647">
        <v>4</v>
      </c>
      <c r="Q647">
        <v>0</v>
      </c>
      <c r="R647">
        <v>0</v>
      </c>
      <c r="S647">
        <v>17</v>
      </c>
      <c r="T647">
        <v>5.9</v>
      </c>
      <c r="U647">
        <v>31</v>
      </c>
      <c r="V647" s="19" t="s">
        <v>1990</v>
      </c>
      <c r="W647" s="19" t="s">
        <v>1592</v>
      </c>
      <c r="X647">
        <v>7</v>
      </c>
      <c r="Y647">
        <v>18</v>
      </c>
      <c r="Z647">
        <v>28</v>
      </c>
      <c r="AA647">
        <v>17</v>
      </c>
      <c r="AB647">
        <v>71</v>
      </c>
      <c r="AC647">
        <v>2</v>
      </c>
      <c r="AD647">
        <v>10</v>
      </c>
      <c r="AE647" s="19" t="s">
        <v>60</v>
      </c>
    </row>
    <row r="648" spans="1:31" x14ac:dyDescent="0.2">
      <c r="A648">
        <v>604</v>
      </c>
      <c r="B648" s="19" t="s">
        <v>882</v>
      </c>
      <c r="C648">
        <v>25</v>
      </c>
      <c r="D648" s="19" t="s">
        <v>440</v>
      </c>
      <c r="E648" s="19" t="s">
        <v>325</v>
      </c>
      <c r="F648">
        <v>28</v>
      </c>
      <c r="G648">
        <v>1</v>
      </c>
      <c r="H648">
        <v>4</v>
      </c>
      <c r="I648">
        <v>5</v>
      </c>
      <c r="J648">
        <v>-3</v>
      </c>
      <c r="K648">
        <v>12</v>
      </c>
      <c r="L648">
        <v>1</v>
      </c>
      <c r="M648">
        <v>0</v>
      </c>
      <c r="N648">
        <v>0</v>
      </c>
      <c r="O648">
        <v>0</v>
      </c>
      <c r="P648">
        <v>3</v>
      </c>
      <c r="Q648">
        <v>1</v>
      </c>
      <c r="R648">
        <v>0</v>
      </c>
      <c r="S648">
        <v>18</v>
      </c>
      <c r="T648">
        <v>5.6</v>
      </c>
      <c r="U648">
        <v>31</v>
      </c>
      <c r="V648" s="19" t="s">
        <v>1937</v>
      </c>
      <c r="W648" s="19" t="s">
        <v>1274</v>
      </c>
      <c r="X648">
        <v>2</v>
      </c>
      <c r="Y648">
        <v>12</v>
      </c>
      <c r="Z648">
        <v>14.3</v>
      </c>
      <c r="AA648">
        <v>5</v>
      </c>
      <c r="AB648">
        <v>24</v>
      </c>
      <c r="AC648">
        <v>6</v>
      </c>
      <c r="AD648">
        <v>11</v>
      </c>
      <c r="AE648" s="19" t="s">
        <v>60</v>
      </c>
    </row>
    <row r="649" spans="1:31" x14ac:dyDescent="0.2">
      <c r="A649">
        <v>605</v>
      </c>
      <c r="B649" s="19" t="s">
        <v>942</v>
      </c>
      <c r="C649">
        <v>24</v>
      </c>
      <c r="D649" s="19" t="s">
        <v>452</v>
      </c>
      <c r="E649" s="19" t="s">
        <v>347</v>
      </c>
      <c r="F649">
        <v>32</v>
      </c>
      <c r="G649">
        <v>0</v>
      </c>
      <c r="H649">
        <v>5</v>
      </c>
      <c r="I649">
        <v>5</v>
      </c>
      <c r="J649">
        <v>-4</v>
      </c>
      <c r="K649">
        <v>8</v>
      </c>
      <c r="L649">
        <v>0</v>
      </c>
      <c r="M649">
        <v>0</v>
      </c>
      <c r="N649">
        <v>0</v>
      </c>
      <c r="O649">
        <v>0</v>
      </c>
      <c r="P649">
        <v>5</v>
      </c>
      <c r="Q649">
        <v>0</v>
      </c>
      <c r="R649">
        <v>0</v>
      </c>
      <c r="S649">
        <v>21</v>
      </c>
      <c r="T649">
        <v>0</v>
      </c>
      <c r="U649">
        <v>60</v>
      </c>
      <c r="V649" s="19" t="s">
        <v>2877</v>
      </c>
      <c r="W649" s="19" t="s">
        <v>2812</v>
      </c>
      <c r="X649">
        <v>0</v>
      </c>
      <c r="Y649">
        <v>0</v>
      </c>
      <c r="AA649">
        <v>32</v>
      </c>
      <c r="AB649">
        <v>22</v>
      </c>
      <c r="AC649">
        <v>1</v>
      </c>
      <c r="AD649">
        <v>38</v>
      </c>
      <c r="AE649" s="19" t="s">
        <v>60</v>
      </c>
    </row>
    <row r="650" spans="1:31" x14ac:dyDescent="0.2">
      <c r="A650">
        <v>606</v>
      </c>
      <c r="B650" s="19" t="s">
        <v>1136</v>
      </c>
      <c r="C650">
        <v>35</v>
      </c>
      <c r="D650" s="19" t="s">
        <v>355</v>
      </c>
      <c r="E650" s="19" t="s">
        <v>347</v>
      </c>
      <c r="F650">
        <v>25</v>
      </c>
      <c r="G650">
        <v>1</v>
      </c>
      <c r="H650">
        <v>4</v>
      </c>
      <c r="I650">
        <v>5</v>
      </c>
      <c r="J650">
        <v>8</v>
      </c>
      <c r="K650">
        <v>6</v>
      </c>
      <c r="L650">
        <v>1</v>
      </c>
      <c r="M650">
        <v>0</v>
      </c>
      <c r="N650">
        <v>0</v>
      </c>
      <c r="O650">
        <v>0</v>
      </c>
      <c r="P650">
        <v>4</v>
      </c>
      <c r="Q650">
        <v>0</v>
      </c>
      <c r="R650">
        <v>0</v>
      </c>
      <c r="S650">
        <v>21</v>
      </c>
      <c r="T650">
        <v>4.8</v>
      </c>
      <c r="U650">
        <v>45</v>
      </c>
      <c r="V650" s="19" t="s">
        <v>2328</v>
      </c>
      <c r="W650" s="19" t="s">
        <v>1837</v>
      </c>
      <c r="X650">
        <v>0</v>
      </c>
      <c r="Y650">
        <v>1</v>
      </c>
      <c r="Z650">
        <v>0</v>
      </c>
      <c r="AA650">
        <v>23</v>
      </c>
      <c r="AB650">
        <v>21</v>
      </c>
      <c r="AC650">
        <v>5</v>
      </c>
      <c r="AD650">
        <v>12</v>
      </c>
      <c r="AE650" s="19" t="s">
        <v>60</v>
      </c>
    </row>
    <row r="651" spans="1:31" x14ac:dyDescent="0.2">
      <c r="A651">
        <v>607</v>
      </c>
      <c r="B651" s="19" t="s">
        <v>1011</v>
      </c>
      <c r="C651">
        <v>28</v>
      </c>
      <c r="D651" s="19" t="s">
        <v>423</v>
      </c>
      <c r="E651" s="19" t="s">
        <v>347</v>
      </c>
      <c r="F651">
        <v>35</v>
      </c>
      <c r="G651">
        <v>2</v>
      </c>
      <c r="H651">
        <v>3</v>
      </c>
      <c r="I651">
        <v>5</v>
      </c>
      <c r="J651">
        <v>-1</v>
      </c>
      <c r="K651">
        <v>8</v>
      </c>
      <c r="L651">
        <v>2</v>
      </c>
      <c r="M651">
        <v>0</v>
      </c>
      <c r="N651">
        <v>0</v>
      </c>
      <c r="O651">
        <v>0</v>
      </c>
      <c r="P651">
        <v>3</v>
      </c>
      <c r="Q651">
        <v>0</v>
      </c>
      <c r="R651">
        <v>0</v>
      </c>
      <c r="S651">
        <v>12</v>
      </c>
      <c r="T651">
        <v>16.7</v>
      </c>
      <c r="U651">
        <v>40</v>
      </c>
      <c r="V651" s="19" t="s">
        <v>2878</v>
      </c>
      <c r="W651" s="19" t="s">
        <v>1060</v>
      </c>
      <c r="X651">
        <v>0</v>
      </c>
      <c r="Y651">
        <v>0</v>
      </c>
      <c r="AA651">
        <v>20</v>
      </c>
      <c r="AB651">
        <v>9</v>
      </c>
      <c r="AC651">
        <v>2</v>
      </c>
      <c r="AD651">
        <v>11</v>
      </c>
      <c r="AE651" s="19" t="s">
        <v>60</v>
      </c>
    </row>
    <row r="652" spans="1:31" x14ac:dyDescent="0.2">
      <c r="A652">
        <v>608</v>
      </c>
      <c r="B652" s="19" t="s">
        <v>944</v>
      </c>
      <c r="C652">
        <v>28</v>
      </c>
      <c r="D652" s="19" t="s">
        <v>333</v>
      </c>
      <c r="E652" s="19" t="s">
        <v>347</v>
      </c>
      <c r="F652">
        <v>31</v>
      </c>
      <c r="G652">
        <v>2</v>
      </c>
      <c r="H652">
        <v>3</v>
      </c>
      <c r="I652">
        <v>5</v>
      </c>
      <c r="J652">
        <v>0</v>
      </c>
      <c r="K652">
        <v>8</v>
      </c>
      <c r="L652">
        <v>2</v>
      </c>
      <c r="M652">
        <v>0</v>
      </c>
      <c r="N652">
        <v>0</v>
      </c>
      <c r="O652">
        <v>0</v>
      </c>
      <c r="P652">
        <v>3</v>
      </c>
      <c r="Q652">
        <v>0</v>
      </c>
      <c r="R652">
        <v>0</v>
      </c>
      <c r="S652">
        <v>17</v>
      </c>
      <c r="T652">
        <v>11.8</v>
      </c>
      <c r="U652">
        <v>61</v>
      </c>
      <c r="V652" s="19" t="s">
        <v>2329</v>
      </c>
      <c r="W652" s="19" t="s">
        <v>1355</v>
      </c>
      <c r="X652">
        <v>0</v>
      </c>
      <c r="Y652">
        <v>0</v>
      </c>
      <c r="AA652">
        <v>26</v>
      </c>
      <c r="AB652">
        <v>12</v>
      </c>
      <c r="AC652">
        <v>9</v>
      </c>
      <c r="AD652">
        <v>18</v>
      </c>
      <c r="AE652" s="19" t="s">
        <v>60</v>
      </c>
    </row>
    <row r="653" spans="1:31" x14ac:dyDescent="0.2">
      <c r="A653">
        <v>609</v>
      </c>
      <c r="B653" s="19" t="s">
        <v>1075</v>
      </c>
      <c r="C653">
        <v>29</v>
      </c>
      <c r="D653" s="19" t="s">
        <v>357</v>
      </c>
      <c r="E653" s="19" t="s">
        <v>347</v>
      </c>
      <c r="F653">
        <v>35</v>
      </c>
      <c r="G653">
        <v>0</v>
      </c>
      <c r="H653">
        <v>5</v>
      </c>
      <c r="I653">
        <v>5</v>
      </c>
      <c r="J653">
        <v>4</v>
      </c>
      <c r="K653">
        <v>21</v>
      </c>
      <c r="L653">
        <v>0</v>
      </c>
      <c r="M653">
        <v>0</v>
      </c>
      <c r="N653">
        <v>0</v>
      </c>
      <c r="O653">
        <v>0</v>
      </c>
      <c r="P653">
        <v>5</v>
      </c>
      <c r="Q653">
        <v>0</v>
      </c>
      <c r="R653">
        <v>0</v>
      </c>
      <c r="S653">
        <v>40</v>
      </c>
      <c r="T653">
        <v>0</v>
      </c>
      <c r="U653">
        <v>95</v>
      </c>
      <c r="V653" s="19" t="s">
        <v>2879</v>
      </c>
      <c r="W653" s="19" t="s">
        <v>2880</v>
      </c>
      <c r="X653">
        <v>0</v>
      </c>
      <c r="Y653">
        <v>0</v>
      </c>
      <c r="AA653">
        <v>70</v>
      </c>
      <c r="AB653">
        <v>34</v>
      </c>
      <c r="AC653">
        <v>3</v>
      </c>
      <c r="AD653">
        <v>39</v>
      </c>
      <c r="AE653" s="19" t="s">
        <v>60</v>
      </c>
    </row>
    <row r="654" spans="1:31" x14ac:dyDescent="0.2">
      <c r="A654">
        <v>610</v>
      </c>
      <c r="B654" s="19" t="s">
        <v>1076</v>
      </c>
      <c r="C654">
        <v>26</v>
      </c>
      <c r="D654" s="19" t="s">
        <v>364</v>
      </c>
      <c r="E654" s="19" t="s">
        <v>347</v>
      </c>
      <c r="F654">
        <v>22</v>
      </c>
      <c r="G654">
        <v>1</v>
      </c>
      <c r="H654">
        <v>4</v>
      </c>
      <c r="I654">
        <v>5</v>
      </c>
      <c r="J654">
        <v>1</v>
      </c>
      <c r="K654">
        <v>4</v>
      </c>
      <c r="L654">
        <v>1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19</v>
      </c>
      <c r="T654">
        <v>5.3</v>
      </c>
      <c r="U654">
        <v>49</v>
      </c>
      <c r="V654" s="19" t="s">
        <v>2881</v>
      </c>
      <c r="W654" s="19" t="s">
        <v>2812</v>
      </c>
      <c r="X654">
        <v>0</v>
      </c>
      <c r="Y654">
        <v>0</v>
      </c>
      <c r="AA654">
        <v>19</v>
      </c>
      <c r="AB654">
        <v>8</v>
      </c>
      <c r="AC654">
        <v>5</v>
      </c>
      <c r="AD654">
        <v>22</v>
      </c>
      <c r="AE654" s="19" t="s">
        <v>60</v>
      </c>
    </row>
    <row r="655" spans="1:31" x14ac:dyDescent="0.2">
      <c r="A655">
        <v>611</v>
      </c>
      <c r="B655" s="19" t="s">
        <v>1015</v>
      </c>
      <c r="C655">
        <v>31</v>
      </c>
      <c r="D655" s="19" t="s">
        <v>401</v>
      </c>
      <c r="E655" s="19" t="s">
        <v>347</v>
      </c>
      <c r="F655">
        <v>33</v>
      </c>
      <c r="G655">
        <v>2</v>
      </c>
      <c r="H655">
        <v>3</v>
      </c>
      <c r="I655">
        <v>5</v>
      </c>
      <c r="J655">
        <v>4</v>
      </c>
      <c r="K655">
        <v>10</v>
      </c>
      <c r="L655">
        <v>2</v>
      </c>
      <c r="M655">
        <v>0</v>
      </c>
      <c r="N655">
        <v>0</v>
      </c>
      <c r="O655">
        <v>1</v>
      </c>
      <c r="P655">
        <v>3</v>
      </c>
      <c r="Q655">
        <v>0</v>
      </c>
      <c r="R655">
        <v>0</v>
      </c>
      <c r="S655">
        <v>31</v>
      </c>
      <c r="T655">
        <v>6.5</v>
      </c>
      <c r="U655">
        <v>70</v>
      </c>
      <c r="V655" s="19" t="s">
        <v>2335</v>
      </c>
      <c r="W655" s="19" t="s">
        <v>1693</v>
      </c>
      <c r="X655">
        <v>0</v>
      </c>
      <c r="Y655">
        <v>0</v>
      </c>
      <c r="AA655">
        <v>20</v>
      </c>
      <c r="AB655">
        <v>17</v>
      </c>
      <c r="AC655">
        <v>3</v>
      </c>
      <c r="AD655">
        <v>26</v>
      </c>
      <c r="AE655" s="19" t="s">
        <v>60</v>
      </c>
    </row>
    <row r="656" spans="1:31" x14ac:dyDescent="0.2">
      <c r="A656">
        <v>612</v>
      </c>
      <c r="B656" s="19" t="s">
        <v>1030</v>
      </c>
      <c r="C656">
        <v>28</v>
      </c>
      <c r="D656" s="19" t="s">
        <v>423</v>
      </c>
      <c r="E656" s="19" t="s">
        <v>338</v>
      </c>
      <c r="F656">
        <v>33</v>
      </c>
      <c r="G656">
        <v>1</v>
      </c>
      <c r="H656">
        <v>4</v>
      </c>
      <c r="I656">
        <v>5</v>
      </c>
      <c r="J656">
        <v>-9</v>
      </c>
      <c r="K656">
        <v>23</v>
      </c>
      <c r="L656">
        <v>1</v>
      </c>
      <c r="M656">
        <v>0</v>
      </c>
      <c r="N656">
        <v>0</v>
      </c>
      <c r="O656">
        <v>0</v>
      </c>
      <c r="P656">
        <v>4</v>
      </c>
      <c r="Q656">
        <v>0</v>
      </c>
      <c r="R656">
        <v>0</v>
      </c>
      <c r="S656">
        <v>29</v>
      </c>
      <c r="T656">
        <v>3.4</v>
      </c>
      <c r="U656">
        <v>58</v>
      </c>
      <c r="V656" s="19" t="s">
        <v>2015</v>
      </c>
      <c r="W656" s="19" t="s">
        <v>1740</v>
      </c>
      <c r="X656">
        <v>8</v>
      </c>
      <c r="Y656">
        <v>22</v>
      </c>
      <c r="Z656">
        <v>26.7</v>
      </c>
      <c r="AA656">
        <v>15</v>
      </c>
      <c r="AB656">
        <v>49</v>
      </c>
      <c r="AC656">
        <v>5</v>
      </c>
      <c r="AD656">
        <v>17</v>
      </c>
      <c r="AE656" s="19" t="s">
        <v>60</v>
      </c>
    </row>
    <row r="657" spans="1:31" x14ac:dyDescent="0.2">
      <c r="A657">
        <v>613</v>
      </c>
      <c r="B657" s="19" t="s">
        <v>963</v>
      </c>
      <c r="C657">
        <v>33</v>
      </c>
      <c r="D657" s="19" t="s">
        <v>373</v>
      </c>
      <c r="E657" s="19" t="s">
        <v>334</v>
      </c>
      <c r="F657">
        <v>24</v>
      </c>
      <c r="G657">
        <v>3</v>
      </c>
      <c r="H657">
        <v>2</v>
      </c>
      <c r="I657">
        <v>5</v>
      </c>
      <c r="J657">
        <v>-4</v>
      </c>
      <c r="K657">
        <v>6</v>
      </c>
      <c r="L657">
        <v>3</v>
      </c>
      <c r="M657">
        <v>0</v>
      </c>
      <c r="N657">
        <v>0</v>
      </c>
      <c r="O657">
        <v>1</v>
      </c>
      <c r="P657">
        <v>2</v>
      </c>
      <c r="Q657">
        <v>0</v>
      </c>
      <c r="R657">
        <v>0</v>
      </c>
      <c r="S657">
        <v>40</v>
      </c>
      <c r="T657">
        <v>7.5</v>
      </c>
      <c r="U657">
        <v>66</v>
      </c>
      <c r="V657" s="19" t="s">
        <v>2882</v>
      </c>
      <c r="W657" s="19" t="s">
        <v>1185</v>
      </c>
      <c r="X657">
        <v>38</v>
      </c>
      <c r="Y657">
        <v>63</v>
      </c>
      <c r="Z657">
        <v>37.6</v>
      </c>
      <c r="AA657">
        <v>8</v>
      </c>
      <c r="AB657">
        <v>28</v>
      </c>
      <c r="AC657">
        <v>3</v>
      </c>
      <c r="AD657">
        <v>18</v>
      </c>
      <c r="AE657" s="19" t="s">
        <v>60</v>
      </c>
    </row>
    <row r="658" spans="1:31" x14ac:dyDescent="0.2">
      <c r="A658">
        <v>614</v>
      </c>
      <c r="B658" s="19" t="s">
        <v>1329</v>
      </c>
      <c r="C658">
        <v>23</v>
      </c>
      <c r="D658" s="19" t="s">
        <v>415</v>
      </c>
      <c r="E658" s="19" t="s">
        <v>322</v>
      </c>
      <c r="F658">
        <v>30</v>
      </c>
      <c r="G658">
        <v>3</v>
      </c>
      <c r="H658">
        <v>2</v>
      </c>
      <c r="I658">
        <v>5</v>
      </c>
      <c r="J658">
        <v>-2</v>
      </c>
      <c r="K658">
        <v>34</v>
      </c>
      <c r="L658">
        <v>3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0</v>
      </c>
      <c r="S658">
        <v>21</v>
      </c>
      <c r="T658">
        <v>14.3</v>
      </c>
      <c r="U658">
        <v>43</v>
      </c>
      <c r="V658" s="19" t="s">
        <v>2883</v>
      </c>
      <c r="W658" s="19" t="s">
        <v>2884</v>
      </c>
      <c r="X658">
        <v>69</v>
      </c>
      <c r="Y658">
        <v>85</v>
      </c>
      <c r="Z658">
        <v>44.8</v>
      </c>
      <c r="AA658">
        <v>10</v>
      </c>
      <c r="AB658">
        <v>73</v>
      </c>
      <c r="AC658">
        <v>3</v>
      </c>
      <c r="AD658">
        <v>8</v>
      </c>
      <c r="AE658" s="19" t="s">
        <v>60</v>
      </c>
    </row>
    <row r="659" spans="1:31" x14ac:dyDescent="0.2">
      <c r="A659">
        <v>615</v>
      </c>
      <c r="B659" s="19" t="s">
        <v>1031</v>
      </c>
      <c r="C659">
        <v>21</v>
      </c>
      <c r="D659" s="19" t="s">
        <v>327</v>
      </c>
      <c r="E659" s="19" t="s">
        <v>338</v>
      </c>
      <c r="F659">
        <v>28</v>
      </c>
      <c r="G659">
        <v>2</v>
      </c>
      <c r="H659">
        <v>3</v>
      </c>
      <c r="I659">
        <v>5</v>
      </c>
      <c r="J659">
        <v>-6</v>
      </c>
      <c r="K659">
        <v>12</v>
      </c>
      <c r="L659">
        <v>2</v>
      </c>
      <c r="M659">
        <v>0</v>
      </c>
      <c r="N659">
        <v>0</v>
      </c>
      <c r="O659">
        <v>0</v>
      </c>
      <c r="P659">
        <v>3</v>
      </c>
      <c r="Q659">
        <v>0</v>
      </c>
      <c r="R659">
        <v>0</v>
      </c>
      <c r="S659">
        <v>33</v>
      </c>
      <c r="T659">
        <v>6.1</v>
      </c>
      <c r="U659">
        <v>70</v>
      </c>
      <c r="V659" s="19" t="s">
        <v>2039</v>
      </c>
      <c r="W659" s="19" t="s">
        <v>1722</v>
      </c>
      <c r="X659">
        <v>0</v>
      </c>
      <c r="Y659">
        <v>0</v>
      </c>
      <c r="AA659">
        <v>4</v>
      </c>
      <c r="AB659">
        <v>7</v>
      </c>
      <c r="AC659">
        <v>2</v>
      </c>
      <c r="AD659">
        <v>17</v>
      </c>
      <c r="AE659" s="19" t="s">
        <v>60</v>
      </c>
    </row>
    <row r="660" spans="1:31" x14ac:dyDescent="0.2">
      <c r="A660">
        <v>616</v>
      </c>
      <c r="B660" s="19" t="s">
        <v>1174</v>
      </c>
      <c r="C660">
        <v>23</v>
      </c>
      <c r="D660" s="19" t="s">
        <v>355</v>
      </c>
      <c r="E660" s="19" t="s">
        <v>347</v>
      </c>
      <c r="F660">
        <v>26</v>
      </c>
      <c r="G660">
        <v>0</v>
      </c>
      <c r="H660">
        <v>5</v>
      </c>
      <c r="I660">
        <v>5</v>
      </c>
      <c r="J660">
        <v>0</v>
      </c>
      <c r="K660">
        <v>4</v>
      </c>
      <c r="L660">
        <v>0</v>
      </c>
      <c r="M660">
        <v>0</v>
      </c>
      <c r="N660">
        <v>0</v>
      </c>
      <c r="O660">
        <v>0</v>
      </c>
      <c r="P660">
        <v>5</v>
      </c>
      <c r="Q660">
        <v>0</v>
      </c>
      <c r="R660">
        <v>0</v>
      </c>
      <c r="S660">
        <v>14</v>
      </c>
      <c r="T660">
        <v>0</v>
      </c>
      <c r="U660">
        <v>36</v>
      </c>
      <c r="V660" s="19" t="s">
        <v>2330</v>
      </c>
      <c r="W660" s="19" t="s">
        <v>1425</v>
      </c>
      <c r="X660">
        <v>0</v>
      </c>
      <c r="Y660">
        <v>0</v>
      </c>
      <c r="AA660">
        <v>36</v>
      </c>
      <c r="AB660">
        <v>16</v>
      </c>
      <c r="AC660">
        <v>1</v>
      </c>
      <c r="AD660">
        <v>12</v>
      </c>
      <c r="AE660" s="19" t="s">
        <v>60</v>
      </c>
    </row>
    <row r="661" spans="1:31" x14ac:dyDescent="0.2">
      <c r="A661">
        <v>617</v>
      </c>
      <c r="B661" s="19" t="s">
        <v>1037</v>
      </c>
      <c r="C661">
        <v>22</v>
      </c>
      <c r="D661" s="19" t="s">
        <v>373</v>
      </c>
      <c r="E661" s="19" t="s">
        <v>334</v>
      </c>
      <c r="F661">
        <v>27</v>
      </c>
      <c r="G661">
        <v>2</v>
      </c>
      <c r="H661">
        <v>3</v>
      </c>
      <c r="I661">
        <v>5</v>
      </c>
      <c r="J661">
        <v>-5</v>
      </c>
      <c r="K661">
        <v>8</v>
      </c>
      <c r="L661">
        <v>1</v>
      </c>
      <c r="M661">
        <v>1</v>
      </c>
      <c r="N661">
        <v>0</v>
      </c>
      <c r="O661">
        <v>0</v>
      </c>
      <c r="P661">
        <v>1</v>
      </c>
      <c r="Q661">
        <v>2</v>
      </c>
      <c r="R661">
        <v>0</v>
      </c>
      <c r="S661">
        <v>28</v>
      </c>
      <c r="T661">
        <v>7.1</v>
      </c>
      <c r="U661">
        <v>70</v>
      </c>
      <c r="V661" s="19" t="s">
        <v>1734</v>
      </c>
      <c r="W661" s="19" t="s">
        <v>1678</v>
      </c>
      <c r="X661">
        <v>2</v>
      </c>
      <c r="Y661">
        <v>0</v>
      </c>
      <c r="Z661">
        <v>100</v>
      </c>
      <c r="AA661">
        <v>11</v>
      </c>
      <c r="AB661">
        <v>3</v>
      </c>
      <c r="AC661">
        <v>5</v>
      </c>
      <c r="AD661">
        <v>12</v>
      </c>
      <c r="AE661" s="19" t="s">
        <v>60</v>
      </c>
    </row>
    <row r="662" spans="1:31" x14ac:dyDescent="0.2">
      <c r="A662">
        <v>618</v>
      </c>
      <c r="B662" s="19" t="s">
        <v>902</v>
      </c>
      <c r="C662">
        <v>21</v>
      </c>
      <c r="D662" s="19" t="s">
        <v>423</v>
      </c>
      <c r="E662" s="19" t="s">
        <v>322</v>
      </c>
      <c r="F662">
        <v>12</v>
      </c>
      <c r="G662">
        <v>3</v>
      </c>
      <c r="H662">
        <v>2</v>
      </c>
      <c r="I662">
        <v>5</v>
      </c>
      <c r="J662">
        <v>-4</v>
      </c>
      <c r="K662">
        <v>4</v>
      </c>
      <c r="L662">
        <v>3</v>
      </c>
      <c r="M662">
        <v>0</v>
      </c>
      <c r="N662">
        <v>0</v>
      </c>
      <c r="O662">
        <v>0</v>
      </c>
      <c r="P662">
        <v>2</v>
      </c>
      <c r="Q662">
        <v>0</v>
      </c>
      <c r="R662">
        <v>0</v>
      </c>
      <c r="S662">
        <v>20</v>
      </c>
      <c r="T662">
        <v>15</v>
      </c>
      <c r="U662">
        <v>43</v>
      </c>
      <c r="V662" s="19" t="s">
        <v>903</v>
      </c>
      <c r="W662" s="19" t="s">
        <v>904</v>
      </c>
      <c r="X662">
        <v>68</v>
      </c>
      <c r="Y662">
        <v>95</v>
      </c>
      <c r="Z662">
        <v>41.7</v>
      </c>
      <c r="AA662">
        <v>12</v>
      </c>
      <c r="AB662">
        <v>9</v>
      </c>
      <c r="AC662">
        <v>1</v>
      </c>
      <c r="AD662">
        <v>10</v>
      </c>
      <c r="AE662" s="19" t="s">
        <v>60</v>
      </c>
    </row>
    <row r="663" spans="1:31" x14ac:dyDescent="0.2">
      <c r="A663">
        <v>619</v>
      </c>
      <c r="B663" s="19" t="s">
        <v>1900</v>
      </c>
      <c r="C663">
        <v>28</v>
      </c>
      <c r="D663" s="19" t="s">
        <v>342</v>
      </c>
      <c r="E663" s="19" t="s">
        <v>322</v>
      </c>
      <c r="F663">
        <v>10</v>
      </c>
      <c r="G663">
        <v>0</v>
      </c>
      <c r="H663">
        <v>5</v>
      </c>
      <c r="I663">
        <v>5</v>
      </c>
      <c r="J663">
        <v>0</v>
      </c>
      <c r="K663">
        <v>4</v>
      </c>
      <c r="L663">
        <v>0</v>
      </c>
      <c r="M663">
        <v>0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12</v>
      </c>
      <c r="T663">
        <v>0</v>
      </c>
      <c r="U663">
        <v>24</v>
      </c>
      <c r="V663" s="19" t="s">
        <v>2885</v>
      </c>
      <c r="W663" s="19" t="s">
        <v>1526</v>
      </c>
      <c r="X663">
        <v>38</v>
      </c>
      <c r="Y663">
        <v>40</v>
      </c>
      <c r="Z663">
        <v>48.7</v>
      </c>
      <c r="AA663">
        <v>5</v>
      </c>
      <c r="AB663">
        <v>2</v>
      </c>
      <c r="AC663">
        <v>3</v>
      </c>
      <c r="AD663">
        <v>5</v>
      </c>
      <c r="AE663" s="19" t="s">
        <v>60</v>
      </c>
    </row>
    <row r="664" spans="1:31" x14ac:dyDescent="0.2">
      <c r="A664">
        <v>620</v>
      </c>
      <c r="B664" s="19" t="s">
        <v>1100</v>
      </c>
      <c r="C664">
        <v>30</v>
      </c>
      <c r="D664" s="19" t="s">
        <v>327</v>
      </c>
      <c r="E664" s="19" t="s">
        <v>322</v>
      </c>
      <c r="F664">
        <v>35</v>
      </c>
      <c r="G664">
        <v>3</v>
      </c>
      <c r="H664">
        <v>2</v>
      </c>
      <c r="I664">
        <v>5</v>
      </c>
      <c r="J664">
        <v>-4</v>
      </c>
      <c r="K664">
        <v>10</v>
      </c>
      <c r="L664">
        <v>3</v>
      </c>
      <c r="M664">
        <v>0</v>
      </c>
      <c r="N664">
        <v>0</v>
      </c>
      <c r="O664">
        <v>1</v>
      </c>
      <c r="P664">
        <v>2</v>
      </c>
      <c r="Q664">
        <v>0</v>
      </c>
      <c r="R664">
        <v>0</v>
      </c>
      <c r="S664">
        <v>24</v>
      </c>
      <c r="T664">
        <v>12.5</v>
      </c>
      <c r="U664">
        <v>56</v>
      </c>
      <c r="V664" s="19" t="s">
        <v>2886</v>
      </c>
      <c r="W664" s="19" t="s">
        <v>1804</v>
      </c>
      <c r="X664">
        <v>134</v>
      </c>
      <c r="Y664">
        <v>90</v>
      </c>
      <c r="Z664">
        <v>59.8</v>
      </c>
      <c r="AA664">
        <v>17</v>
      </c>
      <c r="AB664">
        <v>69</v>
      </c>
      <c r="AC664">
        <v>3</v>
      </c>
      <c r="AD664">
        <v>4</v>
      </c>
      <c r="AE664" s="19" t="s">
        <v>60</v>
      </c>
    </row>
    <row r="665" spans="1:31" x14ac:dyDescent="0.2">
      <c r="A665">
        <v>621</v>
      </c>
      <c r="B665" s="19" t="s">
        <v>1389</v>
      </c>
      <c r="C665">
        <v>21</v>
      </c>
      <c r="D665" s="19" t="s">
        <v>373</v>
      </c>
      <c r="E665" s="19" t="s">
        <v>334</v>
      </c>
      <c r="F665">
        <v>20</v>
      </c>
      <c r="G665">
        <v>2</v>
      </c>
      <c r="H665">
        <v>3</v>
      </c>
      <c r="I665">
        <v>5</v>
      </c>
      <c r="J665">
        <v>-1</v>
      </c>
      <c r="K665">
        <v>2</v>
      </c>
      <c r="L665">
        <v>2</v>
      </c>
      <c r="M665">
        <v>0</v>
      </c>
      <c r="N665">
        <v>0</v>
      </c>
      <c r="O665">
        <v>0</v>
      </c>
      <c r="P665">
        <v>3</v>
      </c>
      <c r="Q665">
        <v>0</v>
      </c>
      <c r="R665">
        <v>0</v>
      </c>
      <c r="S665">
        <v>34</v>
      </c>
      <c r="T665">
        <v>5.9</v>
      </c>
      <c r="U665">
        <v>55</v>
      </c>
      <c r="V665" s="19" t="s">
        <v>2887</v>
      </c>
      <c r="W665" s="19" t="s">
        <v>1619</v>
      </c>
      <c r="X665">
        <v>6</v>
      </c>
      <c r="Y665">
        <v>9</v>
      </c>
      <c r="Z665">
        <v>40</v>
      </c>
      <c r="AA665">
        <v>8</v>
      </c>
      <c r="AB665">
        <v>21</v>
      </c>
      <c r="AC665">
        <v>1</v>
      </c>
      <c r="AD665">
        <v>11</v>
      </c>
      <c r="AE665" s="19" t="s">
        <v>60</v>
      </c>
    </row>
    <row r="666" spans="1:31" x14ac:dyDescent="0.2">
      <c r="A666">
        <v>622</v>
      </c>
      <c r="B666" s="19" t="s">
        <v>1201</v>
      </c>
      <c r="C666">
        <v>35</v>
      </c>
      <c r="D666" s="19" t="s">
        <v>342</v>
      </c>
      <c r="E666" s="19" t="s">
        <v>347</v>
      </c>
      <c r="F666">
        <v>39</v>
      </c>
      <c r="G666">
        <v>2</v>
      </c>
      <c r="H666">
        <v>3</v>
      </c>
      <c r="I666">
        <v>5</v>
      </c>
      <c r="J666">
        <v>-4</v>
      </c>
      <c r="K666">
        <v>18</v>
      </c>
      <c r="L666">
        <v>2</v>
      </c>
      <c r="M666">
        <v>0</v>
      </c>
      <c r="N666">
        <v>0</v>
      </c>
      <c r="O666">
        <v>1</v>
      </c>
      <c r="P666">
        <v>3</v>
      </c>
      <c r="Q666">
        <v>0</v>
      </c>
      <c r="R666">
        <v>0</v>
      </c>
      <c r="S666">
        <v>37</v>
      </c>
      <c r="T666">
        <v>5.4</v>
      </c>
      <c r="U666">
        <v>113</v>
      </c>
      <c r="V666" s="19" t="s">
        <v>2888</v>
      </c>
      <c r="W666" s="19" t="s">
        <v>1468</v>
      </c>
      <c r="X666">
        <v>0</v>
      </c>
      <c r="Y666">
        <v>0</v>
      </c>
      <c r="AA666">
        <v>102</v>
      </c>
      <c r="AB666">
        <v>65</v>
      </c>
      <c r="AC666">
        <v>13</v>
      </c>
      <c r="AD666">
        <v>29</v>
      </c>
      <c r="AE666" s="19" t="s">
        <v>60</v>
      </c>
    </row>
    <row r="667" spans="1:31" x14ac:dyDescent="0.2">
      <c r="A667">
        <v>623</v>
      </c>
      <c r="B667" s="19" t="s">
        <v>1228</v>
      </c>
      <c r="C667">
        <v>23</v>
      </c>
      <c r="D667" s="19" t="s">
        <v>329</v>
      </c>
      <c r="E667" s="19" t="s">
        <v>338</v>
      </c>
      <c r="F667">
        <v>30</v>
      </c>
      <c r="G667">
        <v>2</v>
      </c>
      <c r="H667">
        <v>3</v>
      </c>
      <c r="I667">
        <v>5</v>
      </c>
      <c r="J667">
        <v>3</v>
      </c>
      <c r="K667">
        <v>14</v>
      </c>
      <c r="L667">
        <v>2</v>
      </c>
      <c r="M667">
        <v>0</v>
      </c>
      <c r="N667">
        <v>0</v>
      </c>
      <c r="O667">
        <v>1</v>
      </c>
      <c r="P667">
        <v>3</v>
      </c>
      <c r="Q667">
        <v>0</v>
      </c>
      <c r="R667">
        <v>0</v>
      </c>
      <c r="S667">
        <v>28</v>
      </c>
      <c r="T667">
        <v>7.1</v>
      </c>
      <c r="U667">
        <v>54</v>
      </c>
      <c r="V667" s="19" t="s">
        <v>2331</v>
      </c>
      <c r="W667" s="19" t="s">
        <v>1488</v>
      </c>
      <c r="X667">
        <v>1</v>
      </c>
      <c r="Y667">
        <v>1</v>
      </c>
      <c r="Z667">
        <v>50</v>
      </c>
      <c r="AA667">
        <v>14</v>
      </c>
      <c r="AB667">
        <v>44</v>
      </c>
      <c r="AC667">
        <v>3</v>
      </c>
      <c r="AD667">
        <v>6</v>
      </c>
      <c r="AE667" s="19" t="s">
        <v>60</v>
      </c>
    </row>
    <row r="668" spans="1:31" x14ac:dyDescent="0.2">
      <c r="A668">
        <v>624</v>
      </c>
      <c r="B668" s="19" t="s">
        <v>928</v>
      </c>
      <c r="C668">
        <v>29</v>
      </c>
      <c r="D668" s="19" t="s">
        <v>327</v>
      </c>
      <c r="E668" s="19" t="s">
        <v>325</v>
      </c>
      <c r="F668">
        <v>22</v>
      </c>
      <c r="G668">
        <v>3</v>
      </c>
      <c r="H668">
        <v>2</v>
      </c>
      <c r="I668">
        <v>5</v>
      </c>
      <c r="J668">
        <v>-6</v>
      </c>
      <c r="K668">
        <v>10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2</v>
      </c>
      <c r="R668">
        <v>0</v>
      </c>
      <c r="S668">
        <v>30</v>
      </c>
      <c r="T668">
        <v>10</v>
      </c>
      <c r="U668">
        <v>52</v>
      </c>
      <c r="V668" s="19" t="s">
        <v>1525</v>
      </c>
      <c r="W668" s="19" t="s">
        <v>1526</v>
      </c>
      <c r="X668">
        <v>30</v>
      </c>
      <c r="Y668">
        <v>34</v>
      </c>
      <c r="Z668">
        <v>46.9</v>
      </c>
      <c r="AA668">
        <v>6</v>
      </c>
      <c r="AB668">
        <v>17</v>
      </c>
      <c r="AC668">
        <v>3</v>
      </c>
      <c r="AD668">
        <v>12</v>
      </c>
      <c r="AE668" s="19" t="s">
        <v>60</v>
      </c>
    </row>
    <row r="669" spans="1:31" x14ac:dyDescent="0.2">
      <c r="A669">
        <v>625</v>
      </c>
      <c r="B669" s="19" t="s">
        <v>932</v>
      </c>
      <c r="C669">
        <v>23</v>
      </c>
      <c r="D669" s="19" t="s">
        <v>933</v>
      </c>
      <c r="E669" s="19" t="s">
        <v>338</v>
      </c>
      <c r="F669">
        <v>19</v>
      </c>
      <c r="G669">
        <v>2</v>
      </c>
      <c r="H669">
        <v>3</v>
      </c>
      <c r="I669">
        <v>5</v>
      </c>
      <c r="J669">
        <v>-4</v>
      </c>
      <c r="K669">
        <v>6</v>
      </c>
      <c r="L669">
        <v>2</v>
      </c>
      <c r="M669">
        <v>0</v>
      </c>
      <c r="N669">
        <v>0</v>
      </c>
      <c r="O669">
        <v>0</v>
      </c>
      <c r="P669">
        <v>3</v>
      </c>
      <c r="Q669">
        <v>0</v>
      </c>
      <c r="R669">
        <v>0</v>
      </c>
      <c r="S669">
        <v>15</v>
      </c>
      <c r="T669">
        <v>13.3</v>
      </c>
      <c r="U669">
        <v>36</v>
      </c>
      <c r="V669" s="19" t="s">
        <v>934</v>
      </c>
      <c r="W669" s="19" t="s">
        <v>935</v>
      </c>
      <c r="X669">
        <v>46</v>
      </c>
      <c r="Y669">
        <v>71</v>
      </c>
      <c r="Z669">
        <v>39.299999999999997</v>
      </c>
      <c r="AA669">
        <v>11</v>
      </c>
      <c r="AB669">
        <v>7</v>
      </c>
      <c r="AC669">
        <v>2</v>
      </c>
      <c r="AD669">
        <v>13</v>
      </c>
      <c r="AE669" s="19" t="s">
        <v>60</v>
      </c>
    </row>
    <row r="670" spans="1:31" x14ac:dyDescent="0.2">
      <c r="A670">
        <v>625</v>
      </c>
      <c r="B670" s="19" t="s">
        <v>932</v>
      </c>
      <c r="C670">
        <v>23</v>
      </c>
      <c r="D670" s="19" t="s">
        <v>329</v>
      </c>
      <c r="E670" s="19" t="s">
        <v>338</v>
      </c>
      <c r="F670">
        <v>5</v>
      </c>
      <c r="G670">
        <v>2</v>
      </c>
      <c r="H670">
        <v>2</v>
      </c>
      <c r="I670">
        <v>4</v>
      </c>
      <c r="J670">
        <v>1</v>
      </c>
      <c r="K670">
        <v>2</v>
      </c>
      <c r="L670">
        <v>2</v>
      </c>
      <c r="M670">
        <v>0</v>
      </c>
      <c r="N670">
        <v>0</v>
      </c>
      <c r="O670">
        <v>0</v>
      </c>
      <c r="P670">
        <v>2</v>
      </c>
      <c r="Q670">
        <v>0</v>
      </c>
      <c r="R670">
        <v>0</v>
      </c>
      <c r="S670">
        <v>6</v>
      </c>
      <c r="T670">
        <v>33.299999999999997</v>
      </c>
      <c r="U670">
        <v>10</v>
      </c>
      <c r="V670" s="19" t="s">
        <v>936</v>
      </c>
      <c r="W670" s="19" t="s">
        <v>937</v>
      </c>
      <c r="X670">
        <v>2</v>
      </c>
      <c r="Y670">
        <v>5</v>
      </c>
      <c r="Z670">
        <v>28.6</v>
      </c>
      <c r="AA670">
        <v>3</v>
      </c>
      <c r="AB670">
        <v>1</v>
      </c>
      <c r="AC670">
        <v>1</v>
      </c>
      <c r="AD670">
        <v>4</v>
      </c>
      <c r="AE670" s="19" t="s">
        <v>60</v>
      </c>
    </row>
    <row r="671" spans="1:31" x14ac:dyDescent="0.2">
      <c r="A671">
        <v>625</v>
      </c>
      <c r="B671" s="19" t="s">
        <v>932</v>
      </c>
      <c r="C671">
        <v>23</v>
      </c>
      <c r="D671" s="19" t="s">
        <v>440</v>
      </c>
      <c r="E671" s="19" t="s">
        <v>338</v>
      </c>
      <c r="F671">
        <v>14</v>
      </c>
      <c r="G671">
        <v>0</v>
      </c>
      <c r="H671">
        <v>1</v>
      </c>
      <c r="I671">
        <v>1</v>
      </c>
      <c r="J671">
        <v>-5</v>
      </c>
      <c r="K671">
        <v>4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9</v>
      </c>
      <c r="T671">
        <v>0</v>
      </c>
      <c r="U671">
        <v>26</v>
      </c>
      <c r="V671" s="19" t="s">
        <v>938</v>
      </c>
      <c r="W671" s="19" t="s">
        <v>939</v>
      </c>
      <c r="X671">
        <v>44</v>
      </c>
      <c r="Y671">
        <v>66</v>
      </c>
      <c r="Z671">
        <v>40</v>
      </c>
      <c r="AA671">
        <v>8</v>
      </c>
      <c r="AB671">
        <v>6</v>
      </c>
      <c r="AC671">
        <v>1</v>
      </c>
      <c r="AD671">
        <v>9</v>
      </c>
      <c r="AE671" s="19" t="s">
        <v>60</v>
      </c>
    </row>
    <row r="672" spans="1:31" x14ac:dyDescent="0.2">
      <c r="A672">
        <v>626</v>
      </c>
      <c r="B672" s="19" t="s">
        <v>1173</v>
      </c>
      <c r="C672">
        <v>30</v>
      </c>
      <c r="D672" s="19" t="s">
        <v>933</v>
      </c>
      <c r="E672" s="19" t="s">
        <v>322</v>
      </c>
      <c r="F672">
        <v>26</v>
      </c>
      <c r="G672">
        <v>3</v>
      </c>
      <c r="H672">
        <v>2</v>
      </c>
      <c r="I672">
        <v>5</v>
      </c>
      <c r="J672">
        <v>2</v>
      </c>
      <c r="K672">
        <v>10</v>
      </c>
      <c r="L672">
        <v>3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0</v>
      </c>
      <c r="S672">
        <v>28</v>
      </c>
      <c r="T672">
        <v>10.7</v>
      </c>
      <c r="U672">
        <v>63</v>
      </c>
      <c r="V672" s="19" t="s">
        <v>2332</v>
      </c>
      <c r="W672" s="19" t="s">
        <v>1853</v>
      </c>
      <c r="X672">
        <v>7</v>
      </c>
      <c r="Y672">
        <v>13</v>
      </c>
      <c r="Z672">
        <v>35</v>
      </c>
      <c r="AA672">
        <v>16</v>
      </c>
      <c r="AB672">
        <v>37</v>
      </c>
      <c r="AC672">
        <v>6</v>
      </c>
      <c r="AD672">
        <v>9</v>
      </c>
      <c r="AE672" s="19" t="s">
        <v>60</v>
      </c>
    </row>
    <row r="673" spans="1:31" x14ac:dyDescent="0.2">
      <c r="A673">
        <v>626</v>
      </c>
      <c r="B673" s="19" t="s">
        <v>1173</v>
      </c>
      <c r="C673">
        <v>30</v>
      </c>
      <c r="D673" s="19" t="s">
        <v>373</v>
      </c>
      <c r="E673" s="19" t="s">
        <v>322</v>
      </c>
      <c r="F673">
        <v>13</v>
      </c>
      <c r="G673">
        <v>1</v>
      </c>
      <c r="H673">
        <v>1</v>
      </c>
      <c r="I673">
        <v>2</v>
      </c>
      <c r="J673">
        <v>1</v>
      </c>
      <c r="K673">
        <v>8</v>
      </c>
      <c r="L673">
        <v>1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14</v>
      </c>
      <c r="T673">
        <v>7.1</v>
      </c>
      <c r="U673">
        <v>35</v>
      </c>
      <c r="V673" s="19" t="s">
        <v>1559</v>
      </c>
      <c r="W673" s="19" t="s">
        <v>1239</v>
      </c>
      <c r="X673">
        <v>5</v>
      </c>
      <c r="Y673">
        <v>11</v>
      </c>
      <c r="Z673">
        <v>31.3</v>
      </c>
      <c r="AA673">
        <v>10</v>
      </c>
      <c r="AB673">
        <v>16</v>
      </c>
      <c r="AC673">
        <v>2</v>
      </c>
      <c r="AD673">
        <v>4</v>
      </c>
      <c r="AE673" s="19" t="s">
        <v>60</v>
      </c>
    </row>
    <row r="674" spans="1:31" x14ac:dyDescent="0.2">
      <c r="A674">
        <v>626</v>
      </c>
      <c r="B674" s="19" t="s">
        <v>1173</v>
      </c>
      <c r="C674">
        <v>30</v>
      </c>
      <c r="D674" s="19" t="s">
        <v>377</v>
      </c>
      <c r="E674" s="19" t="s">
        <v>322</v>
      </c>
      <c r="F674">
        <v>13</v>
      </c>
      <c r="G674">
        <v>2</v>
      </c>
      <c r="H674">
        <v>1</v>
      </c>
      <c r="I674">
        <v>3</v>
      </c>
      <c r="J674">
        <v>1</v>
      </c>
      <c r="K674">
        <v>2</v>
      </c>
      <c r="L674">
        <v>2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14</v>
      </c>
      <c r="T674">
        <v>14.3</v>
      </c>
      <c r="U674">
        <v>28</v>
      </c>
      <c r="V674" s="19" t="s">
        <v>2333</v>
      </c>
      <c r="W674" s="19" t="s">
        <v>1939</v>
      </c>
      <c r="X674">
        <v>2</v>
      </c>
      <c r="Y674">
        <v>2</v>
      </c>
      <c r="Z674">
        <v>50</v>
      </c>
      <c r="AA674">
        <v>6</v>
      </c>
      <c r="AB674">
        <v>21</v>
      </c>
      <c r="AC674">
        <v>4</v>
      </c>
      <c r="AD674">
        <v>5</v>
      </c>
      <c r="AE674" s="19" t="s">
        <v>60</v>
      </c>
    </row>
    <row r="675" spans="1:31" x14ac:dyDescent="0.2">
      <c r="A675">
        <v>627</v>
      </c>
      <c r="B675" s="19" t="s">
        <v>1132</v>
      </c>
      <c r="C675">
        <v>25</v>
      </c>
      <c r="D675" s="19" t="s">
        <v>368</v>
      </c>
      <c r="E675" s="19" t="s">
        <v>347</v>
      </c>
      <c r="F675">
        <v>42</v>
      </c>
      <c r="G675">
        <v>0</v>
      </c>
      <c r="H675">
        <v>4</v>
      </c>
      <c r="I675">
        <v>4</v>
      </c>
      <c r="J675">
        <v>8</v>
      </c>
      <c r="K675">
        <v>14</v>
      </c>
      <c r="L675">
        <v>0</v>
      </c>
      <c r="M675">
        <v>0</v>
      </c>
      <c r="N675">
        <v>0</v>
      </c>
      <c r="O675">
        <v>0</v>
      </c>
      <c r="P675">
        <v>4</v>
      </c>
      <c r="Q675">
        <v>0</v>
      </c>
      <c r="R675">
        <v>0</v>
      </c>
      <c r="S675">
        <v>30</v>
      </c>
      <c r="T675">
        <v>0</v>
      </c>
      <c r="U675">
        <v>81</v>
      </c>
      <c r="V675" s="19" t="s">
        <v>2334</v>
      </c>
      <c r="W675" s="19" t="s">
        <v>1827</v>
      </c>
      <c r="X675">
        <v>0</v>
      </c>
      <c r="Y675">
        <v>0</v>
      </c>
      <c r="AA675">
        <v>61</v>
      </c>
      <c r="AB675">
        <v>51</v>
      </c>
      <c r="AC675">
        <v>7</v>
      </c>
      <c r="AD675">
        <v>30</v>
      </c>
      <c r="AE675" s="19" t="s">
        <v>60</v>
      </c>
    </row>
    <row r="676" spans="1:31" x14ac:dyDescent="0.2">
      <c r="A676">
        <v>628</v>
      </c>
      <c r="B676" s="19" t="s">
        <v>1078</v>
      </c>
      <c r="C676">
        <v>29</v>
      </c>
      <c r="D676" s="19" t="s">
        <v>324</v>
      </c>
      <c r="E676" s="19" t="s">
        <v>347</v>
      </c>
      <c r="F676">
        <v>28</v>
      </c>
      <c r="G676">
        <v>1</v>
      </c>
      <c r="H676">
        <v>3</v>
      </c>
      <c r="I676">
        <v>4</v>
      </c>
      <c r="J676">
        <v>2</v>
      </c>
      <c r="K676">
        <v>40</v>
      </c>
      <c r="L676">
        <v>1</v>
      </c>
      <c r="M676">
        <v>0</v>
      </c>
      <c r="N676">
        <v>0</v>
      </c>
      <c r="O676">
        <v>1</v>
      </c>
      <c r="P676">
        <v>3</v>
      </c>
      <c r="Q676">
        <v>0</v>
      </c>
      <c r="R676">
        <v>0</v>
      </c>
      <c r="S676">
        <v>17</v>
      </c>
      <c r="T676">
        <v>5.9</v>
      </c>
      <c r="U676">
        <v>47</v>
      </c>
      <c r="V676" s="19" t="s">
        <v>2335</v>
      </c>
      <c r="W676" s="19" t="s">
        <v>1879</v>
      </c>
      <c r="X676">
        <v>0</v>
      </c>
      <c r="Y676">
        <v>0</v>
      </c>
      <c r="AA676">
        <v>48</v>
      </c>
      <c r="AB676">
        <v>49</v>
      </c>
      <c r="AC676">
        <v>3</v>
      </c>
      <c r="AD676">
        <v>24</v>
      </c>
      <c r="AE676" s="19" t="s">
        <v>60</v>
      </c>
    </row>
    <row r="677" spans="1:31" x14ac:dyDescent="0.2">
      <c r="A677">
        <v>629</v>
      </c>
      <c r="B677" s="19" t="s">
        <v>1019</v>
      </c>
      <c r="C677">
        <v>27</v>
      </c>
      <c r="D677" s="19" t="s">
        <v>423</v>
      </c>
      <c r="E677" s="19" t="s">
        <v>322</v>
      </c>
      <c r="F677">
        <v>29</v>
      </c>
      <c r="G677">
        <v>1</v>
      </c>
      <c r="H677">
        <v>3</v>
      </c>
      <c r="I677">
        <v>4</v>
      </c>
      <c r="J677">
        <v>-5</v>
      </c>
      <c r="K677">
        <v>34</v>
      </c>
      <c r="L677">
        <v>1</v>
      </c>
      <c r="M677">
        <v>0</v>
      </c>
      <c r="N677">
        <v>0</v>
      </c>
      <c r="O677">
        <v>0</v>
      </c>
      <c r="P677">
        <v>3</v>
      </c>
      <c r="Q677">
        <v>0</v>
      </c>
      <c r="R677">
        <v>0</v>
      </c>
      <c r="S677">
        <v>25</v>
      </c>
      <c r="T677">
        <v>4</v>
      </c>
      <c r="U677">
        <v>50</v>
      </c>
      <c r="V677" s="19" t="s">
        <v>2889</v>
      </c>
      <c r="W677" s="19" t="s">
        <v>952</v>
      </c>
      <c r="X677">
        <v>45</v>
      </c>
      <c r="Y677">
        <v>44</v>
      </c>
      <c r="Z677">
        <v>50.6</v>
      </c>
      <c r="AA677">
        <v>12</v>
      </c>
      <c r="AB677">
        <v>34</v>
      </c>
      <c r="AC677">
        <v>6</v>
      </c>
      <c r="AD677">
        <v>15</v>
      </c>
      <c r="AE677" s="19" t="s">
        <v>60</v>
      </c>
    </row>
    <row r="678" spans="1:31" x14ac:dyDescent="0.2">
      <c r="A678">
        <v>630</v>
      </c>
      <c r="B678" s="19" t="s">
        <v>950</v>
      </c>
      <c r="C678">
        <v>25</v>
      </c>
      <c r="D678" s="19" t="s">
        <v>359</v>
      </c>
      <c r="E678" s="19" t="s">
        <v>322</v>
      </c>
      <c r="F678">
        <v>24</v>
      </c>
      <c r="G678">
        <v>2</v>
      </c>
      <c r="H678">
        <v>2</v>
      </c>
      <c r="I678">
        <v>4</v>
      </c>
      <c r="J678">
        <v>5</v>
      </c>
      <c r="K678">
        <v>2</v>
      </c>
      <c r="L678">
        <v>2</v>
      </c>
      <c r="M678">
        <v>0</v>
      </c>
      <c r="N678">
        <v>0</v>
      </c>
      <c r="O678">
        <v>1</v>
      </c>
      <c r="P678">
        <v>2</v>
      </c>
      <c r="Q678">
        <v>0</v>
      </c>
      <c r="R678">
        <v>0</v>
      </c>
      <c r="S678">
        <v>21</v>
      </c>
      <c r="T678">
        <v>9.5</v>
      </c>
      <c r="U678">
        <v>35</v>
      </c>
      <c r="V678" s="19" t="s">
        <v>951</v>
      </c>
      <c r="W678" s="19" t="s">
        <v>952</v>
      </c>
      <c r="X678">
        <v>2</v>
      </c>
      <c r="Y678">
        <v>0</v>
      </c>
      <c r="Z678">
        <v>100</v>
      </c>
      <c r="AA678">
        <v>13</v>
      </c>
      <c r="AB678">
        <v>48</v>
      </c>
      <c r="AC678">
        <v>5</v>
      </c>
      <c r="AD678">
        <v>12</v>
      </c>
      <c r="AE678" s="19" t="s">
        <v>60</v>
      </c>
    </row>
    <row r="679" spans="1:31" x14ac:dyDescent="0.2">
      <c r="A679">
        <v>631</v>
      </c>
      <c r="B679" s="19" t="s">
        <v>1020</v>
      </c>
      <c r="C679">
        <v>30</v>
      </c>
      <c r="D679" s="19" t="s">
        <v>333</v>
      </c>
      <c r="E679" s="19" t="s">
        <v>338</v>
      </c>
      <c r="F679">
        <v>25</v>
      </c>
      <c r="G679">
        <v>3</v>
      </c>
      <c r="H679">
        <v>1</v>
      </c>
      <c r="I679">
        <v>4</v>
      </c>
      <c r="J679">
        <v>0</v>
      </c>
      <c r="K679">
        <v>10</v>
      </c>
      <c r="L679">
        <v>3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20</v>
      </c>
      <c r="T679">
        <v>15</v>
      </c>
      <c r="U679">
        <v>49</v>
      </c>
      <c r="V679" s="19" t="s">
        <v>2890</v>
      </c>
      <c r="W679" s="19" t="s">
        <v>2891</v>
      </c>
      <c r="X679">
        <v>2</v>
      </c>
      <c r="Y679">
        <v>4</v>
      </c>
      <c r="Z679">
        <v>33.299999999999997</v>
      </c>
      <c r="AA679">
        <v>10</v>
      </c>
      <c r="AB679">
        <v>87</v>
      </c>
      <c r="AC679">
        <v>3</v>
      </c>
      <c r="AD679">
        <v>9</v>
      </c>
      <c r="AE679" s="19" t="s">
        <v>60</v>
      </c>
    </row>
    <row r="680" spans="1:31" x14ac:dyDescent="0.2">
      <c r="A680">
        <v>632</v>
      </c>
      <c r="B680" s="19" t="s">
        <v>1509</v>
      </c>
      <c r="C680">
        <v>30</v>
      </c>
      <c r="D680" s="19" t="s">
        <v>502</v>
      </c>
      <c r="E680" s="19" t="s">
        <v>322</v>
      </c>
      <c r="F680">
        <v>15</v>
      </c>
      <c r="G680">
        <v>1</v>
      </c>
      <c r="H680">
        <v>3</v>
      </c>
      <c r="I680">
        <v>4</v>
      </c>
      <c r="J680">
        <v>-3</v>
      </c>
      <c r="K680">
        <v>12</v>
      </c>
      <c r="L680">
        <v>1</v>
      </c>
      <c r="M680">
        <v>0</v>
      </c>
      <c r="N680">
        <v>0</v>
      </c>
      <c r="O680">
        <v>0</v>
      </c>
      <c r="P680">
        <v>3</v>
      </c>
      <c r="Q680">
        <v>0</v>
      </c>
      <c r="R680">
        <v>0</v>
      </c>
      <c r="S680">
        <v>17</v>
      </c>
      <c r="T680">
        <v>5.9</v>
      </c>
      <c r="U680">
        <v>28</v>
      </c>
      <c r="V680" s="19" t="s">
        <v>2336</v>
      </c>
      <c r="W680" s="19" t="s">
        <v>856</v>
      </c>
      <c r="X680">
        <v>4</v>
      </c>
      <c r="Y680">
        <v>2</v>
      </c>
      <c r="Z680">
        <v>66.7</v>
      </c>
      <c r="AA680">
        <v>8</v>
      </c>
      <c r="AB680">
        <v>34</v>
      </c>
      <c r="AC680">
        <v>0</v>
      </c>
      <c r="AD680">
        <v>6</v>
      </c>
      <c r="AE680" s="19" t="s">
        <v>60</v>
      </c>
    </row>
    <row r="681" spans="1:31" x14ac:dyDescent="0.2">
      <c r="A681">
        <v>633</v>
      </c>
      <c r="B681" s="19" t="s">
        <v>1159</v>
      </c>
      <c r="C681">
        <v>26</v>
      </c>
      <c r="D681" s="19" t="s">
        <v>380</v>
      </c>
      <c r="E681" s="19" t="s">
        <v>325</v>
      </c>
      <c r="F681">
        <v>29</v>
      </c>
      <c r="G681">
        <v>1</v>
      </c>
      <c r="H681">
        <v>3</v>
      </c>
      <c r="I681">
        <v>4</v>
      </c>
      <c r="J681">
        <v>2</v>
      </c>
      <c r="K681">
        <v>6</v>
      </c>
      <c r="L681">
        <v>1</v>
      </c>
      <c r="M681">
        <v>0</v>
      </c>
      <c r="N681">
        <v>0</v>
      </c>
      <c r="O681">
        <v>0</v>
      </c>
      <c r="P681">
        <v>3</v>
      </c>
      <c r="Q681">
        <v>0</v>
      </c>
      <c r="R681">
        <v>0</v>
      </c>
      <c r="S681">
        <v>34</v>
      </c>
      <c r="T681">
        <v>2.9</v>
      </c>
      <c r="U681">
        <v>52</v>
      </c>
      <c r="V681" s="19" t="s">
        <v>2892</v>
      </c>
      <c r="W681" s="19" t="s">
        <v>1629</v>
      </c>
      <c r="X681">
        <v>0</v>
      </c>
      <c r="Y681">
        <v>2</v>
      </c>
      <c r="Z681">
        <v>0</v>
      </c>
      <c r="AA681">
        <v>18</v>
      </c>
      <c r="AB681">
        <v>126</v>
      </c>
      <c r="AC681">
        <v>5</v>
      </c>
      <c r="AD681">
        <v>10</v>
      </c>
      <c r="AE681" s="19" t="s">
        <v>60</v>
      </c>
    </row>
    <row r="682" spans="1:31" x14ac:dyDescent="0.2">
      <c r="A682">
        <v>634</v>
      </c>
      <c r="B682" s="19" t="s">
        <v>1028</v>
      </c>
      <c r="C682">
        <v>36</v>
      </c>
      <c r="D682" s="19" t="s">
        <v>395</v>
      </c>
      <c r="E682" s="19" t="s">
        <v>322</v>
      </c>
      <c r="F682">
        <v>52</v>
      </c>
      <c r="G682">
        <v>0</v>
      </c>
      <c r="H682">
        <v>4</v>
      </c>
      <c r="I682">
        <v>4</v>
      </c>
      <c r="J682">
        <v>-11</v>
      </c>
      <c r="K682">
        <v>4</v>
      </c>
      <c r="L682">
        <v>0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1</v>
      </c>
      <c r="S682">
        <v>30</v>
      </c>
      <c r="T682">
        <v>0</v>
      </c>
      <c r="U682">
        <v>52</v>
      </c>
      <c r="V682" s="19" t="s">
        <v>2154</v>
      </c>
      <c r="W682" s="19" t="s">
        <v>2155</v>
      </c>
      <c r="X682">
        <v>264</v>
      </c>
      <c r="Y682">
        <v>247</v>
      </c>
      <c r="Z682">
        <v>51.7</v>
      </c>
      <c r="AA682">
        <v>45</v>
      </c>
      <c r="AB682">
        <v>66</v>
      </c>
      <c r="AC682">
        <v>6</v>
      </c>
      <c r="AD682">
        <v>8</v>
      </c>
      <c r="AE682" s="19" t="s">
        <v>60</v>
      </c>
    </row>
    <row r="683" spans="1:31" x14ac:dyDescent="0.2">
      <c r="A683">
        <v>635</v>
      </c>
      <c r="B683" s="19" t="s">
        <v>1088</v>
      </c>
      <c r="C683">
        <v>24</v>
      </c>
      <c r="D683" s="19" t="s">
        <v>361</v>
      </c>
      <c r="E683" s="19" t="s">
        <v>347</v>
      </c>
      <c r="F683">
        <v>17</v>
      </c>
      <c r="G683">
        <v>1</v>
      </c>
      <c r="H683">
        <v>3</v>
      </c>
      <c r="I683">
        <v>4</v>
      </c>
      <c r="J683">
        <v>-2</v>
      </c>
      <c r="K683">
        <v>13</v>
      </c>
      <c r="L683">
        <v>1</v>
      </c>
      <c r="M683">
        <v>0</v>
      </c>
      <c r="N683">
        <v>0</v>
      </c>
      <c r="O683">
        <v>1</v>
      </c>
      <c r="P683">
        <v>3</v>
      </c>
      <c r="Q683">
        <v>0</v>
      </c>
      <c r="R683">
        <v>0</v>
      </c>
      <c r="S683">
        <v>16</v>
      </c>
      <c r="T683">
        <v>6.3</v>
      </c>
      <c r="U683">
        <v>44</v>
      </c>
      <c r="V683" s="19" t="s">
        <v>2337</v>
      </c>
      <c r="W683" s="19" t="s">
        <v>1649</v>
      </c>
      <c r="X683">
        <v>0</v>
      </c>
      <c r="Y683">
        <v>0</v>
      </c>
      <c r="AA683">
        <v>22</v>
      </c>
      <c r="AB683">
        <v>35</v>
      </c>
      <c r="AC683">
        <v>11</v>
      </c>
      <c r="AD683">
        <v>18</v>
      </c>
      <c r="AE683" s="19" t="s">
        <v>60</v>
      </c>
    </row>
    <row r="684" spans="1:31" x14ac:dyDescent="0.2">
      <c r="A684">
        <v>636</v>
      </c>
      <c r="B684" s="19" t="s">
        <v>959</v>
      </c>
      <c r="C684">
        <v>25</v>
      </c>
      <c r="D684" s="19" t="s">
        <v>373</v>
      </c>
      <c r="E684" s="19" t="s">
        <v>322</v>
      </c>
      <c r="F684">
        <v>13</v>
      </c>
      <c r="G684">
        <v>1</v>
      </c>
      <c r="H684">
        <v>3</v>
      </c>
      <c r="I684">
        <v>4</v>
      </c>
      <c r="J684">
        <v>4</v>
      </c>
      <c r="K684">
        <v>2</v>
      </c>
      <c r="L684">
        <v>0</v>
      </c>
      <c r="M684">
        <v>0</v>
      </c>
      <c r="N684">
        <v>1</v>
      </c>
      <c r="O684">
        <v>1</v>
      </c>
      <c r="P684">
        <v>3</v>
      </c>
      <c r="Q684">
        <v>0</v>
      </c>
      <c r="R684">
        <v>0</v>
      </c>
      <c r="S684">
        <v>22</v>
      </c>
      <c r="T684">
        <v>4.5</v>
      </c>
      <c r="U684">
        <v>47</v>
      </c>
      <c r="V684" s="19" t="s">
        <v>960</v>
      </c>
      <c r="W684" s="19" t="s">
        <v>961</v>
      </c>
      <c r="X684">
        <v>0</v>
      </c>
      <c r="Y684">
        <v>2</v>
      </c>
      <c r="Z684">
        <v>0</v>
      </c>
      <c r="AA684">
        <v>5</v>
      </c>
      <c r="AB684">
        <v>3</v>
      </c>
      <c r="AC684">
        <v>2</v>
      </c>
      <c r="AD684">
        <v>12</v>
      </c>
      <c r="AE684" s="19" t="s">
        <v>60</v>
      </c>
    </row>
    <row r="685" spans="1:31" x14ac:dyDescent="0.2">
      <c r="A685">
        <v>637</v>
      </c>
      <c r="B685" s="19" t="s">
        <v>1976</v>
      </c>
      <c r="C685">
        <v>21</v>
      </c>
      <c r="D685" s="19" t="s">
        <v>395</v>
      </c>
      <c r="E685" s="19" t="s">
        <v>334</v>
      </c>
      <c r="F685">
        <v>10</v>
      </c>
      <c r="G685">
        <v>2</v>
      </c>
      <c r="H685">
        <v>2</v>
      </c>
      <c r="I685">
        <v>4</v>
      </c>
      <c r="J685">
        <v>1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13</v>
      </c>
      <c r="T685">
        <v>15.4</v>
      </c>
      <c r="U685">
        <v>24</v>
      </c>
      <c r="V685" s="19" t="s">
        <v>2893</v>
      </c>
      <c r="W685" s="19" t="s">
        <v>1904</v>
      </c>
      <c r="X685">
        <v>0</v>
      </c>
      <c r="Y685">
        <v>2</v>
      </c>
      <c r="Z685">
        <v>0</v>
      </c>
      <c r="AA685">
        <v>6</v>
      </c>
      <c r="AB685">
        <v>6</v>
      </c>
      <c r="AC685">
        <v>2</v>
      </c>
      <c r="AD685">
        <v>9</v>
      </c>
      <c r="AE685" s="19" t="s">
        <v>60</v>
      </c>
    </row>
    <row r="686" spans="1:31" x14ac:dyDescent="0.2">
      <c r="A686">
        <v>638</v>
      </c>
      <c r="B686" s="19" t="s">
        <v>1977</v>
      </c>
      <c r="C686">
        <v>19</v>
      </c>
      <c r="D686" s="19" t="s">
        <v>423</v>
      </c>
      <c r="E686" s="19" t="s">
        <v>325</v>
      </c>
      <c r="F686">
        <v>9</v>
      </c>
      <c r="G686">
        <v>1</v>
      </c>
      <c r="H686">
        <v>3</v>
      </c>
      <c r="I686">
        <v>4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0</v>
      </c>
      <c r="S686">
        <v>15</v>
      </c>
      <c r="T686">
        <v>6.7</v>
      </c>
      <c r="U686">
        <v>24</v>
      </c>
      <c r="V686" s="19" t="s">
        <v>2894</v>
      </c>
      <c r="W686" s="19" t="s">
        <v>1523</v>
      </c>
      <c r="X686">
        <v>10</v>
      </c>
      <c r="Y686">
        <v>14</v>
      </c>
      <c r="Z686">
        <v>41.7</v>
      </c>
      <c r="AA686">
        <v>3</v>
      </c>
      <c r="AB686">
        <v>10</v>
      </c>
      <c r="AC686">
        <v>1</v>
      </c>
      <c r="AD686">
        <v>6</v>
      </c>
      <c r="AE686" s="19" t="s">
        <v>60</v>
      </c>
    </row>
    <row r="687" spans="1:31" x14ac:dyDescent="0.2">
      <c r="A687">
        <v>639</v>
      </c>
      <c r="B687" s="19" t="s">
        <v>965</v>
      </c>
      <c r="C687">
        <v>21</v>
      </c>
      <c r="D687" s="19" t="s">
        <v>430</v>
      </c>
      <c r="E687" s="19" t="s">
        <v>338</v>
      </c>
      <c r="F687">
        <v>18</v>
      </c>
      <c r="G687">
        <v>2</v>
      </c>
      <c r="H687">
        <v>2</v>
      </c>
      <c r="I687">
        <v>4</v>
      </c>
      <c r="J687">
        <v>1</v>
      </c>
      <c r="K687">
        <v>2</v>
      </c>
      <c r="L687">
        <v>2</v>
      </c>
      <c r="M687">
        <v>0</v>
      </c>
      <c r="N687">
        <v>0</v>
      </c>
      <c r="O687">
        <v>0</v>
      </c>
      <c r="P687">
        <v>2</v>
      </c>
      <c r="Q687">
        <v>0</v>
      </c>
      <c r="R687">
        <v>0</v>
      </c>
      <c r="S687">
        <v>22</v>
      </c>
      <c r="T687">
        <v>9.1</v>
      </c>
      <c r="U687">
        <v>42</v>
      </c>
      <c r="V687" s="19" t="s">
        <v>966</v>
      </c>
      <c r="W687" s="19" t="s">
        <v>967</v>
      </c>
      <c r="X687">
        <v>6</v>
      </c>
      <c r="Y687">
        <v>5</v>
      </c>
      <c r="Z687">
        <v>54.5</v>
      </c>
      <c r="AA687">
        <v>6</v>
      </c>
      <c r="AB687">
        <v>35</v>
      </c>
      <c r="AC687">
        <v>1</v>
      </c>
      <c r="AD687">
        <v>9</v>
      </c>
      <c r="AE687" s="19" t="s">
        <v>60</v>
      </c>
    </row>
    <row r="688" spans="1:31" x14ac:dyDescent="0.2">
      <c r="A688">
        <v>640</v>
      </c>
      <c r="B688" s="19" t="s">
        <v>1179</v>
      </c>
      <c r="C688">
        <v>26</v>
      </c>
      <c r="D688" s="19" t="s">
        <v>440</v>
      </c>
      <c r="E688" s="19" t="s">
        <v>347</v>
      </c>
      <c r="F688">
        <v>22</v>
      </c>
      <c r="G688">
        <v>1</v>
      </c>
      <c r="H688">
        <v>3</v>
      </c>
      <c r="I688">
        <v>4</v>
      </c>
      <c r="J688">
        <v>-12</v>
      </c>
      <c r="K688">
        <v>2</v>
      </c>
      <c r="L688">
        <v>1</v>
      </c>
      <c r="M688">
        <v>0</v>
      </c>
      <c r="N688">
        <v>0</v>
      </c>
      <c r="O688">
        <v>0</v>
      </c>
      <c r="P688">
        <v>3</v>
      </c>
      <c r="Q688">
        <v>0</v>
      </c>
      <c r="R688">
        <v>0</v>
      </c>
      <c r="S688">
        <v>17</v>
      </c>
      <c r="T688">
        <v>5.9</v>
      </c>
      <c r="U688">
        <v>40</v>
      </c>
      <c r="V688" s="19" t="s">
        <v>2895</v>
      </c>
      <c r="W688" s="19" t="s">
        <v>1961</v>
      </c>
      <c r="X688">
        <v>0</v>
      </c>
      <c r="Y688">
        <v>0</v>
      </c>
      <c r="AA688">
        <v>19</v>
      </c>
      <c r="AB688">
        <v>8</v>
      </c>
      <c r="AC688">
        <v>6</v>
      </c>
      <c r="AD688">
        <v>15</v>
      </c>
      <c r="AE688" s="19" t="s">
        <v>60</v>
      </c>
    </row>
    <row r="689" spans="1:31" x14ac:dyDescent="0.2">
      <c r="A689">
        <v>641</v>
      </c>
      <c r="B689" s="19" t="s">
        <v>974</v>
      </c>
      <c r="C689">
        <v>23</v>
      </c>
      <c r="D689" s="19" t="s">
        <v>423</v>
      </c>
      <c r="E689" s="19" t="s">
        <v>322</v>
      </c>
      <c r="F689">
        <v>36</v>
      </c>
      <c r="G689">
        <v>2</v>
      </c>
      <c r="H689">
        <v>2</v>
      </c>
      <c r="I689">
        <v>4</v>
      </c>
      <c r="J689">
        <v>-3</v>
      </c>
      <c r="K689">
        <v>2</v>
      </c>
      <c r="L689">
        <v>2</v>
      </c>
      <c r="M689">
        <v>0</v>
      </c>
      <c r="N689">
        <v>0</v>
      </c>
      <c r="O689">
        <v>0</v>
      </c>
      <c r="P689">
        <v>2</v>
      </c>
      <c r="Q689">
        <v>0</v>
      </c>
      <c r="R689">
        <v>0</v>
      </c>
      <c r="S689">
        <v>25</v>
      </c>
      <c r="T689">
        <v>8</v>
      </c>
      <c r="U689">
        <v>46</v>
      </c>
      <c r="V689" s="19" t="s">
        <v>2896</v>
      </c>
      <c r="W689" s="19" t="s">
        <v>2105</v>
      </c>
      <c r="X689">
        <v>155</v>
      </c>
      <c r="Y689">
        <v>154</v>
      </c>
      <c r="Z689">
        <v>50.2</v>
      </c>
      <c r="AA689">
        <v>28</v>
      </c>
      <c r="AB689">
        <v>95</v>
      </c>
      <c r="AC689">
        <v>11</v>
      </c>
      <c r="AD689">
        <v>21</v>
      </c>
      <c r="AE689" s="19" t="s">
        <v>60</v>
      </c>
    </row>
    <row r="690" spans="1:31" x14ac:dyDescent="0.2">
      <c r="A690">
        <v>642</v>
      </c>
      <c r="B690" s="19" t="s">
        <v>1098</v>
      </c>
      <c r="C690">
        <v>28</v>
      </c>
      <c r="D690" s="19" t="s">
        <v>370</v>
      </c>
      <c r="E690" s="19" t="s">
        <v>322</v>
      </c>
      <c r="F690">
        <v>43</v>
      </c>
      <c r="G690">
        <v>2</v>
      </c>
      <c r="H690">
        <v>2</v>
      </c>
      <c r="I690">
        <v>4</v>
      </c>
      <c r="J690">
        <v>-10</v>
      </c>
      <c r="K690">
        <v>23</v>
      </c>
      <c r="L690">
        <v>2</v>
      </c>
      <c r="M690">
        <v>0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32</v>
      </c>
      <c r="T690">
        <v>6.3</v>
      </c>
      <c r="U690">
        <v>67</v>
      </c>
      <c r="V690" s="19" t="s">
        <v>2897</v>
      </c>
      <c r="W690" s="19" t="s">
        <v>2898</v>
      </c>
      <c r="X690">
        <v>136</v>
      </c>
      <c r="Y690">
        <v>128</v>
      </c>
      <c r="Z690">
        <v>51.5</v>
      </c>
      <c r="AA690">
        <v>32</v>
      </c>
      <c r="AB690">
        <v>80</v>
      </c>
      <c r="AC690">
        <v>2</v>
      </c>
      <c r="AD690">
        <v>14</v>
      </c>
      <c r="AE690" s="19" t="s">
        <v>60</v>
      </c>
    </row>
    <row r="691" spans="1:31" x14ac:dyDescent="0.2">
      <c r="A691">
        <v>643</v>
      </c>
      <c r="B691" s="19" t="s">
        <v>1042</v>
      </c>
      <c r="C691">
        <v>34</v>
      </c>
      <c r="D691" s="19" t="s">
        <v>324</v>
      </c>
      <c r="E691" s="19" t="s">
        <v>347</v>
      </c>
      <c r="F691">
        <v>19</v>
      </c>
      <c r="G691">
        <v>0</v>
      </c>
      <c r="H691">
        <v>4</v>
      </c>
      <c r="I691">
        <v>4</v>
      </c>
      <c r="J691">
        <v>-9</v>
      </c>
      <c r="K691">
        <v>6</v>
      </c>
      <c r="L691">
        <v>0</v>
      </c>
      <c r="M691">
        <v>0</v>
      </c>
      <c r="N691">
        <v>0</v>
      </c>
      <c r="O691">
        <v>0</v>
      </c>
      <c r="P691">
        <v>4</v>
      </c>
      <c r="Q691">
        <v>0</v>
      </c>
      <c r="R691">
        <v>0</v>
      </c>
      <c r="S691">
        <v>6</v>
      </c>
      <c r="T691">
        <v>0</v>
      </c>
      <c r="U691">
        <v>19</v>
      </c>
      <c r="V691" s="19" t="s">
        <v>1910</v>
      </c>
      <c r="W691" s="19" t="s">
        <v>382</v>
      </c>
      <c r="X691">
        <v>0</v>
      </c>
      <c r="Y691">
        <v>0</v>
      </c>
      <c r="AA691">
        <v>26</v>
      </c>
      <c r="AB691">
        <v>4</v>
      </c>
      <c r="AC691">
        <v>4</v>
      </c>
      <c r="AD691">
        <v>13</v>
      </c>
      <c r="AE691" s="19" t="s">
        <v>60</v>
      </c>
    </row>
    <row r="692" spans="1:31" x14ac:dyDescent="0.2">
      <c r="A692">
        <v>644</v>
      </c>
      <c r="B692" s="19" t="s">
        <v>1546</v>
      </c>
      <c r="C692">
        <v>27</v>
      </c>
      <c r="D692" s="19" t="s">
        <v>368</v>
      </c>
      <c r="E692" s="19" t="s">
        <v>338</v>
      </c>
      <c r="F692">
        <v>9</v>
      </c>
      <c r="G692">
        <v>2</v>
      </c>
      <c r="H692">
        <v>2</v>
      </c>
      <c r="I692">
        <v>4</v>
      </c>
      <c r="J692">
        <v>-2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2</v>
      </c>
      <c r="R692">
        <v>0</v>
      </c>
      <c r="S692">
        <v>9</v>
      </c>
      <c r="T692">
        <v>22.2</v>
      </c>
      <c r="U692">
        <v>26</v>
      </c>
      <c r="V692" s="19" t="s">
        <v>1766</v>
      </c>
      <c r="W692" s="19" t="s">
        <v>1676</v>
      </c>
      <c r="X692">
        <v>0</v>
      </c>
      <c r="Y692">
        <v>0</v>
      </c>
      <c r="AA692">
        <v>6</v>
      </c>
      <c r="AB692">
        <v>8</v>
      </c>
      <c r="AC692">
        <v>2</v>
      </c>
      <c r="AD692">
        <v>10</v>
      </c>
      <c r="AE692" s="19" t="s">
        <v>60</v>
      </c>
    </row>
    <row r="693" spans="1:31" x14ac:dyDescent="0.2">
      <c r="A693">
        <v>645</v>
      </c>
      <c r="B693" s="19" t="s">
        <v>977</v>
      </c>
      <c r="C693">
        <v>31</v>
      </c>
      <c r="D693" s="19" t="s">
        <v>440</v>
      </c>
      <c r="E693" s="19" t="s">
        <v>338</v>
      </c>
      <c r="F693">
        <v>8</v>
      </c>
      <c r="G693">
        <v>1</v>
      </c>
      <c r="H693">
        <v>3</v>
      </c>
      <c r="I693">
        <v>4</v>
      </c>
      <c r="J693">
        <v>0</v>
      </c>
      <c r="K693">
        <v>12</v>
      </c>
      <c r="L693">
        <v>1</v>
      </c>
      <c r="M693">
        <v>0</v>
      </c>
      <c r="N693">
        <v>0</v>
      </c>
      <c r="O693">
        <v>0</v>
      </c>
      <c r="P693">
        <v>3</v>
      </c>
      <c r="Q693">
        <v>0</v>
      </c>
      <c r="R693">
        <v>0</v>
      </c>
      <c r="S693">
        <v>6</v>
      </c>
      <c r="T693">
        <v>16.7</v>
      </c>
      <c r="U693">
        <v>10</v>
      </c>
      <c r="V693" s="19" t="s">
        <v>978</v>
      </c>
      <c r="W693" s="19" t="s">
        <v>979</v>
      </c>
      <c r="X693">
        <v>1</v>
      </c>
      <c r="Y693">
        <v>1</v>
      </c>
      <c r="Z693">
        <v>50</v>
      </c>
      <c r="AA693">
        <v>6</v>
      </c>
      <c r="AB693">
        <v>10</v>
      </c>
      <c r="AC693">
        <v>1</v>
      </c>
      <c r="AD693">
        <v>3</v>
      </c>
      <c r="AE693" s="19" t="s">
        <v>60</v>
      </c>
    </row>
    <row r="694" spans="1:31" x14ac:dyDescent="0.2">
      <c r="A694">
        <v>646</v>
      </c>
      <c r="B694" s="19" t="s">
        <v>980</v>
      </c>
      <c r="C694">
        <v>27</v>
      </c>
      <c r="D694" s="19" t="s">
        <v>412</v>
      </c>
      <c r="E694" s="19" t="s">
        <v>347</v>
      </c>
      <c r="F694">
        <v>30</v>
      </c>
      <c r="G694">
        <v>0</v>
      </c>
      <c r="H694">
        <v>4</v>
      </c>
      <c r="I694">
        <v>4</v>
      </c>
      <c r="J694">
        <v>0</v>
      </c>
      <c r="K694">
        <v>10</v>
      </c>
      <c r="L694">
        <v>0</v>
      </c>
      <c r="M694">
        <v>0</v>
      </c>
      <c r="N694">
        <v>0</v>
      </c>
      <c r="O694">
        <v>0</v>
      </c>
      <c r="P694">
        <v>4</v>
      </c>
      <c r="Q694">
        <v>0</v>
      </c>
      <c r="R694">
        <v>0</v>
      </c>
      <c r="S694">
        <v>19</v>
      </c>
      <c r="T694">
        <v>0</v>
      </c>
      <c r="U694">
        <v>64</v>
      </c>
      <c r="V694" s="19" t="s">
        <v>2040</v>
      </c>
      <c r="W694" s="19" t="s">
        <v>1660</v>
      </c>
      <c r="X694">
        <v>0</v>
      </c>
      <c r="Y694">
        <v>0</v>
      </c>
      <c r="AA694">
        <v>33</v>
      </c>
      <c r="AB694">
        <v>27</v>
      </c>
      <c r="AC694">
        <v>7</v>
      </c>
      <c r="AD694">
        <v>17</v>
      </c>
      <c r="AE694" s="19" t="s">
        <v>60</v>
      </c>
    </row>
    <row r="695" spans="1:31" x14ac:dyDescent="0.2">
      <c r="A695">
        <v>647</v>
      </c>
      <c r="B695" s="19" t="s">
        <v>1540</v>
      </c>
      <c r="C695">
        <v>22</v>
      </c>
      <c r="D695" s="19" t="s">
        <v>520</v>
      </c>
      <c r="E695" s="19" t="s">
        <v>334</v>
      </c>
      <c r="F695">
        <v>23</v>
      </c>
      <c r="G695">
        <v>1</v>
      </c>
      <c r="H695">
        <v>3</v>
      </c>
      <c r="I695">
        <v>4</v>
      </c>
      <c r="J695">
        <v>0</v>
      </c>
      <c r="K695">
        <v>23</v>
      </c>
      <c r="L695">
        <v>1</v>
      </c>
      <c r="M695">
        <v>0</v>
      </c>
      <c r="N695">
        <v>0</v>
      </c>
      <c r="O695">
        <v>0</v>
      </c>
      <c r="P695">
        <v>3</v>
      </c>
      <c r="Q695">
        <v>0</v>
      </c>
      <c r="R695">
        <v>0</v>
      </c>
      <c r="S695">
        <v>20</v>
      </c>
      <c r="T695">
        <v>5</v>
      </c>
      <c r="U695">
        <v>49</v>
      </c>
      <c r="V695" s="19" t="s">
        <v>2899</v>
      </c>
      <c r="W695" s="19" t="s">
        <v>1236</v>
      </c>
      <c r="X695">
        <v>1</v>
      </c>
      <c r="Y695">
        <v>0</v>
      </c>
      <c r="Z695">
        <v>100</v>
      </c>
      <c r="AA695">
        <v>7</v>
      </c>
      <c r="AB695">
        <v>122</v>
      </c>
      <c r="AC695">
        <v>3</v>
      </c>
      <c r="AD695">
        <v>9</v>
      </c>
      <c r="AE695" s="19" t="s">
        <v>60</v>
      </c>
    </row>
    <row r="696" spans="1:31" x14ac:dyDescent="0.2">
      <c r="A696">
        <v>648</v>
      </c>
      <c r="B696" s="19" t="s">
        <v>1413</v>
      </c>
      <c r="C696">
        <v>22</v>
      </c>
      <c r="D696" s="19" t="s">
        <v>324</v>
      </c>
      <c r="E696" s="19" t="s">
        <v>322</v>
      </c>
      <c r="F696">
        <v>32</v>
      </c>
      <c r="G696">
        <v>3</v>
      </c>
      <c r="H696">
        <v>1</v>
      </c>
      <c r="I696">
        <v>4</v>
      </c>
      <c r="J696">
        <v>-8</v>
      </c>
      <c r="K696">
        <v>10</v>
      </c>
      <c r="L696">
        <v>3</v>
      </c>
      <c r="M696">
        <v>0</v>
      </c>
      <c r="N696">
        <v>0</v>
      </c>
      <c r="O696">
        <v>2</v>
      </c>
      <c r="P696">
        <v>1</v>
      </c>
      <c r="Q696">
        <v>0</v>
      </c>
      <c r="R696">
        <v>0</v>
      </c>
      <c r="S696">
        <v>23</v>
      </c>
      <c r="T696">
        <v>13</v>
      </c>
      <c r="U696">
        <v>38</v>
      </c>
      <c r="V696" s="19" t="s">
        <v>2338</v>
      </c>
      <c r="W696" s="19" t="s">
        <v>2339</v>
      </c>
      <c r="X696">
        <v>138</v>
      </c>
      <c r="Y696">
        <v>124</v>
      </c>
      <c r="Z696">
        <v>52.7</v>
      </c>
      <c r="AA696">
        <v>13</v>
      </c>
      <c r="AB696">
        <v>78</v>
      </c>
      <c r="AC696">
        <v>6</v>
      </c>
      <c r="AD696">
        <v>8</v>
      </c>
      <c r="AE696" s="19" t="s">
        <v>60</v>
      </c>
    </row>
    <row r="697" spans="1:31" x14ac:dyDescent="0.2">
      <c r="A697">
        <v>649</v>
      </c>
      <c r="B697" s="19" t="s">
        <v>1114</v>
      </c>
      <c r="C697">
        <v>24</v>
      </c>
      <c r="D697" s="19" t="s">
        <v>370</v>
      </c>
      <c r="E697" s="19" t="s">
        <v>334</v>
      </c>
      <c r="F697">
        <v>21</v>
      </c>
      <c r="G697">
        <v>3</v>
      </c>
      <c r="H697">
        <v>1</v>
      </c>
      <c r="I697">
        <v>4</v>
      </c>
      <c r="J697">
        <v>1</v>
      </c>
      <c r="K697">
        <v>2</v>
      </c>
      <c r="L697">
        <v>3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12</v>
      </c>
      <c r="T697">
        <v>25</v>
      </c>
      <c r="U697">
        <v>26</v>
      </c>
      <c r="V697" s="19" t="s">
        <v>2900</v>
      </c>
      <c r="W697" s="19" t="s">
        <v>1804</v>
      </c>
      <c r="X697">
        <v>58</v>
      </c>
      <c r="Y697">
        <v>73</v>
      </c>
      <c r="Z697">
        <v>44.3</v>
      </c>
      <c r="AA697">
        <v>7</v>
      </c>
      <c r="AB697">
        <v>24</v>
      </c>
      <c r="AC697">
        <v>3</v>
      </c>
      <c r="AD697">
        <v>7</v>
      </c>
      <c r="AE697" s="19" t="s">
        <v>60</v>
      </c>
    </row>
    <row r="698" spans="1:31" x14ac:dyDescent="0.2">
      <c r="A698">
        <v>650</v>
      </c>
      <c r="B698" s="19" t="s">
        <v>1066</v>
      </c>
      <c r="C698">
        <v>27</v>
      </c>
      <c r="D698" s="19" t="s">
        <v>359</v>
      </c>
      <c r="E698" s="19" t="s">
        <v>347</v>
      </c>
      <c r="F698">
        <v>27</v>
      </c>
      <c r="G698">
        <v>0</v>
      </c>
      <c r="H698">
        <v>4</v>
      </c>
      <c r="I698">
        <v>4</v>
      </c>
      <c r="J698">
        <v>-2</v>
      </c>
      <c r="K698">
        <v>14</v>
      </c>
      <c r="L698">
        <v>0</v>
      </c>
      <c r="M698">
        <v>0</v>
      </c>
      <c r="N698">
        <v>0</v>
      </c>
      <c r="O698">
        <v>0</v>
      </c>
      <c r="P698">
        <v>4</v>
      </c>
      <c r="Q698">
        <v>0</v>
      </c>
      <c r="R698">
        <v>0</v>
      </c>
      <c r="S698">
        <v>20</v>
      </c>
      <c r="T698">
        <v>0</v>
      </c>
      <c r="U698">
        <v>57</v>
      </c>
      <c r="V698" s="19" t="s">
        <v>2901</v>
      </c>
      <c r="W698" s="19" t="s">
        <v>589</v>
      </c>
      <c r="X698">
        <v>0</v>
      </c>
      <c r="Y698">
        <v>0</v>
      </c>
      <c r="AA698">
        <v>21</v>
      </c>
      <c r="AB698">
        <v>9</v>
      </c>
      <c r="AC698">
        <v>5</v>
      </c>
      <c r="AD698">
        <v>15</v>
      </c>
      <c r="AE698" s="19" t="s">
        <v>60</v>
      </c>
    </row>
    <row r="699" spans="1:31" x14ac:dyDescent="0.2">
      <c r="A699">
        <v>651</v>
      </c>
      <c r="B699" s="19" t="s">
        <v>1242</v>
      </c>
      <c r="C699">
        <v>26</v>
      </c>
      <c r="D699" s="19" t="s">
        <v>361</v>
      </c>
      <c r="E699" s="19" t="s">
        <v>322</v>
      </c>
      <c r="F699">
        <v>49</v>
      </c>
      <c r="G699">
        <v>2</v>
      </c>
      <c r="H699">
        <v>2</v>
      </c>
      <c r="I699">
        <v>4</v>
      </c>
      <c r="J699">
        <v>-8</v>
      </c>
      <c r="K699">
        <v>15</v>
      </c>
      <c r="L699">
        <v>2</v>
      </c>
      <c r="M699">
        <v>0</v>
      </c>
      <c r="N699">
        <v>0</v>
      </c>
      <c r="O699">
        <v>1</v>
      </c>
      <c r="P699">
        <v>2</v>
      </c>
      <c r="Q699">
        <v>0</v>
      </c>
      <c r="R699">
        <v>0</v>
      </c>
      <c r="S699">
        <v>45</v>
      </c>
      <c r="T699">
        <v>4.4000000000000004</v>
      </c>
      <c r="U699">
        <v>82</v>
      </c>
      <c r="V699" s="19" t="s">
        <v>2340</v>
      </c>
      <c r="W699" s="19" t="s">
        <v>1588</v>
      </c>
      <c r="X699">
        <v>154</v>
      </c>
      <c r="Y699">
        <v>145</v>
      </c>
      <c r="Z699">
        <v>51.5</v>
      </c>
      <c r="AA699">
        <v>24</v>
      </c>
      <c r="AB699">
        <v>119</v>
      </c>
      <c r="AC699">
        <v>8</v>
      </c>
      <c r="AD699">
        <v>15</v>
      </c>
      <c r="AE699" s="19" t="s">
        <v>60</v>
      </c>
    </row>
    <row r="700" spans="1:31" x14ac:dyDescent="0.2">
      <c r="A700">
        <v>652</v>
      </c>
      <c r="B700" s="19" t="s">
        <v>1795</v>
      </c>
      <c r="C700">
        <v>22</v>
      </c>
      <c r="D700" s="19" t="s">
        <v>370</v>
      </c>
      <c r="E700" s="19" t="s">
        <v>338</v>
      </c>
      <c r="F700">
        <v>14</v>
      </c>
      <c r="G700">
        <v>2</v>
      </c>
      <c r="H700">
        <v>2</v>
      </c>
      <c r="I700">
        <v>4</v>
      </c>
      <c r="J700">
        <v>0</v>
      </c>
      <c r="K700">
        <v>4</v>
      </c>
      <c r="L700">
        <v>2</v>
      </c>
      <c r="M700">
        <v>0</v>
      </c>
      <c r="N700">
        <v>0</v>
      </c>
      <c r="O700">
        <v>0</v>
      </c>
      <c r="P700">
        <v>2</v>
      </c>
      <c r="Q700">
        <v>0</v>
      </c>
      <c r="R700">
        <v>0</v>
      </c>
      <c r="S700">
        <v>10</v>
      </c>
      <c r="T700">
        <v>20</v>
      </c>
      <c r="U700">
        <v>20</v>
      </c>
      <c r="V700" s="19" t="s">
        <v>2902</v>
      </c>
      <c r="W700" s="19" t="s">
        <v>1851</v>
      </c>
      <c r="X700">
        <v>3</v>
      </c>
      <c r="Y700">
        <v>1</v>
      </c>
      <c r="Z700">
        <v>75</v>
      </c>
      <c r="AA700">
        <v>3</v>
      </c>
      <c r="AB700">
        <v>28</v>
      </c>
      <c r="AC700">
        <v>4</v>
      </c>
      <c r="AD700">
        <v>9</v>
      </c>
      <c r="AE700" s="19" t="s">
        <v>60</v>
      </c>
    </row>
    <row r="701" spans="1:31" x14ac:dyDescent="0.2">
      <c r="A701">
        <v>653</v>
      </c>
      <c r="B701" s="19" t="s">
        <v>1759</v>
      </c>
      <c r="C701">
        <v>27</v>
      </c>
      <c r="D701" s="19" t="s">
        <v>415</v>
      </c>
      <c r="E701" s="19" t="s">
        <v>325</v>
      </c>
      <c r="F701">
        <v>15</v>
      </c>
      <c r="G701">
        <v>2</v>
      </c>
      <c r="H701">
        <v>2</v>
      </c>
      <c r="I701">
        <v>4</v>
      </c>
      <c r="J701">
        <v>3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0</v>
      </c>
      <c r="S701">
        <v>16</v>
      </c>
      <c r="T701">
        <v>12.5</v>
      </c>
      <c r="U701">
        <v>47</v>
      </c>
      <c r="V701" s="19" t="s">
        <v>2903</v>
      </c>
      <c r="W701" s="19" t="s">
        <v>1743</v>
      </c>
      <c r="X701">
        <v>2</v>
      </c>
      <c r="Y701">
        <v>5</v>
      </c>
      <c r="Z701">
        <v>28.6</v>
      </c>
      <c r="AA701">
        <v>4</v>
      </c>
      <c r="AB701">
        <v>13</v>
      </c>
      <c r="AC701">
        <v>1</v>
      </c>
      <c r="AD701">
        <v>12</v>
      </c>
      <c r="AE701" s="19" t="s">
        <v>60</v>
      </c>
    </row>
    <row r="702" spans="1:31" x14ac:dyDescent="0.2">
      <c r="A702">
        <v>654</v>
      </c>
      <c r="B702" s="19" t="s">
        <v>1461</v>
      </c>
      <c r="C702">
        <v>28</v>
      </c>
      <c r="D702" s="19" t="s">
        <v>395</v>
      </c>
      <c r="E702" s="19" t="s">
        <v>347</v>
      </c>
      <c r="F702">
        <v>23</v>
      </c>
      <c r="G702">
        <v>0</v>
      </c>
      <c r="H702">
        <v>4</v>
      </c>
      <c r="I702">
        <v>4</v>
      </c>
      <c r="J702">
        <v>2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4</v>
      </c>
      <c r="Q702">
        <v>0</v>
      </c>
      <c r="R702">
        <v>0</v>
      </c>
      <c r="S702">
        <v>14</v>
      </c>
      <c r="T702">
        <v>0</v>
      </c>
      <c r="U702">
        <v>32</v>
      </c>
      <c r="V702" s="19" t="s">
        <v>1744</v>
      </c>
      <c r="W702" s="19" t="s">
        <v>935</v>
      </c>
      <c r="X702">
        <v>0</v>
      </c>
      <c r="Y702">
        <v>0</v>
      </c>
      <c r="AA702">
        <v>16</v>
      </c>
      <c r="AB702">
        <v>23</v>
      </c>
      <c r="AC702">
        <v>4</v>
      </c>
      <c r="AD702">
        <v>21</v>
      </c>
      <c r="AE702" s="19" t="s">
        <v>60</v>
      </c>
    </row>
    <row r="703" spans="1:31" x14ac:dyDescent="0.2">
      <c r="A703">
        <v>655</v>
      </c>
      <c r="B703" s="19" t="s">
        <v>1000</v>
      </c>
      <c r="C703">
        <v>23</v>
      </c>
      <c r="D703" s="19" t="s">
        <v>452</v>
      </c>
      <c r="E703" s="19" t="s">
        <v>334</v>
      </c>
      <c r="F703">
        <v>30</v>
      </c>
      <c r="G703">
        <v>1</v>
      </c>
      <c r="H703">
        <v>3</v>
      </c>
      <c r="I703">
        <v>4</v>
      </c>
      <c r="J703">
        <v>-8</v>
      </c>
      <c r="K703">
        <v>34</v>
      </c>
      <c r="L703">
        <v>1</v>
      </c>
      <c r="M703">
        <v>0</v>
      </c>
      <c r="N703">
        <v>0</v>
      </c>
      <c r="O703">
        <v>0</v>
      </c>
      <c r="P703">
        <v>3</v>
      </c>
      <c r="Q703">
        <v>0</v>
      </c>
      <c r="R703">
        <v>0</v>
      </c>
      <c r="S703">
        <v>24</v>
      </c>
      <c r="T703">
        <v>4.2</v>
      </c>
      <c r="U703">
        <v>52</v>
      </c>
      <c r="V703" s="19" t="s">
        <v>2904</v>
      </c>
      <c r="W703" s="19" t="s">
        <v>1629</v>
      </c>
      <c r="X703">
        <v>0</v>
      </c>
      <c r="Y703">
        <v>4</v>
      </c>
      <c r="Z703">
        <v>0</v>
      </c>
      <c r="AA703">
        <v>14</v>
      </c>
      <c r="AB703">
        <v>74</v>
      </c>
      <c r="AC703">
        <v>6</v>
      </c>
      <c r="AD703">
        <v>14</v>
      </c>
      <c r="AE703" s="19" t="s">
        <v>60</v>
      </c>
    </row>
    <row r="704" spans="1:31" x14ac:dyDescent="0.2">
      <c r="A704">
        <v>656</v>
      </c>
      <c r="B704" s="19" t="s">
        <v>1003</v>
      </c>
      <c r="C704">
        <v>28</v>
      </c>
      <c r="D704" s="19" t="s">
        <v>333</v>
      </c>
      <c r="E704" s="19" t="s">
        <v>334</v>
      </c>
      <c r="F704">
        <v>25</v>
      </c>
      <c r="G704">
        <v>3</v>
      </c>
      <c r="H704">
        <v>0</v>
      </c>
      <c r="I704">
        <v>3</v>
      </c>
      <c r="J704">
        <v>1</v>
      </c>
      <c r="K704">
        <v>15</v>
      </c>
      <c r="L704">
        <v>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17</v>
      </c>
      <c r="T704">
        <v>17.600000000000001</v>
      </c>
      <c r="U704">
        <v>27</v>
      </c>
      <c r="V704" s="19" t="s">
        <v>2905</v>
      </c>
      <c r="W704" s="19" t="s">
        <v>1857</v>
      </c>
      <c r="X704">
        <v>0</v>
      </c>
      <c r="Y704">
        <v>0</v>
      </c>
      <c r="AA704">
        <v>6</v>
      </c>
      <c r="AB704">
        <v>57</v>
      </c>
      <c r="AC704">
        <v>1</v>
      </c>
      <c r="AD704">
        <v>6</v>
      </c>
      <c r="AE704" s="19" t="s">
        <v>60</v>
      </c>
    </row>
    <row r="705" spans="1:31" x14ac:dyDescent="0.2">
      <c r="A705">
        <v>657</v>
      </c>
      <c r="B705" s="19" t="s">
        <v>1005</v>
      </c>
      <c r="C705">
        <v>27</v>
      </c>
      <c r="D705" s="19" t="s">
        <v>357</v>
      </c>
      <c r="E705" s="19" t="s">
        <v>347</v>
      </c>
      <c r="F705">
        <v>50</v>
      </c>
      <c r="G705">
        <v>0</v>
      </c>
      <c r="H705">
        <v>3</v>
      </c>
      <c r="I705">
        <v>3</v>
      </c>
      <c r="J705">
        <v>-7</v>
      </c>
      <c r="K705">
        <v>33</v>
      </c>
      <c r="L705">
        <v>0</v>
      </c>
      <c r="M705">
        <v>0</v>
      </c>
      <c r="N705">
        <v>0</v>
      </c>
      <c r="O705">
        <v>0</v>
      </c>
      <c r="P705">
        <v>3</v>
      </c>
      <c r="Q705">
        <v>0</v>
      </c>
      <c r="R705">
        <v>0</v>
      </c>
      <c r="S705">
        <v>32</v>
      </c>
      <c r="T705">
        <v>0</v>
      </c>
      <c r="U705">
        <v>90</v>
      </c>
      <c r="V705" s="19" t="s">
        <v>2906</v>
      </c>
      <c r="W705" s="19" t="s">
        <v>1705</v>
      </c>
      <c r="X705">
        <v>0</v>
      </c>
      <c r="Y705">
        <v>0</v>
      </c>
      <c r="AA705">
        <v>80</v>
      </c>
      <c r="AB705">
        <v>132</v>
      </c>
      <c r="AC705">
        <v>9</v>
      </c>
      <c r="AD705">
        <v>46</v>
      </c>
      <c r="AE705" s="19" t="s">
        <v>60</v>
      </c>
    </row>
    <row r="706" spans="1:31" x14ac:dyDescent="0.2">
      <c r="A706">
        <v>658</v>
      </c>
      <c r="B706" s="19" t="s">
        <v>1006</v>
      </c>
      <c r="C706">
        <v>21</v>
      </c>
      <c r="D706" s="19" t="s">
        <v>333</v>
      </c>
      <c r="E706" s="19" t="s">
        <v>347</v>
      </c>
      <c r="F706">
        <v>27</v>
      </c>
      <c r="G706">
        <v>1</v>
      </c>
      <c r="H706">
        <v>2</v>
      </c>
      <c r="I706">
        <v>3</v>
      </c>
      <c r="J706">
        <v>5</v>
      </c>
      <c r="K706">
        <v>22</v>
      </c>
      <c r="L706">
        <v>1</v>
      </c>
      <c r="M706">
        <v>0</v>
      </c>
      <c r="N706">
        <v>0</v>
      </c>
      <c r="O706">
        <v>0</v>
      </c>
      <c r="P706">
        <v>2</v>
      </c>
      <c r="Q706">
        <v>0</v>
      </c>
      <c r="R706">
        <v>0</v>
      </c>
      <c r="S706">
        <v>10</v>
      </c>
      <c r="T706">
        <v>10</v>
      </c>
      <c r="U706">
        <v>32</v>
      </c>
      <c r="V706" s="19" t="s">
        <v>2907</v>
      </c>
      <c r="W706" s="19" t="s">
        <v>1716</v>
      </c>
      <c r="X706">
        <v>0</v>
      </c>
      <c r="Y706">
        <v>0</v>
      </c>
      <c r="AA706">
        <v>26</v>
      </c>
      <c r="AB706">
        <v>89</v>
      </c>
      <c r="AC706">
        <v>4</v>
      </c>
      <c r="AD706">
        <v>24</v>
      </c>
      <c r="AE706" s="19" t="s">
        <v>60</v>
      </c>
    </row>
    <row r="707" spans="1:31" x14ac:dyDescent="0.2">
      <c r="A707">
        <v>659</v>
      </c>
      <c r="B707" s="19" t="s">
        <v>1944</v>
      </c>
      <c r="C707">
        <v>24</v>
      </c>
      <c r="D707" s="19" t="s">
        <v>370</v>
      </c>
      <c r="E707" s="19" t="s">
        <v>347</v>
      </c>
      <c r="F707">
        <v>10</v>
      </c>
      <c r="G707">
        <v>2</v>
      </c>
      <c r="H707">
        <v>1</v>
      </c>
      <c r="I707">
        <v>3</v>
      </c>
      <c r="J707">
        <v>4</v>
      </c>
      <c r="K707">
        <v>0</v>
      </c>
      <c r="L707">
        <v>2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8</v>
      </c>
      <c r="T707">
        <v>25</v>
      </c>
      <c r="U707">
        <v>14</v>
      </c>
      <c r="V707" s="19" t="s">
        <v>2341</v>
      </c>
      <c r="W707" s="19" t="s">
        <v>1872</v>
      </c>
      <c r="X707">
        <v>0</v>
      </c>
      <c r="Y707">
        <v>0</v>
      </c>
      <c r="AA707">
        <v>7</v>
      </c>
      <c r="AB707">
        <v>8</v>
      </c>
      <c r="AC707">
        <v>1</v>
      </c>
      <c r="AD707">
        <v>6</v>
      </c>
      <c r="AE707" s="19" t="s">
        <v>60</v>
      </c>
    </row>
    <row r="708" spans="1:31" x14ac:dyDescent="0.2">
      <c r="A708">
        <v>660</v>
      </c>
      <c r="B708" s="19" t="s">
        <v>1144</v>
      </c>
      <c r="C708">
        <v>25</v>
      </c>
      <c r="D708" s="19" t="s">
        <v>350</v>
      </c>
      <c r="E708" s="19" t="s">
        <v>347</v>
      </c>
      <c r="F708">
        <v>34</v>
      </c>
      <c r="G708">
        <v>1</v>
      </c>
      <c r="H708">
        <v>2</v>
      </c>
      <c r="I708">
        <v>3</v>
      </c>
      <c r="J708">
        <v>7</v>
      </c>
      <c r="K708">
        <v>23</v>
      </c>
      <c r="L708">
        <v>1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0</v>
      </c>
      <c r="S708">
        <v>29</v>
      </c>
      <c r="T708">
        <v>3.4</v>
      </c>
      <c r="U708">
        <v>78</v>
      </c>
      <c r="V708" s="19" t="s">
        <v>2908</v>
      </c>
      <c r="W708" s="19" t="s">
        <v>739</v>
      </c>
      <c r="X708">
        <v>0</v>
      </c>
      <c r="Y708">
        <v>0</v>
      </c>
      <c r="AA708">
        <v>25</v>
      </c>
      <c r="AB708">
        <v>36</v>
      </c>
      <c r="AC708">
        <v>5</v>
      </c>
      <c r="AD708">
        <v>18</v>
      </c>
      <c r="AE708" s="19" t="s">
        <v>60</v>
      </c>
    </row>
    <row r="709" spans="1:31" x14ac:dyDescent="0.2">
      <c r="A709">
        <v>661</v>
      </c>
      <c r="B709" s="19" t="s">
        <v>1012</v>
      </c>
      <c r="C709">
        <v>26</v>
      </c>
      <c r="D709" s="19" t="s">
        <v>440</v>
      </c>
      <c r="E709" s="19" t="s">
        <v>322</v>
      </c>
      <c r="F709">
        <v>12</v>
      </c>
      <c r="G709">
        <v>3</v>
      </c>
      <c r="H709">
        <v>0</v>
      </c>
      <c r="I709">
        <v>3</v>
      </c>
      <c r="J709">
        <v>-7</v>
      </c>
      <c r="K709">
        <v>6</v>
      </c>
      <c r="L709">
        <v>3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24</v>
      </c>
      <c r="T709">
        <v>12.5</v>
      </c>
      <c r="U709">
        <v>40</v>
      </c>
      <c r="V709" s="19" t="s">
        <v>2132</v>
      </c>
      <c r="W709" s="19" t="s">
        <v>1534</v>
      </c>
      <c r="X709">
        <v>60</v>
      </c>
      <c r="Y709">
        <v>62</v>
      </c>
      <c r="Z709">
        <v>49.2</v>
      </c>
      <c r="AA709">
        <v>4</v>
      </c>
      <c r="AB709">
        <v>4</v>
      </c>
      <c r="AC709">
        <v>4</v>
      </c>
      <c r="AD709">
        <v>12</v>
      </c>
      <c r="AE709" s="19" t="s">
        <v>60</v>
      </c>
    </row>
    <row r="710" spans="1:31" x14ac:dyDescent="0.2">
      <c r="A710">
        <v>662</v>
      </c>
      <c r="B710" s="19" t="s">
        <v>1276</v>
      </c>
      <c r="C710">
        <v>30</v>
      </c>
      <c r="D710" s="19" t="s">
        <v>373</v>
      </c>
      <c r="E710" s="19" t="s">
        <v>347</v>
      </c>
      <c r="F710">
        <v>26</v>
      </c>
      <c r="G710">
        <v>1</v>
      </c>
      <c r="H710">
        <v>2</v>
      </c>
      <c r="I710">
        <v>3</v>
      </c>
      <c r="J710">
        <v>1</v>
      </c>
      <c r="K710">
        <v>29</v>
      </c>
      <c r="L710">
        <v>1</v>
      </c>
      <c r="M710">
        <v>0</v>
      </c>
      <c r="N710">
        <v>0</v>
      </c>
      <c r="O710">
        <v>0</v>
      </c>
      <c r="P710">
        <v>2</v>
      </c>
      <c r="Q710">
        <v>0</v>
      </c>
      <c r="R710">
        <v>0</v>
      </c>
      <c r="S710">
        <v>18</v>
      </c>
      <c r="T710">
        <v>5.6</v>
      </c>
      <c r="U710">
        <v>61</v>
      </c>
      <c r="V710" s="19" t="s">
        <v>2909</v>
      </c>
      <c r="W710" s="19" t="s">
        <v>904</v>
      </c>
      <c r="X710">
        <v>0</v>
      </c>
      <c r="Y710">
        <v>0</v>
      </c>
      <c r="AA710">
        <v>41</v>
      </c>
      <c r="AB710">
        <v>107</v>
      </c>
      <c r="AC710">
        <v>7</v>
      </c>
      <c r="AD710">
        <v>22</v>
      </c>
      <c r="AE710" s="19" t="s">
        <v>60</v>
      </c>
    </row>
    <row r="711" spans="1:31" x14ac:dyDescent="0.2">
      <c r="A711">
        <v>663</v>
      </c>
      <c r="B711" s="19" t="s">
        <v>1151</v>
      </c>
      <c r="C711">
        <v>29</v>
      </c>
      <c r="D711" s="19" t="s">
        <v>520</v>
      </c>
      <c r="E711" s="19" t="s">
        <v>3</v>
      </c>
      <c r="F711">
        <v>34</v>
      </c>
      <c r="G711">
        <v>0</v>
      </c>
      <c r="H711">
        <v>3</v>
      </c>
      <c r="I711">
        <v>3</v>
      </c>
      <c r="J711">
        <v>0</v>
      </c>
      <c r="K711">
        <v>4</v>
      </c>
      <c r="L711">
        <v>0</v>
      </c>
      <c r="M711">
        <v>0</v>
      </c>
      <c r="N711">
        <v>0</v>
      </c>
      <c r="O711">
        <v>0</v>
      </c>
      <c r="P711">
        <v>3</v>
      </c>
      <c r="Q711">
        <v>0</v>
      </c>
      <c r="R711">
        <v>0</v>
      </c>
      <c r="S711">
        <v>3</v>
      </c>
      <c r="T711">
        <v>0</v>
      </c>
      <c r="U711">
        <v>6</v>
      </c>
      <c r="V711" s="19" t="s">
        <v>2910</v>
      </c>
      <c r="W711" s="19" t="s">
        <v>2911</v>
      </c>
      <c r="X711">
        <v>0</v>
      </c>
      <c r="Y711">
        <v>0</v>
      </c>
      <c r="AA711">
        <v>0</v>
      </c>
      <c r="AB711">
        <v>0</v>
      </c>
      <c r="AC711">
        <v>0</v>
      </c>
      <c r="AD711">
        <v>25</v>
      </c>
      <c r="AE711" s="19" t="s">
        <v>60</v>
      </c>
    </row>
    <row r="712" spans="1:31" x14ac:dyDescent="0.2">
      <c r="A712">
        <v>664</v>
      </c>
      <c r="B712" s="19" t="s">
        <v>1016</v>
      </c>
      <c r="C712">
        <v>31</v>
      </c>
      <c r="D712" s="19" t="s">
        <v>373</v>
      </c>
      <c r="E712" s="19" t="s">
        <v>347</v>
      </c>
      <c r="F712">
        <v>11</v>
      </c>
      <c r="G712">
        <v>1</v>
      </c>
      <c r="H712">
        <v>2</v>
      </c>
      <c r="I712">
        <v>3</v>
      </c>
      <c r="J712">
        <v>-5</v>
      </c>
      <c r="K712">
        <v>11</v>
      </c>
      <c r="L712">
        <v>1</v>
      </c>
      <c r="M712">
        <v>0</v>
      </c>
      <c r="N712">
        <v>0</v>
      </c>
      <c r="O712">
        <v>0</v>
      </c>
      <c r="P712">
        <v>2</v>
      </c>
      <c r="Q712">
        <v>0</v>
      </c>
      <c r="R712">
        <v>0</v>
      </c>
      <c r="S712">
        <v>7</v>
      </c>
      <c r="T712">
        <v>14.3</v>
      </c>
      <c r="U712">
        <v>26</v>
      </c>
      <c r="V712" s="19" t="s">
        <v>1017</v>
      </c>
      <c r="W712" s="19" t="s">
        <v>1018</v>
      </c>
      <c r="X712">
        <v>0</v>
      </c>
      <c r="Y712">
        <v>0</v>
      </c>
      <c r="AA712">
        <v>12</v>
      </c>
      <c r="AB712">
        <v>16</v>
      </c>
      <c r="AC712">
        <v>6</v>
      </c>
      <c r="AD712">
        <v>8</v>
      </c>
      <c r="AE712" s="19" t="s">
        <v>60</v>
      </c>
    </row>
    <row r="713" spans="1:31" x14ac:dyDescent="0.2">
      <c r="A713">
        <v>665</v>
      </c>
      <c r="B713" s="19" t="s">
        <v>1084</v>
      </c>
      <c r="C713">
        <v>23</v>
      </c>
      <c r="D713" s="19" t="s">
        <v>350</v>
      </c>
      <c r="E713" s="19" t="s">
        <v>322</v>
      </c>
      <c r="F713">
        <v>22</v>
      </c>
      <c r="G713">
        <v>2</v>
      </c>
      <c r="H713">
        <v>1</v>
      </c>
      <c r="I713">
        <v>3</v>
      </c>
      <c r="J713">
        <v>2</v>
      </c>
      <c r="K713">
        <v>21</v>
      </c>
      <c r="L713">
        <v>2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11</v>
      </c>
      <c r="T713">
        <v>18.2</v>
      </c>
      <c r="U713">
        <v>19</v>
      </c>
      <c r="V713" s="19" t="s">
        <v>2912</v>
      </c>
      <c r="W713" s="19" t="s">
        <v>2913</v>
      </c>
      <c r="X713">
        <v>83</v>
      </c>
      <c r="Y713">
        <v>88</v>
      </c>
      <c r="Z713">
        <v>48.5</v>
      </c>
      <c r="AA713">
        <v>5</v>
      </c>
      <c r="AB713">
        <v>37</v>
      </c>
      <c r="AC713">
        <v>0</v>
      </c>
      <c r="AD713">
        <v>5</v>
      </c>
      <c r="AE713" s="19" t="s">
        <v>60</v>
      </c>
    </row>
    <row r="714" spans="1:31" x14ac:dyDescent="0.2">
      <c r="A714">
        <v>666</v>
      </c>
      <c r="B714" s="19" t="s">
        <v>1021</v>
      </c>
      <c r="C714">
        <v>27</v>
      </c>
      <c r="D714" s="19" t="s">
        <v>327</v>
      </c>
      <c r="E714" s="19" t="s">
        <v>322</v>
      </c>
      <c r="F714">
        <v>56</v>
      </c>
      <c r="G714">
        <v>2</v>
      </c>
      <c r="H714">
        <v>1</v>
      </c>
      <c r="I714">
        <v>3</v>
      </c>
      <c r="J714">
        <v>-14</v>
      </c>
      <c r="K714">
        <v>47</v>
      </c>
      <c r="L714">
        <v>2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0</v>
      </c>
      <c r="S714">
        <v>52</v>
      </c>
      <c r="T714">
        <v>3.8</v>
      </c>
      <c r="U714">
        <v>103</v>
      </c>
      <c r="V714" s="19" t="s">
        <v>2914</v>
      </c>
      <c r="W714" s="19" t="s">
        <v>2915</v>
      </c>
      <c r="X714">
        <v>84</v>
      </c>
      <c r="Y714">
        <v>63</v>
      </c>
      <c r="Z714">
        <v>57.1</v>
      </c>
      <c r="AA714">
        <v>14</v>
      </c>
      <c r="AB714">
        <v>140</v>
      </c>
      <c r="AC714">
        <v>7</v>
      </c>
      <c r="AD714">
        <v>26</v>
      </c>
      <c r="AE714" s="19" t="s">
        <v>60</v>
      </c>
    </row>
    <row r="715" spans="1:31" x14ac:dyDescent="0.2">
      <c r="A715">
        <v>667</v>
      </c>
      <c r="B715" s="19" t="s">
        <v>1023</v>
      </c>
      <c r="C715">
        <v>27</v>
      </c>
      <c r="D715" s="19" t="s">
        <v>370</v>
      </c>
      <c r="E715" s="19" t="s">
        <v>338</v>
      </c>
      <c r="F715">
        <v>10</v>
      </c>
      <c r="G715">
        <v>0</v>
      </c>
      <c r="H715">
        <v>3</v>
      </c>
      <c r="I715">
        <v>3</v>
      </c>
      <c r="J715">
        <v>2</v>
      </c>
      <c r="K715">
        <v>7</v>
      </c>
      <c r="L715">
        <v>0</v>
      </c>
      <c r="M715">
        <v>0</v>
      </c>
      <c r="N715">
        <v>0</v>
      </c>
      <c r="O715">
        <v>0</v>
      </c>
      <c r="P715">
        <v>3</v>
      </c>
      <c r="Q715">
        <v>0</v>
      </c>
      <c r="R715">
        <v>0</v>
      </c>
      <c r="S715">
        <v>8</v>
      </c>
      <c r="T715">
        <v>0</v>
      </c>
      <c r="U715">
        <v>12</v>
      </c>
      <c r="V715" s="19" t="s">
        <v>1024</v>
      </c>
      <c r="W715" s="19" t="s">
        <v>1025</v>
      </c>
      <c r="X715">
        <v>0</v>
      </c>
      <c r="Y715">
        <v>0</v>
      </c>
      <c r="AA715">
        <v>3</v>
      </c>
      <c r="AB715">
        <v>30</v>
      </c>
      <c r="AC715">
        <v>3</v>
      </c>
      <c r="AD715">
        <v>3</v>
      </c>
      <c r="AE715" s="19" t="s">
        <v>60</v>
      </c>
    </row>
    <row r="716" spans="1:31" x14ac:dyDescent="0.2">
      <c r="A716">
        <v>668</v>
      </c>
      <c r="B716" s="19" t="s">
        <v>1167</v>
      </c>
      <c r="C716">
        <v>27</v>
      </c>
      <c r="D716" s="19" t="s">
        <v>370</v>
      </c>
      <c r="E716" s="19" t="s">
        <v>322</v>
      </c>
      <c r="F716">
        <v>24</v>
      </c>
      <c r="G716">
        <v>1</v>
      </c>
      <c r="H716">
        <v>2</v>
      </c>
      <c r="I716">
        <v>3</v>
      </c>
      <c r="J716">
        <v>-7</v>
      </c>
      <c r="K716">
        <v>11</v>
      </c>
      <c r="L716">
        <v>1</v>
      </c>
      <c r="M716">
        <v>0</v>
      </c>
      <c r="N716">
        <v>0</v>
      </c>
      <c r="O716">
        <v>0</v>
      </c>
      <c r="P716">
        <v>2</v>
      </c>
      <c r="Q716">
        <v>0</v>
      </c>
      <c r="R716">
        <v>0</v>
      </c>
      <c r="S716">
        <v>20</v>
      </c>
      <c r="T716">
        <v>5</v>
      </c>
      <c r="U716">
        <v>41</v>
      </c>
      <c r="V716" s="19" t="s">
        <v>1767</v>
      </c>
      <c r="W716" s="19" t="s">
        <v>1768</v>
      </c>
      <c r="X716">
        <v>12</v>
      </c>
      <c r="Y716">
        <v>21</v>
      </c>
      <c r="Z716">
        <v>36.4</v>
      </c>
      <c r="AA716">
        <v>7</v>
      </c>
      <c r="AB716">
        <v>27</v>
      </c>
      <c r="AC716">
        <v>1</v>
      </c>
      <c r="AD716">
        <v>8</v>
      </c>
      <c r="AE716" s="19" t="s">
        <v>60</v>
      </c>
    </row>
    <row r="717" spans="1:31" x14ac:dyDescent="0.2">
      <c r="A717">
        <v>669</v>
      </c>
      <c r="B717" s="19" t="s">
        <v>1320</v>
      </c>
      <c r="C717">
        <v>34</v>
      </c>
      <c r="D717" s="19" t="s">
        <v>377</v>
      </c>
      <c r="E717" s="19" t="s">
        <v>347</v>
      </c>
      <c r="F717">
        <v>14</v>
      </c>
      <c r="G717">
        <v>1</v>
      </c>
      <c r="H717">
        <v>2</v>
      </c>
      <c r="I717">
        <v>3</v>
      </c>
      <c r="J717">
        <v>4</v>
      </c>
      <c r="K717">
        <v>8</v>
      </c>
      <c r="L717">
        <v>1</v>
      </c>
      <c r="M717">
        <v>0</v>
      </c>
      <c r="N717">
        <v>0</v>
      </c>
      <c r="O717">
        <v>0</v>
      </c>
      <c r="P717">
        <v>2</v>
      </c>
      <c r="Q717">
        <v>0</v>
      </c>
      <c r="R717">
        <v>0</v>
      </c>
      <c r="S717">
        <v>12</v>
      </c>
      <c r="T717">
        <v>8.3000000000000007</v>
      </c>
      <c r="U717">
        <v>38</v>
      </c>
      <c r="V717" s="19" t="s">
        <v>2342</v>
      </c>
      <c r="W717" s="19" t="s">
        <v>1875</v>
      </c>
      <c r="X717">
        <v>0</v>
      </c>
      <c r="Y717">
        <v>0</v>
      </c>
      <c r="AA717">
        <v>18</v>
      </c>
      <c r="AB717">
        <v>18</v>
      </c>
      <c r="AC717">
        <v>5</v>
      </c>
      <c r="AD717">
        <v>10</v>
      </c>
      <c r="AE717" s="19" t="s">
        <v>60</v>
      </c>
    </row>
    <row r="718" spans="1:31" x14ac:dyDescent="0.2">
      <c r="A718">
        <v>670</v>
      </c>
      <c r="B718" s="19" t="s">
        <v>1342</v>
      </c>
      <c r="C718">
        <v>23</v>
      </c>
      <c r="D718" s="19" t="s">
        <v>933</v>
      </c>
      <c r="E718" s="19" t="s">
        <v>347</v>
      </c>
      <c r="F718">
        <v>22</v>
      </c>
      <c r="G718">
        <v>0</v>
      </c>
      <c r="H718">
        <v>3</v>
      </c>
      <c r="I718">
        <v>3</v>
      </c>
      <c r="J718">
        <v>-4</v>
      </c>
      <c r="K718">
        <v>12</v>
      </c>
      <c r="L718">
        <v>0</v>
      </c>
      <c r="M718">
        <v>0</v>
      </c>
      <c r="N718">
        <v>0</v>
      </c>
      <c r="O718">
        <v>0</v>
      </c>
      <c r="P718">
        <v>3</v>
      </c>
      <c r="Q718">
        <v>0</v>
      </c>
      <c r="R718">
        <v>0</v>
      </c>
      <c r="S718">
        <v>10</v>
      </c>
      <c r="T718">
        <v>0</v>
      </c>
      <c r="U718">
        <v>35</v>
      </c>
      <c r="V718" s="19" t="s">
        <v>2916</v>
      </c>
      <c r="W718" s="19" t="s">
        <v>2917</v>
      </c>
      <c r="X718">
        <v>0</v>
      </c>
      <c r="Y718">
        <v>0</v>
      </c>
      <c r="AA718">
        <v>35</v>
      </c>
      <c r="AB718">
        <v>12</v>
      </c>
      <c r="AC718">
        <v>5</v>
      </c>
      <c r="AD718">
        <v>17</v>
      </c>
      <c r="AE718" s="19" t="s">
        <v>60</v>
      </c>
    </row>
    <row r="719" spans="1:31" x14ac:dyDescent="0.2">
      <c r="A719">
        <v>670</v>
      </c>
      <c r="B719" s="19" t="s">
        <v>1342</v>
      </c>
      <c r="C719">
        <v>23</v>
      </c>
      <c r="D719" s="19" t="s">
        <v>324</v>
      </c>
      <c r="E719" s="19" t="s">
        <v>347</v>
      </c>
      <c r="F719">
        <v>21</v>
      </c>
      <c r="G719">
        <v>0</v>
      </c>
      <c r="H719">
        <v>3</v>
      </c>
      <c r="I719">
        <v>3</v>
      </c>
      <c r="J719">
        <v>-4</v>
      </c>
      <c r="K719">
        <v>12</v>
      </c>
      <c r="L719">
        <v>0</v>
      </c>
      <c r="M719">
        <v>0</v>
      </c>
      <c r="N719">
        <v>0</v>
      </c>
      <c r="O719">
        <v>0</v>
      </c>
      <c r="P719">
        <v>3</v>
      </c>
      <c r="Q719">
        <v>0</v>
      </c>
      <c r="R719">
        <v>0</v>
      </c>
      <c r="S719">
        <v>10</v>
      </c>
      <c r="T719">
        <v>0</v>
      </c>
      <c r="U719">
        <v>34</v>
      </c>
      <c r="V719" s="19" t="s">
        <v>1893</v>
      </c>
      <c r="W719" s="19" t="s">
        <v>1611</v>
      </c>
      <c r="X719">
        <v>0</v>
      </c>
      <c r="Y719">
        <v>0</v>
      </c>
      <c r="AA719">
        <v>32</v>
      </c>
      <c r="AB719">
        <v>11</v>
      </c>
      <c r="AC719">
        <v>4</v>
      </c>
      <c r="AD719">
        <v>14</v>
      </c>
      <c r="AE719" s="19" t="s">
        <v>60</v>
      </c>
    </row>
    <row r="720" spans="1:31" x14ac:dyDescent="0.2">
      <c r="A720">
        <v>670</v>
      </c>
      <c r="B720" s="19" t="s">
        <v>1342</v>
      </c>
      <c r="C720">
        <v>23</v>
      </c>
      <c r="D720" s="19" t="s">
        <v>359</v>
      </c>
      <c r="E720" s="19" t="s">
        <v>347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>
        <v>1</v>
      </c>
      <c r="V720" s="19" t="s">
        <v>1469</v>
      </c>
      <c r="W720" s="19" t="s">
        <v>1469</v>
      </c>
      <c r="X720">
        <v>0</v>
      </c>
      <c r="Y720">
        <v>0</v>
      </c>
      <c r="AA720">
        <v>3</v>
      </c>
      <c r="AB720">
        <v>1</v>
      </c>
      <c r="AC720">
        <v>1</v>
      </c>
      <c r="AD720">
        <v>3</v>
      </c>
      <c r="AE720" s="19" t="s">
        <v>60</v>
      </c>
    </row>
    <row r="721" spans="1:31" x14ac:dyDescent="0.2">
      <c r="A721">
        <v>671</v>
      </c>
      <c r="B721" s="19" t="s">
        <v>1095</v>
      </c>
      <c r="C721">
        <v>25</v>
      </c>
      <c r="D721" s="19" t="s">
        <v>502</v>
      </c>
      <c r="E721" s="19" t="s">
        <v>347</v>
      </c>
      <c r="F721">
        <v>22</v>
      </c>
      <c r="G721">
        <v>2</v>
      </c>
      <c r="H721">
        <v>1</v>
      </c>
      <c r="I721">
        <v>3</v>
      </c>
      <c r="J721">
        <v>1</v>
      </c>
      <c r="K721">
        <v>4</v>
      </c>
      <c r="L721">
        <v>2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11</v>
      </c>
      <c r="T721">
        <v>18.2</v>
      </c>
      <c r="U721">
        <v>30</v>
      </c>
      <c r="V721" s="19" t="s">
        <v>2343</v>
      </c>
      <c r="W721" s="19" t="s">
        <v>785</v>
      </c>
      <c r="X721">
        <v>0</v>
      </c>
      <c r="Y721">
        <v>0</v>
      </c>
      <c r="AA721">
        <v>15</v>
      </c>
      <c r="AB721">
        <v>9</v>
      </c>
      <c r="AC721">
        <v>1</v>
      </c>
      <c r="AD721">
        <v>12</v>
      </c>
      <c r="AE721" s="19" t="s">
        <v>60</v>
      </c>
    </row>
    <row r="722" spans="1:31" x14ac:dyDescent="0.2">
      <c r="A722">
        <v>672</v>
      </c>
      <c r="B722" s="19" t="s">
        <v>1038</v>
      </c>
      <c r="C722">
        <v>24</v>
      </c>
      <c r="D722" s="19" t="s">
        <v>933</v>
      </c>
      <c r="E722" s="19" t="s">
        <v>347</v>
      </c>
      <c r="F722">
        <v>13</v>
      </c>
      <c r="G722">
        <v>1</v>
      </c>
      <c r="H722">
        <v>2</v>
      </c>
      <c r="I722">
        <v>3</v>
      </c>
      <c r="J722">
        <v>2</v>
      </c>
      <c r="K722">
        <v>4</v>
      </c>
      <c r="L722">
        <v>1</v>
      </c>
      <c r="M722">
        <v>0</v>
      </c>
      <c r="N722">
        <v>0</v>
      </c>
      <c r="O722">
        <v>1</v>
      </c>
      <c r="P722">
        <v>2</v>
      </c>
      <c r="Q722">
        <v>0</v>
      </c>
      <c r="R722">
        <v>0</v>
      </c>
      <c r="S722">
        <v>12</v>
      </c>
      <c r="T722">
        <v>8.3000000000000007</v>
      </c>
      <c r="U722">
        <v>24</v>
      </c>
      <c r="V722" s="19" t="s">
        <v>1635</v>
      </c>
      <c r="W722" s="19" t="s">
        <v>1606</v>
      </c>
      <c r="X722">
        <v>0</v>
      </c>
      <c r="Y722">
        <v>0</v>
      </c>
      <c r="AA722">
        <v>13</v>
      </c>
      <c r="AB722">
        <v>5</v>
      </c>
      <c r="AC722">
        <v>3</v>
      </c>
      <c r="AD722">
        <v>4</v>
      </c>
      <c r="AE722" s="19" t="s">
        <v>60</v>
      </c>
    </row>
    <row r="723" spans="1:31" x14ac:dyDescent="0.2">
      <c r="A723">
        <v>672</v>
      </c>
      <c r="B723" s="19" t="s">
        <v>1038</v>
      </c>
      <c r="C723">
        <v>24</v>
      </c>
      <c r="D723" s="19" t="s">
        <v>333</v>
      </c>
      <c r="E723" s="19" t="s">
        <v>347</v>
      </c>
      <c r="F723">
        <v>11</v>
      </c>
      <c r="G723">
        <v>1</v>
      </c>
      <c r="H723">
        <v>2</v>
      </c>
      <c r="I723">
        <v>3</v>
      </c>
      <c r="J723">
        <v>3</v>
      </c>
      <c r="K723">
        <v>4</v>
      </c>
      <c r="L723">
        <v>1</v>
      </c>
      <c r="M723">
        <v>0</v>
      </c>
      <c r="N723">
        <v>0</v>
      </c>
      <c r="O723">
        <v>1</v>
      </c>
      <c r="P723">
        <v>2</v>
      </c>
      <c r="Q723">
        <v>0</v>
      </c>
      <c r="R723">
        <v>0</v>
      </c>
      <c r="S723">
        <v>10</v>
      </c>
      <c r="T723">
        <v>10</v>
      </c>
      <c r="U723">
        <v>19</v>
      </c>
      <c r="V723" s="19" t="s">
        <v>1505</v>
      </c>
      <c r="W723" s="19" t="s">
        <v>955</v>
      </c>
      <c r="X723">
        <v>0</v>
      </c>
      <c r="Y723">
        <v>0</v>
      </c>
      <c r="AA723">
        <v>10</v>
      </c>
      <c r="AB723">
        <v>5</v>
      </c>
      <c r="AC723">
        <v>2</v>
      </c>
      <c r="AD723">
        <v>1</v>
      </c>
      <c r="AE723" s="19" t="s">
        <v>60</v>
      </c>
    </row>
    <row r="724" spans="1:31" x14ac:dyDescent="0.2">
      <c r="A724">
        <v>672</v>
      </c>
      <c r="B724" s="19" t="s">
        <v>1038</v>
      </c>
      <c r="C724">
        <v>24</v>
      </c>
      <c r="D724" s="19" t="s">
        <v>353</v>
      </c>
      <c r="E724" s="19" t="s">
        <v>347</v>
      </c>
      <c r="F724">
        <v>2</v>
      </c>
      <c r="G724">
        <v>0</v>
      </c>
      <c r="H724">
        <v>0</v>
      </c>
      <c r="I724">
        <v>0</v>
      </c>
      <c r="J724">
        <v>-1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</v>
      </c>
      <c r="T724">
        <v>0</v>
      </c>
      <c r="U724">
        <v>5</v>
      </c>
      <c r="V724" s="19" t="s">
        <v>1600</v>
      </c>
      <c r="W724" s="19" t="s">
        <v>1298</v>
      </c>
      <c r="X724">
        <v>0</v>
      </c>
      <c r="Y724">
        <v>0</v>
      </c>
      <c r="AA724">
        <v>3</v>
      </c>
      <c r="AB724">
        <v>0</v>
      </c>
      <c r="AC724">
        <v>1</v>
      </c>
      <c r="AD724">
        <v>3</v>
      </c>
      <c r="AE724" s="19" t="s">
        <v>60</v>
      </c>
    </row>
    <row r="725" spans="1:31" x14ac:dyDescent="0.2">
      <c r="A725">
        <v>673</v>
      </c>
      <c r="B725" s="19" t="s">
        <v>1104</v>
      </c>
      <c r="C725">
        <v>21</v>
      </c>
      <c r="D725" s="19" t="s">
        <v>440</v>
      </c>
      <c r="E725" s="19" t="s">
        <v>334</v>
      </c>
      <c r="F725">
        <v>13</v>
      </c>
      <c r="G725">
        <v>2</v>
      </c>
      <c r="H725">
        <v>1</v>
      </c>
      <c r="I725">
        <v>3</v>
      </c>
      <c r="J725">
        <v>-3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10</v>
      </c>
      <c r="T725">
        <v>20</v>
      </c>
      <c r="U725">
        <v>26</v>
      </c>
      <c r="V725" s="19" t="s">
        <v>2344</v>
      </c>
      <c r="W725" s="19" t="s">
        <v>1991</v>
      </c>
      <c r="X725">
        <v>0</v>
      </c>
      <c r="Y725">
        <v>0</v>
      </c>
      <c r="AA725">
        <v>5</v>
      </c>
      <c r="AB725">
        <v>10</v>
      </c>
      <c r="AC725">
        <v>1</v>
      </c>
      <c r="AD725">
        <v>7</v>
      </c>
      <c r="AE725" s="19" t="s">
        <v>60</v>
      </c>
    </row>
    <row r="726" spans="1:31" x14ac:dyDescent="0.2">
      <c r="A726">
        <v>674</v>
      </c>
      <c r="B726" s="19" t="s">
        <v>1106</v>
      </c>
      <c r="C726">
        <v>27</v>
      </c>
      <c r="D726" s="19" t="s">
        <v>520</v>
      </c>
      <c r="E726" s="19" t="s">
        <v>347</v>
      </c>
      <c r="F726">
        <v>20</v>
      </c>
      <c r="G726">
        <v>1</v>
      </c>
      <c r="H726">
        <v>2</v>
      </c>
      <c r="I726">
        <v>3</v>
      </c>
      <c r="J726">
        <v>9</v>
      </c>
      <c r="K726">
        <v>16</v>
      </c>
      <c r="L726">
        <v>1</v>
      </c>
      <c r="M726">
        <v>0</v>
      </c>
      <c r="N726">
        <v>0</v>
      </c>
      <c r="O726">
        <v>1</v>
      </c>
      <c r="P726">
        <v>2</v>
      </c>
      <c r="Q726">
        <v>0</v>
      </c>
      <c r="R726">
        <v>0</v>
      </c>
      <c r="S726">
        <v>12</v>
      </c>
      <c r="T726">
        <v>8.3000000000000007</v>
      </c>
      <c r="U726">
        <v>33</v>
      </c>
      <c r="V726" s="19" t="s">
        <v>1620</v>
      </c>
      <c r="W726" s="19" t="s">
        <v>647</v>
      </c>
      <c r="X726">
        <v>0</v>
      </c>
      <c r="Y726">
        <v>0</v>
      </c>
      <c r="AA726">
        <v>32</v>
      </c>
      <c r="AB726">
        <v>22</v>
      </c>
      <c r="AC726">
        <v>2</v>
      </c>
      <c r="AD726">
        <v>11</v>
      </c>
      <c r="AE726" s="19" t="s">
        <v>60</v>
      </c>
    </row>
    <row r="727" spans="1:31" x14ac:dyDescent="0.2">
      <c r="A727">
        <v>675</v>
      </c>
      <c r="B727" s="19" t="s">
        <v>1197</v>
      </c>
      <c r="C727">
        <v>22</v>
      </c>
      <c r="D727" s="19" t="s">
        <v>502</v>
      </c>
      <c r="E727" s="19" t="s">
        <v>347</v>
      </c>
      <c r="F727">
        <v>42</v>
      </c>
      <c r="G727">
        <v>1</v>
      </c>
      <c r="H727">
        <v>2</v>
      </c>
      <c r="I727">
        <v>3</v>
      </c>
      <c r="J727">
        <v>-23</v>
      </c>
      <c r="K727">
        <v>33</v>
      </c>
      <c r="L727">
        <v>1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34</v>
      </c>
      <c r="T727">
        <v>2.9</v>
      </c>
      <c r="U727">
        <v>91</v>
      </c>
      <c r="V727" s="19" t="s">
        <v>2345</v>
      </c>
      <c r="W727" s="19" t="s">
        <v>1886</v>
      </c>
      <c r="X727">
        <v>0</v>
      </c>
      <c r="Y727">
        <v>0</v>
      </c>
      <c r="AA727">
        <v>26</v>
      </c>
      <c r="AB727">
        <v>53</v>
      </c>
      <c r="AC727">
        <v>9</v>
      </c>
      <c r="AD727">
        <v>39</v>
      </c>
      <c r="AE727" s="19" t="s">
        <v>60</v>
      </c>
    </row>
    <row r="728" spans="1:31" x14ac:dyDescent="0.2">
      <c r="A728">
        <v>676</v>
      </c>
      <c r="B728" s="19" t="s">
        <v>1109</v>
      </c>
      <c r="C728">
        <v>31</v>
      </c>
      <c r="D728" s="19" t="s">
        <v>401</v>
      </c>
      <c r="E728" s="19" t="s">
        <v>322</v>
      </c>
      <c r="F728">
        <v>32</v>
      </c>
      <c r="G728">
        <v>2</v>
      </c>
      <c r="H728">
        <v>1</v>
      </c>
      <c r="I728">
        <v>3</v>
      </c>
      <c r="J728">
        <v>-6</v>
      </c>
      <c r="K728">
        <v>43</v>
      </c>
      <c r="L728">
        <v>2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</v>
      </c>
      <c r="T728">
        <v>7.7</v>
      </c>
      <c r="U728">
        <v>69</v>
      </c>
      <c r="V728" s="19" t="s">
        <v>2346</v>
      </c>
      <c r="W728" s="19" t="s">
        <v>1621</v>
      </c>
      <c r="X728">
        <v>5</v>
      </c>
      <c r="Y728">
        <v>3</v>
      </c>
      <c r="Z728">
        <v>62.5</v>
      </c>
      <c r="AA728">
        <v>11</v>
      </c>
      <c r="AB728">
        <v>93</v>
      </c>
      <c r="AC728">
        <v>1</v>
      </c>
      <c r="AD728">
        <v>9</v>
      </c>
      <c r="AE728" s="19" t="s">
        <v>60</v>
      </c>
    </row>
    <row r="729" spans="1:31" x14ac:dyDescent="0.2">
      <c r="A729">
        <v>677</v>
      </c>
      <c r="B729" s="19" t="s">
        <v>1052</v>
      </c>
      <c r="C729">
        <v>26</v>
      </c>
      <c r="D729" s="19" t="s">
        <v>430</v>
      </c>
      <c r="E729" s="19" t="s">
        <v>347</v>
      </c>
      <c r="F729">
        <v>26</v>
      </c>
      <c r="G729">
        <v>0</v>
      </c>
      <c r="H729">
        <v>3</v>
      </c>
      <c r="I729">
        <v>3</v>
      </c>
      <c r="J729">
        <v>-2</v>
      </c>
      <c r="K729">
        <v>37</v>
      </c>
      <c r="L729">
        <v>0</v>
      </c>
      <c r="M729">
        <v>0</v>
      </c>
      <c r="N729">
        <v>0</v>
      </c>
      <c r="O729">
        <v>0</v>
      </c>
      <c r="P729">
        <v>3</v>
      </c>
      <c r="Q729">
        <v>0</v>
      </c>
      <c r="R729">
        <v>0</v>
      </c>
      <c r="S729">
        <v>19</v>
      </c>
      <c r="T729">
        <v>0</v>
      </c>
      <c r="U729">
        <v>66</v>
      </c>
      <c r="V729" s="19" t="s">
        <v>2050</v>
      </c>
      <c r="W729" s="19" t="s">
        <v>1904</v>
      </c>
      <c r="X729">
        <v>0</v>
      </c>
      <c r="Y729">
        <v>0</v>
      </c>
      <c r="AA729">
        <v>22</v>
      </c>
      <c r="AB729">
        <v>65</v>
      </c>
      <c r="AC729">
        <v>5</v>
      </c>
      <c r="AD729">
        <v>19</v>
      </c>
      <c r="AE729" s="19" t="s">
        <v>60</v>
      </c>
    </row>
    <row r="730" spans="1:31" x14ac:dyDescent="0.2">
      <c r="A730">
        <v>678</v>
      </c>
      <c r="B730" s="19" t="s">
        <v>1053</v>
      </c>
      <c r="C730">
        <v>24</v>
      </c>
      <c r="D730" s="19" t="s">
        <v>359</v>
      </c>
      <c r="E730" s="19" t="s">
        <v>322</v>
      </c>
      <c r="F730">
        <v>14</v>
      </c>
      <c r="G730">
        <v>2</v>
      </c>
      <c r="H730">
        <v>1</v>
      </c>
      <c r="I730">
        <v>3</v>
      </c>
      <c r="J730">
        <v>3</v>
      </c>
      <c r="K730">
        <v>2</v>
      </c>
      <c r="L730">
        <v>2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12</v>
      </c>
      <c r="T730">
        <v>16.7</v>
      </c>
      <c r="U730">
        <v>21</v>
      </c>
      <c r="V730" s="19" t="s">
        <v>1054</v>
      </c>
      <c r="W730" s="19" t="s">
        <v>1055</v>
      </c>
      <c r="X730">
        <v>14</v>
      </c>
      <c r="Y730">
        <v>15</v>
      </c>
      <c r="Z730">
        <v>48.3</v>
      </c>
      <c r="AA730">
        <v>9</v>
      </c>
      <c r="AB730">
        <v>20</v>
      </c>
      <c r="AC730">
        <v>3</v>
      </c>
      <c r="AD730">
        <v>6</v>
      </c>
      <c r="AE730" s="19" t="s">
        <v>60</v>
      </c>
    </row>
    <row r="731" spans="1:31" x14ac:dyDescent="0.2">
      <c r="A731">
        <v>679</v>
      </c>
      <c r="B731" s="19" t="s">
        <v>1058</v>
      </c>
      <c r="C731">
        <v>27</v>
      </c>
      <c r="D731" s="19" t="s">
        <v>933</v>
      </c>
      <c r="E731" s="19" t="s">
        <v>325</v>
      </c>
      <c r="F731">
        <v>17</v>
      </c>
      <c r="G731">
        <v>2</v>
      </c>
      <c r="H731">
        <v>1</v>
      </c>
      <c r="I731">
        <v>3</v>
      </c>
      <c r="J731">
        <v>-7</v>
      </c>
      <c r="K731">
        <v>4</v>
      </c>
      <c r="L731">
        <v>2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14</v>
      </c>
      <c r="T731">
        <v>14.3</v>
      </c>
      <c r="U731">
        <v>22</v>
      </c>
      <c r="V731" s="19" t="s">
        <v>1745</v>
      </c>
      <c r="W731" s="19" t="s">
        <v>1584</v>
      </c>
      <c r="X731">
        <v>69</v>
      </c>
      <c r="Y731">
        <v>54</v>
      </c>
      <c r="Z731">
        <v>56.1</v>
      </c>
      <c r="AA731">
        <v>2</v>
      </c>
      <c r="AB731">
        <v>30</v>
      </c>
      <c r="AC731">
        <v>5</v>
      </c>
      <c r="AD731">
        <v>7</v>
      </c>
      <c r="AE731" s="19" t="s">
        <v>60</v>
      </c>
    </row>
    <row r="732" spans="1:31" x14ac:dyDescent="0.2">
      <c r="A732">
        <v>679</v>
      </c>
      <c r="B732" s="19" t="s">
        <v>1058</v>
      </c>
      <c r="C732">
        <v>27</v>
      </c>
      <c r="D732" s="19" t="s">
        <v>327</v>
      </c>
      <c r="E732" s="19" t="s">
        <v>325</v>
      </c>
      <c r="F732">
        <v>15</v>
      </c>
      <c r="G732">
        <v>2</v>
      </c>
      <c r="H732">
        <v>1</v>
      </c>
      <c r="I732">
        <v>3</v>
      </c>
      <c r="J732">
        <v>-7</v>
      </c>
      <c r="K732">
        <v>4</v>
      </c>
      <c r="L732">
        <v>2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12</v>
      </c>
      <c r="T732">
        <v>16.7</v>
      </c>
      <c r="U732">
        <v>19</v>
      </c>
      <c r="V732" s="19" t="s">
        <v>1059</v>
      </c>
      <c r="W732" s="19" t="s">
        <v>1060</v>
      </c>
      <c r="X732">
        <v>58</v>
      </c>
      <c r="Y732">
        <v>44</v>
      </c>
      <c r="Z732">
        <v>56.9</v>
      </c>
      <c r="AA732">
        <v>2</v>
      </c>
      <c r="AB732">
        <v>24</v>
      </c>
      <c r="AC732">
        <v>4</v>
      </c>
      <c r="AD732">
        <v>7</v>
      </c>
      <c r="AE732" s="19" t="s">
        <v>60</v>
      </c>
    </row>
    <row r="733" spans="1:31" x14ac:dyDescent="0.2">
      <c r="A733">
        <v>679</v>
      </c>
      <c r="B733" s="19" t="s">
        <v>1058</v>
      </c>
      <c r="C733">
        <v>27</v>
      </c>
      <c r="D733" s="19" t="s">
        <v>393</v>
      </c>
      <c r="E733" s="19" t="s">
        <v>325</v>
      </c>
      <c r="F733">
        <v>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</v>
      </c>
      <c r="T733">
        <v>0</v>
      </c>
      <c r="U733">
        <v>3</v>
      </c>
      <c r="V733" s="19" t="s">
        <v>1731</v>
      </c>
      <c r="W733" s="19" t="s">
        <v>1746</v>
      </c>
      <c r="X733">
        <v>11</v>
      </c>
      <c r="Y733">
        <v>10</v>
      </c>
      <c r="Z733">
        <v>52.4</v>
      </c>
      <c r="AA733">
        <v>0</v>
      </c>
      <c r="AB733">
        <v>6</v>
      </c>
      <c r="AC733">
        <v>1</v>
      </c>
      <c r="AD733">
        <v>0</v>
      </c>
      <c r="AE733" s="19" t="s">
        <v>60</v>
      </c>
    </row>
    <row r="734" spans="1:31" x14ac:dyDescent="0.2">
      <c r="A734">
        <v>680</v>
      </c>
      <c r="B734" s="19" t="s">
        <v>1110</v>
      </c>
      <c r="C734">
        <v>39</v>
      </c>
      <c r="D734" s="19" t="s">
        <v>324</v>
      </c>
      <c r="E734" s="19" t="s">
        <v>334</v>
      </c>
      <c r="F734">
        <v>46</v>
      </c>
      <c r="G734">
        <v>3</v>
      </c>
      <c r="H734">
        <v>0</v>
      </c>
      <c r="I734">
        <v>3</v>
      </c>
      <c r="J734">
        <v>-12</v>
      </c>
      <c r="K734">
        <v>32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23</v>
      </c>
      <c r="T734">
        <v>13</v>
      </c>
      <c r="U734">
        <v>51</v>
      </c>
      <c r="V734" s="19" t="s">
        <v>2133</v>
      </c>
      <c r="W734" s="19" t="s">
        <v>2096</v>
      </c>
      <c r="X734">
        <v>0</v>
      </c>
      <c r="Y734">
        <v>2</v>
      </c>
      <c r="Z734">
        <v>0</v>
      </c>
      <c r="AA734">
        <v>15</v>
      </c>
      <c r="AB734">
        <v>142</v>
      </c>
      <c r="AC734">
        <v>7</v>
      </c>
      <c r="AD734">
        <v>17</v>
      </c>
      <c r="AE734" s="19" t="s">
        <v>60</v>
      </c>
    </row>
    <row r="735" spans="1:31" x14ac:dyDescent="0.2">
      <c r="A735">
        <v>681</v>
      </c>
      <c r="B735" s="19" t="s">
        <v>1435</v>
      </c>
      <c r="C735">
        <v>25</v>
      </c>
      <c r="D735" s="19" t="s">
        <v>327</v>
      </c>
      <c r="E735" s="19" t="s">
        <v>347</v>
      </c>
      <c r="F735">
        <v>29</v>
      </c>
      <c r="G735">
        <v>0</v>
      </c>
      <c r="H735">
        <v>3</v>
      </c>
      <c r="I735">
        <v>3</v>
      </c>
      <c r="J735">
        <v>-16</v>
      </c>
      <c r="K735">
        <v>35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18</v>
      </c>
      <c r="T735">
        <v>0</v>
      </c>
      <c r="U735">
        <v>51</v>
      </c>
      <c r="V735" s="19" t="s">
        <v>1992</v>
      </c>
      <c r="W735" s="19" t="s">
        <v>739</v>
      </c>
      <c r="X735">
        <v>0</v>
      </c>
      <c r="Y735">
        <v>0</v>
      </c>
      <c r="AA735">
        <v>44</v>
      </c>
      <c r="AB735">
        <v>15</v>
      </c>
      <c r="AC735">
        <v>7</v>
      </c>
      <c r="AD735">
        <v>28</v>
      </c>
      <c r="AE735" s="19" t="s">
        <v>60</v>
      </c>
    </row>
    <row r="736" spans="1:31" x14ac:dyDescent="0.2">
      <c r="A736">
        <v>682</v>
      </c>
      <c r="B736" s="19" t="s">
        <v>1113</v>
      </c>
      <c r="C736">
        <v>33</v>
      </c>
      <c r="D736" s="19" t="s">
        <v>350</v>
      </c>
      <c r="E736" s="19" t="s">
        <v>325</v>
      </c>
      <c r="F736">
        <v>12</v>
      </c>
      <c r="G736">
        <v>1</v>
      </c>
      <c r="H736">
        <v>2</v>
      </c>
      <c r="I736">
        <v>3</v>
      </c>
      <c r="J736">
        <v>0</v>
      </c>
      <c r="K736">
        <v>63</v>
      </c>
      <c r="L736">
        <v>1</v>
      </c>
      <c r="M736">
        <v>0</v>
      </c>
      <c r="N736">
        <v>0</v>
      </c>
      <c r="O736">
        <v>0</v>
      </c>
      <c r="P736">
        <v>2</v>
      </c>
      <c r="Q736">
        <v>0</v>
      </c>
      <c r="R736">
        <v>0</v>
      </c>
      <c r="S736">
        <v>7</v>
      </c>
      <c r="T736">
        <v>14.3</v>
      </c>
      <c r="U736">
        <v>15</v>
      </c>
      <c r="V736" s="19" t="s">
        <v>2918</v>
      </c>
      <c r="W736" s="19" t="s">
        <v>2919</v>
      </c>
      <c r="X736">
        <v>0</v>
      </c>
      <c r="Y736">
        <v>2</v>
      </c>
      <c r="Z736">
        <v>0</v>
      </c>
      <c r="AA736">
        <v>8</v>
      </c>
      <c r="AB736">
        <v>26</v>
      </c>
      <c r="AC736">
        <v>0</v>
      </c>
      <c r="AD736">
        <v>4</v>
      </c>
      <c r="AE736" s="19" t="s">
        <v>60</v>
      </c>
    </row>
    <row r="737" spans="1:31" x14ac:dyDescent="0.2">
      <c r="A737">
        <v>683</v>
      </c>
      <c r="B737" s="19" t="s">
        <v>1445</v>
      </c>
      <c r="C737">
        <v>31</v>
      </c>
      <c r="D737" s="19" t="s">
        <v>393</v>
      </c>
      <c r="E737" s="19" t="s">
        <v>347</v>
      </c>
      <c r="F737">
        <v>17</v>
      </c>
      <c r="G737">
        <v>0</v>
      </c>
      <c r="H737">
        <v>3</v>
      </c>
      <c r="I737">
        <v>3</v>
      </c>
      <c r="J737">
        <v>9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3</v>
      </c>
      <c r="Q737">
        <v>0</v>
      </c>
      <c r="R737">
        <v>0</v>
      </c>
      <c r="S737">
        <v>22</v>
      </c>
      <c r="T737">
        <v>0</v>
      </c>
      <c r="U737">
        <v>51</v>
      </c>
      <c r="V737" s="19" t="s">
        <v>2920</v>
      </c>
      <c r="W737" s="19" t="s">
        <v>1671</v>
      </c>
      <c r="X737">
        <v>0</v>
      </c>
      <c r="Y737">
        <v>0</v>
      </c>
      <c r="AA737">
        <v>26</v>
      </c>
      <c r="AB737">
        <v>3</v>
      </c>
      <c r="AC737">
        <v>13</v>
      </c>
      <c r="AD737">
        <v>16</v>
      </c>
      <c r="AE737" s="19" t="s">
        <v>60</v>
      </c>
    </row>
    <row r="738" spans="1:31" x14ac:dyDescent="0.2">
      <c r="A738">
        <v>684</v>
      </c>
      <c r="B738" s="19" t="s">
        <v>1229</v>
      </c>
      <c r="C738">
        <v>24</v>
      </c>
      <c r="D738" s="19" t="s">
        <v>368</v>
      </c>
      <c r="E738" s="19" t="s">
        <v>334</v>
      </c>
      <c r="F738">
        <v>38</v>
      </c>
      <c r="G738">
        <v>2</v>
      </c>
      <c r="H738">
        <v>1</v>
      </c>
      <c r="I738">
        <v>3</v>
      </c>
      <c r="J738">
        <v>-4</v>
      </c>
      <c r="K738">
        <v>12</v>
      </c>
      <c r="L738">
        <v>2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42</v>
      </c>
      <c r="T738">
        <v>4.8</v>
      </c>
      <c r="U738">
        <v>96</v>
      </c>
      <c r="V738" s="19" t="s">
        <v>2347</v>
      </c>
      <c r="W738" s="19" t="s">
        <v>1526</v>
      </c>
      <c r="X738">
        <v>2</v>
      </c>
      <c r="Y738">
        <v>3</v>
      </c>
      <c r="Z738">
        <v>40</v>
      </c>
      <c r="AA738">
        <v>11</v>
      </c>
      <c r="AB738">
        <v>62</v>
      </c>
      <c r="AC738">
        <v>7</v>
      </c>
      <c r="AD738">
        <v>29</v>
      </c>
      <c r="AE738" s="19" t="s">
        <v>60</v>
      </c>
    </row>
    <row r="739" spans="1:31" x14ac:dyDescent="0.2">
      <c r="A739">
        <v>685</v>
      </c>
      <c r="B739" s="19" t="s">
        <v>1458</v>
      </c>
      <c r="C739">
        <v>29</v>
      </c>
      <c r="D739" s="19" t="s">
        <v>933</v>
      </c>
      <c r="E739" s="19" t="s">
        <v>325</v>
      </c>
      <c r="F739">
        <v>20</v>
      </c>
      <c r="G739">
        <v>2</v>
      </c>
      <c r="H739">
        <v>1</v>
      </c>
      <c r="I739">
        <v>3</v>
      </c>
      <c r="J739">
        <v>-1</v>
      </c>
      <c r="K739">
        <v>37</v>
      </c>
      <c r="L739">
        <v>2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28</v>
      </c>
      <c r="T739">
        <v>7.1</v>
      </c>
      <c r="U739">
        <v>60</v>
      </c>
      <c r="V739" s="19" t="s">
        <v>2921</v>
      </c>
      <c r="W739" s="19" t="s">
        <v>1872</v>
      </c>
      <c r="X739">
        <v>1</v>
      </c>
      <c r="Y739">
        <v>1</v>
      </c>
      <c r="Z739">
        <v>50</v>
      </c>
      <c r="AA739">
        <v>10</v>
      </c>
      <c r="AB739">
        <v>60</v>
      </c>
      <c r="AC739">
        <v>4</v>
      </c>
      <c r="AD739">
        <v>6</v>
      </c>
      <c r="AE739" s="19" t="s">
        <v>60</v>
      </c>
    </row>
    <row r="740" spans="1:31" x14ac:dyDescent="0.2">
      <c r="A740">
        <v>685</v>
      </c>
      <c r="B740" s="19" t="s">
        <v>1458</v>
      </c>
      <c r="C740">
        <v>29</v>
      </c>
      <c r="D740" s="19" t="s">
        <v>353</v>
      </c>
      <c r="E740" s="19" t="s">
        <v>325</v>
      </c>
      <c r="F740">
        <v>10</v>
      </c>
      <c r="G740">
        <v>0</v>
      </c>
      <c r="H740">
        <v>0</v>
      </c>
      <c r="I740">
        <v>0</v>
      </c>
      <c r="J740">
        <v>-1</v>
      </c>
      <c r="K740">
        <v>30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11</v>
      </c>
      <c r="T740">
        <v>0</v>
      </c>
      <c r="U740">
        <v>21</v>
      </c>
      <c r="V740" s="19" t="s">
        <v>1599</v>
      </c>
      <c r="W740" s="19" t="s">
        <v>1032</v>
      </c>
      <c r="X740">
        <v>1</v>
      </c>
      <c r="Y740">
        <v>1</v>
      </c>
      <c r="Z740">
        <v>50</v>
      </c>
      <c r="AA740">
        <v>4</v>
      </c>
      <c r="AB740">
        <v>27</v>
      </c>
      <c r="AC740">
        <v>1</v>
      </c>
      <c r="AD740">
        <v>2</v>
      </c>
      <c r="AE740" s="19" t="s">
        <v>60</v>
      </c>
    </row>
    <row r="741" spans="1:31" x14ac:dyDescent="0.2">
      <c r="A741">
        <v>685</v>
      </c>
      <c r="B741" s="19" t="s">
        <v>1458</v>
      </c>
      <c r="C741">
        <v>29</v>
      </c>
      <c r="D741" s="19" t="s">
        <v>336</v>
      </c>
      <c r="E741" s="19" t="s">
        <v>325</v>
      </c>
      <c r="F741">
        <v>10</v>
      </c>
      <c r="G741">
        <v>2</v>
      </c>
      <c r="H741">
        <v>1</v>
      </c>
      <c r="I741">
        <v>3</v>
      </c>
      <c r="J741">
        <v>0</v>
      </c>
      <c r="K741">
        <v>7</v>
      </c>
      <c r="L741">
        <v>2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17</v>
      </c>
      <c r="T741">
        <v>11.8</v>
      </c>
      <c r="U741">
        <v>39</v>
      </c>
      <c r="V741" s="19" t="s">
        <v>2922</v>
      </c>
      <c r="W741" s="19" t="s">
        <v>961</v>
      </c>
      <c r="X741">
        <v>0</v>
      </c>
      <c r="Y741">
        <v>0</v>
      </c>
      <c r="AA741">
        <v>6</v>
      </c>
      <c r="AB741">
        <v>33</v>
      </c>
      <c r="AC741">
        <v>3</v>
      </c>
      <c r="AD741">
        <v>4</v>
      </c>
      <c r="AE741" s="19" t="s">
        <v>60</v>
      </c>
    </row>
    <row r="742" spans="1:31" x14ac:dyDescent="0.2">
      <c r="A742">
        <v>686</v>
      </c>
      <c r="B742" s="19" t="s">
        <v>1124</v>
      </c>
      <c r="C742">
        <v>24</v>
      </c>
      <c r="D742" s="19" t="s">
        <v>380</v>
      </c>
      <c r="E742" s="19" t="s">
        <v>347</v>
      </c>
      <c r="F742">
        <v>8</v>
      </c>
      <c r="G742">
        <v>0</v>
      </c>
      <c r="H742">
        <v>3</v>
      </c>
      <c r="I742">
        <v>3</v>
      </c>
      <c r="J742">
        <v>0</v>
      </c>
      <c r="K742">
        <v>4</v>
      </c>
      <c r="L742">
        <v>0</v>
      </c>
      <c r="M742">
        <v>0</v>
      </c>
      <c r="N742">
        <v>0</v>
      </c>
      <c r="O742">
        <v>0</v>
      </c>
      <c r="P742">
        <v>3</v>
      </c>
      <c r="Q742">
        <v>0</v>
      </c>
      <c r="R742">
        <v>0</v>
      </c>
      <c r="S742">
        <v>7</v>
      </c>
      <c r="T742">
        <v>0</v>
      </c>
      <c r="U742">
        <v>19</v>
      </c>
      <c r="V742" s="19" t="s">
        <v>1689</v>
      </c>
      <c r="W742" s="19" t="s">
        <v>1634</v>
      </c>
      <c r="X742">
        <v>0</v>
      </c>
      <c r="Y742">
        <v>0</v>
      </c>
      <c r="AA742">
        <v>5</v>
      </c>
      <c r="AB742">
        <v>7</v>
      </c>
      <c r="AC742">
        <v>1</v>
      </c>
      <c r="AD742">
        <v>7</v>
      </c>
      <c r="AE742" s="19" t="s">
        <v>60</v>
      </c>
    </row>
    <row r="743" spans="1:31" x14ac:dyDescent="0.2">
      <c r="A743">
        <v>687</v>
      </c>
      <c r="B743" s="19" t="s">
        <v>1126</v>
      </c>
      <c r="C743">
        <v>24</v>
      </c>
      <c r="D743" s="19" t="s">
        <v>933</v>
      </c>
      <c r="E743" s="19" t="s">
        <v>322</v>
      </c>
      <c r="F743">
        <v>25</v>
      </c>
      <c r="G743">
        <v>1</v>
      </c>
      <c r="H743">
        <v>2</v>
      </c>
      <c r="I743">
        <v>3</v>
      </c>
      <c r="J743">
        <v>-5</v>
      </c>
      <c r="K743">
        <v>29</v>
      </c>
      <c r="L743">
        <v>1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21</v>
      </c>
      <c r="T743">
        <v>4.8</v>
      </c>
      <c r="U743">
        <v>42</v>
      </c>
      <c r="V743" s="19" t="s">
        <v>1725</v>
      </c>
      <c r="W743" s="19" t="s">
        <v>1158</v>
      </c>
      <c r="X743">
        <v>43</v>
      </c>
      <c r="Y743">
        <v>60</v>
      </c>
      <c r="Z743">
        <v>41.7</v>
      </c>
      <c r="AA743">
        <v>18</v>
      </c>
      <c r="AB743">
        <v>18</v>
      </c>
      <c r="AC743">
        <v>2</v>
      </c>
      <c r="AD743">
        <v>8</v>
      </c>
      <c r="AE743" s="19" t="s">
        <v>60</v>
      </c>
    </row>
    <row r="744" spans="1:31" x14ac:dyDescent="0.2">
      <c r="A744">
        <v>687</v>
      </c>
      <c r="B744" s="19" t="s">
        <v>1126</v>
      </c>
      <c r="C744">
        <v>24</v>
      </c>
      <c r="D744" s="19" t="s">
        <v>353</v>
      </c>
      <c r="E744" s="19" t="s">
        <v>322</v>
      </c>
      <c r="F744">
        <v>6</v>
      </c>
      <c r="G744">
        <v>1</v>
      </c>
      <c r="H744">
        <v>0</v>
      </c>
      <c r="I744">
        <v>1</v>
      </c>
      <c r="J744">
        <v>-1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6</v>
      </c>
      <c r="T744">
        <v>16.7</v>
      </c>
      <c r="U744">
        <v>10</v>
      </c>
      <c r="V744" s="19" t="s">
        <v>1127</v>
      </c>
      <c r="W744" s="19" t="s">
        <v>1128</v>
      </c>
      <c r="X744">
        <v>0</v>
      </c>
      <c r="Y744">
        <v>3</v>
      </c>
      <c r="Z744">
        <v>0</v>
      </c>
      <c r="AA744">
        <v>4</v>
      </c>
      <c r="AB744">
        <v>7</v>
      </c>
      <c r="AC744">
        <v>0</v>
      </c>
      <c r="AD744">
        <v>1</v>
      </c>
      <c r="AE744" s="19" t="s">
        <v>60</v>
      </c>
    </row>
    <row r="745" spans="1:31" x14ac:dyDescent="0.2">
      <c r="A745">
        <v>687</v>
      </c>
      <c r="B745" s="19" t="s">
        <v>1126</v>
      </c>
      <c r="C745">
        <v>24</v>
      </c>
      <c r="D745" s="19" t="s">
        <v>430</v>
      </c>
      <c r="E745" s="19" t="s">
        <v>322</v>
      </c>
      <c r="F745">
        <v>19</v>
      </c>
      <c r="G745">
        <v>0</v>
      </c>
      <c r="H745">
        <v>2</v>
      </c>
      <c r="I745">
        <v>2</v>
      </c>
      <c r="J745">
        <v>-4</v>
      </c>
      <c r="K745">
        <v>29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1</v>
      </c>
      <c r="S745">
        <v>15</v>
      </c>
      <c r="T745">
        <v>0</v>
      </c>
      <c r="U745">
        <v>32</v>
      </c>
      <c r="V745" s="19" t="s">
        <v>1726</v>
      </c>
      <c r="W745" s="19" t="s">
        <v>1723</v>
      </c>
      <c r="X745">
        <v>43</v>
      </c>
      <c r="Y745">
        <v>57</v>
      </c>
      <c r="Z745">
        <v>43</v>
      </c>
      <c r="AA745">
        <v>14</v>
      </c>
      <c r="AB745">
        <v>11</v>
      </c>
      <c r="AC745">
        <v>2</v>
      </c>
      <c r="AD745">
        <v>7</v>
      </c>
      <c r="AE745" s="19" t="s">
        <v>60</v>
      </c>
    </row>
    <row r="746" spans="1:31" x14ac:dyDescent="0.2">
      <c r="A746">
        <v>688</v>
      </c>
      <c r="B746" s="19" t="s">
        <v>1130</v>
      </c>
      <c r="C746">
        <v>28</v>
      </c>
      <c r="D746" s="19" t="s">
        <v>321</v>
      </c>
      <c r="E746" s="19" t="s">
        <v>347</v>
      </c>
      <c r="F746">
        <v>9</v>
      </c>
      <c r="G746">
        <v>0</v>
      </c>
      <c r="H746">
        <v>2</v>
      </c>
      <c r="I746">
        <v>2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</v>
      </c>
      <c r="Q746">
        <v>0</v>
      </c>
      <c r="R746">
        <v>0</v>
      </c>
      <c r="S746">
        <v>5</v>
      </c>
      <c r="T746">
        <v>0</v>
      </c>
      <c r="U746">
        <v>14</v>
      </c>
      <c r="V746" s="19" t="s">
        <v>2052</v>
      </c>
      <c r="W746" s="19" t="s">
        <v>1480</v>
      </c>
      <c r="X746">
        <v>0</v>
      </c>
      <c r="Y746">
        <v>0</v>
      </c>
      <c r="AA746">
        <v>6</v>
      </c>
      <c r="AB746">
        <v>6</v>
      </c>
      <c r="AC746">
        <v>0</v>
      </c>
      <c r="AD746">
        <v>5</v>
      </c>
      <c r="AE746" s="19" t="s">
        <v>60</v>
      </c>
    </row>
    <row r="747" spans="1:31" x14ac:dyDescent="0.2">
      <c r="A747">
        <v>689</v>
      </c>
      <c r="B747" s="19" t="s">
        <v>1072</v>
      </c>
      <c r="C747">
        <v>27</v>
      </c>
      <c r="D747" s="19" t="s">
        <v>430</v>
      </c>
      <c r="E747" s="19" t="s">
        <v>347</v>
      </c>
      <c r="F747">
        <v>16</v>
      </c>
      <c r="G747">
        <v>1</v>
      </c>
      <c r="H747">
        <v>1</v>
      </c>
      <c r="I747">
        <v>2</v>
      </c>
      <c r="J747">
        <v>-7</v>
      </c>
      <c r="K747">
        <v>16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16</v>
      </c>
      <c r="T747">
        <v>6.3</v>
      </c>
      <c r="U747">
        <v>44</v>
      </c>
      <c r="V747" s="19" t="s">
        <v>1073</v>
      </c>
      <c r="W747" s="19" t="s">
        <v>1074</v>
      </c>
      <c r="X747">
        <v>0</v>
      </c>
      <c r="Y747">
        <v>0</v>
      </c>
      <c r="AA747">
        <v>29</v>
      </c>
      <c r="AB747">
        <v>3</v>
      </c>
      <c r="AC747">
        <v>5</v>
      </c>
      <c r="AD747">
        <v>15</v>
      </c>
      <c r="AE747" s="19" t="s">
        <v>60</v>
      </c>
    </row>
    <row r="748" spans="1:31" x14ac:dyDescent="0.2">
      <c r="A748">
        <v>690</v>
      </c>
      <c r="B748" s="19" t="s">
        <v>1492</v>
      </c>
      <c r="C748">
        <v>21</v>
      </c>
      <c r="D748" s="19" t="s">
        <v>430</v>
      </c>
      <c r="E748" s="19" t="s">
        <v>347</v>
      </c>
      <c r="F748">
        <v>18</v>
      </c>
      <c r="G748">
        <v>1</v>
      </c>
      <c r="H748">
        <v>1</v>
      </c>
      <c r="I748">
        <v>2</v>
      </c>
      <c r="J748">
        <v>-1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17</v>
      </c>
      <c r="T748">
        <v>5.9</v>
      </c>
      <c r="U748">
        <v>49</v>
      </c>
      <c r="V748" s="19" t="s">
        <v>2088</v>
      </c>
      <c r="W748" s="19" t="s">
        <v>1687</v>
      </c>
      <c r="X748">
        <v>0</v>
      </c>
      <c r="Y748">
        <v>0</v>
      </c>
      <c r="AA748">
        <v>8</v>
      </c>
      <c r="AB748">
        <v>9</v>
      </c>
      <c r="AC748">
        <v>0</v>
      </c>
      <c r="AD748">
        <v>14</v>
      </c>
      <c r="AE748" s="19" t="s">
        <v>60</v>
      </c>
    </row>
    <row r="749" spans="1:31" x14ac:dyDescent="0.2">
      <c r="A749">
        <v>691</v>
      </c>
      <c r="B749" s="19" t="s">
        <v>1146</v>
      </c>
      <c r="C749">
        <v>26</v>
      </c>
      <c r="D749" s="19" t="s">
        <v>377</v>
      </c>
      <c r="E749" s="19" t="s">
        <v>347</v>
      </c>
      <c r="F749">
        <v>32</v>
      </c>
      <c r="G749">
        <v>0</v>
      </c>
      <c r="H749">
        <v>2</v>
      </c>
      <c r="I749">
        <v>2</v>
      </c>
      <c r="J749">
        <v>-9</v>
      </c>
      <c r="K749">
        <v>4</v>
      </c>
      <c r="L749">
        <v>0</v>
      </c>
      <c r="M749">
        <v>0</v>
      </c>
      <c r="N749">
        <v>0</v>
      </c>
      <c r="O749">
        <v>0</v>
      </c>
      <c r="P749">
        <v>2</v>
      </c>
      <c r="Q749">
        <v>0</v>
      </c>
      <c r="R749">
        <v>0</v>
      </c>
      <c r="S749">
        <v>22</v>
      </c>
      <c r="T749">
        <v>0</v>
      </c>
      <c r="U749">
        <v>66</v>
      </c>
      <c r="V749" s="19" t="s">
        <v>2098</v>
      </c>
      <c r="W749" s="19" t="s">
        <v>797</v>
      </c>
      <c r="X749">
        <v>0</v>
      </c>
      <c r="Y749">
        <v>0</v>
      </c>
      <c r="AA749">
        <v>15</v>
      </c>
      <c r="AB749">
        <v>25</v>
      </c>
      <c r="AC749">
        <v>2</v>
      </c>
      <c r="AD749">
        <v>11</v>
      </c>
      <c r="AE749" s="19" t="s">
        <v>60</v>
      </c>
    </row>
    <row r="750" spans="1:31" x14ac:dyDescent="0.2">
      <c r="A750">
        <v>692</v>
      </c>
      <c r="B750" s="19" t="s">
        <v>1080</v>
      </c>
      <c r="C750">
        <v>25</v>
      </c>
      <c r="D750" s="19" t="s">
        <v>350</v>
      </c>
      <c r="E750" s="19" t="s">
        <v>322</v>
      </c>
      <c r="F750">
        <v>29</v>
      </c>
      <c r="G750">
        <v>0</v>
      </c>
      <c r="H750">
        <v>2</v>
      </c>
      <c r="I750">
        <v>2</v>
      </c>
      <c r="J750">
        <v>1</v>
      </c>
      <c r="K750">
        <v>92</v>
      </c>
      <c r="L750">
        <v>0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17</v>
      </c>
      <c r="T750">
        <v>0</v>
      </c>
      <c r="U750">
        <v>34</v>
      </c>
      <c r="V750" s="19" t="s">
        <v>2923</v>
      </c>
      <c r="W750" s="19" t="s">
        <v>1636</v>
      </c>
      <c r="X750">
        <v>3</v>
      </c>
      <c r="Y750">
        <v>2</v>
      </c>
      <c r="Z750">
        <v>60</v>
      </c>
      <c r="AA750">
        <v>7</v>
      </c>
      <c r="AB750">
        <v>32</v>
      </c>
      <c r="AC750">
        <v>3</v>
      </c>
      <c r="AD750">
        <v>9</v>
      </c>
      <c r="AE750" s="19" t="s">
        <v>60</v>
      </c>
    </row>
    <row r="751" spans="1:31" x14ac:dyDescent="0.2">
      <c r="A751">
        <v>693</v>
      </c>
      <c r="B751" s="19" t="s">
        <v>1296</v>
      </c>
      <c r="C751">
        <v>27</v>
      </c>
      <c r="D751" s="19" t="s">
        <v>364</v>
      </c>
      <c r="E751" s="19" t="s">
        <v>322</v>
      </c>
      <c r="F751">
        <v>8</v>
      </c>
      <c r="G751">
        <v>1</v>
      </c>
      <c r="H751">
        <v>1</v>
      </c>
      <c r="I751">
        <v>2</v>
      </c>
      <c r="J751">
        <v>2</v>
      </c>
      <c r="K751">
        <v>2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12</v>
      </c>
      <c r="T751">
        <v>8.3000000000000007</v>
      </c>
      <c r="U751">
        <v>26</v>
      </c>
      <c r="V751" s="19" t="s">
        <v>2924</v>
      </c>
      <c r="W751" s="19" t="s">
        <v>2768</v>
      </c>
      <c r="X751">
        <v>48</v>
      </c>
      <c r="Y751">
        <v>60</v>
      </c>
      <c r="Z751">
        <v>44.4</v>
      </c>
      <c r="AA751">
        <v>5</v>
      </c>
      <c r="AB751">
        <v>8</v>
      </c>
      <c r="AC751">
        <v>1</v>
      </c>
      <c r="AD751">
        <v>5</v>
      </c>
      <c r="AE751" s="19" t="s">
        <v>60</v>
      </c>
    </row>
    <row r="752" spans="1:31" x14ac:dyDescent="0.2">
      <c r="A752">
        <v>694</v>
      </c>
      <c r="B752" s="19" t="s">
        <v>1155</v>
      </c>
      <c r="C752">
        <v>27</v>
      </c>
      <c r="D752" s="19" t="s">
        <v>520</v>
      </c>
      <c r="E752" s="19" t="s">
        <v>347</v>
      </c>
      <c r="F752">
        <v>16</v>
      </c>
      <c r="G752">
        <v>1</v>
      </c>
      <c r="H752">
        <v>1</v>
      </c>
      <c r="I752">
        <v>2</v>
      </c>
      <c r="J752">
        <v>2</v>
      </c>
      <c r="K752">
        <v>5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20</v>
      </c>
      <c r="T752">
        <v>5</v>
      </c>
      <c r="U752">
        <v>44</v>
      </c>
      <c r="V752" s="19" t="s">
        <v>1894</v>
      </c>
      <c r="W752" s="19" t="s">
        <v>1682</v>
      </c>
      <c r="X752">
        <v>0</v>
      </c>
      <c r="Y752">
        <v>0</v>
      </c>
      <c r="AA752">
        <v>19</v>
      </c>
      <c r="AB752">
        <v>31</v>
      </c>
      <c r="AC752">
        <v>4</v>
      </c>
      <c r="AD752">
        <v>14</v>
      </c>
      <c r="AE752" s="19" t="s">
        <v>60</v>
      </c>
    </row>
    <row r="753" spans="1:31" x14ac:dyDescent="0.2">
      <c r="A753">
        <v>695</v>
      </c>
      <c r="B753" s="19" t="s">
        <v>1172</v>
      </c>
      <c r="C753">
        <v>35</v>
      </c>
      <c r="D753" s="19" t="s">
        <v>368</v>
      </c>
      <c r="E753" s="19" t="s">
        <v>347</v>
      </c>
      <c r="F753">
        <v>25</v>
      </c>
      <c r="G753">
        <v>0</v>
      </c>
      <c r="H753">
        <v>2</v>
      </c>
      <c r="I753">
        <v>2</v>
      </c>
      <c r="J753">
        <v>-10</v>
      </c>
      <c r="K753">
        <v>29</v>
      </c>
      <c r="L753">
        <v>0</v>
      </c>
      <c r="M753">
        <v>0</v>
      </c>
      <c r="N753">
        <v>0</v>
      </c>
      <c r="O753">
        <v>0</v>
      </c>
      <c r="P753">
        <v>2</v>
      </c>
      <c r="Q753">
        <v>0</v>
      </c>
      <c r="R753">
        <v>0</v>
      </c>
      <c r="S753">
        <v>19</v>
      </c>
      <c r="T753">
        <v>0</v>
      </c>
      <c r="U753">
        <v>40</v>
      </c>
      <c r="V753" s="19" t="s">
        <v>2348</v>
      </c>
      <c r="W753" s="19" t="s">
        <v>1667</v>
      </c>
      <c r="X753">
        <v>0</v>
      </c>
      <c r="Y753">
        <v>0</v>
      </c>
      <c r="AA753">
        <v>41</v>
      </c>
      <c r="AB753">
        <v>27</v>
      </c>
      <c r="AC753">
        <v>5</v>
      </c>
      <c r="AD753">
        <v>19</v>
      </c>
      <c r="AE753" s="19" t="s">
        <v>60</v>
      </c>
    </row>
    <row r="754" spans="1:31" x14ac:dyDescent="0.2">
      <c r="A754">
        <v>696</v>
      </c>
      <c r="B754" s="19" t="s">
        <v>1092</v>
      </c>
      <c r="C754">
        <v>25</v>
      </c>
      <c r="D754" s="19" t="s">
        <v>353</v>
      </c>
      <c r="E754" s="19" t="s">
        <v>347</v>
      </c>
      <c r="F754">
        <v>5</v>
      </c>
      <c r="G754">
        <v>1</v>
      </c>
      <c r="H754">
        <v>1</v>
      </c>
      <c r="I754">
        <v>2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9</v>
      </c>
      <c r="T754">
        <v>11.1</v>
      </c>
      <c r="U754">
        <v>12</v>
      </c>
      <c r="V754" s="19" t="s">
        <v>1093</v>
      </c>
      <c r="W754" s="19" t="s">
        <v>1013</v>
      </c>
      <c r="X754">
        <v>0</v>
      </c>
      <c r="Y754">
        <v>0</v>
      </c>
      <c r="AA754">
        <v>3</v>
      </c>
      <c r="AB754">
        <v>4</v>
      </c>
      <c r="AC754">
        <v>1</v>
      </c>
      <c r="AD754">
        <v>5</v>
      </c>
      <c r="AE754" s="19" t="s">
        <v>60</v>
      </c>
    </row>
    <row r="755" spans="1:31" x14ac:dyDescent="0.2">
      <c r="A755">
        <v>697</v>
      </c>
      <c r="B755" s="19" t="s">
        <v>1325</v>
      </c>
      <c r="C755">
        <v>34</v>
      </c>
      <c r="D755" s="19" t="s">
        <v>403</v>
      </c>
      <c r="E755" s="19" t="s">
        <v>334</v>
      </c>
      <c r="F755">
        <v>48</v>
      </c>
      <c r="G755">
        <v>1</v>
      </c>
      <c r="H755">
        <v>1</v>
      </c>
      <c r="I755">
        <v>2</v>
      </c>
      <c r="J755">
        <v>-7</v>
      </c>
      <c r="K755">
        <v>52</v>
      </c>
      <c r="L755">
        <v>1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21</v>
      </c>
      <c r="T755">
        <v>4.8</v>
      </c>
      <c r="U755">
        <v>44</v>
      </c>
      <c r="V755" s="19" t="s">
        <v>2925</v>
      </c>
      <c r="W755" s="19" t="s">
        <v>2926</v>
      </c>
      <c r="X755">
        <v>8</v>
      </c>
      <c r="Y755">
        <v>6</v>
      </c>
      <c r="Z755">
        <v>57.1</v>
      </c>
      <c r="AA755">
        <v>35</v>
      </c>
      <c r="AB755">
        <v>185</v>
      </c>
      <c r="AC755">
        <v>5</v>
      </c>
      <c r="AD755">
        <v>23</v>
      </c>
      <c r="AE755" s="19" t="s">
        <v>60</v>
      </c>
    </row>
    <row r="756" spans="1:31" x14ac:dyDescent="0.2">
      <c r="A756">
        <v>698</v>
      </c>
      <c r="B756" s="19" t="s">
        <v>2927</v>
      </c>
      <c r="C756">
        <v>23</v>
      </c>
      <c r="D756" s="19" t="s">
        <v>373</v>
      </c>
      <c r="E756" s="19" t="s">
        <v>325</v>
      </c>
      <c r="F756">
        <v>1</v>
      </c>
      <c r="G756">
        <v>2</v>
      </c>
      <c r="H756">
        <v>0</v>
      </c>
      <c r="I756">
        <v>2</v>
      </c>
      <c r="J756">
        <v>2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6</v>
      </c>
      <c r="T756">
        <v>33.299999999999997</v>
      </c>
      <c r="U756">
        <v>8</v>
      </c>
      <c r="V756" s="19" t="s">
        <v>2764</v>
      </c>
      <c r="W756" s="19" t="s">
        <v>2764</v>
      </c>
      <c r="X756">
        <v>0</v>
      </c>
      <c r="Y756">
        <v>0</v>
      </c>
      <c r="AA756">
        <v>0</v>
      </c>
      <c r="AB756">
        <v>2</v>
      </c>
      <c r="AC756">
        <v>1</v>
      </c>
      <c r="AD756">
        <v>2</v>
      </c>
      <c r="AE756" s="19" t="s">
        <v>60</v>
      </c>
    </row>
    <row r="757" spans="1:31" x14ac:dyDescent="0.2">
      <c r="A757">
        <v>699</v>
      </c>
      <c r="B757" s="19" t="s">
        <v>1473</v>
      </c>
      <c r="C757">
        <v>25</v>
      </c>
      <c r="D757" s="19" t="s">
        <v>440</v>
      </c>
      <c r="E757" s="19" t="s">
        <v>338</v>
      </c>
      <c r="F757">
        <v>19</v>
      </c>
      <c r="G757">
        <v>0</v>
      </c>
      <c r="H757">
        <v>2</v>
      </c>
      <c r="I757">
        <v>2</v>
      </c>
      <c r="J757">
        <v>1</v>
      </c>
      <c r="K757">
        <v>8</v>
      </c>
      <c r="L757">
        <v>0</v>
      </c>
      <c r="M757">
        <v>0</v>
      </c>
      <c r="N757">
        <v>0</v>
      </c>
      <c r="O757">
        <v>0</v>
      </c>
      <c r="P757">
        <v>2</v>
      </c>
      <c r="Q757">
        <v>0</v>
      </c>
      <c r="R757">
        <v>0</v>
      </c>
      <c r="S757">
        <v>19</v>
      </c>
      <c r="T757">
        <v>0</v>
      </c>
      <c r="U757">
        <v>47</v>
      </c>
      <c r="V757" s="19" t="s">
        <v>1409</v>
      </c>
      <c r="W757" s="19" t="s">
        <v>1200</v>
      </c>
      <c r="X757">
        <v>0</v>
      </c>
      <c r="Y757">
        <v>0</v>
      </c>
      <c r="AA757">
        <v>5</v>
      </c>
      <c r="AB757">
        <v>29</v>
      </c>
      <c r="AC757">
        <v>2</v>
      </c>
      <c r="AD757">
        <v>10</v>
      </c>
      <c r="AE757" s="19" t="s">
        <v>60</v>
      </c>
    </row>
    <row r="758" spans="1:31" x14ac:dyDescent="0.2">
      <c r="A758">
        <v>700</v>
      </c>
      <c r="B758" s="19" t="s">
        <v>1349</v>
      </c>
      <c r="C758">
        <v>26</v>
      </c>
      <c r="D758" s="19" t="s">
        <v>355</v>
      </c>
      <c r="E758" s="19" t="s">
        <v>325</v>
      </c>
      <c r="F758">
        <v>26</v>
      </c>
      <c r="G758">
        <v>1</v>
      </c>
      <c r="H758">
        <v>1</v>
      </c>
      <c r="I758">
        <v>2</v>
      </c>
      <c r="J758">
        <v>-10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25</v>
      </c>
      <c r="T758">
        <v>4</v>
      </c>
      <c r="U758">
        <v>44</v>
      </c>
      <c r="V758" s="19" t="s">
        <v>1993</v>
      </c>
      <c r="W758" s="19" t="s">
        <v>1566</v>
      </c>
      <c r="X758">
        <v>68</v>
      </c>
      <c r="Y758">
        <v>59</v>
      </c>
      <c r="Z758">
        <v>53.5</v>
      </c>
      <c r="AA758">
        <v>11</v>
      </c>
      <c r="AB758">
        <v>53</v>
      </c>
      <c r="AC758">
        <v>1</v>
      </c>
      <c r="AD758">
        <v>8</v>
      </c>
      <c r="AE758" s="19" t="s">
        <v>60</v>
      </c>
    </row>
    <row r="759" spans="1:31" x14ac:dyDescent="0.2">
      <c r="A759">
        <v>701</v>
      </c>
      <c r="B759" s="19" t="s">
        <v>1539</v>
      </c>
      <c r="C759">
        <v>27</v>
      </c>
      <c r="D759" s="19" t="s">
        <v>327</v>
      </c>
      <c r="E759" s="19" t="s">
        <v>338</v>
      </c>
      <c r="F759">
        <v>8</v>
      </c>
      <c r="G759">
        <v>1</v>
      </c>
      <c r="H759">
        <v>1</v>
      </c>
      <c r="I759">
        <v>2</v>
      </c>
      <c r="J759">
        <v>0</v>
      </c>
      <c r="K759">
        <v>5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12</v>
      </c>
      <c r="T759">
        <v>8.3000000000000007</v>
      </c>
      <c r="U759">
        <v>15</v>
      </c>
      <c r="V759" s="19" t="s">
        <v>1690</v>
      </c>
      <c r="W759" s="19" t="s">
        <v>1111</v>
      </c>
      <c r="X759">
        <v>0</v>
      </c>
      <c r="Y759">
        <v>0</v>
      </c>
      <c r="AA759">
        <v>2</v>
      </c>
      <c r="AB759">
        <v>20</v>
      </c>
      <c r="AC759">
        <v>2</v>
      </c>
      <c r="AD759">
        <v>4</v>
      </c>
      <c r="AE759" s="19" t="s">
        <v>60</v>
      </c>
    </row>
    <row r="760" spans="1:31" x14ac:dyDescent="0.2">
      <c r="A760">
        <v>702</v>
      </c>
      <c r="B760" s="19" t="s">
        <v>1181</v>
      </c>
      <c r="C760">
        <v>29</v>
      </c>
      <c r="D760" s="19" t="s">
        <v>430</v>
      </c>
      <c r="E760" s="19" t="s">
        <v>338</v>
      </c>
      <c r="F760">
        <v>20</v>
      </c>
      <c r="G760">
        <v>1</v>
      </c>
      <c r="H760">
        <v>1</v>
      </c>
      <c r="I760">
        <v>2</v>
      </c>
      <c r="J760">
        <v>1</v>
      </c>
      <c r="K760">
        <v>2</v>
      </c>
      <c r="L760">
        <v>1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11</v>
      </c>
      <c r="T760">
        <v>9.1</v>
      </c>
      <c r="U760">
        <v>29</v>
      </c>
      <c r="V760" s="19" t="s">
        <v>2089</v>
      </c>
      <c r="W760" s="19" t="s">
        <v>1158</v>
      </c>
      <c r="X760">
        <v>63</v>
      </c>
      <c r="Y760">
        <v>63</v>
      </c>
      <c r="Z760">
        <v>50</v>
      </c>
      <c r="AA760">
        <v>11</v>
      </c>
      <c r="AB760">
        <v>29</v>
      </c>
      <c r="AC760">
        <v>3</v>
      </c>
      <c r="AD760">
        <v>14</v>
      </c>
      <c r="AE760" s="19" t="s">
        <v>60</v>
      </c>
    </row>
    <row r="761" spans="1:31" x14ac:dyDescent="0.2">
      <c r="A761">
        <v>703</v>
      </c>
      <c r="B761" s="19" t="s">
        <v>1799</v>
      </c>
      <c r="C761">
        <v>28</v>
      </c>
      <c r="D761" s="19" t="s">
        <v>395</v>
      </c>
      <c r="E761" s="19" t="s">
        <v>347</v>
      </c>
      <c r="F761">
        <v>12</v>
      </c>
      <c r="G761">
        <v>0</v>
      </c>
      <c r="H761">
        <v>2</v>
      </c>
      <c r="I761">
        <v>2</v>
      </c>
      <c r="J761">
        <v>-8</v>
      </c>
      <c r="K761">
        <v>11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0</v>
      </c>
      <c r="R761">
        <v>0</v>
      </c>
      <c r="S761">
        <v>13</v>
      </c>
      <c r="T761">
        <v>0</v>
      </c>
      <c r="U761">
        <v>22</v>
      </c>
      <c r="V761" s="19" t="s">
        <v>2928</v>
      </c>
      <c r="W761" s="19" t="s">
        <v>1673</v>
      </c>
      <c r="X761">
        <v>0</v>
      </c>
      <c r="Y761">
        <v>0</v>
      </c>
      <c r="AA761">
        <v>16</v>
      </c>
      <c r="AB761">
        <v>20</v>
      </c>
      <c r="AC761">
        <v>3</v>
      </c>
      <c r="AD761">
        <v>13</v>
      </c>
      <c r="AE761" s="19" t="s">
        <v>60</v>
      </c>
    </row>
    <row r="762" spans="1:31" x14ac:dyDescent="0.2">
      <c r="A762">
        <v>704</v>
      </c>
      <c r="B762" s="19" t="s">
        <v>1186</v>
      </c>
      <c r="C762">
        <v>30</v>
      </c>
      <c r="D762" s="19" t="s">
        <v>329</v>
      </c>
      <c r="E762" s="19" t="s">
        <v>322</v>
      </c>
      <c r="F762">
        <v>19</v>
      </c>
      <c r="G762">
        <v>1</v>
      </c>
      <c r="H762">
        <v>1</v>
      </c>
      <c r="I762">
        <v>2</v>
      </c>
      <c r="J762">
        <v>2</v>
      </c>
      <c r="K762">
        <v>14</v>
      </c>
      <c r="L762">
        <v>1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6</v>
      </c>
      <c r="T762">
        <v>16.7</v>
      </c>
      <c r="U762">
        <v>15</v>
      </c>
      <c r="V762" s="19" t="s">
        <v>2099</v>
      </c>
      <c r="W762" s="19" t="s">
        <v>2003</v>
      </c>
      <c r="X762">
        <v>11</v>
      </c>
      <c r="Y762">
        <v>11</v>
      </c>
      <c r="Z762">
        <v>50</v>
      </c>
      <c r="AA762">
        <v>3</v>
      </c>
      <c r="AB762">
        <v>23</v>
      </c>
      <c r="AC762">
        <v>1</v>
      </c>
      <c r="AD762">
        <v>9</v>
      </c>
      <c r="AE762" s="19" t="s">
        <v>60</v>
      </c>
    </row>
    <row r="763" spans="1:31" x14ac:dyDescent="0.2">
      <c r="A763">
        <v>705</v>
      </c>
      <c r="B763" s="19" t="s">
        <v>1371</v>
      </c>
      <c r="C763">
        <v>30</v>
      </c>
      <c r="D763" s="19" t="s">
        <v>395</v>
      </c>
      <c r="E763" s="19" t="s">
        <v>334</v>
      </c>
      <c r="F763">
        <v>24</v>
      </c>
      <c r="G763">
        <v>0</v>
      </c>
      <c r="H763">
        <v>2</v>
      </c>
      <c r="I763">
        <v>2</v>
      </c>
      <c r="J763">
        <v>-4</v>
      </c>
      <c r="K763">
        <v>4</v>
      </c>
      <c r="L763">
        <v>0</v>
      </c>
      <c r="M763">
        <v>0</v>
      </c>
      <c r="N763">
        <v>0</v>
      </c>
      <c r="O763">
        <v>0</v>
      </c>
      <c r="P763">
        <v>2</v>
      </c>
      <c r="Q763">
        <v>0</v>
      </c>
      <c r="R763">
        <v>0</v>
      </c>
      <c r="S763">
        <v>15</v>
      </c>
      <c r="T763">
        <v>0</v>
      </c>
      <c r="U763">
        <v>25</v>
      </c>
      <c r="V763" s="19" t="s">
        <v>2156</v>
      </c>
      <c r="W763" s="19" t="s">
        <v>1372</v>
      </c>
      <c r="X763">
        <v>55</v>
      </c>
      <c r="Y763">
        <v>57</v>
      </c>
      <c r="Z763">
        <v>49.1</v>
      </c>
      <c r="AA763">
        <v>14</v>
      </c>
      <c r="AB763">
        <v>40</v>
      </c>
      <c r="AC763">
        <v>2</v>
      </c>
      <c r="AD763">
        <v>4</v>
      </c>
      <c r="AE763" s="19" t="s">
        <v>60</v>
      </c>
    </row>
    <row r="764" spans="1:31" x14ac:dyDescent="0.2">
      <c r="A764">
        <v>706</v>
      </c>
      <c r="B764" s="19" t="s">
        <v>1757</v>
      </c>
      <c r="C764">
        <v>25</v>
      </c>
      <c r="D764" s="19" t="s">
        <v>415</v>
      </c>
      <c r="E764" s="19" t="s">
        <v>338</v>
      </c>
      <c r="F764">
        <v>7</v>
      </c>
      <c r="G764">
        <v>1</v>
      </c>
      <c r="H764">
        <v>1</v>
      </c>
      <c r="I764">
        <v>2</v>
      </c>
      <c r="J764">
        <v>-2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5</v>
      </c>
      <c r="T764">
        <v>20</v>
      </c>
      <c r="U764">
        <v>14</v>
      </c>
      <c r="V764" s="19" t="s">
        <v>1940</v>
      </c>
      <c r="W764" s="19" t="s">
        <v>1688</v>
      </c>
      <c r="X764">
        <v>0</v>
      </c>
      <c r="Y764">
        <v>0</v>
      </c>
      <c r="AA764">
        <v>3</v>
      </c>
      <c r="AB764">
        <v>17</v>
      </c>
      <c r="AC764">
        <v>3</v>
      </c>
      <c r="AD764">
        <v>2</v>
      </c>
      <c r="AE764" s="19" t="s">
        <v>60</v>
      </c>
    </row>
    <row r="765" spans="1:31" x14ac:dyDescent="0.2">
      <c r="A765">
        <v>707</v>
      </c>
      <c r="B765" s="19" t="s">
        <v>1102</v>
      </c>
      <c r="C765">
        <v>22</v>
      </c>
      <c r="D765" s="19" t="s">
        <v>393</v>
      </c>
      <c r="E765" s="19" t="s">
        <v>347</v>
      </c>
      <c r="F765">
        <v>8</v>
      </c>
      <c r="G765">
        <v>1</v>
      </c>
      <c r="H765">
        <v>1</v>
      </c>
      <c r="I765">
        <v>2</v>
      </c>
      <c r="J765">
        <v>4</v>
      </c>
      <c r="K765">
        <v>10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10</v>
      </c>
      <c r="T765">
        <v>10</v>
      </c>
      <c r="U765">
        <v>24</v>
      </c>
      <c r="V765" s="19" t="s">
        <v>1103</v>
      </c>
      <c r="W765" s="19" t="s">
        <v>723</v>
      </c>
      <c r="X765">
        <v>0</v>
      </c>
      <c r="Y765">
        <v>0</v>
      </c>
      <c r="AA765">
        <v>6</v>
      </c>
      <c r="AB765">
        <v>9</v>
      </c>
      <c r="AC765">
        <v>4</v>
      </c>
      <c r="AD765">
        <v>8</v>
      </c>
      <c r="AE765" s="19" t="s">
        <v>60</v>
      </c>
    </row>
    <row r="766" spans="1:31" x14ac:dyDescent="0.2">
      <c r="A766">
        <v>708</v>
      </c>
      <c r="B766" s="19" t="s">
        <v>1195</v>
      </c>
      <c r="C766">
        <v>26</v>
      </c>
      <c r="D766" s="19" t="s">
        <v>412</v>
      </c>
      <c r="E766" s="19" t="s">
        <v>334</v>
      </c>
      <c r="F766">
        <v>7</v>
      </c>
      <c r="G766">
        <v>1</v>
      </c>
      <c r="H766">
        <v>1</v>
      </c>
      <c r="I766">
        <v>2</v>
      </c>
      <c r="J766">
        <v>-2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1</v>
      </c>
      <c r="Q766">
        <v>0</v>
      </c>
      <c r="R766">
        <v>0</v>
      </c>
      <c r="S766">
        <v>7</v>
      </c>
      <c r="T766">
        <v>14.3</v>
      </c>
      <c r="U766">
        <v>10</v>
      </c>
      <c r="V766" s="19" t="s">
        <v>1594</v>
      </c>
      <c r="W766" s="19" t="s">
        <v>1372</v>
      </c>
      <c r="X766">
        <v>0</v>
      </c>
      <c r="Y766">
        <v>0</v>
      </c>
      <c r="AA766">
        <v>4</v>
      </c>
      <c r="AB766">
        <v>4</v>
      </c>
      <c r="AC766">
        <v>1</v>
      </c>
      <c r="AD766">
        <v>1</v>
      </c>
      <c r="AE766" s="19" t="s">
        <v>60</v>
      </c>
    </row>
    <row r="767" spans="1:31" x14ac:dyDescent="0.2">
      <c r="A767">
        <v>709</v>
      </c>
      <c r="B767" s="19" t="s">
        <v>1108</v>
      </c>
      <c r="C767">
        <v>36</v>
      </c>
      <c r="D767" s="19" t="s">
        <v>395</v>
      </c>
      <c r="E767" s="19" t="s">
        <v>3</v>
      </c>
      <c r="F767">
        <v>30</v>
      </c>
      <c r="G767">
        <v>0</v>
      </c>
      <c r="H767">
        <v>2</v>
      </c>
      <c r="I767">
        <v>2</v>
      </c>
      <c r="J767">
        <v>0</v>
      </c>
      <c r="K767">
        <v>6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U767">
        <v>0</v>
      </c>
      <c r="V767" s="19" t="s">
        <v>2157</v>
      </c>
      <c r="W767" s="19" t="s">
        <v>2158</v>
      </c>
      <c r="X767">
        <v>0</v>
      </c>
      <c r="Y767">
        <v>0</v>
      </c>
      <c r="AA767">
        <v>0</v>
      </c>
      <c r="AB767">
        <v>0</v>
      </c>
      <c r="AC767">
        <v>0</v>
      </c>
      <c r="AD767">
        <v>17</v>
      </c>
      <c r="AE767" s="19" t="s">
        <v>60</v>
      </c>
    </row>
    <row r="768" spans="1:31" x14ac:dyDescent="0.2">
      <c r="A768">
        <v>710</v>
      </c>
      <c r="B768" s="19" t="s">
        <v>1510</v>
      </c>
      <c r="C768">
        <v>27</v>
      </c>
      <c r="D768" s="19" t="s">
        <v>502</v>
      </c>
      <c r="E768" s="19" t="s">
        <v>338</v>
      </c>
      <c r="F768">
        <v>3</v>
      </c>
      <c r="G768">
        <v>1</v>
      </c>
      <c r="H768">
        <v>1</v>
      </c>
      <c r="I768">
        <v>2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4</v>
      </c>
      <c r="T768">
        <v>25</v>
      </c>
      <c r="U768">
        <v>5</v>
      </c>
      <c r="V768" s="19" t="s">
        <v>1543</v>
      </c>
      <c r="W768" s="19" t="s">
        <v>823</v>
      </c>
      <c r="X768">
        <v>4</v>
      </c>
      <c r="Y768">
        <v>1</v>
      </c>
      <c r="Z768">
        <v>80</v>
      </c>
      <c r="AA768">
        <v>2</v>
      </c>
      <c r="AB768">
        <v>0</v>
      </c>
      <c r="AC768">
        <v>1</v>
      </c>
      <c r="AD768">
        <v>2</v>
      </c>
      <c r="AE768" s="19" t="s">
        <v>60</v>
      </c>
    </row>
    <row r="769" spans="1:31" x14ac:dyDescent="0.2">
      <c r="A769">
        <v>711</v>
      </c>
      <c r="B769" s="19" t="s">
        <v>1394</v>
      </c>
      <c r="C769">
        <v>27</v>
      </c>
      <c r="D769" s="19" t="s">
        <v>423</v>
      </c>
      <c r="E769" s="19" t="s">
        <v>347</v>
      </c>
      <c r="F769">
        <v>27</v>
      </c>
      <c r="G769">
        <v>1</v>
      </c>
      <c r="H769">
        <v>1</v>
      </c>
      <c r="I769">
        <v>2</v>
      </c>
      <c r="J769">
        <v>13</v>
      </c>
      <c r="K769">
        <v>6</v>
      </c>
      <c r="L769">
        <v>1</v>
      </c>
      <c r="M769">
        <v>0</v>
      </c>
      <c r="N769">
        <v>0</v>
      </c>
      <c r="O769">
        <v>1</v>
      </c>
      <c r="P769">
        <v>1</v>
      </c>
      <c r="Q769">
        <v>0</v>
      </c>
      <c r="R769">
        <v>0</v>
      </c>
      <c r="S769">
        <v>12</v>
      </c>
      <c r="T769">
        <v>8.3000000000000007</v>
      </c>
      <c r="U769">
        <v>29</v>
      </c>
      <c r="V769" s="19" t="s">
        <v>2929</v>
      </c>
      <c r="W769" s="19" t="s">
        <v>1969</v>
      </c>
      <c r="X769">
        <v>0</v>
      </c>
      <c r="Y769">
        <v>0</v>
      </c>
      <c r="AA769">
        <v>17</v>
      </c>
      <c r="AB769">
        <v>3</v>
      </c>
      <c r="AC769">
        <v>3</v>
      </c>
      <c r="AD769">
        <v>17</v>
      </c>
      <c r="AE769" s="19" t="s">
        <v>60</v>
      </c>
    </row>
    <row r="770" spans="1:31" x14ac:dyDescent="0.2">
      <c r="A770">
        <v>712</v>
      </c>
      <c r="B770" s="19" t="s">
        <v>1206</v>
      </c>
      <c r="C770">
        <v>29</v>
      </c>
      <c r="D770" s="19" t="s">
        <v>357</v>
      </c>
      <c r="E770" s="19" t="s">
        <v>347</v>
      </c>
      <c r="F770">
        <v>27</v>
      </c>
      <c r="G770">
        <v>0</v>
      </c>
      <c r="H770">
        <v>2</v>
      </c>
      <c r="I770">
        <v>2</v>
      </c>
      <c r="J770">
        <v>-7</v>
      </c>
      <c r="K770">
        <v>14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0</v>
      </c>
      <c r="R770">
        <v>0</v>
      </c>
      <c r="S770">
        <v>31</v>
      </c>
      <c r="T770">
        <v>0</v>
      </c>
      <c r="U770">
        <v>69</v>
      </c>
      <c r="V770" s="19" t="s">
        <v>2159</v>
      </c>
      <c r="W770" s="19" t="s">
        <v>988</v>
      </c>
      <c r="X770">
        <v>0</v>
      </c>
      <c r="Y770">
        <v>0</v>
      </c>
      <c r="AA770">
        <v>32</v>
      </c>
      <c r="AB770">
        <v>40</v>
      </c>
      <c r="AC770">
        <v>3</v>
      </c>
      <c r="AD770">
        <v>21</v>
      </c>
      <c r="AE770" s="19" t="s">
        <v>60</v>
      </c>
    </row>
    <row r="771" spans="1:31" x14ac:dyDescent="0.2">
      <c r="A771">
        <v>713</v>
      </c>
      <c r="B771" s="19" t="s">
        <v>1207</v>
      </c>
      <c r="C771">
        <v>20</v>
      </c>
      <c r="D771" s="19" t="s">
        <v>393</v>
      </c>
      <c r="E771" s="19" t="s">
        <v>338</v>
      </c>
      <c r="F771">
        <v>8</v>
      </c>
      <c r="G771">
        <v>2</v>
      </c>
      <c r="H771">
        <v>0</v>
      </c>
      <c r="I771">
        <v>2</v>
      </c>
      <c r="J771">
        <v>-2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</v>
      </c>
      <c r="T771">
        <v>25</v>
      </c>
      <c r="U771">
        <v>22</v>
      </c>
      <c r="V771" s="19" t="s">
        <v>1622</v>
      </c>
      <c r="W771" s="19" t="s">
        <v>1602</v>
      </c>
      <c r="X771">
        <v>0</v>
      </c>
      <c r="Y771">
        <v>1</v>
      </c>
      <c r="Z771">
        <v>0</v>
      </c>
      <c r="AA771">
        <v>4</v>
      </c>
      <c r="AB771">
        <v>12</v>
      </c>
      <c r="AC771">
        <v>0</v>
      </c>
      <c r="AD771">
        <v>7</v>
      </c>
      <c r="AE771" s="19" t="s">
        <v>60</v>
      </c>
    </row>
    <row r="772" spans="1:31" x14ac:dyDescent="0.2">
      <c r="A772">
        <v>714</v>
      </c>
      <c r="B772" s="19" t="s">
        <v>1423</v>
      </c>
      <c r="C772">
        <v>34</v>
      </c>
      <c r="D772" s="19" t="s">
        <v>355</v>
      </c>
      <c r="E772" s="19" t="s">
        <v>322</v>
      </c>
      <c r="F772">
        <v>31</v>
      </c>
      <c r="G772">
        <v>2</v>
      </c>
      <c r="H772">
        <v>0</v>
      </c>
      <c r="I772">
        <v>2</v>
      </c>
      <c r="J772">
        <v>-4</v>
      </c>
      <c r="K772">
        <v>24</v>
      </c>
      <c r="L772">
        <v>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26</v>
      </c>
      <c r="T772">
        <v>7.7</v>
      </c>
      <c r="U772">
        <v>49</v>
      </c>
      <c r="V772" s="19" t="s">
        <v>2349</v>
      </c>
      <c r="W772" s="19" t="s">
        <v>1952</v>
      </c>
      <c r="X772">
        <v>0</v>
      </c>
      <c r="Y772">
        <v>3</v>
      </c>
      <c r="Z772">
        <v>0</v>
      </c>
      <c r="AA772">
        <v>17</v>
      </c>
      <c r="AB772">
        <v>76</v>
      </c>
      <c r="AC772">
        <v>5</v>
      </c>
      <c r="AD772">
        <v>8</v>
      </c>
      <c r="AE772" s="19" t="s">
        <v>60</v>
      </c>
    </row>
    <row r="773" spans="1:31" x14ac:dyDescent="0.2">
      <c r="A773">
        <v>715</v>
      </c>
      <c r="B773" s="19" t="s">
        <v>2075</v>
      </c>
      <c r="C773">
        <v>23</v>
      </c>
      <c r="D773" s="19" t="s">
        <v>327</v>
      </c>
      <c r="E773" s="19" t="s">
        <v>325</v>
      </c>
      <c r="F773">
        <v>5</v>
      </c>
      <c r="G773">
        <v>0</v>
      </c>
      <c r="H773">
        <v>2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</v>
      </c>
      <c r="Q773">
        <v>0</v>
      </c>
      <c r="R773">
        <v>0</v>
      </c>
      <c r="S773">
        <v>1</v>
      </c>
      <c r="T773">
        <v>0</v>
      </c>
      <c r="U773">
        <v>3</v>
      </c>
      <c r="V773" s="19" t="s">
        <v>2103</v>
      </c>
      <c r="W773" s="19" t="s">
        <v>1951</v>
      </c>
      <c r="X773">
        <v>16</v>
      </c>
      <c r="Y773">
        <v>11</v>
      </c>
      <c r="Z773">
        <v>59.3</v>
      </c>
      <c r="AA773">
        <v>0</v>
      </c>
      <c r="AB773">
        <v>4</v>
      </c>
      <c r="AC773">
        <v>1</v>
      </c>
      <c r="AD773">
        <v>1</v>
      </c>
      <c r="AE773" s="19" t="s">
        <v>60</v>
      </c>
    </row>
    <row r="774" spans="1:31" x14ac:dyDescent="0.2">
      <c r="A774">
        <v>716</v>
      </c>
      <c r="B774" s="19" t="s">
        <v>1115</v>
      </c>
      <c r="C774">
        <v>24</v>
      </c>
      <c r="D774" s="19" t="s">
        <v>933</v>
      </c>
      <c r="E774" s="19" t="s">
        <v>347</v>
      </c>
      <c r="F774">
        <v>19</v>
      </c>
      <c r="G774">
        <v>0</v>
      </c>
      <c r="H774">
        <v>2</v>
      </c>
      <c r="I774">
        <v>2</v>
      </c>
      <c r="J774">
        <v>-5</v>
      </c>
      <c r="K774">
        <v>54</v>
      </c>
      <c r="L774">
        <v>0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12</v>
      </c>
      <c r="T774">
        <v>0</v>
      </c>
      <c r="U774">
        <v>42</v>
      </c>
      <c r="V774" s="19" t="s">
        <v>2930</v>
      </c>
      <c r="W774" s="19" t="s">
        <v>1691</v>
      </c>
      <c r="X774">
        <v>0</v>
      </c>
      <c r="Y774">
        <v>0</v>
      </c>
      <c r="AA774">
        <v>13</v>
      </c>
      <c r="AB774">
        <v>30</v>
      </c>
      <c r="AC774">
        <v>2</v>
      </c>
      <c r="AD774">
        <v>16</v>
      </c>
      <c r="AE774" s="19" t="s">
        <v>60</v>
      </c>
    </row>
    <row r="775" spans="1:31" x14ac:dyDescent="0.2">
      <c r="A775">
        <v>716</v>
      </c>
      <c r="B775" s="19" t="s">
        <v>1115</v>
      </c>
      <c r="C775">
        <v>24</v>
      </c>
      <c r="D775" s="19" t="s">
        <v>412</v>
      </c>
      <c r="E775" s="19" t="s">
        <v>347</v>
      </c>
      <c r="F775">
        <v>2</v>
      </c>
      <c r="G775">
        <v>0</v>
      </c>
      <c r="H775">
        <v>0</v>
      </c>
      <c r="I775">
        <v>0</v>
      </c>
      <c r="J775">
        <v>-1</v>
      </c>
      <c r="K775">
        <v>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5</v>
      </c>
      <c r="V775" s="19" t="s">
        <v>1116</v>
      </c>
      <c r="W775" s="19" t="s">
        <v>1117</v>
      </c>
      <c r="X775">
        <v>0</v>
      </c>
      <c r="Y775">
        <v>0</v>
      </c>
      <c r="AA775">
        <v>0</v>
      </c>
      <c r="AB775">
        <v>1</v>
      </c>
      <c r="AC775">
        <v>0</v>
      </c>
      <c r="AD775">
        <v>1</v>
      </c>
      <c r="AE775" s="19" t="s">
        <v>60</v>
      </c>
    </row>
    <row r="776" spans="1:31" x14ac:dyDescent="0.2">
      <c r="A776">
        <v>716</v>
      </c>
      <c r="B776" s="19" t="s">
        <v>1115</v>
      </c>
      <c r="C776">
        <v>24</v>
      </c>
      <c r="D776" s="19" t="s">
        <v>370</v>
      </c>
      <c r="E776" s="19" t="s">
        <v>347</v>
      </c>
      <c r="F776">
        <v>17</v>
      </c>
      <c r="G776">
        <v>0</v>
      </c>
      <c r="H776">
        <v>2</v>
      </c>
      <c r="I776">
        <v>2</v>
      </c>
      <c r="J776">
        <v>-4</v>
      </c>
      <c r="K776">
        <v>49</v>
      </c>
      <c r="L776">
        <v>0</v>
      </c>
      <c r="M776">
        <v>0</v>
      </c>
      <c r="N776">
        <v>0</v>
      </c>
      <c r="O776">
        <v>0</v>
      </c>
      <c r="P776">
        <v>2</v>
      </c>
      <c r="Q776">
        <v>0</v>
      </c>
      <c r="R776">
        <v>0</v>
      </c>
      <c r="S776">
        <v>11</v>
      </c>
      <c r="T776">
        <v>0</v>
      </c>
      <c r="U776">
        <v>37</v>
      </c>
      <c r="V776" s="19" t="s">
        <v>2931</v>
      </c>
      <c r="W776" s="19" t="s">
        <v>1740</v>
      </c>
      <c r="X776">
        <v>0</v>
      </c>
      <c r="Y776">
        <v>0</v>
      </c>
      <c r="AA776">
        <v>13</v>
      </c>
      <c r="AB776">
        <v>29</v>
      </c>
      <c r="AC776">
        <v>2</v>
      </c>
      <c r="AD776">
        <v>15</v>
      </c>
      <c r="AE776" s="19" t="s">
        <v>60</v>
      </c>
    </row>
    <row r="777" spans="1:31" x14ac:dyDescent="0.2">
      <c r="A777">
        <v>717</v>
      </c>
      <c r="B777" s="19" t="s">
        <v>1225</v>
      </c>
      <c r="C777">
        <v>24</v>
      </c>
      <c r="D777" s="19" t="s">
        <v>373</v>
      </c>
      <c r="E777" s="19" t="s">
        <v>3</v>
      </c>
      <c r="F777">
        <v>26</v>
      </c>
      <c r="G777">
        <v>0</v>
      </c>
      <c r="H777">
        <v>2</v>
      </c>
      <c r="I777">
        <v>2</v>
      </c>
      <c r="J777">
        <v>0</v>
      </c>
      <c r="K777">
        <v>2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  <c r="U777">
        <v>0</v>
      </c>
      <c r="V777" s="19" t="s">
        <v>2932</v>
      </c>
      <c r="W777" s="19" t="s">
        <v>2933</v>
      </c>
      <c r="X777">
        <v>0</v>
      </c>
      <c r="Y777">
        <v>0</v>
      </c>
      <c r="AA777">
        <v>0</v>
      </c>
      <c r="AB777">
        <v>0</v>
      </c>
      <c r="AC777">
        <v>0</v>
      </c>
      <c r="AD777">
        <v>8</v>
      </c>
      <c r="AE777" s="19" t="s">
        <v>60</v>
      </c>
    </row>
    <row r="778" spans="1:31" x14ac:dyDescent="0.2">
      <c r="A778">
        <v>718</v>
      </c>
      <c r="B778" s="19" t="s">
        <v>1119</v>
      </c>
      <c r="C778">
        <v>36</v>
      </c>
      <c r="D778" s="19" t="s">
        <v>377</v>
      </c>
      <c r="E778" s="19" t="s">
        <v>347</v>
      </c>
      <c r="F778">
        <v>15</v>
      </c>
      <c r="G778">
        <v>0</v>
      </c>
      <c r="H778">
        <v>2</v>
      </c>
      <c r="I778">
        <v>2</v>
      </c>
      <c r="J778">
        <v>-1</v>
      </c>
      <c r="K778">
        <v>11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0</v>
      </c>
      <c r="S778">
        <v>10</v>
      </c>
      <c r="T778">
        <v>0</v>
      </c>
      <c r="U778">
        <v>21</v>
      </c>
      <c r="V778" s="19" t="s">
        <v>1692</v>
      </c>
      <c r="W778" s="19" t="s">
        <v>1686</v>
      </c>
      <c r="X778">
        <v>0</v>
      </c>
      <c r="Y778">
        <v>0</v>
      </c>
      <c r="AA778">
        <v>11</v>
      </c>
      <c r="AB778">
        <v>12</v>
      </c>
      <c r="AC778">
        <v>5</v>
      </c>
      <c r="AD778">
        <v>15</v>
      </c>
      <c r="AE778" s="19" t="s">
        <v>60</v>
      </c>
    </row>
    <row r="779" spans="1:31" x14ac:dyDescent="0.2">
      <c r="A779">
        <v>719</v>
      </c>
      <c r="B779" s="19" t="s">
        <v>1231</v>
      </c>
      <c r="C779">
        <v>34</v>
      </c>
      <c r="D779" s="19" t="s">
        <v>401</v>
      </c>
      <c r="E779" s="19" t="s">
        <v>338</v>
      </c>
      <c r="F779">
        <v>45</v>
      </c>
      <c r="G779">
        <v>0</v>
      </c>
      <c r="H779">
        <v>2</v>
      </c>
      <c r="I779">
        <v>2</v>
      </c>
      <c r="J779">
        <v>-14</v>
      </c>
      <c r="K779">
        <v>28</v>
      </c>
      <c r="L779">
        <v>0</v>
      </c>
      <c r="M779">
        <v>0</v>
      </c>
      <c r="N779">
        <v>0</v>
      </c>
      <c r="O779">
        <v>0</v>
      </c>
      <c r="P779">
        <v>2</v>
      </c>
      <c r="Q779">
        <v>0</v>
      </c>
      <c r="R779">
        <v>0</v>
      </c>
      <c r="S779">
        <v>32</v>
      </c>
      <c r="T779">
        <v>0</v>
      </c>
      <c r="U779">
        <v>64</v>
      </c>
      <c r="V779" s="19" t="s">
        <v>2934</v>
      </c>
      <c r="W779" s="19" t="s">
        <v>2935</v>
      </c>
      <c r="X779">
        <v>3</v>
      </c>
      <c r="Y779">
        <v>11</v>
      </c>
      <c r="Z779">
        <v>21.4</v>
      </c>
      <c r="AA779">
        <v>26</v>
      </c>
      <c r="AB779">
        <v>125</v>
      </c>
      <c r="AC779">
        <v>7</v>
      </c>
      <c r="AD779">
        <v>27</v>
      </c>
      <c r="AE779" s="19" t="s">
        <v>60</v>
      </c>
    </row>
    <row r="780" spans="1:31" x14ac:dyDescent="0.2">
      <c r="A780">
        <v>720</v>
      </c>
      <c r="B780" s="19" t="s">
        <v>1121</v>
      </c>
      <c r="C780">
        <v>36</v>
      </c>
      <c r="D780" s="19" t="s">
        <v>357</v>
      </c>
      <c r="E780" s="19" t="s">
        <v>347</v>
      </c>
      <c r="F780">
        <v>11</v>
      </c>
      <c r="G780">
        <v>0</v>
      </c>
      <c r="H780">
        <v>2</v>
      </c>
      <c r="I780">
        <v>2</v>
      </c>
      <c r="J780">
        <v>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>
        <v>0</v>
      </c>
      <c r="R780">
        <v>0</v>
      </c>
      <c r="S780">
        <v>8</v>
      </c>
      <c r="T780">
        <v>0</v>
      </c>
      <c r="U780">
        <v>18</v>
      </c>
      <c r="V780" s="19" t="s">
        <v>1645</v>
      </c>
      <c r="W780" s="19" t="s">
        <v>1601</v>
      </c>
      <c r="X780">
        <v>0</v>
      </c>
      <c r="Y780">
        <v>0</v>
      </c>
      <c r="AA780">
        <v>15</v>
      </c>
      <c r="AB780">
        <v>2</v>
      </c>
      <c r="AC780">
        <v>5</v>
      </c>
      <c r="AD780">
        <v>8</v>
      </c>
      <c r="AE780" s="19" t="s">
        <v>60</v>
      </c>
    </row>
    <row r="781" spans="1:31" x14ac:dyDescent="0.2">
      <c r="A781">
        <v>721</v>
      </c>
      <c r="B781" s="19" t="s">
        <v>1235</v>
      </c>
      <c r="C781">
        <v>27</v>
      </c>
      <c r="D781" s="19" t="s">
        <v>933</v>
      </c>
      <c r="E781" s="19" t="s">
        <v>325</v>
      </c>
      <c r="F781">
        <v>32</v>
      </c>
      <c r="G781">
        <v>1</v>
      </c>
      <c r="H781">
        <v>1</v>
      </c>
      <c r="I781">
        <v>2</v>
      </c>
      <c r="J781">
        <v>-12</v>
      </c>
      <c r="K781">
        <v>6</v>
      </c>
      <c r="L781">
        <v>1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25</v>
      </c>
      <c r="T781">
        <v>4</v>
      </c>
      <c r="U781">
        <v>60</v>
      </c>
      <c r="V781" s="19" t="s">
        <v>2936</v>
      </c>
      <c r="W781" s="19" t="s">
        <v>1236</v>
      </c>
      <c r="X781">
        <v>9</v>
      </c>
      <c r="Y781">
        <v>10</v>
      </c>
      <c r="Z781">
        <v>47.4</v>
      </c>
      <c r="AA781">
        <v>5</v>
      </c>
      <c r="AB781">
        <v>55</v>
      </c>
      <c r="AC781">
        <v>3</v>
      </c>
      <c r="AD781">
        <v>16</v>
      </c>
      <c r="AE781" s="19" t="s">
        <v>60</v>
      </c>
    </row>
    <row r="782" spans="1:31" x14ac:dyDescent="0.2">
      <c r="A782">
        <v>721</v>
      </c>
      <c r="B782" s="19" t="s">
        <v>1235</v>
      </c>
      <c r="C782">
        <v>27</v>
      </c>
      <c r="D782" s="19" t="s">
        <v>380</v>
      </c>
      <c r="E782" s="19" t="s">
        <v>325</v>
      </c>
      <c r="F782">
        <v>27</v>
      </c>
      <c r="G782">
        <v>1</v>
      </c>
      <c r="H782">
        <v>1</v>
      </c>
      <c r="I782">
        <v>2</v>
      </c>
      <c r="J782">
        <v>-9</v>
      </c>
      <c r="K782">
        <v>6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22</v>
      </c>
      <c r="T782">
        <v>4.5</v>
      </c>
      <c r="U782">
        <v>52</v>
      </c>
      <c r="V782" s="19" t="s">
        <v>2065</v>
      </c>
      <c r="W782" s="19" t="s">
        <v>1610</v>
      </c>
      <c r="X782">
        <v>8</v>
      </c>
      <c r="Y782">
        <v>10</v>
      </c>
      <c r="Z782">
        <v>44.4</v>
      </c>
      <c r="AA782">
        <v>4</v>
      </c>
      <c r="AB782">
        <v>46</v>
      </c>
      <c r="AC782">
        <v>3</v>
      </c>
      <c r="AD782">
        <v>16</v>
      </c>
      <c r="AE782" s="19" t="s">
        <v>60</v>
      </c>
    </row>
    <row r="783" spans="1:31" x14ac:dyDescent="0.2">
      <c r="A783">
        <v>721</v>
      </c>
      <c r="B783" s="19" t="s">
        <v>1235</v>
      </c>
      <c r="C783">
        <v>27</v>
      </c>
      <c r="D783" s="19" t="s">
        <v>395</v>
      </c>
      <c r="E783" s="19" t="s">
        <v>325</v>
      </c>
      <c r="F783">
        <v>5</v>
      </c>
      <c r="G783">
        <v>0</v>
      </c>
      <c r="H783">
        <v>0</v>
      </c>
      <c r="I783">
        <v>0</v>
      </c>
      <c r="J783">
        <v>-3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3</v>
      </c>
      <c r="T783">
        <v>0</v>
      </c>
      <c r="U783">
        <v>8</v>
      </c>
      <c r="V783" s="19" t="s">
        <v>2937</v>
      </c>
      <c r="W783" s="19" t="s">
        <v>1942</v>
      </c>
      <c r="X783">
        <v>1</v>
      </c>
      <c r="Y783">
        <v>0</v>
      </c>
      <c r="Z783">
        <v>100</v>
      </c>
      <c r="AA783">
        <v>1</v>
      </c>
      <c r="AB783">
        <v>9</v>
      </c>
      <c r="AC783">
        <v>0</v>
      </c>
      <c r="AD783">
        <v>0</v>
      </c>
      <c r="AE783" s="19" t="s">
        <v>60</v>
      </c>
    </row>
    <row r="784" spans="1:31" x14ac:dyDescent="0.2">
      <c r="A784">
        <v>722</v>
      </c>
      <c r="B784" s="19" t="s">
        <v>1241</v>
      </c>
      <c r="C784">
        <v>29</v>
      </c>
      <c r="D784" s="19" t="s">
        <v>401</v>
      </c>
      <c r="E784" s="19" t="s">
        <v>3</v>
      </c>
      <c r="F784">
        <v>45</v>
      </c>
      <c r="G784">
        <v>0</v>
      </c>
      <c r="H784">
        <v>2</v>
      </c>
      <c r="I784">
        <v>2</v>
      </c>
      <c r="J784">
        <v>0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0</v>
      </c>
      <c r="R784">
        <v>0</v>
      </c>
      <c r="S784">
        <v>0</v>
      </c>
      <c r="U784">
        <v>0</v>
      </c>
      <c r="V784" s="19" t="s">
        <v>2938</v>
      </c>
      <c r="W784" s="19" t="s">
        <v>2939</v>
      </c>
      <c r="X784">
        <v>0</v>
      </c>
      <c r="Y784">
        <v>0</v>
      </c>
      <c r="AA784">
        <v>0</v>
      </c>
      <c r="AB784">
        <v>0</v>
      </c>
      <c r="AC784">
        <v>0</v>
      </c>
      <c r="AD784">
        <v>15</v>
      </c>
      <c r="AE784" s="19" t="s">
        <v>60</v>
      </c>
    </row>
    <row r="785" spans="1:31" x14ac:dyDescent="0.2">
      <c r="A785">
        <v>723</v>
      </c>
      <c r="B785" s="19" t="s">
        <v>1778</v>
      </c>
      <c r="C785">
        <v>24</v>
      </c>
      <c r="D785" s="19" t="s">
        <v>336</v>
      </c>
      <c r="E785" s="19" t="s">
        <v>325</v>
      </c>
      <c r="F785">
        <v>14</v>
      </c>
      <c r="G785">
        <v>1</v>
      </c>
      <c r="H785">
        <v>1</v>
      </c>
      <c r="I785">
        <v>2</v>
      </c>
      <c r="J785">
        <v>-2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8</v>
      </c>
      <c r="T785">
        <v>12.5</v>
      </c>
      <c r="U785">
        <v>22</v>
      </c>
      <c r="V785" s="19" t="s">
        <v>2940</v>
      </c>
      <c r="W785" s="19" t="s">
        <v>1707</v>
      </c>
      <c r="X785">
        <v>79</v>
      </c>
      <c r="Y785">
        <v>60</v>
      </c>
      <c r="Z785">
        <v>56.8</v>
      </c>
      <c r="AA785">
        <v>12</v>
      </c>
      <c r="AB785">
        <v>36</v>
      </c>
      <c r="AC785">
        <v>4</v>
      </c>
      <c r="AD785">
        <v>6</v>
      </c>
      <c r="AE785" s="19" t="s">
        <v>60</v>
      </c>
    </row>
    <row r="786" spans="1:31" x14ac:dyDescent="0.2">
      <c r="A786">
        <v>724</v>
      </c>
      <c r="B786" s="19" t="s">
        <v>1244</v>
      </c>
      <c r="C786">
        <v>25</v>
      </c>
      <c r="D786" s="19" t="s">
        <v>361</v>
      </c>
      <c r="E786" s="19" t="s">
        <v>347</v>
      </c>
      <c r="F786">
        <v>50</v>
      </c>
      <c r="G786">
        <v>1</v>
      </c>
      <c r="H786">
        <v>1</v>
      </c>
      <c r="I786">
        <v>2</v>
      </c>
      <c r="J786">
        <v>-7</v>
      </c>
      <c r="K786">
        <v>104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32</v>
      </c>
      <c r="T786">
        <v>3.1</v>
      </c>
      <c r="U786">
        <v>92</v>
      </c>
      <c r="V786" s="19" t="s">
        <v>2004</v>
      </c>
      <c r="W786" s="19" t="s">
        <v>1872</v>
      </c>
      <c r="X786">
        <v>0</v>
      </c>
      <c r="Y786">
        <v>0</v>
      </c>
      <c r="AA786">
        <v>33</v>
      </c>
      <c r="AB786">
        <v>135</v>
      </c>
      <c r="AC786">
        <v>2</v>
      </c>
      <c r="AD786">
        <v>27</v>
      </c>
      <c r="AE786" s="19" t="s">
        <v>60</v>
      </c>
    </row>
    <row r="787" spans="1:31" x14ac:dyDescent="0.2">
      <c r="A787">
        <v>725</v>
      </c>
      <c r="B787" s="19" t="s">
        <v>1248</v>
      </c>
      <c r="C787">
        <v>25</v>
      </c>
      <c r="D787" s="19" t="s">
        <v>933</v>
      </c>
      <c r="E787" s="19" t="s">
        <v>347</v>
      </c>
      <c r="F787">
        <v>23</v>
      </c>
      <c r="G787">
        <v>0</v>
      </c>
      <c r="H787">
        <v>2</v>
      </c>
      <c r="I787">
        <v>2</v>
      </c>
      <c r="J787">
        <v>6</v>
      </c>
      <c r="K787">
        <v>4</v>
      </c>
      <c r="L787">
        <v>0</v>
      </c>
      <c r="M787">
        <v>0</v>
      </c>
      <c r="N787">
        <v>0</v>
      </c>
      <c r="O787">
        <v>0</v>
      </c>
      <c r="P787">
        <v>2</v>
      </c>
      <c r="Q787">
        <v>0</v>
      </c>
      <c r="R787">
        <v>0</v>
      </c>
      <c r="S787">
        <v>14</v>
      </c>
      <c r="T787">
        <v>0</v>
      </c>
      <c r="U787">
        <v>36</v>
      </c>
      <c r="V787" s="19" t="s">
        <v>2107</v>
      </c>
      <c r="W787" s="19" t="s">
        <v>1469</v>
      </c>
      <c r="X787">
        <v>0</v>
      </c>
      <c r="Y787">
        <v>0</v>
      </c>
      <c r="AA787">
        <v>29</v>
      </c>
      <c r="AB787">
        <v>3</v>
      </c>
      <c r="AC787">
        <v>4</v>
      </c>
      <c r="AD787">
        <v>19</v>
      </c>
      <c r="AE787" s="19" t="s">
        <v>60</v>
      </c>
    </row>
    <row r="788" spans="1:31" x14ac:dyDescent="0.2">
      <c r="A788">
        <v>725</v>
      </c>
      <c r="B788" s="19" t="s">
        <v>1248</v>
      </c>
      <c r="C788">
        <v>25</v>
      </c>
      <c r="D788" s="19" t="s">
        <v>403</v>
      </c>
      <c r="E788" s="19" t="s">
        <v>347</v>
      </c>
      <c r="F788">
        <v>13</v>
      </c>
      <c r="G788">
        <v>0</v>
      </c>
      <c r="H788">
        <v>1</v>
      </c>
      <c r="I788">
        <v>1</v>
      </c>
      <c r="J788">
        <v>4</v>
      </c>
      <c r="K788">
        <v>4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9</v>
      </c>
      <c r="T788">
        <v>0</v>
      </c>
      <c r="U788">
        <v>19</v>
      </c>
      <c r="V788" s="19" t="s">
        <v>1249</v>
      </c>
      <c r="W788" s="19" t="s">
        <v>964</v>
      </c>
      <c r="X788">
        <v>0</v>
      </c>
      <c r="Y788">
        <v>0</v>
      </c>
      <c r="AA788">
        <v>15</v>
      </c>
      <c r="AB788">
        <v>2</v>
      </c>
      <c r="AC788">
        <v>1</v>
      </c>
      <c r="AD788">
        <v>10</v>
      </c>
      <c r="AE788" s="19" t="s">
        <v>60</v>
      </c>
    </row>
    <row r="789" spans="1:31" x14ac:dyDescent="0.2">
      <c r="A789">
        <v>725</v>
      </c>
      <c r="B789" s="19" t="s">
        <v>1248</v>
      </c>
      <c r="C789">
        <v>25</v>
      </c>
      <c r="D789" s="19" t="s">
        <v>377</v>
      </c>
      <c r="E789" s="19" t="s">
        <v>347</v>
      </c>
      <c r="F789">
        <v>10</v>
      </c>
      <c r="G789">
        <v>0</v>
      </c>
      <c r="H789">
        <v>1</v>
      </c>
      <c r="I789">
        <v>1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5</v>
      </c>
      <c r="T789">
        <v>0</v>
      </c>
      <c r="U789">
        <v>17</v>
      </c>
      <c r="V789" s="19" t="s">
        <v>2108</v>
      </c>
      <c r="W789" s="19" t="s">
        <v>1885</v>
      </c>
      <c r="X789">
        <v>0</v>
      </c>
      <c r="Y789">
        <v>0</v>
      </c>
      <c r="AA789">
        <v>14</v>
      </c>
      <c r="AB789">
        <v>1</v>
      </c>
      <c r="AC789">
        <v>3</v>
      </c>
      <c r="AD789">
        <v>9</v>
      </c>
      <c r="AE789" s="19" t="s">
        <v>60</v>
      </c>
    </row>
    <row r="790" spans="1:31" x14ac:dyDescent="0.2">
      <c r="A790">
        <v>726</v>
      </c>
      <c r="B790" s="19" t="s">
        <v>1252</v>
      </c>
      <c r="C790">
        <v>35</v>
      </c>
      <c r="D790" s="19" t="s">
        <v>395</v>
      </c>
      <c r="E790" s="19" t="s">
        <v>3</v>
      </c>
      <c r="F790">
        <v>29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U790">
        <v>0</v>
      </c>
      <c r="V790" s="19" t="s">
        <v>2941</v>
      </c>
      <c r="W790" s="19" t="s">
        <v>1800</v>
      </c>
      <c r="X790">
        <v>0</v>
      </c>
      <c r="Y790">
        <v>0</v>
      </c>
      <c r="AA790">
        <v>0</v>
      </c>
      <c r="AB790">
        <v>0</v>
      </c>
      <c r="AC790">
        <v>0</v>
      </c>
      <c r="AD790">
        <v>10</v>
      </c>
      <c r="AE790" s="19" t="s">
        <v>60</v>
      </c>
    </row>
    <row r="791" spans="1:31" x14ac:dyDescent="0.2">
      <c r="A791">
        <v>727</v>
      </c>
      <c r="B791" s="19" t="s">
        <v>1528</v>
      </c>
      <c r="C791">
        <v>29</v>
      </c>
      <c r="D791" s="19" t="s">
        <v>355</v>
      </c>
      <c r="E791" s="19" t="s">
        <v>334</v>
      </c>
      <c r="F791">
        <v>4</v>
      </c>
      <c r="G791">
        <v>0</v>
      </c>
      <c r="H791">
        <v>1</v>
      </c>
      <c r="I791">
        <v>1</v>
      </c>
      <c r="J791">
        <v>1</v>
      </c>
      <c r="K791">
        <v>6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4</v>
      </c>
      <c r="T791">
        <v>0</v>
      </c>
      <c r="U791">
        <v>10</v>
      </c>
      <c r="V791" s="19" t="s">
        <v>1560</v>
      </c>
      <c r="W791" s="19" t="s">
        <v>1125</v>
      </c>
      <c r="X791">
        <v>0</v>
      </c>
      <c r="Y791">
        <v>5</v>
      </c>
      <c r="Z791">
        <v>0</v>
      </c>
      <c r="AA791">
        <v>4</v>
      </c>
      <c r="AB791">
        <v>4</v>
      </c>
      <c r="AC791">
        <v>1</v>
      </c>
      <c r="AD791">
        <v>1</v>
      </c>
      <c r="AE791" s="19" t="s">
        <v>60</v>
      </c>
    </row>
    <row r="792" spans="1:31" x14ac:dyDescent="0.2">
      <c r="A792">
        <v>728</v>
      </c>
      <c r="B792" s="19" t="s">
        <v>1971</v>
      </c>
      <c r="C792">
        <v>28</v>
      </c>
      <c r="D792" s="19" t="s">
        <v>321</v>
      </c>
      <c r="E792" s="19" t="s">
        <v>325</v>
      </c>
      <c r="F792">
        <v>1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U792">
        <v>1</v>
      </c>
      <c r="V792" s="19" t="s">
        <v>1972</v>
      </c>
      <c r="W792" s="19" t="s">
        <v>1972</v>
      </c>
      <c r="X792">
        <v>0</v>
      </c>
      <c r="Y792">
        <v>0</v>
      </c>
      <c r="AA792">
        <v>0</v>
      </c>
      <c r="AB792">
        <v>2</v>
      </c>
      <c r="AC792">
        <v>0</v>
      </c>
      <c r="AD792">
        <v>0</v>
      </c>
      <c r="AE792" s="19" t="s">
        <v>60</v>
      </c>
    </row>
    <row r="793" spans="1:31" x14ac:dyDescent="0.2">
      <c r="A793">
        <v>729</v>
      </c>
      <c r="B793" s="19" t="s">
        <v>1259</v>
      </c>
      <c r="C793">
        <v>21</v>
      </c>
      <c r="D793" s="19" t="s">
        <v>361</v>
      </c>
      <c r="E793" s="19" t="s">
        <v>322</v>
      </c>
      <c r="F793">
        <v>15</v>
      </c>
      <c r="G793">
        <v>1</v>
      </c>
      <c r="H793">
        <v>0</v>
      </c>
      <c r="I793">
        <v>1</v>
      </c>
      <c r="J793">
        <v>4</v>
      </c>
      <c r="K793">
        <v>6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11</v>
      </c>
      <c r="T793">
        <v>9.1</v>
      </c>
      <c r="U793">
        <v>25</v>
      </c>
      <c r="V793" s="19" t="s">
        <v>1805</v>
      </c>
      <c r="W793" s="19" t="s">
        <v>1637</v>
      </c>
      <c r="X793">
        <v>44</v>
      </c>
      <c r="Y793">
        <v>31</v>
      </c>
      <c r="Z793">
        <v>58.7</v>
      </c>
      <c r="AA793">
        <v>8</v>
      </c>
      <c r="AB793">
        <v>24</v>
      </c>
      <c r="AC793">
        <v>2</v>
      </c>
      <c r="AD793">
        <v>10</v>
      </c>
      <c r="AE793" s="19" t="s">
        <v>60</v>
      </c>
    </row>
    <row r="794" spans="1:31" x14ac:dyDescent="0.2">
      <c r="A794">
        <v>730</v>
      </c>
      <c r="B794" s="19" t="s">
        <v>1133</v>
      </c>
      <c r="C794">
        <v>32</v>
      </c>
      <c r="D794" s="19" t="s">
        <v>502</v>
      </c>
      <c r="E794" s="19" t="s">
        <v>3</v>
      </c>
      <c r="F794">
        <v>32</v>
      </c>
      <c r="G794">
        <v>0</v>
      </c>
      <c r="H794">
        <v>1</v>
      </c>
      <c r="I794">
        <v>1</v>
      </c>
      <c r="J794">
        <v>0</v>
      </c>
      <c r="K794">
        <v>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U794">
        <v>0</v>
      </c>
      <c r="V794" s="19" t="s">
        <v>2350</v>
      </c>
      <c r="W794" s="19" t="s">
        <v>2351</v>
      </c>
      <c r="X794">
        <v>0</v>
      </c>
      <c r="Y794">
        <v>0</v>
      </c>
      <c r="AA794">
        <v>0</v>
      </c>
      <c r="AB794">
        <v>0</v>
      </c>
      <c r="AC794">
        <v>0</v>
      </c>
      <c r="AD794">
        <v>15</v>
      </c>
      <c r="AE794" s="19" t="s">
        <v>60</v>
      </c>
    </row>
    <row r="795" spans="1:31" x14ac:dyDescent="0.2">
      <c r="A795">
        <v>731</v>
      </c>
      <c r="B795" s="19" t="s">
        <v>1748</v>
      </c>
      <c r="C795">
        <v>30</v>
      </c>
      <c r="D795" s="19" t="s">
        <v>359</v>
      </c>
      <c r="E795" s="19" t="s">
        <v>338</v>
      </c>
      <c r="F795">
        <v>4</v>
      </c>
      <c r="G795">
        <v>0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4</v>
      </c>
      <c r="T795">
        <v>0</v>
      </c>
      <c r="U795">
        <v>5</v>
      </c>
      <c r="V795" s="19" t="s">
        <v>2942</v>
      </c>
      <c r="W795" s="19" t="s">
        <v>2943</v>
      </c>
      <c r="X795">
        <v>0</v>
      </c>
      <c r="Y795">
        <v>0</v>
      </c>
      <c r="AA795">
        <v>0</v>
      </c>
      <c r="AB795">
        <v>10</v>
      </c>
      <c r="AC795">
        <v>0</v>
      </c>
      <c r="AD795">
        <v>1</v>
      </c>
      <c r="AE795" s="19" t="s">
        <v>60</v>
      </c>
    </row>
    <row r="796" spans="1:31" x14ac:dyDescent="0.2">
      <c r="A796">
        <v>732</v>
      </c>
      <c r="B796" s="19" t="s">
        <v>1135</v>
      </c>
      <c r="C796">
        <v>37</v>
      </c>
      <c r="D796" s="19" t="s">
        <v>370</v>
      </c>
      <c r="E796" s="19" t="s">
        <v>3</v>
      </c>
      <c r="F796">
        <v>40</v>
      </c>
      <c r="G796">
        <v>0</v>
      </c>
      <c r="H796">
        <v>1</v>
      </c>
      <c r="I796">
        <v>1</v>
      </c>
      <c r="J796">
        <v>0</v>
      </c>
      <c r="K796">
        <v>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U796">
        <v>0</v>
      </c>
      <c r="V796" s="19" t="s">
        <v>2944</v>
      </c>
      <c r="W796" s="19" t="s">
        <v>2945</v>
      </c>
      <c r="X796">
        <v>0</v>
      </c>
      <c r="Y796">
        <v>0</v>
      </c>
      <c r="AA796">
        <v>0</v>
      </c>
      <c r="AB796">
        <v>0</v>
      </c>
      <c r="AC796">
        <v>0</v>
      </c>
      <c r="AD796">
        <v>16</v>
      </c>
      <c r="AE796" s="19" t="s">
        <v>60</v>
      </c>
    </row>
    <row r="797" spans="1:31" x14ac:dyDescent="0.2">
      <c r="A797">
        <v>733</v>
      </c>
      <c r="B797" s="19" t="s">
        <v>1137</v>
      </c>
      <c r="C797">
        <v>25</v>
      </c>
      <c r="D797" s="19" t="s">
        <v>380</v>
      </c>
      <c r="E797" s="19" t="s">
        <v>347</v>
      </c>
      <c r="F797">
        <v>20</v>
      </c>
      <c r="G797">
        <v>0</v>
      </c>
      <c r="H797">
        <v>1</v>
      </c>
      <c r="I797">
        <v>1</v>
      </c>
      <c r="J797">
        <v>-3</v>
      </c>
      <c r="K797">
        <v>6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7</v>
      </c>
      <c r="T797">
        <v>0</v>
      </c>
      <c r="U797">
        <v>26</v>
      </c>
      <c r="V797" s="19" t="s">
        <v>2067</v>
      </c>
      <c r="W797" s="19" t="s">
        <v>773</v>
      </c>
      <c r="X797">
        <v>0</v>
      </c>
      <c r="Y797">
        <v>0</v>
      </c>
      <c r="AA797">
        <v>18</v>
      </c>
      <c r="AB797">
        <v>9</v>
      </c>
      <c r="AC797">
        <v>3</v>
      </c>
      <c r="AD797">
        <v>8</v>
      </c>
      <c r="AE797" s="19" t="s">
        <v>60</v>
      </c>
    </row>
    <row r="798" spans="1:31" x14ac:dyDescent="0.2">
      <c r="A798">
        <v>734</v>
      </c>
      <c r="B798" s="19" t="s">
        <v>1138</v>
      </c>
      <c r="C798">
        <v>20</v>
      </c>
      <c r="D798" s="19" t="s">
        <v>368</v>
      </c>
      <c r="E798" s="19" t="s">
        <v>325</v>
      </c>
      <c r="F798">
        <v>9</v>
      </c>
      <c r="G798">
        <v>0</v>
      </c>
      <c r="H798">
        <v>1</v>
      </c>
      <c r="I798">
        <v>1</v>
      </c>
      <c r="J798">
        <v>-5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14</v>
      </c>
      <c r="T798">
        <v>0</v>
      </c>
      <c r="U798">
        <v>35</v>
      </c>
      <c r="V798" s="19" t="s">
        <v>1139</v>
      </c>
      <c r="W798" s="19" t="s">
        <v>945</v>
      </c>
      <c r="X798">
        <v>0</v>
      </c>
      <c r="Y798">
        <v>0</v>
      </c>
      <c r="AA798">
        <v>3</v>
      </c>
      <c r="AB798">
        <v>28</v>
      </c>
      <c r="AC798">
        <v>2</v>
      </c>
      <c r="AD798">
        <v>10</v>
      </c>
      <c r="AE798" s="19" t="s">
        <v>60</v>
      </c>
    </row>
    <row r="799" spans="1:31" x14ac:dyDescent="0.2">
      <c r="A799">
        <v>735</v>
      </c>
      <c r="B799" s="19" t="s">
        <v>1140</v>
      </c>
      <c r="C799">
        <v>19</v>
      </c>
      <c r="D799" s="19" t="s">
        <v>373</v>
      </c>
      <c r="E799" s="19" t="s">
        <v>347</v>
      </c>
      <c r="F799">
        <v>9</v>
      </c>
      <c r="G799">
        <v>1</v>
      </c>
      <c r="H799">
        <v>0</v>
      </c>
      <c r="I799">
        <v>1</v>
      </c>
      <c r="J799">
        <v>-4</v>
      </c>
      <c r="K799">
        <v>6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8</v>
      </c>
      <c r="T799">
        <v>12.5</v>
      </c>
      <c r="U799">
        <v>22</v>
      </c>
      <c r="V799" s="19" t="s">
        <v>927</v>
      </c>
      <c r="W799" s="19" t="s">
        <v>1141</v>
      </c>
      <c r="X799">
        <v>0</v>
      </c>
      <c r="Y799">
        <v>0</v>
      </c>
      <c r="AA799">
        <v>13</v>
      </c>
      <c r="AB799">
        <v>4</v>
      </c>
      <c r="AC799">
        <v>1</v>
      </c>
      <c r="AD799">
        <v>14</v>
      </c>
      <c r="AE799" s="19" t="s">
        <v>60</v>
      </c>
    </row>
    <row r="800" spans="1:31" x14ac:dyDescent="0.2">
      <c r="A800">
        <v>736</v>
      </c>
      <c r="B800" s="19" t="s">
        <v>1142</v>
      </c>
      <c r="C800">
        <v>27</v>
      </c>
      <c r="D800" s="19" t="s">
        <v>393</v>
      </c>
      <c r="E800" s="19" t="s">
        <v>3</v>
      </c>
      <c r="F800">
        <v>27</v>
      </c>
      <c r="G800">
        <v>0</v>
      </c>
      <c r="H800">
        <v>1</v>
      </c>
      <c r="I800">
        <v>1</v>
      </c>
      <c r="J800">
        <v>0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U800">
        <v>0</v>
      </c>
      <c r="V800" s="19" t="s">
        <v>2946</v>
      </c>
      <c r="W800" s="19" t="s">
        <v>2947</v>
      </c>
      <c r="X800">
        <v>0</v>
      </c>
      <c r="Y800">
        <v>0</v>
      </c>
      <c r="AA800">
        <v>0</v>
      </c>
      <c r="AB800">
        <v>0</v>
      </c>
      <c r="AC800">
        <v>0</v>
      </c>
      <c r="AD800">
        <v>19</v>
      </c>
      <c r="AE800" s="19" t="s">
        <v>60</v>
      </c>
    </row>
    <row r="801" spans="1:31" x14ac:dyDescent="0.2">
      <c r="A801">
        <v>737</v>
      </c>
      <c r="B801" s="19" t="s">
        <v>1143</v>
      </c>
      <c r="C801">
        <v>23</v>
      </c>
      <c r="D801" s="19" t="s">
        <v>324</v>
      </c>
      <c r="E801" s="19" t="s">
        <v>334</v>
      </c>
      <c r="F801">
        <v>7</v>
      </c>
      <c r="G801">
        <v>1</v>
      </c>
      <c r="H801">
        <v>0</v>
      </c>
      <c r="I801">
        <v>1</v>
      </c>
      <c r="J801">
        <v>-3</v>
      </c>
      <c r="K801">
        <v>2</v>
      </c>
      <c r="L801">
        <v>1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6</v>
      </c>
      <c r="T801">
        <v>16.7</v>
      </c>
      <c r="U801">
        <v>19</v>
      </c>
      <c r="V801" s="19" t="s">
        <v>1623</v>
      </c>
      <c r="W801" s="19" t="s">
        <v>1624</v>
      </c>
      <c r="X801">
        <v>0</v>
      </c>
      <c r="Y801">
        <v>0</v>
      </c>
      <c r="AA801">
        <v>1</v>
      </c>
      <c r="AB801">
        <v>9</v>
      </c>
      <c r="AC801">
        <v>3</v>
      </c>
      <c r="AD801">
        <v>5</v>
      </c>
      <c r="AE801" s="19" t="s">
        <v>60</v>
      </c>
    </row>
    <row r="802" spans="1:31" x14ac:dyDescent="0.2">
      <c r="A802">
        <v>738</v>
      </c>
      <c r="B802" s="19" t="s">
        <v>1145</v>
      </c>
      <c r="C802">
        <v>27</v>
      </c>
      <c r="D802" s="19" t="s">
        <v>395</v>
      </c>
      <c r="E802" s="19" t="s">
        <v>347</v>
      </c>
      <c r="F802">
        <v>15</v>
      </c>
      <c r="G802">
        <v>0</v>
      </c>
      <c r="H802">
        <v>1</v>
      </c>
      <c r="I802">
        <v>1</v>
      </c>
      <c r="J802">
        <v>-5</v>
      </c>
      <c r="K802">
        <v>2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10</v>
      </c>
      <c r="T802">
        <v>0</v>
      </c>
      <c r="U802">
        <v>22</v>
      </c>
      <c r="V802" s="19" t="s">
        <v>1538</v>
      </c>
      <c r="W802" s="19" t="s">
        <v>739</v>
      </c>
      <c r="X802">
        <v>0</v>
      </c>
      <c r="Y802">
        <v>0</v>
      </c>
      <c r="AA802">
        <v>15</v>
      </c>
      <c r="AB802">
        <v>3</v>
      </c>
      <c r="AC802">
        <v>4</v>
      </c>
      <c r="AD802">
        <v>15</v>
      </c>
      <c r="AE802" s="19" t="s">
        <v>60</v>
      </c>
    </row>
    <row r="803" spans="1:31" x14ac:dyDescent="0.2">
      <c r="A803">
        <v>739</v>
      </c>
      <c r="B803" s="19" t="s">
        <v>1147</v>
      </c>
      <c r="C803">
        <v>20</v>
      </c>
      <c r="D803" s="19" t="s">
        <v>327</v>
      </c>
      <c r="E803" s="19" t="s">
        <v>325</v>
      </c>
      <c r="F803">
        <v>5</v>
      </c>
      <c r="G803">
        <v>1</v>
      </c>
      <c r="H803">
        <v>0</v>
      </c>
      <c r="I803">
        <v>1</v>
      </c>
      <c r="J803">
        <v>1</v>
      </c>
      <c r="K803">
        <v>13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</v>
      </c>
      <c r="T803">
        <v>33.299999999999997</v>
      </c>
      <c r="U803">
        <v>7</v>
      </c>
      <c r="V803" s="19" t="s">
        <v>1148</v>
      </c>
      <c r="W803" s="19" t="s">
        <v>1149</v>
      </c>
      <c r="X803">
        <v>0</v>
      </c>
      <c r="Y803">
        <v>0</v>
      </c>
      <c r="AA803">
        <v>3</v>
      </c>
      <c r="AB803">
        <v>17</v>
      </c>
      <c r="AC803">
        <v>0</v>
      </c>
      <c r="AD803">
        <v>4</v>
      </c>
      <c r="AE803" s="19" t="s">
        <v>60</v>
      </c>
    </row>
    <row r="804" spans="1:31" x14ac:dyDescent="0.2">
      <c r="A804">
        <v>740</v>
      </c>
      <c r="B804" s="19" t="s">
        <v>1150</v>
      </c>
      <c r="C804">
        <v>24</v>
      </c>
      <c r="D804" s="19" t="s">
        <v>336</v>
      </c>
      <c r="E804" s="19" t="s">
        <v>334</v>
      </c>
      <c r="F804">
        <v>9</v>
      </c>
      <c r="G804">
        <v>1</v>
      </c>
      <c r="H804">
        <v>0</v>
      </c>
      <c r="I804">
        <v>1</v>
      </c>
      <c r="J804">
        <v>-3</v>
      </c>
      <c r="K804">
        <v>4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7</v>
      </c>
      <c r="T804">
        <v>14.3</v>
      </c>
      <c r="U804">
        <v>17</v>
      </c>
      <c r="V804" s="19" t="s">
        <v>2090</v>
      </c>
      <c r="W804" s="19" t="s">
        <v>979</v>
      </c>
      <c r="X804">
        <v>1</v>
      </c>
      <c r="Y804">
        <v>1</v>
      </c>
      <c r="Z804">
        <v>50</v>
      </c>
      <c r="AA804">
        <v>1</v>
      </c>
      <c r="AB804">
        <v>11</v>
      </c>
      <c r="AC804">
        <v>1</v>
      </c>
      <c r="AD804">
        <v>8</v>
      </c>
      <c r="AE804" s="19" t="s">
        <v>60</v>
      </c>
    </row>
    <row r="805" spans="1:31" x14ac:dyDescent="0.2">
      <c r="A805">
        <v>741</v>
      </c>
      <c r="B805" s="19" t="s">
        <v>1278</v>
      </c>
      <c r="C805">
        <v>28</v>
      </c>
      <c r="D805" s="19" t="s">
        <v>430</v>
      </c>
      <c r="E805" s="19" t="s">
        <v>3</v>
      </c>
      <c r="F805">
        <v>19</v>
      </c>
      <c r="G805">
        <v>0</v>
      </c>
      <c r="H805">
        <v>1</v>
      </c>
      <c r="I805">
        <v>1</v>
      </c>
      <c r="J805">
        <v>0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U805">
        <v>0</v>
      </c>
      <c r="V805" s="19" t="s">
        <v>2352</v>
      </c>
      <c r="W805" s="19" t="s">
        <v>2353</v>
      </c>
      <c r="X805">
        <v>0</v>
      </c>
      <c r="Y805">
        <v>0</v>
      </c>
      <c r="AA805">
        <v>0</v>
      </c>
      <c r="AB805">
        <v>0</v>
      </c>
      <c r="AC805">
        <v>0</v>
      </c>
      <c r="AD805">
        <v>7</v>
      </c>
      <c r="AE805" s="19" t="s">
        <v>60</v>
      </c>
    </row>
    <row r="806" spans="1:31" x14ac:dyDescent="0.2">
      <c r="A806">
        <v>742</v>
      </c>
      <c r="B806" s="19" t="s">
        <v>1281</v>
      </c>
      <c r="C806">
        <v>26</v>
      </c>
      <c r="D806" s="19" t="s">
        <v>395</v>
      </c>
      <c r="E806" s="19" t="s">
        <v>338</v>
      </c>
      <c r="F806">
        <v>8</v>
      </c>
      <c r="G806">
        <v>1</v>
      </c>
      <c r="H806">
        <v>0</v>
      </c>
      <c r="I806">
        <v>1</v>
      </c>
      <c r="J806">
        <v>1</v>
      </c>
      <c r="K806">
        <v>4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4</v>
      </c>
      <c r="T806">
        <v>25</v>
      </c>
      <c r="U806">
        <v>9</v>
      </c>
      <c r="V806" s="19" t="s">
        <v>1565</v>
      </c>
      <c r="W806" s="19" t="s">
        <v>1566</v>
      </c>
      <c r="X806">
        <v>1</v>
      </c>
      <c r="Y806">
        <v>2</v>
      </c>
      <c r="Z806">
        <v>33.299999999999997</v>
      </c>
      <c r="AA806">
        <v>7</v>
      </c>
      <c r="AB806">
        <v>5</v>
      </c>
      <c r="AC806">
        <v>0</v>
      </c>
      <c r="AD806">
        <v>2</v>
      </c>
      <c r="AE806" s="19" t="s">
        <v>60</v>
      </c>
    </row>
    <row r="807" spans="1:31" x14ac:dyDescent="0.2">
      <c r="A807">
        <v>743</v>
      </c>
      <c r="B807" s="19" t="s">
        <v>1152</v>
      </c>
      <c r="C807">
        <v>23</v>
      </c>
      <c r="D807" s="19" t="s">
        <v>361</v>
      </c>
      <c r="E807" s="19" t="s">
        <v>322</v>
      </c>
      <c r="F807">
        <v>10</v>
      </c>
      <c r="G807">
        <v>0</v>
      </c>
      <c r="H807">
        <v>1</v>
      </c>
      <c r="I807">
        <v>1</v>
      </c>
      <c r="J807">
        <v>-4</v>
      </c>
      <c r="K807">
        <v>10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9</v>
      </c>
      <c r="T807">
        <v>0</v>
      </c>
      <c r="U807">
        <v>19</v>
      </c>
      <c r="V807" s="19" t="s">
        <v>1508</v>
      </c>
      <c r="W807" s="19" t="s">
        <v>1470</v>
      </c>
      <c r="X807">
        <v>0</v>
      </c>
      <c r="Y807">
        <v>1</v>
      </c>
      <c r="Z807">
        <v>0</v>
      </c>
      <c r="AA807">
        <v>1</v>
      </c>
      <c r="AB807">
        <v>18</v>
      </c>
      <c r="AC807">
        <v>1</v>
      </c>
      <c r="AD807">
        <v>5</v>
      </c>
      <c r="AE807" s="19" t="s">
        <v>60</v>
      </c>
    </row>
    <row r="808" spans="1:31" x14ac:dyDescent="0.2">
      <c r="A808">
        <v>744</v>
      </c>
      <c r="B808" s="19" t="s">
        <v>1153</v>
      </c>
      <c r="C808">
        <v>22</v>
      </c>
      <c r="D808" s="19" t="s">
        <v>377</v>
      </c>
      <c r="E808" s="19" t="s">
        <v>322</v>
      </c>
      <c r="F808">
        <v>13</v>
      </c>
      <c r="G808">
        <v>0</v>
      </c>
      <c r="H808">
        <v>1</v>
      </c>
      <c r="I808">
        <v>1</v>
      </c>
      <c r="J808">
        <v>-2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11</v>
      </c>
      <c r="T808">
        <v>0</v>
      </c>
      <c r="U808">
        <v>16</v>
      </c>
      <c r="V808" s="19" t="s">
        <v>1615</v>
      </c>
      <c r="W808" s="19" t="s">
        <v>1309</v>
      </c>
      <c r="X808">
        <v>23</v>
      </c>
      <c r="Y808">
        <v>37</v>
      </c>
      <c r="Z808">
        <v>38.299999999999997</v>
      </c>
      <c r="AA808">
        <v>10</v>
      </c>
      <c r="AB808">
        <v>2</v>
      </c>
      <c r="AC808">
        <v>2</v>
      </c>
      <c r="AD808">
        <v>1</v>
      </c>
      <c r="AE808" s="19" t="s">
        <v>60</v>
      </c>
    </row>
    <row r="809" spans="1:31" x14ac:dyDescent="0.2">
      <c r="A809">
        <v>745</v>
      </c>
      <c r="B809" s="19" t="s">
        <v>1288</v>
      </c>
      <c r="C809">
        <v>30</v>
      </c>
      <c r="D809" s="19" t="s">
        <v>440</v>
      </c>
      <c r="E809" s="19" t="s">
        <v>3</v>
      </c>
      <c r="F809">
        <v>20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U809">
        <v>0</v>
      </c>
      <c r="V809" s="19" t="s">
        <v>1787</v>
      </c>
      <c r="W809" s="19" t="s">
        <v>1788</v>
      </c>
      <c r="X809">
        <v>0</v>
      </c>
      <c r="Y809">
        <v>0</v>
      </c>
      <c r="AA809">
        <v>0</v>
      </c>
      <c r="AB809">
        <v>0</v>
      </c>
      <c r="AC809">
        <v>0</v>
      </c>
      <c r="AD809">
        <v>9</v>
      </c>
      <c r="AE809" s="19" t="s">
        <v>60</v>
      </c>
    </row>
    <row r="810" spans="1:31" x14ac:dyDescent="0.2">
      <c r="A810">
        <v>746</v>
      </c>
      <c r="B810" s="19" t="s">
        <v>1289</v>
      </c>
      <c r="C810">
        <v>34</v>
      </c>
      <c r="D810" s="19" t="s">
        <v>403</v>
      </c>
      <c r="E810" s="19" t="s">
        <v>338</v>
      </c>
      <c r="F810">
        <v>21</v>
      </c>
      <c r="G810">
        <v>0</v>
      </c>
      <c r="H810">
        <v>1</v>
      </c>
      <c r="I810">
        <v>1</v>
      </c>
      <c r="J810">
        <v>-3</v>
      </c>
      <c r="K810">
        <v>26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12</v>
      </c>
      <c r="T810">
        <v>0</v>
      </c>
      <c r="U810">
        <v>22</v>
      </c>
      <c r="V810" s="19" t="s">
        <v>2160</v>
      </c>
      <c r="W810" s="19" t="s">
        <v>1755</v>
      </c>
      <c r="X810">
        <v>1</v>
      </c>
      <c r="Y810">
        <v>0</v>
      </c>
      <c r="Z810">
        <v>100</v>
      </c>
      <c r="AA810">
        <v>8</v>
      </c>
      <c r="AB810">
        <v>76</v>
      </c>
      <c r="AC810">
        <v>3</v>
      </c>
      <c r="AD810">
        <v>8</v>
      </c>
      <c r="AE810" s="19" t="s">
        <v>60</v>
      </c>
    </row>
    <row r="811" spans="1:31" x14ac:dyDescent="0.2">
      <c r="A811">
        <v>747</v>
      </c>
      <c r="B811" s="19" t="s">
        <v>1154</v>
      </c>
      <c r="C811">
        <v>25</v>
      </c>
      <c r="D811" s="19" t="s">
        <v>423</v>
      </c>
      <c r="E811" s="19" t="s">
        <v>3</v>
      </c>
      <c r="F811">
        <v>13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U811">
        <v>1</v>
      </c>
      <c r="V811" s="19" t="s">
        <v>2161</v>
      </c>
      <c r="W811" s="19" t="s">
        <v>2162</v>
      </c>
      <c r="X811">
        <v>0</v>
      </c>
      <c r="Y811">
        <v>0</v>
      </c>
      <c r="AA811">
        <v>0</v>
      </c>
      <c r="AB811">
        <v>0</v>
      </c>
      <c r="AC811">
        <v>0</v>
      </c>
      <c r="AD811">
        <v>12</v>
      </c>
      <c r="AE811" s="19" t="s">
        <v>60</v>
      </c>
    </row>
    <row r="812" spans="1:31" x14ac:dyDescent="0.2">
      <c r="A812">
        <v>748</v>
      </c>
      <c r="B812" s="19" t="s">
        <v>1156</v>
      </c>
      <c r="C812">
        <v>25</v>
      </c>
      <c r="D812" s="19" t="s">
        <v>344</v>
      </c>
      <c r="E812" s="19" t="s">
        <v>325</v>
      </c>
      <c r="F812">
        <v>11</v>
      </c>
      <c r="G812">
        <v>0</v>
      </c>
      <c r="H812">
        <v>1</v>
      </c>
      <c r="I812">
        <v>1</v>
      </c>
      <c r="J812">
        <v>-2</v>
      </c>
      <c r="K812">
        <v>4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7</v>
      </c>
      <c r="T812">
        <v>0</v>
      </c>
      <c r="U812">
        <v>20</v>
      </c>
      <c r="V812" s="19" t="s">
        <v>1157</v>
      </c>
      <c r="W812" s="19" t="s">
        <v>1158</v>
      </c>
      <c r="X812">
        <v>29</v>
      </c>
      <c r="Y812">
        <v>36</v>
      </c>
      <c r="Z812">
        <v>44.6</v>
      </c>
      <c r="AA812">
        <v>11</v>
      </c>
      <c r="AB812">
        <v>20</v>
      </c>
      <c r="AC812">
        <v>2</v>
      </c>
      <c r="AD812">
        <v>1</v>
      </c>
      <c r="AE812" s="19" t="s">
        <v>60</v>
      </c>
    </row>
    <row r="813" spans="1:31" x14ac:dyDescent="0.2">
      <c r="A813">
        <v>749</v>
      </c>
      <c r="B813" s="19" t="s">
        <v>1160</v>
      </c>
      <c r="C813">
        <v>21</v>
      </c>
      <c r="D813" s="19" t="s">
        <v>350</v>
      </c>
      <c r="E813" s="19" t="s">
        <v>322</v>
      </c>
      <c r="F813">
        <v>6</v>
      </c>
      <c r="G813">
        <v>0</v>
      </c>
      <c r="H813">
        <v>1</v>
      </c>
      <c r="I813">
        <v>1</v>
      </c>
      <c r="J813">
        <v>0</v>
      </c>
      <c r="K813">
        <v>4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5</v>
      </c>
      <c r="T813">
        <v>0</v>
      </c>
      <c r="U813">
        <v>12</v>
      </c>
      <c r="V813" s="19" t="s">
        <v>1161</v>
      </c>
      <c r="W813" s="19" t="s">
        <v>1060</v>
      </c>
      <c r="X813">
        <v>8</v>
      </c>
      <c r="Y813">
        <v>13</v>
      </c>
      <c r="Z813">
        <v>38.1</v>
      </c>
      <c r="AA813">
        <v>5</v>
      </c>
      <c r="AB813">
        <v>15</v>
      </c>
      <c r="AC813">
        <v>0</v>
      </c>
      <c r="AD813">
        <v>5</v>
      </c>
      <c r="AE813" s="19" t="s">
        <v>60</v>
      </c>
    </row>
    <row r="814" spans="1:31" x14ac:dyDescent="0.2">
      <c r="A814">
        <v>750</v>
      </c>
      <c r="B814" s="19" t="s">
        <v>2041</v>
      </c>
      <c r="C814">
        <v>21</v>
      </c>
      <c r="D814" s="19" t="s">
        <v>380</v>
      </c>
      <c r="E814" s="19" t="s">
        <v>347</v>
      </c>
      <c r="F814">
        <v>2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U814">
        <v>1</v>
      </c>
      <c r="V814" s="19" t="s">
        <v>2068</v>
      </c>
      <c r="W814" s="19" t="s">
        <v>2022</v>
      </c>
      <c r="X814">
        <v>0</v>
      </c>
      <c r="Y814">
        <v>0</v>
      </c>
      <c r="AA814">
        <v>1</v>
      </c>
      <c r="AB814">
        <v>1</v>
      </c>
      <c r="AC814">
        <v>1</v>
      </c>
      <c r="AD814">
        <v>2</v>
      </c>
      <c r="AE814" s="19" t="s">
        <v>60</v>
      </c>
    </row>
    <row r="815" spans="1:31" x14ac:dyDescent="0.2">
      <c r="A815">
        <v>751</v>
      </c>
      <c r="B815" s="19" t="s">
        <v>1162</v>
      </c>
      <c r="C815">
        <v>32</v>
      </c>
      <c r="D815" s="19" t="s">
        <v>368</v>
      </c>
      <c r="E815" s="19" t="s">
        <v>3</v>
      </c>
      <c r="F815">
        <v>37</v>
      </c>
      <c r="G815">
        <v>0</v>
      </c>
      <c r="H815">
        <v>1</v>
      </c>
      <c r="I815">
        <v>1</v>
      </c>
      <c r="J815">
        <v>0</v>
      </c>
      <c r="K815">
        <v>2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U815">
        <v>0</v>
      </c>
      <c r="V815" s="19" t="s">
        <v>2354</v>
      </c>
      <c r="W815" s="19" t="s">
        <v>1806</v>
      </c>
      <c r="X815">
        <v>0</v>
      </c>
      <c r="Y815">
        <v>0</v>
      </c>
      <c r="AA815">
        <v>0</v>
      </c>
      <c r="AB815">
        <v>0</v>
      </c>
      <c r="AC815">
        <v>0</v>
      </c>
      <c r="AD815">
        <v>21</v>
      </c>
      <c r="AE815" s="19" t="s">
        <v>60</v>
      </c>
    </row>
    <row r="816" spans="1:31" x14ac:dyDescent="0.2">
      <c r="A816">
        <v>752</v>
      </c>
      <c r="B816" s="19" t="s">
        <v>1163</v>
      </c>
      <c r="C816">
        <v>26</v>
      </c>
      <c r="D816" s="19" t="s">
        <v>324</v>
      </c>
      <c r="E816" s="19" t="s">
        <v>325</v>
      </c>
      <c r="F816">
        <v>3</v>
      </c>
      <c r="G816">
        <v>0</v>
      </c>
      <c r="H816">
        <v>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2</v>
      </c>
      <c r="T816">
        <v>0</v>
      </c>
      <c r="U816">
        <v>5</v>
      </c>
      <c r="V816" s="19" t="s">
        <v>1164</v>
      </c>
      <c r="W816" s="19" t="s">
        <v>1165</v>
      </c>
      <c r="X816">
        <v>9</v>
      </c>
      <c r="Y816">
        <v>6</v>
      </c>
      <c r="Z816">
        <v>60</v>
      </c>
      <c r="AA816">
        <v>2</v>
      </c>
      <c r="AB816">
        <v>3</v>
      </c>
      <c r="AC816">
        <v>0</v>
      </c>
      <c r="AD816">
        <v>1</v>
      </c>
      <c r="AE816" s="19" t="s">
        <v>60</v>
      </c>
    </row>
    <row r="817" spans="1:31" x14ac:dyDescent="0.2">
      <c r="A817">
        <v>753</v>
      </c>
      <c r="B817" s="19" t="s">
        <v>1166</v>
      </c>
      <c r="C817">
        <v>30</v>
      </c>
      <c r="D817" s="19" t="s">
        <v>373</v>
      </c>
      <c r="E817" s="19" t="s">
        <v>347</v>
      </c>
      <c r="F817">
        <v>19</v>
      </c>
      <c r="G817">
        <v>1</v>
      </c>
      <c r="H817">
        <v>0</v>
      </c>
      <c r="I817">
        <v>1</v>
      </c>
      <c r="J817">
        <v>-2</v>
      </c>
      <c r="K817">
        <v>8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19</v>
      </c>
      <c r="T817">
        <v>5.3</v>
      </c>
      <c r="U817">
        <v>63</v>
      </c>
      <c r="V817" s="19" t="s">
        <v>2005</v>
      </c>
      <c r="W817" s="19" t="s">
        <v>1575</v>
      </c>
      <c r="X817">
        <v>0</v>
      </c>
      <c r="Y817">
        <v>0</v>
      </c>
      <c r="AA817">
        <v>35</v>
      </c>
      <c r="AB817">
        <v>15</v>
      </c>
      <c r="AC817">
        <v>5</v>
      </c>
      <c r="AD817">
        <v>14</v>
      </c>
      <c r="AE817" s="19" t="s">
        <v>60</v>
      </c>
    </row>
    <row r="818" spans="1:31" x14ac:dyDescent="0.2">
      <c r="A818">
        <v>754</v>
      </c>
      <c r="B818" s="19" t="s">
        <v>1646</v>
      </c>
      <c r="C818">
        <v>24</v>
      </c>
      <c r="D818" s="19" t="s">
        <v>350</v>
      </c>
      <c r="E818" s="19" t="s">
        <v>334</v>
      </c>
      <c r="F818">
        <v>2</v>
      </c>
      <c r="G818">
        <v>0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1</v>
      </c>
      <c r="V818" s="19" t="s">
        <v>2033</v>
      </c>
      <c r="W818" s="19" t="s">
        <v>1123</v>
      </c>
      <c r="X818">
        <v>0</v>
      </c>
      <c r="Y818">
        <v>0</v>
      </c>
      <c r="AA818">
        <v>1</v>
      </c>
      <c r="AB818">
        <v>0</v>
      </c>
      <c r="AC818">
        <v>0</v>
      </c>
      <c r="AD818">
        <v>1</v>
      </c>
      <c r="AE818" s="19" t="s">
        <v>60</v>
      </c>
    </row>
    <row r="819" spans="1:31" x14ac:dyDescent="0.2">
      <c r="A819">
        <v>755</v>
      </c>
      <c r="B819" s="19" t="s">
        <v>1318</v>
      </c>
      <c r="C819">
        <v>34</v>
      </c>
      <c r="D819" s="19" t="s">
        <v>520</v>
      </c>
      <c r="E819" s="19" t="s">
        <v>3</v>
      </c>
      <c r="F819">
        <v>22</v>
      </c>
      <c r="G819">
        <v>0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U819">
        <v>0</v>
      </c>
      <c r="V819" s="19" t="s">
        <v>2163</v>
      </c>
      <c r="W819" s="19" t="s">
        <v>2069</v>
      </c>
      <c r="X819">
        <v>0</v>
      </c>
      <c r="Y819">
        <v>0</v>
      </c>
      <c r="AA819">
        <v>0</v>
      </c>
      <c r="AB819">
        <v>0</v>
      </c>
      <c r="AC819">
        <v>0</v>
      </c>
      <c r="AD819">
        <v>9</v>
      </c>
      <c r="AE819" s="19" t="s">
        <v>60</v>
      </c>
    </row>
    <row r="820" spans="1:31" x14ac:dyDescent="0.2">
      <c r="A820">
        <v>756</v>
      </c>
      <c r="B820" s="19" t="s">
        <v>1322</v>
      </c>
      <c r="C820">
        <v>27</v>
      </c>
      <c r="D820" s="19" t="s">
        <v>355</v>
      </c>
      <c r="E820" s="19" t="s">
        <v>3</v>
      </c>
      <c r="F820">
        <v>36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U820">
        <v>0</v>
      </c>
      <c r="V820" s="19" t="s">
        <v>2355</v>
      </c>
      <c r="W820" s="19" t="s">
        <v>2042</v>
      </c>
      <c r="X820">
        <v>0</v>
      </c>
      <c r="Y820">
        <v>0</v>
      </c>
      <c r="AA820">
        <v>0</v>
      </c>
      <c r="AB820">
        <v>0</v>
      </c>
      <c r="AC820">
        <v>0</v>
      </c>
      <c r="AD820">
        <v>20</v>
      </c>
      <c r="AE820" s="19" t="s">
        <v>60</v>
      </c>
    </row>
    <row r="821" spans="1:31" x14ac:dyDescent="0.2">
      <c r="A821">
        <v>757</v>
      </c>
      <c r="B821" s="19" t="s">
        <v>1169</v>
      </c>
      <c r="C821">
        <v>27</v>
      </c>
      <c r="D821" s="19" t="s">
        <v>395</v>
      </c>
      <c r="E821" s="19" t="s">
        <v>325</v>
      </c>
      <c r="F821">
        <v>9</v>
      </c>
      <c r="G821">
        <v>1</v>
      </c>
      <c r="H821">
        <v>0</v>
      </c>
      <c r="I821">
        <v>1</v>
      </c>
      <c r="J821">
        <v>-1</v>
      </c>
      <c r="K821">
        <v>5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4</v>
      </c>
      <c r="T821">
        <v>25</v>
      </c>
      <c r="U821">
        <v>11</v>
      </c>
      <c r="V821" s="19" t="s">
        <v>1170</v>
      </c>
      <c r="W821" s="19" t="s">
        <v>1171</v>
      </c>
      <c r="X821">
        <v>0</v>
      </c>
      <c r="Y821">
        <v>0</v>
      </c>
      <c r="AA821">
        <v>2</v>
      </c>
      <c r="AB821">
        <v>18</v>
      </c>
      <c r="AC821">
        <v>2</v>
      </c>
      <c r="AD821">
        <v>2</v>
      </c>
      <c r="AE821" s="19" t="s">
        <v>60</v>
      </c>
    </row>
    <row r="822" spans="1:31" x14ac:dyDescent="0.2">
      <c r="A822">
        <v>758</v>
      </c>
      <c r="B822" s="19" t="s">
        <v>1332</v>
      </c>
      <c r="C822">
        <v>29</v>
      </c>
      <c r="D822" s="19" t="s">
        <v>342</v>
      </c>
      <c r="E822" s="19" t="s">
        <v>3</v>
      </c>
      <c r="F822">
        <v>13</v>
      </c>
      <c r="G822">
        <v>0</v>
      </c>
      <c r="H822">
        <v>1</v>
      </c>
      <c r="I822">
        <v>1</v>
      </c>
      <c r="J822">
        <v>0</v>
      </c>
      <c r="K822">
        <v>2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U822">
        <v>0</v>
      </c>
      <c r="V822" s="19" t="s">
        <v>2948</v>
      </c>
      <c r="W822" s="19" t="s">
        <v>2949</v>
      </c>
      <c r="X822">
        <v>0</v>
      </c>
      <c r="Y822">
        <v>0</v>
      </c>
      <c r="AA822">
        <v>0</v>
      </c>
      <c r="AB822">
        <v>0</v>
      </c>
      <c r="AC822">
        <v>0</v>
      </c>
      <c r="AD822">
        <v>0</v>
      </c>
      <c r="AE822" s="19" t="s">
        <v>60</v>
      </c>
    </row>
    <row r="823" spans="1:31" x14ac:dyDescent="0.2">
      <c r="A823">
        <v>759</v>
      </c>
      <c r="B823" s="19" t="s">
        <v>1552</v>
      </c>
      <c r="C823">
        <v>24</v>
      </c>
      <c r="D823" s="19" t="s">
        <v>327</v>
      </c>
      <c r="E823" s="19" t="s">
        <v>325</v>
      </c>
      <c r="F823">
        <v>4</v>
      </c>
      <c r="G823">
        <v>1</v>
      </c>
      <c r="H823">
        <v>0</v>
      </c>
      <c r="I823">
        <v>1</v>
      </c>
      <c r="J823">
        <v>-1</v>
      </c>
      <c r="K823">
        <v>0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3</v>
      </c>
      <c r="T823">
        <v>33.299999999999997</v>
      </c>
      <c r="U823">
        <v>6</v>
      </c>
      <c r="V823" s="19" t="s">
        <v>1727</v>
      </c>
      <c r="W823" s="19" t="s">
        <v>2070</v>
      </c>
      <c r="X823">
        <v>0</v>
      </c>
      <c r="Y823">
        <v>1</v>
      </c>
      <c r="Z823">
        <v>0</v>
      </c>
      <c r="AA823">
        <v>1</v>
      </c>
      <c r="AB823">
        <v>0</v>
      </c>
      <c r="AC823">
        <v>0</v>
      </c>
      <c r="AD823">
        <v>3</v>
      </c>
      <c r="AE823" s="19" t="s">
        <v>60</v>
      </c>
    </row>
    <row r="824" spans="1:31" x14ac:dyDescent="0.2">
      <c r="A824">
        <v>760</v>
      </c>
      <c r="B824" s="19" t="s">
        <v>1609</v>
      </c>
      <c r="C824">
        <v>28</v>
      </c>
      <c r="D824" s="19" t="s">
        <v>327</v>
      </c>
      <c r="E824" s="19" t="s">
        <v>3</v>
      </c>
      <c r="F824">
        <v>14</v>
      </c>
      <c r="G824">
        <v>0</v>
      </c>
      <c r="H824">
        <v>1</v>
      </c>
      <c r="I824">
        <v>1</v>
      </c>
      <c r="J824">
        <v>0</v>
      </c>
      <c r="K824">
        <v>2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U824">
        <v>0</v>
      </c>
      <c r="V824" s="19" t="s">
        <v>2950</v>
      </c>
      <c r="W824" s="19" t="s">
        <v>2951</v>
      </c>
      <c r="X824">
        <v>0</v>
      </c>
      <c r="Y824">
        <v>0</v>
      </c>
      <c r="AA824">
        <v>0</v>
      </c>
      <c r="AB824">
        <v>0</v>
      </c>
      <c r="AC824">
        <v>0</v>
      </c>
      <c r="AD824">
        <v>3</v>
      </c>
      <c r="AE824" s="19" t="s">
        <v>60</v>
      </c>
    </row>
    <row r="825" spans="1:31" x14ac:dyDescent="0.2">
      <c r="A825">
        <v>761</v>
      </c>
      <c r="B825" s="19" t="s">
        <v>1175</v>
      </c>
      <c r="C825">
        <v>23</v>
      </c>
      <c r="D825" s="19" t="s">
        <v>321</v>
      </c>
      <c r="E825" s="19" t="s">
        <v>325</v>
      </c>
      <c r="F825">
        <v>7</v>
      </c>
      <c r="G825">
        <v>0</v>
      </c>
      <c r="H825">
        <v>1</v>
      </c>
      <c r="I825">
        <v>1</v>
      </c>
      <c r="J825">
        <v>2</v>
      </c>
      <c r="K825">
        <v>2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4</v>
      </c>
      <c r="T825">
        <v>0</v>
      </c>
      <c r="U825">
        <v>6</v>
      </c>
      <c r="V825" s="19" t="s">
        <v>1973</v>
      </c>
      <c r="W825" s="19" t="s">
        <v>1974</v>
      </c>
      <c r="X825">
        <v>6</v>
      </c>
      <c r="Y825">
        <v>9</v>
      </c>
      <c r="Z825">
        <v>40</v>
      </c>
      <c r="AA825">
        <v>1</v>
      </c>
      <c r="AB825">
        <v>2</v>
      </c>
      <c r="AC825">
        <v>0</v>
      </c>
      <c r="AD825">
        <v>3</v>
      </c>
      <c r="AE825" s="19" t="s">
        <v>60</v>
      </c>
    </row>
    <row r="826" spans="1:31" x14ac:dyDescent="0.2">
      <c r="A826">
        <v>762</v>
      </c>
      <c r="B826" s="19" t="s">
        <v>1176</v>
      </c>
      <c r="C826">
        <v>28</v>
      </c>
      <c r="D826" s="19" t="s">
        <v>373</v>
      </c>
      <c r="E826" s="19" t="s">
        <v>347</v>
      </c>
      <c r="F826">
        <v>7</v>
      </c>
      <c r="G826">
        <v>0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5</v>
      </c>
      <c r="T826">
        <v>0</v>
      </c>
      <c r="U826">
        <v>17</v>
      </c>
      <c r="V826" s="19" t="s">
        <v>1177</v>
      </c>
      <c r="W826" s="19" t="s">
        <v>1178</v>
      </c>
      <c r="X826">
        <v>0</v>
      </c>
      <c r="Y826">
        <v>0</v>
      </c>
      <c r="AA826">
        <v>15</v>
      </c>
      <c r="AB826">
        <v>10</v>
      </c>
      <c r="AC826">
        <v>1</v>
      </c>
      <c r="AD826">
        <v>4</v>
      </c>
      <c r="AE826" s="19" t="s">
        <v>60</v>
      </c>
    </row>
    <row r="827" spans="1:31" x14ac:dyDescent="0.2">
      <c r="A827">
        <v>763</v>
      </c>
      <c r="B827" s="19" t="s">
        <v>1180</v>
      </c>
      <c r="C827">
        <v>24</v>
      </c>
      <c r="D827" s="19" t="s">
        <v>412</v>
      </c>
      <c r="E827" s="19" t="s">
        <v>334</v>
      </c>
      <c r="F827">
        <v>2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4</v>
      </c>
      <c r="T827">
        <v>0</v>
      </c>
      <c r="U827">
        <v>8</v>
      </c>
      <c r="V827" s="19" t="s">
        <v>835</v>
      </c>
      <c r="W827" s="19" t="s">
        <v>799</v>
      </c>
      <c r="X827">
        <v>0</v>
      </c>
      <c r="Y827">
        <v>0</v>
      </c>
      <c r="AA827">
        <v>0</v>
      </c>
      <c r="AB827">
        <v>0</v>
      </c>
      <c r="AC827">
        <v>0</v>
      </c>
      <c r="AD827">
        <v>2</v>
      </c>
      <c r="AE827" s="19" t="s">
        <v>60</v>
      </c>
    </row>
    <row r="828" spans="1:31" x14ac:dyDescent="0.2">
      <c r="A828">
        <v>764</v>
      </c>
      <c r="B828" s="19" t="s">
        <v>1567</v>
      </c>
      <c r="C828">
        <v>31</v>
      </c>
      <c r="D828" s="19" t="s">
        <v>401</v>
      </c>
      <c r="E828" s="19" t="s">
        <v>322</v>
      </c>
      <c r="F828">
        <v>10</v>
      </c>
      <c r="G828">
        <v>1</v>
      </c>
      <c r="H828">
        <v>0</v>
      </c>
      <c r="I828">
        <v>1</v>
      </c>
      <c r="J828">
        <v>-3</v>
      </c>
      <c r="K828">
        <v>8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11</v>
      </c>
      <c r="T828">
        <v>9.1</v>
      </c>
      <c r="U828">
        <v>17</v>
      </c>
      <c r="V828" s="19" t="s">
        <v>2952</v>
      </c>
      <c r="W828" s="19" t="s">
        <v>1851</v>
      </c>
      <c r="X828">
        <v>22</v>
      </c>
      <c r="Y828">
        <v>25</v>
      </c>
      <c r="Z828">
        <v>46.8</v>
      </c>
      <c r="AA828">
        <v>9</v>
      </c>
      <c r="AB828">
        <v>4</v>
      </c>
      <c r="AC828">
        <v>1</v>
      </c>
      <c r="AD828">
        <v>4</v>
      </c>
      <c r="AE828" s="19" t="s">
        <v>60</v>
      </c>
    </row>
    <row r="829" spans="1:31" x14ac:dyDescent="0.2">
      <c r="A829">
        <v>765</v>
      </c>
      <c r="B829" s="19" t="s">
        <v>1360</v>
      </c>
      <c r="C829">
        <v>26</v>
      </c>
      <c r="D829" s="19" t="s">
        <v>423</v>
      </c>
      <c r="E829" s="19" t="s">
        <v>347</v>
      </c>
      <c r="F829">
        <v>25</v>
      </c>
      <c r="G829">
        <v>0</v>
      </c>
      <c r="H829">
        <v>1</v>
      </c>
      <c r="I829">
        <v>1</v>
      </c>
      <c r="J829">
        <v>-3</v>
      </c>
      <c r="K829">
        <v>37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33</v>
      </c>
      <c r="T829">
        <v>0</v>
      </c>
      <c r="U829">
        <v>79</v>
      </c>
      <c r="V829" s="19" t="s">
        <v>2953</v>
      </c>
      <c r="W829" s="19" t="s">
        <v>1663</v>
      </c>
      <c r="X829">
        <v>0</v>
      </c>
      <c r="Y829">
        <v>0</v>
      </c>
      <c r="AA829">
        <v>33</v>
      </c>
      <c r="AB829">
        <v>20</v>
      </c>
      <c r="AC829">
        <v>6</v>
      </c>
      <c r="AD829">
        <v>31</v>
      </c>
      <c r="AE829" s="19" t="s">
        <v>60</v>
      </c>
    </row>
    <row r="830" spans="1:31" x14ac:dyDescent="0.2">
      <c r="A830">
        <v>766</v>
      </c>
      <c r="B830" s="19" t="s">
        <v>1531</v>
      </c>
      <c r="C830">
        <v>27</v>
      </c>
      <c r="D830" s="19" t="s">
        <v>355</v>
      </c>
      <c r="E830" s="19" t="s">
        <v>347</v>
      </c>
      <c r="F830">
        <v>4</v>
      </c>
      <c r="G830">
        <v>0</v>
      </c>
      <c r="H830">
        <v>1</v>
      </c>
      <c r="I830">
        <v>1</v>
      </c>
      <c r="J830">
        <v>-1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4</v>
      </c>
      <c r="T830">
        <v>0</v>
      </c>
      <c r="U830">
        <v>5</v>
      </c>
      <c r="V830" s="19" t="s">
        <v>1747</v>
      </c>
      <c r="W830" s="19" t="s">
        <v>1665</v>
      </c>
      <c r="X830">
        <v>0</v>
      </c>
      <c r="Y830">
        <v>0</v>
      </c>
      <c r="AA830">
        <v>5</v>
      </c>
      <c r="AB830">
        <v>0</v>
      </c>
      <c r="AC830">
        <v>0</v>
      </c>
      <c r="AD830">
        <v>5</v>
      </c>
      <c r="AE830" s="19" t="s">
        <v>60</v>
      </c>
    </row>
    <row r="831" spans="1:31" x14ac:dyDescent="0.2">
      <c r="A831">
        <v>767</v>
      </c>
      <c r="B831" s="19" t="s">
        <v>1182</v>
      </c>
      <c r="C831">
        <v>24</v>
      </c>
      <c r="D831" s="19" t="s">
        <v>329</v>
      </c>
      <c r="E831" s="19" t="s">
        <v>3</v>
      </c>
      <c r="F831">
        <v>39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0</v>
      </c>
      <c r="U831">
        <v>1</v>
      </c>
      <c r="V831" s="19" t="s">
        <v>2356</v>
      </c>
      <c r="W831" s="19" t="s">
        <v>1945</v>
      </c>
      <c r="X831">
        <v>0</v>
      </c>
      <c r="Y831">
        <v>0</v>
      </c>
      <c r="AA831">
        <v>0</v>
      </c>
      <c r="AB831">
        <v>0</v>
      </c>
      <c r="AC831">
        <v>0</v>
      </c>
      <c r="AD831">
        <v>28</v>
      </c>
      <c r="AE831" s="19" t="s">
        <v>60</v>
      </c>
    </row>
    <row r="832" spans="1:31" x14ac:dyDescent="0.2">
      <c r="A832">
        <v>768</v>
      </c>
      <c r="B832" s="19" t="s">
        <v>1183</v>
      </c>
      <c r="C832">
        <v>27</v>
      </c>
      <c r="D832" s="19" t="s">
        <v>373</v>
      </c>
      <c r="E832" s="19" t="s">
        <v>338</v>
      </c>
      <c r="F832">
        <v>10</v>
      </c>
      <c r="G832">
        <v>0</v>
      </c>
      <c r="H832">
        <v>1</v>
      </c>
      <c r="I832">
        <v>1</v>
      </c>
      <c r="J832">
        <v>-1</v>
      </c>
      <c r="K832">
        <v>2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6</v>
      </c>
      <c r="T832">
        <v>0</v>
      </c>
      <c r="U832">
        <v>16</v>
      </c>
      <c r="V832" s="19" t="s">
        <v>1184</v>
      </c>
      <c r="W832" s="19" t="s">
        <v>1185</v>
      </c>
      <c r="X832">
        <v>12</v>
      </c>
      <c r="Y832">
        <v>13</v>
      </c>
      <c r="Z832">
        <v>48</v>
      </c>
      <c r="AA832">
        <v>4</v>
      </c>
      <c r="AB832">
        <v>9</v>
      </c>
      <c r="AC832">
        <v>2</v>
      </c>
      <c r="AD832">
        <v>4</v>
      </c>
      <c r="AE832" s="19" t="s">
        <v>60</v>
      </c>
    </row>
    <row r="833" spans="1:31" x14ac:dyDescent="0.2">
      <c r="A833">
        <v>769</v>
      </c>
      <c r="B833" s="19" t="s">
        <v>1782</v>
      </c>
      <c r="C833">
        <v>21</v>
      </c>
      <c r="D833" s="19" t="s">
        <v>329</v>
      </c>
      <c r="E833" s="19" t="s">
        <v>347</v>
      </c>
      <c r="F833">
        <v>2</v>
      </c>
      <c r="G833">
        <v>0</v>
      </c>
      <c r="H833">
        <v>1</v>
      </c>
      <c r="I833">
        <v>1</v>
      </c>
      <c r="J833">
        <v>-2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2</v>
      </c>
      <c r="T833">
        <v>0</v>
      </c>
      <c r="U833">
        <v>3</v>
      </c>
      <c r="V833" s="19" t="s">
        <v>1789</v>
      </c>
      <c r="W833" s="19" t="s">
        <v>1687</v>
      </c>
      <c r="X833">
        <v>0</v>
      </c>
      <c r="Y833">
        <v>0</v>
      </c>
      <c r="AA833">
        <v>2</v>
      </c>
      <c r="AB833">
        <v>0</v>
      </c>
      <c r="AC833">
        <v>1</v>
      </c>
      <c r="AD833">
        <v>2</v>
      </c>
      <c r="AE833" s="19" t="s">
        <v>60</v>
      </c>
    </row>
    <row r="834" spans="1:31" x14ac:dyDescent="0.2">
      <c r="A834">
        <v>770</v>
      </c>
      <c r="B834" s="19" t="s">
        <v>1187</v>
      </c>
      <c r="C834">
        <v>27</v>
      </c>
      <c r="D834" s="19" t="s">
        <v>361</v>
      </c>
      <c r="E834" s="19" t="s">
        <v>334</v>
      </c>
      <c r="F834">
        <v>5</v>
      </c>
      <c r="G834">
        <v>0</v>
      </c>
      <c r="H834">
        <v>1</v>
      </c>
      <c r="I834">
        <v>1</v>
      </c>
      <c r="J834">
        <v>-3</v>
      </c>
      <c r="K834">
        <v>2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6</v>
      </c>
      <c r="T834">
        <v>0</v>
      </c>
      <c r="U834">
        <v>20</v>
      </c>
      <c r="V834" s="19" t="s">
        <v>1188</v>
      </c>
      <c r="W834" s="19" t="s">
        <v>856</v>
      </c>
      <c r="X834">
        <v>2</v>
      </c>
      <c r="Y834">
        <v>1</v>
      </c>
      <c r="Z834">
        <v>66.7</v>
      </c>
      <c r="AA834">
        <v>0</v>
      </c>
      <c r="AB834">
        <v>2</v>
      </c>
      <c r="AC834">
        <v>0</v>
      </c>
      <c r="AD834">
        <v>2</v>
      </c>
      <c r="AE834" s="19" t="s">
        <v>60</v>
      </c>
    </row>
    <row r="835" spans="1:31" x14ac:dyDescent="0.2">
      <c r="A835">
        <v>771</v>
      </c>
      <c r="B835" s="19" t="s">
        <v>1189</v>
      </c>
      <c r="C835">
        <v>22</v>
      </c>
      <c r="D835" s="19" t="s">
        <v>344</v>
      </c>
      <c r="E835" s="19" t="s">
        <v>322</v>
      </c>
      <c r="F835">
        <v>4</v>
      </c>
      <c r="G835">
        <v>1</v>
      </c>
      <c r="H835">
        <v>0</v>
      </c>
      <c r="I835">
        <v>1</v>
      </c>
      <c r="J835">
        <v>-1</v>
      </c>
      <c r="K835">
        <v>2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</v>
      </c>
      <c r="T835">
        <v>33.299999999999997</v>
      </c>
      <c r="U835">
        <v>6</v>
      </c>
      <c r="V835" s="19" t="s">
        <v>1190</v>
      </c>
      <c r="W835" s="19" t="s">
        <v>1085</v>
      </c>
      <c r="X835">
        <v>0</v>
      </c>
      <c r="Y835">
        <v>1</v>
      </c>
      <c r="Z835">
        <v>0</v>
      </c>
      <c r="AA835">
        <v>1</v>
      </c>
      <c r="AB835">
        <v>3</v>
      </c>
      <c r="AC835">
        <v>0</v>
      </c>
      <c r="AD835">
        <v>3</v>
      </c>
      <c r="AE835" s="19" t="s">
        <v>60</v>
      </c>
    </row>
    <row r="836" spans="1:31" x14ac:dyDescent="0.2">
      <c r="A836">
        <v>772</v>
      </c>
      <c r="B836" s="19" t="s">
        <v>1191</v>
      </c>
      <c r="C836">
        <v>22</v>
      </c>
      <c r="D836" s="19" t="s">
        <v>401</v>
      </c>
      <c r="E836" s="19" t="s">
        <v>347</v>
      </c>
      <c r="F836">
        <v>5</v>
      </c>
      <c r="G836">
        <v>0</v>
      </c>
      <c r="H836">
        <v>1</v>
      </c>
      <c r="I836">
        <v>1</v>
      </c>
      <c r="J836">
        <v>4</v>
      </c>
      <c r="K836">
        <v>2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4</v>
      </c>
      <c r="T836">
        <v>0</v>
      </c>
      <c r="U836">
        <v>10</v>
      </c>
      <c r="V836" s="19" t="s">
        <v>1491</v>
      </c>
      <c r="W836" s="19" t="s">
        <v>1466</v>
      </c>
      <c r="X836">
        <v>0</v>
      </c>
      <c r="Y836">
        <v>0</v>
      </c>
      <c r="AA836">
        <v>9</v>
      </c>
      <c r="AB836">
        <v>11</v>
      </c>
      <c r="AC836">
        <v>2</v>
      </c>
      <c r="AD836">
        <v>4</v>
      </c>
      <c r="AE836" s="19" t="s">
        <v>60</v>
      </c>
    </row>
    <row r="837" spans="1:31" x14ac:dyDescent="0.2">
      <c r="A837">
        <v>773</v>
      </c>
      <c r="B837" s="19" t="s">
        <v>1192</v>
      </c>
      <c r="C837">
        <v>30</v>
      </c>
      <c r="D837" s="19" t="s">
        <v>440</v>
      </c>
      <c r="E837" s="19" t="s">
        <v>3</v>
      </c>
      <c r="F837">
        <v>32</v>
      </c>
      <c r="G837">
        <v>0</v>
      </c>
      <c r="H837">
        <v>1</v>
      </c>
      <c r="I837">
        <v>1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U837">
        <v>0</v>
      </c>
      <c r="V837" s="19" t="s">
        <v>2357</v>
      </c>
      <c r="W837" s="19" t="s">
        <v>2027</v>
      </c>
      <c r="X837">
        <v>0</v>
      </c>
      <c r="Y837">
        <v>0</v>
      </c>
      <c r="AA837">
        <v>0</v>
      </c>
      <c r="AB837">
        <v>0</v>
      </c>
      <c r="AC837">
        <v>0</v>
      </c>
      <c r="AD837">
        <v>8</v>
      </c>
      <c r="AE837" s="19" t="s">
        <v>60</v>
      </c>
    </row>
    <row r="838" spans="1:31" x14ac:dyDescent="0.2">
      <c r="A838">
        <v>774</v>
      </c>
      <c r="B838" s="19" t="s">
        <v>1193</v>
      </c>
      <c r="C838">
        <v>32</v>
      </c>
      <c r="D838" s="19" t="s">
        <v>364</v>
      </c>
      <c r="E838" s="19" t="s">
        <v>3</v>
      </c>
      <c r="F838">
        <v>18</v>
      </c>
      <c r="G838">
        <v>0</v>
      </c>
      <c r="H838">
        <v>1</v>
      </c>
      <c r="I838">
        <v>1</v>
      </c>
      <c r="J838">
        <v>0</v>
      </c>
      <c r="K838">
        <v>8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1</v>
      </c>
      <c r="V838" s="19" t="s">
        <v>2091</v>
      </c>
      <c r="W838" s="19" t="s">
        <v>2092</v>
      </c>
      <c r="X838">
        <v>0</v>
      </c>
      <c r="Y838">
        <v>0</v>
      </c>
      <c r="AA838">
        <v>0</v>
      </c>
      <c r="AB838">
        <v>0</v>
      </c>
      <c r="AC838">
        <v>0</v>
      </c>
      <c r="AD838">
        <v>13</v>
      </c>
      <c r="AE838" s="19" t="s">
        <v>60</v>
      </c>
    </row>
    <row r="839" spans="1:31" x14ac:dyDescent="0.2">
      <c r="A839">
        <v>775</v>
      </c>
      <c r="B839" s="19" t="s">
        <v>1378</v>
      </c>
      <c r="C839">
        <v>28</v>
      </c>
      <c r="D839" s="19" t="s">
        <v>502</v>
      </c>
      <c r="E839" s="19" t="s">
        <v>334</v>
      </c>
      <c r="F839">
        <v>5</v>
      </c>
      <c r="G839">
        <v>1</v>
      </c>
      <c r="H839">
        <v>0</v>
      </c>
      <c r="I839">
        <v>1</v>
      </c>
      <c r="J839">
        <v>-2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5</v>
      </c>
      <c r="T839">
        <v>20</v>
      </c>
      <c r="U839">
        <v>7</v>
      </c>
      <c r="V839" s="19" t="s">
        <v>1561</v>
      </c>
      <c r="W839" s="19" t="s">
        <v>1467</v>
      </c>
      <c r="X839">
        <v>0</v>
      </c>
      <c r="Y839">
        <v>0</v>
      </c>
      <c r="AA839">
        <v>4</v>
      </c>
      <c r="AB839">
        <v>8</v>
      </c>
      <c r="AC839">
        <v>2</v>
      </c>
      <c r="AD839">
        <v>0</v>
      </c>
      <c r="AE839" s="19" t="s">
        <v>60</v>
      </c>
    </row>
    <row r="840" spans="1:31" x14ac:dyDescent="0.2">
      <c r="A840">
        <v>776</v>
      </c>
      <c r="B840" s="19" t="s">
        <v>1380</v>
      </c>
      <c r="C840">
        <v>33</v>
      </c>
      <c r="D840" s="19" t="s">
        <v>423</v>
      </c>
      <c r="E840" s="19" t="s">
        <v>3</v>
      </c>
      <c r="F840">
        <v>27</v>
      </c>
      <c r="G840">
        <v>0</v>
      </c>
      <c r="H840">
        <v>1</v>
      </c>
      <c r="I840">
        <v>1</v>
      </c>
      <c r="J840">
        <v>0</v>
      </c>
      <c r="K840">
        <v>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U840">
        <v>0</v>
      </c>
      <c r="V840" s="19" t="s">
        <v>2954</v>
      </c>
      <c r="W840" s="19" t="s">
        <v>2955</v>
      </c>
      <c r="X840">
        <v>0</v>
      </c>
      <c r="Y840">
        <v>0</v>
      </c>
      <c r="AA840">
        <v>0</v>
      </c>
      <c r="AB840">
        <v>0</v>
      </c>
      <c r="AC840">
        <v>0</v>
      </c>
      <c r="AD840">
        <v>9</v>
      </c>
      <c r="AE840" s="19" t="s">
        <v>60</v>
      </c>
    </row>
    <row r="841" spans="1:31" x14ac:dyDescent="0.2">
      <c r="A841">
        <v>777</v>
      </c>
      <c r="B841" s="19" t="s">
        <v>1196</v>
      </c>
      <c r="C841">
        <v>31</v>
      </c>
      <c r="D841" s="19" t="s">
        <v>401</v>
      </c>
      <c r="E841" s="19" t="s">
        <v>347</v>
      </c>
      <c r="F841">
        <v>19</v>
      </c>
      <c r="G841">
        <v>0</v>
      </c>
      <c r="H841">
        <v>1</v>
      </c>
      <c r="I841">
        <v>1</v>
      </c>
      <c r="J841">
        <v>-4</v>
      </c>
      <c r="K841">
        <v>2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9</v>
      </c>
      <c r="T841">
        <v>0</v>
      </c>
      <c r="U841">
        <v>22</v>
      </c>
      <c r="V841" s="19" t="s">
        <v>1547</v>
      </c>
      <c r="W841" s="19" t="s">
        <v>1523</v>
      </c>
      <c r="X841">
        <v>0</v>
      </c>
      <c r="Y841">
        <v>0</v>
      </c>
      <c r="AA841">
        <v>16</v>
      </c>
      <c r="AB841">
        <v>1</v>
      </c>
      <c r="AC841">
        <v>2</v>
      </c>
      <c r="AD841">
        <v>14</v>
      </c>
      <c r="AE841" s="19" t="s">
        <v>60</v>
      </c>
    </row>
    <row r="842" spans="1:31" x14ac:dyDescent="0.2">
      <c r="A842">
        <v>778</v>
      </c>
      <c r="B842" s="19" t="s">
        <v>1381</v>
      </c>
      <c r="C842">
        <v>31</v>
      </c>
      <c r="D842" s="19" t="s">
        <v>412</v>
      </c>
      <c r="E842" s="19" t="s">
        <v>338</v>
      </c>
      <c r="F842">
        <v>16</v>
      </c>
      <c r="G842">
        <v>0</v>
      </c>
      <c r="H842">
        <v>1</v>
      </c>
      <c r="I842">
        <v>1</v>
      </c>
      <c r="J842">
        <v>-3</v>
      </c>
      <c r="K842">
        <v>33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</v>
      </c>
      <c r="T842">
        <v>0</v>
      </c>
      <c r="U842">
        <v>3</v>
      </c>
      <c r="V842" s="19" t="s">
        <v>1694</v>
      </c>
      <c r="W842" s="19" t="s">
        <v>1695</v>
      </c>
      <c r="X842">
        <v>0</v>
      </c>
      <c r="Y842">
        <v>0</v>
      </c>
      <c r="AA842">
        <v>5</v>
      </c>
      <c r="AB842">
        <v>13</v>
      </c>
      <c r="AC842">
        <v>0</v>
      </c>
      <c r="AD842">
        <v>2</v>
      </c>
      <c r="AE842" s="19" t="s">
        <v>60</v>
      </c>
    </row>
    <row r="843" spans="1:31" x14ac:dyDescent="0.2">
      <c r="A843">
        <v>779</v>
      </c>
      <c r="B843" s="19" t="s">
        <v>1198</v>
      </c>
      <c r="C843">
        <v>18</v>
      </c>
      <c r="D843" s="19" t="s">
        <v>452</v>
      </c>
      <c r="E843" s="19" t="s">
        <v>322</v>
      </c>
      <c r="F843">
        <v>3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2</v>
      </c>
      <c r="T843">
        <v>0</v>
      </c>
      <c r="U843">
        <v>3</v>
      </c>
      <c r="V843" s="19" t="s">
        <v>1199</v>
      </c>
      <c r="W843" s="19" t="s">
        <v>1200</v>
      </c>
      <c r="X843">
        <v>5</v>
      </c>
      <c r="Y843">
        <v>11</v>
      </c>
      <c r="Z843">
        <v>31.3</v>
      </c>
      <c r="AA843">
        <v>2</v>
      </c>
      <c r="AB843">
        <v>0</v>
      </c>
      <c r="AC843">
        <v>0</v>
      </c>
      <c r="AD843">
        <v>4</v>
      </c>
      <c r="AE843" s="19" t="s">
        <v>60</v>
      </c>
    </row>
    <row r="844" spans="1:31" x14ac:dyDescent="0.2">
      <c r="A844">
        <v>780</v>
      </c>
      <c r="B844" s="19" t="s">
        <v>1388</v>
      </c>
      <c r="C844">
        <v>29</v>
      </c>
      <c r="D844" s="19" t="s">
        <v>377</v>
      </c>
      <c r="E844" s="19" t="s">
        <v>347</v>
      </c>
      <c r="F844">
        <v>3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5</v>
      </c>
      <c r="T844">
        <v>0</v>
      </c>
      <c r="U844">
        <v>7</v>
      </c>
      <c r="V844" s="19" t="s">
        <v>1856</v>
      </c>
      <c r="W844" s="19" t="s">
        <v>1857</v>
      </c>
      <c r="X844">
        <v>0</v>
      </c>
      <c r="Y844">
        <v>0</v>
      </c>
      <c r="AA844">
        <v>1</v>
      </c>
      <c r="AB844">
        <v>0</v>
      </c>
      <c r="AC844">
        <v>0</v>
      </c>
      <c r="AD844">
        <v>0</v>
      </c>
      <c r="AE844" s="19" t="s">
        <v>60</v>
      </c>
    </row>
    <row r="845" spans="1:31" x14ac:dyDescent="0.2">
      <c r="A845">
        <v>781</v>
      </c>
      <c r="B845" s="19" t="s">
        <v>1202</v>
      </c>
      <c r="C845">
        <v>32</v>
      </c>
      <c r="D845" s="19" t="s">
        <v>357</v>
      </c>
      <c r="E845" s="19" t="s">
        <v>347</v>
      </c>
      <c r="F845">
        <v>11</v>
      </c>
      <c r="G845">
        <v>1</v>
      </c>
      <c r="H845">
        <v>0</v>
      </c>
      <c r="I845">
        <v>1</v>
      </c>
      <c r="J845">
        <v>-3</v>
      </c>
      <c r="K845">
        <v>11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5</v>
      </c>
      <c r="T845">
        <v>20</v>
      </c>
      <c r="U845">
        <v>15</v>
      </c>
      <c r="V845" s="19" t="s">
        <v>1471</v>
      </c>
      <c r="W845" s="19" t="s">
        <v>1472</v>
      </c>
      <c r="X845">
        <v>0</v>
      </c>
      <c r="Y845">
        <v>0</v>
      </c>
      <c r="AA845">
        <v>9</v>
      </c>
      <c r="AB845">
        <v>8</v>
      </c>
      <c r="AC845">
        <v>2</v>
      </c>
      <c r="AD845">
        <v>8</v>
      </c>
      <c r="AE845" s="19" t="s">
        <v>60</v>
      </c>
    </row>
    <row r="846" spans="1:31" x14ac:dyDescent="0.2">
      <c r="A846">
        <v>782</v>
      </c>
      <c r="B846" s="19" t="s">
        <v>1203</v>
      </c>
      <c r="C846">
        <v>31</v>
      </c>
      <c r="D846" s="19" t="s">
        <v>377</v>
      </c>
      <c r="E846" s="19" t="s">
        <v>3</v>
      </c>
      <c r="F846">
        <v>21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U846">
        <v>0</v>
      </c>
      <c r="V846" s="19" t="s">
        <v>2164</v>
      </c>
      <c r="W846" s="19" t="s">
        <v>2165</v>
      </c>
      <c r="X846">
        <v>0</v>
      </c>
      <c r="Y846">
        <v>0</v>
      </c>
      <c r="AA846">
        <v>0</v>
      </c>
      <c r="AB846">
        <v>0</v>
      </c>
      <c r="AC846">
        <v>0</v>
      </c>
      <c r="AD846">
        <v>10</v>
      </c>
      <c r="AE846" s="19" t="s">
        <v>60</v>
      </c>
    </row>
    <row r="847" spans="1:31" x14ac:dyDescent="0.2">
      <c r="A847">
        <v>783</v>
      </c>
      <c r="B847" s="19" t="s">
        <v>2076</v>
      </c>
      <c r="C847">
        <v>27</v>
      </c>
      <c r="D847" s="19" t="s">
        <v>321</v>
      </c>
      <c r="E847" s="19" t="s">
        <v>347</v>
      </c>
      <c r="F847">
        <v>3</v>
      </c>
      <c r="G847">
        <v>0</v>
      </c>
      <c r="H847">
        <v>1</v>
      </c>
      <c r="I847">
        <v>1</v>
      </c>
      <c r="J847">
        <v>-1</v>
      </c>
      <c r="K847">
        <v>4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U847">
        <v>4</v>
      </c>
      <c r="V847" s="19" t="s">
        <v>2109</v>
      </c>
      <c r="W847" s="19" t="s">
        <v>973</v>
      </c>
      <c r="X847">
        <v>0</v>
      </c>
      <c r="Y847">
        <v>0</v>
      </c>
      <c r="AA847">
        <v>1</v>
      </c>
      <c r="AB847">
        <v>6</v>
      </c>
      <c r="AC847">
        <v>0</v>
      </c>
      <c r="AD847">
        <v>1</v>
      </c>
      <c r="AE847" s="19" t="s">
        <v>60</v>
      </c>
    </row>
    <row r="848" spans="1:31" x14ac:dyDescent="0.2">
      <c r="A848">
        <v>784</v>
      </c>
      <c r="B848" s="19" t="s">
        <v>1398</v>
      </c>
      <c r="C848">
        <v>33</v>
      </c>
      <c r="D848" s="19" t="s">
        <v>344</v>
      </c>
      <c r="E848" s="19" t="s">
        <v>347</v>
      </c>
      <c r="F848">
        <v>15</v>
      </c>
      <c r="G848">
        <v>0</v>
      </c>
      <c r="H848">
        <v>1</v>
      </c>
      <c r="I848">
        <v>1</v>
      </c>
      <c r="J848">
        <v>-8</v>
      </c>
      <c r="K848">
        <v>6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16</v>
      </c>
      <c r="T848">
        <v>0</v>
      </c>
      <c r="U848">
        <v>48</v>
      </c>
      <c r="V848" s="19" t="s">
        <v>1801</v>
      </c>
      <c r="W848" s="19" t="s">
        <v>645</v>
      </c>
      <c r="X848">
        <v>0</v>
      </c>
      <c r="Y848">
        <v>0</v>
      </c>
      <c r="AA848">
        <v>10</v>
      </c>
      <c r="AB848">
        <v>25</v>
      </c>
      <c r="AC848">
        <v>2</v>
      </c>
      <c r="AD848">
        <v>11</v>
      </c>
      <c r="AE848" s="19" t="s">
        <v>60</v>
      </c>
    </row>
    <row r="849" spans="1:31" x14ac:dyDescent="0.2">
      <c r="A849">
        <v>785</v>
      </c>
      <c r="B849" s="19" t="s">
        <v>1401</v>
      </c>
      <c r="C849">
        <v>26</v>
      </c>
      <c r="D849" s="19" t="s">
        <v>380</v>
      </c>
      <c r="E849" s="19" t="s">
        <v>347</v>
      </c>
      <c r="F849">
        <v>9</v>
      </c>
      <c r="G849">
        <v>1</v>
      </c>
      <c r="H849">
        <v>0</v>
      </c>
      <c r="I849">
        <v>1</v>
      </c>
      <c r="J849">
        <v>0</v>
      </c>
      <c r="K849">
        <v>6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4</v>
      </c>
      <c r="T849">
        <v>25</v>
      </c>
      <c r="U849">
        <v>13</v>
      </c>
      <c r="V849" s="19" t="s">
        <v>1548</v>
      </c>
      <c r="W849" s="19" t="s">
        <v>911</v>
      </c>
      <c r="X849">
        <v>0</v>
      </c>
      <c r="Y849">
        <v>0</v>
      </c>
      <c r="AA849">
        <v>6</v>
      </c>
      <c r="AB849">
        <v>13</v>
      </c>
      <c r="AC849">
        <v>0</v>
      </c>
      <c r="AD849">
        <v>6</v>
      </c>
      <c r="AE849" s="19" t="s">
        <v>60</v>
      </c>
    </row>
    <row r="850" spans="1:31" x14ac:dyDescent="0.2">
      <c r="A850">
        <v>786</v>
      </c>
      <c r="B850" s="19" t="s">
        <v>1204</v>
      </c>
      <c r="C850">
        <v>20</v>
      </c>
      <c r="D850" s="19" t="s">
        <v>520</v>
      </c>
      <c r="E850" s="19" t="s">
        <v>322</v>
      </c>
      <c r="F850">
        <v>3</v>
      </c>
      <c r="G850">
        <v>0</v>
      </c>
      <c r="H850">
        <v>1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3</v>
      </c>
      <c r="V850" s="19" t="s">
        <v>1577</v>
      </c>
      <c r="W850" s="19" t="s">
        <v>2358</v>
      </c>
      <c r="X850">
        <v>7</v>
      </c>
      <c r="Y850">
        <v>5</v>
      </c>
      <c r="Z850">
        <v>58.3</v>
      </c>
      <c r="AA850">
        <v>1</v>
      </c>
      <c r="AB850">
        <v>1</v>
      </c>
      <c r="AC850">
        <v>1</v>
      </c>
      <c r="AD850">
        <v>2</v>
      </c>
      <c r="AE850" s="19" t="s">
        <v>60</v>
      </c>
    </row>
    <row r="851" spans="1:31" x14ac:dyDescent="0.2">
      <c r="A851">
        <v>787</v>
      </c>
      <c r="B851" s="19" t="s">
        <v>1208</v>
      </c>
      <c r="C851">
        <v>30</v>
      </c>
      <c r="D851" s="19" t="s">
        <v>324</v>
      </c>
      <c r="E851" s="19" t="s">
        <v>3</v>
      </c>
      <c r="F851">
        <v>25</v>
      </c>
      <c r="G851">
        <v>0</v>
      </c>
      <c r="H851">
        <v>1</v>
      </c>
      <c r="I851">
        <v>1</v>
      </c>
      <c r="J851">
        <v>0</v>
      </c>
      <c r="K851">
        <v>9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U851">
        <v>0</v>
      </c>
      <c r="V851" s="19" t="s">
        <v>2134</v>
      </c>
      <c r="W851" s="19" t="s">
        <v>1876</v>
      </c>
      <c r="X851">
        <v>0</v>
      </c>
      <c r="Y851">
        <v>0</v>
      </c>
      <c r="AA851">
        <v>0</v>
      </c>
      <c r="AB851">
        <v>0</v>
      </c>
      <c r="AC851">
        <v>0</v>
      </c>
      <c r="AD851">
        <v>17</v>
      </c>
      <c r="AE851" s="19" t="s">
        <v>60</v>
      </c>
    </row>
    <row r="852" spans="1:31" x14ac:dyDescent="0.2">
      <c r="A852">
        <v>788</v>
      </c>
      <c r="B852" s="19" t="s">
        <v>1209</v>
      </c>
      <c r="C852">
        <v>25</v>
      </c>
      <c r="D852" s="19" t="s">
        <v>321</v>
      </c>
      <c r="E852" s="19" t="s">
        <v>325</v>
      </c>
      <c r="F852">
        <v>4</v>
      </c>
      <c r="G852">
        <v>0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3</v>
      </c>
      <c r="T852">
        <v>0</v>
      </c>
      <c r="U852">
        <v>6</v>
      </c>
      <c r="V852" s="19" t="s">
        <v>1210</v>
      </c>
      <c r="W852" s="19" t="s">
        <v>1211</v>
      </c>
      <c r="X852">
        <v>0</v>
      </c>
      <c r="Y852">
        <v>0</v>
      </c>
      <c r="AA852">
        <v>1</v>
      </c>
      <c r="AB852">
        <v>9</v>
      </c>
      <c r="AC852">
        <v>0</v>
      </c>
      <c r="AD852">
        <v>2</v>
      </c>
      <c r="AE852" s="19" t="s">
        <v>60</v>
      </c>
    </row>
    <row r="853" spans="1:31" x14ac:dyDescent="0.2">
      <c r="A853">
        <v>789</v>
      </c>
      <c r="B853" s="19" t="s">
        <v>1411</v>
      </c>
      <c r="C853">
        <v>27</v>
      </c>
      <c r="D853" s="19" t="s">
        <v>333</v>
      </c>
      <c r="E853" s="19" t="s">
        <v>3</v>
      </c>
      <c r="F853">
        <v>37</v>
      </c>
      <c r="G853">
        <v>0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U853">
        <v>0</v>
      </c>
      <c r="V853" s="19" t="s">
        <v>2359</v>
      </c>
      <c r="W853" s="19" t="s">
        <v>1858</v>
      </c>
      <c r="X853">
        <v>0</v>
      </c>
      <c r="Y853">
        <v>0</v>
      </c>
      <c r="AA853">
        <v>0</v>
      </c>
      <c r="AB853">
        <v>0</v>
      </c>
      <c r="AC853">
        <v>0</v>
      </c>
      <c r="AD853">
        <v>10</v>
      </c>
      <c r="AE853" s="19" t="s">
        <v>60</v>
      </c>
    </row>
    <row r="854" spans="1:31" x14ac:dyDescent="0.2">
      <c r="A854">
        <v>790</v>
      </c>
      <c r="B854" s="19" t="s">
        <v>1414</v>
      </c>
      <c r="C854">
        <v>23</v>
      </c>
      <c r="D854" s="19" t="s">
        <v>359</v>
      </c>
      <c r="E854" s="19" t="s">
        <v>338</v>
      </c>
      <c r="F854">
        <v>16</v>
      </c>
      <c r="G854">
        <v>1</v>
      </c>
      <c r="H854">
        <v>0</v>
      </c>
      <c r="I854">
        <v>1</v>
      </c>
      <c r="J854">
        <v>-5</v>
      </c>
      <c r="K854">
        <v>9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</v>
      </c>
      <c r="T854">
        <v>7.7</v>
      </c>
      <c r="U854">
        <v>23</v>
      </c>
      <c r="V854" s="19" t="s">
        <v>2110</v>
      </c>
      <c r="W854" s="19" t="s">
        <v>1941</v>
      </c>
      <c r="X854">
        <v>0</v>
      </c>
      <c r="Y854">
        <v>2</v>
      </c>
      <c r="Z854">
        <v>0</v>
      </c>
      <c r="AA854">
        <v>7</v>
      </c>
      <c r="AB854">
        <v>39</v>
      </c>
      <c r="AC854">
        <v>2</v>
      </c>
      <c r="AD854">
        <v>4</v>
      </c>
      <c r="AE854" s="19" t="s">
        <v>60</v>
      </c>
    </row>
    <row r="855" spans="1:31" x14ac:dyDescent="0.2">
      <c r="A855">
        <v>791</v>
      </c>
      <c r="B855" s="19" t="s">
        <v>1212</v>
      </c>
      <c r="C855">
        <v>19</v>
      </c>
      <c r="D855" s="19" t="s">
        <v>430</v>
      </c>
      <c r="E855" s="19" t="s">
        <v>347</v>
      </c>
      <c r="F855">
        <v>13</v>
      </c>
      <c r="G855">
        <v>0</v>
      </c>
      <c r="H855">
        <v>1</v>
      </c>
      <c r="I855">
        <v>1</v>
      </c>
      <c r="J855">
        <v>-1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12</v>
      </c>
      <c r="T855">
        <v>0</v>
      </c>
      <c r="U855">
        <v>41</v>
      </c>
      <c r="V855" s="19" t="s">
        <v>2360</v>
      </c>
      <c r="W855" s="19" t="s">
        <v>537</v>
      </c>
      <c r="X855">
        <v>0</v>
      </c>
      <c r="Y855">
        <v>0</v>
      </c>
      <c r="AA855">
        <v>6</v>
      </c>
      <c r="AB855">
        <v>5</v>
      </c>
      <c r="AC855">
        <v>3</v>
      </c>
      <c r="AD855">
        <v>18</v>
      </c>
      <c r="AE855" s="19" t="s">
        <v>60</v>
      </c>
    </row>
    <row r="856" spans="1:31" x14ac:dyDescent="0.2">
      <c r="A856">
        <v>792</v>
      </c>
      <c r="B856" s="19" t="s">
        <v>2095</v>
      </c>
      <c r="C856">
        <v>21</v>
      </c>
      <c r="D856" s="19" t="s">
        <v>353</v>
      </c>
      <c r="E856" s="19" t="s">
        <v>322</v>
      </c>
      <c r="F856">
        <v>3</v>
      </c>
      <c r="G856">
        <v>1</v>
      </c>
      <c r="H856">
        <v>0</v>
      </c>
      <c r="I856">
        <v>1</v>
      </c>
      <c r="J856">
        <v>1</v>
      </c>
      <c r="K856">
        <v>4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8</v>
      </c>
      <c r="T856">
        <v>12.5</v>
      </c>
      <c r="U856">
        <v>8</v>
      </c>
      <c r="V856" s="19" t="s">
        <v>2361</v>
      </c>
      <c r="W856" s="19" t="s">
        <v>1835</v>
      </c>
      <c r="X856">
        <v>7</v>
      </c>
      <c r="Y856">
        <v>11</v>
      </c>
      <c r="Z856">
        <v>38.9</v>
      </c>
      <c r="AA856">
        <v>2</v>
      </c>
      <c r="AB856">
        <v>0</v>
      </c>
      <c r="AC856">
        <v>0</v>
      </c>
      <c r="AD856">
        <v>1</v>
      </c>
      <c r="AE856" s="19" t="s">
        <v>60</v>
      </c>
    </row>
    <row r="857" spans="1:31" x14ac:dyDescent="0.2">
      <c r="A857">
        <v>793</v>
      </c>
      <c r="B857" s="19" t="s">
        <v>1775</v>
      </c>
      <c r="C857">
        <v>24</v>
      </c>
      <c r="D857" s="19" t="s">
        <v>377</v>
      </c>
      <c r="E857" s="19" t="s">
        <v>338</v>
      </c>
      <c r="F857">
        <v>5</v>
      </c>
      <c r="G857">
        <v>1</v>
      </c>
      <c r="H857">
        <v>0</v>
      </c>
      <c r="I857">
        <v>1</v>
      </c>
      <c r="J857">
        <v>-1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6</v>
      </c>
      <c r="T857">
        <v>16.7</v>
      </c>
      <c r="U857">
        <v>15</v>
      </c>
      <c r="V857" s="19" t="s">
        <v>1896</v>
      </c>
      <c r="W857" s="19" t="s">
        <v>957</v>
      </c>
      <c r="X857">
        <v>0</v>
      </c>
      <c r="Y857">
        <v>0</v>
      </c>
      <c r="AA857">
        <v>2</v>
      </c>
      <c r="AB857">
        <v>1</v>
      </c>
      <c r="AC857">
        <v>1</v>
      </c>
      <c r="AD857">
        <v>1</v>
      </c>
      <c r="AE857" s="19" t="s">
        <v>60</v>
      </c>
    </row>
    <row r="858" spans="1:31" x14ac:dyDescent="0.2">
      <c r="A858">
        <v>794</v>
      </c>
      <c r="B858" s="19" t="s">
        <v>1433</v>
      </c>
      <c r="C858">
        <v>40</v>
      </c>
      <c r="D858" s="19" t="s">
        <v>359</v>
      </c>
      <c r="E858" s="19" t="s">
        <v>3</v>
      </c>
      <c r="F858">
        <v>20</v>
      </c>
      <c r="G858">
        <v>0</v>
      </c>
      <c r="H858">
        <v>1</v>
      </c>
      <c r="I858">
        <v>1</v>
      </c>
      <c r="J858">
        <v>0</v>
      </c>
      <c r="K858">
        <v>14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U858">
        <v>0</v>
      </c>
      <c r="V858" s="19" t="s">
        <v>2956</v>
      </c>
      <c r="W858" s="19" t="s">
        <v>1876</v>
      </c>
      <c r="X858">
        <v>0</v>
      </c>
      <c r="Y858">
        <v>0</v>
      </c>
      <c r="AA858">
        <v>0</v>
      </c>
      <c r="AB858">
        <v>0</v>
      </c>
      <c r="AC858">
        <v>0</v>
      </c>
      <c r="AD858">
        <v>9</v>
      </c>
      <c r="AE858" s="19" t="s">
        <v>60</v>
      </c>
    </row>
    <row r="859" spans="1:31" x14ac:dyDescent="0.2">
      <c r="A859">
        <v>795</v>
      </c>
      <c r="B859" s="19" t="s">
        <v>1215</v>
      </c>
      <c r="C859">
        <v>23</v>
      </c>
      <c r="D859" s="19" t="s">
        <v>359</v>
      </c>
      <c r="E859" s="19" t="s">
        <v>322</v>
      </c>
      <c r="F859">
        <v>26</v>
      </c>
      <c r="G859">
        <v>1</v>
      </c>
      <c r="H859">
        <v>0</v>
      </c>
      <c r="I859">
        <v>1</v>
      </c>
      <c r="J859">
        <v>-4</v>
      </c>
      <c r="K859">
        <v>11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15</v>
      </c>
      <c r="T859">
        <v>6.7</v>
      </c>
      <c r="U859">
        <v>32</v>
      </c>
      <c r="V859" s="19" t="s">
        <v>1993</v>
      </c>
      <c r="W859" s="19" t="s">
        <v>1566</v>
      </c>
      <c r="X859">
        <v>3</v>
      </c>
      <c r="Y859">
        <v>5</v>
      </c>
      <c r="Z859">
        <v>37.5</v>
      </c>
      <c r="AA859">
        <v>6</v>
      </c>
      <c r="AB859">
        <v>86</v>
      </c>
      <c r="AC859">
        <v>2</v>
      </c>
      <c r="AD859">
        <v>5</v>
      </c>
      <c r="AE859" s="19" t="s">
        <v>60</v>
      </c>
    </row>
    <row r="860" spans="1:31" x14ac:dyDescent="0.2">
      <c r="A860">
        <v>796</v>
      </c>
      <c r="B860" s="19" t="s">
        <v>1216</v>
      </c>
      <c r="C860">
        <v>22</v>
      </c>
      <c r="D860" s="19" t="s">
        <v>393</v>
      </c>
      <c r="E860" s="19" t="s">
        <v>322</v>
      </c>
      <c r="F860">
        <v>2</v>
      </c>
      <c r="G860">
        <v>0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2</v>
      </c>
      <c r="T860">
        <v>0</v>
      </c>
      <c r="U860">
        <v>3</v>
      </c>
      <c r="V860" s="19" t="s">
        <v>1217</v>
      </c>
      <c r="W860" s="19" t="s">
        <v>1218</v>
      </c>
      <c r="X860">
        <v>12</v>
      </c>
      <c r="Y860">
        <v>12</v>
      </c>
      <c r="Z860">
        <v>50</v>
      </c>
      <c r="AA860">
        <v>1</v>
      </c>
      <c r="AB860">
        <v>3</v>
      </c>
      <c r="AC860">
        <v>0</v>
      </c>
      <c r="AD860">
        <v>1</v>
      </c>
      <c r="AE860" s="19" t="s">
        <v>60</v>
      </c>
    </row>
    <row r="861" spans="1:31" x14ac:dyDescent="0.2">
      <c r="A861">
        <v>797</v>
      </c>
      <c r="B861" s="19" t="s">
        <v>1219</v>
      </c>
      <c r="C861">
        <v>26</v>
      </c>
      <c r="D861" s="19" t="s">
        <v>380</v>
      </c>
      <c r="E861" s="19" t="s">
        <v>347</v>
      </c>
      <c r="F861">
        <v>15</v>
      </c>
      <c r="G861">
        <v>0</v>
      </c>
      <c r="H861">
        <v>1</v>
      </c>
      <c r="I861">
        <v>1</v>
      </c>
      <c r="J861">
        <v>-7</v>
      </c>
      <c r="K861">
        <v>6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17</v>
      </c>
      <c r="T861">
        <v>0</v>
      </c>
      <c r="U861">
        <v>38</v>
      </c>
      <c r="V861" s="19" t="s">
        <v>1943</v>
      </c>
      <c r="W861" s="19" t="s">
        <v>1220</v>
      </c>
      <c r="X861">
        <v>0</v>
      </c>
      <c r="Y861">
        <v>0</v>
      </c>
      <c r="AA861">
        <v>31</v>
      </c>
      <c r="AB861">
        <v>31</v>
      </c>
      <c r="AC861">
        <v>4</v>
      </c>
      <c r="AD861">
        <v>18</v>
      </c>
      <c r="AE861" s="19" t="s">
        <v>60</v>
      </c>
    </row>
    <row r="862" spans="1:31" x14ac:dyDescent="0.2">
      <c r="A862">
        <v>798</v>
      </c>
      <c r="B862" s="19" t="s">
        <v>1221</v>
      </c>
      <c r="C862">
        <v>32</v>
      </c>
      <c r="D862" s="19" t="s">
        <v>401</v>
      </c>
      <c r="E862" s="19" t="s">
        <v>322</v>
      </c>
      <c r="F862">
        <v>1</v>
      </c>
      <c r="G862">
        <v>1</v>
      </c>
      <c r="H862">
        <v>0</v>
      </c>
      <c r="I862">
        <v>1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100</v>
      </c>
      <c r="U862">
        <v>3</v>
      </c>
      <c r="V862" s="19" t="s">
        <v>1222</v>
      </c>
      <c r="W862" s="19" t="s">
        <v>1222</v>
      </c>
      <c r="X862">
        <v>2</v>
      </c>
      <c r="Y862">
        <v>6</v>
      </c>
      <c r="Z862">
        <v>25</v>
      </c>
      <c r="AA862">
        <v>0</v>
      </c>
      <c r="AB862">
        <v>0</v>
      </c>
      <c r="AC862">
        <v>0</v>
      </c>
      <c r="AD862">
        <v>1</v>
      </c>
      <c r="AE862" s="19" t="s">
        <v>60</v>
      </c>
    </row>
    <row r="863" spans="1:31" x14ac:dyDescent="0.2">
      <c r="A863">
        <v>799</v>
      </c>
      <c r="B863" s="19" t="s">
        <v>2029</v>
      </c>
      <c r="C863">
        <v>26</v>
      </c>
      <c r="D863" s="19" t="s">
        <v>342</v>
      </c>
      <c r="E863" s="19" t="s">
        <v>334</v>
      </c>
      <c r="F863">
        <v>4</v>
      </c>
      <c r="G863">
        <v>0</v>
      </c>
      <c r="H863">
        <v>1</v>
      </c>
      <c r="I863">
        <v>1</v>
      </c>
      <c r="J863">
        <v>-2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6</v>
      </c>
      <c r="T863">
        <v>0</v>
      </c>
      <c r="U863">
        <v>12</v>
      </c>
      <c r="V863" s="19" t="s">
        <v>2124</v>
      </c>
      <c r="W863" s="19" t="s">
        <v>1887</v>
      </c>
      <c r="X863">
        <v>0</v>
      </c>
      <c r="Y863">
        <v>0</v>
      </c>
      <c r="AA863">
        <v>0</v>
      </c>
      <c r="AB863">
        <v>0</v>
      </c>
      <c r="AC863">
        <v>1</v>
      </c>
      <c r="AD863">
        <v>0</v>
      </c>
      <c r="AE863" s="19" t="s">
        <v>60</v>
      </c>
    </row>
    <row r="864" spans="1:31" x14ac:dyDescent="0.2">
      <c r="A864">
        <v>800</v>
      </c>
      <c r="B864" s="19" t="s">
        <v>1223</v>
      </c>
      <c r="C864">
        <v>30</v>
      </c>
      <c r="D864" s="19" t="s">
        <v>350</v>
      </c>
      <c r="E864" s="19" t="s">
        <v>347</v>
      </c>
      <c r="F864">
        <v>9</v>
      </c>
      <c r="G864">
        <v>0</v>
      </c>
      <c r="H864">
        <v>1</v>
      </c>
      <c r="I864">
        <v>1</v>
      </c>
      <c r="J864">
        <v>1</v>
      </c>
      <c r="K864">
        <v>2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3</v>
      </c>
      <c r="T864">
        <v>0</v>
      </c>
      <c r="U864">
        <v>16</v>
      </c>
      <c r="V864" s="19" t="s">
        <v>1638</v>
      </c>
      <c r="W864" s="19" t="s">
        <v>1590</v>
      </c>
      <c r="X864">
        <v>0</v>
      </c>
      <c r="Y864">
        <v>0</v>
      </c>
      <c r="AA864">
        <v>6</v>
      </c>
      <c r="AB864">
        <v>7</v>
      </c>
      <c r="AC864">
        <v>0</v>
      </c>
      <c r="AD864">
        <v>4</v>
      </c>
      <c r="AE864" s="19" t="s">
        <v>60</v>
      </c>
    </row>
    <row r="865" spans="1:31" x14ac:dyDescent="0.2">
      <c r="A865">
        <v>801</v>
      </c>
      <c r="B865" s="19" t="s">
        <v>1441</v>
      </c>
      <c r="C865">
        <v>25</v>
      </c>
      <c r="D865" s="19" t="s">
        <v>342</v>
      </c>
      <c r="E865" s="19" t="s">
        <v>3</v>
      </c>
      <c r="F865">
        <v>29</v>
      </c>
      <c r="G865">
        <v>0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U865">
        <v>0</v>
      </c>
      <c r="V865" s="19" t="s">
        <v>2362</v>
      </c>
      <c r="W865" s="19" t="s">
        <v>2051</v>
      </c>
      <c r="X865">
        <v>0</v>
      </c>
      <c r="Y865">
        <v>0</v>
      </c>
      <c r="AA865">
        <v>0</v>
      </c>
      <c r="AB865">
        <v>0</v>
      </c>
      <c r="AC865">
        <v>0</v>
      </c>
      <c r="AD865">
        <v>9</v>
      </c>
      <c r="AE865" s="19" t="s">
        <v>60</v>
      </c>
    </row>
    <row r="866" spans="1:31" x14ac:dyDescent="0.2">
      <c r="A866">
        <v>802</v>
      </c>
      <c r="B866" s="19" t="s">
        <v>1226</v>
      </c>
      <c r="C866">
        <v>20</v>
      </c>
      <c r="D866" s="19" t="s">
        <v>401</v>
      </c>
      <c r="E866" s="19" t="s">
        <v>347</v>
      </c>
      <c r="F866">
        <v>24</v>
      </c>
      <c r="G866">
        <v>0</v>
      </c>
      <c r="H866">
        <v>1</v>
      </c>
      <c r="I866">
        <v>1</v>
      </c>
      <c r="J866">
        <v>-9</v>
      </c>
      <c r="K866">
        <v>18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23</v>
      </c>
      <c r="T866">
        <v>0</v>
      </c>
      <c r="U866">
        <v>42</v>
      </c>
      <c r="V866" s="19" t="s">
        <v>1227</v>
      </c>
      <c r="W866" s="19" t="s">
        <v>530</v>
      </c>
      <c r="X866">
        <v>0</v>
      </c>
      <c r="Y866">
        <v>0</v>
      </c>
      <c r="AA866">
        <v>26</v>
      </c>
      <c r="AB866">
        <v>8</v>
      </c>
      <c r="AC866">
        <v>1</v>
      </c>
      <c r="AD866">
        <v>26</v>
      </c>
      <c r="AE866" s="19" t="s">
        <v>60</v>
      </c>
    </row>
    <row r="867" spans="1:31" x14ac:dyDescent="0.2">
      <c r="A867">
        <v>803</v>
      </c>
      <c r="B867" s="19" t="s">
        <v>1444</v>
      </c>
      <c r="C867">
        <v>27</v>
      </c>
      <c r="D867" s="19" t="s">
        <v>933</v>
      </c>
      <c r="E867" s="19" t="s">
        <v>3</v>
      </c>
      <c r="F867">
        <v>36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U867">
        <v>0</v>
      </c>
      <c r="V867" s="19" t="s">
        <v>2166</v>
      </c>
      <c r="W867" s="19" t="s">
        <v>2167</v>
      </c>
      <c r="X867">
        <v>0</v>
      </c>
      <c r="Y867">
        <v>0</v>
      </c>
      <c r="AA867">
        <v>0</v>
      </c>
      <c r="AB867">
        <v>0</v>
      </c>
      <c r="AC867">
        <v>0</v>
      </c>
      <c r="AD867">
        <v>18</v>
      </c>
      <c r="AE867" s="19" t="s">
        <v>60</v>
      </c>
    </row>
    <row r="868" spans="1:31" x14ac:dyDescent="0.2">
      <c r="A868">
        <v>803</v>
      </c>
      <c r="B868" s="19" t="s">
        <v>1444</v>
      </c>
      <c r="C868">
        <v>27</v>
      </c>
      <c r="D868" s="19" t="s">
        <v>327</v>
      </c>
      <c r="E868" s="19" t="s">
        <v>3</v>
      </c>
      <c r="F868">
        <v>23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>
        <v>0</v>
      </c>
      <c r="V868" s="19" t="s">
        <v>1519</v>
      </c>
      <c r="W868" s="19" t="s">
        <v>1334</v>
      </c>
      <c r="X868">
        <v>0</v>
      </c>
      <c r="Y868">
        <v>0</v>
      </c>
      <c r="AA868">
        <v>0</v>
      </c>
      <c r="AB868">
        <v>0</v>
      </c>
      <c r="AC868">
        <v>0</v>
      </c>
      <c r="AD868">
        <v>10</v>
      </c>
      <c r="AE868" s="19" t="s">
        <v>60</v>
      </c>
    </row>
    <row r="869" spans="1:31" x14ac:dyDescent="0.2">
      <c r="A869">
        <v>803</v>
      </c>
      <c r="B869" s="19" t="s">
        <v>1444</v>
      </c>
      <c r="C869">
        <v>27</v>
      </c>
      <c r="D869" s="19" t="s">
        <v>373</v>
      </c>
      <c r="E869" s="19" t="s">
        <v>3</v>
      </c>
      <c r="F869">
        <v>13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U869">
        <v>0</v>
      </c>
      <c r="V869" s="19" t="s">
        <v>2168</v>
      </c>
      <c r="W869" s="19" t="s">
        <v>2135</v>
      </c>
      <c r="X869">
        <v>0</v>
      </c>
      <c r="Y869">
        <v>0</v>
      </c>
      <c r="AA869">
        <v>0</v>
      </c>
      <c r="AB869">
        <v>0</v>
      </c>
      <c r="AC869">
        <v>0</v>
      </c>
      <c r="AD869">
        <v>8</v>
      </c>
      <c r="AE869" s="19" t="s">
        <v>60</v>
      </c>
    </row>
    <row r="870" spans="1:31" x14ac:dyDescent="0.2">
      <c r="A870">
        <v>804</v>
      </c>
      <c r="B870" s="19" t="s">
        <v>1448</v>
      </c>
      <c r="C870">
        <v>24</v>
      </c>
      <c r="D870" s="19" t="s">
        <v>353</v>
      </c>
      <c r="E870" s="19" t="s">
        <v>347</v>
      </c>
      <c r="F870">
        <v>8</v>
      </c>
      <c r="G870">
        <v>0</v>
      </c>
      <c r="H870">
        <v>1</v>
      </c>
      <c r="I870">
        <v>1</v>
      </c>
      <c r="J870">
        <v>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8</v>
      </c>
      <c r="T870">
        <v>0</v>
      </c>
      <c r="U870">
        <v>15</v>
      </c>
      <c r="V870" s="19" t="s">
        <v>1607</v>
      </c>
      <c r="W870" s="19" t="s">
        <v>1608</v>
      </c>
      <c r="X870">
        <v>0</v>
      </c>
      <c r="Y870">
        <v>0</v>
      </c>
      <c r="AA870">
        <v>10</v>
      </c>
      <c r="AB870">
        <v>1</v>
      </c>
      <c r="AC870">
        <v>2</v>
      </c>
      <c r="AD870">
        <v>11</v>
      </c>
      <c r="AE870" s="19" t="s">
        <v>60</v>
      </c>
    </row>
    <row r="871" spans="1:31" x14ac:dyDescent="0.2">
      <c r="A871">
        <v>805</v>
      </c>
      <c r="B871" s="19" t="s">
        <v>1230</v>
      </c>
      <c r="C871">
        <v>38</v>
      </c>
      <c r="D871" s="19" t="s">
        <v>368</v>
      </c>
      <c r="E871" s="19" t="s">
        <v>3</v>
      </c>
      <c r="F871">
        <v>24</v>
      </c>
      <c r="G871">
        <v>0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U871">
        <v>0</v>
      </c>
      <c r="V871" s="19" t="s">
        <v>2111</v>
      </c>
      <c r="W871" s="19" t="s">
        <v>2018</v>
      </c>
      <c r="X871">
        <v>0</v>
      </c>
      <c r="Y871">
        <v>0</v>
      </c>
      <c r="AA871">
        <v>0</v>
      </c>
      <c r="AB871">
        <v>0</v>
      </c>
      <c r="AC871">
        <v>0</v>
      </c>
      <c r="AD871">
        <v>16</v>
      </c>
      <c r="AE871" s="19" t="s">
        <v>60</v>
      </c>
    </row>
    <row r="872" spans="1:31" x14ac:dyDescent="0.2">
      <c r="A872">
        <v>806</v>
      </c>
      <c r="B872" s="19" t="s">
        <v>1232</v>
      </c>
      <c r="C872">
        <v>28</v>
      </c>
      <c r="D872" s="19" t="s">
        <v>364</v>
      </c>
      <c r="E872" s="19" t="s">
        <v>3</v>
      </c>
      <c r="F872">
        <v>40</v>
      </c>
      <c r="G872">
        <v>0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U872">
        <v>1</v>
      </c>
      <c r="V872" s="19" t="s">
        <v>2957</v>
      </c>
      <c r="W872" s="19" t="s">
        <v>2958</v>
      </c>
      <c r="X872">
        <v>0</v>
      </c>
      <c r="Y872">
        <v>0</v>
      </c>
      <c r="AA872">
        <v>0</v>
      </c>
      <c r="AB872">
        <v>0</v>
      </c>
      <c r="AC872">
        <v>0</v>
      </c>
      <c r="AD872">
        <v>21</v>
      </c>
      <c r="AE872" s="19" t="s">
        <v>60</v>
      </c>
    </row>
    <row r="873" spans="1:31" x14ac:dyDescent="0.2">
      <c r="A873">
        <v>807</v>
      </c>
      <c r="B873" s="19" t="s">
        <v>1233</v>
      </c>
      <c r="C873">
        <v>24</v>
      </c>
      <c r="D873" s="19" t="s">
        <v>373</v>
      </c>
      <c r="E873" s="19" t="s">
        <v>322</v>
      </c>
      <c r="F873">
        <v>9</v>
      </c>
      <c r="G873">
        <v>0</v>
      </c>
      <c r="H873">
        <v>1</v>
      </c>
      <c r="I873">
        <v>1</v>
      </c>
      <c r="J873">
        <v>-2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9</v>
      </c>
      <c r="T873">
        <v>0</v>
      </c>
      <c r="U873">
        <v>21</v>
      </c>
      <c r="V873" s="19" t="s">
        <v>1234</v>
      </c>
      <c r="W873" s="19" t="s">
        <v>781</v>
      </c>
      <c r="X873">
        <v>2</v>
      </c>
      <c r="Y873">
        <v>2</v>
      </c>
      <c r="Z873">
        <v>50</v>
      </c>
      <c r="AA873">
        <v>7</v>
      </c>
      <c r="AB873">
        <v>11</v>
      </c>
      <c r="AC873">
        <v>0</v>
      </c>
      <c r="AD873">
        <v>3</v>
      </c>
      <c r="AE873" s="19" t="s">
        <v>60</v>
      </c>
    </row>
    <row r="874" spans="1:31" x14ac:dyDescent="0.2">
      <c r="A874">
        <v>808</v>
      </c>
      <c r="B874" s="19" t="s">
        <v>1535</v>
      </c>
      <c r="C874">
        <v>31</v>
      </c>
      <c r="D874" s="19" t="s">
        <v>329</v>
      </c>
      <c r="E874" s="19" t="s">
        <v>322</v>
      </c>
      <c r="F874">
        <v>5</v>
      </c>
      <c r="G874">
        <v>0</v>
      </c>
      <c r="H874">
        <v>1</v>
      </c>
      <c r="I874">
        <v>1</v>
      </c>
      <c r="J874">
        <v>1</v>
      </c>
      <c r="K874">
        <v>4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6</v>
      </c>
      <c r="T874">
        <v>0</v>
      </c>
      <c r="U874">
        <v>11</v>
      </c>
      <c r="V874" s="19" t="s">
        <v>1639</v>
      </c>
      <c r="W874" s="19" t="s">
        <v>1274</v>
      </c>
      <c r="X874">
        <v>10</v>
      </c>
      <c r="Y874">
        <v>12</v>
      </c>
      <c r="Z874">
        <v>45.5</v>
      </c>
      <c r="AA874">
        <v>0</v>
      </c>
      <c r="AB874">
        <v>10</v>
      </c>
      <c r="AC874">
        <v>1</v>
      </c>
      <c r="AD874">
        <v>2</v>
      </c>
      <c r="AE874" s="19" t="s">
        <v>60</v>
      </c>
    </row>
    <row r="875" spans="1:31" x14ac:dyDescent="0.2">
      <c r="A875">
        <v>809</v>
      </c>
      <c r="B875" s="19" t="s">
        <v>1237</v>
      </c>
      <c r="C875">
        <v>27</v>
      </c>
      <c r="D875" s="19" t="s">
        <v>353</v>
      </c>
      <c r="E875" s="19" t="s">
        <v>338</v>
      </c>
      <c r="F875">
        <v>4</v>
      </c>
      <c r="G875">
        <v>1</v>
      </c>
      <c r="H875">
        <v>0</v>
      </c>
      <c r="I875">
        <v>1</v>
      </c>
      <c r="J875">
        <v>-1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</v>
      </c>
      <c r="T875">
        <v>25</v>
      </c>
      <c r="U875">
        <v>8</v>
      </c>
      <c r="V875" s="19" t="s">
        <v>1238</v>
      </c>
      <c r="W875" s="19" t="s">
        <v>1239</v>
      </c>
      <c r="X875">
        <v>0</v>
      </c>
      <c r="Y875">
        <v>0</v>
      </c>
      <c r="AA875">
        <v>1</v>
      </c>
      <c r="AB875">
        <v>7</v>
      </c>
      <c r="AC875">
        <v>0</v>
      </c>
      <c r="AD875">
        <v>1</v>
      </c>
      <c r="AE875" s="19" t="s">
        <v>60</v>
      </c>
    </row>
    <row r="876" spans="1:31" x14ac:dyDescent="0.2">
      <c r="A876">
        <v>810</v>
      </c>
      <c r="B876" s="19" t="s">
        <v>1240</v>
      </c>
      <c r="C876">
        <v>30</v>
      </c>
      <c r="D876" s="19" t="s">
        <v>401</v>
      </c>
      <c r="E876" s="19" t="s">
        <v>3</v>
      </c>
      <c r="F876">
        <v>14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U876">
        <v>0</v>
      </c>
      <c r="V876" s="19" t="s">
        <v>2071</v>
      </c>
      <c r="W876" s="19" t="s">
        <v>1877</v>
      </c>
      <c r="X876">
        <v>0</v>
      </c>
      <c r="Y876">
        <v>0</v>
      </c>
      <c r="AA876">
        <v>0</v>
      </c>
      <c r="AB876">
        <v>0</v>
      </c>
      <c r="AC876">
        <v>0</v>
      </c>
      <c r="AD876">
        <v>7</v>
      </c>
      <c r="AE876" s="19" t="s">
        <v>60</v>
      </c>
    </row>
    <row r="877" spans="1:31" x14ac:dyDescent="0.2">
      <c r="A877">
        <v>811</v>
      </c>
      <c r="B877" s="19" t="s">
        <v>1457</v>
      </c>
      <c r="C877">
        <v>31</v>
      </c>
      <c r="D877" s="19" t="s">
        <v>350</v>
      </c>
      <c r="E877" s="19" t="s">
        <v>3</v>
      </c>
      <c r="F877">
        <v>38</v>
      </c>
      <c r="G877">
        <v>0</v>
      </c>
      <c r="H877">
        <v>1</v>
      </c>
      <c r="I877">
        <v>1</v>
      </c>
      <c r="J877">
        <v>0</v>
      </c>
      <c r="K877">
        <v>11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U877">
        <v>0</v>
      </c>
      <c r="V877" s="19" t="s">
        <v>2959</v>
      </c>
      <c r="W877" s="19" t="s">
        <v>2017</v>
      </c>
      <c r="X877">
        <v>0</v>
      </c>
      <c r="Y877">
        <v>0</v>
      </c>
      <c r="AA877">
        <v>0</v>
      </c>
      <c r="AB877">
        <v>0</v>
      </c>
      <c r="AC877">
        <v>0</v>
      </c>
      <c r="AD877">
        <v>16</v>
      </c>
      <c r="AE877" s="19" t="s">
        <v>60</v>
      </c>
    </row>
    <row r="878" spans="1:31" x14ac:dyDescent="0.2">
      <c r="A878">
        <v>812</v>
      </c>
      <c r="B878" s="19" t="s">
        <v>1460</v>
      </c>
      <c r="C878">
        <v>23</v>
      </c>
      <c r="D878" s="19" t="s">
        <v>355</v>
      </c>
      <c r="E878" s="19" t="s">
        <v>3</v>
      </c>
      <c r="F878">
        <v>23</v>
      </c>
      <c r="G878">
        <v>0</v>
      </c>
      <c r="H878">
        <v>1</v>
      </c>
      <c r="I878">
        <v>1</v>
      </c>
      <c r="J878">
        <v>0</v>
      </c>
      <c r="K878">
        <v>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U878">
        <v>0</v>
      </c>
      <c r="V878" s="19" t="s">
        <v>2112</v>
      </c>
      <c r="W878" s="19" t="s">
        <v>2113</v>
      </c>
      <c r="X878">
        <v>0</v>
      </c>
      <c r="Y878">
        <v>0</v>
      </c>
      <c r="AA878">
        <v>0</v>
      </c>
      <c r="AB878">
        <v>0</v>
      </c>
      <c r="AC878">
        <v>0</v>
      </c>
      <c r="AD878">
        <v>14</v>
      </c>
      <c r="AE878" s="19" t="s">
        <v>60</v>
      </c>
    </row>
    <row r="879" spans="1:31" x14ac:dyDescent="0.2">
      <c r="A879">
        <v>813</v>
      </c>
      <c r="B879" s="19" t="s">
        <v>1243</v>
      </c>
      <c r="C879">
        <v>33</v>
      </c>
      <c r="D879" s="19" t="s">
        <v>321</v>
      </c>
      <c r="E879" s="19" t="s">
        <v>3</v>
      </c>
      <c r="F879">
        <v>32</v>
      </c>
      <c r="G879">
        <v>0</v>
      </c>
      <c r="H879">
        <v>1</v>
      </c>
      <c r="I879">
        <v>1</v>
      </c>
      <c r="J879">
        <v>0</v>
      </c>
      <c r="K879">
        <v>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U879">
        <v>0</v>
      </c>
      <c r="V879" s="19" t="s">
        <v>2960</v>
      </c>
      <c r="W879" s="19" t="s">
        <v>1786</v>
      </c>
      <c r="X879">
        <v>0</v>
      </c>
      <c r="Y879">
        <v>0</v>
      </c>
      <c r="AA879">
        <v>0</v>
      </c>
      <c r="AB879">
        <v>0</v>
      </c>
      <c r="AC879">
        <v>0</v>
      </c>
      <c r="AD879">
        <v>12</v>
      </c>
      <c r="AE879" s="19" t="s">
        <v>60</v>
      </c>
    </row>
    <row r="880" spans="1:31" x14ac:dyDescent="0.2">
      <c r="A880">
        <v>814</v>
      </c>
      <c r="B880" s="19" t="s">
        <v>1245</v>
      </c>
      <c r="C880">
        <v>21</v>
      </c>
      <c r="D880" s="19" t="s">
        <v>361</v>
      </c>
      <c r="E880" s="19" t="s">
        <v>338</v>
      </c>
      <c r="F880">
        <v>5</v>
      </c>
      <c r="G880">
        <v>0</v>
      </c>
      <c r="H880">
        <v>1</v>
      </c>
      <c r="I880">
        <v>1</v>
      </c>
      <c r="J880">
        <v>-1</v>
      </c>
      <c r="K880">
        <v>7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4</v>
      </c>
      <c r="T880">
        <v>0</v>
      </c>
      <c r="U880">
        <v>8</v>
      </c>
      <c r="V880" s="19" t="s">
        <v>1246</v>
      </c>
      <c r="W880" s="19" t="s">
        <v>1247</v>
      </c>
      <c r="X880">
        <v>0</v>
      </c>
      <c r="Y880">
        <v>0</v>
      </c>
      <c r="AA880">
        <v>4</v>
      </c>
      <c r="AB880">
        <v>9</v>
      </c>
      <c r="AC880">
        <v>0</v>
      </c>
      <c r="AD880">
        <v>4</v>
      </c>
      <c r="AE880" s="19" t="s">
        <v>60</v>
      </c>
    </row>
    <row r="881" spans="1:31" x14ac:dyDescent="0.2">
      <c r="A881">
        <v>815</v>
      </c>
      <c r="B881" s="19" t="s">
        <v>1250</v>
      </c>
      <c r="C881">
        <v>35</v>
      </c>
      <c r="D881" s="19" t="s">
        <v>401</v>
      </c>
      <c r="E881" s="19" t="s">
        <v>338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>
        <v>1</v>
      </c>
      <c r="V881" s="19" t="s">
        <v>843</v>
      </c>
      <c r="W881" s="19" t="s">
        <v>1251</v>
      </c>
      <c r="X881">
        <v>3</v>
      </c>
      <c r="Y881">
        <v>4</v>
      </c>
      <c r="Z881">
        <v>42.9</v>
      </c>
      <c r="AA881">
        <v>1</v>
      </c>
      <c r="AB881">
        <v>4</v>
      </c>
      <c r="AC881">
        <v>1</v>
      </c>
      <c r="AD881">
        <v>1</v>
      </c>
      <c r="AE881" s="19" t="s">
        <v>60</v>
      </c>
    </row>
    <row r="882" spans="1:31" x14ac:dyDescent="0.2">
      <c r="A882">
        <v>816</v>
      </c>
      <c r="B882" s="19" t="s">
        <v>1527</v>
      </c>
      <c r="C882">
        <v>24</v>
      </c>
      <c r="D882" s="19" t="s">
        <v>357</v>
      </c>
      <c r="E882" s="19" t="s">
        <v>3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>
        <v>0</v>
      </c>
      <c r="V882" s="19" t="s">
        <v>1387</v>
      </c>
      <c r="W882" s="19" t="s">
        <v>1387</v>
      </c>
      <c r="X882">
        <v>0</v>
      </c>
      <c r="Y882">
        <v>0</v>
      </c>
      <c r="AA882">
        <v>0</v>
      </c>
      <c r="AB882">
        <v>0</v>
      </c>
      <c r="AC882">
        <v>0</v>
      </c>
      <c r="AD882">
        <v>0</v>
      </c>
      <c r="AE882" s="19" t="s">
        <v>60</v>
      </c>
    </row>
    <row r="883" spans="1:31" x14ac:dyDescent="0.2">
      <c r="A883">
        <v>817</v>
      </c>
      <c r="B883" s="19" t="s">
        <v>1253</v>
      </c>
      <c r="C883">
        <v>25</v>
      </c>
      <c r="D883" s="19" t="s">
        <v>440</v>
      </c>
      <c r="E883" s="19" t="s">
        <v>322</v>
      </c>
      <c r="F883">
        <v>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3</v>
      </c>
      <c r="V883" s="19" t="s">
        <v>1254</v>
      </c>
      <c r="W883" s="19" t="s">
        <v>1255</v>
      </c>
      <c r="X883">
        <v>1</v>
      </c>
      <c r="Y883">
        <v>1</v>
      </c>
      <c r="Z883">
        <v>50</v>
      </c>
      <c r="AA883">
        <v>1</v>
      </c>
      <c r="AB883">
        <v>2</v>
      </c>
      <c r="AC883">
        <v>0</v>
      </c>
      <c r="AD883">
        <v>1</v>
      </c>
      <c r="AE883" s="19" t="s">
        <v>60</v>
      </c>
    </row>
    <row r="884" spans="1:31" x14ac:dyDescent="0.2">
      <c r="A884">
        <v>818</v>
      </c>
      <c r="B884" s="19" t="s">
        <v>1256</v>
      </c>
      <c r="C884">
        <v>36</v>
      </c>
      <c r="D884" s="19" t="s">
        <v>393</v>
      </c>
      <c r="E884" s="19" t="s">
        <v>3</v>
      </c>
      <c r="F884">
        <v>22</v>
      </c>
      <c r="G884">
        <v>0</v>
      </c>
      <c r="H884">
        <v>0</v>
      </c>
      <c r="I884">
        <v>0</v>
      </c>
      <c r="J884">
        <v>0</v>
      </c>
      <c r="K884">
        <v>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>
        <v>0</v>
      </c>
      <c r="V884" s="19" t="s">
        <v>2114</v>
      </c>
      <c r="W884" s="19" t="s">
        <v>2115</v>
      </c>
      <c r="X884">
        <v>0</v>
      </c>
      <c r="Y884">
        <v>0</v>
      </c>
      <c r="AA884">
        <v>0</v>
      </c>
      <c r="AB884">
        <v>0</v>
      </c>
      <c r="AC884">
        <v>0</v>
      </c>
      <c r="AD884">
        <v>16</v>
      </c>
      <c r="AE884" s="19" t="s">
        <v>60</v>
      </c>
    </row>
    <row r="885" spans="1:31" x14ac:dyDescent="0.2">
      <c r="A885">
        <v>819</v>
      </c>
      <c r="B885" s="19" t="s">
        <v>1257</v>
      </c>
      <c r="C885">
        <v>25</v>
      </c>
      <c r="D885" s="19" t="s">
        <v>452</v>
      </c>
      <c r="E885" s="19" t="s">
        <v>3</v>
      </c>
      <c r="F885">
        <v>18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>
        <v>0</v>
      </c>
      <c r="V885" s="19" t="s">
        <v>2961</v>
      </c>
      <c r="W885" s="19" t="s">
        <v>2962</v>
      </c>
      <c r="X885">
        <v>0</v>
      </c>
      <c r="Y885">
        <v>0</v>
      </c>
      <c r="AA885">
        <v>0</v>
      </c>
      <c r="AB885">
        <v>0</v>
      </c>
      <c r="AC885">
        <v>0</v>
      </c>
      <c r="AD885">
        <v>3</v>
      </c>
      <c r="AE885" s="19" t="s">
        <v>60</v>
      </c>
    </row>
    <row r="886" spans="1:31" x14ac:dyDescent="0.2">
      <c r="A886">
        <v>820</v>
      </c>
      <c r="B886" s="19" t="s">
        <v>1258</v>
      </c>
      <c r="C886">
        <v>23</v>
      </c>
      <c r="D886" s="19" t="s">
        <v>324</v>
      </c>
      <c r="E886" s="19" t="s">
        <v>3</v>
      </c>
      <c r="F886">
        <v>35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>
        <v>0</v>
      </c>
      <c r="V886" s="19" t="s">
        <v>2363</v>
      </c>
      <c r="W886" s="19" t="s">
        <v>1698</v>
      </c>
      <c r="X886">
        <v>0</v>
      </c>
      <c r="Y886">
        <v>0</v>
      </c>
      <c r="AA886">
        <v>0</v>
      </c>
      <c r="AB886">
        <v>0</v>
      </c>
      <c r="AC886">
        <v>0</v>
      </c>
      <c r="AD886">
        <v>15</v>
      </c>
      <c r="AE886" s="19" t="s">
        <v>60</v>
      </c>
    </row>
    <row r="887" spans="1:31" x14ac:dyDescent="0.2">
      <c r="A887">
        <v>821</v>
      </c>
      <c r="B887" s="19" t="s">
        <v>1729</v>
      </c>
      <c r="C887">
        <v>31</v>
      </c>
      <c r="D887" s="19" t="s">
        <v>357</v>
      </c>
      <c r="E887" s="19" t="s">
        <v>347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>
        <v>1</v>
      </c>
      <c r="V887" s="19" t="s">
        <v>1501</v>
      </c>
      <c r="W887" s="19" t="s">
        <v>1501</v>
      </c>
      <c r="X887">
        <v>0</v>
      </c>
      <c r="Y887">
        <v>0</v>
      </c>
      <c r="AA887">
        <v>3</v>
      </c>
      <c r="AB887">
        <v>0</v>
      </c>
      <c r="AC887">
        <v>0</v>
      </c>
      <c r="AD887">
        <v>1</v>
      </c>
      <c r="AE887" s="19" t="s">
        <v>60</v>
      </c>
    </row>
    <row r="888" spans="1:31" x14ac:dyDescent="0.2">
      <c r="A888">
        <v>822</v>
      </c>
      <c r="B888" s="19" t="s">
        <v>1260</v>
      </c>
      <c r="C888">
        <v>23</v>
      </c>
      <c r="D888" s="19" t="s">
        <v>359</v>
      </c>
      <c r="E888" s="19" t="s">
        <v>338</v>
      </c>
      <c r="F888">
        <v>13</v>
      </c>
      <c r="G888">
        <v>0</v>
      </c>
      <c r="H888">
        <v>0</v>
      </c>
      <c r="I888">
        <v>0</v>
      </c>
      <c r="J888">
        <v>-1</v>
      </c>
      <c r="K888">
        <v>6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10</v>
      </c>
      <c r="T888">
        <v>0</v>
      </c>
      <c r="U888">
        <v>35</v>
      </c>
      <c r="V888" s="19" t="s">
        <v>2093</v>
      </c>
      <c r="W888" s="19" t="s">
        <v>1987</v>
      </c>
      <c r="X888">
        <v>0</v>
      </c>
      <c r="Y888">
        <v>0</v>
      </c>
      <c r="AA888">
        <v>9</v>
      </c>
      <c r="AB888">
        <v>17</v>
      </c>
      <c r="AC888">
        <v>1</v>
      </c>
      <c r="AD888">
        <v>9</v>
      </c>
      <c r="AE888" s="19" t="s">
        <v>60</v>
      </c>
    </row>
    <row r="889" spans="1:31" x14ac:dyDescent="0.2">
      <c r="A889">
        <v>823</v>
      </c>
      <c r="B889" s="19" t="s">
        <v>1261</v>
      </c>
      <c r="C889">
        <v>29</v>
      </c>
      <c r="D889" s="19" t="s">
        <v>321</v>
      </c>
      <c r="E889" s="19" t="s">
        <v>3</v>
      </c>
      <c r="F889">
        <v>23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>
        <v>0</v>
      </c>
      <c r="V889" s="19" t="s">
        <v>2364</v>
      </c>
      <c r="W889" s="19" t="s">
        <v>2365</v>
      </c>
      <c r="X889">
        <v>0</v>
      </c>
      <c r="Y889">
        <v>0</v>
      </c>
      <c r="AA889">
        <v>0</v>
      </c>
      <c r="AB889">
        <v>0</v>
      </c>
      <c r="AC889">
        <v>0</v>
      </c>
      <c r="AD889">
        <v>1</v>
      </c>
      <c r="AE889" s="19" t="s">
        <v>60</v>
      </c>
    </row>
    <row r="890" spans="1:31" x14ac:dyDescent="0.2">
      <c r="A890">
        <v>824</v>
      </c>
      <c r="B890" s="19" t="s">
        <v>1262</v>
      </c>
      <c r="C890">
        <v>25</v>
      </c>
      <c r="D890" s="19" t="s">
        <v>353</v>
      </c>
      <c r="E890" s="19" t="s">
        <v>334</v>
      </c>
      <c r="F890">
        <v>4</v>
      </c>
      <c r="G890">
        <v>0</v>
      </c>
      <c r="H890">
        <v>0</v>
      </c>
      <c r="I890">
        <v>0</v>
      </c>
      <c r="J890">
        <v>-3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4</v>
      </c>
      <c r="T890">
        <v>0</v>
      </c>
      <c r="U890">
        <v>10</v>
      </c>
      <c r="V890" s="19" t="s">
        <v>1263</v>
      </c>
      <c r="W890" s="19" t="s">
        <v>823</v>
      </c>
      <c r="X890">
        <v>0</v>
      </c>
      <c r="Y890">
        <v>1</v>
      </c>
      <c r="Z890">
        <v>0</v>
      </c>
      <c r="AA890">
        <v>2</v>
      </c>
      <c r="AB890">
        <v>2</v>
      </c>
      <c r="AC890">
        <v>0</v>
      </c>
      <c r="AD890">
        <v>3</v>
      </c>
      <c r="AE890" s="19" t="s">
        <v>60</v>
      </c>
    </row>
    <row r="891" spans="1:31" x14ac:dyDescent="0.2">
      <c r="A891">
        <v>825</v>
      </c>
      <c r="B891" s="19" t="s">
        <v>1640</v>
      </c>
      <c r="C891">
        <v>23</v>
      </c>
      <c r="D891" s="19" t="s">
        <v>412</v>
      </c>
      <c r="E891" s="19" t="s">
        <v>322</v>
      </c>
      <c r="F891">
        <v>2</v>
      </c>
      <c r="G891">
        <v>0</v>
      </c>
      <c r="H891">
        <v>0</v>
      </c>
      <c r="I891">
        <v>0</v>
      </c>
      <c r="J891">
        <v>-1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</v>
      </c>
      <c r="T891">
        <v>0</v>
      </c>
      <c r="U891">
        <v>7</v>
      </c>
      <c r="V891" s="19" t="s">
        <v>1523</v>
      </c>
      <c r="W891" s="19" t="s">
        <v>1636</v>
      </c>
      <c r="X891">
        <v>0</v>
      </c>
      <c r="Y891">
        <v>0</v>
      </c>
      <c r="AA891">
        <v>0</v>
      </c>
      <c r="AB891">
        <v>3</v>
      </c>
      <c r="AC891">
        <v>0</v>
      </c>
      <c r="AD891">
        <v>1</v>
      </c>
      <c r="AE891" s="19" t="s">
        <v>60</v>
      </c>
    </row>
    <row r="892" spans="1:31" x14ac:dyDescent="0.2">
      <c r="A892">
        <v>826</v>
      </c>
      <c r="B892" s="19" t="s">
        <v>1264</v>
      </c>
      <c r="C892">
        <v>23</v>
      </c>
      <c r="D892" s="19" t="s">
        <v>373</v>
      </c>
      <c r="E892" s="19" t="s">
        <v>322</v>
      </c>
      <c r="F892">
        <v>1</v>
      </c>
      <c r="G892">
        <v>0</v>
      </c>
      <c r="H892">
        <v>0</v>
      </c>
      <c r="I892">
        <v>0</v>
      </c>
      <c r="J892">
        <v>-1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2</v>
      </c>
      <c r="T892">
        <v>0</v>
      </c>
      <c r="U892">
        <v>2</v>
      </c>
      <c r="V892" s="19" t="s">
        <v>1123</v>
      </c>
      <c r="W892" s="19" t="s">
        <v>1123</v>
      </c>
      <c r="X892">
        <v>3</v>
      </c>
      <c r="Y892">
        <v>3</v>
      </c>
      <c r="Z892">
        <v>50</v>
      </c>
      <c r="AA892">
        <v>0</v>
      </c>
      <c r="AB892">
        <v>0</v>
      </c>
      <c r="AC892">
        <v>0</v>
      </c>
      <c r="AD892">
        <v>1</v>
      </c>
      <c r="AE892" s="19" t="s">
        <v>60</v>
      </c>
    </row>
    <row r="893" spans="1:31" x14ac:dyDescent="0.2">
      <c r="A893">
        <v>827</v>
      </c>
      <c r="B893" s="19" t="s">
        <v>1481</v>
      </c>
      <c r="C893">
        <v>23</v>
      </c>
      <c r="D893" s="19" t="s">
        <v>336</v>
      </c>
      <c r="E893" s="19" t="s">
        <v>3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>
        <v>0</v>
      </c>
      <c r="V893" s="19" t="s">
        <v>339</v>
      </c>
      <c r="W893" s="19" t="s">
        <v>339</v>
      </c>
      <c r="X893">
        <v>0</v>
      </c>
      <c r="Y893">
        <v>0</v>
      </c>
      <c r="AA893">
        <v>0</v>
      </c>
      <c r="AB893">
        <v>0</v>
      </c>
      <c r="AC893">
        <v>0</v>
      </c>
      <c r="AD893">
        <v>0</v>
      </c>
      <c r="AE893" s="19" t="s">
        <v>60</v>
      </c>
    </row>
    <row r="894" spans="1:31" x14ac:dyDescent="0.2">
      <c r="A894">
        <v>828</v>
      </c>
      <c r="B894" s="19" t="s">
        <v>1266</v>
      </c>
      <c r="C894">
        <v>26</v>
      </c>
      <c r="D894" s="19" t="s">
        <v>353</v>
      </c>
      <c r="E894" s="19" t="s">
        <v>347</v>
      </c>
      <c r="F894">
        <v>5</v>
      </c>
      <c r="G894">
        <v>0</v>
      </c>
      <c r="H894">
        <v>0</v>
      </c>
      <c r="I894">
        <v>0</v>
      </c>
      <c r="J894">
        <v>-1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3</v>
      </c>
      <c r="T894">
        <v>0</v>
      </c>
      <c r="U894">
        <v>4</v>
      </c>
      <c r="V894" s="19" t="s">
        <v>1267</v>
      </c>
      <c r="W894" s="19" t="s">
        <v>828</v>
      </c>
      <c r="X894">
        <v>0</v>
      </c>
      <c r="Y894">
        <v>0</v>
      </c>
      <c r="AA894">
        <v>9</v>
      </c>
      <c r="AB894">
        <v>3</v>
      </c>
      <c r="AC894">
        <v>2</v>
      </c>
      <c r="AD894">
        <v>3</v>
      </c>
      <c r="AE894" s="19" t="s">
        <v>60</v>
      </c>
    </row>
    <row r="895" spans="1:31" x14ac:dyDescent="0.2">
      <c r="A895">
        <v>829</v>
      </c>
      <c r="B895" s="19" t="s">
        <v>1268</v>
      </c>
      <c r="C895">
        <v>22</v>
      </c>
      <c r="D895" s="19" t="s">
        <v>395</v>
      </c>
      <c r="E895" s="19" t="s">
        <v>347</v>
      </c>
      <c r="F895">
        <v>2</v>
      </c>
      <c r="G895">
        <v>0</v>
      </c>
      <c r="H895">
        <v>0</v>
      </c>
      <c r="I895">
        <v>0</v>
      </c>
      <c r="J895">
        <v>-3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>
        <v>8</v>
      </c>
      <c r="V895" s="19" t="s">
        <v>1269</v>
      </c>
      <c r="W895" s="19" t="s">
        <v>545</v>
      </c>
      <c r="X895">
        <v>0</v>
      </c>
      <c r="Y895">
        <v>0</v>
      </c>
      <c r="AA895">
        <v>1</v>
      </c>
      <c r="AB895">
        <v>0</v>
      </c>
      <c r="AC895">
        <v>2</v>
      </c>
      <c r="AD895">
        <v>3</v>
      </c>
      <c r="AE895" s="19" t="s">
        <v>60</v>
      </c>
    </row>
    <row r="896" spans="1:31" x14ac:dyDescent="0.2">
      <c r="A896">
        <v>830</v>
      </c>
      <c r="B896" s="19" t="s">
        <v>1270</v>
      </c>
      <c r="C896">
        <v>28</v>
      </c>
      <c r="D896" s="19" t="s">
        <v>350</v>
      </c>
      <c r="E896" s="19" t="s">
        <v>325</v>
      </c>
      <c r="F896">
        <v>7</v>
      </c>
      <c r="G896">
        <v>0</v>
      </c>
      <c r="H896">
        <v>0</v>
      </c>
      <c r="I896">
        <v>0</v>
      </c>
      <c r="J896">
        <v>0</v>
      </c>
      <c r="K896">
        <v>4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8</v>
      </c>
      <c r="T896">
        <v>0</v>
      </c>
      <c r="U896">
        <v>10</v>
      </c>
      <c r="V896" s="19" t="s">
        <v>1271</v>
      </c>
      <c r="W896" s="19" t="s">
        <v>1236</v>
      </c>
      <c r="X896">
        <v>1</v>
      </c>
      <c r="Y896">
        <v>2</v>
      </c>
      <c r="Z896">
        <v>33.299999999999997</v>
      </c>
      <c r="AA896">
        <v>2</v>
      </c>
      <c r="AB896">
        <v>19</v>
      </c>
      <c r="AC896">
        <v>0</v>
      </c>
      <c r="AD896">
        <v>5</v>
      </c>
      <c r="AE896" s="19" t="s">
        <v>60</v>
      </c>
    </row>
    <row r="897" spans="1:31" x14ac:dyDescent="0.2">
      <c r="A897">
        <v>831</v>
      </c>
      <c r="B897" s="19" t="s">
        <v>1272</v>
      </c>
      <c r="C897">
        <v>22</v>
      </c>
      <c r="D897" s="19" t="s">
        <v>344</v>
      </c>
      <c r="E897" s="19" t="s">
        <v>334</v>
      </c>
      <c r="F897">
        <v>8</v>
      </c>
      <c r="G897">
        <v>0</v>
      </c>
      <c r="H897">
        <v>0</v>
      </c>
      <c r="I897">
        <v>0</v>
      </c>
      <c r="J897">
        <v>0</v>
      </c>
      <c r="K897">
        <v>12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5</v>
      </c>
      <c r="T897">
        <v>0</v>
      </c>
      <c r="U897">
        <v>16</v>
      </c>
      <c r="V897" s="19" t="s">
        <v>1273</v>
      </c>
      <c r="W897" s="19" t="s">
        <v>1274</v>
      </c>
      <c r="X897">
        <v>0</v>
      </c>
      <c r="Y897">
        <v>0</v>
      </c>
      <c r="AA897">
        <v>5</v>
      </c>
      <c r="AB897">
        <v>10</v>
      </c>
      <c r="AC897">
        <v>2</v>
      </c>
      <c r="AD897">
        <v>6</v>
      </c>
      <c r="AE897" s="19" t="s">
        <v>60</v>
      </c>
    </row>
    <row r="898" spans="1:31" x14ac:dyDescent="0.2">
      <c r="A898">
        <v>832</v>
      </c>
      <c r="B898" s="19" t="s">
        <v>1275</v>
      </c>
      <c r="C898">
        <v>22</v>
      </c>
      <c r="D898" s="19" t="s">
        <v>359</v>
      </c>
      <c r="E898" s="19" t="s">
        <v>334</v>
      </c>
      <c r="F898">
        <v>6</v>
      </c>
      <c r="G898">
        <v>0</v>
      </c>
      <c r="H898">
        <v>0</v>
      </c>
      <c r="I898">
        <v>0</v>
      </c>
      <c r="J898">
        <v>-2</v>
      </c>
      <c r="K898">
        <v>7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3</v>
      </c>
      <c r="T898">
        <v>0</v>
      </c>
      <c r="U898">
        <v>6</v>
      </c>
      <c r="V898" s="19" t="s">
        <v>1549</v>
      </c>
      <c r="W898" s="19" t="s">
        <v>1550</v>
      </c>
      <c r="X898">
        <v>0</v>
      </c>
      <c r="Y898">
        <v>0</v>
      </c>
      <c r="AA898">
        <v>3</v>
      </c>
      <c r="AB898">
        <v>13</v>
      </c>
      <c r="AC898">
        <v>0</v>
      </c>
      <c r="AD898">
        <v>1</v>
      </c>
      <c r="AE898" s="19" t="s">
        <v>60</v>
      </c>
    </row>
    <row r="899" spans="1:31" x14ac:dyDescent="0.2">
      <c r="A899">
        <v>833</v>
      </c>
      <c r="B899" s="19" t="s">
        <v>1769</v>
      </c>
      <c r="C899">
        <v>27</v>
      </c>
      <c r="D899" s="19" t="s">
        <v>342</v>
      </c>
      <c r="E899" s="19" t="s">
        <v>347</v>
      </c>
      <c r="F899">
        <v>3</v>
      </c>
      <c r="G899">
        <v>0</v>
      </c>
      <c r="H899">
        <v>0</v>
      </c>
      <c r="I899">
        <v>0</v>
      </c>
      <c r="J899">
        <v>1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</v>
      </c>
      <c r="T899">
        <v>0</v>
      </c>
      <c r="U899">
        <v>7</v>
      </c>
      <c r="V899" s="19" t="s">
        <v>2963</v>
      </c>
      <c r="W899" s="19" t="s">
        <v>2964</v>
      </c>
      <c r="X899">
        <v>0</v>
      </c>
      <c r="Y899">
        <v>0</v>
      </c>
      <c r="AA899">
        <v>4</v>
      </c>
      <c r="AB899">
        <v>4</v>
      </c>
      <c r="AC899">
        <v>0</v>
      </c>
      <c r="AD899">
        <v>2</v>
      </c>
      <c r="AE899" s="19" t="s">
        <v>60</v>
      </c>
    </row>
    <row r="900" spans="1:31" x14ac:dyDescent="0.2">
      <c r="A900">
        <v>834</v>
      </c>
      <c r="B900" s="19" t="s">
        <v>1781</v>
      </c>
      <c r="C900">
        <v>23</v>
      </c>
      <c r="D900" s="19" t="s">
        <v>329</v>
      </c>
      <c r="E900" s="19" t="s">
        <v>3</v>
      </c>
      <c r="F900">
        <v>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>
        <v>0</v>
      </c>
      <c r="V900" s="19" t="s">
        <v>1791</v>
      </c>
      <c r="W900" s="19" t="s">
        <v>1286</v>
      </c>
      <c r="X900">
        <v>0</v>
      </c>
      <c r="Y900">
        <v>0</v>
      </c>
      <c r="AA900">
        <v>0</v>
      </c>
      <c r="AB900">
        <v>0</v>
      </c>
      <c r="AC900">
        <v>0</v>
      </c>
      <c r="AD900">
        <v>0</v>
      </c>
      <c r="AE900" s="19" t="s">
        <v>60</v>
      </c>
    </row>
    <row r="901" spans="1:31" x14ac:dyDescent="0.2">
      <c r="A901">
        <v>835</v>
      </c>
      <c r="B901" s="19" t="s">
        <v>1277</v>
      </c>
      <c r="C901">
        <v>30</v>
      </c>
      <c r="D901" s="19" t="s">
        <v>344</v>
      </c>
      <c r="E901" s="19" t="s">
        <v>3</v>
      </c>
      <c r="F901">
        <v>20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>
        <v>0</v>
      </c>
      <c r="V901" s="19" t="s">
        <v>2965</v>
      </c>
      <c r="W901" s="19" t="s">
        <v>2966</v>
      </c>
      <c r="X901">
        <v>0</v>
      </c>
      <c r="Y901">
        <v>0</v>
      </c>
      <c r="AA901">
        <v>0</v>
      </c>
      <c r="AB901">
        <v>0</v>
      </c>
      <c r="AC901">
        <v>0</v>
      </c>
      <c r="AD901">
        <v>7</v>
      </c>
      <c r="AE901" s="19" t="s">
        <v>60</v>
      </c>
    </row>
    <row r="902" spans="1:31" x14ac:dyDescent="0.2">
      <c r="A902">
        <v>836</v>
      </c>
      <c r="B902" s="19" t="s">
        <v>1279</v>
      </c>
      <c r="C902">
        <v>18</v>
      </c>
      <c r="D902" s="19" t="s">
        <v>440</v>
      </c>
      <c r="E902" s="19" t="s">
        <v>322</v>
      </c>
      <c r="F902">
        <v>3</v>
      </c>
      <c r="G902">
        <v>0</v>
      </c>
      <c r="H902">
        <v>0</v>
      </c>
      <c r="I902">
        <v>0</v>
      </c>
      <c r="J902">
        <v>-2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>
        <v>0</v>
      </c>
      <c r="V902" s="19" t="s">
        <v>1280</v>
      </c>
      <c r="W902" s="19" t="s">
        <v>629</v>
      </c>
      <c r="X902">
        <v>5</v>
      </c>
      <c r="Y902">
        <v>8</v>
      </c>
      <c r="Z902">
        <v>38.5</v>
      </c>
      <c r="AA902">
        <v>1</v>
      </c>
      <c r="AB902">
        <v>3</v>
      </c>
      <c r="AC902">
        <v>0</v>
      </c>
      <c r="AD902">
        <v>4</v>
      </c>
      <c r="AE902" s="19" t="s">
        <v>60</v>
      </c>
    </row>
    <row r="903" spans="1:31" x14ac:dyDescent="0.2">
      <c r="A903">
        <v>837</v>
      </c>
      <c r="B903" s="19" t="s">
        <v>1625</v>
      </c>
      <c r="C903">
        <v>34</v>
      </c>
      <c r="D903" s="19" t="s">
        <v>415</v>
      </c>
      <c r="E903" s="19" t="s">
        <v>3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>
        <v>0</v>
      </c>
      <c r="V903" s="19" t="s">
        <v>1626</v>
      </c>
      <c r="W903" s="19" t="s">
        <v>1626</v>
      </c>
      <c r="X903">
        <v>0</v>
      </c>
      <c r="Y903">
        <v>0</v>
      </c>
      <c r="AA903">
        <v>0</v>
      </c>
      <c r="AB903">
        <v>0</v>
      </c>
      <c r="AC903">
        <v>0</v>
      </c>
      <c r="AD903">
        <v>0</v>
      </c>
      <c r="AE903" s="19" t="s">
        <v>60</v>
      </c>
    </row>
    <row r="904" spans="1:31" x14ac:dyDescent="0.2">
      <c r="A904">
        <v>838</v>
      </c>
      <c r="B904" s="19" t="s">
        <v>1282</v>
      </c>
      <c r="C904">
        <v>36</v>
      </c>
      <c r="D904" s="19" t="s">
        <v>395</v>
      </c>
      <c r="E904" s="19" t="s">
        <v>334</v>
      </c>
      <c r="F904">
        <v>17</v>
      </c>
      <c r="G904">
        <v>0</v>
      </c>
      <c r="H904">
        <v>0</v>
      </c>
      <c r="I904">
        <v>0</v>
      </c>
      <c r="J904">
        <v>-3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15</v>
      </c>
      <c r="T904">
        <v>0</v>
      </c>
      <c r="U904">
        <v>32</v>
      </c>
      <c r="V904" s="19" t="s">
        <v>2967</v>
      </c>
      <c r="W904" s="19" t="s">
        <v>2968</v>
      </c>
      <c r="X904">
        <v>0</v>
      </c>
      <c r="Y904">
        <v>1</v>
      </c>
      <c r="Z904">
        <v>0</v>
      </c>
      <c r="AA904">
        <v>11</v>
      </c>
      <c r="AB904">
        <v>6</v>
      </c>
      <c r="AC904">
        <v>2</v>
      </c>
      <c r="AD904">
        <v>11</v>
      </c>
      <c r="AE904" s="19" t="s">
        <v>60</v>
      </c>
    </row>
    <row r="905" spans="1:31" x14ac:dyDescent="0.2">
      <c r="A905">
        <v>839</v>
      </c>
      <c r="B905" s="19" t="s">
        <v>1283</v>
      </c>
      <c r="C905">
        <v>32</v>
      </c>
      <c r="D905" s="19" t="s">
        <v>423</v>
      </c>
      <c r="E905" s="19" t="s">
        <v>334</v>
      </c>
      <c r="F905">
        <v>4</v>
      </c>
      <c r="G905">
        <v>0</v>
      </c>
      <c r="H905">
        <v>0</v>
      </c>
      <c r="I905">
        <v>0</v>
      </c>
      <c r="J905">
        <v>-2</v>
      </c>
      <c r="K905">
        <v>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2</v>
      </c>
      <c r="T905">
        <v>0</v>
      </c>
      <c r="U905">
        <v>6</v>
      </c>
      <c r="V905" s="19" t="s">
        <v>1284</v>
      </c>
      <c r="W905" s="19" t="s">
        <v>832</v>
      </c>
      <c r="X905">
        <v>17</v>
      </c>
      <c r="Y905">
        <v>14</v>
      </c>
      <c r="Z905">
        <v>54.8</v>
      </c>
      <c r="AA905">
        <v>4</v>
      </c>
      <c r="AB905">
        <v>3</v>
      </c>
      <c r="AC905">
        <v>0</v>
      </c>
      <c r="AD905">
        <v>3</v>
      </c>
      <c r="AE905" s="19" t="s">
        <v>60</v>
      </c>
    </row>
    <row r="906" spans="1:31" x14ac:dyDescent="0.2">
      <c r="A906">
        <v>840</v>
      </c>
      <c r="B906" s="19" t="s">
        <v>1285</v>
      </c>
      <c r="C906">
        <v>25</v>
      </c>
      <c r="D906" s="19" t="s">
        <v>395</v>
      </c>
      <c r="E906" s="19" t="s">
        <v>3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>
        <v>0</v>
      </c>
      <c r="V906" s="19" t="s">
        <v>1286</v>
      </c>
      <c r="W906" s="19" t="s">
        <v>1286</v>
      </c>
      <c r="X906">
        <v>0</v>
      </c>
      <c r="Y906">
        <v>0</v>
      </c>
      <c r="AA906">
        <v>0</v>
      </c>
      <c r="AB906">
        <v>0</v>
      </c>
      <c r="AC906">
        <v>0</v>
      </c>
      <c r="AD906">
        <v>2</v>
      </c>
      <c r="AE906" s="19" t="s">
        <v>60</v>
      </c>
    </row>
    <row r="907" spans="1:31" x14ac:dyDescent="0.2">
      <c r="A907">
        <v>841</v>
      </c>
      <c r="B907" s="19" t="s">
        <v>1287</v>
      </c>
      <c r="C907">
        <v>23</v>
      </c>
      <c r="D907" s="19" t="s">
        <v>329</v>
      </c>
      <c r="E907" s="19" t="s">
        <v>347</v>
      </c>
      <c r="F907">
        <v>2</v>
      </c>
      <c r="G907">
        <v>0</v>
      </c>
      <c r="H907">
        <v>0</v>
      </c>
      <c r="I907">
        <v>0</v>
      </c>
      <c r="J907">
        <v>-1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3</v>
      </c>
      <c r="T907">
        <v>0</v>
      </c>
      <c r="U907">
        <v>5</v>
      </c>
      <c r="V907" s="19" t="s">
        <v>1551</v>
      </c>
      <c r="W907" s="19" t="s">
        <v>1537</v>
      </c>
      <c r="X907">
        <v>0</v>
      </c>
      <c r="Y907">
        <v>0</v>
      </c>
      <c r="AA907">
        <v>3</v>
      </c>
      <c r="AB907">
        <v>6</v>
      </c>
      <c r="AC907">
        <v>0</v>
      </c>
      <c r="AD907">
        <v>3</v>
      </c>
      <c r="AE907" s="19" t="s">
        <v>60</v>
      </c>
    </row>
    <row r="908" spans="1:31" x14ac:dyDescent="0.2">
      <c r="A908">
        <v>842</v>
      </c>
      <c r="B908" s="19" t="s">
        <v>1290</v>
      </c>
      <c r="C908">
        <v>34</v>
      </c>
      <c r="D908" s="19" t="s">
        <v>333</v>
      </c>
      <c r="E908" s="19" t="s">
        <v>3</v>
      </c>
      <c r="F908">
        <v>22</v>
      </c>
      <c r="G908">
        <v>0</v>
      </c>
      <c r="H908">
        <v>0</v>
      </c>
      <c r="I908">
        <v>0</v>
      </c>
      <c r="J908">
        <v>0</v>
      </c>
      <c r="K908">
        <v>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>
        <v>0</v>
      </c>
      <c r="V908" s="19" t="s">
        <v>2969</v>
      </c>
      <c r="W908" s="19" t="s">
        <v>1728</v>
      </c>
      <c r="X908">
        <v>0</v>
      </c>
      <c r="Y908">
        <v>0</v>
      </c>
      <c r="AA908">
        <v>0</v>
      </c>
      <c r="AB908">
        <v>0</v>
      </c>
      <c r="AC908">
        <v>0</v>
      </c>
      <c r="AD908">
        <v>7</v>
      </c>
      <c r="AE908" s="19" t="s">
        <v>60</v>
      </c>
    </row>
    <row r="909" spans="1:31" x14ac:dyDescent="0.2">
      <c r="A909">
        <v>843</v>
      </c>
      <c r="B909" s="19" t="s">
        <v>1291</v>
      </c>
      <c r="C909">
        <v>22</v>
      </c>
      <c r="D909" s="19" t="s">
        <v>370</v>
      </c>
      <c r="E909" s="19" t="s">
        <v>334</v>
      </c>
      <c r="F909">
        <v>6</v>
      </c>
      <c r="G909">
        <v>0</v>
      </c>
      <c r="H909">
        <v>0</v>
      </c>
      <c r="I909">
        <v>0</v>
      </c>
      <c r="J909">
        <v>-3</v>
      </c>
      <c r="K909">
        <v>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6</v>
      </c>
      <c r="T909">
        <v>0</v>
      </c>
      <c r="U909">
        <v>14</v>
      </c>
      <c r="V909" s="19" t="s">
        <v>1292</v>
      </c>
      <c r="W909" s="19" t="s">
        <v>1293</v>
      </c>
      <c r="X909">
        <v>0</v>
      </c>
      <c r="Y909">
        <v>0</v>
      </c>
      <c r="AA909">
        <v>0</v>
      </c>
      <c r="AB909">
        <v>4</v>
      </c>
      <c r="AC909">
        <v>0</v>
      </c>
      <c r="AD909">
        <v>2</v>
      </c>
      <c r="AE909" s="19" t="s">
        <v>60</v>
      </c>
    </row>
    <row r="910" spans="1:31" x14ac:dyDescent="0.2">
      <c r="A910">
        <v>844</v>
      </c>
      <c r="B910" s="19" t="s">
        <v>1294</v>
      </c>
      <c r="C910">
        <v>24</v>
      </c>
      <c r="D910" s="19" t="s">
        <v>361</v>
      </c>
      <c r="E910" s="19" t="s">
        <v>3</v>
      </c>
      <c r="F910">
        <v>27</v>
      </c>
      <c r="G910">
        <v>0</v>
      </c>
      <c r="H910">
        <v>0</v>
      </c>
      <c r="I910">
        <v>0</v>
      </c>
      <c r="J910">
        <v>0</v>
      </c>
      <c r="K910">
        <v>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>
        <v>0</v>
      </c>
      <c r="V910" s="19" t="s">
        <v>2136</v>
      </c>
      <c r="W910" s="19" t="s">
        <v>2028</v>
      </c>
      <c r="X910">
        <v>0</v>
      </c>
      <c r="Y910">
        <v>0</v>
      </c>
      <c r="AA910">
        <v>0</v>
      </c>
      <c r="AB910">
        <v>0</v>
      </c>
      <c r="AC910">
        <v>0</v>
      </c>
      <c r="AD910">
        <v>11</v>
      </c>
      <c r="AE910" s="19" t="s">
        <v>60</v>
      </c>
    </row>
    <row r="911" spans="1:31" x14ac:dyDescent="0.2">
      <c r="A911">
        <v>845</v>
      </c>
      <c r="B911" s="19" t="s">
        <v>1295</v>
      </c>
      <c r="C911">
        <v>25</v>
      </c>
      <c r="D911" s="19" t="s">
        <v>336</v>
      </c>
      <c r="E911" s="19" t="s">
        <v>3</v>
      </c>
      <c r="F911">
        <v>39</v>
      </c>
      <c r="G911">
        <v>0</v>
      </c>
      <c r="H911">
        <v>0</v>
      </c>
      <c r="I911">
        <v>0</v>
      </c>
      <c r="J911">
        <v>0</v>
      </c>
      <c r="K911">
        <v>4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>
        <v>2</v>
      </c>
      <c r="V911" s="19" t="s">
        <v>2970</v>
      </c>
      <c r="W911" s="19" t="s">
        <v>2971</v>
      </c>
      <c r="X911">
        <v>0</v>
      </c>
      <c r="Y911">
        <v>0</v>
      </c>
      <c r="AA911">
        <v>0</v>
      </c>
      <c r="AB911">
        <v>0</v>
      </c>
      <c r="AC911">
        <v>0</v>
      </c>
      <c r="AD911">
        <v>16</v>
      </c>
      <c r="AE911" s="19" t="s">
        <v>60</v>
      </c>
    </row>
    <row r="912" spans="1:31" x14ac:dyDescent="0.2">
      <c r="A912">
        <v>846</v>
      </c>
      <c r="B912" s="19" t="s">
        <v>1709</v>
      </c>
      <c r="C912">
        <v>35</v>
      </c>
      <c r="D912" s="19" t="s">
        <v>359</v>
      </c>
      <c r="E912" s="19" t="s">
        <v>322</v>
      </c>
      <c r="F912">
        <v>2</v>
      </c>
      <c r="G912">
        <v>0</v>
      </c>
      <c r="H912">
        <v>0</v>
      </c>
      <c r="I912">
        <v>0</v>
      </c>
      <c r="J912">
        <v>-1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3</v>
      </c>
      <c r="V912" s="19" t="s">
        <v>1718</v>
      </c>
      <c r="W912" s="19" t="s">
        <v>1149</v>
      </c>
      <c r="X912">
        <v>1</v>
      </c>
      <c r="Y912">
        <v>2</v>
      </c>
      <c r="Z912">
        <v>33.299999999999997</v>
      </c>
      <c r="AA912">
        <v>1</v>
      </c>
      <c r="AB912">
        <v>3</v>
      </c>
      <c r="AC912">
        <v>0</v>
      </c>
      <c r="AD912">
        <v>0</v>
      </c>
      <c r="AE912" s="19" t="s">
        <v>60</v>
      </c>
    </row>
    <row r="913" spans="1:31" x14ac:dyDescent="0.2">
      <c r="A913">
        <v>847</v>
      </c>
      <c r="B913" s="19" t="s">
        <v>2072</v>
      </c>
      <c r="C913">
        <v>30</v>
      </c>
      <c r="D913" s="19" t="s">
        <v>452</v>
      </c>
      <c r="E913" s="19" t="s">
        <v>347</v>
      </c>
      <c r="F913">
        <v>3</v>
      </c>
      <c r="G913">
        <v>0</v>
      </c>
      <c r="H913">
        <v>0</v>
      </c>
      <c r="I913">
        <v>0</v>
      </c>
      <c r="J913">
        <v>-1</v>
      </c>
      <c r="K913">
        <v>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</v>
      </c>
      <c r="T913">
        <v>0</v>
      </c>
      <c r="U913">
        <v>3</v>
      </c>
      <c r="V913" s="19" t="s">
        <v>2137</v>
      </c>
      <c r="W913" s="19" t="s">
        <v>1850</v>
      </c>
      <c r="X913">
        <v>0</v>
      </c>
      <c r="Y913">
        <v>0</v>
      </c>
      <c r="AA913">
        <v>1</v>
      </c>
      <c r="AB913">
        <v>4</v>
      </c>
      <c r="AC913">
        <v>0</v>
      </c>
      <c r="AD913">
        <v>2</v>
      </c>
      <c r="AE913" s="19" t="s">
        <v>60</v>
      </c>
    </row>
    <row r="914" spans="1:31" x14ac:dyDescent="0.2">
      <c r="A914">
        <v>848</v>
      </c>
      <c r="B914" s="19" t="s">
        <v>1297</v>
      </c>
      <c r="C914">
        <v>22</v>
      </c>
      <c r="D914" s="19" t="s">
        <v>361</v>
      </c>
      <c r="E914" s="19" t="s">
        <v>347</v>
      </c>
      <c r="F914">
        <v>11</v>
      </c>
      <c r="G914">
        <v>0</v>
      </c>
      <c r="H914">
        <v>0</v>
      </c>
      <c r="I914">
        <v>0</v>
      </c>
      <c r="J914">
        <v>3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7</v>
      </c>
      <c r="T914">
        <v>0</v>
      </c>
      <c r="U914">
        <v>19</v>
      </c>
      <c r="V914" s="19" t="s">
        <v>1699</v>
      </c>
      <c r="W914" s="19" t="s">
        <v>1606</v>
      </c>
      <c r="X914">
        <v>0</v>
      </c>
      <c r="Y914">
        <v>0</v>
      </c>
      <c r="AA914">
        <v>5</v>
      </c>
      <c r="AB914">
        <v>4</v>
      </c>
      <c r="AC914">
        <v>2</v>
      </c>
      <c r="AD914">
        <v>6</v>
      </c>
      <c r="AE914" s="19" t="s">
        <v>60</v>
      </c>
    </row>
    <row r="915" spans="1:31" x14ac:dyDescent="0.2">
      <c r="A915">
        <v>849</v>
      </c>
      <c r="B915" s="19" t="s">
        <v>1299</v>
      </c>
      <c r="C915">
        <v>26</v>
      </c>
      <c r="D915" s="19" t="s">
        <v>403</v>
      </c>
      <c r="E915" s="19" t="s">
        <v>3</v>
      </c>
      <c r="F915">
        <v>24</v>
      </c>
      <c r="G915">
        <v>0</v>
      </c>
      <c r="H915">
        <v>0</v>
      </c>
      <c r="I915">
        <v>0</v>
      </c>
      <c r="J915">
        <v>0</v>
      </c>
      <c r="K915">
        <v>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>
        <v>0</v>
      </c>
      <c r="V915" s="19" t="s">
        <v>2094</v>
      </c>
      <c r="W915" s="19" t="s">
        <v>2019</v>
      </c>
      <c r="X915">
        <v>0</v>
      </c>
      <c r="Y915">
        <v>0</v>
      </c>
      <c r="AA915">
        <v>0</v>
      </c>
      <c r="AB915">
        <v>0</v>
      </c>
      <c r="AC915">
        <v>0</v>
      </c>
      <c r="AD915">
        <v>5</v>
      </c>
      <c r="AE915" s="19" t="s">
        <v>60</v>
      </c>
    </row>
    <row r="916" spans="1:31" x14ac:dyDescent="0.2">
      <c r="A916">
        <v>850</v>
      </c>
      <c r="B916" s="19" t="s">
        <v>1300</v>
      </c>
      <c r="C916">
        <v>24</v>
      </c>
      <c r="D916" s="19" t="s">
        <v>393</v>
      </c>
      <c r="E916" s="19" t="s">
        <v>347</v>
      </c>
      <c r="F916">
        <v>1</v>
      </c>
      <c r="G916">
        <v>0</v>
      </c>
      <c r="H916">
        <v>0</v>
      </c>
      <c r="I916">
        <v>0</v>
      </c>
      <c r="J916">
        <v>-2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</v>
      </c>
      <c r="T916">
        <v>0</v>
      </c>
      <c r="U916">
        <v>5</v>
      </c>
      <c r="V916" s="19" t="s">
        <v>858</v>
      </c>
      <c r="W916" s="19" t="s">
        <v>858</v>
      </c>
      <c r="X916">
        <v>0</v>
      </c>
      <c r="Y916">
        <v>0</v>
      </c>
      <c r="AA916">
        <v>3</v>
      </c>
      <c r="AB916">
        <v>1</v>
      </c>
      <c r="AC916">
        <v>0</v>
      </c>
      <c r="AD916">
        <v>0</v>
      </c>
      <c r="AE916" s="19" t="s">
        <v>60</v>
      </c>
    </row>
    <row r="917" spans="1:31" x14ac:dyDescent="0.2">
      <c r="A917">
        <v>851</v>
      </c>
      <c r="B917" s="19" t="s">
        <v>1301</v>
      </c>
      <c r="C917">
        <v>29</v>
      </c>
      <c r="D917" s="19" t="s">
        <v>344</v>
      </c>
      <c r="E917" s="19" t="s">
        <v>347</v>
      </c>
      <c r="F917">
        <v>17</v>
      </c>
      <c r="G917">
        <v>0</v>
      </c>
      <c r="H917">
        <v>0</v>
      </c>
      <c r="I917">
        <v>0</v>
      </c>
      <c r="J917">
        <v>-7</v>
      </c>
      <c r="K917">
        <v>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11</v>
      </c>
      <c r="T917">
        <v>0</v>
      </c>
      <c r="U917">
        <v>28</v>
      </c>
      <c r="V917" s="19" t="s">
        <v>1749</v>
      </c>
      <c r="W917" s="19" t="s">
        <v>1305</v>
      </c>
      <c r="X917">
        <v>0</v>
      </c>
      <c r="Y917">
        <v>0</v>
      </c>
      <c r="AA917">
        <v>26</v>
      </c>
      <c r="AB917">
        <v>23</v>
      </c>
      <c r="AC917">
        <v>5</v>
      </c>
      <c r="AD917">
        <v>11</v>
      </c>
      <c r="AE917" s="19" t="s">
        <v>60</v>
      </c>
    </row>
    <row r="918" spans="1:31" x14ac:dyDescent="0.2">
      <c r="A918">
        <v>852</v>
      </c>
      <c r="B918" s="19" t="s">
        <v>1303</v>
      </c>
      <c r="C918">
        <v>33</v>
      </c>
      <c r="D918" s="19" t="s">
        <v>440</v>
      </c>
      <c r="E918" s="19" t="s">
        <v>347</v>
      </c>
      <c r="F918">
        <v>2</v>
      </c>
      <c r="G918">
        <v>0</v>
      </c>
      <c r="H918">
        <v>0</v>
      </c>
      <c r="I918">
        <v>0</v>
      </c>
      <c r="J918">
        <v>0</v>
      </c>
      <c r="K918">
        <v>2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 s="19" t="s">
        <v>1304</v>
      </c>
      <c r="W918" s="19" t="s">
        <v>1305</v>
      </c>
      <c r="X918">
        <v>0</v>
      </c>
      <c r="Y918">
        <v>0</v>
      </c>
      <c r="AA918">
        <v>4</v>
      </c>
      <c r="AB918">
        <v>2</v>
      </c>
      <c r="AC918">
        <v>0</v>
      </c>
      <c r="AD918">
        <v>5</v>
      </c>
      <c r="AE918" s="19" t="s">
        <v>60</v>
      </c>
    </row>
    <row r="919" spans="1:31" x14ac:dyDescent="0.2">
      <c r="A919">
        <v>853</v>
      </c>
      <c r="B919" s="19" t="s">
        <v>1306</v>
      </c>
      <c r="C919">
        <v>33</v>
      </c>
      <c r="D919" s="19" t="s">
        <v>415</v>
      </c>
      <c r="E919" s="19" t="s">
        <v>3</v>
      </c>
      <c r="F919">
        <v>23</v>
      </c>
      <c r="G919">
        <v>0</v>
      </c>
      <c r="H919">
        <v>0</v>
      </c>
      <c r="I919">
        <v>0</v>
      </c>
      <c r="J919">
        <v>0</v>
      </c>
      <c r="K919">
        <v>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>
        <v>0</v>
      </c>
      <c r="V919" s="19" t="s">
        <v>2972</v>
      </c>
      <c r="W919" s="19" t="s">
        <v>2973</v>
      </c>
      <c r="X919">
        <v>0</v>
      </c>
      <c r="Y919">
        <v>0</v>
      </c>
      <c r="AA919">
        <v>0</v>
      </c>
      <c r="AB919">
        <v>0</v>
      </c>
      <c r="AC919">
        <v>0</v>
      </c>
      <c r="AD919">
        <v>8</v>
      </c>
      <c r="AE919" s="19" t="s">
        <v>60</v>
      </c>
    </row>
    <row r="920" spans="1:31" x14ac:dyDescent="0.2">
      <c r="A920">
        <v>854</v>
      </c>
      <c r="B920" s="19" t="s">
        <v>1511</v>
      </c>
      <c r="C920">
        <v>21</v>
      </c>
      <c r="D920" s="19" t="s">
        <v>361</v>
      </c>
      <c r="E920" s="19" t="s">
        <v>3</v>
      </c>
      <c r="F920">
        <v>10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>
        <v>0</v>
      </c>
      <c r="V920" s="19" t="s">
        <v>1897</v>
      </c>
      <c r="W920" s="19" t="s">
        <v>1898</v>
      </c>
      <c r="X920">
        <v>0</v>
      </c>
      <c r="Y920">
        <v>0</v>
      </c>
      <c r="AA920">
        <v>0</v>
      </c>
      <c r="AB920">
        <v>0</v>
      </c>
      <c r="AC920">
        <v>0</v>
      </c>
      <c r="AD920">
        <v>3</v>
      </c>
      <c r="AE920" s="19" t="s">
        <v>60</v>
      </c>
    </row>
    <row r="921" spans="1:31" x14ac:dyDescent="0.2">
      <c r="A921">
        <v>855</v>
      </c>
      <c r="B921" s="19" t="s">
        <v>1307</v>
      </c>
      <c r="C921">
        <v>24</v>
      </c>
      <c r="D921" s="19" t="s">
        <v>403</v>
      </c>
      <c r="E921" s="19" t="s">
        <v>325</v>
      </c>
      <c r="F921">
        <v>3</v>
      </c>
      <c r="G921">
        <v>0</v>
      </c>
      <c r="H921">
        <v>0</v>
      </c>
      <c r="I921">
        <v>0</v>
      </c>
      <c r="J921">
        <v>-1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3</v>
      </c>
      <c r="T921">
        <v>0</v>
      </c>
      <c r="U921">
        <v>4</v>
      </c>
      <c r="V921" s="19" t="s">
        <v>1308</v>
      </c>
      <c r="W921" s="19" t="s">
        <v>1309</v>
      </c>
      <c r="X921">
        <v>9</v>
      </c>
      <c r="Y921">
        <v>10</v>
      </c>
      <c r="Z921">
        <v>47.4</v>
      </c>
      <c r="AA921">
        <v>1</v>
      </c>
      <c r="AB921">
        <v>2</v>
      </c>
      <c r="AC921">
        <v>0</v>
      </c>
      <c r="AD921">
        <v>2</v>
      </c>
      <c r="AE921" s="19" t="s">
        <v>60</v>
      </c>
    </row>
    <row r="922" spans="1:31" x14ac:dyDescent="0.2">
      <c r="A922">
        <v>856</v>
      </c>
      <c r="B922" s="19" t="s">
        <v>1310</v>
      </c>
      <c r="C922">
        <v>30</v>
      </c>
      <c r="D922" s="19" t="s">
        <v>423</v>
      </c>
      <c r="E922" s="19" t="s">
        <v>347</v>
      </c>
      <c r="F922">
        <v>5</v>
      </c>
      <c r="G922">
        <v>0</v>
      </c>
      <c r="H922">
        <v>0</v>
      </c>
      <c r="I922">
        <v>0</v>
      </c>
      <c r="J922">
        <v>-1</v>
      </c>
      <c r="K922">
        <v>12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2</v>
      </c>
      <c r="V922" s="19" t="s">
        <v>362</v>
      </c>
      <c r="W922" s="19" t="s">
        <v>1311</v>
      </c>
      <c r="X922">
        <v>0</v>
      </c>
      <c r="Y922">
        <v>0</v>
      </c>
      <c r="AA922">
        <v>0</v>
      </c>
      <c r="AB922">
        <v>8</v>
      </c>
      <c r="AC922">
        <v>0</v>
      </c>
      <c r="AD922">
        <v>0</v>
      </c>
      <c r="AE922" s="19" t="s">
        <v>60</v>
      </c>
    </row>
    <row r="923" spans="1:31" x14ac:dyDescent="0.2">
      <c r="A923">
        <v>857</v>
      </c>
      <c r="B923" s="19" t="s">
        <v>1312</v>
      </c>
      <c r="C923">
        <v>29</v>
      </c>
      <c r="D923" s="19" t="s">
        <v>412</v>
      </c>
      <c r="E923" s="19" t="s">
        <v>347</v>
      </c>
      <c r="F923">
        <v>1</v>
      </c>
      <c r="G923">
        <v>0</v>
      </c>
      <c r="H923">
        <v>0</v>
      </c>
      <c r="I923">
        <v>0</v>
      </c>
      <c r="J923">
        <v>-1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>
        <v>2</v>
      </c>
      <c r="V923" s="19" t="s">
        <v>1313</v>
      </c>
      <c r="W923" s="19" t="s">
        <v>1313</v>
      </c>
      <c r="X923">
        <v>0</v>
      </c>
      <c r="Y923">
        <v>0</v>
      </c>
      <c r="AA923">
        <v>1</v>
      </c>
      <c r="AB923">
        <v>0</v>
      </c>
      <c r="AC923">
        <v>0</v>
      </c>
      <c r="AD923">
        <v>3</v>
      </c>
      <c r="AE923" s="19" t="s">
        <v>60</v>
      </c>
    </row>
    <row r="924" spans="1:31" x14ac:dyDescent="0.2">
      <c r="A924">
        <v>858</v>
      </c>
      <c r="B924" s="19" t="s">
        <v>1314</v>
      </c>
      <c r="C924">
        <v>26</v>
      </c>
      <c r="D924" s="19" t="s">
        <v>403</v>
      </c>
      <c r="E924" s="19" t="s">
        <v>347</v>
      </c>
      <c r="F924">
        <v>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</v>
      </c>
      <c r="T924">
        <v>0</v>
      </c>
      <c r="U924">
        <v>9</v>
      </c>
      <c r="V924" s="19" t="s">
        <v>1315</v>
      </c>
      <c r="W924" s="19" t="s">
        <v>1316</v>
      </c>
      <c r="X924">
        <v>0</v>
      </c>
      <c r="Y924">
        <v>0</v>
      </c>
      <c r="AA924">
        <v>5</v>
      </c>
      <c r="AB924">
        <v>4</v>
      </c>
      <c r="AC924">
        <v>0</v>
      </c>
      <c r="AD924">
        <v>5</v>
      </c>
      <c r="AE924" s="19" t="s">
        <v>60</v>
      </c>
    </row>
    <row r="925" spans="1:31" x14ac:dyDescent="0.2">
      <c r="A925">
        <v>859</v>
      </c>
      <c r="B925" s="19" t="s">
        <v>1317</v>
      </c>
      <c r="C925">
        <v>24</v>
      </c>
      <c r="D925" s="19" t="s">
        <v>377</v>
      </c>
      <c r="E925" s="19" t="s">
        <v>3</v>
      </c>
      <c r="F925">
        <v>37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1</v>
      </c>
      <c r="V925" s="19" t="s">
        <v>2366</v>
      </c>
      <c r="W925" s="19" t="s">
        <v>2367</v>
      </c>
      <c r="X925">
        <v>0</v>
      </c>
      <c r="Y925">
        <v>0</v>
      </c>
      <c r="AA925">
        <v>0</v>
      </c>
      <c r="AB925">
        <v>0</v>
      </c>
      <c r="AC925">
        <v>0</v>
      </c>
      <c r="AD925">
        <v>11</v>
      </c>
      <c r="AE925" s="19" t="s">
        <v>60</v>
      </c>
    </row>
    <row r="926" spans="1:31" x14ac:dyDescent="0.2">
      <c r="A926">
        <v>860</v>
      </c>
      <c r="B926" s="19" t="s">
        <v>1321</v>
      </c>
      <c r="C926">
        <v>33</v>
      </c>
      <c r="D926" s="19" t="s">
        <v>368</v>
      </c>
      <c r="E926" s="19" t="s">
        <v>347</v>
      </c>
      <c r="F926">
        <v>2</v>
      </c>
      <c r="G926">
        <v>0</v>
      </c>
      <c r="H926">
        <v>0</v>
      </c>
      <c r="I926">
        <v>0</v>
      </c>
      <c r="J926">
        <v>-2</v>
      </c>
      <c r="K926">
        <v>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3</v>
      </c>
      <c r="T926">
        <v>0</v>
      </c>
      <c r="U926">
        <v>8</v>
      </c>
      <c r="V926" s="19" t="s">
        <v>2116</v>
      </c>
      <c r="W926" s="19" t="s">
        <v>1649</v>
      </c>
      <c r="X926">
        <v>0</v>
      </c>
      <c r="Y926">
        <v>0</v>
      </c>
      <c r="AA926">
        <v>1</v>
      </c>
      <c r="AB926">
        <v>2</v>
      </c>
      <c r="AC926">
        <v>1</v>
      </c>
      <c r="AD926">
        <v>3</v>
      </c>
      <c r="AE926" s="19" t="s">
        <v>60</v>
      </c>
    </row>
    <row r="927" spans="1:31" x14ac:dyDescent="0.2">
      <c r="A927">
        <v>861</v>
      </c>
      <c r="B927" s="19" t="s">
        <v>1323</v>
      </c>
      <c r="C927">
        <v>21</v>
      </c>
      <c r="D927" s="19" t="s">
        <v>355</v>
      </c>
      <c r="E927" s="19" t="s">
        <v>322</v>
      </c>
      <c r="F927">
        <v>5</v>
      </c>
      <c r="G927">
        <v>0</v>
      </c>
      <c r="H927">
        <v>0</v>
      </c>
      <c r="I927">
        <v>0</v>
      </c>
      <c r="J927">
        <v>-4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</v>
      </c>
      <c r="T927">
        <v>0</v>
      </c>
      <c r="U927">
        <v>6</v>
      </c>
      <c r="V927" s="19" t="s">
        <v>1420</v>
      </c>
      <c r="W927" s="19" t="s">
        <v>1936</v>
      </c>
      <c r="X927">
        <v>18</v>
      </c>
      <c r="Y927">
        <v>19</v>
      </c>
      <c r="Z927">
        <v>48.6</v>
      </c>
      <c r="AA927">
        <v>1</v>
      </c>
      <c r="AB927">
        <v>6</v>
      </c>
      <c r="AC927">
        <v>1</v>
      </c>
      <c r="AD927">
        <v>3</v>
      </c>
      <c r="AE927" s="19" t="s">
        <v>60</v>
      </c>
    </row>
    <row r="928" spans="1:31" x14ac:dyDescent="0.2">
      <c r="A928">
        <v>862</v>
      </c>
      <c r="B928" s="19" t="s">
        <v>1529</v>
      </c>
      <c r="C928">
        <v>29</v>
      </c>
      <c r="D928" s="19" t="s">
        <v>350</v>
      </c>
      <c r="E928" s="19" t="s">
        <v>3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>
        <v>0</v>
      </c>
      <c r="V928" s="19" t="s">
        <v>1530</v>
      </c>
      <c r="W928" s="19" t="s">
        <v>1530</v>
      </c>
      <c r="X928">
        <v>0</v>
      </c>
      <c r="Y928">
        <v>0</v>
      </c>
      <c r="AA928">
        <v>0</v>
      </c>
      <c r="AB928">
        <v>0</v>
      </c>
      <c r="AC928">
        <v>0</v>
      </c>
      <c r="AD928">
        <v>0</v>
      </c>
      <c r="AE928" s="19" t="s">
        <v>60</v>
      </c>
    </row>
    <row r="929" spans="1:31" x14ac:dyDescent="0.2">
      <c r="A929">
        <v>863</v>
      </c>
      <c r="B929" s="19" t="s">
        <v>1324</v>
      </c>
      <c r="C929">
        <v>27</v>
      </c>
      <c r="D929" s="19" t="s">
        <v>342</v>
      </c>
      <c r="E929" s="19" t="s">
        <v>3</v>
      </c>
      <c r="F929">
        <v>12</v>
      </c>
      <c r="G929">
        <v>0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>
        <v>0</v>
      </c>
      <c r="V929" s="19" t="s">
        <v>1770</v>
      </c>
      <c r="W929" s="19" t="s">
        <v>1771</v>
      </c>
      <c r="X929">
        <v>0</v>
      </c>
      <c r="Y929">
        <v>0</v>
      </c>
      <c r="AA929">
        <v>0</v>
      </c>
      <c r="AB929">
        <v>0</v>
      </c>
      <c r="AC929">
        <v>0</v>
      </c>
      <c r="AD929">
        <v>5</v>
      </c>
      <c r="AE929" s="19" t="s">
        <v>60</v>
      </c>
    </row>
    <row r="930" spans="1:31" x14ac:dyDescent="0.2">
      <c r="A930">
        <v>864</v>
      </c>
      <c r="B930" s="19" t="s">
        <v>1326</v>
      </c>
      <c r="C930">
        <v>30</v>
      </c>
      <c r="D930" s="19" t="s">
        <v>520</v>
      </c>
      <c r="E930" s="19" t="s">
        <v>322</v>
      </c>
      <c r="F930">
        <v>3</v>
      </c>
      <c r="G930">
        <v>0</v>
      </c>
      <c r="H930">
        <v>0</v>
      </c>
      <c r="I930">
        <v>0</v>
      </c>
      <c r="J930">
        <v>-1</v>
      </c>
      <c r="K930">
        <v>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2</v>
      </c>
      <c r="T930">
        <v>0</v>
      </c>
      <c r="U930">
        <v>5</v>
      </c>
      <c r="V930" s="19" t="s">
        <v>1327</v>
      </c>
      <c r="W930" s="19" t="s">
        <v>1328</v>
      </c>
      <c r="X930">
        <v>6</v>
      </c>
      <c r="Y930">
        <v>9</v>
      </c>
      <c r="Z930">
        <v>40</v>
      </c>
      <c r="AA930">
        <v>2</v>
      </c>
      <c r="AB930">
        <v>7</v>
      </c>
      <c r="AC930">
        <v>1</v>
      </c>
      <c r="AD930">
        <v>2</v>
      </c>
      <c r="AE930" s="19" t="s">
        <v>60</v>
      </c>
    </row>
    <row r="931" spans="1:31" x14ac:dyDescent="0.2">
      <c r="A931">
        <v>865</v>
      </c>
      <c r="B931" s="19" t="s">
        <v>2974</v>
      </c>
      <c r="C931">
        <v>24</v>
      </c>
      <c r="D931" s="19" t="s">
        <v>344</v>
      </c>
      <c r="E931" s="19" t="s">
        <v>347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</v>
      </c>
      <c r="T931">
        <v>0</v>
      </c>
      <c r="U931">
        <v>2</v>
      </c>
      <c r="V931" s="19" t="s">
        <v>1524</v>
      </c>
      <c r="W931" s="19" t="s">
        <v>1524</v>
      </c>
      <c r="X931">
        <v>0</v>
      </c>
      <c r="Y931">
        <v>0</v>
      </c>
      <c r="AA931">
        <v>1</v>
      </c>
      <c r="AB931">
        <v>2</v>
      </c>
      <c r="AC931">
        <v>0</v>
      </c>
      <c r="AD931">
        <v>0</v>
      </c>
      <c r="AE931" s="19" t="s">
        <v>60</v>
      </c>
    </row>
    <row r="932" spans="1:31" x14ac:dyDescent="0.2">
      <c r="A932">
        <v>866</v>
      </c>
      <c r="B932" s="19" t="s">
        <v>1330</v>
      </c>
      <c r="C932">
        <v>32</v>
      </c>
      <c r="D932" s="19" t="s">
        <v>344</v>
      </c>
      <c r="E932" s="19" t="s">
        <v>3</v>
      </c>
      <c r="F932">
        <v>36</v>
      </c>
      <c r="G932">
        <v>0</v>
      </c>
      <c r="H932">
        <v>0</v>
      </c>
      <c r="I932">
        <v>0</v>
      </c>
      <c r="J932">
        <v>0</v>
      </c>
      <c r="K932">
        <v>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>
        <v>0</v>
      </c>
      <c r="V932" s="19" t="s">
        <v>2368</v>
      </c>
      <c r="W932" s="19" t="s">
        <v>1859</v>
      </c>
      <c r="X932">
        <v>0</v>
      </c>
      <c r="Y932">
        <v>0</v>
      </c>
      <c r="AA932">
        <v>0</v>
      </c>
      <c r="AB932">
        <v>0</v>
      </c>
      <c r="AC932">
        <v>0</v>
      </c>
      <c r="AD932">
        <v>12</v>
      </c>
      <c r="AE932" s="19" t="s">
        <v>60</v>
      </c>
    </row>
    <row r="933" spans="1:31" x14ac:dyDescent="0.2">
      <c r="A933">
        <v>867</v>
      </c>
      <c r="B933" s="19" t="s">
        <v>1331</v>
      </c>
      <c r="C933">
        <v>24</v>
      </c>
      <c r="D933" s="19" t="s">
        <v>357</v>
      </c>
      <c r="E933" s="19" t="s">
        <v>3</v>
      </c>
      <c r="F933">
        <v>19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>
        <v>0</v>
      </c>
      <c r="V933" s="19" t="s">
        <v>1978</v>
      </c>
      <c r="W933" s="19" t="s">
        <v>1979</v>
      </c>
      <c r="X933">
        <v>0</v>
      </c>
      <c r="Y933">
        <v>0</v>
      </c>
      <c r="AA933">
        <v>0</v>
      </c>
      <c r="AB933">
        <v>0</v>
      </c>
      <c r="AC933">
        <v>0</v>
      </c>
      <c r="AD933">
        <v>6</v>
      </c>
      <c r="AE933" s="19" t="s">
        <v>60</v>
      </c>
    </row>
    <row r="934" spans="1:31" x14ac:dyDescent="0.2">
      <c r="A934">
        <v>868</v>
      </c>
      <c r="B934" s="19" t="s">
        <v>1333</v>
      </c>
      <c r="C934">
        <v>29</v>
      </c>
      <c r="D934" s="19" t="s">
        <v>412</v>
      </c>
      <c r="E934" s="19" t="s">
        <v>334</v>
      </c>
      <c r="F934">
        <v>9</v>
      </c>
      <c r="G934">
        <v>0</v>
      </c>
      <c r="H934">
        <v>0</v>
      </c>
      <c r="I934">
        <v>0</v>
      </c>
      <c r="J934">
        <v>-1</v>
      </c>
      <c r="K934">
        <v>11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3</v>
      </c>
      <c r="T934">
        <v>0</v>
      </c>
      <c r="U934">
        <v>10</v>
      </c>
      <c r="V934" s="19" t="s">
        <v>1334</v>
      </c>
      <c r="W934" s="19" t="s">
        <v>1335</v>
      </c>
      <c r="X934">
        <v>0</v>
      </c>
      <c r="Y934">
        <v>0</v>
      </c>
      <c r="AA934">
        <v>0</v>
      </c>
      <c r="AB934">
        <v>23</v>
      </c>
      <c r="AC934">
        <v>0</v>
      </c>
      <c r="AD934">
        <v>3</v>
      </c>
      <c r="AE934" s="19" t="s">
        <v>60</v>
      </c>
    </row>
    <row r="935" spans="1:31" x14ac:dyDescent="0.2">
      <c r="A935">
        <v>869</v>
      </c>
      <c r="B935" s="19" t="s">
        <v>1336</v>
      </c>
      <c r="C935">
        <v>25</v>
      </c>
      <c r="D935" s="19" t="s">
        <v>502</v>
      </c>
      <c r="E935" s="19" t="s">
        <v>3</v>
      </c>
      <c r="F935">
        <v>30</v>
      </c>
      <c r="G935">
        <v>0</v>
      </c>
      <c r="H935">
        <v>0</v>
      </c>
      <c r="I935">
        <v>0</v>
      </c>
      <c r="J935">
        <v>0</v>
      </c>
      <c r="K935">
        <v>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>
        <v>4</v>
      </c>
      <c r="V935" s="19" t="s">
        <v>2138</v>
      </c>
      <c r="W935" s="19" t="s">
        <v>1995</v>
      </c>
      <c r="X935">
        <v>0</v>
      </c>
      <c r="Y935">
        <v>0</v>
      </c>
      <c r="AA935">
        <v>0</v>
      </c>
      <c r="AB935">
        <v>0</v>
      </c>
      <c r="AC935">
        <v>0</v>
      </c>
      <c r="AD935">
        <v>27</v>
      </c>
      <c r="AE935" s="19" t="s">
        <v>60</v>
      </c>
    </row>
    <row r="936" spans="1:31" x14ac:dyDescent="0.2">
      <c r="A936">
        <v>870</v>
      </c>
      <c r="B936" s="19" t="s">
        <v>1700</v>
      </c>
      <c r="C936">
        <v>31</v>
      </c>
      <c r="D936" s="19" t="s">
        <v>380</v>
      </c>
      <c r="E936" s="19" t="s">
        <v>3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>
        <v>0</v>
      </c>
      <c r="V936" s="19" t="s">
        <v>1579</v>
      </c>
      <c r="W936" s="19" t="s">
        <v>1579</v>
      </c>
      <c r="X936">
        <v>0</v>
      </c>
      <c r="Y936">
        <v>0</v>
      </c>
      <c r="AA936">
        <v>0</v>
      </c>
      <c r="AB936">
        <v>0</v>
      </c>
      <c r="AC936">
        <v>0</v>
      </c>
      <c r="AD936">
        <v>0</v>
      </c>
      <c r="AE936" s="19" t="s">
        <v>60</v>
      </c>
    </row>
    <row r="937" spans="1:31" x14ac:dyDescent="0.2">
      <c r="A937">
        <v>871</v>
      </c>
      <c r="B937" s="19" t="s">
        <v>2975</v>
      </c>
      <c r="C937">
        <v>24</v>
      </c>
      <c r="D937" s="19" t="s">
        <v>370</v>
      </c>
      <c r="E937" s="19" t="s">
        <v>347</v>
      </c>
      <c r="F937">
        <v>1</v>
      </c>
      <c r="G937">
        <v>0</v>
      </c>
      <c r="H937">
        <v>0</v>
      </c>
      <c r="I937">
        <v>0</v>
      </c>
      <c r="J937">
        <v>-3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>
        <v>1</v>
      </c>
      <c r="V937" s="19" t="s">
        <v>1480</v>
      </c>
      <c r="W937" s="19" t="s">
        <v>1480</v>
      </c>
      <c r="X937">
        <v>0</v>
      </c>
      <c r="Y937">
        <v>0</v>
      </c>
      <c r="AA937">
        <v>0</v>
      </c>
      <c r="AB937">
        <v>0</v>
      </c>
      <c r="AC937">
        <v>0</v>
      </c>
      <c r="AD937">
        <v>3</v>
      </c>
      <c r="AE937" s="19" t="s">
        <v>60</v>
      </c>
    </row>
    <row r="938" spans="1:31" x14ac:dyDescent="0.2">
      <c r="A938">
        <v>872</v>
      </c>
      <c r="B938" s="19" t="s">
        <v>1338</v>
      </c>
      <c r="C938">
        <v>30</v>
      </c>
      <c r="D938" s="19" t="s">
        <v>430</v>
      </c>
      <c r="E938" s="19" t="s">
        <v>338</v>
      </c>
      <c r="F938">
        <v>3</v>
      </c>
      <c r="G938">
        <v>0</v>
      </c>
      <c r="H938">
        <v>0</v>
      </c>
      <c r="I938">
        <v>0</v>
      </c>
      <c r="J938">
        <v>-3</v>
      </c>
      <c r="K938">
        <v>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4</v>
      </c>
      <c r="T938">
        <v>0</v>
      </c>
      <c r="U938">
        <v>5</v>
      </c>
      <c r="V938" s="19" t="s">
        <v>1899</v>
      </c>
      <c r="W938" s="19" t="s">
        <v>1055</v>
      </c>
      <c r="X938">
        <v>0</v>
      </c>
      <c r="Y938">
        <v>0</v>
      </c>
      <c r="AA938">
        <v>4</v>
      </c>
      <c r="AB938">
        <v>9</v>
      </c>
      <c r="AC938">
        <v>0</v>
      </c>
      <c r="AD938">
        <v>3</v>
      </c>
      <c r="AE938" s="19" t="s">
        <v>60</v>
      </c>
    </row>
    <row r="939" spans="1:31" x14ac:dyDescent="0.2">
      <c r="A939">
        <v>873</v>
      </c>
      <c r="B939" s="19" t="s">
        <v>1339</v>
      </c>
      <c r="C939">
        <v>30</v>
      </c>
      <c r="D939" s="19" t="s">
        <v>336</v>
      </c>
      <c r="E939" s="19" t="s">
        <v>3</v>
      </c>
      <c r="F939">
        <v>12</v>
      </c>
      <c r="G939">
        <v>0</v>
      </c>
      <c r="H939">
        <v>0</v>
      </c>
      <c r="I939">
        <v>0</v>
      </c>
      <c r="J939">
        <v>0</v>
      </c>
      <c r="K939">
        <v>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>
        <v>0</v>
      </c>
      <c r="V939" s="19" t="s">
        <v>2073</v>
      </c>
      <c r="W939" s="19" t="s">
        <v>2066</v>
      </c>
      <c r="X939">
        <v>0</v>
      </c>
      <c r="Y939">
        <v>0</v>
      </c>
      <c r="AA939">
        <v>0</v>
      </c>
      <c r="AB939">
        <v>0</v>
      </c>
      <c r="AC939">
        <v>0</v>
      </c>
      <c r="AD939">
        <v>6</v>
      </c>
      <c r="AE939" s="19" t="s">
        <v>60</v>
      </c>
    </row>
    <row r="940" spans="1:31" x14ac:dyDescent="0.2">
      <c r="A940">
        <v>874</v>
      </c>
      <c r="B940" s="19" t="s">
        <v>2976</v>
      </c>
      <c r="C940">
        <v>24</v>
      </c>
      <c r="D940" s="19" t="s">
        <v>333</v>
      </c>
      <c r="E940" s="19" t="s">
        <v>325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3</v>
      </c>
      <c r="T940">
        <v>0</v>
      </c>
      <c r="U940">
        <v>3</v>
      </c>
      <c r="V940" s="19" t="s">
        <v>2977</v>
      </c>
      <c r="W940" s="19" t="s">
        <v>2977</v>
      </c>
      <c r="X940">
        <v>6</v>
      </c>
      <c r="Y940">
        <v>2</v>
      </c>
      <c r="Z940">
        <v>75</v>
      </c>
      <c r="AA940">
        <v>0</v>
      </c>
      <c r="AB940">
        <v>1</v>
      </c>
      <c r="AC940">
        <v>0</v>
      </c>
      <c r="AD940">
        <v>0</v>
      </c>
      <c r="AE940" s="19" t="s">
        <v>60</v>
      </c>
    </row>
    <row r="941" spans="1:31" x14ac:dyDescent="0.2">
      <c r="A941">
        <v>875</v>
      </c>
      <c r="B941" s="19" t="s">
        <v>1340</v>
      </c>
      <c r="C941">
        <v>29</v>
      </c>
      <c r="D941" s="19" t="s">
        <v>373</v>
      </c>
      <c r="E941" s="19" t="s">
        <v>338</v>
      </c>
      <c r="F941">
        <v>2</v>
      </c>
      <c r="G941">
        <v>0</v>
      </c>
      <c r="H941">
        <v>0</v>
      </c>
      <c r="I941">
        <v>0</v>
      </c>
      <c r="J941">
        <v>0</v>
      </c>
      <c r="K941">
        <v>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</v>
      </c>
      <c r="T941">
        <v>0</v>
      </c>
      <c r="U941">
        <v>4</v>
      </c>
      <c r="V941" s="19" t="s">
        <v>649</v>
      </c>
      <c r="W941" s="19" t="s">
        <v>1341</v>
      </c>
      <c r="X941">
        <v>0</v>
      </c>
      <c r="Y941">
        <v>0</v>
      </c>
      <c r="AA941">
        <v>0</v>
      </c>
      <c r="AB941">
        <v>3</v>
      </c>
      <c r="AC941">
        <v>0</v>
      </c>
      <c r="AD941">
        <v>2</v>
      </c>
      <c r="AE941" s="19" t="s">
        <v>60</v>
      </c>
    </row>
    <row r="942" spans="1:31" x14ac:dyDescent="0.2">
      <c r="A942">
        <v>876</v>
      </c>
      <c r="B942" s="19" t="s">
        <v>1343</v>
      </c>
      <c r="C942">
        <v>30</v>
      </c>
      <c r="D942" s="19" t="s">
        <v>933</v>
      </c>
      <c r="E942" s="19" t="s">
        <v>3</v>
      </c>
      <c r="F942">
        <v>26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>
        <v>0</v>
      </c>
      <c r="V942" s="19" t="s">
        <v>2978</v>
      </c>
      <c r="W942" s="19" t="s">
        <v>2979</v>
      </c>
      <c r="X942">
        <v>0</v>
      </c>
      <c r="Y942">
        <v>0</v>
      </c>
      <c r="AA942">
        <v>0</v>
      </c>
      <c r="AB942">
        <v>0</v>
      </c>
      <c r="AC942">
        <v>0</v>
      </c>
      <c r="AD942">
        <v>12</v>
      </c>
      <c r="AE942" s="19" t="s">
        <v>60</v>
      </c>
    </row>
    <row r="943" spans="1:31" x14ac:dyDescent="0.2">
      <c r="A943">
        <v>876</v>
      </c>
      <c r="B943" s="19" t="s">
        <v>1343</v>
      </c>
      <c r="C943">
        <v>30</v>
      </c>
      <c r="D943" s="19" t="s">
        <v>373</v>
      </c>
      <c r="E943" s="19" t="s">
        <v>3</v>
      </c>
      <c r="F943">
        <v>14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>
        <v>0</v>
      </c>
      <c r="V943" s="19" t="s">
        <v>1512</v>
      </c>
      <c r="W943" s="19" t="s">
        <v>1513</v>
      </c>
      <c r="X943">
        <v>0</v>
      </c>
      <c r="Y943">
        <v>0</v>
      </c>
      <c r="AA943">
        <v>0</v>
      </c>
      <c r="AB943">
        <v>0</v>
      </c>
      <c r="AC943">
        <v>0</v>
      </c>
      <c r="AD943">
        <v>4</v>
      </c>
      <c r="AE943" s="19" t="s">
        <v>60</v>
      </c>
    </row>
    <row r="944" spans="1:31" x14ac:dyDescent="0.2">
      <c r="A944">
        <v>876</v>
      </c>
      <c r="B944" s="19" t="s">
        <v>1343</v>
      </c>
      <c r="C944">
        <v>30</v>
      </c>
      <c r="D944" s="19" t="s">
        <v>327</v>
      </c>
      <c r="E944" s="19" t="s">
        <v>3</v>
      </c>
      <c r="F944">
        <v>12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>
        <v>0</v>
      </c>
      <c r="V944" s="19" t="s">
        <v>2980</v>
      </c>
      <c r="W944" s="19" t="s">
        <v>2981</v>
      </c>
      <c r="X944">
        <v>0</v>
      </c>
      <c r="Y944">
        <v>0</v>
      </c>
      <c r="AA944">
        <v>0</v>
      </c>
      <c r="AB944">
        <v>0</v>
      </c>
      <c r="AC944">
        <v>0</v>
      </c>
      <c r="AD944">
        <v>8</v>
      </c>
      <c r="AE944" s="19" t="s">
        <v>60</v>
      </c>
    </row>
    <row r="945" spans="1:31" x14ac:dyDescent="0.2">
      <c r="A945">
        <v>877</v>
      </c>
      <c r="B945" s="19" t="s">
        <v>1344</v>
      </c>
      <c r="C945">
        <v>22</v>
      </c>
      <c r="D945" s="19" t="s">
        <v>355</v>
      </c>
      <c r="E945" s="19" t="s">
        <v>347</v>
      </c>
      <c r="F945">
        <v>25</v>
      </c>
      <c r="G945">
        <v>0</v>
      </c>
      <c r="H945">
        <v>0</v>
      </c>
      <c r="I945">
        <v>0</v>
      </c>
      <c r="J945">
        <v>0</v>
      </c>
      <c r="K945">
        <v>14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15</v>
      </c>
      <c r="T945">
        <v>0</v>
      </c>
      <c r="U945">
        <v>40</v>
      </c>
      <c r="V945" s="19" t="s">
        <v>2117</v>
      </c>
      <c r="W945" s="19" t="s">
        <v>1833</v>
      </c>
      <c r="X945">
        <v>0</v>
      </c>
      <c r="Y945">
        <v>0</v>
      </c>
      <c r="AA945">
        <v>19</v>
      </c>
      <c r="AB945">
        <v>8</v>
      </c>
      <c r="AC945">
        <v>3</v>
      </c>
      <c r="AD945">
        <v>24</v>
      </c>
      <c r="AE945" s="19" t="s">
        <v>60</v>
      </c>
    </row>
    <row r="946" spans="1:31" x14ac:dyDescent="0.2">
      <c r="A946">
        <v>878</v>
      </c>
      <c r="B946" s="19" t="s">
        <v>1345</v>
      </c>
      <c r="C946">
        <v>30</v>
      </c>
      <c r="D946" s="19" t="s">
        <v>350</v>
      </c>
      <c r="E946" s="19" t="s">
        <v>3</v>
      </c>
      <c r="F946">
        <v>19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>
        <v>0</v>
      </c>
      <c r="V946" s="19" t="s">
        <v>2043</v>
      </c>
      <c r="W946" s="19" t="s">
        <v>2044</v>
      </c>
      <c r="X946">
        <v>0</v>
      </c>
      <c r="Y946">
        <v>0</v>
      </c>
      <c r="AA946">
        <v>0</v>
      </c>
      <c r="AB946">
        <v>0</v>
      </c>
      <c r="AC946">
        <v>0</v>
      </c>
      <c r="AD946">
        <v>2</v>
      </c>
      <c r="AE946" s="19" t="s">
        <v>60</v>
      </c>
    </row>
    <row r="947" spans="1:31" x14ac:dyDescent="0.2">
      <c r="A947">
        <v>879</v>
      </c>
      <c r="B947" s="19" t="s">
        <v>1346</v>
      </c>
      <c r="C947">
        <v>24</v>
      </c>
      <c r="D947" s="19" t="s">
        <v>423</v>
      </c>
      <c r="E947" s="19" t="s">
        <v>347</v>
      </c>
      <c r="F947">
        <v>3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>
        <v>4</v>
      </c>
      <c r="V947" s="19" t="s">
        <v>1347</v>
      </c>
      <c r="W947" s="19" t="s">
        <v>1348</v>
      </c>
      <c r="X947">
        <v>0</v>
      </c>
      <c r="Y947">
        <v>0</v>
      </c>
      <c r="AA947">
        <v>3</v>
      </c>
      <c r="AB947">
        <v>2</v>
      </c>
      <c r="AC947">
        <v>2</v>
      </c>
      <c r="AD947">
        <v>2</v>
      </c>
      <c r="AE947" s="19" t="s">
        <v>60</v>
      </c>
    </row>
    <row r="948" spans="1:31" x14ac:dyDescent="0.2">
      <c r="A948">
        <v>880</v>
      </c>
      <c r="B948" s="19" t="s">
        <v>1352</v>
      </c>
      <c r="C948">
        <v>21</v>
      </c>
      <c r="D948" s="19" t="s">
        <v>502</v>
      </c>
      <c r="E948" s="19" t="s">
        <v>322</v>
      </c>
      <c r="F948">
        <v>5</v>
      </c>
      <c r="G948">
        <v>0</v>
      </c>
      <c r="H948">
        <v>0</v>
      </c>
      <c r="I948">
        <v>0</v>
      </c>
      <c r="J948">
        <v>-6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6</v>
      </c>
      <c r="T948">
        <v>0</v>
      </c>
      <c r="U948">
        <v>8</v>
      </c>
      <c r="V948" s="19" t="s">
        <v>1514</v>
      </c>
      <c r="W948" s="19" t="s">
        <v>1128</v>
      </c>
      <c r="X948">
        <v>1</v>
      </c>
      <c r="Y948">
        <v>1</v>
      </c>
      <c r="Z948">
        <v>50</v>
      </c>
      <c r="AA948">
        <v>3</v>
      </c>
      <c r="AB948">
        <v>2</v>
      </c>
      <c r="AC948">
        <v>0</v>
      </c>
      <c r="AD948">
        <v>2</v>
      </c>
      <c r="AE948" s="19" t="s">
        <v>60</v>
      </c>
    </row>
    <row r="949" spans="1:31" x14ac:dyDescent="0.2">
      <c r="A949">
        <v>881</v>
      </c>
      <c r="B949" s="19" t="s">
        <v>1353</v>
      </c>
      <c r="C949">
        <v>27</v>
      </c>
      <c r="D949" s="19" t="s">
        <v>350</v>
      </c>
      <c r="E949" s="19" t="s">
        <v>338</v>
      </c>
      <c r="F949">
        <v>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>
        <v>1</v>
      </c>
      <c r="V949" s="19" t="s">
        <v>1354</v>
      </c>
      <c r="W949" s="19" t="s">
        <v>1355</v>
      </c>
      <c r="X949">
        <v>7</v>
      </c>
      <c r="Y949">
        <v>12</v>
      </c>
      <c r="Z949">
        <v>36.799999999999997</v>
      </c>
      <c r="AA949">
        <v>2</v>
      </c>
      <c r="AB949">
        <v>5</v>
      </c>
      <c r="AC949">
        <v>0</v>
      </c>
      <c r="AD949">
        <v>0</v>
      </c>
      <c r="AE949" s="19" t="s">
        <v>60</v>
      </c>
    </row>
    <row r="950" spans="1:31" x14ac:dyDescent="0.2">
      <c r="A950">
        <v>882</v>
      </c>
      <c r="B950" s="19" t="s">
        <v>1356</v>
      </c>
      <c r="C950">
        <v>21</v>
      </c>
      <c r="D950" s="19" t="s">
        <v>452</v>
      </c>
      <c r="E950" s="19" t="s">
        <v>334</v>
      </c>
      <c r="F950">
        <v>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5</v>
      </c>
      <c r="V950" s="19" t="s">
        <v>705</v>
      </c>
      <c r="W950" s="19" t="s">
        <v>919</v>
      </c>
      <c r="X950">
        <v>0</v>
      </c>
      <c r="Y950">
        <v>1</v>
      </c>
      <c r="Z950">
        <v>0</v>
      </c>
      <c r="AA950">
        <v>1</v>
      </c>
      <c r="AB950">
        <v>4</v>
      </c>
      <c r="AC950">
        <v>0</v>
      </c>
      <c r="AD950">
        <v>0</v>
      </c>
      <c r="AE950" s="19" t="s">
        <v>60</v>
      </c>
    </row>
    <row r="951" spans="1:31" x14ac:dyDescent="0.2">
      <c r="A951">
        <v>883</v>
      </c>
      <c r="B951" s="19" t="s">
        <v>1357</v>
      </c>
      <c r="C951">
        <v>23</v>
      </c>
      <c r="D951" s="19" t="s">
        <v>430</v>
      </c>
      <c r="E951" s="19" t="s">
        <v>322</v>
      </c>
      <c r="F951">
        <v>2</v>
      </c>
      <c r="G951">
        <v>0</v>
      </c>
      <c r="H951">
        <v>0</v>
      </c>
      <c r="I951">
        <v>0</v>
      </c>
      <c r="J951">
        <v>-1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4</v>
      </c>
      <c r="V951" s="19" t="s">
        <v>1358</v>
      </c>
      <c r="W951" s="19" t="s">
        <v>1359</v>
      </c>
      <c r="X951">
        <v>0</v>
      </c>
      <c r="Y951">
        <v>3</v>
      </c>
      <c r="Z951">
        <v>0</v>
      </c>
      <c r="AA951">
        <v>3</v>
      </c>
      <c r="AB951">
        <v>1</v>
      </c>
      <c r="AC951">
        <v>0</v>
      </c>
      <c r="AD951">
        <v>1</v>
      </c>
      <c r="AE951" s="19" t="s">
        <v>60</v>
      </c>
    </row>
    <row r="952" spans="1:31" x14ac:dyDescent="0.2">
      <c r="A952">
        <v>884</v>
      </c>
      <c r="B952" s="19" t="s">
        <v>1361</v>
      </c>
      <c r="C952">
        <v>26</v>
      </c>
      <c r="D952" s="19" t="s">
        <v>393</v>
      </c>
      <c r="E952" s="19" t="s">
        <v>3</v>
      </c>
      <c r="F952">
        <v>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>
        <v>1</v>
      </c>
      <c r="V952" s="19" t="s">
        <v>1595</v>
      </c>
      <c r="W952" s="19" t="s">
        <v>1596</v>
      </c>
      <c r="X952">
        <v>0</v>
      </c>
      <c r="Y952">
        <v>0</v>
      </c>
      <c r="AA952">
        <v>0</v>
      </c>
      <c r="AB952">
        <v>0</v>
      </c>
      <c r="AC952">
        <v>0</v>
      </c>
      <c r="AD952">
        <v>7</v>
      </c>
      <c r="AE952" s="19" t="s">
        <v>60</v>
      </c>
    </row>
    <row r="953" spans="1:31" x14ac:dyDescent="0.2">
      <c r="A953">
        <v>885</v>
      </c>
      <c r="B953" s="19" t="s">
        <v>1362</v>
      </c>
      <c r="C953">
        <v>24</v>
      </c>
      <c r="D953" s="19" t="s">
        <v>403</v>
      </c>
      <c r="E953" s="19" t="s">
        <v>3</v>
      </c>
      <c r="F953">
        <v>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>
        <v>0</v>
      </c>
      <c r="V953" s="19" t="s">
        <v>1946</v>
      </c>
      <c r="W953" s="19" t="s">
        <v>1947</v>
      </c>
      <c r="X953">
        <v>0</v>
      </c>
      <c r="Y953">
        <v>0</v>
      </c>
      <c r="AA953">
        <v>0</v>
      </c>
      <c r="AB953">
        <v>0</v>
      </c>
      <c r="AC953">
        <v>0</v>
      </c>
      <c r="AD953">
        <v>1</v>
      </c>
      <c r="AE953" s="19" t="s">
        <v>60</v>
      </c>
    </row>
    <row r="954" spans="1:31" x14ac:dyDescent="0.2">
      <c r="A954">
        <v>886</v>
      </c>
      <c r="B954" s="19" t="s">
        <v>1363</v>
      </c>
      <c r="C954">
        <v>31</v>
      </c>
      <c r="D954" s="19" t="s">
        <v>353</v>
      </c>
      <c r="E954" s="19" t="s">
        <v>3</v>
      </c>
      <c r="F954">
        <v>22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>
        <v>0</v>
      </c>
      <c r="V954" s="19" t="s">
        <v>2369</v>
      </c>
      <c r="W954" s="19" t="s">
        <v>2370</v>
      </c>
      <c r="X954">
        <v>0</v>
      </c>
      <c r="Y954">
        <v>0</v>
      </c>
      <c r="AA954">
        <v>0</v>
      </c>
      <c r="AB954">
        <v>0</v>
      </c>
      <c r="AC954">
        <v>0</v>
      </c>
      <c r="AD954">
        <v>10</v>
      </c>
      <c r="AE954" s="19" t="s">
        <v>60</v>
      </c>
    </row>
    <row r="955" spans="1:31" x14ac:dyDescent="0.2">
      <c r="A955">
        <v>887</v>
      </c>
      <c r="B955" s="19" t="s">
        <v>1364</v>
      </c>
      <c r="C955">
        <v>35</v>
      </c>
      <c r="D955" s="19" t="s">
        <v>415</v>
      </c>
      <c r="E955" s="19" t="s">
        <v>3</v>
      </c>
      <c r="F955">
        <v>36</v>
      </c>
      <c r="G955">
        <v>0</v>
      </c>
      <c r="H955">
        <v>0</v>
      </c>
      <c r="I955">
        <v>0</v>
      </c>
      <c r="J955">
        <v>0</v>
      </c>
      <c r="K955">
        <v>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>
        <v>0</v>
      </c>
      <c r="V955" s="19" t="s">
        <v>2371</v>
      </c>
      <c r="W955" s="19" t="s">
        <v>2016</v>
      </c>
      <c r="X955">
        <v>0</v>
      </c>
      <c r="Y955">
        <v>0</v>
      </c>
      <c r="AA955">
        <v>0</v>
      </c>
      <c r="AB955">
        <v>0</v>
      </c>
      <c r="AC955">
        <v>0</v>
      </c>
      <c r="AD955">
        <v>13</v>
      </c>
      <c r="AE955" s="19" t="s">
        <v>60</v>
      </c>
    </row>
    <row r="956" spans="1:31" x14ac:dyDescent="0.2">
      <c r="A956">
        <v>888</v>
      </c>
      <c r="B956" s="19" t="s">
        <v>1365</v>
      </c>
      <c r="C956">
        <v>35</v>
      </c>
      <c r="D956" s="19" t="s">
        <v>370</v>
      </c>
      <c r="E956" s="19" t="s">
        <v>347</v>
      </c>
      <c r="F956">
        <v>2</v>
      </c>
      <c r="G956">
        <v>0</v>
      </c>
      <c r="H956">
        <v>0</v>
      </c>
      <c r="I956">
        <v>0</v>
      </c>
      <c r="J956">
        <v>-1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 s="19" t="s">
        <v>1366</v>
      </c>
      <c r="W956" s="19" t="s">
        <v>629</v>
      </c>
      <c r="X956">
        <v>0</v>
      </c>
      <c r="Y956">
        <v>0</v>
      </c>
      <c r="AA956">
        <v>0</v>
      </c>
      <c r="AB956">
        <v>1</v>
      </c>
      <c r="AC956">
        <v>0</v>
      </c>
      <c r="AD956">
        <v>2</v>
      </c>
      <c r="AE956" s="19" t="s">
        <v>60</v>
      </c>
    </row>
    <row r="957" spans="1:31" x14ac:dyDescent="0.2">
      <c r="A957">
        <v>889</v>
      </c>
      <c r="B957" s="19" t="s">
        <v>1515</v>
      </c>
      <c r="C957">
        <v>24</v>
      </c>
      <c r="D957" s="19" t="s">
        <v>423</v>
      </c>
      <c r="E957" s="19" t="s">
        <v>322</v>
      </c>
      <c r="F957">
        <v>1</v>
      </c>
      <c r="G957">
        <v>0</v>
      </c>
      <c r="H957">
        <v>0</v>
      </c>
      <c r="I957">
        <v>0</v>
      </c>
      <c r="J957">
        <v>-1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>
        <v>1</v>
      </c>
      <c r="V957" s="19" t="s">
        <v>1516</v>
      </c>
      <c r="W957" s="19" t="s">
        <v>1516</v>
      </c>
      <c r="X957">
        <v>0</v>
      </c>
      <c r="Y957">
        <v>0</v>
      </c>
      <c r="AA957">
        <v>0</v>
      </c>
      <c r="AB957">
        <v>1</v>
      </c>
      <c r="AC957">
        <v>0</v>
      </c>
      <c r="AD957">
        <v>0</v>
      </c>
      <c r="AE957" s="19" t="s">
        <v>60</v>
      </c>
    </row>
    <row r="958" spans="1:31" x14ac:dyDescent="0.2">
      <c r="A958">
        <v>890</v>
      </c>
      <c r="B958" s="19" t="s">
        <v>1367</v>
      </c>
      <c r="C958">
        <v>32</v>
      </c>
      <c r="D958" s="19" t="s">
        <v>440</v>
      </c>
      <c r="E958" s="19" t="s">
        <v>322</v>
      </c>
      <c r="F958">
        <v>1</v>
      </c>
      <c r="G958">
        <v>0</v>
      </c>
      <c r="H958">
        <v>0</v>
      </c>
      <c r="I958">
        <v>0</v>
      </c>
      <c r="J958">
        <v>-1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</v>
      </c>
      <c r="T958">
        <v>0</v>
      </c>
      <c r="U958">
        <v>3</v>
      </c>
      <c r="V958" s="19" t="s">
        <v>1368</v>
      </c>
      <c r="W958" s="19" t="s">
        <v>1368</v>
      </c>
      <c r="X958">
        <v>1</v>
      </c>
      <c r="Y958">
        <v>1</v>
      </c>
      <c r="Z958">
        <v>50</v>
      </c>
      <c r="AA958">
        <v>2</v>
      </c>
      <c r="AB958">
        <v>6</v>
      </c>
      <c r="AC958">
        <v>0</v>
      </c>
      <c r="AD958">
        <v>0</v>
      </c>
      <c r="AE958" s="19" t="s">
        <v>60</v>
      </c>
    </row>
    <row r="959" spans="1:31" x14ac:dyDescent="0.2">
      <c r="A959">
        <v>891</v>
      </c>
      <c r="B959" s="19" t="s">
        <v>1369</v>
      </c>
      <c r="C959">
        <v>22</v>
      </c>
      <c r="D959" s="19" t="s">
        <v>395</v>
      </c>
      <c r="E959" s="19" t="s">
        <v>338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>
        <v>0</v>
      </c>
      <c r="V959" s="19" t="s">
        <v>1370</v>
      </c>
      <c r="W959" s="19" t="s">
        <v>1370</v>
      </c>
      <c r="X959">
        <v>1</v>
      </c>
      <c r="Y959">
        <v>0</v>
      </c>
      <c r="Z959">
        <v>100</v>
      </c>
      <c r="AA959">
        <v>0</v>
      </c>
      <c r="AB959">
        <v>1</v>
      </c>
      <c r="AC959">
        <v>0</v>
      </c>
      <c r="AD959">
        <v>0</v>
      </c>
      <c r="AE959" s="19" t="s">
        <v>60</v>
      </c>
    </row>
    <row r="960" spans="1:31" x14ac:dyDescent="0.2">
      <c r="A960">
        <v>892</v>
      </c>
      <c r="B960" s="19" t="s">
        <v>1562</v>
      </c>
      <c r="C960">
        <v>23</v>
      </c>
      <c r="D960" s="19" t="s">
        <v>355</v>
      </c>
      <c r="E960" s="19" t="s">
        <v>347</v>
      </c>
      <c r="F960">
        <v>1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2</v>
      </c>
      <c r="V960" s="19" t="s">
        <v>957</v>
      </c>
      <c r="W960" s="19" t="s">
        <v>957</v>
      </c>
      <c r="X960">
        <v>0</v>
      </c>
      <c r="Y960">
        <v>0</v>
      </c>
      <c r="AA960">
        <v>1</v>
      </c>
      <c r="AB960">
        <v>0</v>
      </c>
      <c r="AC960">
        <v>0</v>
      </c>
      <c r="AD960">
        <v>2</v>
      </c>
      <c r="AE960" s="19" t="s">
        <v>60</v>
      </c>
    </row>
    <row r="961" spans="1:31" x14ac:dyDescent="0.2">
      <c r="A961">
        <v>893</v>
      </c>
      <c r="B961" s="19" t="s">
        <v>1756</v>
      </c>
      <c r="C961">
        <v>26</v>
      </c>
      <c r="D961" s="19" t="s">
        <v>364</v>
      </c>
      <c r="E961" s="19" t="s">
        <v>334</v>
      </c>
      <c r="F961">
        <v>6</v>
      </c>
      <c r="G961">
        <v>0</v>
      </c>
      <c r="H961">
        <v>0</v>
      </c>
      <c r="I961">
        <v>0</v>
      </c>
      <c r="J961">
        <v>-2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4</v>
      </c>
      <c r="V961" s="19" t="s">
        <v>1948</v>
      </c>
      <c r="W961" s="19" t="s">
        <v>1697</v>
      </c>
      <c r="X961">
        <v>2</v>
      </c>
      <c r="Y961">
        <v>3</v>
      </c>
      <c r="Z961">
        <v>40</v>
      </c>
      <c r="AA961">
        <v>0</v>
      </c>
      <c r="AB961">
        <v>10</v>
      </c>
      <c r="AC961">
        <v>0</v>
      </c>
      <c r="AD961">
        <v>1</v>
      </c>
      <c r="AE961" s="19" t="s">
        <v>60</v>
      </c>
    </row>
    <row r="962" spans="1:31" x14ac:dyDescent="0.2">
      <c r="A962">
        <v>894</v>
      </c>
      <c r="B962" s="19" t="s">
        <v>1373</v>
      </c>
      <c r="C962">
        <v>25</v>
      </c>
      <c r="D962" s="19" t="s">
        <v>395</v>
      </c>
      <c r="E962" s="19" t="s">
        <v>334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>
        <v>0</v>
      </c>
      <c r="V962" s="19" t="s">
        <v>1004</v>
      </c>
      <c r="W962" s="19" t="s">
        <v>1004</v>
      </c>
      <c r="X962">
        <v>0</v>
      </c>
      <c r="Y962">
        <v>1</v>
      </c>
      <c r="Z962">
        <v>0</v>
      </c>
      <c r="AA962">
        <v>1</v>
      </c>
      <c r="AB962">
        <v>2</v>
      </c>
      <c r="AC962">
        <v>0</v>
      </c>
      <c r="AD962">
        <v>0</v>
      </c>
      <c r="AE962" s="19" t="s">
        <v>60</v>
      </c>
    </row>
    <row r="963" spans="1:31" x14ac:dyDescent="0.2">
      <c r="A963">
        <v>895</v>
      </c>
      <c r="B963" s="19" t="s">
        <v>1374</v>
      </c>
      <c r="C963">
        <v>22</v>
      </c>
      <c r="D963" s="19" t="s">
        <v>342</v>
      </c>
      <c r="E963" s="19" t="s">
        <v>3</v>
      </c>
      <c r="F963">
        <v>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>
        <v>0</v>
      </c>
      <c r="V963" s="19" t="s">
        <v>1761</v>
      </c>
      <c r="W963" s="19" t="s">
        <v>1736</v>
      </c>
      <c r="X963">
        <v>0</v>
      </c>
      <c r="Y963">
        <v>0</v>
      </c>
      <c r="AA963">
        <v>0</v>
      </c>
      <c r="AB963">
        <v>0</v>
      </c>
      <c r="AC963">
        <v>0</v>
      </c>
      <c r="AD963">
        <v>2</v>
      </c>
      <c r="AE963" s="19" t="s">
        <v>60</v>
      </c>
    </row>
    <row r="964" spans="1:31" x14ac:dyDescent="0.2">
      <c r="A964">
        <v>896</v>
      </c>
      <c r="B964" s="19" t="s">
        <v>1375</v>
      </c>
      <c r="C964">
        <v>19</v>
      </c>
      <c r="D964" s="19" t="s">
        <v>403</v>
      </c>
      <c r="E964" s="19" t="s">
        <v>325</v>
      </c>
      <c r="F964">
        <v>4</v>
      </c>
      <c r="G964">
        <v>0</v>
      </c>
      <c r="H964">
        <v>0</v>
      </c>
      <c r="I964">
        <v>0</v>
      </c>
      <c r="J964">
        <v>-3</v>
      </c>
      <c r="K964">
        <v>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2</v>
      </c>
      <c r="V964" s="19" t="s">
        <v>1376</v>
      </c>
      <c r="W964" s="19" t="s">
        <v>1377</v>
      </c>
      <c r="X964">
        <v>11</v>
      </c>
      <c r="Y964">
        <v>10</v>
      </c>
      <c r="Z964">
        <v>52.4</v>
      </c>
      <c r="AA964">
        <v>3</v>
      </c>
      <c r="AB964">
        <v>2</v>
      </c>
      <c r="AC964">
        <v>0</v>
      </c>
      <c r="AD964">
        <v>1</v>
      </c>
      <c r="AE964" s="19" t="s">
        <v>60</v>
      </c>
    </row>
    <row r="965" spans="1:31" x14ac:dyDescent="0.2">
      <c r="A965">
        <v>897</v>
      </c>
      <c r="B965" s="19" t="s">
        <v>2045</v>
      </c>
      <c r="C965">
        <v>25</v>
      </c>
      <c r="D965" s="19" t="s">
        <v>350</v>
      </c>
      <c r="E965" s="19" t="s">
        <v>347</v>
      </c>
      <c r="F965">
        <v>1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  <c r="V965" s="19" t="s">
        <v>1814</v>
      </c>
      <c r="W965" s="19" t="s">
        <v>1814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0</v>
      </c>
      <c r="AE965" s="19" t="s">
        <v>60</v>
      </c>
    </row>
    <row r="966" spans="1:31" x14ac:dyDescent="0.2">
      <c r="A966">
        <v>898</v>
      </c>
      <c r="B966" s="19" t="s">
        <v>1379</v>
      </c>
      <c r="C966">
        <v>26</v>
      </c>
      <c r="D966" s="19" t="s">
        <v>423</v>
      </c>
      <c r="E966" s="19" t="s">
        <v>3</v>
      </c>
      <c r="F966">
        <v>22</v>
      </c>
      <c r="G966">
        <v>0</v>
      </c>
      <c r="H966">
        <v>0</v>
      </c>
      <c r="I966">
        <v>0</v>
      </c>
      <c r="J966">
        <v>0</v>
      </c>
      <c r="K966">
        <v>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>
        <v>0</v>
      </c>
      <c r="V966" s="19" t="s">
        <v>2982</v>
      </c>
      <c r="W966" s="19" t="s">
        <v>2983</v>
      </c>
      <c r="X966">
        <v>0</v>
      </c>
      <c r="Y966">
        <v>0</v>
      </c>
      <c r="AA966">
        <v>0</v>
      </c>
      <c r="AB966">
        <v>0</v>
      </c>
      <c r="AC966">
        <v>0</v>
      </c>
      <c r="AD966">
        <v>9</v>
      </c>
      <c r="AE966" s="19" t="s">
        <v>60</v>
      </c>
    </row>
    <row r="967" spans="1:31" x14ac:dyDescent="0.2">
      <c r="A967">
        <v>899</v>
      </c>
      <c r="B967" s="19" t="s">
        <v>1382</v>
      </c>
      <c r="C967">
        <v>29</v>
      </c>
      <c r="D967" s="19" t="s">
        <v>395</v>
      </c>
      <c r="E967" s="19" t="s">
        <v>322</v>
      </c>
      <c r="F967">
        <v>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4</v>
      </c>
      <c r="T967">
        <v>0</v>
      </c>
      <c r="U967">
        <v>7</v>
      </c>
      <c r="V967" s="19" t="s">
        <v>1383</v>
      </c>
      <c r="W967" s="19" t="s">
        <v>1384</v>
      </c>
      <c r="X967">
        <v>0</v>
      </c>
      <c r="Y967">
        <v>2</v>
      </c>
      <c r="Z967">
        <v>0</v>
      </c>
      <c r="AA967">
        <v>1</v>
      </c>
      <c r="AB967">
        <v>6</v>
      </c>
      <c r="AC967">
        <v>1</v>
      </c>
      <c r="AD967">
        <v>2</v>
      </c>
      <c r="AE967" s="19" t="s">
        <v>60</v>
      </c>
    </row>
    <row r="968" spans="1:31" x14ac:dyDescent="0.2">
      <c r="A968">
        <v>900</v>
      </c>
      <c r="B968" s="19" t="s">
        <v>1385</v>
      </c>
      <c r="C968">
        <v>24</v>
      </c>
      <c r="D968" s="19" t="s">
        <v>321</v>
      </c>
      <c r="E968" s="19" t="s">
        <v>338</v>
      </c>
      <c r="F968">
        <v>12</v>
      </c>
      <c r="G968">
        <v>0</v>
      </c>
      <c r="H968">
        <v>0</v>
      </c>
      <c r="I968">
        <v>0</v>
      </c>
      <c r="J968">
        <v>0</v>
      </c>
      <c r="K968">
        <v>4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7</v>
      </c>
      <c r="T968">
        <v>0</v>
      </c>
      <c r="U968">
        <v>15</v>
      </c>
      <c r="V968" s="19" t="s">
        <v>2372</v>
      </c>
      <c r="W968" s="19" t="s">
        <v>2373</v>
      </c>
      <c r="X968">
        <v>0</v>
      </c>
      <c r="Y968">
        <v>2</v>
      </c>
      <c r="Z968">
        <v>0</v>
      </c>
      <c r="AA968">
        <v>1</v>
      </c>
      <c r="AB968">
        <v>17</v>
      </c>
      <c r="AC968">
        <v>1</v>
      </c>
      <c r="AD968">
        <v>1</v>
      </c>
      <c r="AE968" s="19" t="s">
        <v>60</v>
      </c>
    </row>
    <row r="969" spans="1:31" x14ac:dyDescent="0.2">
      <c r="A969">
        <v>901</v>
      </c>
      <c r="B969" s="19" t="s">
        <v>1386</v>
      </c>
      <c r="C969">
        <v>23</v>
      </c>
      <c r="D969" s="19" t="s">
        <v>440</v>
      </c>
      <c r="E969" s="19" t="s">
        <v>347</v>
      </c>
      <c r="F969">
        <v>10</v>
      </c>
      <c r="G969">
        <v>0</v>
      </c>
      <c r="H969">
        <v>0</v>
      </c>
      <c r="I969">
        <v>0</v>
      </c>
      <c r="J969">
        <v>-6</v>
      </c>
      <c r="K969">
        <v>5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6</v>
      </c>
      <c r="T969">
        <v>0</v>
      </c>
      <c r="U969">
        <v>16</v>
      </c>
      <c r="V969" s="19" t="s">
        <v>2074</v>
      </c>
      <c r="W969" s="19" t="s">
        <v>1476</v>
      </c>
      <c r="X969">
        <v>0</v>
      </c>
      <c r="Y969">
        <v>0</v>
      </c>
      <c r="AA969">
        <v>13</v>
      </c>
      <c r="AB969">
        <v>12</v>
      </c>
      <c r="AC969">
        <v>0</v>
      </c>
      <c r="AD969">
        <v>5</v>
      </c>
      <c r="AE969" s="19" t="s">
        <v>60</v>
      </c>
    </row>
    <row r="970" spans="1:31" x14ac:dyDescent="0.2">
      <c r="A970">
        <v>902</v>
      </c>
      <c r="B970" s="19" t="s">
        <v>1792</v>
      </c>
      <c r="C970">
        <v>30</v>
      </c>
      <c r="D970" s="19" t="s">
        <v>359</v>
      </c>
      <c r="E970" s="19" t="s">
        <v>3</v>
      </c>
      <c r="F970">
        <v>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>
        <v>0</v>
      </c>
      <c r="V970" s="19" t="s">
        <v>2077</v>
      </c>
      <c r="W970" s="19" t="s">
        <v>2078</v>
      </c>
      <c r="X970">
        <v>0</v>
      </c>
      <c r="Y970">
        <v>0</v>
      </c>
      <c r="AA970">
        <v>0</v>
      </c>
      <c r="AB970">
        <v>0</v>
      </c>
      <c r="AC970">
        <v>0</v>
      </c>
      <c r="AD970">
        <v>0</v>
      </c>
      <c r="AE970" s="19" t="s">
        <v>60</v>
      </c>
    </row>
    <row r="971" spans="1:31" x14ac:dyDescent="0.2">
      <c r="A971">
        <v>903</v>
      </c>
      <c r="B971" s="19" t="s">
        <v>1390</v>
      </c>
      <c r="C971">
        <v>33</v>
      </c>
      <c r="D971" s="19" t="s">
        <v>364</v>
      </c>
      <c r="E971" s="19" t="s">
        <v>347</v>
      </c>
      <c r="F971">
        <v>11</v>
      </c>
      <c r="G971">
        <v>0</v>
      </c>
      <c r="H971">
        <v>0</v>
      </c>
      <c r="I971">
        <v>0</v>
      </c>
      <c r="J971">
        <v>-1</v>
      </c>
      <c r="K971">
        <v>10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4</v>
      </c>
      <c r="T971">
        <v>0</v>
      </c>
      <c r="U971">
        <v>12</v>
      </c>
      <c r="V971" s="19" t="s">
        <v>2118</v>
      </c>
      <c r="W971" s="19" t="s">
        <v>1637</v>
      </c>
      <c r="X971">
        <v>0</v>
      </c>
      <c r="Y971">
        <v>0</v>
      </c>
      <c r="AA971">
        <v>6</v>
      </c>
      <c r="AB971">
        <v>23</v>
      </c>
      <c r="AC971">
        <v>0</v>
      </c>
      <c r="AD971">
        <v>6</v>
      </c>
      <c r="AE971" s="19" t="s">
        <v>60</v>
      </c>
    </row>
    <row r="972" spans="1:31" x14ac:dyDescent="0.2">
      <c r="A972">
        <v>904</v>
      </c>
      <c r="B972" s="19" t="s">
        <v>1730</v>
      </c>
      <c r="C972">
        <v>24</v>
      </c>
      <c r="D972" s="19" t="s">
        <v>380</v>
      </c>
      <c r="E972" s="19" t="s">
        <v>347</v>
      </c>
      <c r="F972">
        <v>3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1</v>
      </c>
      <c r="V972" s="19" t="s">
        <v>1772</v>
      </c>
      <c r="W972" s="19" t="s">
        <v>1524</v>
      </c>
      <c r="X972">
        <v>0</v>
      </c>
      <c r="Y972">
        <v>0</v>
      </c>
      <c r="AA972">
        <v>5</v>
      </c>
      <c r="AB972">
        <v>4</v>
      </c>
      <c r="AC972">
        <v>2</v>
      </c>
      <c r="AD972">
        <v>3</v>
      </c>
      <c r="AE972" s="19" t="s">
        <v>60</v>
      </c>
    </row>
    <row r="973" spans="1:31" x14ac:dyDescent="0.2">
      <c r="A973">
        <v>905</v>
      </c>
      <c r="B973" s="19" t="s">
        <v>1710</v>
      </c>
      <c r="C973">
        <v>33</v>
      </c>
      <c r="D973" s="19" t="s">
        <v>342</v>
      </c>
      <c r="E973" s="19" t="s">
        <v>347</v>
      </c>
      <c r="F973">
        <v>4</v>
      </c>
      <c r="G973">
        <v>0</v>
      </c>
      <c r="H973">
        <v>0</v>
      </c>
      <c r="I973">
        <v>0</v>
      </c>
      <c r="J973">
        <v>-5</v>
      </c>
      <c r="K973">
        <v>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 s="19" t="s">
        <v>1980</v>
      </c>
      <c r="W973" s="19" t="s">
        <v>799</v>
      </c>
      <c r="X973">
        <v>0</v>
      </c>
      <c r="Y973">
        <v>0</v>
      </c>
      <c r="AA973">
        <v>1</v>
      </c>
      <c r="AB973">
        <v>6</v>
      </c>
      <c r="AC973">
        <v>0</v>
      </c>
      <c r="AD973">
        <v>2</v>
      </c>
      <c r="AE973" s="19" t="s">
        <v>60</v>
      </c>
    </row>
    <row r="974" spans="1:31" x14ac:dyDescent="0.2">
      <c r="A974">
        <v>906</v>
      </c>
      <c r="B974" s="19" t="s">
        <v>1391</v>
      </c>
      <c r="C974">
        <v>23</v>
      </c>
      <c r="D974" s="19" t="s">
        <v>412</v>
      </c>
      <c r="E974" s="19" t="s">
        <v>3</v>
      </c>
      <c r="F974">
        <v>20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>
        <v>0</v>
      </c>
      <c r="V974" s="19" t="s">
        <v>1949</v>
      </c>
      <c r="W974" s="19" t="s">
        <v>1950</v>
      </c>
      <c r="X974">
        <v>0</v>
      </c>
      <c r="Y974">
        <v>0</v>
      </c>
      <c r="AA974">
        <v>0</v>
      </c>
      <c r="AB974">
        <v>0</v>
      </c>
      <c r="AC974">
        <v>0</v>
      </c>
      <c r="AD974">
        <v>5</v>
      </c>
      <c r="AE974" s="19" t="s">
        <v>60</v>
      </c>
    </row>
    <row r="975" spans="1:31" x14ac:dyDescent="0.2">
      <c r="A975">
        <v>907</v>
      </c>
      <c r="B975" s="19" t="s">
        <v>1392</v>
      </c>
      <c r="C975">
        <v>25</v>
      </c>
      <c r="D975" s="19" t="s">
        <v>353</v>
      </c>
      <c r="E975" s="19" t="s">
        <v>325</v>
      </c>
      <c r="F975">
        <v>1</v>
      </c>
      <c r="G975">
        <v>0</v>
      </c>
      <c r="H975">
        <v>0</v>
      </c>
      <c r="I975">
        <v>0</v>
      </c>
      <c r="J975">
        <v>-1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>
        <v>1</v>
      </c>
      <c r="V975" s="19" t="s">
        <v>1393</v>
      </c>
      <c r="W975" s="19" t="s">
        <v>1393</v>
      </c>
      <c r="X975">
        <v>0</v>
      </c>
      <c r="Y975">
        <v>0</v>
      </c>
      <c r="AA975">
        <v>0</v>
      </c>
      <c r="AB975">
        <v>0</v>
      </c>
      <c r="AC975">
        <v>0</v>
      </c>
      <c r="AD975">
        <v>0</v>
      </c>
      <c r="AE975" s="19" t="s">
        <v>60</v>
      </c>
    </row>
    <row r="976" spans="1:31" x14ac:dyDescent="0.2">
      <c r="A976">
        <v>908</v>
      </c>
      <c r="B976" s="19" t="s">
        <v>1395</v>
      </c>
      <c r="C976">
        <v>22</v>
      </c>
      <c r="D976" s="19" t="s">
        <v>344</v>
      </c>
      <c r="E976" s="19" t="s">
        <v>3</v>
      </c>
      <c r="F976">
        <v>3</v>
      </c>
      <c r="G976">
        <v>0</v>
      </c>
      <c r="H976">
        <v>0</v>
      </c>
      <c r="I976">
        <v>0</v>
      </c>
      <c r="J976">
        <v>0</v>
      </c>
      <c r="K976">
        <v>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>
        <v>0</v>
      </c>
      <c r="V976" s="19" t="s">
        <v>1396</v>
      </c>
      <c r="W976" s="19" t="s">
        <v>1397</v>
      </c>
      <c r="X976">
        <v>0</v>
      </c>
      <c r="Y976">
        <v>0</v>
      </c>
      <c r="AA976">
        <v>0</v>
      </c>
      <c r="AB976">
        <v>0</v>
      </c>
      <c r="AC976">
        <v>0</v>
      </c>
      <c r="AD976">
        <v>0</v>
      </c>
      <c r="AE976" s="19" t="s">
        <v>60</v>
      </c>
    </row>
    <row r="977" spans="1:31" x14ac:dyDescent="0.2">
      <c r="A977">
        <v>909</v>
      </c>
      <c r="B977" s="19" t="s">
        <v>1399</v>
      </c>
      <c r="C977">
        <v>24</v>
      </c>
      <c r="D977" s="19" t="s">
        <v>321</v>
      </c>
      <c r="E977" s="19" t="s">
        <v>3</v>
      </c>
      <c r="F977">
        <v>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>
        <v>0</v>
      </c>
      <c r="V977" s="19" t="s">
        <v>1807</v>
      </c>
      <c r="W977" s="19" t="s">
        <v>1790</v>
      </c>
      <c r="X977">
        <v>0</v>
      </c>
      <c r="Y977">
        <v>0</v>
      </c>
      <c r="AA977">
        <v>0</v>
      </c>
      <c r="AB977">
        <v>0</v>
      </c>
      <c r="AC977">
        <v>0</v>
      </c>
      <c r="AD977">
        <v>1</v>
      </c>
      <c r="AE977" s="19" t="s">
        <v>60</v>
      </c>
    </row>
    <row r="978" spans="1:31" x14ac:dyDescent="0.2">
      <c r="A978">
        <v>910</v>
      </c>
      <c r="B978" s="19" t="s">
        <v>1400</v>
      </c>
      <c r="C978">
        <v>28</v>
      </c>
      <c r="D978" s="19" t="s">
        <v>430</v>
      </c>
      <c r="E978" s="19" t="s">
        <v>347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>
        <v>2</v>
      </c>
      <c r="V978" s="19" t="s">
        <v>428</v>
      </c>
      <c r="W978" s="19" t="s">
        <v>428</v>
      </c>
      <c r="X978">
        <v>0</v>
      </c>
      <c r="Y978">
        <v>0</v>
      </c>
      <c r="AA978">
        <v>2</v>
      </c>
      <c r="AB978">
        <v>0</v>
      </c>
      <c r="AC978">
        <v>0</v>
      </c>
      <c r="AD978">
        <v>1</v>
      </c>
      <c r="AE978" s="19" t="s">
        <v>60</v>
      </c>
    </row>
    <row r="979" spans="1:31" x14ac:dyDescent="0.2">
      <c r="A979">
        <v>911</v>
      </c>
      <c r="B979" s="19" t="s">
        <v>1597</v>
      </c>
      <c r="C979">
        <v>21</v>
      </c>
      <c r="D979" s="19" t="s">
        <v>364</v>
      </c>
      <c r="E979" s="19" t="s">
        <v>338</v>
      </c>
      <c r="F979">
        <v>4</v>
      </c>
      <c r="G979">
        <v>0</v>
      </c>
      <c r="H979">
        <v>0</v>
      </c>
      <c r="I979">
        <v>0</v>
      </c>
      <c r="J979">
        <v>1</v>
      </c>
      <c r="K979">
        <v>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5</v>
      </c>
      <c r="T979">
        <v>0</v>
      </c>
      <c r="U979">
        <v>15</v>
      </c>
      <c r="V979" s="19" t="s">
        <v>1981</v>
      </c>
      <c r="W979" s="19" t="s">
        <v>1851</v>
      </c>
      <c r="X979">
        <v>0</v>
      </c>
      <c r="Y979">
        <v>0</v>
      </c>
      <c r="AA979">
        <v>3</v>
      </c>
      <c r="AB979">
        <v>7</v>
      </c>
      <c r="AC979">
        <v>0</v>
      </c>
      <c r="AD979">
        <v>1</v>
      </c>
      <c r="AE979" s="19" t="s">
        <v>60</v>
      </c>
    </row>
    <row r="980" spans="1:31" x14ac:dyDescent="0.2">
      <c r="A980">
        <v>912</v>
      </c>
      <c r="B980" s="19" t="s">
        <v>1402</v>
      </c>
      <c r="C980">
        <v>29</v>
      </c>
      <c r="D980" s="19" t="s">
        <v>361</v>
      </c>
      <c r="E980" s="19" t="s">
        <v>3</v>
      </c>
      <c r="F980">
        <v>23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>
        <v>0</v>
      </c>
      <c r="V980" s="19" t="s">
        <v>2374</v>
      </c>
      <c r="W980" s="19" t="s">
        <v>2375</v>
      </c>
      <c r="X980">
        <v>0</v>
      </c>
      <c r="Y980">
        <v>0</v>
      </c>
      <c r="AA980">
        <v>0</v>
      </c>
      <c r="AB980">
        <v>0</v>
      </c>
      <c r="AC980">
        <v>0</v>
      </c>
      <c r="AD980">
        <v>3</v>
      </c>
      <c r="AE980" s="19" t="s">
        <v>60</v>
      </c>
    </row>
    <row r="981" spans="1:31" x14ac:dyDescent="0.2">
      <c r="A981">
        <v>913</v>
      </c>
      <c r="B981" s="19" t="s">
        <v>1403</v>
      </c>
      <c r="C981">
        <v>26</v>
      </c>
      <c r="D981" s="19" t="s">
        <v>430</v>
      </c>
      <c r="E981" s="19" t="s">
        <v>325</v>
      </c>
      <c r="F981">
        <v>3</v>
      </c>
      <c r="G981">
        <v>0</v>
      </c>
      <c r="H981">
        <v>0</v>
      </c>
      <c r="I981">
        <v>0</v>
      </c>
      <c r="J981">
        <v>-1</v>
      </c>
      <c r="K981">
        <v>10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3</v>
      </c>
      <c r="T981">
        <v>0</v>
      </c>
      <c r="U981">
        <v>7</v>
      </c>
      <c r="V981" s="19" t="s">
        <v>1404</v>
      </c>
      <c r="W981" s="19" t="s">
        <v>1099</v>
      </c>
      <c r="X981">
        <v>16</v>
      </c>
      <c r="Y981">
        <v>8</v>
      </c>
      <c r="Z981">
        <v>66.7</v>
      </c>
      <c r="AA981">
        <v>1</v>
      </c>
      <c r="AB981">
        <v>9</v>
      </c>
      <c r="AC981">
        <v>1</v>
      </c>
      <c r="AD981">
        <v>2</v>
      </c>
      <c r="AE981" s="19" t="s">
        <v>60</v>
      </c>
    </row>
    <row r="982" spans="1:31" x14ac:dyDescent="0.2">
      <c r="A982">
        <v>914</v>
      </c>
      <c r="B982" s="19" t="s">
        <v>1405</v>
      </c>
      <c r="C982">
        <v>27</v>
      </c>
      <c r="D982" s="19" t="s">
        <v>415</v>
      </c>
      <c r="E982" s="19" t="s">
        <v>347</v>
      </c>
      <c r="F982">
        <v>14</v>
      </c>
      <c r="G982">
        <v>0</v>
      </c>
      <c r="H982">
        <v>0</v>
      </c>
      <c r="I982">
        <v>0</v>
      </c>
      <c r="J982">
        <v>-4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6</v>
      </c>
      <c r="T982">
        <v>0</v>
      </c>
      <c r="U982">
        <v>20</v>
      </c>
      <c r="V982" s="19" t="s">
        <v>2984</v>
      </c>
      <c r="W982" s="19" t="s">
        <v>2985</v>
      </c>
      <c r="X982">
        <v>0</v>
      </c>
      <c r="Y982">
        <v>0</v>
      </c>
      <c r="AA982">
        <v>8</v>
      </c>
      <c r="AB982">
        <v>3</v>
      </c>
      <c r="AC982">
        <v>2</v>
      </c>
      <c r="AD982">
        <v>5</v>
      </c>
      <c r="AE982" s="19" t="s">
        <v>60</v>
      </c>
    </row>
    <row r="983" spans="1:31" x14ac:dyDescent="0.2">
      <c r="A983">
        <v>915</v>
      </c>
      <c r="B983" s="19" t="s">
        <v>1406</v>
      </c>
      <c r="C983">
        <v>33</v>
      </c>
      <c r="D983" s="19" t="s">
        <v>336</v>
      </c>
      <c r="E983" s="19" t="s">
        <v>3</v>
      </c>
      <c r="F983">
        <v>10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>
        <v>0</v>
      </c>
      <c r="V983" s="19" t="s">
        <v>1750</v>
      </c>
      <c r="W983" s="19" t="s">
        <v>1751</v>
      </c>
      <c r="X983">
        <v>0</v>
      </c>
      <c r="Y983">
        <v>0</v>
      </c>
      <c r="AA983">
        <v>0</v>
      </c>
      <c r="AB983">
        <v>0</v>
      </c>
      <c r="AC983">
        <v>0</v>
      </c>
      <c r="AD983">
        <v>5</v>
      </c>
      <c r="AE983" s="19" t="s">
        <v>60</v>
      </c>
    </row>
    <row r="984" spans="1:31" x14ac:dyDescent="0.2">
      <c r="A984">
        <v>916</v>
      </c>
      <c r="B984" s="19" t="s">
        <v>1407</v>
      </c>
      <c r="C984">
        <v>21</v>
      </c>
      <c r="D984" s="19" t="s">
        <v>373</v>
      </c>
      <c r="E984" s="19" t="s">
        <v>3</v>
      </c>
      <c r="F984">
        <v>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>
        <v>0</v>
      </c>
      <c r="V984" s="19" t="s">
        <v>1541</v>
      </c>
      <c r="W984" s="19" t="s">
        <v>1542</v>
      </c>
      <c r="X984">
        <v>0</v>
      </c>
      <c r="Y984">
        <v>0</v>
      </c>
      <c r="AA984">
        <v>0</v>
      </c>
      <c r="AB984">
        <v>0</v>
      </c>
      <c r="AC984">
        <v>0</v>
      </c>
      <c r="AD984">
        <v>3</v>
      </c>
      <c r="AE984" s="19" t="s">
        <v>60</v>
      </c>
    </row>
    <row r="985" spans="1:31" x14ac:dyDescent="0.2">
      <c r="A985">
        <v>917</v>
      </c>
      <c r="B985" s="19" t="s">
        <v>1482</v>
      </c>
      <c r="C985">
        <v>22</v>
      </c>
      <c r="D985" s="19" t="s">
        <v>403</v>
      </c>
      <c r="E985" s="19" t="s">
        <v>347</v>
      </c>
      <c r="F985">
        <v>3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2</v>
      </c>
      <c r="V985" s="19" t="s">
        <v>1533</v>
      </c>
      <c r="W985" s="19" t="s">
        <v>1534</v>
      </c>
      <c r="X985">
        <v>0</v>
      </c>
      <c r="Y985">
        <v>0</v>
      </c>
      <c r="AA985">
        <v>2</v>
      </c>
      <c r="AB985">
        <v>5</v>
      </c>
      <c r="AC985">
        <v>0</v>
      </c>
      <c r="AD985">
        <v>3</v>
      </c>
      <c r="AE985" s="19" t="s">
        <v>60</v>
      </c>
    </row>
    <row r="986" spans="1:31" x14ac:dyDescent="0.2">
      <c r="A986">
        <v>918</v>
      </c>
      <c r="B986" s="19" t="s">
        <v>1408</v>
      </c>
      <c r="C986">
        <v>31</v>
      </c>
      <c r="D986" s="19" t="s">
        <v>520</v>
      </c>
      <c r="E986" s="19" t="s">
        <v>3</v>
      </c>
      <c r="F986">
        <v>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U986">
        <v>0</v>
      </c>
      <c r="V986" s="19" t="s">
        <v>1409</v>
      </c>
      <c r="W986" s="19" t="s">
        <v>1410</v>
      </c>
      <c r="X986">
        <v>0</v>
      </c>
      <c r="Y986">
        <v>0</v>
      </c>
      <c r="AA986">
        <v>0</v>
      </c>
      <c r="AB986">
        <v>0</v>
      </c>
      <c r="AC986">
        <v>0</v>
      </c>
      <c r="AD986">
        <v>2</v>
      </c>
      <c r="AE986" s="19" t="s">
        <v>60</v>
      </c>
    </row>
    <row r="987" spans="1:31" x14ac:dyDescent="0.2">
      <c r="A987">
        <v>919</v>
      </c>
      <c r="B987" s="19" t="s">
        <v>1518</v>
      </c>
      <c r="C987">
        <v>24</v>
      </c>
      <c r="D987" s="19" t="s">
        <v>395</v>
      </c>
      <c r="E987" s="19" t="s">
        <v>325</v>
      </c>
      <c r="F987">
        <v>5</v>
      </c>
      <c r="G987">
        <v>0</v>
      </c>
      <c r="H987">
        <v>0</v>
      </c>
      <c r="I987">
        <v>0</v>
      </c>
      <c r="J987">
        <v>-1</v>
      </c>
      <c r="K987">
        <v>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2</v>
      </c>
      <c r="T987">
        <v>0</v>
      </c>
      <c r="U987">
        <v>6</v>
      </c>
      <c r="V987" s="19" t="s">
        <v>1568</v>
      </c>
      <c r="W987" s="19" t="s">
        <v>1569</v>
      </c>
      <c r="X987">
        <v>0</v>
      </c>
      <c r="Y987">
        <v>0</v>
      </c>
      <c r="AA987">
        <v>1</v>
      </c>
      <c r="AB987">
        <v>7</v>
      </c>
      <c r="AC987">
        <v>1</v>
      </c>
      <c r="AD987">
        <v>1</v>
      </c>
      <c r="AE987" s="19" t="s">
        <v>60</v>
      </c>
    </row>
    <row r="988" spans="1:31" x14ac:dyDescent="0.2">
      <c r="A988">
        <v>920</v>
      </c>
      <c r="B988" s="19" t="s">
        <v>1415</v>
      </c>
      <c r="C988">
        <v>26</v>
      </c>
      <c r="D988" s="19" t="s">
        <v>440</v>
      </c>
      <c r="E988" s="19" t="s">
        <v>3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>
        <v>0</v>
      </c>
      <c r="V988" s="19" t="s">
        <v>1416</v>
      </c>
      <c r="W988" s="19" t="s">
        <v>1416</v>
      </c>
      <c r="X988">
        <v>0</v>
      </c>
      <c r="Y988">
        <v>0</v>
      </c>
      <c r="AA988">
        <v>0</v>
      </c>
      <c r="AB988">
        <v>0</v>
      </c>
      <c r="AC988">
        <v>0</v>
      </c>
      <c r="AD988">
        <v>0</v>
      </c>
      <c r="AE988" s="19" t="s">
        <v>60</v>
      </c>
    </row>
    <row r="989" spans="1:31" x14ac:dyDescent="0.2">
      <c r="A989">
        <v>921</v>
      </c>
      <c r="B989" s="19" t="s">
        <v>1982</v>
      </c>
      <c r="C989">
        <v>28</v>
      </c>
      <c r="D989" s="19" t="s">
        <v>403</v>
      </c>
      <c r="E989" s="19" t="s">
        <v>325</v>
      </c>
      <c r="F989">
        <v>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>
        <v>4</v>
      </c>
      <c r="V989" s="19" t="s">
        <v>2079</v>
      </c>
      <c r="W989" s="19" t="s">
        <v>1165</v>
      </c>
      <c r="X989">
        <v>13</v>
      </c>
      <c r="Y989">
        <v>14</v>
      </c>
      <c r="Z989">
        <v>48.1</v>
      </c>
      <c r="AA989">
        <v>3</v>
      </c>
      <c r="AB989">
        <v>16</v>
      </c>
      <c r="AC989">
        <v>1</v>
      </c>
      <c r="AD989">
        <v>6</v>
      </c>
      <c r="AE989" s="19" t="s">
        <v>60</v>
      </c>
    </row>
    <row r="990" spans="1:31" x14ac:dyDescent="0.2">
      <c r="A990">
        <v>922</v>
      </c>
      <c r="B990" s="19" t="s">
        <v>1417</v>
      </c>
      <c r="C990">
        <v>24</v>
      </c>
      <c r="D990" s="19" t="s">
        <v>350</v>
      </c>
      <c r="E990" s="19" t="s">
        <v>338</v>
      </c>
      <c r="F990">
        <v>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>
        <v>3</v>
      </c>
      <c r="V990" s="19" t="s">
        <v>1914</v>
      </c>
      <c r="W990" s="19" t="s">
        <v>1724</v>
      </c>
      <c r="X990">
        <v>1</v>
      </c>
      <c r="Y990">
        <v>0</v>
      </c>
      <c r="Z990">
        <v>100</v>
      </c>
      <c r="AA990">
        <v>2</v>
      </c>
      <c r="AB990">
        <v>3</v>
      </c>
      <c r="AC990">
        <v>0</v>
      </c>
      <c r="AD990">
        <v>1</v>
      </c>
      <c r="AE990" s="19" t="s">
        <v>60</v>
      </c>
    </row>
    <row r="991" spans="1:31" x14ac:dyDescent="0.2">
      <c r="A991">
        <v>923</v>
      </c>
      <c r="B991" s="19" t="s">
        <v>1983</v>
      </c>
      <c r="C991">
        <v>24</v>
      </c>
      <c r="D991" s="19" t="s">
        <v>344</v>
      </c>
      <c r="E991" s="19" t="s">
        <v>347</v>
      </c>
      <c r="F991">
        <v>2</v>
      </c>
      <c r="G991">
        <v>0</v>
      </c>
      <c r="H991">
        <v>0</v>
      </c>
      <c r="I991">
        <v>0</v>
      </c>
      <c r="J991">
        <v>0</v>
      </c>
      <c r="K991">
        <v>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3</v>
      </c>
      <c r="T991">
        <v>0</v>
      </c>
      <c r="U991">
        <v>4</v>
      </c>
      <c r="V991" s="19" t="s">
        <v>1583</v>
      </c>
      <c r="W991" s="19" t="s">
        <v>1598</v>
      </c>
      <c r="X991">
        <v>0</v>
      </c>
      <c r="Y991">
        <v>0</v>
      </c>
      <c r="AA991">
        <v>1</v>
      </c>
      <c r="AB991">
        <v>1</v>
      </c>
      <c r="AC991">
        <v>0</v>
      </c>
      <c r="AD991">
        <v>2</v>
      </c>
      <c r="AE991" s="19" t="s">
        <v>60</v>
      </c>
    </row>
    <row r="992" spans="1:31" x14ac:dyDescent="0.2">
      <c r="A992">
        <v>924</v>
      </c>
      <c r="B992" s="19" t="s">
        <v>1418</v>
      </c>
      <c r="C992">
        <v>33</v>
      </c>
      <c r="D992" s="19" t="s">
        <v>327</v>
      </c>
      <c r="E992" s="19" t="s">
        <v>3</v>
      </c>
      <c r="F992">
        <v>16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U992">
        <v>0</v>
      </c>
      <c r="V992" s="19" t="s">
        <v>1773</v>
      </c>
      <c r="W992" s="19" t="s">
        <v>1774</v>
      </c>
      <c r="X992">
        <v>0</v>
      </c>
      <c r="Y992">
        <v>0</v>
      </c>
      <c r="AA992">
        <v>0</v>
      </c>
      <c r="AB992">
        <v>0</v>
      </c>
      <c r="AC992">
        <v>0</v>
      </c>
      <c r="AD992">
        <v>12</v>
      </c>
      <c r="AE992" s="19" t="s">
        <v>60</v>
      </c>
    </row>
    <row r="993" spans="1:31" x14ac:dyDescent="0.2">
      <c r="A993">
        <v>925</v>
      </c>
      <c r="B993" s="19" t="s">
        <v>1419</v>
      </c>
      <c r="C993">
        <v>22</v>
      </c>
      <c r="D993" s="19" t="s">
        <v>373</v>
      </c>
      <c r="E993" s="19" t="s">
        <v>347</v>
      </c>
      <c r="F993">
        <v>4</v>
      </c>
      <c r="G993">
        <v>0</v>
      </c>
      <c r="H993">
        <v>0</v>
      </c>
      <c r="I993">
        <v>0</v>
      </c>
      <c r="J993">
        <v>-3</v>
      </c>
      <c r="K993">
        <v>2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6</v>
      </c>
      <c r="V993" s="19" t="s">
        <v>1420</v>
      </c>
      <c r="W993" s="19" t="s">
        <v>1298</v>
      </c>
      <c r="X993">
        <v>0</v>
      </c>
      <c r="Y993">
        <v>0</v>
      </c>
      <c r="AA993">
        <v>2</v>
      </c>
      <c r="AB993">
        <v>1</v>
      </c>
      <c r="AC993">
        <v>1</v>
      </c>
      <c r="AD993">
        <v>4</v>
      </c>
      <c r="AE993" s="19" t="s">
        <v>60</v>
      </c>
    </row>
    <row r="994" spans="1:31" x14ac:dyDescent="0.2">
      <c r="A994">
        <v>926</v>
      </c>
      <c r="B994" s="19" t="s">
        <v>1421</v>
      </c>
      <c r="C994">
        <v>20</v>
      </c>
      <c r="D994" s="19" t="s">
        <v>377</v>
      </c>
      <c r="E994" s="19" t="s">
        <v>322</v>
      </c>
      <c r="F994">
        <v>3</v>
      </c>
      <c r="G994">
        <v>0</v>
      </c>
      <c r="H994">
        <v>0</v>
      </c>
      <c r="I994">
        <v>0</v>
      </c>
      <c r="J994">
        <v>-1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6</v>
      </c>
      <c r="T994">
        <v>0</v>
      </c>
      <c r="U994">
        <v>10</v>
      </c>
      <c r="V994" s="19" t="s">
        <v>1422</v>
      </c>
      <c r="W994" s="19" t="s">
        <v>632</v>
      </c>
      <c r="X994">
        <v>0</v>
      </c>
      <c r="Y994">
        <v>0</v>
      </c>
      <c r="AA994">
        <v>1</v>
      </c>
      <c r="AB994">
        <v>2</v>
      </c>
      <c r="AC994">
        <v>0</v>
      </c>
      <c r="AD994">
        <v>3</v>
      </c>
      <c r="AE994" s="19" t="s">
        <v>60</v>
      </c>
    </row>
    <row r="995" spans="1:31" x14ac:dyDescent="0.2">
      <c r="A995">
        <v>927</v>
      </c>
      <c r="B995" s="19" t="s">
        <v>1424</v>
      </c>
      <c r="C995">
        <v>26</v>
      </c>
      <c r="D995" s="19" t="s">
        <v>321</v>
      </c>
      <c r="E995" s="19" t="s">
        <v>325</v>
      </c>
      <c r="F995">
        <v>2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U995">
        <v>0</v>
      </c>
      <c r="V995" s="19" t="s">
        <v>1425</v>
      </c>
      <c r="W995" s="19" t="s">
        <v>1426</v>
      </c>
      <c r="X995">
        <v>0</v>
      </c>
      <c r="Y995">
        <v>0</v>
      </c>
      <c r="AA995">
        <v>2</v>
      </c>
      <c r="AB995">
        <v>7</v>
      </c>
      <c r="AC995">
        <v>0</v>
      </c>
      <c r="AD995">
        <v>0</v>
      </c>
      <c r="AE995" s="19" t="s">
        <v>60</v>
      </c>
    </row>
    <row r="996" spans="1:31" x14ac:dyDescent="0.2">
      <c r="A996">
        <v>928</v>
      </c>
      <c r="B996" s="19" t="s">
        <v>2006</v>
      </c>
      <c r="C996">
        <v>26</v>
      </c>
      <c r="D996" s="19" t="s">
        <v>430</v>
      </c>
      <c r="E996" s="19" t="s">
        <v>322</v>
      </c>
      <c r="F996">
        <v>7</v>
      </c>
      <c r="G996">
        <v>0</v>
      </c>
      <c r="H996">
        <v>0</v>
      </c>
      <c r="I996">
        <v>0</v>
      </c>
      <c r="J996">
        <v>-4</v>
      </c>
      <c r="K996">
        <v>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10</v>
      </c>
      <c r="T996">
        <v>0</v>
      </c>
      <c r="U996">
        <v>21</v>
      </c>
      <c r="V996" s="19" t="s">
        <v>2376</v>
      </c>
      <c r="W996" s="19" t="s">
        <v>1870</v>
      </c>
      <c r="X996">
        <v>5</v>
      </c>
      <c r="Y996">
        <v>3</v>
      </c>
      <c r="Z996">
        <v>62.5</v>
      </c>
      <c r="AA996">
        <v>1</v>
      </c>
      <c r="AB996">
        <v>26</v>
      </c>
      <c r="AC996">
        <v>3</v>
      </c>
      <c r="AD996">
        <v>2</v>
      </c>
      <c r="AE996" s="19" t="s">
        <v>60</v>
      </c>
    </row>
    <row r="997" spans="1:31" x14ac:dyDescent="0.2">
      <c r="A997">
        <v>929</v>
      </c>
      <c r="B997" s="19" t="s">
        <v>1427</v>
      </c>
      <c r="C997">
        <v>24</v>
      </c>
      <c r="D997" s="19" t="s">
        <v>373</v>
      </c>
      <c r="E997" s="19" t="s">
        <v>334</v>
      </c>
      <c r="F997">
        <v>2</v>
      </c>
      <c r="G997">
        <v>0</v>
      </c>
      <c r="H997">
        <v>0</v>
      </c>
      <c r="I997">
        <v>0</v>
      </c>
      <c r="J997">
        <v>-2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6</v>
      </c>
      <c r="V997" s="19" t="s">
        <v>1428</v>
      </c>
      <c r="W997" s="19" t="s">
        <v>1429</v>
      </c>
      <c r="X997">
        <v>0</v>
      </c>
      <c r="Y997">
        <v>0</v>
      </c>
      <c r="AA997">
        <v>2</v>
      </c>
      <c r="AB997">
        <v>2</v>
      </c>
      <c r="AC997">
        <v>1</v>
      </c>
      <c r="AD997">
        <v>1</v>
      </c>
      <c r="AE997" s="19" t="s">
        <v>60</v>
      </c>
    </row>
    <row r="998" spans="1:31" x14ac:dyDescent="0.2">
      <c r="A998">
        <v>930</v>
      </c>
      <c r="B998" s="19" t="s">
        <v>1430</v>
      </c>
      <c r="C998">
        <v>26</v>
      </c>
      <c r="D998" s="19" t="s">
        <v>357</v>
      </c>
      <c r="E998" s="19" t="s">
        <v>3</v>
      </c>
      <c r="F998">
        <v>3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>
        <v>0</v>
      </c>
      <c r="V998" s="19" t="s">
        <v>1431</v>
      </c>
      <c r="W998" s="19" t="s">
        <v>1432</v>
      </c>
      <c r="X998">
        <v>0</v>
      </c>
      <c r="Y998">
        <v>0</v>
      </c>
      <c r="AA998">
        <v>0</v>
      </c>
      <c r="AB998">
        <v>0</v>
      </c>
      <c r="AC998">
        <v>0</v>
      </c>
      <c r="AD998">
        <v>1</v>
      </c>
      <c r="AE998" s="19" t="s">
        <v>60</v>
      </c>
    </row>
    <row r="999" spans="1:31" x14ac:dyDescent="0.2">
      <c r="A999">
        <v>931</v>
      </c>
      <c r="B999" s="19" t="s">
        <v>1434</v>
      </c>
      <c r="C999">
        <v>23</v>
      </c>
      <c r="D999" s="19" t="s">
        <v>357</v>
      </c>
      <c r="E999" s="19" t="s">
        <v>325</v>
      </c>
      <c r="F999">
        <v>4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2</v>
      </c>
      <c r="V999" s="19" t="s">
        <v>2053</v>
      </c>
      <c r="W999" s="19" t="s">
        <v>1341</v>
      </c>
      <c r="X999">
        <v>7</v>
      </c>
      <c r="Y999">
        <v>9</v>
      </c>
      <c r="Z999">
        <v>43.8</v>
      </c>
      <c r="AA999">
        <v>0</v>
      </c>
      <c r="AB999">
        <v>9</v>
      </c>
      <c r="AC999">
        <v>0</v>
      </c>
      <c r="AD999">
        <v>2</v>
      </c>
      <c r="AE999" s="19" t="s">
        <v>60</v>
      </c>
    </row>
    <row r="1000" spans="1:31" x14ac:dyDescent="0.2">
      <c r="A1000">
        <v>932</v>
      </c>
      <c r="B1000" s="19" t="s">
        <v>1956</v>
      </c>
      <c r="C1000">
        <v>37</v>
      </c>
      <c r="D1000" s="19" t="s">
        <v>412</v>
      </c>
      <c r="E1000" s="19" t="s">
        <v>3</v>
      </c>
      <c r="F1000">
        <v>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>
        <v>0</v>
      </c>
      <c r="V1000" s="19" t="s">
        <v>2986</v>
      </c>
      <c r="W1000" s="19" t="s">
        <v>2987</v>
      </c>
      <c r="X1000">
        <v>0</v>
      </c>
      <c r="Y1000">
        <v>0</v>
      </c>
      <c r="AA1000">
        <v>0</v>
      </c>
      <c r="AB1000">
        <v>0</v>
      </c>
      <c r="AC1000">
        <v>0</v>
      </c>
      <c r="AD1000">
        <v>2</v>
      </c>
      <c r="AE1000" s="19" t="s">
        <v>60</v>
      </c>
    </row>
    <row r="1001" spans="1:31" x14ac:dyDescent="0.2">
      <c r="A1001">
        <v>933</v>
      </c>
      <c r="B1001" s="19" t="s">
        <v>2119</v>
      </c>
      <c r="C1001">
        <v>27</v>
      </c>
      <c r="D1001" s="19" t="s">
        <v>357</v>
      </c>
      <c r="E1001" s="19" t="s">
        <v>347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2</v>
      </c>
      <c r="V1001" s="19" t="s">
        <v>1969</v>
      </c>
      <c r="W1001" s="19" t="s">
        <v>1969</v>
      </c>
      <c r="X1001">
        <v>0</v>
      </c>
      <c r="Y1001">
        <v>0</v>
      </c>
      <c r="AA1001">
        <v>1</v>
      </c>
      <c r="AB1001">
        <v>0</v>
      </c>
      <c r="AC1001">
        <v>0</v>
      </c>
      <c r="AD1001">
        <v>1</v>
      </c>
      <c r="AE1001" s="19" t="s">
        <v>60</v>
      </c>
    </row>
    <row r="1002" spans="1:31" x14ac:dyDescent="0.2">
      <c r="A1002">
        <v>934</v>
      </c>
      <c r="B1002" s="19" t="s">
        <v>1436</v>
      </c>
      <c r="C1002">
        <v>33</v>
      </c>
      <c r="D1002" s="19" t="s">
        <v>380</v>
      </c>
      <c r="E1002" s="19" t="s">
        <v>3</v>
      </c>
      <c r="F1002">
        <v>23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 s="19" t="s">
        <v>2139</v>
      </c>
      <c r="W1002" s="19" t="s">
        <v>1802</v>
      </c>
      <c r="X1002">
        <v>0</v>
      </c>
      <c r="Y1002">
        <v>0</v>
      </c>
      <c r="AA1002">
        <v>0</v>
      </c>
      <c r="AB1002">
        <v>0</v>
      </c>
      <c r="AC1002">
        <v>0</v>
      </c>
      <c r="AD1002">
        <v>18</v>
      </c>
      <c r="AE1002" s="19" t="s">
        <v>60</v>
      </c>
    </row>
    <row r="1003" spans="1:31" x14ac:dyDescent="0.2">
      <c r="A1003">
        <v>935</v>
      </c>
      <c r="B1003" s="19" t="s">
        <v>1437</v>
      </c>
      <c r="C1003">
        <v>22</v>
      </c>
      <c r="D1003" s="19" t="s">
        <v>361</v>
      </c>
      <c r="E1003" s="19" t="s">
        <v>334</v>
      </c>
      <c r="F1003">
        <v>3</v>
      </c>
      <c r="G1003">
        <v>0</v>
      </c>
      <c r="H1003">
        <v>0</v>
      </c>
      <c r="I1003">
        <v>0</v>
      </c>
      <c r="J1003">
        <v>0</v>
      </c>
      <c r="K1003">
        <v>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2</v>
      </c>
      <c r="T1003">
        <v>0</v>
      </c>
      <c r="U1003">
        <v>6</v>
      </c>
      <c r="V1003" s="19" t="s">
        <v>1438</v>
      </c>
      <c r="W1003" s="19" t="s">
        <v>1101</v>
      </c>
      <c r="X1003">
        <v>0</v>
      </c>
      <c r="Y1003">
        <v>0</v>
      </c>
      <c r="AA1003">
        <v>0</v>
      </c>
      <c r="AB1003">
        <v>6</v>
      </c>
      <c r="AC1003">
        <v>0</v>
      </c>
      <c r="AD1003">
        <v>3</v>
      </c>
      <c r="AE1003" s="19" t="s">
        <v>60</v>
      </c>
    </row>
    <row r="1004" spans="1:31" x14ac:dyDescent="0.2">
      <c r="A1004">
        <v>936</v>
      </c>
      <c r="B1004" s="19" t="s">
        <v>1439</v>
      </c>
      <c r="C1004">
        <v>21</v>
      </c>
      <c r="D1004" s="19" t="s">
        <v>344</v>
      </c>
      <c r="E1004" s="19" t="s">
        <v>347</v>
      </c>
      <c r="F1004">
        <v>14</v>
      </c>
      <c r="G1004">
        <v>0</v>
      </c>
      <c r="H1004">
        <v>0</v>
      </c>
      <c r="I1004">
        <v>0</v>
      </c>
      <c r="J1004">
        <v>-6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17</v>
      </c>
      <c r="T1004">
        <v>0</v>
      </c>
      <c r="U1004">
        <v>52</v>
      </c>
      <c r="V1004" s="19" t="s">
        <v>2988</v>
      </c>
      <c r="W1004" s="19" t="s">
        <v>511</v>
      </c>
      <c r="X1004">
        <v>0</v>
      </c>
      <c r="Y1004">
        <v>0</v>
      </c>
      <c r="AA1004">
        <v>14</v>
      </c>
      <c r="AB1004">
        <v>16</v>
      </c>
      <c r="AC1004">
        <v>2</v>
      </c>
      <c r="AD1004">
        <v>17</v>
      </c>
      <c r="AE1004" s="19" t="s">
        <v>60</v>
      </c>
    </row>
    <row r="1005" spans="1:31" x14ac:dyDescent="0.2">
      <c r="A1005">
        <v>937</v>
      </c>
      <c r="B1005" s="19" t="s">
        <v>1440</v>
      </c>
      <c r="C1005">
        <v>30</v>
      </c>
      <c r="D1005" s="19" t="s">
        <v>452</v>
      </c>
      <c r="E1005" s="19" t="s">
        <v>3</v>
      </c>
      <c r="F1005">
        <v>44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>
        <v>0</v>
      </c>
      <c r="V1005" s="19" t="s">
        <v>2377</v>
      </c>
      <c r="W1005" s="19" t="s">
        <v>2378</v>
      </c>
      <c r="X1005">
        <v>0</v>
      </c>
      <c r="Y1005">
        <v>0</v>
      </c>
      <c r="AA1005">
        <v>0</v>
      </c>
      <c r="AB1005">
        <v>0</v>
      </c>
      <c r="AC1005">
        <v>0</v>
      </c>
      <c r="AD1005">
        <v>20</v>
      </c>
      <c r="AE1005" s="19" t="s">
        <v>60</v>
      </c>
    </row>
    <row r="1006" spans="1:31" x14ac:dyDescent="0.2">
      <c r="A1006">
        <v>938</v>
      </c>
      <c r="B1006" s="19" t="s">
        <v>1752</v>
      </c>
      <c r="C1006">
        <v>30</v>
      </c>
      <c r="D1006" s="19" t="s">
        <v>412</v>
      </c>
      <c r="E1006" s="19" t="s">
        <v>3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>
        <v>0</v>
      </c>
      <c r="V1006" s="19" t="s">
        <v>1753</v>
      </c>
      <c r="W1006" s="19" t="s">
        <v>1753</v>
      </c>
      <c r="X1006">
        <v>0</v>
      </c>
      <c r="Y1006">
        <v>0</v>
      </c>
      <c r="AA1006">
        <v>0</v>
      </c>
      <c r="AB1006">
        <v>0</v>
      </c>
      <c r="AC1006">
        <v>0</v>
      </c>
      <c r="AD1006">
        <v>0</v>
      </c>
      <c r="AE1006" s="19" t="s">
        <v>60</v>
      </c>
    </row>
    <row r="1007" spans="1:31" x14ac:dyDescent="0.2">
      <c r="A1007">
        <v>939</v>
      </c>
      <c r="B1007" s="19" t="s">
        <v>1442</v>
      </c>
      <c r="C1007">
        <v>30</v>
      </c>
      <c r="D1007" s="19" t="s">
        <v>359</v>
      </c>
      <c r="E1007" s="19" t="s">
        <v>3</v>
      </c>
      <c r="F1007">
        <v>34</v>
      </c>
      <c r="G1007">
        <v>0</v>
      </c>
      <c r="H1007">
        <v>0</v>
      </c>
      <c r="I1007">
        <v>0</v>
      </c>
      <c r="J1007">
        <v>0</v>
      </c>
      <c r="K1007">
        <v>4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2</v>
      </c>
      <c r="T1007">
        <v>0</v>
      </c>
      <c r="U1007">
        <v>2</v>
      </c>
      <c r="V1007" s="19" t="s">
        <v>1754</v>
      </c>
      <c r="W1007" s="19" t="s">
        <v>1641</v>
      </c>
      <c r="X1007">
        <v>0</v>
      </c>
      <c r="Y1007">
        <v>0</v>
      </c>
      <c r="AA1007">
        <v>0</v>
      </c>
      <c r="AB1007">
        <v>0</v>
      </c>
      <c r="AC1007">
        <v>0</v>
      </c>
      <c r="AD1007">
        <v>17</v>
      </c>
      <c r="AE1007" s="19" t="s">
        <v>60</v>
      </c>
    </row>
    <row r="1008" spans="1:31" x14ac:dyDescent="0.2">
      <c r="A1008">
        <v>940</v>
      </c>
      <c r="B1008" s="19" t="s">
        <v>1443</v>
      </c>
      <c r="C1008">
        <v>24</v>
      </c>
      <c r="D1008" s="19" t="s">
        <v>502</v>
      </c>
      <c r="E1008" s="19" t="s">
        <v>347</v>
      </c>
      <c r="F1008">
        <v>1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>
        <v>1</v>
      </c>
      <c r="V1008" s="19" t="s">
        <v>973</v>
      </c>
      <c r="W1008" s="19" t="s">
        <v>973</v>
      </c>
      <c r="X1008">
        <v>0</v>
      </c>
      <c r="Y1008">
        <v>0</v>
      </c>
      <c r="AA1008">
        <v>1</v>
      </c>
      <c r="AB1008">
        <v>4</v>
      </c>
      <c r="AC1008">
        <v>0</v>
      </c>
      <c r="AD1008">
        <v>0</v>
      </c>
      <c r="AE1008" s="19" t="s">
        <v>60</v>
      </c>
    </row>
    <row r="1009" spans="1:31" x14ac:dyDescent="0.2">
      <c r="A1009">
        <v>941</v>
      </c>
      <c r="B1009" s="19" t="s">
        <v>1447</v>
      </c>
      <c r="C1009">
        <v>26</v>
      </c>
      <c r="D1009" s="19" t="s">
        <v>329</v>
      </c>
      <c r="E1009" s="19" t="s">
        <v>3</v>
      </c>
      <c r="F1009">
        <v>17</v>
      </c>
      <c r="G1009">
        <v>0</v>
      </c>
      <c r="H1009">
        <v>0</v>
      </c>
      <c r="I1009">
        <v>0</v>
      </c>
      <c r="J1009">
        <v>0</v>
      </c>
      <c r="K1009">
        <v>4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>
        <v>0</v>
      </c>
      <c r="V1009" s="19" t="s">
        <v>2097</v>
      </c>
      <c r="W1009" s="19" t="s">
        <v>1786</v>
      </c>
      <c r="X1009">
        <v>0</v>
      </c>
      <c r="Y1009">
        <v>0</v>
      </c>
      <c r="AA1009">
        <v>0</v>
      </c>
      <c r="AB1009">
        <v>0</v>
      </c>
      <c r="AC1009">
        <v>0</v>
      </c>
      <c r="AD1009">
        <v>5</v>
      </c>
      <c r="AE1009" s="19" t="s">
        <v>60</v>
      </c>
    </row>
    <row r="1010" spans="1:31" x14ac:dyDescent="0.2">
      <c r="A1010">
        <v>942</v>
      </c>
      <c r="B1010" s="19" t="s">
        <v>1450</v>
      </c>
      <c r="C1010">
        <v>30</v>
      </c>
      <c r="D1010" s="19" t="s">
        <v>380</v>
      </c>
      <c r="E1010" s="19" t="s">
        <v>3</v>
      </c>
      <c r="F1010">
        <v>35</v>
      </c>
      <c r="G1010">
        <v>0</v>
      </c>
      <c r="H1010">
        <v>0</v>
      </c>
      <c r="I1010">
        <v>0</v>
      </c>
      <c r="J1010">
        <v>0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>
        <v>0</v>
      </c>
      <c r="V1010" s="19" t="s">
        <v>2989</v>
      </c>
      <c r="W1010" s="19" t="s">
        <v>2990</v>
      </c>
      <c r="X1010">
        <v>0</v>
      </c>
      <c r="Y1010">
        <v>0</v>
      </c>
      <c r="AA1010">
        <v>0</v>
      </c>
      <c r="AB1010">
        <v>0</v>
      </c>
      <c r="AC1010">
        <v>0</v>
      </c>
      <c r="AD1010">
        <v>7</v>
      </c>
      <c r="AE1010" s="19" t="s">
        <v>60</v>
      </c>
    </row>
    <row r="1011" spans="1:31" x14ac:dyDescent="0.2">
      <c r="A1011">
        <v>943</v>
      </c>
      <c r="B1011" s="19" t="s">
        <v>1902</v>
      </c>
      <c r="C1011">
        <v>22</v>
      </c>
      <c r="D1011" s="19" t="s">
        <v>355</v>
      </c>
      <c r="E1011" s="19" t="s">
        <v>347</v>
      </c>
      <c r="F1011">
        <v>2</v>
      </c>
      <c r="G1011">
        <v>0</v>
      </c>
      <c r="H1011">
        <v>0</v>
      </c>
      <c r="I1011">
        <v>0</v>
      </c>
      <c r="J1011">
        <v>-1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U1011">
        <v>0</v>
      </c>
      <c r="V1011" s="19" t="s">
        <v>1975</v>
      </c>
      <c r="W1011" s="19" t="s">
        <v>973</v>
      </c>
      <c r="X1011">
        <v>0</v>
      </c>
      <c r="Y1011">
        <v>0</v>
      </c>
      <c r="AA1011">
        <v>2</v>
      </c>
      <c r="AB1011">
        <v>1</v>
      </c>
      <c r="AC1011">
        <v>0</v>
      </c>
      <c r="AD1011">
        <v>1</v>
      </c>
      <c r="AE1011" s="19" t="s">
        <v>60</v>
      </c>
    </row>
    <row r="1012" spans="1:31" x14ac:dyDescent="0.2">
      <c r="A1012">
        <v>944</v>
      </c>
      <c r="B1012" s="19" t="s">
        <v>2120</v>
      </c>
      <c r="C1012">
        <v>26</v>
      </c>
      <c r="D1012" s="19" t="s">
        <v>364</v>
      </c>
      <c r="E1012" s="19" t="s">
        <v>3</v>
      </c>
      <c r="F1012">
        <v>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>
        <v>0</v>
      </c>
      <c r="V1012" s="19" t="s">
        <v>2169</v>
      </c>
      <c r="W1012" s="19" t="s">
        <v>2170</v>
      </c>
      <c r="X1012">
        <v>0</v>
      </c>
      <c r="Y1012">
        <v>0</v>
      </c>
      <c r="AA1012">
        <v>0</v>
      </c>
      <c r="AB1012">
        <v>0</v>
      </c>
      <c r="AC1012">
        <v>0</v>
      </c>
      <c r="AD1012">
        <v>1</v>
      </c>
      <c r="AE1012" s="19" t="s">
        <v>60</v>
      </c>
    </row>
    <row r="1013" spans="1:31" x14ac:dyDescent="0.2">
      <c r="A1013">
        <v>945</v>
      </c>
      <c r="B1013" s="19" t="s">
        <v>1563</v>
      </c>
      <c r="C1013">
        <v>27</v>
      </c>
      <c r="D1013" s="19" t="s">
        <v>327</v>
      </c>
      <c r="E1013" s="19" t="s">
        <v>347</v>
      </c>
      <c r="F1013">
        <v>4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4</v>
      </c>
      <c r="V1013" s="19" t="s">
        <v>1776</v>
      </c>
      <c r="W1013" s="19" t="s">
        <v>1670</v>
      </c>
      <c r="X1013">
        <v>0</v>
      </c>
      <c r="Y1013">
        <v>0</v>
      </c>
      <c r="AA1013">
        <v>4</v>
      </c>
      <c r="AB1013">
        <v>7</v>
      </c>
      <c r="AC1013">
        <v>0</v>
      </c>
      <c r="AD1013">
        <v>2</v>
      </c>
      <c r="AE1013" s="19" t="s">
        <v>60</v>
      </c>
    </row>
    <row r="1014" spans="1:31" x14ac:dyDescent="0.2">
      <c r="A1014">
        <v>946</v>
      </c>
      <c r="B1014" s="19" t="s">
        <v>1451</v>
      </c>
      <c r="C1014">
        <v>32</v>
      </c>
      <c r="D1014" s="19" t="s">
        <v>357</v>
      </c>
      <c r="E1014" s="19" t="s">
        <v>3</v>
      </c>
      <c r="F1014">
        <v>17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>
        <v>0</v>
      </c>
      <c r="V1014" s="19" t="s">
        <v>2991</v>
      </c>
      <c r="W1014" s="19" t="s">
        <v>2992</v>
      </c>
      <c r="X1014">
        <v>0</v>
      </c>
      <c r="Y1014">
        <v>0</v>
      </c>
      <c r="AA1014">
        <v>0</v>
      </c>
      <c r="AB1014">
        <v>0</v>
      </c>
      <c r="AC1014">
        <v>0</v>
      </c>
      <c r="AD1014">
        <v>3</v>
      </c>
      <c r="AE1014" s="19" t="s">
        <v>60</v>
      </c>
    </row>
    <row r="1015" spans="1:31" x14ac:dyDescent="0.2">
      <c r="A1015">
        <v>947</v>
      </c>
      <c r="B1015" s="19" t="s">
        <v>1758</v>
      </c>
      <c r="C1015">
        <v>22</v>
      </c>
      <c r="D1015" s="19" t="s">
        <v>430</v>
      </c>
      <c r="E1015" s="19" t="s">
        <v>338</v>
      </c>
      <c r="F1015">
        <v>3</v>
      </c>
      <c r="G1015">
        <v>0</v>
      </c>
      <c r="H1015">
        <v>0</v>
      </c>
      <c r="I1015">
        <v>0</v>
      </c>
      <c r="J1015">
        <v>-1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2</v>
      </c>
      <c r="T1015">
        <v>0</v>
      </c>
      <c r="U1015">
        <v>2</v>
      </c>
      <c r="V1015" s="19" t="s">
        <v>1813</v>
      </c>
      <c r="W1015" s="19" t="s">
        <v>1763</v>
      </c>
      <c r="X1015">
        <v>0</v>
      </c>
      <c r="Y1015">
        <v>0</v>
      </c>
      <c r="AA1015">
        <v>0</v>
      </c>
      <c r="AB1015">
        <v>0</v>
      </c>
      <c r="AC1015">
        <v>0</v>
      </c>
      <c r="AD1015">
        <v>0</v>
      </c>
      <c r="AE1015" s="19" t="s">
        <v>60</v>
      </c>
    </row>
    <row r="1016" spans="1:31" x14ac:dyDescent="0.2">
      <c r="A1016">
        <v>948</v>
      </c>
      <c r="B1016" s="19" t="s">
        <v>1452</v>
      </c>
      <c r="C1016">
        <v>26</v>
      </c>
      <c r="D1016" s="19" t="s">
        <v>370</v>
      </c>
      <c r="E1016" s="19" t="s">
        <v>322</v>
      </c>
      <c r="F1016">
        <v>18</v>
      </c>
      <c r="G1016">
        <v>0</v>
      </c>
      <c r="H1016">
        <v>0</v>
      </c>
      <c r="I1016">
        <v>0</v>
      </c>
      <c r="J1016">
        <v>-6</v>
      </c>
      <c r="K1016">
        <v>4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16</v>
      </c>
      <c r="T1016">
        <v>0</v>
      </c>
      <c r="U1016">
        <v>26</v>
      </c>
      <c r="V1016" s="19" t="s">
        <v>1808</v>
      </c>
      <c r="W1016" s="19" t="s">
        <v>1809</v>
      </c>
      <c r="X1016">
        <v>22</v>
      </c>
      <c r="Y1016">
        <v>36</v>
      </c>
      <c r="Z1016">
        <v>37.9</v>
      </c>
      <c r="AA1016">
        <v>6</v>
      </c>
      <c r="AB1016">
        <v>19</v>
      </c>
      <c r="AC1016">
        <v>2</v>
      </c>
      <c r="AD1016">
        <v>3</v>
      </c>
      <c r="AE1016" s="19" t="s">
        <v>60</v>
      </c>
    </row>
    <row r="1017" spans="1:31" x14ac:dyDescent="0.2">
      <c r="A1017">
        <v>949</v>
      </c>
      <c r="B1017" s="19" t="s">
        <v>1453</v>
      </c>
      <c r="C1017">
        <v>27</v>
      </c>
      <c r="D1017" s="19" t="s">
        <v>353</v>
      </c>
      <c r="E1017" s="19" t="s">
        <v>3</v>
      </c>
      <c r="F1017">
        <v>38</v>
      </c>
      <c r="G1017">
        <v>0</v>
      </c>
      <c r="H1017">
        <v>0</v>
      </c>
      <c r="I1017">
        <v>0</v>
      </c>
      <c r="J1017">
        <v>0</v>
      </c>
      <c r="K1017">
        <v>11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U1017">
        <v>1</v>
      </c>
      <c r="V1017" s="19" t="s">
        <v>2125</v>
      </c>
      <c r="W1017" s="19" t="s">
        <v>1994</v>
      </c>
      <c r="X1017">
        <v>0</v>
      </c>
      <c r="Y1017">
        <v>0</v>
      </c>
      <c r="AA1017">
        <v>0</v>
      </c>
      <c r="AB1017">
        <v>0</v>
      </c>
      <c r="AC1017">
        <v>0</v>
      </c>
      <c r="AD1017">
        <v>15</v>
      </c>
      <c r="AE1017" s="19" t="s">
        <v>60</v>
      </c>
    </row>
    <row r="1018" spans="1:31" x14ac:dyDescent="0.2">
      <c r="A1018">
        <v>950</v>
      </c>
      <c r="B1018" s="19" t="s">
        <v>1777</v>
      </c>
      <c r="C1018">
        <v>25</v>
      </c>
      <c r="D1018" s="19" t="s">
        <v>412</v>
      </c>
      <c r="E1018" s="19" t="s">
        <v>3</v>
      </c>
      <c r="F1018">
        <v>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U1018">
        <v>0</v>
      </c>
      <c r="V1018" s="19" t="s">
        <v>2054</v>
      </c>
      <c r="W1018" s="19" t="s">
        <v>2055</v>
      </c>
      <c r="X1018">
        <v>0</v>
      </c>
      <c r="Y1018">
        <v>0</v>
      </c>
      <c r="AA1018">
        <v>0</v>
      </c>
      <c r="AB1018">
        <v>0</v>
      </c>
      <c r="AC1018">
        <v>0</v>
      </c>
      <c r="AD1018">
        <v>1</v>
      </c>
      <c r="AE1018" s="19" t="s">
        <v>60</v>
      </c>
    </row>
    <row r="1019" spans="1:31" x14ac:dyDescent="0.2">
      <c r="A1019">
        <v>951</v>
      </c>
      <c r="B1019" s="19" t="s">
        <v>1454</v>
      </c>
      <c r="C1019">
        <v>26</v>
      </c>
      <c r="D1019" s="19" t="s">
        <v>370</v>
      </c>
      <c r="E1019" s="19" t="s">
        <v>3</v>
      </c>
      <c r="F1019">
        <v>19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>
        <v>0</v>
      </c>
      <c r="V1019" s="19" t="s">
        <v>2993</v>
      </c>
      <c r="W1019" s="19" t="s">
        <v>2994</v>
      </c>
      <c r="X1019">
        <v>0</v>
      </c>
      <c r="Y1019">
        <v>0</v>
      </c>
      <c r="AA1019">
        <v>0</v>
      </c>
      <c r="AB1019">
        <v>0</v>
      </c>
      <c r="AC1019">
        <v>0</v>
      </c>
      <c r="AD1019">
        <v>13</v>
      </c>
      <c r="AE1019" s="19" t="s">
        <v>60</v>
      </c>
    </row>
    <row r="1020" spans="1:31" x14ac:dyDescent="0.2">
      <c r="A1020">
        <v>952</v>
      </c>
      <c r="B1020" s="19" t="s">
        <v>1520</v>
      </c>
      <c r="C1020">
        <v>24</v>
      </c>
      <c r="D1020" s="19" t="s">
        <v>357</v>
      </c>
      <c r="E1020" s="19" t="s">
        <v>347</v>
      </c>
      <c r="F1020">
        <v>4</v>
      </c>
      <c r="G1020">
        <v>0</v>
      </c>
      <c r="H1020">
        <v>0</v>
      </c>
      <c r="I1020">
        <v>0</v>
      </c>
      <c r="J1020">
        <v>-1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4</v>
      </c>
      <c r="T1020">
        <v>0</v>
      </c>
      <c r="U1020">
        <v>5</v>
      </c>
      <c r="V1020" s="19" t="s">
        <v>1564</v>
      </c>
      <c r="W1020" s="19" t="s">
        <v>1302</v>
      </c>
      <c r="X1020">
        <v>0</v>
      </c>
      <c r="Y1020">
        <v>0</v>
      </c>
      <c r="AA1020">
        <v>4</v>
      </c>
      <c r="AB1020">
        <v>3</v>
      </c>
      <c r="AC1020">
        <v>0</v>
      </c>
      <c r="AD1020">
        <v>1</v>
      </c>
      <c r="AE1020" s="19" t="s">
        <v>60</v>
      </c>
    </row>
    <row r="1021" spans="1:31" x14ac:dyDescent="0.2">
      <c r="A1021">
        <v>953</v>
      </c>
      <c r="B1021" s="19" t="s">
        <v>1455</v>
      </c>
      <c r="C1021">
        <v>25</v>
      </c>
      <c r="D1021" s="19" t="s">
        <v>440</v>
      </c>
      <c r="E1021" s="19" t="s">
        <v>3</v>
      </c>
      <c r="F1021">
        <v>10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U1021">
        <v>0</v>
      </c>
      <c r="V1021" s="19" t="s">
        <v>2995</v>
      </c>
      <c r="W1021" s="19" t="s">
        <v>2996</v>
      </c>
      <c r="X1021">
        <v>0</v>
      </c>
      <c r="Y1021">
        <v>0</v>
      </c>
      <c r="AA1021">
        <v>0</v>
      </c>
      <c r="AB1021">
        <v>0</v>
      </c>
      <c r="AC1021">
        <v>0</v>
      </c>
      <c r="AD1021">
        <v>2</v>
      </c>
      <c r="AE1021" s="19" t="s">
        <v>60</v>
      </c>
    </row>
    <row r="1022" spans="1:31" x14ac:dyDescent="0.2">
      <c r="A1022">
        <v>954</v>
      </c>
      <c r="B1022" s="19" t="s">
        <v>1536</v>
      </c>
      <c r="C1022">
        <v>23</v>
      </c>
      <c r="D1022" s="19" t="s">
        <v>364</v>
      </c>
      <c r="E1022" s="19" t="s">
        <v>334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3</v>
      </c>
      <c r="V1022" s="19" t="s">
        <v>1479</v>
      </c>
      <c r="W1022" s="19" t="s">
        <v>1387</v>
      </c>
      <c r="X1022">
        <v>0</v>
      </c>
      <c r="Y1022">
        <v>0</v>
      </c>
      <c r="AA1022">
        <v>2</v>
      </c>
      <c r="AB1022">
        <v>1</v>
      </c>
      <c r="AC1022">
        <v>1</v>
      </c>
      <c r="AD1022">
        <v>1</v>
      </c>
      <c r="AE1022" s="19" t="s">
        <v>60</v>
      </c>
    </row>
    <row r="1023" spans="1:31" x14ac:dyDescent="0.2">
      <c r="A1023">
        <v>955</v>
      </c>
      <c r="B1023" s="19" t="s">
        <v>1793</v>
      </c>
      <c r="C1023">
        <v>33</v>
      </c>
      <c r="D1023" s="19" t="s">
        <v>321</v>
      </c>
      <c r="E1023" s="19" t="s">
        <v>322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 s="19" t="s">
        <v>1794</v>
      </c>
      <c r="W1023" s="19" t="s">
        <v>1794</v>
      </c>
      <c r="X1023">
        <v>4</v>
      </c>
      <c r="Y1023">
        <v>6</v>
      </c>
      <c r="Z1023">
        <v>40</v>
      </c>
      <c r="AA1023">
        <v>0</v>
      </c>
      <c r="AB1023">
        <v>0</v>
      </c>
      <c r="AC1023">
        <v>0</v>
      </c>
      <c r="AD1023">
        <v>0</v>
      </c>
      <c r="AE1023" s="19" t="s">
        <v>60</v>
      </c>
    </row>
    <row r="1024" spans="1:31" x14ac:dyDescent="0.2">
      <c r="A1024">
        <v>956</v>
      </c>
      <c r="B1024" s="19" t="s">
        <v>2379</v>
      </c>
      <c r="C1024">
        <v>22</v>
      </c>
      <c r="D1024" s="19" t="s">
        <v>342</v>
      </c>
      <c r="E1024" s="19" t="s">
        <v>325</v>
      </c>
      <c r="F1024">
        <v>3</v>
      </c>
      <c r="G1024">
        <v>0</v>
      </c>
      <c r="H1024">
        <v>0</v>
      </c>
      <c r="I1024">
        <v>0</v>
      </c>
      <c r="J1024">
        <v>-1</v>
      </c>
      <c r="K1024">
        <v>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</v>
      </c>
      <c r="T1024">
        <v>0</v>
      </c>
      <c r="U1024">
        <v>3</v>
      </c>
      <c r="V1024" s="19" t="s">
        <v>2997</v>
      </c>
      <c r="W1024" s="19" t="s">
        <v>1355</v>
      </c>
      <c r="X1024">
        <v>13</v>
      </c>
      <c r="Y1024">
        <v>15</v>
      </c>
      <c r="Z1024">
        <v>46.4</v>
      </c>
      <c r="AA1024">
        <v>3</v>
      </c>
      <c r="AB1024">
        <v>7</v>
      </c>
      <c r="AC1024">
        <v>0</v>
      </c>
      <c r="AD1024">
        <v>2</v>
      </c>
      <c r="AE1024" s="19" t="s">
        <v>60</v>
      </c>
    </row>
    <row r="1025" spans="1:31" x14ac:dyDescent="0.2">
      <c r="A1025">
        <v>957</v>
      </c>
      <c r="B1025" s="19" t="s">
        <v>1456</v>
      </c>
      <c r="C1025">
        <v>32</v>
      </c>
      <c r="D1025" s="19" t="s">
        <v>412</v>
      </c>
      <c r="E1025" s="19" t="s">
        <v>3</v>
      </c>
      <c r="F1025">
        <v>30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>
        <v>1</v>
      </c>
      <c r="V1025" s="19" t="s">
        <v>2140</v>
      </c>
      <c r="W1025" s="19" t="s">
        <v>1911</v>
      </c>
      <c r="X1025">
        <v>0</v>
      </c>
      <c r="Y1025">
        <v>0</v>
      </c>
      <c r="AA1025">
        <v>0</v>
      </c>
      <c r="AB1025">
        <v>0</v>
      </c>
      <c r="AC1025">
        <v>0</v>
      </c>
      <c r="AD1025">
        <v>7</v>
      </c>
      <c r="AE1025" s="19" t="s">
        <v>60</v>
      </c>
    </row>
    <row r="1026" spans="1:31" x14ac:dyDescent="0.2">
      <c r="A1026">
        <v>958</v>
      </c>
      <c r="B1026" s="19" t="s">
        <v>1459</v>
      </c>
      <c r="C1026">
        <v>28</v>
      </c>
      <c r="D1026" s="19" t="s">
        <v>403</v>
      </c>
      <c r="E1026" s="19" t="s">
        <v>3</v>
      </c>
      <c r="F1026">
        <v>34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>
        <v>0</v>
      </c>
      <c r="V1026" s="19" t="s">
        <v>2998</v>
      </c>
      <c r="W1026" s="19" t="s">
        <v>2999</v>
      </c>
      <c r="X1026">
        <v>0</v>
      </c>
      <c r="Y1026">
        <v>0</v>
      </c>
      <c r="AA1026">
        <v>0</v>
      </c>
      <c r="AB1026">
        <v>0</v>
      </c>
      <c r="AC1026">
        <v>0</v>
      </c>
      <c r="AD1026">
        <v>9</v>
      </c>
      <c r="AE1026" s="19" t="s">
        <v>60</v>
      </c>
    </row>
    <row r="1027" spans="1:31" x14ac:dyDescent="0.2">
      <c r="A1027">
        <v>959</v>
      </c>
      <c r="B1027" s="19" t="s">
        <v>1462</v>
      </c>
      <c r="C1027">
        <v>24</v>
      </c>
      <c r="D1027" s="19" t="s">
        <v>430</v>
      </c>
      <c r="E1027" s="19" t="s">
        <v>3</v>
      </c>
      <c r="F1027">
        <v>41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>
        <v>1</v>
      </c>
      <c r="V1027" s="19" t="s">
        <v>2141</v>
      </c>
      <c r="W1027" s="19" t="s">
        <v>2142</v>
      </c>
      <c r="X1027">
        <v>0</v>
      </c>
      <c r="Y1027">
        <v>0</v>
      </c>
      <c r="AA1027">
        <v>0</v>
      </c>
      <c r="AB1027">
        <v>0</v>
      </c>
      <c r="AC1027">
        <v>0</v>
      </c>
      <c r="AD1027">
        <v>23</v>
      </c>
      <c r="AE1027" s="19" t="s">
        <v>60</v>
      </c>
    </row>
    <row r="1028" spans="1:31" x14ac:dyDescent="0.2">
      <c r="A1028">
        <v>960</v>
      </c>
      <c r="B1028" s="19" t="s">
        <v>1463</v>
      </c>
      <c r="C1028">
        <v>27</v>
      </c>
      <c r="D1028" s="19" t="s">
        <v>357</v>
      </c>
      <c r="E1028" s="19" t="s">
        <v>3</v>
      </c>
      <c r="F1028">
        <v>25</v>
      </c>
      <c r="G1028">
        <v>0</v>
      </c>
      <c r="H1028">
        <v>0</v>
      </c>
      <c r="I1028">
        <v>0</v>
      </c>
      <c r="J1028">
        <v>0</v>
      </c>
      <c r="K1028">
        <v>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>
        <v>0</v>
      </c>
      <c r="V1028" s="19" t="s">
        <v>2143</v>
      </c>
      <c r="W1028" s="19" t="s">
        <v>2144</v>
      </c>
      <c r="X1028">
        <v>0</v>
      </c>
      <c r="Y1028">
        <v>0</v>
      </c>
      <c r="AA1028">
        <v>0</v>
      </c>
      <c r="AB1028">
        <v>0</v>
      </c>
      <c r="AC1028">
        <v>0</v>
      </c>
      <c r="AD1028">
        <v>13</v>
      </c>
      <c r="AE1028" s="19" t="s">
        <v>60</v>
      </c>
    </row>
    <row r="1029" spans="1:31" x14ac:dyDescent="0.2">
      <c r="A1029">
        <v>961</v>
      </c>
      <c r="B1029" s="19" t="s">
        <v>1779</v>
      </c>
      <c r="C1029">
        <v>22</v>
      </c>
      <c r="D1029" s="19" t="s">
        <v>344</v>
      </c>
      <c r="E1029" s="19" t="s">
        <v>322</v>
      </c>
      <c r="F1029">
        <v>4</v>
      </c>
      <c r="G1029">
        <v>0</v>
      </c>
      <c r="H1029">
        <v>0</v>
      </c>
      <c r="I1029">
        <v>0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2</v>
      </c>
      <c r="T1029">
        <v>0</v>
      </c>
      <c r="U1029">
        <v>5</v>
      </c>
      <c r="V1029" s="19" t="s">
        <v>1860</v>
      </c>
      <c r="W1029" s="19" t="s">
        <v>1861</v>
      </c>
      <c r="X1029">
        <v>6</v>
      </c>
      <c r="Y1029">
        <v>13</v>
      </c>
      <c r="Z1029">
        <v>31.6</v>
      </c>
      <c r="AA1029">
        <v>4</v>
      </c>
      <c r="AB1029">
        <v>3</v>
      </c>
      <c r="AC1029">
        <v>0</v>
      </c>
      <c r="AD1029">
        <v>1</v>
      </c>
      <c r="AE1029" s="19" t="s">
        <v>60</v>
      </c>
    </row>
    <row r="1030" spans="1:31" x14ac:dyDescent="0.2">
      <c r="B1030" s="19" t="s">
        <v>1464</v>
      </c>
      <c r="D1030" s="19" t="s">
        <v>60</v>
      </c>
      <c r="E1030" s="19" t="s">
        <v>60</v>
      </c>
      <c r="T1030">
        <v>11</v>
      </c>
      <c r="V1030" s="19" t="s">
        <v>60</v>
      </c>
      <c r="W1030" s="19" t="s">
        <v>396</v>
      </c>
      <c r="Z1030">
        <v>50</v>
      </c>
      <c r="AE1030" s="19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96C4-F42A-4042-B97F-267294359804}">
  <dimension ref="B3:D8"/>
  <sheetViews>
    <sheetView workbookViewId="0">
      <selection activeCell="F15" sqref="F15"/>
    </sheetView>
  </sheetViews>
  <sheetFormatPr baseColWidth="10" defaultRowHeight="16" x14ac:dyDescent="0.2"/>
  <sheetData>
    <row r="3" spans="2:4" x14ac:dyDescent="0.2">
      <c r="B3" s="18" t="s">
        <v>267</v>
      </c>
      <c r="C3" s="18"/>
      <c r="D3" t="s">
        <v>268</v>
      </c>
    </row>
    <row r="4" spans="2:4" x14ac:dyDescent="0.2">
      <c r="B4" s="17">
        <v>0.5</v>
      </c>
      <c r="C4" s="17">
        <v>0.55000000000000004</v>
      </c>
      <c r="D4">
        <f>COUNTIFS(Table4[Strength of Win],"&gt;=Sheet2!B4",Table4[Strength of Win],"&lt;=Sheet2!C4")</f>
        <v>0</v>
      </c>
    </row>
    <row r="5" spans="2:4" x14ac:dyDescent="0.2">
      <c r="B5" s="17">
        <v>0.55000000000000004</v>
      </c>
      <c r="C5" s="17">
        <v>0.65</v>
      </c>
      <c r="D5">
        <f>COUNTIFS('NHL HomeIce Model'!L2:$L$1313,"&gt;=Sheet2!B4",'NHL HomeIce Model'!L2:$L$1313,"&lt;=Sheet2!C4")</f>
        <v>0</v>
      </c>
    </row>
    <row r="6" spans="2:4" x14ac:dyDescent="0.2">
      <c r="B6" s="17">
        <v>0.65</v>
      </c>
      <c r="C6" s="17">
        <v>0.75</v>
      </c>
      <c r="D6">
        <f>COUNTIFS('NHL HomeIce Model'!L3:$L$1313,"&gt;=Sheet2!B4",'NHL HomeIce Model'!L3:$L$1313,"&lt;=Sheet2!C4")</f>
        <v>0</v>
      </c>
    </row>
    <row r="7" spans="2:4" x14ac:dyDescent="0.2">
      <c r="B7" s="17">
        <v>0.75</v>
      </c>
      <c r="C7" s="17">
        <v>0.85</v>
      </c>
      <c r="D7">
        <f>COUNTIFS('NHL HomeIce Model'!L4:$L$1313,"&gt;=Sheet2!B4",'NHL HomeIce Model'!L4:$L$1313,"&lt;=Sheet2!C4")</f>
        <v>0</v>
      </c>
    </row>
    <row r="8" spans="2:4" x14ac:dyDescent="0.2">
      <c r="B8" s="17">
        <v>0.85</v>
      </c>
      <c r="C8" s="17">
        <v>1</v>
      </c>
      <c r="D8">
        <f>COUNTIFS('NHL HomeIce Model'!L5:$L$1313,"&gt;=Sheet2!B4",'NHL HomeIce Model'!L5:$L$1313,"&lt;=Sheet2!C4")</f>
        <v>0</v>
      </c>
    </row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D94714-D322-D847-9A16-5EDA531ACA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NHL2025-26Results</vt:lpstr>
      <vt:lpstr>NHL Model</vt:lpstr>
      <vt:lpstr>NHL HomeIce Model</vt:lpstr>
      <vt:lpstr>Standings</vt:lpstr>
      <vt:lpstr>ML Prediction Model</vt:lpstr>
      <vt:lpstr>NHL2025-26PlayerStats</vt:lpstr>
      <vt:lpstr>Sheet2</vt:lpstr>
      <vt:lpstr>HomeEdge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Conte, Aidan</dc:creator>
  <cp:lastModifiedBy>Conte, Aidan</cp:lastModifiedBy>
  <dcterms:created xsi:type="dcterms:W3CDTF">2025-10-07T15:00:43Z</dcterms:created>
  <dcterms:modified xsi:type="dcterms:W3CDTF">2026-02-26T14:30:39Z</dcterms:modified>
</cp:coreProperties>
</file>